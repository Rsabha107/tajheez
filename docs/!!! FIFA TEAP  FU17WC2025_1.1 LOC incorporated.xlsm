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richPivotRecords1.xml" ContentType="application/vnd.openxmlformats-officedocument.spreadsheetml.richPivotRecords+xml"/>
  <Override PartName="/xl/pivotCache/pivotCacheDefinition9.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namedSheetViews/namedSheetView1.xml" ContentType="application/vnd.ms-excel.namedsheetview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5.xml" ContentType="application/vnd.openxmlformats-officedocument.spreadsheetml.pivotTable+xml"/>
  <Override PartName="/xl/pivotTables/pivotTable1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scqa0.sharepoint.com/sites/EventICTplanning-Legacy-FIFAU17/Shared Documents/02. U17/IT Requirements/"/>
    </mc:Choice>
  </mc:AlternateContent>
  <xr:revisionPtr revIDLastSave="1112" documentId="13_ncr:1_{74FE91EF-6586-4CC2-ADFB-48363BCD5D23}" xr6:coauthVersionLast="47" xr6:coauthVersionMax="47" xr10:uidLastSave="{B648F450-611A-4A0D-B204-95D4E8EEA71E}"/>
  <bookViews>
    <workbookView xWindow="-108" yWindow="-108" windowWidth="23256" windowHeight="13896" tabRatio="741" firstSheet="2" activeTab="4" xr2:uid="{A6A3C884-4E73-4C98-ABB5-C9774CC98BBD}"/>
  </bookViews>
  <sheets>
    <sheet name="Instructions" sheetId="34" state="hidden" r:id="rId1"/>
    <sheet name="Event Setup" sheetId="28" r:id="rId2"/>
    <sheet name="Version Release Notes" sheetId="43" r:id="rId3"/>
    <sheet name="LOC Requirement" sheetId="61" r:id="rId4"/>
    <sheet name="TEAP Data Entry" sheetId="59" r:id="rId5"/>
    <sheet name="Pivot TVs" sheetId="74" r:id="rId6"/>
    <sheet name="Pivot Sim" sheetId="73" r:id="rId7"/>
    <sheet name="Pivot NW" sheetId="64" r:id="rId8"/>
    <sheet name="Pivot EU" sheetId="65" r:id="rId9"/>
    <sheet name="Pivot PR" sheetId="72" r:id="rId10"/>
    <sheet name="Pivot LOC" sheetId="63" r:id="rId11"/>
    <sheet name="Contact" sheetId="62" r:id="rId12"/>
    <sheet name="Customer Journey" sheetId="54" r:id="rId13"/>
    <sheet name="Pivot Table" sheetId="58" r:id="rId14"/>
    <sheet name="No use-Pivot Type" sheetId="53" r:id="rId15"/>
    <sheet name="No use-Internet Service Config" sheetId="33" state="hidden" r:id="rId16"/>
    <sheet name="Network Requirements" sheetId="26" r:id="rId17"/>
    <sheet name="TEAP Report - FAs" sheetId="31" r:id="rId18"/>
    <sheet name="TEAP Report - LOC" sheetId="60" r:id="rId19"/>
    <sheet name="TEAP Report - Event Tech" sheetId="41" r:id="rId20"/>
    <sheet name="VITM Checklist" sheetId="42" state="hidden" r:id="rId21"/>
    <sheet name="Packing List - Outbound" sheetId="50" state="hidden" r:id="rId22"/>
    <sheet name="Packing List - Return" sheetId="51" state="hidden" r:id="rId23"/>
    <sheet name="Products and Services" sheetId="24" r:id="rId24"/>
    <sheet name="Event IT Kit-list" sheetId="44" state="hidden" r:id="rId25"/>
    <sheet name="Packing List - SOURCE" sheetId="49" state="hidden" r:id="rId26"/>
    <sheet name="Lookups" sheetId="32" r:id="rId27"/>
  </sheets>
  <definedNames>
    <definedName name="_xlnm._FilterDatabase" localSheetId="12" hidden="1">'Customer Journey'!$B$2:$F$46</definedName>
    <definedName name="_xlnm._FilterDatabase" localSheetId="23" hidden="1">'Products and Services'!$A$1:$N$116</definedName>
    <definedName name="_xlnm._FilterDatabase" localSheetId="4" hidden="1">'TEAP Data Entry'!$A$2:$X$484</definedName>
    <definedName name="_xleta.SUBTOTAL" hidden="1" xlm="1">#NAME?</definedName>
    <definedName name="_xleta.SUM" hidden="1" xlm="1">#NAME?</definedName>
    <definedName name="codecheck">'TEAP Data Entry'!$A$3:$A$39</definedName>
    <definedName name="de_curr_qty">'TEAP Data Entry'!$K$3:$K$56</definedName>
    <definedName name="de_fp_code">'TEAP Data Entry'!$A$3:$A$56</definedName>
    <definedName name="de_venue">'TEAP Data Entry'!$P$3:$P$56</definedName>
    <definedName name="lu_entity">Lookups!$G$3:$G$7</definedName>
    <definedName name="lu_tournament_table">Lookups!$B$3:$C$13</definedName>
    <definedName name="lu_tournaments">Lookups!$B$3:$B$13</definedName>
    <definedName name="lu_vlan">Lookups!$E$3:$E$16</definedName>
    <definedName name="_xlnm.Print_Area" localSheetId="12">'Customer Journey'!$A$1:$G$2</definedName>
    <definedName name="_xlnm.Print_Area" localSheetId="0">Instructions!$A$1:$I$259</definedName>
    <definedName name="_xlnm.Print_Area" localSheetId="15">'No use-Internet Service Config'!$A$1:$J$12</definedName>
    <definedName name="_xlnm.Print_Area" localSheetId="2">'Version Release Notes'!$A$1:$F$41</definedName>
    <definedName name="ps_headers">'Products and Services'!$A$1:$N$1</definedName>
    <definedName name="ps_table">'Products and Services'!$A$2:$N$130</definedName>
    <definedName name="su_host_country">'Event Setup'!$D$8</definedName>
    <definedName name="su_short_name">'Event Setup'!$D$6</definedName>
    <definedName name="su_tournament">'Event Setup'!$D$4</definedName>
    <definedName name="su_venues">OFFSET('Event Setup'!$D$14,0,0,COUNTA('Event Setup'!$D$14:$D$53),1)</definedName>
    <definedName name="su_version">'Event Setup'!$D$12</definedName>
    <definedName name="su_year">'Event Setup'!$D$10</definedName>
  </definedNames>
  <calcPr calcId="191028"/>
  <pivotCaches>
    <pivotCache cacheId="0" r:id="rId28"/>
    <pivotCache cacheId="1" r:id="rId29"/>
    <pivotCache cacheId="2" r:id="rId30"/>
    <pivotCache cacheId="3" r:id="rId31"/>
    <pivotCache cacheId="4" r:id="rId32"/>
    <pivotCache cacheId="5" r:id="rId33"/>
    <pivotCache cacheId="6" r:id="rId34"/>
    <pivotCache cacheId="7" r:id="rId35"/>
    <pivotCache cacheId="8" r:id="rId36"/>
    <pivotCache cacheId="9" r:id="rId37"/>
    <pivotCache cacheId="10" r:id="rId38"/>
    <pivotCache cacheId="11" r:id="rId3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16" i="59" l="1"/>
  <c r="L416" i="59"/>
  <c r="M416" i="59"/>
  <c r="C416" i="59"/>
  <c r="B416" i="59"/>
  <c r="T157" i="59"/>
  <c r="L157" i="59"/>
  <c r="M157" i="59"/>
  <c r="C157" i="59"/>
  <c r="B157" i="59"/>
  <c r="L399" i="59"/>
  <c r="M350" i="59"/>
  <c r="L350" i="59"/>
  <c r="T350" i="59"/>
  <c r="C350" i="59"/>
  <c r="B350" i="59"/>
  <c r="B484" i="59"/>
  <c r="C484" i="59"/>
  <c r="D484" i="59"/>
  <c r="E484" i="59"/>
  <c r="F484" i="59"/>
  <c r="I484" i="59"/>
  <c r="J484" i="59"/>
  <c r="L484" i="59"/>
  <c r="M484" i="59"/>
  <c r="T484" i="59"/>
  <c r="G484" i="59" l="1"/>
  <c r="B417" i="59"/>
  <c r="T98" i="59"/>
  <c r="M98" i="59"/>
  <c r="L98" i="59"/>
  <c r="B98" i="59"/>
  <c r="C98" i="59"/>
  <c r="T99" i="59"/>
  <c r="M99" i="59"/>
  <c r="E99" i="59"/>
  <c r="F99" i="59"/>
  <c r="L99" i="59"/>
  <c r="B99" i="59"/>
  <c r="C99" i="59"/>
  <c r="B41" i="26"/>
  <c r="K486" i="59" l="1"/>
  <c r="B5" i="61" a="1"/>
  <c r="B5" i="61" s="1"/>
  <c r="B6" i="61" a="1"/>
  <c r="B6" i="61" s="1"/>
  <c r="B7" i="61" a="1"/>
  <c r="B7" i="61" s="1"/>
  <c r="B8" i="61" a="1"/>
  <c r="B8" i="61" s="1"/>
  <c r="B9" i="61" a="1"/>
  <c r="B9" i="61" s="1"/>
  <c r="B10" i="61" a="1"/>
  <c r="B10" i="61" s="1"/>
  <c r="B11" i="61" a="1"/>
  <c r="B11" i="61" s="1"/>
  <c r="B12" i="61" a="1"/>
  <c r="B12" i="61" s="1"/>
  <c r="B13" i="61" a="1"/>
  <c r="B13" i="61" s="1"/>
  <c r="B14" i="61" a="1"/>
  <c r="B14" i="61" s="1"/>
  <c r="B15" i="61" a="1"/>
  <c r="B15" i="61" s="1"/>
  <c r="B16" i="61" a="1"/>
  <c r="B16" i="61" s="1"/>
  <c r="B17" i="61" a="1"/>
  <c r="B17" i="61" s="1"/>
  <c r="B18" i="61" a="1"/>
  <c r="B18" i="61" s="1"/>
  <c r="B19" i="61" a="1"/>
  <c r="B19" i="61" s="1"/>
  <c r="B20" i="61" a="1"/>
  <c r="B20" i="61" s="1"/>
  <c r="B21" i="61" a="1"/>
  <c r="B21" i="61" s="1"/>
  <c r="B22" i="61" a="1"/>
  <c r="B22" i="61" s="1"/>
  <c r="B23" i="61" a="1"/>
  <c r="B23" i="61" s="1"/>
  <c r="B24" i="61" a="1"/>
  <c r="B24" i="61" s="1"/>
  <c r="B25" i="61" a="1"/>
  <c r="B25" i="61" s="1"/>
  <c r="B26" i="61" a="1"/>
  <c r="B26" i="61" s="1"/>
  <c r="B27" i="61" a="1"/>
  <c r="B27" i="61" s="1"/>
  <c r="B28" i="61" a="1"/>
  <c r="B28" i="61" s="1"/>
  <c r="B29" i="61" a="1"/>
  <c r="B29" i="61" s="1"/>
  <c r="B30" i="61" a="1"/>
  <c r="B30" i="61" s="1"/>
  <c r="B31" i="61" a="1"/>
  <c r="B31" i="61" s="1"/>
  <c r="B32" i="61" a="1"/>
  <c r="B32" i="61" s="1"/>
  <c r="B33" i="61" a="1"/>
  <c r="B33" i="61" s="1"/>
  <c r="B34" i="61" a="1"/>
  <c r="B34" i="61" s="1"/>
  <c r="B35" i="61" a="1"/>
  <c r="B35" i="61" s="1"/>
  <c r="B36" i="61" a="1"/>
  <c r="B36" i="61" s="1"/>
  <c r="B37" i="61" a="1"/>
  <c r="B37" i="61" s="1"/>
  <c r="B38" i="61" a="1"/>
  <c r="B38" i="61" s="1"/>
  <c r="B39" i="61" a="1"/>
  <c r="B39" i="61" s="1"/>
  <c r="B40" i="61" a="1"/>
  <c r="B40" i="61" s="1"/>
  <c r="B41" i="61" a="1"/>
  <c r="B41" i="61" s="1"/>
  <c r="B42" i="61" a="1"/>
  <c r="B42" i="61" s="1"/>
  <c r="B43" i="61" a="1"/>
  <c r="B43" i="61" s="1"/>
  <c r="B44" i="61" a="1"/>
  <c r="B44" i="61" s="1"/>
  <c r="B45" i="61" a="1"/>
  <c r="B45" i="61" s="1"/>
  <c r="B46" i="61" a="1"/>
  <c r="B46" i="61" s="1"/>
  <c r="B47" i="61" a="1"/>
  <c r="B47" i="61" s="1"/>
  <c r="B48" i="61" a="1"/>
  <c r="B48" i="61" s="1"/>
  <c r="B49" i="61" a="1"/>
  <c r="B49" i="61" s="1"/>
  <c r="B50" i="61" a="1"/>
  <c r="B50" i="61" s="1"/>
  <c r="B51" i="61" a="1"/>
  <c r="B51" i="61" s="1"/>
  <c r="B52" i="61" a="1"/>
  <c r="B52" i="61" s="1"/>
  <c r="B53" i="61" a="1"/>
  <c r="B53" i="61" s="1"/>
  <c r="B54" i="61" a="1"/>
  <c r="B54" i="61" s="1"/>
  <c r="B55" i="61" a="1"/>
  <c r="B55" i="61" s="1"/>
  <c r="B56" i="61" a="1"/>
  <c r="B56" i="61" s="1"/>
  <c r="B57" i="61" a="1"/>
  <c r="B57" i="61" s="1"/>
  <c r="B58" i="61" a="1"/>
  <c r="B58" i="61" s="1"/>
  <c r="B59" i="61" a="1"/>
  <c r="B59" i="61" s="1"/>
  <c r="B60" i="61" a="1"/>
  <c r="B60" i="61" s="1"/>
  <c r="B61" i="61" a="1"/>
  <c r="B61" i="61" s="1"/>
  <c r="B62" i="61" a="1"/>
  <c r="B62" i="61" s="1"/>
  <c r="B63" i="61" a="1"/>
  <c r="B63" i="61" s="1"/>
  <c r="B64" i="61" a="1"/>
  <c r="B64" i="61" s="1"/>
  <c r="B65" i="61" a="1"/>
  <c r="B65" i="61" s="1"/>
  <c r="B66" i="61" a="1"/>
  <c r="B66" i="61" s="1"/>
  <c r="B67" i="61" a="1"/>
  <c r="B67" i="61" s="1"/>
  <c r="B68" i="61" a="1"/>
  <c r="B68" i="61" s="1"/>
  <c r="B69" i="61" a="1"/>
  <c r="B69" i="61" s="1"/>
  <c r="B70" i="61" a="1"/>
  <c r="B70" i="61" s="1"/>
  <c r="B71" i="61" a="1"/>
  <c r="B71" i="61" s="1"/>
  <c r="B72" i="61" a="1"/>
  <c r="B72" i="61" s="1"/>
  <c r="B73" i="61" a="1"/>
  <c r="B73" i="61" s="1"/>
  <c r="B74" i="61" a="1"/>
  <c r="B74" i="61" s="1"/>
  <c r="B75" i="61" a="1"/>
  <c r="B75" i="61" s="1"/>
  <c r="B76" i="61" a="1"/>
  <c r="B76" i="61" s="1"/>
  <c r="B77" i="61" a="1"/>
  <c r="B77" i="61" s="1"/>
  <c r="B78" i="61" a="1"/>
  <c r="B78" i="61" s="1"/>
  <c r="B79" i="61" a="1"/>
  <c r="B79" i="61" s="1"/>
  <c r="B80" i="61" a="1"/>
  <c r="B80" i="61" s="1"/>
  <c r="B81" i="61" a="1"/>
  <c r="B81" i="61" s="1"/>
  <c r="B82" i="61" a="1"/>
  <c r="B82" i="61" s="1"/>
  <c r="B83" i="61" a="1"/>
  <c r="B83" i="61" s="1"/>
  <c r="B84" i="61" a="1"/>
  <c r="B84" i="61" s="1"/>
  <c r="B85" i="61" a="1"/>
  <c r="B85" i="61" s="1"/>
  <c r="B86" i="61" a="1"/>
  <c r="B86" i="61" s="1"/>
  <c r="B87" i="61" a="1"/>
  <c r="B87" i="61" s="1"/>
  <c r="B88" i="61" a="1"/>
  <c r="B88" i="61" s="1"/>
  <c r="B89" i="61" a="1"/>
  <c r="B89" i="61" s="1"/>
  <c r="B90" i="61" a="1"/>
  <c r="B90" i="61" s="1"/>
  <c r="B91" i="61" a="1"/>
  <c r="B91" i="61" s="1"/>
  <c r="B92" i="61" a="1"/>
  <c r="B92" i="61" s="1"/>
  <c r="B93" i="61" a="1"/>
  <c r="B93" i="61" s="1"/>
  <c r="B94" i="61" a="1"/>
  <c r="B94" i="61" s="1"/>
  <c r="B95" i="61" a="1"/>
  <c r="B95" i="61" s="1"/>
  <c r="B96" i="61" a="1"/>
  <c r="B96" i="61" s="1"/>
  <c r="B97" i="61" a="1"/>
  <c r="B97" i="61" s="1"/>
  <c r="B98" i="61" a="1"/>
  <c r="B98" i="61" s="1"/>
  <c r="B99" i="61" a="1"/>
  <c r="B99" i="61" s="1"/>
  <c r="B100" i="61" a="1"/>
  <c r="B100" i="61" s="1"/>
  <c r="B101" i="61" a="1"/>
  <c r="B101" i="61" s="1"/>
  <c r="B102" i="61" a="1"/>
  <c r="B102" i="61" s="1"/>
  <c r="B103" i="61" a="1"/>
  <c r="B103" i="61" s="1"/>
  <c r="B104" i="61" a="1"/>
  <c r="B104" i="61" s="1"/>
  <c r="B105" i="61" a="1"/>
  <c r="B105" i="61" s="1"/>
  <c r="B106" i="61" a="1"/>
  <c r="B106" i="61" s="1"/>
  <c r="B107" i="61" a="1"/>
  <c r="B107" i="61" s="1"/>
  <c r="B108" i="61" a="1"/>
  <c r="B108" i="61" s="1"/>
  <c r="B109" i="61" a="1"/>
  <c r="B109" i="61" s="1"/>
  <c r="B110" i="61" a="1"/>
  <c r="B110" i="61" s="1"/>
  <c r="B111" i="61" a="1"/>
  <c r="B111" i="61" s="1"/>
  <c r="B112" i="61" a="1"/>
  <c r="B112" i="61" s="1"/>
  <c r="B113" i="61" a="1"/>
  <c r="B113" i="61" s="1"/>
  <c r="B114" i="61" a="1"/>
  <c r="B114" i="61" s="1"/>
  <c r="B115" i="61" a="1"/>
  <c r="B115" i="61" s="1"/>
  <c r="B116" i="61" a="1"/>
  <c r="B116" i="61" s="1"/>
  <c r="B117" i="61" a="1"/>
  <c r="B117" i="61" s="1"/>
  <c r="B118" i="61" a="1"/>
  <c r="B118" i="61" s="1"/>
  <c r="B119" i="61" a="1"/>
  <c r="B119" i="61" s="1"/>
  <c r="B120" i="61" a="1"/>
  <c r="B120" i="61" s="1"/>
  <c r="B121" i="61" a="1"/>
  <c r="B121" i="61" s="1"/>
  <c r="B122" i="61" a="1"/>
  <c r="B122" i="61" s="1"/>
  <c r="B123" i="61" a="1"/>
  <c r="B123" i="61" s="1"/>
  <c r="B124" i="61" a="1"/>
  <c r="B124" i="61" s="1"/>
  <c r="B125" i="61" a="1"/>
  <c r="B125" i="61" s="1"/>
  <c r="B126" i="61" a="1"/>
  <c r="B126" i="61" s="1"/>
  <c r="B127" i="61" a="1"/>
  <c r="B127" i="61" s="1"/>
  <c r="B128" i="61" a="1"/>
  <c r="B128" i="61" s="1"/>
  <c r="B129" i="61" a="1"/>
  <c r="B129" i="61" s="1"/>
  <c r="B130" i="61" a="1"/>
  <c r="B130" i="61" s="1"/>
  <c r="B131" i="61" a="1"/>
  <c r="B131" i="61" s="1"/>
  <c r="B132" i="61" a="1"/>
  <c r="B132" i="61" s="1"/>
  <c r="B133" i="61" a="1"/>
  <c r="B133" i="61" s="1"/>
  <c r="B134" i="61" a="1"/>
  <c r="B134" i="61" s="1"/>
  <c r="B135" i="61" a="1"/>
  <c r="B135" i="61" s="1"/>
  <c r="B136" i="61" a="1"/>
  <c r="B136" i="61" s="1"/>
  <c r="B137" i="61" a="1"/>
  <c r="B137" i="61" s="1"/>
  <c r="B138" i="61" a="1"/>
  <c r="B138" i="61" s="1"/>
  <c r="B139" i="61" a="1"/>
  <c r="B139" i="61" s="1"/>
  <c r="B140" i="61" a="1"/>
  <c r="B140" i="61" s="1"/>
  <c r="B141" i="61" a="1"/>
  <c r="B141" i="61" s="1"/>
  <c r="B142" i="61" a="1"/>
  <c r="B142" i="61" s="1"/>
  <c r="B143" i="61" a="1"/>
  <c r="B143" i="61" s="1"/>
  <c r="B144" i="61" a="1"/>
  <c r="B144" i="61" s="1"/>
  <c r="B145" i="61" a="1"/>
  <c r="B145" i="61" s="1"/>
  <c r="B146" i="61" a="1"/>
  <c r="B146" i="61" s="1"/>
  <c r="B147" i="61" a="1"/>
  <c r="B147" i="61" s="1"/>
  <c r="B148" i="61" a="1"/>
  <c r="B148" i="61" s="1"/>
  <c r="B149" i="61" a="1"/>
  <c r="B149" i="61" s="1"/>
  <c r="B150" i="61" a="1"/>
  <c r="B150" i="61" s="1"/>
  <c r="B151" i="61" a="1"/>
  <c r="B151" i="61" s="1"/>
  <c r="B152" i="61" a="1"/>
  <c r="B152" i="61" s="1"/>
  <c r="B153" i="61" a="1"/>
  <c r="B153" i="61" s="1"/>
  <c r="B154" i="61" a="1"/>
  <c r="B154" i="61" s="1"/>
  <c r="B155" i="61" a="1"/>
  <c r="B155" i="61" s="1"/>
  <c r="B156" i="61" a="1"/>
  <c r="B156" i="61" s="1"/>
  <c r="B157" i="61" a="1"/>
  <c r="B157" i="61" s="1"/>
  <c r="B158" i="61" a="1"/>
  <c r="B158" i="61" s="1"/>
  <c r="B159" i="61" a="1"/>
  <c r="B159" i="61" s="1"/>
  <c r="B160" i="61" a="1"/>
  <c r="B160" i="61" s="1"/>
  <c r="B161" i="61" a="1"/>
  <c r="B161" i="61" s="1"/>
  <c r="B162" i="61" a="1"/>
  <c r="B162" i="61" s="1"/>
  <c r="B163" i="61" a="1"/>
  <c r="B163" i="61" s="1"/>
  <c r="B164" i="61" a="1"/>
  <c r="B164" i="61" s="1"/>
  <c r="B165" i="61" a="1"/>
  <c r="B165" i="61" s="1"/>
  <c r="B166" i="61" a="1"/>
  <c r="B166" i="61" s="1"/>
  <c r="B167" i="61" a="1"/>
  <c r="B167" i="61" s="1"/>
  <c r="B168" i="61" a="1"/>
  <c r="B168" i="61" s="1"/>
  <c r="B169" i="61" a="1"/>
  <c r="B169" i="61" s="1"/>
  <c r="B170" i="61" a="1"/>
  <c r="B170" i="61" s="1"/>
  <c r="B171" i="61" a="1"/>
  <c r="B171" i="61" s="1"/>
  <c r="B172" i="61" a="1"/>
  <c r="B172" i="61" s="1"/>
  <c r="B173" i="61" a="1"/>
  <c r="B173" i="61" s="1"/>
  <c r="B174" i="61" a="1"/>
  <c r="B174" i="61" s="1"/>
  <c r="B175" i="61" a="1"/>
  <c r="B175" i="61" s="1"/>
  <c r="B176" i="61" a="1"/>
  <c r="B176" i="61" s="1"/>
  <c r="B177" i="61" a="1"/>
  <c r="B177" i="61" s="1"/>
  <c r="B178" i="61" a="1"/>
  <c r="B178" i="61" s="1"/>
  <c r="B179" i="61" a="1"/>
  <c r="B179" i="61" s="1"/>
  <c r="B180" i="61" a="1"/>
  <c r="B180" i="61" s="1"/>
  <c r="B181" i="61" a="1"/>
  <c r="B181" i="61" s="1"/>
  <c r="B182" i="61" a="1"/>
  <c r="B182" i="61" s="1"/>
  <c r="B183" i="61" a="1"/>
  <c r="B183" i="61" s="1"/>
  <c r="B184" i="61" a="1"/>
  <c r="B184" i="61" s="1"/>
  <c r="B185" i="61" a="1"/>
  <c r="B185" i="61" s="1"/>
  <c r="B186" i="61" a="1"/>
  <c r="B186" i="61" s="1"/>
  <c r="B187" i="61" a="1"/>
  <c r="B187" i="61" s="1"/>
  <c r="B188" i="61" a="1"/>
  <c r="B188" i="61" s="1"/>
  <c r="B189" i="61" a="1"/>
  <c r="B189" i="61" s="1"/>
  <c r="B190" i="61" a="1"/>
  <c r="B190" i="61" s="1"/>
  <c r="B191" i="61" a="1"/>
  <c r="B191" i="61" s="1"/>
  <c r="B192" i="61" a="1"/>
  <c r="B192" i="61" s="1"/>
  <c r="B193" i="61" a="1"/>
  <c r="B193" i="61" s="1"/>
  <c r="B194" i="61" a="1"/>
  <c r="B194" i="61" s="1"/>
  <c r="B195" i="61" a="1"/>
  <c r="B195" i="61" s="1"/>
  <c r="B196" i="61" a="1"/>
  <c r="B196" i="61" s="1"/>
  <c r="B197" i="61" a="1"/>
  <c r="B197" i="61" s="1"/>
  <c r="B198" i="61" a="1"/>
  <c r="B198" i="61" s="1"/>
  <c r="B199" i="61" a="1"/>
  <c r="B199" i="61" s="1"/>
  <c r="B200" i="61" a="1"/>
  <c r="B200" i="61" s="1"/>
  <c r="B201" i="61" a="1"/>
  <c r="B201" i="61" s="1"/>
  <c r="B4" i="61" a="1"/>
  <c r="B4" i="61" s="1"/>
  <c r="T483" i="59" l="1"/>
  <c r="M483" i="59"/>
  <c r="L483" i="59"/>
  <c r="J483" i="59"/>
  <c r="I483" i="59"/>
  <c r="F483" i="59"/>
  <c r="E483" i="59"/>
  <c r="D483" i="59"/>
  <c r="C483" i="59"/>
  <c r="B483" i="59"/>
  <c r="T482" i="59"/>
  <c r="M482" i="59"/>
  <c r="L482" i="59"/>
  <c r="J482" i="59"/>
  <c r="I482" i="59"/>
  <c r="F482" i="59"/>
  <c r="E482" i="59"/>
  <c r="D482" i="59"/>
  <c r="C482" i="59"/>
  <c r="B482" i="59"/>
  <c r="T481" i="59"/>
  <c r="M481" i="59"/>
  <c r="L481" i="59"/>
  <c r="J481" i="59"/>
  <c r="I481" i="59"/>
  <c r="F481" i="59"/>
  <c r="E481" i="59"/>
  <c r="D481" i="59"/>
  <c r="C481" i="59"/>
  <c r="B481" i="59"/>
  <c r="T480" i="59"/>
  <c r="M480" i="59"/>
  <c r="L480" i="59"/>
  <c r="J480" i="59"/>
  <c r="I480" i="59"/>
  <c r="F480" i="59"/>
  <c r="E480" i="59"/>
  <c r="D480" i="59"/>
  <c r="C480" i="59"/>
  <c r="B480" i="59"/>
  <c r="T479" i="59"/>
  <c r="M479" i="59"/>
  <c r="L479" i="59"/>
  <c r="J479" i="59"/>
  <c r="I479" i="59"/>
  <c r="F479" i="59"/>
  <c r="E479" i="59"/>
  <c r="D479" i="59"/>
  <c r="C479" i="59"/>
  <c r="B479" i="59"/>
  <c r="T478" i="59"/>
  <c r="M478" i="59"/>
  <c r="L478" i="59"/>
  <c r="J478" i="59"/>
  <c r="I478" i="59"/>
  <c r="F478" i="59"/>
  <c r="E478" i="59"/>
  <c r="D478" i="59"/>
  <c r="C478" i="59"/>
  <c r="B478" i="59"/>
  <c r="T477" i="59"/>
  <c r="M477" i="59"/>
  <c r="L477" i="59"/>
  <c r="J477" i="59"/>
  <c r="I477" i="59"/>
  <c r="F477" i="59"/>
  <c r="E477" i="59"/>
  <c r="D477" i="59"/>
  <c r="C477" i="59"/>
  <c r="B477" i="59"/>
  <c r="T476" i="59"/>
  <c r="M476" i="59"/>
  <c r="L476" i="59"/>
  <c r="J476" i="59"/>
  <c r="I476" i="59"/>
  <c r="F476" i="59"/>
  <c r="E476" i="59"/>
  <c r="D476" i="59"/>
  <c r="C476" i="59"/>
  <c r="B476" i="59"/>
  <c r="T475" i="59"/>
  <c r="M475" i="59"/>
  <c r="L475" i="59"/>
  <c r="J475" i="59"/>
  <c r="I475" i="59"/>
  <c r="F475" i="59"/>
  <c r="E475" i="59"/>
  <c r="D475" i="59"/>
  <c r="C475" i="59"/>
  <c r="B475" i="59"/>
  <c r="T474" i="59"/>
  <c r="M474" i="59"/>
  <c r="L474" i="59"/>
  <c r="J474" i="59"/>
  <c r="I474" i="59"/>
  <c r="F474" i="59"/>
  <c r="E474" i="59"/>
  <c r="D474" i="59"/>
  <c r="C474" i="59"/>
  <c r="B474" i="59"/>
  <c r="T473" i="59"/>
  <c r="M473" i="59"/>
  <c r="L473" i="59"/>
  <c r="J473" i="59"/>
  <c r="I473" i="59"/>
  <c r="F473" i="59"/>
  <c r="E473" i="59"/>
  <c r="D473" i="59"/>
  <c r="C473" i="59"/>
  <c r="B473" i="59"/>
  <c r="T472" i="59"/>
  <c r="M472" i="59"/>
  <c r="L472" i="59"/>
  <c r="J472" i="59"/>
  <c r="I472" i="59"/>
  <c r="F472" i="59"/>
  <c r="E472" i="59"/>
  <c r="D472" i="59"/>
  <c r="C472" i="59"/>
  <c r="B472" i="59"/>
  <c r="T471" i="59"/>
  <c r="M471" i="59"/>
  <c r="L471" i="59"/>
  <c r="J471" i="59"/>
  <c r="I471" i="59"/>
  <c r="F471" i="59"/>
  <c r="E471" i="59"/>
  <c r="D471" i="59"/>
  <c r="C471" i="59"/>
  <c r="B471" i="59"/>
  <c r="T470" i="59"/>
  <c r="M470" i="59"/>
  <c r="L470" i="59"/>
  <c r="J470" i="59"/>
  <c r="I470" i="59"/>
  <c r="F470" i="59"/>
  <c r="E470" i="59"/>
  <c r="D470" i="59"/>
  <c r="C470" i="59"/>
  <c r="B470" i="59"/>
  <c r="T469" i="59"/>
  <c r="M469" i="59"/>
  <c r="L469" i="59"/>
  <c r="J469" i="59"/>
  <c r="I469" i="59"/>
  <c r="F469" i="59"/>
  <c r="E469" i="59"/>
  <c r="D469" i="59"/>
  <c r="C469" i="59"/>
  <c r="B469" i="59"/>
  <c r="T468" i="59"/>
  <c r="M468" i="59"/>
  <c r="L468" i="59"/>
  <c r="J468" i="59"/>
  <c r="I468" i="59"/>
  <c r="F468" i="59"/>
  <c r="E468" i="59"/>
  <c r="D468" i="59"/>
  <c r="C468" i="59"/>
  <c r="B468" i="59"/>
  <c r="T467" i="59"/>
  <c r="M467" i="59"/>
  <c r="L467" i="59"/>
  <c r="J467" i="59"/>
  <c r="I467" i="59"/>
  <c r="F467" i="59"/>
  <c r="E467" i="59"/>
  <c r="D467" i="59"/>
  <c r="C467" i="59"/>
  <c r="B467" i="59"/>
  <c r="T466" i="59"/>
  <c r="M466" i="59"/>
  <c r="L466" i="59"/>
  <c r="J466" i="59"/>
  <c r="I466" i="59"/>
  <c r="F466" i="59"/>
  <c r="E466" i="59"/>
  <c r="D466" i="59"/>
  <c r="C466" i="59"/>
  <c r="B466" i="59"/>
  <c r="T465" i="59"/>
  <c r="M465" i="59"/>
  <c r="L465" i="59"/>
  <c r="J465" i="59"/>
  <c r="I465" i="59"/>
  <c r="F465" i="59"/>
  <c r="E465" i="59"/>
  <c r="D465" i="59"/>
  <c r="C465" i="59"/>
  <c r="B465" i="59"/>
  <c r="T464" i="59"/>
  <c r="M464" i="59"/>
  <c r="L464" i="59"/>
  <c r="J464" i="59"/>
  <c r="I464" i="59"/>
  <c r="F464" i="59"/>
  <c r="E464" i="59"/>
  <c r="D464" i="59"/>
  <c r="C464" i="59"/>
  <c r="B464" i="59"/>
  <c r="T463" i="59"/>
  <c r="M463" i="59"/>
  <c r="L463" i="59"/>
  <c r="J463" i="59"/>
  <c r="I463" i="59"/>
  <c r="F463" i="59"/>
  <c r="E463" i="59"/>
  <c r="D463" i="59"/>
  <c r="C463" i="59"/>
  <c r="B463" i="59"/>
  <c r="T462" i="59"/>
  <c r="M462" i="59"/>
  <c r="L462" i="59"/>
  <c r="J462" i="59"/>
  <c r="I462" i="59"/>
  <c r="F462" i="59"/>
  <c r="E462" i="59"/>
  <c r="D462" i="59"/>
  <c r="C462" i="59"/>
  <c r="B462" i="59"/>
  <c r="T461" i="59"/>
  <c r="M461" i="59"/>
  <c r="L461" i="59"/>
  <c r="J461" i="59"/>
  <c r="I461" i="59"/>
  <c r="F461" i="59"/>
  <c r="E461" i="59"/>
  <c r="D461" i="59"/>
  <c r="C461" i="59"/>
  <c r="B461" i="59"/>
  <c r="T460" i="59"/>
  <c r="M460" i="59"/>
  <c r="L460" i="59"/>
  <c r="J460" i="59"/>
  <c r="I460" i="59"/>
  <c r="F460" i="59"/>
  <c r="E460" i="59"/>
  <c r="D460" i="59"/>
  <c r="C460" i="59"/>
  <c r="B460" i="59"/>
  <c r="T459" i="59"/>
  <c r="M459" i="59"/>
  <c r="L459" i="59"/>
  <c r="J459" i="59"/>
  <c r="I459" i="59"/>
  <c r="F459" i="59"/>
  <c r="E459" i="59"/>
  <c r="D459" i="59"/>
  <c r="C459" i="59"/>
  <c r="B459" i="59"/>
  <c r="T458" i="59"/>
  <c r="M458" i="59"/>
  <c r="L458" i="59"/>
  <c r="J458" i="59"/>
  <c r="I458" i="59"/>
  <c r="F458" i="59"/>
  <c r="E458" i="59"/>
  <c r="D458" i="59"/>
  <c r="C458" i="59"/>
  <c r="B458" i="59"/>
  <c r="T457" i="59"/>
  <c r="M457" i="59"/>
  <c r="L457" i="59"/>
  <c r="J457" i="59"/>
  <c r="I457" i="59"/>
  <c r="F457" i="59"/>
  <c r="E457" i="59"/>
  <c r="D457" i="59"/>
  <c r="C457" i="59"/>
  <c r="B457" i="59"/>
  <c r="T456" i="59"/>
  <c r="M456" i="59"/>
  <c r="L456" i="59"/>
  <c r="J456" i="59"/>
  <c r="I456" i="59"/>
  <c r="F456" i="59"/>
  <c r="E456" i="59"/>
  <c r="D456" i="59"/>
  <c r="C456" i="59"/>
  <c r="B456" i="59"/>
  <c r="T455" i="59"/>
  <c r="M455" i="59"/>
  <c r="L455" i="59"/>
  <c r="J455" i="59"/>
  <c r="I455" i="59"/>
  <c r="F455" i="59"/>
  <c r="E455" i="59"/>
  <c r="D455" i="59"/>
  <c r="C455" i="59"/>
  <c r="B455" i="59"/>
  <c r="T454" i="59"/>
  <c r="M454" i="59"/>
  <c r="L454" i="59"/>
  <c r="J454" i="59"/>
  <c r="I454" i="59"/>
  <c r="F454" i="59"/>
  <c r="E454" i="59"/>
  <c r="D454" i="59"/>
  <c r="C454" i="59"/>
  <c r="B454" i="59"/>
  <c r="T453" i="59"/>
  <c r="M453" i="59"/>
  <c r="L453" i="59"/>
  <c r="J453" i="59"/>
  <c r="I453" i="59"/>
  <c r="F453" i="59"/>
  <c r="E453" i="59"/>
  <c r="D453" i="59"/>
  <c r="C453" i="59"/>
  <c r="B453" i="59"/>
  <c r="T452" i="59"/>
  <c r="M452" i="59"/>
  <c r="L452" i="59"/>
  <c r="J452" i="59"/>
  <c r="I452" i="59"/>
  <c r="F452" i="59"/>
  <c r="E452" i="59"/>
  <c r="D452" i="59"/>
  <c r="C452" i="59"/>
  <c r="B452" i="59"/>
  <c r="T451" i="59"/>
  <c r="M451" i="59"/>
  <c r="L451" i="59"/>
  <c r="J451" i="59"/>
  <c r="I451" i="59"/>
  <c r="F451" i="59"/>
  <c r="E451" i="59"/>
  <c r="D451" i="59"/>
  <c r="C451" i="59"/>
  <c r="B451" i="59"/>
  <c r="T450" i="59"/>
  <c r="M450" i="59"/>
  <c r="L450" i="59"/>
  <c r="J450" i="59"/>
  <c r="I450" i="59"/>
  <c r="F450" i="59"/>
  <c r="E450" i="59"/>
  <c r="D450" i="59"/>
  <c r="C450" i="59"/>
  <c r="B450" i="59"/>
  <c r="T449" i="59"/>
  <c r="M449" i="59"/>
  <c r="L449" i="59"/>
  <c r="J449" i="59"/>
  <c r="I449" i="59"/>
  <c r="F449" i="59"/>
  <c r="E449" i="59"/>
  <c r="D449" i="59"/>
  <c r="C449" i="59"/>
  <c r="B449" i="59"/>
  <c r="T448" i="59"/>
  <c r="M448" i="59"/>
  <c r="L448" i="59"/>
  <c r="J448" i="59"/>
  <c r="I448" i="59"/>
  <c r="F448" i="59"/>
  <c r="E448" i="59"/>
  <c r="D448" i="59"/>
  <c r="C448" i="59"/>
  <c r="B448" i="59"/>
  <c r="T447" i="59"/>
  <c r="M447" i="59"/>
  <c r="L447" i="59"/>
  <c r="J447" i="59"/>
  <c r="I447" i="59"/>
  <c r="F447" i="59"/>
  <c r="E447" i="59"/>
  <c r="D447" i="59"/>
  <c r="C447" i="59"/>
  <c r="B447" i="59"/>
  <c r="T446" i="59"/>
  <c r="M446" i="59"/>
  <c r="L446" i="59"/>
  <c r="J446" i="59"/>
  <c r="I446" i="59"/>
  <c r="F446" i="59"/>
  <c r="E446" i="59"/>
  <c r="D446" i="59"/>
  <c r="C446" i="59"/>
  <c r="B446" i="59"/>
  <c r="T445" i="59"/>
  <c r="M445" i="59"/>
  <c r="L445" i="59"/>
  <c r="J445" i="59"/>
  <c r="I445" i="59"/>
  <c r="F445" i="59"/>
  <c r="E445" i="59"/>
  <c r="D445" i="59"/>
  <c r="C445" i="59"/>
  <c r="B445" i="59"/>
  <c r="T444" i="59"/>
  <c r="M444" i="59"/>
  <c r="L444" i="59"/>
  <c r="J444" i="59"/>
  <c r="I444" i="59"/>
  <c r="F444" i="59"/>
  <c r="E444" i="59"/>
  <c r="D444" i="59"/>
  <c r="C444" i="59"/>
  <c r="B444" i="59"/>
  <c r="T443" i="59"/>
  <c r="M443" i="59"/>
  <c r="L443" i="59"/>
  <c r="J443" i="59"/>
  <c r="I443" i="59"/>
  <c r="F443" i="59"/>
  <c r="E443" i="59"/>
  <c r="D443" i="59"/>
  <c r="C443" i="59"/>
  <c r="B443" i="59"/>
  <c r="T442" i="59"/>
  <c r="M442" i="59"/>
  <c r="L442" i="59"/>
  <c r="J442" i="59"/>
  <c r="I442" i="59"/>
  <c r="F442" i="59"/>
  <c r="E442" i="59"/>
  <c r="D442" i="59"/>
  <c r="C442" i="59"/>
  <c r="B442" i="59"/>
  <c r="T441" i="59"/>
  <c r="M441" i="59"/>
  <c r="L441" i="59"/>
  <c r="J441" i="59"/>
  <c r="I441" i="59"/>
  <c r="F441" i="59"/>
  <c r="E441" i="59"/>
  <c r="D441" i="59"/>
  <c r="C441" i="59"/>
  <c r="B441" i="59"/>
  <c r="T440" i="59"/>
  <c r="M440" i="59"/>
  <c r="L440" i="59"/>
  <c r="J440" i="59"/>
  <c r="I440" i="59"/>
  <c r="F440" i="59"/>
  <c r="E440" i="59"/>
  <c r="D440" i="59"/>
  <c r="C440" i="59"/>
  <c r="B440" i="59"/>
  <c r="T439" i="59"/>
  <c r="M439" i="59"/>
  <c r="L439" i="59"/>
  <c r="J439" i="59"/>
  <c r="I439" i="59"/>
  <c r="F439" i="59"/>
  <c r="E439" i="59"/>
  <c r="D439" i="59"/>
  <c r="C439" i="59"/>
  <c r="B439" i="59"/>
  <c r="T438" i="59"/>
  <c r="M438" i="59"/>
  <c r="L438" i="59"/>
  <c r="J438" i="59"/>
  <c r="I438" i="59"/>
  <c r="F438" i="59"/>
  <c r="E438" i="59"/>
  <c r="D438" i="59"/>
  <c r="C438" i="59"/>
  <c r="B438" i="59"/>
  <c r="T437" i="59"/>
  <c r="M437" i="59"/>
  <c r="L437" i="59"/>
  <c r="J437" i="59"/>
  <c r="I437" i="59"/>
  <c r="F437" i="59"/>
  <c r="E437" i="59"/>
  <c r="D437" i="59"/>
  <c r="C437" i="59"/>
  <c r="B437" i="59"/>
  <c r="T436" i="59"/>
  <c r="M436" i="59"/>
  <c r="L436" i="59"/>
  <c r="J436" i="59"/>
  <c r="I436" i="59"/>
  <c r="F436" i="59"/>
  <c r="E436" i="59"/>
  <c r="D436" i="59"/>
  <c r="C436" i="59"/>
  <c r="B436" i="59"/>
  <c r="T435" i="59"/>
  <c r="M435" i="59"/>
  <c r="L435" i="59"/>
  <c r="J435" i="59"/>
  <c r="I435" i="59"/>
  <c r="F435" i="59"/>
  <c r="E435" i="59"/>
  <c r="D435" i="59"/>
  <c r="C435" i="59"/>
  <c r="B435" i="59"/>
  <c r="T434" i="59"/>
  <c r="M434" i="59"/>
  <c r="L434" i="59"/>
  <c r="J434" i="59"/>
  <c r="I434" i="59"/>
  <c r="F434" i="59"/>
  <c r="E434" i="59"/>
  <c r="D434" i="59"/>
  <c r="C434" i="59"/>
  <c r="B434" i="59"/>
  <c r="T433" i="59"/>
  <c r="M433" i="59"/>
  <c r="L433" i="59"/>
  <c r="J433" i="59"/>
  <c r="I433" i="59"/>
  <c r="F433" i="59"/>
  <c r="E433" i="59"/>
  <c r="D433" i="59"/>
  <c r="C433" i="59"/>
  <c r="B433" i="59"/>
  <c r="T432" i="59"/>
  <c r="M432" i="59"/>
  <c r="L432" i="59"/>
  <c r="J432" i="59"/>
  <c r="I432" i="59"/>
  <c r="F432" i="59"/>
  <c r="E432" i="59"/>
  <c r="D432" i="59"/>
  <c r="C432" i="59"/>
  <c r="B432" i="59"/>
  <c r="T431" i="59"/>
  <c r="M431" i="59"/>
  <c r="L431" i="59"/>
  <c r="J431" i="59"/>
  <c r="I431" i="59"/>
  <c r="F431" i="59"/>
  <c r="E431" i="59"/>
  <c r="D431" i="59"/>
  <c r="C431" i="59"/>
  <c r="B431" i="59"/>
  <c r="T430" i="59"/>
  <c r="M430" i="59"/>
  <c r="L430" i="59"/>
  <c r="J430" i="59"/>
  <c r="I430" i="59"/>
  <c r="F430" i="59"/>
  <c r="E430" i="59"/>
  <c r="D430" i="59"/>
  <c r="C430" i="59"/>
  <c r="B430" i="59"/>
  <c r="T429" i="59"/>
  <c r="M429" i="59"/>
  <c r="L429" i="59"/>
  <c r="J429" i="59"/>
  <c r="I429" i="59"/>
  <c r="F429" i="59"/>
  <c r="E429" i="59"/>
  <c r="D429" i="59"/>
  <c r="C429" i="59"/>
  <c r="B429" i="59"/>
  <c r="T428" i="59"/>
  <c r="M428" i="59"/>
  <c r="L428" i="59"/>
  <c r="J428" i="59"/>
  <c r="I428" i="59"/>
  <c r="F428" i="59"/>
  <c r="E428" i="59"/>
  <c r="D428" i="59"/>
  <c r="C428" i="59"/>
  <c r="B428" i="59"/>
  <c r="T427" i="59"/>
  <c r="M427" i="59"/>
  <c r="L427" i="59"/>
  <c r="J427" i="59"/>
  <c r="I427" i="59"/>
  <c r="F427" i="59"/>
  <c r="E427" i="59"/>
  <c r="D427" i="59"/>
  <c r="C427" i="59"/>
  <c r="B427" i="59"/>
  <c r="T426" i="59"/>
  <c r="M426" i="59"/>
  <c r="L426" i="59"/>
  <c r="J426" i="59"/>
  <c r="I426" i="59"/>
  <c r="F426" i="59"/>
  <c r="E426" i="59"/>
  <c r="D426" i="59"/>
  <c r="C426" i="59"/>
  <c r="B426" i="59"/>
  <c r="T425" i="59"/>
  <c r="M425" i="59"/>
  <c r="L425" i="59"/>
  <c r="J425" i="59"/>
  <c r="I425" i="59"/>
  <c r="F425" i="59"/>
  <c r="E425" i="59"/>
  <c r="D425" i="59"/>
  <c r="C425" i="59"/>
  <c r="B425" i="59"/>
  <c r="T424" i="59"/>
  <c r="M424" i="59"/>
  <c r="L424" i="59"/>
  <c r="J424" i="59"/>
  <c r="I424" i="59"/>
  <c r="F424" i="59"/>
  <c r="E424" i="59"/>
  <c r="D424" i="59"/>
  <c r="C424" i="59"/>
  <c r="B424" i="59"/>
  <c r="T423" i="59"/>
  <c r="M423" i="59"/>
  <c r="L423" i="59"/>
  <c r="J423" i="59"/>
  <c r="I423" i="59"/>
  <c r="F423" i="59"/>
  <c r="E423" i="59"/>
  <c r="D423" i="59"/>
  <c r="C423" i="59"/>
  <c r="B423" i="59"/>
  <c r="T422" i="59"/>
  <c r="M422" i="59"/>
  <c r="L422" i="59"/>
  <c r="J422" i="59"/>
  <c r="I422" i="59"/>
  <c r="F422" i="59"/>
  <c r="E422" i="59"/>
  <c r="D422" i="59"/>
  <c r="C422" i="59"/>
  <c r="B422" i="59"/>
  <c r="T421" i="59"/>
  <c r="M421" i="59"/>
  <c r="L421" i="59"/>
  <c r="J421" i="59"/>
  <c r="I421" i="59"/>
  <c r="F421" i="59"/>
  <c r="E421" i="59"/>
  <c r="D421" i="59"/>
  <c r="C421" i="59"/>
  <c r="B421" i="59"/>
  <c r="T420" i="59"/>
  <c r="M420" i="59"/>
  <c r="L420" i="59"/>
  <c r="J420" i="59"/>
  <c r="I420" i="59"/>
  <c r="F420" i="59"/>
  <c r="E420" i="59"/>
  <c r="D420" i="59"/>
  <c r="C420" i="59"/>
  <c r="B420" i="59"/>
  <c r="T419" i="59"/>
  <c r="M419" i="59"/>
  <c r="L419" i="59"/>
  <c r="J419" i="59"/>
  <c r="I419" i="59"/>
  <c r="F419" i="59"/>
  <c r="E419" i="59"/>
  <c r="D419" i="59"/>
  <c r="C419" i="59"/>
  <c r="B419" i="59"/>
  <c r="T418" i="59"/>
  <c r="M418" i="59"/>
  <c r="L418" i="59"/>
  <c r="J418" i="59"/>
  <c r="I418" i="59"/>
  <c r="F418" i="59"/>
  <c r="E418" i="59"/>
  <c r="D418" i="59"/>
  <c r="C418" i="59"/>
  <c r="B418" i="59"/>
  <c r="T417" i="59"/>
  <c r="M417" i="59"/>
  <c r="L417" i="59"/>
  <c r="J417" i="59"/>
  <c r="I417" i="59"/>
  <c r="F417" i="59"/>
  <c r="E417" i="59"/>
  <c r="D417" i="59"/>
  <c r="C417" i="59"/>
  <c r="T415" i="59"/>
  <c r="M415" i="59"/>
  <c r="L415" i="59"/>
  <c r="J415" i="59"/>
  <c r="I415" i="59"/>
  <c r="F415" i="59"/>
  <c r="E415" i="59"/>
  <c r="D415" i="59"/>
  <c r="C415" i="59"/>
  <c r="B415" i="59"/>
  <c r="T414" i="59"/>
  <c r="M414" i="59"/>
  <c r="L414" i="59"/>
  <c r="J414" i="59"/>
  <c r="I414" i="59"/>
  <c r="F414" i="59"/>
  <c r="E414" i="59"/>
  <c r="D414" i="59"/>
  <c r="C414" i="59"/>
  <c r="B414" i="59"/>
  <c r="T413" i="59"/>
  <c r="M413" i="59"/>
  <c r="L413" i="59"/>
  <c r="J413" i="59"/>
  <c r="I413" i="59"/>
  <c r="F413" i="59"/>
  <c r="E413" i="59"/>
  <c r="D413" i="59"/>
  <c r="C413" i="59"/>
  <c r="B413" i="59"/>
  <c r="T412" i="59"/>
  <c r="M412" i="59"/>
  <c r="L412" i="59"/>
  <c r="J412" i="59"/>
  <c r="I412" i="59"/>
  <c r="F412" i="59"/>
  <c r="E412" i="59"/>
  <c r="D412" i="59"/>
  <c r="C412" i="59"/>
  <c r="B412" i="59"/>
  <c r="T411" i="59"/>
  <c r="M411" i="59"/>
  <c r="L411" i="59"/>
  <c r="J411" i="59"/>
  <c r="I411" i="59"/>
  <c r="F411" i="59"/>
  <c r="E411" i="59"/>
  <c r="D411" i="59"/>
  <c r="C411" i="59"/>
  <c r="B411" i="59"/>
  <c r="T410" i="59"/>
  <c r="M410" i="59"/>
  <c r="L410" i="59"/>
  <c r="J410" i="59"/>
  <c r="I410" i="59"/>
  <c r="F410" i="59"/>
  <c r="E410" i="59"/>
  <c r="D410" i="59"/>
  <c r="C410" i="59"/>
  <c r="B410" i="59"/>
  <c r="T409" i="59"/>
  <c r="M409" i="59"/>
  <c r="L409" i="59"/>
  <c r="J409" i="59"/>
  <c r="I409" i="59"/>
  <c r="F409" i="59"/>
  <c r="E409" i="59"/>
  <c r="D409" i="59"/>
  <c r="C409" i="59"/>
  <c r="B409" i="59"/>
  <c r="T408" i="59"/>
  <c r="M408" i="59"/>
  <c r="L408" i="59"/>
  <c r="J408" i="59"/>
  <c r="I408" i="59"/>
  <c r="F408" i="59"/>
  <c r="E408" i="59"/>
  <c r="D408" i="59"/>
  <c r="C408" i="59"/>
  <c r="B408" i="59"/>
  <c r="T407" i="59"/>
  <c r="M407" i="59"/>
  <c r="L407" i="59"/>
  <c r="J407" i="59"/>
  <c r="I407" i="59"/>
  <c r="F407" i="59"/>
  <c r="E407" i="59"/>
  <c r="D407" i="59"/>
  <c r="C407" i="59"/>
  <c r="B407" i="59"/>
  <c r="T406" i="59"/>
  <c r="M406" i="59"/>
  <c r="L406" i="59"/>
  <c r="J406" i="59"/>
  <c r="I406" i="59"/>
  <c r="F406" i="59"/>
  <c r="E406" i="59"/>
  <c r="D406" i="59"/>
  <c r="C406" i="59"/>
  <c r="B406" i="59"/>
  <c r="T405" i="59"/>
  <c r="M405" i="59"/>
  <c r="L405" i="59"/>
  <c r="J405" i="59"/>
  <c r="I405" i="59"/>
  <c r="F405" i="59"/>
  <c r="E405" i="59"/>
  <c r="D405" i="59"/>
  <c r="C405" i="59"/>
  <c r="B405" i="59"/>
  <c r="T404" i="59"/>
  <c r="M404" i="59"/>
  <c r="L404" i="59"/>
  <c r="J404" i="59"/>
  <c r="I404" i="59"/>
  <c r="F404" i="59"/>
  <c r="E404" i="59"/>
  <c r="D404" i="59"/>
  <c r="C404" i="59"/>
  <c r="B404" i="59"/>
  <c r="T403" i="59"/>
  <c r="M403" i="59"/>
  <c r="L403" i="59"/>
  <c r="J403" i="59"/>
  <c r="I403" i="59"/>
  <c r="F403" i="59"/>
  <c r="E403" i="59"/>
  <c r="D403" i="59"/>
  <c r="C403" i="59"/>
  <c r="B403" i="59"/>
  <c r="T402" i="59"/>
  <c r="M402" i="59"/>
  <c r="L402" i="59"/>
  <c r="J402" i="59"/>
  <c r="I402" i="59"/>
  <c r="F402" i="59"/>
  <c r="E402" i="59"/>
  <c r="D402" i="59"/>
  <c r="C402" i="59"/>
  <c r="B402" i="59"/>
  <c r="T401" i="59"/>
  <c r="M401" i="59"/>
  <c r="L401" i="59"/>
  <c r="J401" i="59"/>
  <c r="I401" i="59"/>
  <c r="F401" i="59"/>
  <c r="E401" i="59"/>
  <c r="D401" i="59"/>
  <c r="C401" i="59"/>
  <c r="B401" i="59"/>
  <c r="T400" i="59"/>
  <c r="M400" i="59"/>
  <c r="L400" i="59"/>
  <c r="J400" i="59"/>
  <c r="I400" i="59"/>
  <c r="F400" i="59"/>
  <c r="E400" i="59"/>
  <c r="D400" i="59"/>
  <c r="C400" i="59"/>
  <c r="B400" i="59"/>
  <c r="T399" i="59"/>
  <c r="M399" i="59"/>
  <c r="J399" i="59"/>
  <c r="I399" i="59"/>
  <c r="F399" i="59"/>
  <c r="E399" i="59"/>
  <c r="D399" i="59"/>
  <c r="C399" i="59"/>
  <c r="B399" i="59"/>
  <c r="T398" i="59"/>
  <c r="M398" i="59"/>
  <c r="L398" i="59"/>
  <c r="J398" i="59"/>
  <c r="I398" i="59"/>
  <c r="F398" i="59"/>
  <c r="E398" i="59"/>
  <c r="D398" i="59"/>
  <c r="C398" i="59"/>
  <c r="B398" i="59"/>
  <c r="T397" i="59"/>
  <c r="M397" i="59"/>
  <c r="L397" i="59"/>
  <c r="J397" i="59"/>
  <c r="I397" i="59"/>
  <c r="F397" i="59"/>
  <c r="E397" i="59"/>
  <c r="D397" i="59"/>
  <c r="C397" i="59"/>
  <c r="B397" i="59"/>
  <c r="T396" i="59"/>
  <c r="M396" i="59"/>
  <c r="L396" i="59"/>
  <c r="J396" i="59"/>
  <c r="I396" i="59"/>
  <c r="F396" i="59"/>
  <c r="E396" i="59"/>
  <c r="D396" i="59"/>
  <c r="C396" i="59"/>
  <c r="B396" i="59"/>
  <c r="T395" i="59"/>
  <c r="M395" i="59"/>
  <c r="L395" i="59"/>
  <c r="J395" i="59"/>
  <c r="I395" i="59"/>
  <c r="F395" i="59"/>
  <c r="E395" i="59"/>
  <c r="D395" i="59"/>
  <c r="C395" i="59"/>
  <c r="B395" i="59"/>
  <c r="T394" i="59"/>
  <c r="M394" i="59"/>
  <c r="L394" i="59"/>
  <c r="J394" i="59"/>
  <c r="I394" i="59"/>
  <c r="F394" i="59"/>
  <c r="E394" i="59"/>
  <c r="D394" i="59"/>
  <c r="C394" i="59"/>
  <c r="B394" i="59"/>
  <c r="T393" i="59"/>
  <c r="M393" i="59"/>
  <c r="L393" i="59"/>
  <c r="J393" i="59"/>
  <c r="I393" i="59"/>
  <c r="F393" i="59"/>
  <c r="E393" i="59"/>
  <c r="D393" i="59"/>
  <c r="C393" i="59"/>
  <c r="B393" i="59"/>
  <c r="T392" i="59"/>
  <c r="M392" i="59"/>
  <c r="L392" i="59"/>
  <c r="J392" i="59"/>
  <c r="I392" i="59"/>
  <c r="F392" i="59"/>
  <c r="E392" i="59"/>
  <c r="D392" i="59"/>
  <c r="C392" i="59"/>
  <c r="B392" i="59"/>
  <c r="T391" i="59"/>
  <c r="M391" i="59"/>
  <c r="L391" i="59"/>
  <c r="J391" i="59"/>
  <c r="I391" i="59"/>
  <c r="F391" i="59"/>
  <c r="E391" i="59"/>
  <c r="D391" i="59"/>
  <c r="C391" i="59"/>
  <c r="B391" i="59"/>
  <c r="T390" i="59"/>
  <c r="M390" i="59"/>
  <c r="L390" i="59"/>
  <c r="J390" i="59"/>
  <c r="I390" i="59"/>
  <c r="F390" i="59"/>
  <c r="E390" i="59"/>
  <c r="D390" i="59"/>
  <c r="C390" i="59"/>
  <c r="B390" i="59"/>
  <c r="T389" i="59"/>
  <c r="M389" i="59"/>
  <c r="L389" i="59"/>
  <c r="J389" i="59"/>
  <c r="I389" i="59"/>
  <c r="F389" i="59"/>
  <c r="E389" i="59"/>
  <c r="D389" i="59"/>
  <c r="C389" i="59"/>
  <c r="B389" i="59"/>
  <c r="T388" i="59"/>
  <c r="M388" i="59"/>
  <c r="L388" i="59"/>
  <c r="J388" i="59"/>
  <c r="I388" i="59"/>
  <c r="F388" i="59"/>
  <c r="E388" i="59"/>
  <c r="D388" i="59"/>
  <c r="C388" i="59"/>
  <c r="B388" i="59"/>
  <c r="T387" i="59"/>
  <c r="M387" i="59"/>
  <c r="L387" i="59"/>
  <c r="J387" i="59"/>
  <c r="I387" i="59"/>
  <c r="F387" i="59"/>
  <c r="E387" i="59"/>
  <c r="D387" i="59"/>
  <c r="C387" i="59"/>
  <c r="B387" i="59"/>
  <c r="T386" i="59"/>
  <c r="M386" i="59"/>
  <c r="L386" i="59"/>
  <c r="J386" i="59"/>
  <c r="I386" i="59"/>
  <c r="F386" i="59"/>
  <c r="E386" i="59"/>
  <c r="D386" i="59"/>
  <c r="C386" i="59"/>
  <c r="B386" i="59"/>
  <c r="T385" i="59"/>
  <c r="M385" i="59"/>
  <c r="L385" i="59"/>
  <c r="J385" i="59"/>
  <c r="I385" i="59"/>
  <c r="F385" i="59"/>
  <c r="E385" i="59"/>
  <c r="D385" i="59"/>
  <c r="C385" i="59"/>
  <c r="B385" i="59"/>
  <c r="T384" i="59"/>
  <c r="M384" i="59"/>
  <c r="L384" i="59"/>
  <c r="J384" i="59"/>
  <c r="I384" i="59"/>
  <c r="F384" i="59"/>
  <c r="E384" i="59"/>
  <c r="D384" i="59"/>
  <c r="C384" i="59"/>
  <c r="B384" i="59"/>
  <c r="T383" i="59"/>
  <c r="M383" i="59"/>
  <c r="L383" i="59"/>
  <c r="J383" i="59"/>
  <c r="I383" i="59"/>
  <c r="F383" i="59"/>
  <c r="E383" i="59"/>
  <c r="D383" i="59"/>
  <c r="C383" i="59"/>
  <c r="B383" i="59"/>
  <c r="T382" i="59"/>
  <c r="M382" i="59"/>
  <c r="L382" i="59"/>
  <c r="J382" i="59"/>
  <c r="I382" i="59"/>
  <c r="F382" i="59"/>
  <c r="E382" i="59"/>
  <c r="D382" i="59"/>
  <c r="C382" i="59"/>
  <c r="B382" i="59"/>
  <c r="T381" i="59"/>
  <c r="M381" i="59"/>
  <c r="L381" i="59"/>
  <c r="J381" i="59"/>
  <c r="I381" i="59"/>
  <c r="F381" i="59"/>
  <c r="E381" i="59"/>
  <c r="D381" i="59"/>
  <c r="C381" i="59"/>
  <c r="B381" i="59"/>
  <c r="T380" i="59"/>
  <c r="M380" i="59"/>
  <c r="L380" i="59"/>
  <c r="J380" i="59"/>
  <c r="I380" i="59"/>
  <c r="F380" i="59"/>
  <c r="E380" i="59"/>
  <c r="D380" i="59"/>
  <c r="C380" i="59"/>
  <c r="B380" i="59"/>
  <c r="T379" i="59"/>
  <c r="M379" i="59"/>
  <c r="L379" i="59"/>
  <c r="J379" i="59"/>
  <c r="I379" i="59"/>
  <c r="F379" i="59"/>
  <c r="E379" i="59"/>
  <c r="D379" i="59"/>
  <c r="C379" i="59"/>
  <c r="B379" i="59"/>
  <c r="T378" i="59"/>
  <c r="M378" i="59"/>
  <c r="L378" i="59"/>
  <c r="J378" i="59"/>
  <c r="I378" i="59"/>
  <c r="F378" i="59"/>
  <c r="E378" i="59"/>
  <c r="D378" i="59"/>
  <c r="C378" i="59"/>
  <c r="B378" i="59"/>
  <c r="T377" i="59"/>
  <c r="M377" i="59"/>
  <c r="L377" i="59"/>
  <c r="J377" i="59"/>
  <c r="I377" i="59"/>
  <c r="F377" i="59"/>
  <c r="E377" i="59"/>
  <c r="D377" i="59"/>
  <c r="C377" i="59"/>
  <c r="B377" i="59"/>
  <c r="T376" i="59"/>
  <c r="M376" i="59"/>
  <c r="L376" i="59"/>
  <c r="J376" i="59"/>
  <c r="I376" i="59"/>
  <c r="F376" i="59"/>
  <c r="E376" i="59"/>
  <c r="D376" i="59"/>
  <c r="C376" i="59"/>
  <c r="B376" i="59"/>
  <c r="T375" i="59"/>
  <c r="M375" i="59"/>
  <c r="L375" i="59"/>
  <c r="J375" i="59"/>
  <c r="I375" i="59"/>
  <c r="F375" i="59"/>
  <c r="E375" i="59"/>
  <c r="D375" i="59"/>
  <c r="C375" i="59"/>
  <c r="B375" i="59"/>
  <c r="T374" i="59"/>
  <c r="M374" i="59"/>
  <c r="L374" i="59"/>
  <c r="J374" i="59"/>
  <c r="I374" i="59"/>
  <c r="F374" i="59"/>
  <c r="E374" i="59"/>
  <c r="D374" i="59"/>
  <c r="C374" i="59"/>
  <c r="B374" i="59"/>
  <c r="T373" i="59"/>
  <c r="M373" i="59"/>
  <c r="L373" i="59"/>
  <c r="J373" i="59"/>
  <c r="I373" i="59"/>
  <c r="F373" i="59"/>
  <c r="E373" i="59"/>
  <c r="D373" i="59"/>
  <c r="C373" i="59"/>
  <c r="B373" i="59"/>
  <c r="T372" i="59"/>
  <c r="M372" i="59"/>
  <c r="L372" i="59"/>
  <c r="J372" i="59"/>
  <c r="I372" i="59"/>
  <c r="F372" i="59"/>
  <c r="E372" i="59"/>
  <c r="D372" i="59"/>
  <c r="C372" i="59"/>
  <c r="B372" i="59"/>
  <c r="T371" i="59"/>
  <c r="M371" i="59"/>
  <c r="L371" i="59"/>
  <c r="J371" i="59"/>
  <c r="I371" i="59"/>
  <c r="F371" i="59"/>
  <c r="E371" i="59"/>
  <c r="D371" i="59"/>
  <c r="C371" i="59"/>
  <c r="B371" i="59"/>
  <c r="T370" i="59"/>
  <c r="M370" i="59"/>
  <c r="L370" i="59"/>
  <c r="J370" i="59"/>
  <c r="I370" i="59"/>
  <c r="F370" i="59"/>
  <c r="E370" i="59"/>
  <c r="D370" i="59"/>
  <c r="C370" i="59"/>
  <c r="B370" i="59"/>
  <c r="T369" i="59"/>
  <c r="M369" i="59"/>
  <c r="L369" i="59"/>
  <c r="J369" i="59"/>
  <c r="I369" i="59"/>
  <c r="F369" i="59"/>
  <c r="E369" i="59"/>
  <c r="D369" i="59"/>
  <c r="C369" i="59"/>
  <c r="B369" i="59"/>
  <c r="T368" i="59"/>
  <c r="M368" i="59"/>
  <c r="L368" i="59"/>
  <c r="J368" i="59"/>
  <c r="I368" i="59"/>
  <c r="F368" i="59"/>
  <c r="E368" i="59"/>
  <c r="D368" i="59"/>
  <c r="C368" i="59"/>
  <c r="B368" i="59"/>
  <c r="T367" i="59"/>
  <c r="M367" i="59"/>
  <c r="L367" i="59"/>
  <c r="J367" i="59"/>
  <c r="I367" i="59"/>
  <c r="F367" i="59"/>
  <c r="E367" i="59"/>
  <c r="D367" i="59"/>
  <c r="C367" i="59"/>
  <c r="B367" i="59"/>
  <c r="T366" i="59"/>
  <c r="M366" i="59"/>
  <c r="L366" i="59"/>
  <c r="J366" i="59"/>
  <c r="I366" i="59"/>
  <c r="F366" i="59"/>
  <c r="E366" i="59"/>
  <c r="D366" i="59"/>
  <c r="C366" i="59"/>
  <c r="B366" i="59"/>
  <c r="T365" i="59"/>
  <c r="M365" i="59"/>
  <c r="L365" i="59"/>
  <c r="J365" i="59"/>
  <c r="I365" i="59"/>
  <c r="F365" i="59"/>
  <c r="E365" i="59"/>
  <c r="D365" i="59"/>
  <c r="C365" i="59"/>
  <c r="B365" i="59"/>
  <c r="T364" i="59"/>
  <c r="M364" i="59"/>
  <c r="L364" i="59"/>
  <c r="J364" i="59"/>
  <c r="I364" i="59"/>
  <c r="F364" i="59"/>
  <c r="E364" i="59"/>
  <c r="D364" i="59"/>
  <c r="C364" i="59"/>
  <c r="B364" i="59"/>
  <c r="T363" i="59"/>
  <c r="M363" i="59"/>
  <c r="L363" i="59"/>
  <c r="J363" i="59"/>
  <c r="I363" i="59"/>
  <c r="F363" i="59"/>
  <c r="E363" i="59"/>
  <c r="D363" i="59"/>
  <c r="C363" i="59"/>
  <c r="B363" i="59"/>
  <c r="T362" i="59"/>
  <c r="M362" i="59"/>
  <c r="L362" i="59"/>
  <c r="J362" i="59"/>
  <c r="I362" i="59"/>
  <c r="F362" i="59"/>
  <c r="E362" i="59"/>
  <c r="D362" i="59"/>
  <c r="C362" i="59"/>
  <c r="B362" i="59"/>
  <c r="T361" i="59"/>
  <c r="M361" i="59"/>
  <c r="L361" i="59"/>
  <c r="J361" i="59"/>
  <c r="I361" i="59"/>
  <c r="F361" i="59"/>
  <c r="E361" i="59"/>
  <c r="D361" i="59"/>
  <c r="C361" i="59"/>
  <c r="B361" i="59"/>
  <c r="T360" i="59"/>
  <c r="M360" i="59"/>
  <c r="L360" i="59"/>
  <c r="J360" i="59"/>
  <c r="I360" i="59"/>
  <c r="F360" i="59"/>
  <c r="E360" i="59"/>
  <c r="D360" i="59"/>
  <c r="C360" i="59"/>
  <c r="B360" i="59"/>
  <c r="T359" i="59"/>
  <c r="M359" i="59"/>
  <c r="L359" i="59"/>
  <c r="J359" i="59"/>
  <c r="I359" i="59"/>
  <c r="F359" i="59"/>
  <c r="E359" i="59"/>
  <c r="D359" i="59"/>
  <c r="C359" i="59"/>
  <c r="B359" i="59"/>
  <c r="T358" i="59"/>
  <c r="M358" i="59"/>
  <c r="L358" i="59"/>
  <c r="J358" i="59"/>
  <c r="I358" i="59"/>
  <c r="F358" i="59"/>
  <c r="E358" i="59"/>
  <c r="D358" i="59"/>
  <c r="C358" i="59"/>
  <c r="B358" i="59"/>
  <c r="T357" i="59"/>
  <c r="M357" i="59"/>
  <c r="L357" i="59"/>
  <c r="J357" i="59"/>
  <c r="I357" i="59"/>
  <c r="F357" i="59"/>
  <c r="E357" i="59"/>
  <c r="D357" i="59"/>
  <c r="C357" i="59"/>
  <c r="B357" i="59"/>
  <c r="T356" i="59"/>
  <c r="M356" i="59"/>
  <c r="L356" i="59"/>
  <c r="J356" i="59"/>
  <c r="I356" i="59"/>
  <c r="F356" i="59"/>
  <c r="E356" i="59"/>
  <c r="D356" i="59"/>
  <c r="C356" i="59"/>
  <c r="B356" i="59"/>
  <c r="T355" i="59"/>
  <c r="M355" i="59"/>
  <c r="L355" i="59"/>
  <c r="J355" i="59"/>
  <c r="I355" i="59"/>
  <c r="F355" i="59"/>
  <c r="E355" i="59"/>
  <c r="D355" i="59"/>
  <c r="C355" i="59"/>
  <c r="B355" i="59"/>
  <c r="T354" i="59"/>
  <c r="M354" i="59"/>
  <c r="L354" i="59"/>
  <c r="J354" i="59"/>
  <c r="I354" i="59"/>
  <c r="F354" i="59"/>
  <c r="E354" i="59"/>
  <c r="D354" i="59"/>
  <c r="C354" i="59"/>
  <c r="B354" i="59"/>
  <c r="T353" i="59"/>
  <c r="M353" i="59"/>
  <c r="L353" i="59"/>
  <c r="J353" i="59"/>
  <c r="I353" i="59"/>
  <c r="F353" i="59"/>
  <c r="E353" i="59"/>
  <c r="D353" i="59"/>
  <c r="C353" i="59"/>
  <c r="B353" i="59"/>
  <c r="T352" i="59"/>
  <c r="M352" i="59"/>
  <c r="L352" i="59"/>
  <c r="J352" i="59"/>
  <c r="I352" i="59"/>
  <c r="F352" i="59"/>
  <c r="E352" i="59"/>
  <c r="D352" i="59"/>
  <c r="C352" i="59"/>
  <c r="B352" i="59"/>
  <c r="T351" i="59"/>
  <c r="M351" i="59"/>
  <c r="L351" i="59"/>
  <c r="J351" i="59"/>
  <c r="I351" i="59"/>
  <c r="F351" i="59"/>
  <c r="E351" i="59"/>
  <c r="D351" i="59"/>
  <c r="C351" i="59"/>
  <c r="B351" i="59"/>
  <c r="T349" i="59"/>
  <c r="M349" i="59"/>
  <c r="L349" i="59"/>
  <c r="J349" i="59"/>
  <c r="I349" i="59"/>
  <c r="F349" i="59"/>
  <c r="E349" i="59"/>
  <c r="D349" i="59"/>
  <c r="C349" i="59"/>
  <c r="B349" i="59"/>
  <c r="T348" i="59"/>
  <c r="M348" i="59"/>
  <c r="L348" i="59"/>
  <c r="J348" i="59"/>
  <c r="I348" i="59"/>
  <c r="F348" i="59"/>
  <c r="E348" i="59"/>
  <c r="D348" i="59"/>
  <c r="C348" i="59"/>
  <c r="B348" i="59"/>
  <c r="T347" i="59"/>
  <c r="M347" i="59"/>
  <c r="L347" i="59"/>
  <c r="J347" i="59"/>
  <c r="I347" i="59"/>
  <c r="F347" i="59"/>
  <c r="E347" i="59"/>
  <c r="D347" i="59"/>
  <c r="C347" i="59"/>
  <c r="B347" i="59"/>
  <c r="T346" i="59"/>
  <c r="M346" i="59"/>
  <c r="L346" i="59"/>
  <c r="J346" i="59"/>
  <c r="I346" i="59"/>
  <c r="F346" i="59"/>
  <c r="E346" i="59"/>
  <c r="D346" i="59"/>
  <c r="C346" i="59"/>
  <c r="B346" i="59"/>
  <c r="T345" i="59"/>
  <c r="M345" i="59"/>
  <c r="L345" i="59"/>
  <c r="J345" i="59"/>
  <c r="I345" i="59"/>
  <c r="F345" i="59"/>
  <c r="E345" i="59"/>
  <c r="D345" i="59"/>
  <c r="C345" i="59"/>
  <c r="B345" i="59"/>
  <c r="T344" i="59"/>
  <c r="M344" i="59"/>
  <c r="L344" i="59"/>
  <c r="J344" i="59"/>
  <c r="I344" i="59"/>
  <c r="F344" i="59"/>
  <c r="E344" i="59"/>
  <c r="D344" i="59"/>
  <c r="C344" i="59"/>
  <c r="B344" i="59"/>
  <c r="T343" i="59"/>
  <c r="M343" i="59"/>
  <c r="L343" i="59"/>
  <c r="J343" i="59"/>
  <c r="I343" i="59"/>
  <c r="F343" i="59"/>
  <c r="E343" i="59"/>
  <c r="D343" i="59"/>
  <c r="C343" i="59"/>
  <c r="B343" i="59"/>
  <c r="T342" i="59"/>
  <c r="M342" i="59"/>
  <c r="L342" i="59"/>
  <c r="J342" i="59"/>
  <c r="I342" i="59"/>
  <c r="F342" i="59"/>
  <c r="E342" i="59"/>
  <c r="D342" i="59"/>
  <c r="C342" i="59"/>
  <c r="B342" i="59"/>
  <c r="T341" i="59"/>
  <c r="M341" i="59"/>
  <c r="L341" i="59"/>
  <c r="J341" i="59"/>
  <c r="I341" i="59"/>
  <c r="F341" i="59"/>
  <c r="E341" i="59"/>
  <c r="D341" i="59"/>
  <c r="C341" i="59"/>
  <c r="B341" i="59"/>
  <c r="T340" i="59"/>
  <c r="M340" i="59"/>
  <c r="L340" i="59"/>
  <c r="J340" i="59"/>
  <c r="I340" i="59"/>
  <c r="F340" i="59"/>
  <c r="E340" i="59"/>
  <c r="D340" i="59"/>
  <c r="C340" i="59"/>
  <c r="B340" i="59"/>
  <c r="T339" i="59"/>
  <c r="M339" i="59"/>
  <c r="L339" i="59"/>
  <c r="J339" i="59"/>
  <c r="I339" i="59"/>
  <c r="F339" i="59"/>
  <c r="E339" i="59"/>
  <c r="D339" i="59"/>
  <c r="C339" i="59"/>
  <c r="B339" i="59"/>
  <c r="T338" i="59"/>
  <c r="M338" i="59"/>
  <c r="L338" i="59"/>
  <c r="J338" i="59"/>
  <c r="I338" i="59"/>
  <c r="F338" i="59"/>
  <c r="E338" i="59"/>
  <c r="D338" i="59"/>
  <c r="C338" i="59"/>
  <c r="B338" i="59"/>
  <c r="T337" i="59"/>
  <c r="M337" i="59"/>
  <c r="L337" i="59"/>
  <c r="J337" i="59"/>
  <c r="I337" i="59"/>
  <c r="F337" i="59"/>
  <c r="E337" i="59"/>
  <c r="D337" i="59"/>
  <c r="C337" i="59"/>
  <c r="B337" i="59"/>
  <c r="T336" i="59"/>
  <c r="M336" i="59"/>
  <c r="L336" i="59"/>
  <c r="J336" i="59"/>
  <c r="I336" i="59"/>
  <c r="F336" i="59"/>
  <c r="E336" i="59"/>
  <c r="D336" i="59"/>
  <c r="C336" i="59"/>
  <c r="B336" i="59"/>
  <c r="T335" i="59"/>
  <c r="M335" i="59"/>
  <c r="L335" i="59"/>
  <c r="J335" i="59"/>
  <c r="I335" i="59"/>
  <c r="F335" i="59"/>
  <c r="E335" i="59"/>
  <c r="D335" i="59"/>
  <c r="C335" i="59"/>
  <c r="B335" i="59"/>
  <c r="T334" i="59"/>
  <c r="M334" i="59"/>
  <c r="L334" i="59"/>
  <c r="J334" i="59"/>
  <c r="I334" i="59"/>
  <c r="F334" i="59"/>
  <c r="E334" i="59"/>
  <c r="D334" i="59"/>
  <c r="C334" i="59"/>
  <c r="B334" i="59"/>
  <c r="T333" i="59"/>
  <c r="M333" i="59"/>
  <c r="L333" i="59"/>
  <c r="J333" i="59"/>
  <c r="I333" i="59"/>
  <c r="F333" i="59"/>
  <c r="E333" i="59"/>
  <c r="D333" i="59"/>
  <c r="C333" i="59"/>
  <c r="B333" i="59"/>
  <c r="T332" i="59"/>
  <c r="M332" i="59"/>
  <c r="L332" i="59"/>
  <c r="J332" i="59"/>
  <c r="I332" i="59"/>
  <c r="F332" i="59"/>
  <c r="E332" i="59"/>
  <c r="D332" i="59"/>
  <c r="C332" i="59"/>
  <c r="B332" i="59"/>
  <c r="T331" i="59"/>
  <c r="M331" i="59"/>
  <c r="L331" i="59"/>
  <c r="J331" i="59"/>
  <c r="I331" i="59"/>
  <c r="F331" i="59"/>
  <c r="E331" i="59"/>
  <c r="D331" i="59"/>
  <c r="C331" i="59"/>
  <c r="B331" i="59"/>
  <c r="T330" i="59"/>
  <c r="M330" i="59"/>
  <c r="L330" i="59"/>
  <c r="J330" i="59"/>
  <c r="I330" i="59"/>
  <c r="F330" i="59"/>
  <c r="E330" i="59"/>
  <c r="D330" i="59"/>
  <c r="C330" i="59"/>
  <c r="B330" i="59"/>
  <c r="T329" i="59"/>
  <c r="M329" i="59"/>
  <c r="L329" i="59"/>
  <c r="J329" i="59"/>
  <c r="I329" i="59"/>
  <c r="F329" i="59"/>
  <c r="E329" i="59"/>
  <c r="D329" i="59"/>
  <c r="C329" i="59"/>
  <c r="B329" i="59"/>
  <c r="T328" i="59"/>
  <c r="M328" i="59"/>
  <c r="L328" i="59"/>
  <c r="J328" i="59"/>
  <c r="I328" i="59"/>
  <c r="F328" i="59"/>
  <c r="E328" i="59"/>
  <c r="D328" i="59"/>
  <c r="C328" i="59"/>
  <c r="B328" i="59"/>
  <c r="T327" i="59"/>
  <c r="M327" i="59"/>
  <c r="L327" i="59"/>
  <c r="J327" i="59"/>
  <c r="I327" i="59"/>
  <c r="F327" i="59"/>
  <c r="E327" i="59"/>
  <c r="D327" i="59"/>
  <c r="C327" i="59"/>
  <c r="B327" i="59"/>
  <c r="T326" i="59"/>
  <c r="M326" i="59"/>
  <c r="L326" i="59"/>
  <c r="J326" i="59"/>
  <c r="I326" i="59"/>
  <c r="F326" i="59"/>
  <c r="E326" i="59"/>
  <c r="D326" i="59"/>
  <c r="C326" i="59"/>
  <c r="B326" i="59"/>
  <c r="T325" i="59"/>
  <c r="M325" i="59"/>
  <c r="L325" i="59"/>
  <c r="J325" i="59"/>
  <c r="I325" i="59"/>
  <c r="F325" i="59"/>
  <c r="E325" i="59"/>
  <c r="D325" i="59"/>
  <c r="C325" i="59"/>
  <c r="B325" i="59"/>
  <c r="T324" i="59"/>
  <c r="M324" i="59"/>
  <c r="L324" i="59"/>
  <c r="J324" i="59"/>
  <c r="I324" i="59"/>
  <c r="F324" i="59"/>
  <c r="E324" i="59"/>
  <c r="D324" i="59"/>
  <c r="C324" i="59"/>
  <c r="B324" i="59"/>
  <c r="T323" i="59"/>
  <c r="M323" i="59"/>
  <c r="L323" i="59"/>
  <c r="J323" i="59"/>
  <c r="I323" i="59"/>
  <c r="F323" i="59"/>
  <c r="E323" i="59"/>
  <c r="D323" i="59"/>
  <c r="C323" i="59"/>
  <c r="B323" i="59"/>
  <c r="T322" i="59"/>
  <c r="M322" i="59"/>
  <c r="L322" i="59"/>
  <c r="J322" i="59"/>
  <c r="I322" i="59"/>
  <c r="F322" i="59"/>
  <c r="E322" i="59"/>
  <c r="D322" i="59"/>
  <c r="C322" i="59"/>
  <c r="B322" i="59"/>
  <c r="T321" i="59"/>
  <c r="M321" i="59"/>
  <c r="L321" i="59"/>
  <c r="J321" i="59"/>
  <c r="I321" i="59"/>
  <c r="F321" i="59"/>
  <c r="E321" i="59"/>
  <c r="D321" i="59"/>
  <c r="C321" i="59"/>
  <c r="B321" i="59"/>
  <c r="T320" i="59"/>
  <c r="M320" i="59"/>
  <c r="L320" i="59"/>
  <c r="J320" i="59"/>
  <c r="I320" i="59"/>
  <c r="F320" i="59"/>
  <c r="E320" i="59"/>
  <c r="D320" i="59"/>
  <c r="C320" i="59"/>
  <c r="B320" i="59"/>
  <c r="T319" i="59"/>
  <c r="M319" i="59"/>
  <c r="L319" i="59"/>
  <c r="J319" i="59"/>
  <c r="I319" i="59"/>
  <c r="F319" i="59"/>
  <c r="E319" i="59"/>
  <c r="D319" i="59"/>
  <c r="C319" i="59"/>
  <c r="B319" i="59"/>
  <c r="T318" i="59"/>
  <c r="M318" i="59"/>
  <c r="L318" i="59"/>
  <c r="J318" i="59"/>
  <c r="I318" i="59"/>
  <c r="F318" i="59"/>
  <c r="E318" i="59"/>
  <c r="D318" i="59"/>
  <c r="C318" i="59"/>
  <c r="B318" i="59"/>
  <c r="T317" i="59"/>
  <c r="M317" i="59"/>
  <c r="L317" i="59"/>
  <c r="J317" i="59"/>
  <c r="I317" i="59"/>
  <c r="F317" i="59"/>
  <c r="E317" i="59"/>
  <c r="D317" i="59"/>
  <c r="C317" i="59"/>
  <c r="B317" i="59"/>
  <c r="T316" i="59"/>
  <c r="M316" i="59"/>
  <c r="L316" i="59"/>
  <c r="J316" i="59"/>
  <c r="I316" i="59"/>
  <c r="F316" i="59"/>
  <c r="E316" i="59"/>
  <c r="D316" i="59"/>
  <c r="C316" i="59"/>
  <c r="B316" i="59"/>
  <c r="T315" i="59"/>
  <c r="M315" i="59"/>
  <c r="L315" i="59"/>
  <c r="J315" i="59"/>
  <c r="I315" i="59"/>
  <c r="F315" i="59"/>
  <c r="E315" i="59"/>
  <c r="D315" i="59"/>
  <c r="C315" i="59"/>
  <c r="B315" i="59"/>
  <c r="T314" i="59"/>
  <c r="M314" i="59"/>
  <c r="L314" i="59"/>
  <c r="J314" i="59"/>
  <c r="I314" i="59"/>
  <c r="F314" i="59"/>
  <c r="E314" i="59"/>
  <c r="D314" i="59"/>
  <c r="C314" i="59"/>
  <c r="B314" i="59"/>
  <c r="T313" i="59"/>
  <c r="M313" i="59"/>
  <c r="L313" i="59"/>
  <c r="J313" i="59"/>
  <c r="I313" i="59"/>
  <c r="F313" i="59"/>
  <c r="E313" i="59"/>
  <c r="D313" i="59"/>
  <c r="C313" i="59"/>
  <c r="B313" i="59"/>
  <c r="T312" i="59"/>
  <c r="M312" i="59"/>
  <c r="L312" i="59"/>
  <c r="J312" i="59"/>
  <c r="I312" i="59"/>
  <c r="F312" i="59"/>
  <c r="E312" i="59"/>
  <c r="D312" i="59"/>
  <c r="C312" i="59"/>
  <c r="B312" i="59"/>
  <c r="T311" i="59"/>
  <c r="M311" i="59"/>
  <c r="L311" i="59"/>
  <c r="J311" i="59"/>
  <c r="I311" i="59"/>
  <c r="F311" i="59"/>
  <c r="E311" i="59"/>
  <c r="D311" i="59"/>
  <c r="C311" i="59"/>
  <c r="B311" i="59"/>
  <c r="T310" i="59"/>
  <c r="M310" i="59"/>
  <c r="L310" i="59"/>
  <c r="J310" i="59"/>
  <c r="I310" i="59"/>
  <c r="F310" i="59"/>
  <c r="E310" i="59"/>
  <c r="D310" i="59"/>
  <c r="C310" i="59"/>
  <c r="B310" i="59"/>
  <c r="T309" i="59"/>
  <c r="M309" i="59"/>
  <c r="L309" i="59"/>
  <c r="J309" i="59"/>
  <c r="I309" i="59"/>
  <c r="F309" i="59"/>
  <c r="E309" i="59"/>
  <c r="D309" i="59"/>
  <c r="C309" i="59"/>
  <c r="B309" i="59"/>
  <c r="T308" i="59"/>
  <c r="M308" i="59"/>
  <c r="L308" i="59"/>
  <c r="J308" i="59"/>
  <c r="I308" i="59"/>
  <c r="F308" i="59"/>
  <c r="E308" i="59"/>
  <c r="D308" i="59"/>
  <c r="C308" i="59"/>
  <c r="B308" i="59"/>
  <c r="T307" i="59"/>
  <c r="M307" i="59"/>
  <c r="L307" i="59"/>
  <c r="J307" i="59"/>
  <c r="I307" i="59"/>
  <c r="F307" i="59"/>
  <c r="E307" i="59"/>
  <c r="D307" i="59"/>
  <c r="C307" i="59"/>
  <c r="B307" i="59"/>
  <c r="T306" i="59"/>
  <c r="M306" i="59"/>
  <c r="L306" i="59"/>
  <c r="J306" i="59"/>
  <c r="I306" i="59"/>
  <c r="F306" i="59"/>
  <c r="E306" i="59"/>
  <c r="D306" i="59"/>
  <c r="C306" i="59"/>
  <c r="B306" i="59"/>
  <c r="T305" i="59"/>
  <c r="M305" i="59"/>
  <c r="L305" i="59"/>
  <c r="J305" i="59"/>
  <c r="I305" i="59"/>
  <c r="F305" i="59"/>
  <c r="E305" i="59"/>
  <c r="D305" i="59"/>
  <c r="C305" i="59"/>
  <c r="B305" i="59"/>
  <c r="T304" i="59"/>
  <c r="M304" i="59"/>
  <c r="L304" i="59"/>
  <c r="J304" i="59"/>
  <c r="I304" i="59"/>
  <c r="F304" i="59"/>
  <c r="E304" i="59"/>
  <c r="D304" i="59"/>
  <c r="C304" i="59"/>
  <c r="B304" i="59"/>
  <c r="T303" i="59"/>
  <c r="M303" i="59"/>
  <c r="L303" i="59"/>
  <c r="J303" i="59"/>
  <c r="I303" i="59"/>
  <c r="F303" i="59"/>
  <c r="E303" i="59"/>
  <c r="D303" i="59"/>
  <c r="C303" i="59"/>
  <c r="B303" i="59"/>
  <c r="T302" i="59"/>
  <c r="M302" i="59"/>
  <c r="L302" i="59"/>
  <c r="J302" i="59"/>
  <c r="I302" i="59"/>
  <c r="F302" i="59"/>
  <c r="E302" i="59"/>
  <c r="D302" i="59"/>
  <c r="C302" i="59"/>
  <c r="B302" i="59"/>
  <c r="T301" i="59"/>
  <c r="M301" i="59"/>
  <c r="L301" i="59"/>
  <c r="J301" i="59"/>
  <c r="I301" i="59"/>
  <c r="F301" i="59"/>
  <c r="E301" i="59"/>
  <c r="D301" i="59"/>
  <c r="C301" i="59"/>
  <c r="B301" i="59"/>
  <c r="T300" i="59"/>
  <c r="M300" i="59"/>
  <c r="L300" i="59"/>
  <c r="J300" i="59"/>
  <c r="I300" i="59"/>
  <c r="F300" i="59"/>
  <c r="E300" i="59"/>
  <c r="D300" i="59"/>
  <c r="C300" i="59"/>
  <c r="B300" i="59"/>
  <c r="T299" i="59"/>
  <c r="M299" i="59"/>
  <c r="L299" i="59"/>
  <c r="J299" i="59"/>
  <c r="I299" i="59"/>
  <c r="F299" i="59"/>
  <c r="E299" i="59"/>
  <c r="D299" i="59"/>
  <c r="C299" i="59"/>
  <c r="B299" i="59"/>
  <c r="T298" i="59"/>
  <c r="M298" i="59"/>
  <c r="L298" i="59"/>
  <c r="J298" i="59"/>
  <c r="I298" i="59"/>
  <c r="F298" i="59"/>
  <c r="E298" i="59"/>
  <c r="D298" i="59"/>
  <c r="C298" i="59"/>
  <c r="B298" i="59"/>
  <c r="T297" i="59"/>
  <c r="M297" i="59"/>
  <c r="L297" i="59"/>
  <c r="J297" i="59"/>
  <c r="I297" i="59"/>
  <c r="F297" i="59"/>
  <c r="E297" i="59"/>
  <c r="D297" i="59"/>
  <c r="C297" i="59"/>
  <c r="B297" i="59"/>
  <c r="M296" i="59"/>
  <c r="T296" i="59"/>
  <c r="L296" i="59"/>
  <c r="J296" i="59"/>
  <c r="I296" i="59"/>
  <c r="F296" i="59"/>
  <c r="E296" i="59"/>
  <c r="D296" i="59"/>
  <c r="C296" i="59"/>
  <c r="B296" i="59"/>
  <c r="B257" i="59"/>
  <c r="T81" i="59"/>
  <c r="M81" i="59"/>
  <c r="L81" i="59"/>
  <c r="J81" i="59"/>
  <c r="I81" i="59"/>
  <c r="F81" i="59"/>
  <c r="E81" i="59"/>
  <c r="D81" i="59"/>
  <c r="C81" i="59"/>
  <c r="B81" i="59"/>
  <c r="T80" i="59"/>
  <c r="M80" i="59"/>
  <c r="L80" i="59"/>
  <c r="J80" i="59"/>
  <c r="I80" i="59"/>
  <c r="F80" i="59"/>
  <c r="E80" i="59"/>
  <c r="D80" i="59"/>
  <c r="C80" i="59"/>
  <c r="B80" i="59"/>
  <c r="C58" i="26"/>
  <c r="D47" i="26"/>
  <c r="C47" i="26"/>
  <c r="T46" i="59"/>
  <c r="M46" i="59"/>
  <c r="L46" i="59"/>
  <c r="J46" i="59"/>
  <c r="I46" i="59"/>
  <c r="F46" i="59"/>
  <c r="E46" i="59"/>
  <c r="D46" i="59"/>
  <c r="C46" i="59"/>
  <c r="B46" i="59"/>
  <c r="T45" i="59"/>
  <c r="M45" i="59"/>
  <c r="L45" i="59"/>
  <c r="J45" i="59"/>
  <c r="I45" i="59"/>
  <c r="F45" i="59"/>
  <c r="E45" i="59"/>
  <c r="D45" i="59"/>
  <c r="C45" i="59"/>
  <c r="B45" i="59"/>
  <c r="T44" i="59"/>
  <c r="M44" i="59"/>
  <c r="L44" i="59"/>
  <c r="J44" i="59"/>
  <c r="I44" i="59"/>
  <c r="F44" i="59"/>
  <c r="E44" i="59"/>
  <c r="D44" i="59"/>
  <c r="C44" i="59"/>
  <c r="B44" i="59"/>
  <c r="T43" i="59"/>
  <c r="M43" i="59"/>
  <c r="L43" i="59"/>
  <c r="J43" i="59"/>
  <c r="I43" i="59"/>
  <c r="F43" i="59"/>
  <c r="E43" i="59"/>
  <c r="D43" i="59"/>
  <c r="C43" i="59"/>
  <c r="B43" i="59"/>
  <c r="T27" i="59"/>
  <c r="M27" i="59"/>
  <c r="L27" i="59"/>
  <c r="J27" i="59"/>
  <c r="I27" i="59"/>
  <c r="F27" i="59"/>
  <c r="E27" i="59"/>
  <c r="D27" i="59"/>
  <c r="C27" i="59"/>
  <c r="B27" i="59"/>
  <c r="T26" i="59"/>
  <c r="M26" i="59"/>
  <c r="L26" i="59"/>
  <c r="J26" i="59"/>
  <c r="I26" i="59"/>
  <c r="F26" i="59"/>
  <c r="E26" i="59"/>
  <c r="D26" i="59"/>
  <c r="C26" i="59"/>
  <c r="B26" i="59"/>
  <c r="M25" i="59"/>
  <c r="L25" i="59"/>
  <c r="J25" i="59"/>
  <c r="I25" i="59"/>
  <c r="F25" i="59"/>
  <c r="E25" i="59"/>
  <c r="D25" i="59"/>
  <c r="C25" i="59"/>
  <c r="B25" i="59"/>
  <c r="T25" i="59"/>
  <c r="T24" i="59"/>
  <c r="M24" i="59"/>
  <c r="L24" i="59"/>
  <c r="J24" i="59"/>
  <c r="I24" i="59"/>
  <c r="F24" i="59"/>
  <c r="E24" i="59"/>
  <c r="D24" i="59"/>
  <c r="C24" i="59"/>
  <c r="B24" i="59"/>
  <c r="T137" i="59"/>
  <c r="M137" i="59"/>
  <c r="L137" i="59"/>
  <c r="J137" i="59"/>
  <c r="I137" i="59"/>
  <c r="F137" i="59"/>
  <c r="E137" i="59"/>
  <c r="D137" i="59"/>
  <c r="C137" i="59"/>
  <c r="B137" i="59"/>
  <c r="T136" i="59"/>
  <c r="M136" i="59"/>
  <c r="L136" i="59"/>
  <c r="J136" i="59"/>
  <c r="I136" i="59"/>
  <c r="F136" i="59"/>
  <c r="E136" i="59"/>
  <c r="D136" i="59"/>
  <c r="C136" i="59"/>
  <c r="B136" i="59"/>
  <c r="T134" i="59"/>
  <c r="M134" i="59"/>
  <c r="L134" i="59"/>
  <c r="J134" i="59"/>
  <c r="I134" i="59"/>
  <c r="F134" i="59"/>
  <c r="E134" i="59"/>
  <c r="D134" i="59"/>
  <c r="C134" i="59"/>
  <c r="B134" i="59"/>
  <c r="T133" i="59"/>
  <c r="M133" i="59"/>
  <c r="L133" i="59"/>
  <c r="J133" i="59"/>
  <c r="I133" i="59"/>
  <c r="F133" i="59"/>
  <c r="E133" i="59"/>
  <c r="D133" i="59"/>
  <c r="C133" i="59"/>
  <c r="B133" i="59"/>
  <c r="T132" i="59"/>
  <c r="M132" i="59"/>
  <c r="L132" i="59"/>
  <c r="J132" i="59"/>
  <c r="I132" i="59"/>
  <c r="F132" i="59"/>
  <c r="E132" i="59"/>
  <c r="D132" i="59"/>
  <c r="C132" i="59"/>
  <c r="B132" i="59"/>
  <c r="T131" i="59"/>
  <c r="M131" i="59"/>
  <c r="L131" i="59"/>
  <c r="J131" i="59"/>
  <c r="I131" i="59"/>
  <c r="F131" i="59"/>
  <c r="E131" i="59"/>
  <c r="D131" i="59"/>
  <c r="C131" i="59"/>
  <c r="B131" i="59"/>
  <c r="T130" i="59"/>
  <c r="M130" i="59"/>
  <c r="L130" i="59"/>
  <c r="J130" i="59"/>
  <c r="I130" i="59"/>
  <c r="F130" i="59"/>
  <c r="E130" i="59"/>
  <c r="D130" i="59"/>
  <c r="C130" i="59"/>
  <c r="B130" i="59"/>
  <c r="T129" i="59"/>
  <c r="M129" i="59"/>
  <c r="L129" i="59"/>
  <c r="J129" i="59"/>
  <c r="I129" i="59"/>
  <c r="F129" i="59"/>
  <c r="E129" i="59"/>
  <c r="D129" i="59"/>
  <c r="C129" i="59"/>
  <c r="B129" i="59"/>
  <c r="T128" i="59"/>
  <c r="M128" i="59"/>
  <c r="L128" i="59"/>
  <c r="J128" i="59"/>
  <c r="I128" i="59"/>
  <c r="F128" i="59"/>
  <c r="E128" i="59"/>
  <c r="D128" i="59"/>
  <c r="C128" i="59"/>
  <c r="B128" i="59"/>
  <c r="T127" i="59"/>
  <c r="M127" i="59"/>
  <c r="L127" i="59"/>
  <c r="J127" i="59"/>
  <c r="I127" i="59"/>
  <c r="F127" i="59"/>
  <c r="E127" i="59"/>
  <c r="D127" i="59"/>
  <c r="C127" i="59"/>
  <c r="B127" i="59"/>
  <c r="T144" i="59"/>
  <c r="M144" i="59"/>
  <c r="L144" i="59"/>
  <c r="J144" i="59"/>
  <c r="I144" i="59"/>
  <c r="F144" i="59"/>
  <c r="E144" i="59"/>
  <c r="D144" i="59"/>
  <c r="C144" i="59"/>
  <c r="B144" i="59"/>
  <c r="T142" i="59"/>
  <c r="M142" i="59"/>
  <c r="L142" i="59"/>
  <c r="J142" i="59"/>
  <c r="I142" i="59"/>
  <c r="F142" i="59"/>
  <c r="E142" i="59"/>
  <c r="D142" i="59"/>
  <c r="C142" i="59"/>
  <c r="B142" i="59"/>
  <c r="T150" i="59"/>
  <c r="M150" i="59"/>
  <c r="L150" i="59"/>
  <c r="J150" i="59"/>
  <c r="I150" i="59"/>
  <c r="F150" i="59"/>
  <c r="E150" i="59"/>
  <c r="D150" i="59"/>
  <c r="C150" i="59"/>
  <c r="B150" i="59"/>
  <c r="T235" i="59"/>
  <c r="M235" i="59"/>
  <c r="L235" i="59"/>
  <c r="J235" i="59"/>
  <c r="I235" i="59"/>
  <c r="F235" i="59"/>
  <c r="E235" i="59"/>
  <c r="D235" i="59"/>
  <c r="C235" i="59"/>
  <c r="B235" i="59"/>
  <c r="T233" i="59"/>
  <c r="M233" i="59"/>
  <c r="L233" i="59"/>
  <c r="J233" i="59"/>
  <c r="I233" i="59"/>
  <c r="F233" i="59"/>
  <c r="E233" i="59"/>
  <c r="D233" i="59"/>
  <c r="C233" i="59"/>
  <c r="B233" i="59"/>
  <c r="T10" i="59"/>
  <c r="M10" i="59"/>
  <c r="L10" i="59"/>
  <c r="J10" i="59"/>
  <c r="I10" i="59"/>
  <c r="F10" i="59"/>
  <c r="E10" i="59"/>
  <c r="D10" i="59"/>
  <c r="C10" i="59"/>
  <c r="B10" i="59"/>
  <c r="T9" i="59"/>
  <c r="M9" i="59"/>
  <c r="L9" i="59"/>
  <c r="J9" i="59"/>
  <c r="I9" i="59"/>
  <c r="F9" i="59"/>
  <c r="E9" i="59"/>
  <c r="D9" i="59"/>
  <c r="C9" i="59"/>
  <c r="B9" i="59"/>
  <c r="T8" i="59"/>
  <c r="M8" i="59"/>
  <c r="L8" i="59"/>
  <c r="J8" i="59"/>
  <c r="I8" i="59"/>
  <c r="F8" i="59"/>
  <c r="E8" i="59"/>
  <c r="D8" i="59"/>
  <c r="C8" i="59"/>
  <c r="B8" i="59"/>
  <c r="T7" i="59"/>
  <c r="M7" i="59"/>
  <c r="L7" i="59"/>
  <c r="J7" i="59"/>
  <c r="I7" i="59"/>
  <c r="F7" i="59"/>
  <c r="E7" i="59"/>
  <c r="D7" i="59"/>
  <c r="C7" i="59"/>
  <c r="B7" i="59"/>
  <c r="T6" i="59"/>
  <c r="M6" i="59"/>
  <c r="L6" i="59"/>
  <c r="J6" i="59"/>
  <c r="I6" i="59"/>
  <c r="F6" i="59"/>
  <c r="E6" i="59"/>
  <c r="D6" i="59"/>
  <c r="C6" i="59"/>
  <c r="B6" i="59"/>
  <c r="T5" i="59"/>
  <c r="M5" i="59"/>
  <c r="L5" i="59"/>
  <c r="J5" i="59"/>
  <c r="I5" i="59"/>
  <c r="F5" i="59"/>
  <c r="E5" i="59"/>
  <c r="D5" i="59"/>
  <c r="C5" i="59"/>
  <c r="B5" i="59"/>
  <c r="T4" i="59"/>
  <c r="M4" i="59"/>
  <c r="L4" i="59"/>
  <c r="J4" i="59"/>
  <c r="I4" i="59"/>
  <c r="F4" i="59"/>
  <c r="E4" i="59"/>
  <c r="D4" i="59"/>
  <c r="C4" i="59"/>
  <c r="B4" i="59"/>
  <c r="T23" i="59"/>
  <c r="M23" i="59"/>
  <c r="L23" i="59"/>
  <c r="J23" i="59"/>
  <c r="I23" i="59"/>
  <c r="F23" i="59"/>
  <c r="E23" i="59"/>
  <c r="D23" i="59"/>
  <c r="C23" i="59"/>
  <c r="B23" i="59"/>
  <c r="T22" i="59"/>
  <c r="M22" i="59"/>
  <c r="L22" i="59"/>
  <c r="J22" i="59"/>
  <c r="I22" i="59"/>
  <c r="F22" i="59"/>
  <c r="E22" i="59"/>
  <c r="D22" i="59"/>
  <c r="C22" i="59"/>
  <c r="B22" i="59"/>
  <c r="T21" i="59"/>
  <c r="M21" i="59"/>
  <c r="L21" i="59"/>
  <c r="J21" i="59"/>
  <c r="I21" i="59"/>
  <c r="F21" i="59"/>
  <c r="E21" i="59"/>
  <c r="D21" i="59"/>
  <c r="C21" i="59"/>
  <c r="B21" i="59"/>
  <c r="T20" i="59"/>
  <c r="M20" i="59"/>
  <c r="L20" i="59"/>
  <c r="J20" i="59"/>
  <c r="I20" i="59"/>
  <c r="F20" i="59"/>
  <c r="E20" i="59"/>
  <c r="D20" i="59"/>
  <c r="C20" i="59"/>
  <c r="B20" i="59"/>
  <c r="T19" i="59"/>
  <c r="M19" i="59"/>
  <c r="L19" i="59"/>
  <c r="J19" i="59"/>
  <c r="I19" i="59"/>
  <c r="F19" i="59"/>
  <c r="E19" i="59"/>
  <c r="D19" i="59"/>
  <c r="C19" i="59"/>
  <c r="B19" i="59"/>
  <c r="T18" i="59"/>
  <c r="M18" i="59"/>
  <c r="L18" i="59"/>
  <c r="J18" i="59"/>
  <c r="I18" i="59"/>
  <c r="F18" i="59"/>
  <c r="E18" i="59"/>
  <c r="D18" i="59"/>
  <c r="C18" i="59"/>
  <c r="B18" i="59"/>
  <c r="T17" i="59"/>
  <c r="M17" i="59"/>
  <c r="L17" i="59"/>
  <c r="J17" i="59"/>
  <c r="I17" i="59"/>
  <c r="F17" i="59"/>
  <c r="E17" i="59"/>
  <c r="D17" i="59"/>
  <c r="C17" i="59"/>
  <c r="B17" i="59"/>
  <c r="T12" i="59"/>
  <c r="M12" i="59"/>
  <c r="L12" i="59"/>
  <c r="J12" i="59"/>
  <c r="I12" i="59"/>
  <c r="F12" i="59"/>
  <c r="E12" i="59"/>
  <c r="D12" i="59"/>
  <c r="C12" i="59"/>
  <c r="B12" i="59"/>
  <c r="T276" i="59"/>
  <c r="M276" i="59"/>
  <c r="L276" i="59"/>
  <c r="J276" i="59"/>
  <c r="I276" i="59"/>
  <c r="F276" i="59"/>
  <c r="E276" i="59"/>
  <c r="D276" i="59"/>
  <c r="C276" i="59"/>
  <c r="B276" i="59"/>
  <c r="T275" i="59"/>
  <c r="M275" i="59"/>
  <c r="L275" i="59"/>
  <c r="J275" i="59"/>
  <c r="I275" i="59"/>
  <c r="F275" i="59"/>
  <c r="E275" i="59"/>
  <c r="D275" i="59"/>
  <c r="C275" i="59"/>
  <c r="B275" i="59"/>
  <c r="T209" i="59"/>
  <c r="L209" i="59"/>
  <c r="J209" i="59"/>
  <c r="I209" i="59"/>
  <c r="F209" i="59"/>
  <c r="E209" i="59"/>
  <c r="D209" i="59"/>
  <c r="C209" i="59"/>
  <c r="B209" i="59"/>
  <c r="T109" i="59"/>
  <c r="M109" i="59"/>
  <c r="L109" i="59"/>
  <c r="J109" i="59"/>
  <c r="I109" i="59"/>
  <c r="F109" i="59"/>
  <c r="E109" i="59"/>
  <c r="D109" i="59"/>
  <c r="C109" i="59"/>
  <c r="B109" i="59"/>
  <c r="T138" i="59"/>
  <c r="M138" i="59"/>
  <c r="L138" i="59"/>
  <c r="J138" i="59"/>
  <c r="I138" i="59"/>
  <c r="F138" i="59"/>
  <c r="E138" i="59"/>
  <c r="D138" i="59"/>
  <c r="C138" i="59"/>
  <c r="B138" i="59"/>
  <c r="T147" i="59"/>
  <c r="M147" i="59"/>
  <c r="L147" i="59"/>
  <c r="J147" i="59"/>
  <c r="I147" i="59"/>
  <c r="F147" i="59"/>
  <c r="E147" i="59"/>
  <c r="D147" i="59"/>
  <c r="C147" i="59"/>
  <c r="B147" i="59"/>
  <c r="T118" i="59"/>
  <c r="M118" i="59"/>
  <c r="L118" i="59"/>
  <c r="J118" i="59"/>
  <c r="I118" i="59"/>
  <c r="F118" i="59"/>
  <c r="E118" i="59"/>
  <c r="D118" i="59"/>
  <c r="C118" i="59"/>
  <c r="B118" i="59"/>
  <c r="T125" i="59"/>
  <c r="M125" i="59"/>
  <c r="L125" i="59"/>
  <c r="J125" i="59"/>
  <c r="I125" i="59"/>
  <c r="F125" i="59"/>
  <c r="E125" i="59"/>
  <c r="D125" i="59"/>
  <c r="C125" i="59"/>
  <c r="B125" i="59"/>
  <c r="T143" i="59"/>
  <c r="M143" i="59"/>
  <c r="L143" i="59"/>
  <c r="J143" i="59"/>
  <c r="I143" i="59"/>
  <c r="F143" i="59"/>
  <c r="E143" i="59"/>
  <c r="D143" i="59"/>
  <c r="C143" i="59"/>
  <c r="B143" i="59"/>
  <c r="T222" i="59"/>
  <c r="M222" i="59"/>
  <c r="L222" i="59"/>
  <c r="J222" i="59"/>
  <c r="I222" i="59"/>
  <c r="F222" i="59"/>
  <c r="E222" i="59"/>
  <c r="D222" i="59"/>
  <c r="C222" i="59"/>
  <c r="B222" i="59"/>
  <c r="T221" i="59"/>
  <c r="M221" i="59"/>
  <c r="L221" i="59"/>
  <c r="J221" i="59"/>
  <c r="I221" i="59"/>
  <c r="F221" i="59"/>
  <c r="E221" i="59"/>
  <c r="D221" i="59"/>
  <c r="C221" i="59"/>
  <c r="B221" i="59"/>
  <c r="T220" i="59"/>
  <c r="M220" i="59"/>
  <c r="L220" i="59"/>
  <c r="J220" i="59"/>
  <c r="I220" i="59"/>
  <c r="F220" i="59"/>
  <c r="E220" i="59"/>
  <c r="D220" i="59"/>
  <c r="C220" i="59"/>
  <c r="B220" i="59"/>
  <c r="M273" i="59"/>
  <c r="B218" i="59"/>
  <c r="C218" i="59"/>
  <c r="D218" i="59"/>
  <c r="E218" i="59"/>
  <c r="F218" i="59"/>
  <c r="T218" i="59"/>
  <c r="F229" i="59"/>
  <c r="E229" i="59"/>
  <c r="D229" i="59"/>
  <c r="C229" i="59"/>
  <c r="B229" i="59"/>
  <c r="T229" i="59"/>
  <c r="T48" i="59"/>
  <c r="M48" i="59"/>
  <c r="L48" i="59"/>
  <c r="J48" i="59"/>
  <c r="I48" i="59"/>
  <c r="F48" i="59"/>
  <c r="E48" i="59"/>
  <c r="D48" i="59"/>
  <c r="C48" i="59"/>
  <c r="B48" i="59"/>
  <c r="T47" i="59"/>
  <c r="M47" i="59"/>
  <c r="L47" i="59"/>
  <c r="J47" i="59"/>
  <c r="I47" i="59"/>
  <c r="F47" i="59"/>
  <c r="E47" i="59"/>
  <c r="D47" i="59"/>
  <c r="C47" i="59"/>
  <c r="B47" i="59"/>
  <c r="T50" i="59"/>
  <c r="M50" i="59"/>
  <c r="L50" i="59"/>
  <c r="J50" i="59"/>
  <c r="I50" i="59"/>
  <c r="F50" i="59"/>
  <c r="E50" i="59"/>
  <c r="D50" i="59"/>
  <c r="C50" i="59"/>
  <c r="B50" i="59"/>
  <c r="T49" i="59"/>
  <c r="M49" i="59"/>
  <c r="L49" i="59"/>
  <c r="J49" i="59"/>
  <c r="I49" i="59"/>
  <c r="F49" i="59"/>
  <c r="E49" i="59"/>
  <c r="D49" i="59"/>
  <c r="C49" i="59"/>
  <c r="B49" i="59"/>
  <c r="B108" i="59"/>
  <c r="C108" i="59"/>
  <c r="D108" i="59"/>
  <c r="E108" i="59"/>
  <c r="F108" i="59"/>
  <c r="I108" i="59"/>
  <c r="J108" i="59"/>
  <c r="L108" i="59"/>
  <c r="M108" i="59"/>
  <c r="T108" i="59"/>
  <c r="B205" i="59"/>
  <c r="C205" i="59"/>
  <c r="D205" i="59"/>
  <c r="E205" i="59"/>
  <c r="F205" i="59"/>
  <c r="I205" i="59"/>
  <c r="J205" i="59"/>
  <c r="L205" i="59"/>
  <c r="M205" i="59"/>
  <c r="T205" i="59"/>
  <c r="T269" i="59"/>
  <c r="M269" i="59"/>
  <c r="L269" i="59"/>
  <c r="J269" i="59"/>
  <c r="I269" i="59"/>
  <c r="F269" i="59"/>
  <c r="E269" i="59"/>
  <c r="D269" i="59"/>
  <c r="C269" i="59"/>
  <c r="B269" i="59"/>
  <c r="T283" i="59"/>
  <c r="M283" i="59"/>
  <c r="L283" i="59"/>
  <c r="J283" i="59"/>
  <c r="I283" i="59"/>
  <c r="F283" i="59"/>
  <c r="E283" i="59"/>
  <c r="D283" i="59"/>
  <c r="C283" i="59"/>
  <c r="B283" i="59"/>
  <c r="T282" i="59"/>
  <c r="M282" i="59"/>
  <c r="L282" i="59"/>
  <c r="J282" i="59"/>
  <c r="I282" i="59"/>
  <c r="F282" i="59"/>
  <c r="E282" i="59"/>
  <c r="D282" i="59"/>
  <c r="C282" i="59"/>
  <c r="B282" i="59"/>
  <c r="T281" i="59"/>
  <c r="M281" i="59"/>
  <c r="L281" i="59"/>
  <c r="J281" i="59"/>
  <c r="I281" i="59"/>
  <c r="F281" i="59"/>
  <c r="E281" i="59"/>
  <c r="D281" i="59"/>
  <c r="C281" i="59"/>
  <c r="B281" i="59"/>
  <c r="T280" i="59"/>
  <c r="M280" i="59"/>
  <c r="L280" i="59"/>
  <c r="J280" i="59"/>
  <c r="I280" i="59"/>
  <c r="F280" i="59"/>
  <c r="E280" i="59"/>
  <c r="D280" i="59"/>
  <c r="C280" i="59"/>
  <c r="B280" i="59"/>
  <c r="T121" i="59"/>
  <c r="M121" i="59"/>
  <c r="L121" i="59"/>
  <c r="J121" i="59"/>
  <c r="I121" i="59"/>
  <c r="F121" i="59"/>
  <c r="E121" i="59"/>
  <c r="D121" i="59"/>
  <c r="C121" i="59"/>
  <c r="B121" i="59"/>
  <c r="T258" i="59"/>
  <c r="M258" i="59"/>
  <c r="L258" i="59"/>
  <c r="J258" i="59"/>
  <c r="I258" i="59"/>
  <c r="F258" i="59"/>
  <c r="E258" i="59"/>
  <c r="D258" i="59"/>
  <c r="C258" i="59"/>
  <c r="B258" i="59"/>
  <c r="B279" i="59"/>
  <c r="C279" i="59"/>
  <c r="D279" i="59"/>
  <c r="E279" i="59"/>
  <c r="F279" i="59"/>
  <c r="I279" i="59"/>
  <c r="J279" i="59"/>
  <c r="L279" i="59"/>
  <c r="M279" i="59"/>
  <c r="T279" i="59"/>
  <c r="B278" i="59"/>
  <c r="C278" i="59"/>
  <c r="D278" i="59"/>
  <c r="E278" i="59"/>
  <c r="F278" i="59"/>
  <c r="I278" i="59"/>
  <c r="J278" i="59"/>
  <c r="L278" i="59"/>
  <c r="M278" i="59"/>
  <c r="T278" i="59"/>
  <c r="B113" i="59"/>
  <c r="C113" i="59"/>
  <c r="D113" i="59"/>
  <c r="E113" i="59"/>
  <c r="F113" i="59"/>
  <c r="I113" i="59"/>
  <c r="J113" i="59"/>
  <c r="L113" i="59"/>
  <c r="M113" i="59"/>
  <c r="T113" i="59"/>
  <c r="T119" i="59"/>
  <c r="M119" i="59"/>
  <c r="L119" i="59"/>
  <c r="J119" i="59"/>
  <c r="I119" i="59"/>
  <c r="F119" i="59"/>
  <c r="E119" i="59"/>
  <c r="D119" i="59"/>
  <c r="C119" i="59"/>
  <c r="B119" i="59"/>
  <c r="T106" i="59"/>
  <c r="M106" i="59"/>
  <c r="L106" i="59"/>
  <c r="J106" i="59"/>
  <c r="I106" i="59"/>
  <c r="F106" i="59"/>
  <c r="E106" i="59"/>
  <c r="D106" i="59"/>
  <c r="C106" i="59"/>
  <c r="B106" i="59"/>
  <c r="T103" i="59"/>
  <c r="M103" i="59"/>
  <c r="L103" i="59"/>
  <c r="J103" i="59"/>
  <c r="I103" i="59"/>
  <c r="F103" i="59"/>
  <c r="E103" i="59"/>
  <c r="D103" i="59"/>
  <c r="C103" i="59"/>
  <c r="B103" i="59"/>
  <c r="J110" i="59"/>
  <c r="J107" i="59"/>
  <c r="J112" i="59"/>
  <c r="J111" i="59"/>
  <c r="T189" i="59"/>
  <c r="M189" i="59"/>
  <c r="L189" i="59"/>
  <c r="J189" i="59"/>
  <c r="I189" i="59"/>
  <c r="F189" i="59"/>
  <c r="E189" i="59"/>
  <c r="D189" i="59"/>
  <c r="C189" i="59"/>
  <c r="B189" i="59"/>
  <c r="T215" i="59"/>
  <c r="M215" i="59"/>
  <c r="L215" i="59"/>
  <c r="J215" i="59"/>
  <c r="I215" i="59"/>
  <c r="F215" i="59"/>
  <c r="E215" i="59"/>
  <c r="D215" i="59"/>
  <c r="C215" i="59"/>
  <c r="B215" i="59"/>
  <c r="T295" i="59"/>
  <c r="L295" i="59"/>
  <c r="J295" i="59"/>
  <c r="I295" i="59"/>
  <c r="F295" i="59"/>
  <c r="E295" i="59"/>
  <c r="D295" i="59"/>
  <c r="C295" i="59"/>
  <c r="B295" i="59"/>
  <c r="T264" i="59"/>
  <c r="M264" i="59"/>
  <c r="L264" i="59"/>
  <c r="J264" i="59"/>
  <c r="I264" i="59"/>
  <c r="F264" i="59"/>
  <c r="E264" i="59"/>
  <c r="D264" i="59"/>
  <c r="C264" i="59"/>
  <c r="B264" i="59"/>
  <c r="T265" i="59"/>
  <c r="M265" i="59"/>
  <c r="L265" i="59"/>
  <c r="J265" i="59"/>
  <c r="I265" i="59"/>
  <c r="F265" i="59"/>
  <c r="E265" i="59"/>
  <c r="D265" i="59"/>
  <c r="C265" i="59"/>
  <c r="B265" i="59"/>
  <c r="T158" i="59"/>
  <c r="M158" i="59"/>
  <c r="L158" i="59"/>
  <c r="J158" i="59"/>
  <c r="I158" i="59"/>
  <c r="F158" i="59"/>
  <c r="E158" i="59"/>
  <c r="D158" i="59"/>
  <c r="C158" i="59"/>
  <c r="B158" i="59"/>
  <c r="T152" i="59"/>
  <c r="M152" i="59"/>
  <c r="L152" i="59"/>
  <c r="J152" i="59"/>
  <c r="I152" i="59"/>
  <c r="F152" i="59"/>
  <c r="E152" i="59"/>
  <c r="D152" i="59"/>
  <c r="C152" i="59"/>
  <c r="B152" i="59"/>
  <c r="T160" i="59"/>
  <c r="M160" i="59"/>
  <c r="L160" i="59"/>
  <c r="J160" i="59"/>
  <c r="I160" i="59"/>
  <c r="F160" i="59"/>
  <c r="E160" i="59"/>
  <c r="D160" i="59"/>
  <c r="C160" i="59"/>
  <c r="B160" i="59"/>
  <c r="T159" i="59"/>
  <c r="M159" i="59"/>
  <c r="L159" i="59"/>
  <c r="J159" i="59"/>
  <c r="I159" i="59"/>
  <c r="F159" i="59"/>
  <c r="E159" i="59"/>
  <c r="D159" i="59"/>
  <c r="C159" i="59"/>
  <c r="B159" i="59"/>
  <c r="J153" i="59"/>
  <c r="T154" i="59"/>
  <c r="M154" i="59"/>
  <c r="L154" i="59"/>
  <c r="J154" i="59"/>
  <c r="I154" i="59"/>
  <c r="F154" i="59"/>
  <c r="E154" i="59"/>
  <c r="D154" i="59"/>
  <c r="C154" i="59"/>
  <c r="B154" i="59"/>
  <c r="T153" i="59"/>
  <c r="M153" i="59"/>
  <c r="L153" i="59"/>
  <c r="I153" i="59"/>
  <c r="F153" i="59"/>
  <c r="E153" i="59"/>
  <c r="D153" i="59"/>
  <c r="C153" i="59"/>
  <c r="B153" i="59"/>
  <c r="T272" i="59"/>
  <c r="M272" i="59"/>
  <c r="L272" i="59"/>
  <c r="J272" i="59"/>
  <c r="I272" i="59"/>
  <c r="F272" i="59"/>
  <c r="E272" i="59"/>
  <c r="D272" i="59"/>
  <c r="C272" i="59"/>
  <c r="B272" i="59"/>
  <c r="T183" i="59"/>
  <c r="M183" i="59"/>
  <c r="L183" i="59"/>
  <c r="J183" i="59"/>
  <c r="I183" i="59"/>
  <c r="F183" i="59"/>
  <c r="E183" i="59"/>
  <c r="D183" i="59"/>
  <c r="C183" i="59"/>
  <c r="B183" i="59"/>
  <c r="T182" i="59"/>
  <c r="M182" i="59"/>
  <c r="L182" i="59"/>
  <c r="J182" i="59"/>
  <c r="I182" i="59"/>
  <c r="F182" i="59"/>
  <c r="E182" i="59"/>
  <c r="D182" i="59"/>
  <c r="C182" i="59"/>
  <c r="B182" i="59"/>
  <c r="T181" i="59"/>
  <c r="M181" i="59"/>
  <c r="L181" i="59"/>
  <c r="J181" i="59"/>
  <c r="I181" i="59"/>
  <c r="F181" i="59"/>
  <c r="E181" i="59"/>
  <c r="D181" i="59"/>
  <c r="C181" i="59"/>
  <c r="B181" i="59"/>
  <c r="T180" i="59"/>
  <c r="M180" i="59"/>
  <c r="L180" i="59"/>
  <c r="J180" i="59"/>
  <c r="I180" i="59"/>
  <c r="F180" i="59"/>
  <c r="E180" i="59"/>
  <c r="D180" i="59"/>
  <c r="C180" i="59"/>
  <c r="B180" i="59"/>
  <c r="T179" i="59"/>
  <c r="M179" i="59"/>
  <c r="L179" i="59"/>
  <c r="J179" i="59"/>
  <c r="I179" i="59"/>
  <c r="F179" i="59"/>
  <c r="E179" i="59"/>
  <c r="D179" i="59"/>
  <c r="C179" i="59"/>
  <c r="B179" i="59"/>
  <c r="T178" i="59"/>
  <c r="M178" i="59"/>
  <c r="L178" i="59"/>
  <c r="J178" i="59"/>
  <c r="I178" i="59"/>
  <c r="F178" i="59"/>
  <c r="E178" i="59"/>
  <c r="D178" i="59"/>
  <c r="C178" i="59"/>
  <c r="B178" i="59"/>
  <c r="T177" i="59"/>
  <c r="M177" i="59"/>
  <c r="L177" i="59"/>
  <c r="J177" i="59"/>
  <c r="I177" i="59"/>
  <c r="F177" i="59"/>
  <c r="E177" i="59"/>
  <c r="D177" i="59"/>
  <c r="C177" i="59"/>
  <c r="B177" i="59"/>
  <c r="T176" i="59"/>
  <c r="M176" i="59"/>
  <c r="L176" i="59"/>
  <c r="J176" i="59"/>
  <c r="I176" i="59"/>
  <c r="F176" i="59"/>
  <c r="E176" i="59"/>
  <c r="D176" i="59"/>
  <c r="C176" i="59"/>
  <c r="B176" i="59"/>
  <c r="T175" i="59"/>
  <c r="M175" i="59"/>
  <c r="L175" i="59"/>
  <c r="J175" i="59"/>
  <c r="I175" i="59"/>
  <c r="F175" i="59"/>
  <c r="E175" i="59"/>
  <c r="D175" i="59"/>
  <c r="C175" i="59"/>
  <c r="B175" i="59"/>
  <c r="T174" i="59"/>
  <c r="M174" i="59"/>
  <c r="L174" i="59"/>
  <c r="J174" i="59"/>
  <c r="I174" i="59"/>
  <c r="F174" i="59"/>
  <c r="E174" i="59"/>
  <c r="D174" i="59"/>
  <c r="C174" i="59"/>
  <c r="B174" i="59"/>
  <c r="T173" i="59"/>
  <c r="M173" i="59"/>
  <c r="L173" i="59"/>
  <c r="J173" i="59"/>
  <c r="I173" i="59"/>
  <c r="F173" i="59"/>
  <c r="E173" i="59"/>
  <c r="D173" i="59"/>
  <c r="C173" i="59"/>
  <c r="B173" i="59"/>
  <c r="T172" i="59"/>
  <c r="M172" i="59"/>
  <c r="L172" i="59"/>
  <c r="J172" i="59"/>
  <c r="I172" i="59"/>
  <c r="F172" i="59"/>
  <c r="E172" i="59"/>
  <c r="D172" i="59"/>
  <c r="C172" i="59"/>
  <c r="B172" i="59"/>
  <c r="T171" i="59"/>
  <c r="M171" i="59"/>
  <c r="L171" i="59"/>
  <c r="J171" i="59"/>
  <c r="I171" i="59"/>
  <c r="F171" i="59"/>
  <c r="E171" i="59"/>
  <c r="D171" i="59"/>
  <c r="C171" i="59"/>
  <c r="B171" i="59"/>
  <c r="T170" i="59"/>
  <c r="M170" i="59"/>
  <c r="L170" i="59"/>
  <c r="J170" i="59"/>
  <c r="I170" i="59"/>
  <c r="F170" i="59"/>
  <c r="E170" i="59"/>
  <c r="D170" i="59"/>
  <c r="C170" i="59"/>
  <c r="B170" i="59"/>
  <c r="T223" i="59"/>
  <c r="M223" i="59"/>
  <c r="L223" i="59"/>
  <c r="J223" i="59"/>
  <c r="I223" i="59"/>
  <c r="F223" i="59"/>
  <c r="E223" i="59"/>
  <c r="D223" i="59"/>
  <c r="C223" i="59"/>
  <c r="B223" i="59"/>
  <c r="T230" i="59"/>
  <c r="M230" i="59"/>
  <c r="L230" i="59"/>
  <c r="J230" i="59"/>
  <c r="I230" i="59"/>
  <c r="F230" i="59"/>
  <c r="E230" i="59"/>
  <c r="D230" i="59"/>
  <c r="C230" i="59"/>
  <c r="B230" i="59"/>
  <c r="T244" i="59"/>
  <c r="M244" i="59"/>
  <c r="L244" i="59"/>
  <c r="J244" i="59"/>
  <c r="I244" i="59"/>
  <c r="F244" i="59"/>
  <c r="E244" i="59"/>
  <c r="D244" i="59"/>
  <c r="C244" i="59"/>
  <c r="B244" i="59"/>
  <c r="T252" i="59"/>
  <c r="M252" i="59"/>
  <c r="L252" i="59"/>
  <c r="J252" i="59"/>
  <c r="I252" i="59"/>
  <c r="F252" i="59"/>
  <c r="E252" i="59"/>
  <c r="D252" i="59"/>
  <c r="C252" i="59"/>
  <c r="B252" i="59"/>
  <c r="T227" i="59"/>
  <c r="M227" i="59"/>
  <c r="L227" i="59"/>
  <c r="J227" i="59"/>
  <c r="I227" i="59"/>
  <c r="F227" i="59"/>
  <c r="E227" i="59"/>
  <c r="D227" i="59"/>
  <c r="C227" i="59"/>
  <c r="B227" i="59"/>
  <c r="T240" i="59"/>
  <c r="M240" i="59"/>
  <c r="L240" i="59"/>
  <c r="J240" i="59"/>
  <c r="I240" i="59"/>
  <c r="F240" i="59"/>
  <c r="E240" i="59"/>
  <c r="D240" i="59"/>
  <c r="C240" i="59"/>
  <c r="B240" i="59"/>
  <c r="T248" i="59"/>
  <c r="M248" i="59"/>
  <c r="L248" i="59"/>
  <c r="J248" i="59"/>
  <c r="I248" i="59"/>
  <c r="F248" i="59"/>
  <c r="E248" i="59"/>
  <c r="D248" i="59"/>
  <c r="C248" i="59"/>
  <c r="B248" i="59"/>
  <c r="T237" i="59"/>
  <c r="M237" i="59"/>
  <c r="L237" i="59"/>
  <c r="J237" i="59"/>
  <c r="I237" i="59"/>
  <c r="F237" i="59"/>
  <c r="E237" i="59"/>
  <c r="D237" i="59"/>
  <c r="C237" i="59"/>
  <c r="B237" i="59"/>
  <c r="T224" i="59"/>
  <c r="M224" i="59"/>
  <c r="L224" i="59"/>
  <c r="J224" i="59"/>
  <c r="I224" i="59"/>
  <c r="F224" i="59"/>
  <c r="E224" i="59"/>
  <c r="D224" i="59"/>
  <c r="C224" i="59"/>
  <c r="B224" i="59"/>
  <c r="T287" i="59"/>
  <c r="M287" i="59"/>
  <c r="L287" i="59"/>
  <c r="J287" i="59"/>
  <c r="I287" i="59"/>
  <c r="F287" i="59"/>
  <c r="E287" i="59"/>
  <c r="D287" i="59"/>
  <c r="C287" i="59"/>
  <c r="B287" i="59"/>
  <c r="M290" i="59"/>
  <c r="L290" i="59"/>
  <c r="J290" i="59"/>
  <c r="I290" i="59"/>
  <c r="F290" i="59"/>
  <c r="E290" i="59"/>
  <c r="D290" i="59"/>
  <c r="C290" i="59"/>
  <c r="B290" i="59"/>
  <c r="M289" i="59"/>
  <c r="L289" i="59"/>
  <c r="J289" i="59"/>
  <c r="I289" i="59"/>
  <c r="F289" i="59"/>
  <c r="E289" i="59"/>
  <c r="D289" i="59"/>
  <c r="C289" i="59"/>
  <c r="B289" i="59"/>
  <c r="T289" i="59"/>
  <c r="T290" i="59"/>
  <c r="T91" i="59"/>
  <c r="M91" i="59"/>
  <c r="L91" i="59"/>
  <c r="J91" i="59"/>
  <c r="I91" i="59"/>
  <c r="F91" i="59"/>
  <c r="E91" i="59"/>
  <c r="D91" i="59"/>
  <c r="C91" i="59"/>
  <c r="B91" i="59"/>
  <c r="T97" i="59"/>
  <c r="M97" i="59"/>
  <c r="L97" i="59"/>
  <c r="J97" i="59"/>
  <c r="I97" i="59"/>
  <c r="F97" i="59"/>
  <c r="E97" i="59"/>
  <c r="D97" i="59"/>
  <c r="C97" i="59"/>
  <c r="B97" i="59"/>
  <c r="T96" i="59"/>
  <c r="M96" i="59"/>
  <c r="L96" i="59"/>
  <c r="J96" i="59"/>
  <c r="I96" i="59"/>
  <c r="F96" i="59"/>
  <c r="E96" i="59"/>
  <c r="D96" i="59"/>
  <c r="C96" i="59"/>
  <c r="B96" i="59"/>
  <c r="T93" i="59"/>
  <c r="M93" i="59"/>
  <c r="L93" i="59"/>
  <c r="J93" i="59"/>
  <c r="I93" i="59"/>
  <c r="F93" i="59"/>
  <c r="E93" i="59"/>
  <c r="D93" i="59"/>
  <c r="C93" i="59"/>
  <c r="B93" i="59"/>
  <c r="T89" i="59"/>
  <c r="M89" i="59"/>
  <c r="L89" i="59"/>
  <c r="J89" i="59"/>
  <c r="I89" i="59"/>
  <c r="F89" i="59"/>
  <c r="E89" i="59"/>
  <c r="D89" i="59"/>
  <c r="C89" i="59"/>
  <c r="B89" i="59"/>
  <c r="T94" i="59"/>
  <c r="M94" i="59"/>
  <c r="L94" i="59"/>
  <c r="J94" i="59"/>
  <c r="I94" i="59"/>
  <c r="F94" i="59"/>
  <c r="E94" i="59"/>
  <c r="D94" i="59"/>
  <c r="C94" i="59"/>
  <c r="B94" i="59"/>
  <c r="T90" i="59"/>
  <c r="M90" i="59"/>
  <c r="L90" i="59"/>
  <c r="J90" i="59"/>
  <c r="I90" i="59"/>
  <c r="F90" i="59"/>
  <c r="E90" i="59"/>
  <c r="D90" i="59"/>
  <c r="C90" i="59"/>
  <c r="B90" i="59"/>
  <c r="T88" i="59"/>
  <c r="M88" i="59"/>
  <c r="L88" i="59"/>
  <c r="J88" i="59"/>
  <c r="I88" i="59"/>
  <c r="F88" i="59"/>
  <c r="E88" i="59"/>
  <c r="D88" i="59"/>
  <c r="C88" i="59"/>
  <c r="B88" i="59"/>
  <c r="T83" i="59"/>
  <c r="M83" i="59"/>
  <c r="L83" i="59"/>
  <c r="J83" i="59"/>
  <c r="I83" i="59"/>
  <c r="F83" i="59"/>
  <c r="E83" i="59"/>
  <c r="D83" i="59"/>
  <c r="C83" i="59"/>
  <c r="B83" i="59"/>
  <c r="T82" i="59"/>
  <c r="M82" i="59"/>
  <c r="L82" i="59"/>
  <c r="J82" i="59"/>
  <c r="I82" i="59"/>
  <c r="F82" i="59"/>
  <c r="E82" i="59"/>
  <c r="D82" i="59"/>
  <c r="C82" i="59"/>
  <c r="B82" i="59"/>
  <c r="B78" i="59"/>
  <c r="C78" i="59"/>
  <c r="D78" i="59"/>
  <c r="E78" i="59"/>
  <c r="F78" i="59"/>
  <c r="I78" i="59"/>
  <c r="J78" i="59"/>
  <c r="L78" i="59"/>
  <c r="M78" i="59"/>
  <c r="T78" i="59"/>
  <c r="T79" i="59"/>
  <c r="M79" i="59"/>
  <c r="L79" i="59"/>
  <c r="J79" i="59"/>
  <c r="I79" i="59"/>
  <c r="F79" i="59"/>
  <c r="E79" i="59"/>
  <c r="D79" i="59"/>
  <c r="C79" i="59"/>
  <c r="B79" i="59"/>
  <c r="T100" i="59"/>
  <c r="M100" i="59"/>
  <c r="L100" i="59"/>
  <c r="J100" i="59"/>
  <c r="I100" i="59"/>
  <c r="F100" i="59"/>
  <c r="E100" i="59"/>
  <c r="D100" i="59"/>
  <c r="C100" i="59"/>
  <c r="B100" i="59"/>
  <c r="T116" i="59"/>
  <c r="M116" i="59"/>
  <c r="L116" i="59"/>
  <c r="J116" i="59"/>
  <c r="I116" i="59"/>
  <c r="F116" i="59"/>
  <c r="E116" i="59"/>
  <c r="D116" i="59"/>
  <c r="C116" i="59"/>
  <c r="B116" i="59"/>
  <c r="T117" i="59"/>
  <c r="M117" i="59"/>
  <c r="L117" i="59"/>
  <c r="J117" i="59"/>
  <c r="I117" i="59"/>
  <c r="F117" i="59"/>
  <c r="E117" i="59"/>
  <c r="D117" i="59"/>
  <c r="C117" i="59"/>
  <c r="B117" i="59"/>
  <c r="T115" i="59"/>
  <c r="M115" i="59"/>
  <c r="L115" i="59"/>
  <c r="J115" i="59"/>
  <c r="I115" i="59"/>
  <c r="F115" i="59"/>
  <c r="E115" i="59"/>
  <c r="D115" i="59"/>
  <c r="C115" i="59"/>
  <c r="B115" i="59"/>
  <c r="T32" i="59"/>
  <c r="M32" i="59"/>
  <c r="L32" i="59"/>
  <c r="J32" i="59"/>
  <c r="I32" i="59"/>
  <c r="F32" i="59"/>
  <c r="E32" i="59"/>
  <c r="D32" i="59"/>
  <c r="C32" i="59"/>
  <c r="B32" i="59"/>
  <c r="T13" i="59"/>
  <c r="M13" i="59"/>
  <c r="L13" i="59"/>
  <c r="J13" i="59"/>
  <c r="I13" i="59"/>
  <c r="F13" i="59"/>
  <c r="E13" i="59"/>
  <c r="D13" i="59"/>
  <c r="C13" i="59"/>
  <c r="B13" i="59"/>
  <c r="T11" i="59"/>
  <c r="M11" i="59"/>
  <c r="L11" i="59"/>
  <c r="J11" i="59"/>
  <c r="I11" i="59"/>
  <c r="F11" i="59"/>
  <c r="E11" i="59"/>
  <c r="D11" i="59"/>
  <c r="C11" i="59"/>
  <c r="B11" i="59"/>
  <c r="T15" i="59"/>
  <c r="M15" i="59"/>
  <c r="L15" i="59"/>
  <c r="J15" i="59"/>
  <c r="I15" i="59"/>
  <c r="F15" i="59"/>
  <c r="E15" i="59"/>
  <c r="D15" i="59"/>
  <c r="C15" i="59"/>
  <c r="B15" i="59"/>
  <c r="T146" i="59"/>
  <c r="M146" i="59"/>
  <c r="L146" i="59"/>
  <c r="J146" i="59"/>
  <c r="I146" i="59"/>
  <c r="F146" i="59"/>
  <c r="E146" i="59"/>
  <c r="D146" i="59"/>
  <c r="C146" i="59"/>
  <c r="B146" i="59"/>
  <c r="M149" i="59"/>
  <c r="L149" i="59"/>
  <c r="J149" i="59"/>
  <c r="I149" i="59"/>
  <c r="T135" i="59"/>
  <c r="M135" i="59"/>
  <c r="L135" i="59"/>
  <c r="J135" i="59"/>
  <c r="I135" i="59"/>
  <c r="F135" i="59"/>
  <c r="E135" i="59"/>
  <c r="D135" i="59"/>
  <c r="C135" i="59"/>
  <c r="B135" i="59"/>
  <c r="T126" i="59"/>
  <c r="M126" i="59"/>
  <c r="L126" i="59"/>
  <c r="J126" i="59"/>
  <c r="I126" i="59"/>
  <c r="F126" i="59"/>
  <c r="E126" i="59"/>
  <c r="D126" i="59"/>
  <c r="C126" i="59"/>
  <c r="B126" i="59"/>
  <c r="T52" i="59"/>
  <c r="M52" i="59"/>
  <c r="L52" i="59"/>
  <c r="J52" i="59"/>
  <c r="I52" i="59"/>
  <c r="F52" i="59"/>
  <c r="E52" i="59"/>
  <c r="D52" i="59"/>
  <c r="C52" i="59"/>
  <c r="B52" i="59"/>
  <c r="T76" i="59"/>
  <c r="M76" i="59"/>
  <c r="L76" i="59"/>
  <c r="J76" i="59"/>
  <c r="I76" i="59"/>
  <c r="F76" i="59"/>
  <c r="E76" i="59"/>
  <c r="D76" i="59"/>
  <c r="C76" i="59"/>
  <c r="B76" i="59"/>
  <c r="T39" i="59"/>
  <c r="M39" i="59"/>
  <c r="L39" i="59"/>
  <c r="J39" i="59"/>
  <c r="I39" i="59"/>
  <c r="F39" i="59"/>
  <c r="E39" i="59"/>
  <c r="D39" i="59"/>
  <c r="C39" i="59"/>
  <c r="B39" i="59"/>
  <c r="T35" i="59"/>
  <c r="M35" i="59"/>
  <c r="L35" i="59"/>
  <c r="J35" i="59"/>
  <c r="I35" i="59"/>
  <c r="F35" i="59"/>
  <c r="E35" i="59"/>
  <c r="D35" i="59"/>
  <c r="C35" i="59"/>
  <c r="B35" i="59"/>
  <c r="T57" i="59"/>
  <c r="M57" i="59"/>
  <c r="L57" i="59"/>
  <c r="J57" i="59"/>
  <c r="I57" i="59"/>
  <c r="F57" i="59"/>
  <c r="E57" i="59"/>
  <c r="D57" i="59"/>
  <c r="C57" i="59"/>
  <c r="B57" i="59"/>
  <c r="T41" i="59"/>
  <c r="M41" i="59"/>
  <c r="L41" i="59"/>
  <c r="J41" i="59"/>
  <c r="I41" i="59"/>
  <c r="F41" i="59"/>
  <c r="E41" i="59"/>
  <c r="D41" i="59"/>
  <c r="C41" i="59"/>
  <c r="B41" i="59"/>
  <c r="T42" i="59"/>
  <c r="M42" i="59"/>
  <c r="L42" i="59"/>
  <c r="J42" i="59"/>
  <c r="I42" i="59"/>
  <c r="F42" i="59"/>
  <c r="E42" i="59"/>
  <c r="D42" i="59"/>
  <c r="C42" i="59"/>
  <c r="B42" i="59"/>
  <c r="T40" i="59"/>
  <c r="M40" i="59"/>
  <c r="L40" i="59"/>
  <c r="J40" i="59"/>
  <c r="I40" i="59"/>
  <c r="F40" i="59"/>
  <c r="E40" i="59"/>
  <c r="D40" i="59"/>
  <c r="C40" i="59"/>
  <c r="B40" i="59"/>
  <c r="T51" i="59"/>
  <c r="M51" i="59"/>
  <c r="L51" i="59"/>
  <c r="J51" i="59"/>
  <c r="I51" i="59"/>
  <c r="F51" i="59"/>
  <c r="E51" i="59"/>
  <c r="D51" i="59"/>
  <c r="C51" i="59"/>
  <c r="B51" i="59"/>
  <c r="T56" i="59"/>
  <c r="M56" i="59"/>
  <c r="L56" i="59"/>
  <c r="J56" i="59"/>
  <c r="I56" i="59"/>
  <c r="F56" i="59"/>
  <c r="E56" i="59"/>
  <c r="D56" i="59"/>
  <c r="C56" i="59"/>
  <c r="B56" i="59"/>
  <c r="T55" i="59"/>
  <c r="M55" i="59"/>
  <c r="L55" i="59"/>
  <c r="J55" i="59"/>
  <c r="I55" i="59"/>
  <c r="F55" i="59"/>
  <c r="E55" i="59"/>
  <c r="D55" i="59"/>
  <c r="C55" i="59"/>
  <c r="B55" i="59"/>
  <c r="T37" i="59"/>
  <c r="M37" i="59"/>
  <c r="L37" i="59"/>
  <c r="J37" i="59"/>
  <c r="I37" i="59"/>
  <c r="F37" i="59"/>
  <c r="E37" i="59"/>
  <c r="D37" i="59"/>
  <c r="C37" i="59"/>
  <c r="B37" i="59"/>
  <c r="T66" i="59"/>
  <c r="M66" i="59"/>
  <c r="L66" i="59"/>
  <c r="J66" i="59"/>
  <c r="I66" i="59"/>
  <c r="F66" i="59"/>
  <c r="E66" i="59"/>
  <c r="D66" i="59"/>
  <c r="C66" i="59"/>
  <c r="B66" i="59"/>
  <c r="T195" i="59"/>
  <c r="M195" i="59"/>
  <c r="L195" i="59"/>
  <c r="J195" i="59"/>
  <c r="I195" i="59"/>
  <c r="F195" i="59"/>
  <c r="E195" i="59"/>
  <c r="D195" i="59"/>
  <c r="C195" i="59"/>
  <c r="B195" i="59"/>
  <c r="T196" i="59"/>
  <c r="M196" i="59"/>
  <c r="L196" i="59"/>
  <c r="J196" i="59"/>
  <c r="I196" i="59"/>
  <c r="F196" i="59"/>
  <c r="E196" i="59"/>
  <c r="D196" i="59"/>
  <c r="C196" i="59"/>
  <c r="B196" i="59"/>
  <c r="B211" i="59"/>
  <c r="C211" i="59"/>
  <c r="D211" i="59"/>
  <c r="E211" i="59"/>
  <c r="F211" i="59"/>
  <c r="I211" i="59"/>
  <c r="J211" i="59"/>
  <c r="L211" i="59"/>
  <c r="M211" i="59"/>
  <c r="T211" i="59"/>
  <c r="B187" i="59"/>
  <c r="C187" i="59"/>
  <c r="D187" i="59"/>
  <c r="E187" i="59"/>
  <c r="F187" i="59"/>
  <c r="I187" i="59"/>
  <c r="J187" i="59"/>
  <c r="L187" i="59"/>
  <c r="M187" i="59"/>
  <c r="T187" i="59"/>
  <c r="T168" i="59"/>
  <c r="M168" i="59"/>
  <c r="L168" i="59"/>
  <c r="J168" i="59"/>
  <c r="I168" i="59"/>
  <c r="F168" i="59"/>
  <c r="E168" i="59"/>
  <c r="D168" i="59"/>
  <c r="C168" i="59"/>
  <c r="B168" i="59"/>
  <c r="T204" i="59"/>
  <c r="M204" i="59"/>
  <c r="L204" i="59"/>
  <c r="J204" i="59"/>
  <c r="I204" i="59"/>
  <c r="F204" i="59"/>
  <c r="E204" i="59"/>
  <c r="D204" i="59"/>
  <c r="C204" i="59"/>
  <c r="B204" i="59"/>
  <c r="T169" i="59"/>
  <c r="M169" i="59"/>
  <c r="L169" i="59"/>
  <c r="J169" i="59"/>
  <c r="I169" i="59"/>
  <c r="F169" i="59"/>
  <c r="E169" i="59"/>
  <c r="D169" i="59"/>
  <c r="C169" i="59"/>
  <c r="B169" i="59"/>
  <c r="T203" i="59"/>
  <c r="M203" i="59"/>
  <c r="L203" i="59"/>
  <c r="J203" i="59"/>
  <c r="I203" i="59"/>
  <c r="F203" i="59"/>
  <c r="E203" i="59"/>
  <c r="D203" i="59"/>
  <c r="C203" i="59"/>
  <c r="B203" i="59"/>
  <c r="T164" i="59"/>
  <c r="L164" i="59"/>
  <c r="J164" i="59"/>
  <c r="I164" i="59"/>
  <c r="F164" i="59"/>
  <c r="E164" i="59"/>
  <c r="D164" i="59"/>
  <c r="C164" i="59"/>
  <c r="B164" i="59"/>
  <c r="T198" i="59"/>
  <c r="L198" i="59"/>
  <c r="J198" i="59"/>
  <c r="I198" i="59"/>
  <c r="F198" i="59"/>
  <c r="E198" i="59"/>
  <c r="D198" i="59"/>
  <c r="C198" i="59"/>
  <c r="B198" i="59"/>
  <c r="T270" i="59"/>
  <c r="M270" i="59"/>
  <c r="L270" i="59"/>
  <c r="J270" i="59"/>
  <c r="I270" i="59"/>
  <c r="F270" i="59"/>
  <c r="E270" i="59"/>
  <c r="D270" i="59"/>
  <c r="C270" i="59"/>
  <c r="B270" i="59"/>
  <c r="T274" i="59"/>
  <c r="M274" i="59"/>
  <c r="L274" i="59"/>
  <c r="J274" i="59"/>
  <c r="I274" i="59"/>
  <c r="F274" i="59"/>
  <c r="E274" i="59"/>
  <c r="D274" i="59"/>
  <c r="C274" i="59"/>
  <c r="B274" i="59"/>
  <c r="T273" i="59"/>
  <c r="L273" i="59"/>
  <c r="J273" i="59"/>
  <c r="I273" i="59"/>
  <c r="F273" i="59"/>
  <c r="E273" i="59"/>
  <c r="D273" i="59"/>
  <c r="C273" i="59"/>
  <c r="B273" i="59"/>
  <c r="T271" i="59"/>
  <c r="M271" i="59"/>
  <c r="L271" i="59"/>
  <c r="J271" i="59"/>
  <c r="I271" i="59"/>
  <c r="F271" i="59"/>
  <c r="E271" i="59"/>
  <c r="D271" i="59"/>
  <c r="C271" i="59"/>
  <c r="B271" i="59"/>
  <c r="T261" i="59"/>
  <c r="M261" i="59"/>
  <c r="L261" i="59"/>
  <c r="J261" i="59"/>
  <c r="I261" i="59"/>
  <c r="F261" i="59"/>
  <c r="E261" i="59"/>
  <c r="D261" i="59"/>
  <c r="C261" i="59"/>
  <c r="B261" i="59"/>
  <c r="T262" i="59"/>
  <c r="L262" i="59"/>
  <c r="J262" i="59"/>
  <c r="I262" i="59"/>
  <c r="F262" i="59"/>
  <c r="E262" i="59"/>
  <c r="D262" i="59"/>
  <c r="C262" i="59"/>
  <c r="B262" i="59"/>
  <c r="T185" i="59"/>
  <c r="M185" i="59"/>
  <c r="L185" i="59"/>
  <c r="J185" i="59"/>
  <c r="I185" i="59"/>
  <c r="F185" i="59"/>
  <c r="E185" i="59"/>
  <c r="D185" i="59"/>
  <c r="C185" i="59"/>
  <c r="B185" i="59"/>
  <c r="T184" i="59"/>
  <c r="M184" i="59"/>
  <c r="L184" i="59"/>
  <c r="J184" i="59"/>
  <c r="I184" i="59"/>
  <c r="F184" i="59"/>
  <c r="E184" i="59"/>
  <c r="D184" i="59"/>
  <c r="C184" i="59"/>
  <c r="B184" i="59"/>
  <c r="T167" i="59"/>
  <c r="M167" i="59"/>
  <c r="L167" i="59"/>
  <c r="J167" i="59"/>
  <c r="I167" i="59"/>
  <c r="F167" i="59"/>
  <c r="E167" i="59"/>
  <c r="D167" i="59"/>
  <c r="C167" i="59"/>
  <c r="B167" i="59"/>
  <c r="T166" i="59"/>
  <c r="M166" i="59"/>
  <c r="L166" i="59"/>
  <c r="J166" i="59"/>
  <c r="I166" i="59"/>
  <c r="F166" i="59"/>
  <c r="E166" i="59"/>
  <c r="D166" i="59"/>
  <c r="C166" i="59"/>
  <c r="B166" i="59"/>
  <c r="T165" i="59"/>
  <c r="M165" i="59"/>
  <c r="L165" i="59"/>
  <c r="J165" i="59"/>
  <c r="I165" i="59"/>
  <c r="F165" i="59"/>
  <c r="E165" i="59"/>
  <c r="D165" i="59"/>
  <c r="C165" i="59"/>
  <c r="B165" i="59"/>
  <c r="T163" i="59"/>
  <c r="M163" i="59"/>
  <c r="L163" i="59"/>
  <c r="J163" i="59"/>
  <c r="I163" i="59"/>
  <c r="F163" i="59"/>
  <c r="E163" i="59"/>
  <c r="D163" i="59"/>
  <c r="C163" i="59"/>
  <c r="B163" i="59"/>
  <c r="T186" i="59"/>
  <c r="M186" i="59"/>
  <c r="L186" i="59"/>
  <c r="J186" i="59"/>
  <c r="I186" i="59"/>
  <c r="F186" i="59"/>
  <c r="E186" i="59"/>
  <c r="D186" i="59"/>
  <c r="C186" i="59"/>
  <c r="B186" i="59"/>
  <c r="T188" i="59"/>
  <c r="M188" i="59"/>
  <c r="L188" i="59"/>
  <c r="J188" i="59"/>
  <c r="I188" i="59"/>
  <c r="F188" i="59"/>
  <c r="E188" i="59"/>
  <c r="D188" i="59"/>
  <c r="C188" i="59"/>
  <c r="B188" i="59"/>
  <c r="T202" i="59"/>
  <c r="M202" i="59"/>
  <c r="L202" i="59"/>
  <c r="J202" i="59"/>
  <c r="I202" i="59"/>
  <c r="F202" i="59"/>
  <c r="E202" i="59"/>
  <c r="D202" i="59"/>
  <c r="C202" i="59"/>
  <c r="B202" i="59"/>
  <c r="T201" i="59"/>
  <c r="M201" i="59"/>
  <c r="L201" i="59"/>
  <c r="J201" i="59"/>
  <c r="I201" i="59"/>
  <c r="F201" i="59"/>
  <c r="E201" i="59"/>
  <c r="D201" i="59"/>
  <c r="C201" i="59"/>
  <c r="B201" i="59"/>
  <c r="T217" i="59"/>
  <c r="M217" i="59"/>
  <c r="L217" i="59"/>
  <c r="J217" i="59"/>
  <c r="I217" i="59"/>
  <c r="F217" i="59"/>
  <c r="E217" i="59"/>
  <c r="D217" i="59"/>
  <c r="C217" i="59"/>
  <c r="B217" i="59"/>
  <c r="T216" i="59"/>
  <c r="M216" i="59"/>
  <c r="L216" i="59"/>
  <c r="J216" i="59"/>
  <c r="I216" i="59"/>
  <c r="F216" i="59"/>
  <c r="E216" i="59"/>
  <c r="D216" i="59"/>
  <c r="C216" i="59"/>
  <c r="B216" i="59"/>
  <c r="T200" i="59"/>
  <c r="M200" i="59"/>
  <c r="L200" i="59"/>
  <c r="J200" i="59"/>
  <c r="I200" i="59"/>
  <c r="F200" i="59"/>
  <c r="E200" i="59"/>
  <c r="D200" i="59"/>
  <c r="C200" i="59"/>
  <c r="B200" i="59"/>
  <c r="T199" i="59"/>
  <c r="M199" i="59"/>
  <c r="L199" i="59"/>
  <c r="J199" i="59"/>
  <c r="I199" i="59"/>
  <c r="F199" i="59"/>
  <c r="E199" i="59"/>
  <c r="D199" i="59"/>
  <c r="C199" i="59"/>
  <c r="B199" i="59"/>
  <c r="T214" i="59"/>
  <c r="M214" i="59"/>
  <c r="L214" i="59"/>
  <c r="J214" i="59"/>
  <c r="I214" i="59"/>
  <c r="F214" i="59"/>
  <c r="E214" i="59"/>
  <c r="D214" i="59"/>
  <c r="C214" i="59"/>
  <c r="B214" i="59"/>
  <c r="T193" i="59"/>
  <c r="M193" i="59"/>
  <c r="L193" i="59"/>
  <c r="J193" i="59"/>
  <c r="I193" i="59"/>
  <c r="F193" i="59"/>
  <c r="E193" i="59"/>
  <c r="G193" i="59" s="1"/>
  <c r="D193" i="59"/>
  <c r="C193" i="59"/>
  <c r="T208" i="59"/>
  <c r="L208" i="59"/>
  <c r="J208" i="59"/>
  <c r="I208" i="59"/>
  <c r="F208" i="59"/>
  <c r="E208" i="59"/>
  <c r="D208" i="59"/>
  <c r="C208" i="59"/>
  <c r="B208" i="59"/>
  <c r="T207" i="59"/>
  <c r="M207" i="59"/>
  <c r="L207" i="59"/>
  <c r="J207" i="59"/>
  <c r="I207" i="59"/>
  <c r="F207" i="59"/>
  <c r="E207" i="59"/>
  <c r="D207" i="59"/>
  <c r="C207" i="59"/>
  <c r="B207" i="59"/>
  <c r="T192" i="59"/>
  <c r="M192" i="59"/>
  <c r="L192" i="59"/>
  <c r="J192" i="59"/>
  <c r="I192" i="59"/>
  <c r="F192" i="59"/>
  <c r="E192" i="59"/>
  <c r="D192" i="59"/>
  <c r="C192" i="59"/>
  <c r="B192" i="59"/>
  <c r="T190" i="59"/>
  <c r="M190" i="59"/>
  <c r="L190" i="59"/>
  <c r="J190" i="59"/>
  <c r="I190" i="59"/>
  <c r="F190" i="59"/>
  <c r="E190" i="59"/>
  <c r="D190" i="59"/>
  <c r="C190" i="59"/>
  <c r="B190" i="59"/>
  <c r="T197" i="59"/>
  <c r="M197" i="59"/>
  <c r="L197" i="59"/>
  <c r="J197" i="59"/>
  <c r="I197" i="59"/>
  <c r="F197" i="59"/>
  <c r="E197" i="59"/>
  <c r="D197" i="59"/>
  <c r="C197" i="59"/>
  <c r="B197" i="59"/>
  <c r="T213" i="59"/>
  <c r="M213" i="59"/>
  <c r="L213" i="59"/>
  <c r="J213" i="59"/>
  <c r="I213" i="59"/>
  <c r="F213" i="59"/>
  <c r="E213" i="59"/>
  <c r="D213" i="59"/>
  <c r="C213" i="59"/>
  <c r="B213" i="59"/>
  <c r="T210" i="59"/>
  <c r="M210" i="59"/>
  <c r="L210" i="59"/>
  <c r="J210" i="59"/>
  <c r="I210" i="59"/>
  <c r="F210" i="59"/>
  <c r="E210" i="59"/>
  <c r="D210" i="59"/>
  <c r="C210" i="59"/>
  <c r="B210" i="59"/>
  <c r="T212" i="59"/>
  <c r="M212" i="59"/>
  <c r="L212" i="59"/>
  <c r="J212" i="59"/>
  <c r="I212" i="59"/>
  <c r="F212" i="59"/>
  <c r="E212" i="59"/>
  <c r="D212" i="59"/>
  <c r="C212" i="59"/>
  <c r="B212" i="59"/>
  <c r="T194" i="59"/>
  <c r="M194" i="59"/>
  <c r="L194" i="59"/>
  <c r="J194" i="59"/>
  <c r="I194" i="59"/>
  <c r="F194" i="59"/>
  <c r="E194" i="59"/>
  <c r="D194" i="59"/>
  <c r="C194" i="59"/>
  <c r="B194" i="59"/>
  <c r="T191" i="59"/>
  <c r="M191" i="59"/>
  <c r="L191" i="59"/>
  <c r="J191" i="59"/>
  <c r="I191" i="59"/>
  <c r="F191" i="59"/>
  <c r="E191" i="59"/>
  <c r="D191" i="59"/>
  <c r="C191" i="59"/>
  <c r="B191" i="59"/>
  <c r="T206" i="59"/>
  <c r="M206" i="59"/>
  <c r="L206" i="59"/>
  <c r="J206" i="59"/>
  <c r="I206" i="59"/>
  <c r="F206" i="59"/>
  <c r="E206" i="59"/>
  <c r="D206" i="59"/>
  <c r="C206" i="59"/>
  <c r="B206" i="59"/>
  <c r="T292" i="59"/>
  <c r="M292" i="59"/>
  <c r="L292" i="59"/>
  <c r="J292" i="59"/>
  <c r="I292" i="59"/>
  <c r="F292" i="59"/>
  <c r="E292" i="59"/>
  <c r="D292" i="59"/>
  <c r="C292" i="59"/>
  <c r="B292" i="59"/>
  <c r="T293" i="59"/>
  <c r="M293" i="59"/>
  <c r="L293" i="59"/>
  <c r="J293" i="59"/>
  <c r="I293" i="59"/>
  <c r="F293" i="59"/>
  <c r="E293" i="59"/>
  <c r="D293" i="59"/>
  <c r="C293" i="59"/>
  <c r="B293" i="59"/>
  <c r="T294" i="59"/>
  <c r="M294" i="59"/>
  <c r="L294" i="59"/>
  <c r="J294" i="59"/>
  <c r="I294" i="59"/>
  <c r="F294" i="59"/>
  <c r="E294" i="59"/>
  <c r="D294" i="59"/>
  <c r="C294" i="59"/>
  <c r="B294" i="59"/>
  <c r="T155" i="59"/>
  <c r="M155" i="59"/>
  <c r="L155" i="59"/>
  <c r="J155" i="59"/>
  <c r="I155" i="59"/>
  <c r="F155" i="59"/>
  <c r="E155" i="59"/>
  <c r="D155" i="59"/>
  <c r="C155" i="59"/>
  <c r="B155" i="59"/>
  <c r="T156" i="59"/>
  <c r="M156" i="59"/>
  <c r="L156" i="59"/>
  <c r="J156" i="59"/>
  <c r="I156" i="59"/>
  <c r="F156" i="59"/>
  <c r="E156" i="59"/>
  <c r="D156" i="59"/>
  <c r="C156" i="59"/>
  <c r="B156" i="59"/>
  <c r="T161" i="59"/>
  <c r="M161" i="59"/>
  <c r="L161" i="59"/>
  <c r="J161" i="59"/>
  <c r="I161" i="59"/>
  <c r="F161" i="59"/>
  <c r="E161" i="59"/>
  <c r="D161" i="59"/>
  <c r="C161" i="59"/>
  <c r="B161" i="59"/>
  <c r="T162" i="59"/>
  <c r="M162" i="59"/>
  <c r="L162" i="59"/>
  <c r="J162" i="59"/>
  <c r="I162" i="59"/>
  <c r="F162" i="59"/>
  <c r="E162" i="59"/>
  <c r="D162" i="59"/>
  <c r="C162" i="59"/>
  <c r="B162" i="59"/>
  <c r="T141" i="59"/>
  <c r="M141" i="59"/>
  <c r="L141" i="59"/>
  <c r="J141" i="59"/>
  <c r="I141" i="59"/>
  <c r="F141" i="59"/>
  <c r="E141" i="59"/>
  <c r="D141" i="59"/>
  <c r="C141" i="59"/>
  <c r="B141" i="59"/>
  <c r="T145" i="59"/>
  <c r="M145" i="59"/>
  <c r="L145" i="59"/>
  <c r="J145" i="59"/>
  <c r="I145" i="59"/>
  <c r="F145" i="59"/>
  <c r="E145" i="59"/>
  <c r="D145" i="59"/>
  <c r="C145" i="59"/>
  <c r="B145" i="59"/>
  <c r="T123" i="59"/>
  <c r="M123" i="59"/>
  <c r="L123" i="59"/>
  <c r="J123" i="59"/>
  <c r="I123" i="59"/>
  <c r="F123" i="59"/>
  <c r="E123" i="59"/>
  <c r="D123" i="59"/>
  <c r="C123" i="59"/>
  <c r="B123" i="59"/>
  <c r="T124" i="59"/>
  <c r="M124" i="59"/>
  <c r="L124" i="59"/>
  <c r="J124" i="59"/>
  <c r="I124" i="59"/>
  <c r="F124" i="59"/>
  <c r="E124" i="59"/>
  <c r="D124" i="59"/>
  <c r="C124" i="59"/>
  <c r="B124" i="59"/>
  <c r="T140" i="59"/>
  <c r="M140" i="59"/>
  <c r="L140" i="59"/>
  <c r="J140" i="59"/>
  <c r="I140" i="59"/>
  <c r="F140" i="59"/>
  <c r="E140" i="59"/>
  <c r="D140" i="59"/>
  <c r="C140" i="59"/>
  <c r="B140" i="59"/>
  <c r="T139" i="59"/>
  <c r="M139" i="59"/>
  <c r="L139" i="59"/>
  <c r="J139" i="59"/>
  <c r="I139" i="59"/>
  <c r="F139" i="59"/>
  <c r="E139" i="59"/>
  <c r="D139" i="59"/>
  <c r="C139" i="59"/>
  <c r="B139" i="59"/>
  <c r="T149" i="59"/>
  <c r="F149" i="59"/>
  <c r="E149" i="59"/>
  <c r="D149" i="59"/>
  <c r="C149" i="59"/>
  <c r="B149" i="59"/>
  <c r="T148" i="59"/>
  <c r="M148" i="59"/>
  <c r="L148" i="59"/>
  <c r="J148" i="59"/>
  <c r="I148" i="59"/>
  <c r="F148" i="59"/>
  <c r="E148" i="59"/>
  <c r="D148" i="59"/>
  <c r="C148" i="59"/>
  <c r="B148" i="59"/>
  <c r="T151" i="59"/>
  <c r="M151" i="59"/>
  <c r="L151" i="59"/>
  <c r="J151" i="59"/>
  <c r="I151" i="59"/>
  <c r="F151" i="59"/>
  <c r="E151" i="59"/>
  <c r="D151" i="59"/>
  <c r="C151" i="59"/>
  <c r="B151" i="59"/>
  <c r="T122" i="59"/>
  <c r="M122" i="59"/>
  <c r="L122" i="59"/>
  <c r="J122" i="59"/>
  <c r="I122" i="59"/>
  <c r="F122" i="59"/>
  <c r="E122" i="59"/>
  <c r="D122" i="59"/>
  <c r="C122" i="59"/>
  <c r="B122" i="59"/>
  <c r="T120" i="59"/>
  <c r="M120" i="59"/>
  <c r="L120" i="59"/>
  <c r="J120" i="59"/>
  <c r="I120" i="59"/>
  <c r="F120" i="59"/>
  <c r="E120" i="59"/>
  <c r="D120" i="59"/>
  <c r="C120" i="59"/>
  <c r="B120" i="59"/>
  <c r="T104" i="59"/>
  <c r="M104" i="59"/>
  <c r="L104" i="59"/>
  <c r="J104" i="59"/>
  <c r="I104" i="59"/>
  <c r="F104" i="59"/>
  <c r="E104" i="59"/>
  <c r="D104" i="59"/>
  <c r="C104" i="59"/>
  <c r="B104" i="59"/>
  <c r="T105" i="59"/>
  <c r="M105" i="59"/>
  <c r="L105" i="59"/>
  <c r="J105" i="59"/>
  <c r="I105" i="59"/>
  <c r="F105" i="59"/>
  <c r="E105" i="59"/>
  <c r="D105" i="59"/>
  <c r="C105" i="59"/>
  <c r="B105" i="59"/>
  <c r="T111" i="59"/>
  <c r="M111" i="59"/>
  <c r="L111" i="59"/>
  <c r="I111" i="59"/>
  <c r="F111" i="59"/>
  <c r="E111" i="59"/>
  <c r="D111" i="59"/>
  <c r="C111" i="59"/>
  <c r="B111" i="59"/>
  <c r="T112" i="59"/>
  <c r="M112" i="59"/>
  <c r="L112" i="59"/>
  <c r="I112" i="59"/>
  <c r="F112" i="59"/>
  <c r="E112" i="59"/>
  <c r="D112" i="59"/>
  <c r="C112" i="59"/>
  <c r="B112" i="59"/>
  <c r="T107" i="59"/>
  <c r="M107" i="59"/>
  <c r="L107" i="59"/>
  <c r="I107" i="59"/>
  <c r="F107" i="59"/>
  <c r="E107" i="59"/>
  <c r="D107" i="59"/>
  <c r="C107" i="59"/>
  <c r="B107" i="59"/>
  <c r="T110" i="59"/>
  <c r="L110" i="59"/>
  <c r="I110" i="59"/>
  <c r="F110" i="59"/>
  <c r="E110" i="59"/>
  <c r="D110" i="59"/>
  <c r="C110" i="59"/>
  <c r="B110" i="59"/>
  <c r="T114" i="59"/>
  <c r="M114" i="59"/>
  <c r="L114" i="59"/>
  <c r="J114" i="59"/>
  <c r="I114" i="59"/>
  <c r="F114" i="59"/>
  <c r="E114" i="59"/>
  <c r="D114" i="59"/>
  <c r="C114" i="59"/>
  <c r="B114" i="59"/>
  <c r="T102" i="59"/>
  <c r="M102" i="59"/>
  <c r="L102" i="59"/>
  <c r="J102" i="59"/>
  <c r="I102" i="59"/>
  <c r="F102" i="59"/>
  <c r="E102" i="59"/>
  <c r="D102" i="59"/>
  <c r="C102" i="59"/>
  <c r="B102" i="59"/>
  <c r="T101" i="59"/>
  <c r="M101" i="59"/>
  <c r="L101" i="59"/>
  <c r="J101" i="59"/>
  <c r="I101" i="59"/>
  <c r="F101" i="59"/>
  <c r="E101" i="59"/>
  <c r="D101" i="59"/>
  <c r="C101" i="59"/>
  <c r="B101" i="59"/>
  <c r="T84" i="59"/>
  <c r="M84" i="59"/>
  <c r="L84" i="59"/>
  <c r="J84" i="59"/>
  <c r="I84" i="59"/>
  <c r="F84" i="59"/>
  <c r="E84" i="59"/>
  <c r="D84" i="59"/>
  <c r="C84" i="59"/>
  <c r="B84" i="59"/>
  <c r="T86" i="59"/>
  <c r="M86" i="59"/>
  <c r="L86" i="59"/>
  <c r="J86" i="59"/>
  <c r="I86" i="59"/>
  <c r="F86" i="59"/>
  <c r="E86" i="59"/>
  <c r="D86" i="59"/>
  <c r="C86" i="59"/>
  <c r="B86" i="59"/>
  <c r="T87" i="59"/>
  <c r="M87" i="59"/>
  <c r="L87" i="59"/>
  <c r="J87" i="59"/>
  <c r="I87" i="59"/>
  <c r="F87" i="59"/>
  <c r="E87" i="59"/>
  <c r="D87" i="59"/>
  <c r="C87" i="59"/>
  <c r="B87" i="59"/>
  <c r="T77" i="59"/>
  <c r="M77" i="59"/>
  <c r="L77" i="59"/>
  <c r="J77" i="59"/>
  <c r="I77" i="59"/>
  <c r="F77" i="59"/>
  <c r="E77" i="59"/>
  <c r="D77" i="59"/>
  <c r="C77" i="59"/>
  <c r="B77" i="59"/>
  <c r="T85" i="59"/>
  <c r="L85" i="59"/>
  <c r="J85" i="59"/>
  <c r="I85" i="59"/>
  <c r="F85" i="59"/>
  <c r="E85" i="59"/>
  <c r="D85" i="59"/>
  <c r="C85" i="59"/>
  <c r="B85" i="59"/>
  <c r="T92" i="59"/>
  <c r="M92" i="59"/>
  <c r="L92" i="59"/>
  <c r="J92" i="59"/>
  <c r="I92" i="59"/>
  <c r="F92" i="59"/>
  <c r="E92" i="59"/>
  <c r="D92" i="59"/>
  <c r="C92" i="59"/>
  <c r="B92" i="59"/>
  <c r="T95" i="59"/>
  <c r="M95" i="59"/>
  <c r="L95" i="59"/>
  <c r="J95" i="59"/>
  <c r="I95" i="59"/>
  <c r="F95" i="59"/>
  <c r="E95" i="59"/>
  <c r="D95" i="59"/>
  <c r="C95" i="59"/>
  <c r="B95" i="59"/>
  <c r="T3" i="59"/>
  <c r="M3" i="59"/>
  <c r="L3" i="59"/>
  <c r="J3" i="59"/>
  <c r="I3" i="59"/>
  <c r="F3" i="59"/>
  <c r="E3" i="59"/>
  <c r="D3" i="59"/>
  <c r="C3" i="59"/>
  <c r="B3" i="59"/>
  <c r="T16" i="59"/>
  <c r="M16" i="59"/>
  <c r="L16" i="59"/>
  <c r="J16" i="59"/>
  <c r="I16" i="59"/>
  <c r="F16" i="59"/>
  <c r="E16" i="59"/>
  <c r="D16" i="59"/>
  <c r="C16" i="59"/>
  <c r="B16" i="59"/>
  <c r="T14" i="59"/>
  <c r="M14" i="59"/>
  <c r="L14" i="59"/>
  <c r="J14" i="59"/>
  <c r="I14" i="59"/>
  <c r="F14" i="59"/>
  <c r="E14" i="59"/>
  <c r="D14" i="59"/>
  <c r="C14" i="59"/>
  <c r="B14" i="59"/>
  <c r="T266" i="59"/>
  <c r="M266" i="59"/>
  <c r="L266" i="59"/>
  <c r="J266" i="59"/>
  <c r="I266" i="59"/>
  <c r="F266" i="59"/>
  <c r="E266" i="59"/>
  <c r="D266" i="59"/>
  <c r="C266" i="59"/>
  <c r="B266" i="59"/>
  <c r="T268" i="59"/>
  <c r="M268" i="59"/>
  <c r="L268" i="59"/>
  <c r="J268" i="59"/>
  <c r="I268" i="59"/>
  <c r="F268" i="59"/>
  <c r="E268" i="59"/>
  <c r="D268" i="59"/>
  <c r="C268" i="59"/>
  <c r="B268" i="59"/>
  <c r="T267" i="59"/>
  <c r="M267" i="59"/>
  <c r="L267" i="59"/>
  <c r="J267" i="59"/>
  <c r="I267" i="59"/>
  <c r="F267" i="59"/>
  <c r="E267" i="59"/>
  <c r="D267" i="59"/>
  <c r="C267" i="59"/>
  <c r="B267" i="59"/>
  <c r="T38" i="59"/>
  <c r="M38" i="59"/>
  <c r="L38" i="59"/>
  <c r="J38" i="59"/>
  <c r="I38" i="59"/>
  <c r="F38" i="59"/>
  <c r="E38" i="59"/>
  <c r="D38" i="59"/>
  <c r="C38" i="59"/>
  <c r="B38" i="59"/>
  <c r="T36" i="59"/>
  <c r="M36" i="59"/>
  <c r="L36" i="59"/>
  <c r="J36" i="59"/>
  <c r="I36" i="59"/>
  <c r="F36" i="59"/>
  <c r="E36" i="59"/>
  <c r="D36" i="59"/>
  <c r="C36" i="59"/>
  <c r="B36" i="59"/>
  <c r="T54" i="59"/>
  <c r="M54" i="59"/>
  <c r="L54" i="59"/>
  <c r="J54" i="59"/>
  <c r="I54" i="59"/>
  <c r="F54" i="59"/>
  <c r="E54" i="59"/>
  <c r="D54" i="59"/>
  <c r="C54" i="59"/>
  <c r="B54" i="59"/>
  <c r="T53" i="59"/>
  <c r="M53" i="59"/>
  <c r="L53" i="59"/>
  <c r="J53" i="59"/>
  <c r="I53" i="59"/>
  <c r="F53" i="59"/>
  <c r="E53" i="59"/>
  <c r="D53" i="59"/>
  <c r="C53" i="59"/>
  <c r="B53" i="59"/>
  <c r="T60" i="59"/>
  <c r="M60" i="59"/>
  <c r="L60" i="59"/>
  <c r="J60" i="59"/>
  <c r="I60" i="59"/>
  <c r="F60" i="59"/>
  <c r="E60" i="59"/>
  <c r="D60" i="59"/>
  <c r="C60" i="59"/>
  <c r="B60" i="59"/>
  <c r="T58" i="59"/>
  <c r="M58" i="59"/>
  <c r="L58" i="59"/>
  <c r="J58" i="59"/>
  <c r="I58" i="59"/>
  <c r="F58" i="59"/>
  <c r="E58" i="59"/>
  <c r="D58" i="59"/>
  <c r="C58" i="59"/>
  <c r="B58" i="59"/>
  <c r="T61" i="59"/>
  <c r="M61" i="59"/>
  <c r="L61" i="59"/>
  <c r="J61" i="59"/>
  <c r="I61" i="59"/>
  <c r="F61" i="59"/>
  <c r="E61" i="59"/>
  <c r="D61" i="59"/>
  <c r="C61" i="59"/>
  <c r="B61" i="59"/>
  <c r="T59" i="59"/>
  <c r="M59" i="59"/>
  <c r="L59" i="59"/>
  <c r="J59" i="59"/>
  <c r="I59" i="59"/>
  <c r="F59" i="59"/>
  <c r="E59" i="59"/>
  <c r="D59" i="59"/>
  <c r="C59" i="59"/>
  <c r="B59" i="59"/>
  <c r="T68" i="59"/>
  <c r="M68" i="59"/>
  <c r="L68" i="59"/>
  <c r="J68" i="59"/>
  <c r="I68" i="59"/>
  <c r="F68" i="59"/>
  <c r="E68" i="59"/>
  <c r="D68" i="59"/>
  <c r="C68" i="59"/>
  <c r="B68" i="59"/>
  <c r="T67" i="59"/>
  <c r="M67" i="59"/>
  <c r="L67" i="59"/>
  <c r="J67" i="59"/>
  <c r="I67" i="59"/>
  <c r="F67" i="59"/>
  <c r="E67" i="59"/>
  <c r="D67" i="59"/>
  <c r="C67" i="59"/>
  <c r="B67" i="59"/>
  <c r="T73" i="59"/>
  <c r="M73" i="59"/>
  <c r="L73" i="59"/>
  <c r="J73" i="59"/>
  <c r="I73" i="59"/>
  <c r="F73" i="59"/>
  <c r="E73" i="59"/>
  <c r="D73" i="59"/>
  <c r="C73" i="59"/>
  <c r="B73" i="59"/>
  <c r="T75" i="59"/>
  <c r="M75" i="59"/>
  <c r="L75" i="59"/>
  <c r="J75" i="59"/>
  <c r="I75" i="59"/>
  <c r="F75" i="59"/>
  <c r="E75" i="59"/>
  <c r="D75" i="59"/>
  <c r="C75" i="59"/>
  <c r="B75" i="59"/>
  <c r="T74" i="59"/>
  <c r="M74" i="59"/>
  <c r="L74" i="59"/>
  <c r="J74" i="59"/>
  <c r="I74" i="59"/>
  <c r="F74" i="59"/>
  <c r="E74" i="59"/>
  <c r="D74" i="59"/>
  <c r="C74" i="59"/>
  <c r="B74" i="59"/>
  <c r="T70" i="59"/>
  <c r="M70" i="59"/>
  <c r="L70" i="59"/>
  <c r="J70" i="59"/>
  <c r="I70" i="59"/>
  <c r="F70" i="59"/>
  <c r="E70" i="59"/>
  <c r="D70" i="59"/>
  <c r="C70" i="59"/>
  <c r="B70" i="59"/>
  <c r="T69" i="59"/>
  <c r="M69" i="59"/>
  <c r="L69" i="59"/>
  <c r="J69" i="59"/>
  <c r="I69" i="59"/>
  <c r="F69" i="59"/>
  <c r="E69" i="59"/>
  <c r="D69" i="59"/>
  <c r="C69" i="59"/>
  <c r="B69" i="59"/>
  <c r="T72" i="59"/>
  <c r="M72" i="59"/>
  <c r="L72" i="59"/>
  <c r="J72" i="59"/>
  <c r="I72" i="59"/>
  <c r="F72" i="59"/>
  <c r="E72" i="59"/>
  <c r="D72" i="59"/>
  <c r="C72" i="59"/>
  <c r="B72" i="59"/>
  <c r="T71" i="59"/>
  <c r="M71" i="59"/>
  <c r="L71" i="59"/>
  <c r="J71" i="59"/>
  <c r="I71" i="59"/>
  <c r="F71" i="59"/>
  <c r="E71" i="59"/>
  <c r="D71" i="59"/>
  <c r="C71" i="59"/>
  <c r="B71" i="59"/>
  <c r="T65" i="59"/>
  <c r="M65" i="59"/>
  <c r="L65" i="59"/>
  <c r="J65" i="59"/>
  <c r="I65" i="59"/>
  <c r="F65" i="59"/>
  <c r="E65" i="59"/>
  <c r="D65" i="59"/>
  <c r="C65" i="59"/>
  <c r="B65" i="59"/>
  <c r="T64" i="59"/>
  <c r="M64" i="59"/>
  <c r="L64" i="59"/>
  <c r="J64" i="59"/>
  <c r="I64" i="59"/>
  <c r="F64" i="59"/>
  <c r="E64" i="59"/>
  <c r="D64" i="59"/>
  <c r="C64" i="59"/>
  <c r="B64" i="59"/>
  <c r="T62" i="59"/>
  <c r="M62" i="59"/>
  <c r="L62" i="59"/>
  <c r="J62" i="59"/>
  <c r="I62" i="59"/>
  <c r="F62" i="59"/>
  <c r="E62" i="59"/>
  <c r="D62" i="59"/>
  <c r="C62" i="59"/>
  <c r="B62" i="59"/>
  <c r="T63" i="59"/>
  <c r="M63" i="59"/>
  <c r="L63" i="59"/>
  <c r="J63" i="59"/>
  <c r="I63" i="59"/>
  <c r="F63" i="59"/>
  <c r="E63" i="59"/>
  <c r="D63" i="59"/>
  <c r="C63" i="59"/>
  <c r="B63" i="59"/>
  <c r="D40" i="26"/>
  <c r="T232" i="59"/>
  <c r="M232" i="59"/>
  <c r="L232" i="59"/>
  <c r="J232" i="59"/>
  <c r="I232" i="59"/>
  <c r="F232" i="59"/>
  <c r="E232" i="59"/>
  <c r="D232" i="59"/>
  <c r="C232" i="59"/>
  <c r="B232" i="59"/>
  <c r="G387" i="59" l="1"/>
  <c r="G401" i="59"/>
  <c r="G323" i="59"/>
  <c r="G330" i="59"/>
  <c r="G344" i="59"/>
  <c r="G358" i="59"/>
  <c r="G365" i="59"/>
  <c r="G372" i="59"/>
  <c r="G300" i="59"/>
  <c r="G411" i="59"/>
  <c r="G339" i="59"/>
  <c r="G333" i="59"/>
  <c r="G319" i="59"/>
  <c r="G425" i="59"/>
  <c r="G432" i="59"/>
  <c r="G460" i="59"/>
  <c r="G467" i="59"/>
  <c r="G392" i="59"/>
  <c r="G399" i="59"/>
  <c r="G428" i="59"/>
  <c r="G435" i="59"/>
  <c r="G449" i="59"/>
  <c r="G456" i="59"/>
  <c r="G342" i="59"/>
  <c r="G462" i="59"/>
  <c r="G469" i="59"/>
  <c r="G296" i="59"/>
  <c r="G303" i="59"/>
  <c r="G373" i="59"/>
  <c r="G480" i="59"/>
  <c r="G463" i="59"/>
  <c r="G477" i="59"/>
  <c r="G307" i="59"/>
  <c r="G314" i="59"/>
  <c r="G321" i="59"/>
  <c r="G328" i="59"/>
  <c r="G335" i="59"/>
  <c r="G374" i="59"/>
  <c r="G381" i="59"/>
  <c r="G388" i="59"/>
  <c r="G395" i="59"/>
  <c r="G409" i="59"/>
  <c r="G424" i="59"/>
  <c r="G438" i="59"/>
  <c r="G452" i="59"/>
  <c r="G459" i="59"/>
  <c r="G310" i="59"/>
  <c r="G317" i="59"/>
  <c r="G331" i="59"/>
  <c r="G338" i="59"/>
  <c r="G384" i="59"/>
  <c r="G398" i="59"/>
  <c r="G412" i="59"/>
  <c r="G420" i="59"/>
  <c r="G345" i="59"/>
  <c r="G359" i="59"/>
  <c r="G366" i="59"/>
  <c r="G483" i="59"/>
  <c r="G430" i="59"/>
  <c r="G437" i="59"/>
  <c r="G444" i="59"/>
  <c r="G302" i="59"/>
  <c r="G440" i="59"/>
  <c r="G400" i="59"/>
  <c r="G311" i="59"/>
  <c r="G464" i="59"/>
  <c r="G334" i="59"/>
  <c r="G380" i="59"/>
  <c r="G427" i="59"/>
  <c r="G451" i="59"/>
  <c r="G473" i="59"/>
  <c r="G362" i="59"/>
  <c r="G297" i="59"/>
  <c r="G308" i="59"/>
  <c r="G326" i="59"/>
  <c r="G386" i="59"/>
  <c r="G393" i="59"/>
  <c r="G426" i="59"/>
  <c r="G465" i="59"/>
  <c r="G472" i="59"/>
  <c r="G479" i="59"/>
  <c r="G304" i="59"/>
  <c r="G315" i="59"/>
  <c r="G325" i="59"/>
  <c r="G347" i="59"/>
  <c r="G354" i="59"/>
  <c r="G361" i="59"/>
  <c r="G407" i="59"/>
  <c r="G414" i="59"/>
  <c r="G454" i="59"/>
  <c r="G448" i="59"/>
  <c r="G322" i="59"/>
  <c r="G375" i="59"/>
  <c r="G389" i="59"/>
  <c r="G429" i="59"/>
  <c r="G436" i="59"/>
  <c r="G461" i="59"/>
  <c r="G468" i="59"/>
  <c r="G475" i="59"/>
  <c r="G415" i="59"/>
  <c r="G318" i="59"/>
  <c r="G343" i="59"/>
  <c r="G357" i="59"/>
  <c r="G403" i="59"/>
  <c r="G418" i="59"/>
  <c r="G443" i="59"/>
  <c r="G457" i="59"/>
  <c r="G482" i="59"/>
  <c r="G316" i="59"/>
  <c r="G441" i="59"/>
  <c r="G356" i="59"/>
  <c r="G370" i="59"/>
  <c r="G305" i="59"/>
  <c r="G346" i="59"/>
  <c r="G353" i="59"/>
  <c r="G367" i="59"/>
  <c r="G421" i="59"/>
  <c r="G446" i="59"/>
  <c r="G306" i="59"/>
  <c r="G439" i="59"/>
  <c r="G329" i="59"/>
  <c r="G337" i="59"/>
  <c r="G364" i="59"/>
  <c r="G383" i="59"/>
  <c r="G391" i="59"/>
  <c r="G410" i="59"/>
  <c r="G419" i="59"/>
  <c r="G431" i="59"/>
  <c r="G447" i="59"/>
  <c r="G455" i="59"/>
  <c r="G471" i="59"/>
  <c r="G360" i="59"/>
  <c r="G371" i="59"/>
  <c r="G394" i="59"/>
  <c r="G402" i="59"/>
  <c r="G458" i="59"/>
  <c r="G474" i="59"/>
  <c r="G478" i="59"/>
  <c r="G340" i="59"/>
  <c r="G348" i="59"/>
  <c r="G413" i="59"/>
  <c r="G422" i="59"/>
  <c r="G434" i="59"/>
  <c r="G442" i="59"/>
  <c r="G466" i="59"/>
  <c r="G349" i="59"/>
  <c r="G352" i="59"/>
  <c r="G382" i="59"/>
  <c r="G450" i="59"/>
  <c r="G470" i="59"/>
  <c r="G312" i="59"/>
  <c r="G320" i="59"/>
  <c r="G351" i="59"/>
  <c r="G378" i="59"/>
  <c r="G397" i="59"/>
  <c r="G405" i="59"/>
  <c r="G481" i="59"/>
  <c r="G368" i="59"/>
  <c r="G376" i="59"/>
  <c r="G423" i="59"/>
  <c r="G406" i="59"/>
  <c r="G301" i="59"/>
  <c r="G309" i="59"/>
  <c r="G332" i="59"/>
  <c r="G336" i="59"/>
  <c r="G363" i="59"/>
  <c r="G327" i="59"/>
  <c r="G385" i="59"/>
  <c r="G408" i="59"/>
  <c r="G417" i="59"/>
  <c r="G433" i="59"/>
  <c r="G445" i="59"/>
  <c r="G453" i="59"/>
  <c r="G298" i="59"/>
  <c r="G341" i="59"/>
  <c r="G379" i="59"/>
  <c r="G324" i="59"/>
  <c r="G390" i="59"/>
  <c r="G313" i="59"/>
  <c r="G355" i="59"/>
  <c r="G299" i="59"/>
  <c r="G369" i="59"/>
  <c r="G377" i="59"/>
  <c r="G396" i="59"/>
  <c r="G404" i="59"/>
  <c r="G476" i="59"/>
  <c r="G80" i="59"/>
  <c r="G81" i="59"/>
  <c r="G43" i="59"/>
  <c r="G44" i="59"/>
  <c r="G45" i="59"/>
  <c r="G46" i="59"/>
  <c r="G26" i="59"/>
  <c r="G27" i="59"/>
  <c r="G25" i="59"/>
  <c r="G24" i="59"/>
  <c r="G137" i="59"/>
  <c r="G136" i="59"/>
  <c r="G129" i="59"/>
  <c r="G130" i="59"/>
  <c r="G131" i="59"/>
  <c r="G132" i="59"/>
  <c r="G133" i="59"/>
  <c r="G134" i="59"/>
  <c r="G128" i="59"/>
  <c r="G127" i="59"/>
  <c r="G144" i="59"/>
  <c r="G142" i="59"/>
  <c r="G150" i="59"/>
  <c r="G235" i="59"/>
  <c r="G233" i="59"/>
  <c r="G4" i="59"/>
  <c r="G5" i="59"/>
  <c r="G6" i="59"/>
  <c r="G7" i="59"/>
  <c r="G8" i="59"/>
  <c r="G9" i="59"/>
  <c r="G10" i="59"/>
  <c r="G17" i="59"/>
  <c r="G18" i="59"/>
  <c r="G19" i="59"/>
  <c r="G20" i="59"/>
  <c r="G21" i="59"/>
  <c r="G22" i="59"/>
  <c r="G23" i="59"/>
  <c r="G12" i="59"/>
  <c r="G276" i="59"/>
  <c r="G275" i="59"/>
  <c r="G209" i="59"/>
  <c r="G109" i="59"/>
  <c r="G138" i="59"/>
  <c r="G147" i="59"/>
  <c r="G118" i="59"/>
  <c r="G125" i="59"/>
  <c r="G143" i="59"/>
  <c r="G222" i="59"/>
  <c r="G221" i="59"/>
  <c r="G220" i="59"/>
  <c r="G218" i="59"/>
  <c r="G229" i="59"/>
  <c r="G50" i="59"/>
  <c r="G49" i="59"/>
  <c r="G48" i="59"/>
  <c r="G47" i="59"/>
  <c r="G108" i="59"/>
  <c r="G205" i="59"/>
  <c r="G113" i="59"/>
  <c r="G78" i="59"/>
  <c r="G187" i="59"/>
  <c r="G279" i="59"/>
  <c r="G278" i="59"/>
  <c r="G211" i="59"/>
  <c r="G269" i="59"/>
  <c r="G283" i="59"/>
  <c r="G280" i="59"/>
  <c r="G281" i="59"/>
  <c r="G282" i="59"/>
  <c r="G121" i="59"/>
  <c r="G258" i="59"/>
  <c r="G119" i="59"/>
  <c r="G106" i="59"/>
  <c r="G103" i="59"/>
  <c r="G189" i="59"/>
  <c r="G215" i="59"/>
  <c r="G295" i="59"/>
  <c r="G264" i="59"/>
  <c r="G265" i="59"/>
  <c r="G158" i="59"/>
  <c r="G152" i="59"/>
  <c r="G159" i="59"/>
  <c r="G160" i="59"/>
  <c r="G153" i="59"/>
  <c r="G154" i="59"/>
  <c r="G272" i="59"/>
  <c r="G182" i="59"/>
  <c r="G183" i="59"/>
  <c r="G180" i="59"/>
  <c r="G181" i="59"/>
  <c r="G178" i="59"/>
  <c r="G179" i="59"/>
  <c r="G176" i="59"/>
  <c r="G177" i="59"/>
  <c r="G174" i="59"/>
  <c r="G175" i="59"/>
  <c r="G172" i="59"/>
  <c r="G173" i="59"/>
  <c r="G170" i="59"/>
  <c r="G171" i="59"/>
  <c r="G223" i="59"/>
  <c r="G252" i="59"/>
  <c r="G244" i="59"/>
  <c r="G230" i="59"/>
  <c r="G227" i="59"/>
  <c r="G248" i="59"/>
  <c r="G240" i="59"/>
  <c r="G237" i="59"/>
  <c r="G224" i="59"/>
  <c r="G287" i="59"/>
  <c r="G289" i="59"/>
  <c r="G290" i="59"/>
  <c r="G91" i="59"/>
  <c r="G97" i="59"/>
  <c r="G96" i="59"/>
  <c r="G93" i="59"/>
  <c r="G89" i="59"/>
  <c r="G94" i="59"/>
  <c r="G90" i="59"/>
  <c r="G88" i="59"/>
  <c r="G83" i="59"/>
  <c r="G82" i="59"/>
  <c r="G79" i="59"/>
  <c r="G100" i="59"/>
  <c r="G117" i="59"/>
  <c r="G116" i="59"/>
  <c r="G115" i="59"/>
  <c r="G32" i="59"/>
  <c r="G13" i="59"/>
  <c r="G11" i="59"/>
  <c r="G15" i="59"/>
  <c r="G146" i="59"/>
  <c r="G126" i="59"/>
  <c r="G135" i="59"/>
  <c r="G52" i="59"/>
  <c r="G76" i="59"/>
  <c r="G39" i="59"/>
  <c r="G35" i="59"/>
  <c r="G57" i="59"/>
  <c r="G55" i="59"/>
  <c r="G56" i="59"/>
  <c r="G51" i="59"/>
  <c r="G40" i="59"/>
  <c r="G42" i="59"/>
  <c r="G41" i="59"/>
  <c r="G37" i="59"/>
  <c r="G66" i="59"/>
  <c r="G195" i="59"/>
  <c r="G196" i="59"/>
  <c r="G168" i="59"/>
  <c r="G204" i="59"/>
  <c r="G169" i="59"/>
  <c r="G203" i="59"/>
  <c r="G164" i="59"/>
  <c r="G198" i="59"/>
  <c r="G271" i="59"/>
  <c r="G273" i="59"/>
  <c r="G274" i="59"/>
  <c r="G270" i="59"/>
  <c r="G262" i="59"/>
  <c r="G261" i="59"/>
  <c r="G206" i="59"/>
  <c r="G191" i="59"/>
  <c r="G194" i="59"/>
  <c r="G212" i="59"/>
  <c r="G210" i="59"/>
  <c r="G213" i="59"/>
  <c r="G197" i="59"/>
  <c r="G190" i="59"/>
  <c r="G192" i="59"/>
  <c r="G207" i="59"/>
  <c r="G208" i="59"/>
  <c r="G214" i="59"/>
  <c r="G199" i="59"/>
  <c r="G200" i="59"/>
  <c r="G216" i="59"/>
  <c r="G217" i="59"/>
  <c r="G201" i="59"/>
  <c r="G202" i="59"/>
  <c r="G188" i="59"/>
  <c r="G186" i="59"/>
  <c r="G163" i="59"/>
  <c r="G165" i="59"/>
  <c r="G166" i="59"/>
  <c r="G167" i="59"/>
  <c r="G184" i="59"/>
  <c r="G185" i="59"/>
  <c r="G294" i="59"/>
  <c r="G293" i="59"/>
  <c r="G292" i="59"/>
  <c r="G162" i="59"/>
  <c r="G161" i="59"/>
  <c r="G156" i="59"/>
  <c r="G155" i="59"/>
  <c r="G151" i="59"/>
  <c r="G148" i="59"/>
  <c r="G149" i="59"/>
  <c r="G139" i="59"/>
  <c r="G140" i="59"/>
  <c r="G124" i="59"/>
  <c r="G123" i="59"/>
  <c r="G145" i="59"/>
  <c r="G141" i="59"/>
  <c r="G120" i="59"/>
  <c r="G122" i="59"/>
  <c r="G114" i="59"/>
  <c r="G110" i="59"/>
  <c r="G107" i="59"/>
  <c r="G112" i="59"/>
  <c r="G111" i="59"/>
  <c r="G105" i="59"/>
  <c r="G104" i="59"/>
  <c r="G101" i="59"/>
  <c r="G102" i="59"/>
  <c r="G95" i="59"/>
  <c r="G92" i="59"/>
  <c r="G85" i="59"/>
  <c r="G77" i="59"/>
  <c r="G87" i="59"/>
  <c r="G86" i="59"/>
  <c r="G84" i="59"/>
  <c r="G14" i="59"/>
  <c r="G16" i="59"/>
  <c r="G3" i="59"/>
  <c r="G267" i="59"/>
  <c r="G268" i="59"/>
  <c r="G266" i="59"/>
  <c r="G63" i="59"/>
  <c r="G62" i="59"/>
  <c r="G64" i="59"/>
  <c r="G65" i="59"/>
  <c r="G71" i="59"/>
  <c r="G72" i="59"/>
  <c r="G69" i="59"/>
  <c r="G70" i="59"/>
  <c r="G74" i="59"/>
  <c r="G75" i="59"/>
  <c r="G73" i="59"/>
  <c r="G67" i="59"/>
  <c r="G68" i="59"/>
  <c r="G59" i="59"/>
  <c r="G61" i="59"/>
  <c r="G58" i="59"/>
  <c r="G60" i="59"/>
  <c r="G53" i="59"/>
  <c r="G54" i="59"/>
  <c r="G36" i="59"/>
  <c r="G38" i="59"/>
  <c r="G232" i="59"/>
  <c r="T242" i="59" l="1"/>
  <c r="M242" i="59"/>
  <c r="L242" i="59"/>
  <c r="J242" i="59"/>
  <c r="I242" i="59"/>
  <c r="F242" i="59"/>
  <c r="E242" i="59"/>
  <c r="D242" i="59"/>
  <c r="C242" i="59"/>
  <c r="B242" i="59"/>
  <c r="T250" i="59"/>
  <c r="M250" i="59"/>
  <c r="L250" i="59"/>
  <c r="J250" i="59"/>
  <c r="I250" i="59"/>
  <c r="F250" i="59"/>
  <c r="E250" i="59"/>
  <c r="D250" i="59"/>
  <c r="C250" i="59"/>
  <c r="B250" i="59"/>
  <c r="T236" i="59"/>
  <c r="M236" i="59"/>
  <c r="L236" i="59"/>
  <c r="J236" i="59"/>
  <c r="I236" i="59"/>
  <c r="F236" i="59"/>
  <c r="E236" i="59"/>
  <c r="D236" i="59"/>
  <c r="C236" i="59"/>
  <c r="B236" i="59"/>
  <c r="T228" i="59"/>
  <c r="M228" i="59"/>
  <c r="L228" i="59"/>
  <c r="J228" i="59"/>
  <c r="I228" i="59"/>
  <c r="F228" i="59"/>
  <c r="E228" i="59"/>
  <c r="D228" i="59"/>
  <c r="C228" i="59"/>
  <c r="B228" i="59"/>
  <c r="B1" i="60"/>
  <c r="G242" i="59" l="1"/>
  <c r="G236" i="59"/>
  <c r="G250" i="59"/>
  <c r="G228" i="59"/>
  <c r="T29" i="59" l="1"/>
  <c r="M29" i="59"/>
  <c r="L29" i="59"/>
  <c r="J29" i="59"/>
  <c r="I29" i="59"/>
  <c r="F29" i="59"/>
  <c r="E29" i="59"/>
  <c r="D29" i="59"/>
  <c r="C29" i="59"/>
  <c r="B29" i="59"/>
  <c r="T33" i="59"/>
  <c r="M33" i="59"/>
  <c r="L33" i="59"/>
  <c r="J33" i="59"/>
  <c r="I33" i="59"/>
  <c r="F33" i="59"/>
  <c r="E33" i="59"/>
  <c r="D33" i="59"/>
  <c r="C33" i="59"/>
  <c r="B33" i="59"/>
  <c r="T256" i="59"/>
  <c r="M256" i="59"/>
  <c r="L256" i="59"/>
  <c r="J256" i="59"/>
  <c r="I256" i="59"/>
  <c r="F256" i="59"/>
  <c r="E256" i="59"/>
  <c r="D256" i="59"/>
  <c r="C256" i="59"/>
  <c r="B256" i="59"/>
  <c r="T288" i="59"/>
  <c r="M288" i="59"/>
  <c r="L288" i="59"/>
  <c r="J288" i="59"/>
  <c r="I288" i="59"/>
  <c r="F288" i="59"/>
  <c r="E288" i="59"/>
  <c r="D288" i="59"/>
  <c r="C288" i="59"/>
  <c r="B288" i="59"/>
  <c r="T259" i="59"/>
  <c r="M259" i="59"/>
  <c r="L259" i="59"/>
  <c r="J259" i="59"/>
  <c r="I259" i="59"/>
  <c r="F259" i="59"/>
  <c r="E259" i="59"/>
  <c r="D259" i="59"/>
  <c r="C259" i="59"/>
  <c r="B259" i="59"/>
  <c r="T28" i="59"/>
  <c r="M28" i="59"/>
  <c r="L28" i="59"/>
  <c r="J28" i="59"/>
  <c r="I28" i="59"/>
  <c r="F28" i="59"/>
  <c r="E28" i="59"/>
  <c r="D28" i="59"/>
  <c r="C28" i="59"/>
  <c r="B28" i="59"/>
  <c r="T30" i="59"/>
  <c r="M30" i="59"/>
  <c r="L30" i="59"/>
  <c r="J30" i="59"/>
  <c r="I30" i="59"/>
  <c r="F30" i="59"/>
  <c r="E30" i="59"/>
  <c r="D30" i="59"/>
  <c r="C30" i="59"/>
  <c r="B30" i="59"/>
  <c r="T238" i="59"/>
  <c r="M238" i="59"/>
  <c r="L238" i="59"/>
  <c r="J238" i="59"/>
  <c r="I238" i="59"/>
  <c r="F238" i="59"/>
  <c r="E238" i="59"/>
  <c r="D238" i="59"/>
  <c r="C238" i="59"/>
  <c r="B238" i="59"/>
  <c r="T243" i="59"/>
  <c r="M243" i="59"/>
  <c r="L243" i="59"/>
  <c r="J243" i="59"/>
  <c r="I243" i="59"/>
  <c r="F243" i="59"/>
  <c r="E243" i="59"/>
  <c r="D243" i="59"/>
  <c r="C243" i="59"/>
  <c r="B243" i="59"/>
  <c r="T251" i="59"/>
  <c r="M251" i="59"/>
  <c r="L251" i="59"/>
  <c r="J251" i="59"/>
  <c r="I251" i="59"/>
  <c r="F251" i="59"/>
  <c r="E251" i="59"/>
  <c r="D251" i="59"/>
  <c r="C251" i="59"/>
  <c r="B251" i="59"/>
  <c r="T254" i="59"/>
  <c r="M254" i="59"/>
  <c r="L254" i="59"/>
  <c r="J254" i="59"/>
  <c r="I254" i="59"/>
  <c r="F254" i="59"/>
  <c r="E254" i="59"/>
  <c r="D254" i="59"/>
  <c r="C254" i="59"/>
  <c r="B254" i="59"/>
  <c r="T234" i="59"/>
  <c r="M234" i="59"/>
  <c r="L234" i="59"/>
  <c r="J234" i="59"/>
  <c r="I234" i="59"/>
  <c r="F234" i="59"/>
  <c r="E234" i="59"/>
  <c r="D234" i="59"/>
  <c r="C234" i="59"/>
  <c r="B234" i="59"/>
  <c r="T241" i="59"/>
  <c r="M241" i="59"/>
  <c r="L241" i="59"/>
  <c r="J241" i="59"/>
  <c r="I241" i="59"/>
  <c r="F241" i="59"/>
  <c r="E241" i="59"/>
  <c r="D241" i="59"/>
  <c r="C241" i="59"/>
  <c r="B241" i="59"/>
  <c r="T249" i="59"/>
  <c r="M249" i="59"/>
  <c r="L249" i="59"/>
  <c r="J249" i="59"/>
  <c r="I249" i="59"/>
  <c r="F249" i="59"/>
  <c r="E249" i="59"/>
  <c r="D249" i="59"/>
  <c r="C249" i="59"/>
  <c r="B249" i="59"/>
  <c r="T226" i="59"/>
  <c r="M226" i="59"/>
  <c r="L226" i="59"/>
  <c r="J226" i="59"/>
  <c r="I226" i="59"/>
  <c r="F226" i="59"/>
  <c r="E226" i="59"/>
  <c r="D226" i="59"/>
  <c r="C226" i="59"/>
  <c r="B226" i="59"/>
  <c r="T225" i="59"/>
  <c r="M225" i="59"/>
  <c r="L225" i="59"/>
  <c r="J225" i="59"/>
  <c r="I225" i="59"/>
  <c r="F225" i="59"/>
  <c r="E225" i="59"/>
  <c r="D225" i="59"/>
  <c r="C225" i="59"/>
  <c r="B225" i="59"/>
  <c r="T231" i="59"/>
  <c r="M231" i="59"/>
  <c r="L231" i="59"/>
  <c r="J231" i="59"/>
  <c r="I231" i="59"/>
  <c r="F231" i="59"/>
  <c r="E231" i="59"/>
  <c r="D231" i="59"/>
  <c r="C231" i="59"/>
  <c r="B231" i="59"/>
  <c r="T245" i="59"/>
  <c r="M245" i="59"/>
  <c r="L245" i="59"/>
  <c r="J245" i="59"/>
  <c r="I245" i="59"/>
  <c r="F245" i="59"/>
  <c r="E245" i="59"/>
  <c r="D245" i="59"/>
  <c r="C245" i="59"/>
  <c r="B245" i="59"/>
  <c r="T247" i="59"/>
  <c r="M247" i="59"/>
  <c r="L247" i="59"/>
  <c r="J247" i="59"/>
  <c r="I247" i="59"/>
  <c r="F247" i="59"/>
  <c r="E247" i="59"/>
  <c r="D247" i="59"/>
  <c r="C247" i="59"/>
  <c r="B247" i="59"/>
  <c r="T253" i="59"/>
  <c r="M253" i="59"/>
  <c r="L253" i="59"/>
  <c r="J253" i="59"/>
  <c r="I253" i="59"/>
  <c r="F253" i="59"/>
  <c r="E253" i="59"/>
  <c r="D253" i="59"/>
  <c r="C253" i="59"/>
  <c r="B253" i="59"/>
  <c r="T219" i="59"/>
  <c r="M219" i="59"/>
  <c r="L219" i="59"/>
  <c r="J219" i="59"/>
  <c r="I219" i="59"/>
  <c r="F219" i="59"/>
  <c r="E219" i="59"/>
  <c r="D219" i="59"/>
  <c r="C219" i="59"/>
  <c r="B219" i="59"/>
  <c r="T239" i="59"/>
  <c r="M239" i="59"/>
  <c r="L239" i="59"/>
  <c r="J239" i="59"/>
  <c r="I239" i="59"/>
  <c r="F239" i="59"/>
  <c r="E239" i="59"/>
  <c r="D239" i="59"/>
  <c r="C239" i="59"/>
  <c r="B239" i="59"/>
  <c r="T246" i="59"/>
  <c r="M246" i="59"/>
  <c r="L246" i="59"/>
  <c r="J246" i="59"/>
  <c r="I246" i="59"/>
  <c r="F246" i="59"/>
  <c r="E246" i="59"/>
  <c r="D246" i="59"/>
  <c r="C246" i="59"/>
  <c r="B246" i="59"/>
  <c r="T277" i="59"/>
  <c r="M277" i="59"/>
  <c r="L277" i="59"/>
  <c r="J277" i="59"/>
  <c r="I277" i="59"/>
  <c r="F277" i="59"/>
  <c r="E277" i="59"/>
  <c r="D277" i="59"/>
  <c r="C277" i="59"/>
  <c r="B277" i="59"/>
  <c r="T263" i="59"/>
  <c r="M263" i="59"/>
  <c r="L263" i="59"/>
  <c r="J263" i="59"/>
  <c r="I263" i="59"/>
  <c r="F263" i="59"/>
  <c r="E263" i="59"/>
  <c r="D263" i="59"/>
  <c r="C263" i="59"/>
  <c r="B263" i="59"/>
  <c r="T284" i="59"/>
  <c r="M284" i="59"/>
  <c r="L284" i="59"/>
  <c r="J284" i="59"/>
  <c r="I284" i="59"/>
  <c r="F284" i="59"/>
  <c r="E284" i="59"/>
  <c r="D284" i="59"/>
  <c r="C284" i="59"/>
  <c r="B284" i="59"/>
  <c r="T285" i="59"/>
  <c r="M285" i="59"/>
  <c r="L285" i="59"/>
  <c r="J285" i="59"/>
  <c r="I285" i="59"/>
  <c r="F285" i="59"/>
  <c r="E285" i="59"/>
  <c r="D285" i="59"/>
  <c r="C285" i="59"/>
  <c r="B285" i="59"/>
  <c r="T286" i="59"/>
  <c r="M286" i="59"/>
  <c r="L286" i="59"/>
  <c r="J286" i="59"/>
  <c r="I286" i="59"/>
  <c r="F286" i="59"/>
  <c r="E286" i="59"/>
  <c r="D286" i="59"/>
  <c r="C286" i="59"/>
  <c r="B286" i="59"/>
  <c r="T260" i="59"/>
  <c r="M260" i="59"/>
  <c r="L260" i="59"/>
  <c r="J260" i="59"/>
  <c r="I260" i="59"/>
  <c r="F260" i="59"/>
  <c r="E260" i="59"/>
  <c r="D260" i="59"/>
  <c r="C260" i="59"/>
  <c r="B260" i="59"/>
  <c r="T255" i="59"/>
  <c r="M255" i="59"/>
  <c r="L255" i="59"/>
  <c r="J255" i="59"/>
  <c r="I255" i="59"/>
  <c r="F255" i="59"/>
  <c r="E255" i="59"/>
  <c r="D255" i="59"/>
  <c r="C255" i="59"/>
  <c r="B255" i="59"/>
  <c r="T291" i="59"/>
  <c r="M291" i="59"/>
  <c r="L291" i="59"/>
  <c r="J291" i="59"/>
  <c r="I291" i="59"/>
  <c r="F291" i="59"/>
  <c r="E291" i="59"/>
  <c r="D291" i="59"/>
  <c r="C291" i="59"/>
  <c r="B291" i="59"/>
  <c r="T257" i="59"/>
  <c r="M257" i="59"/>
  <c r="L257" i="59"/>
  <c r="J257" i="59"/>
  <c r="I257" i="59"/>
  <c r="F257" i="59"/>
  <c r="E257" i="59"/>
  <c r="D257" i="59"/>
  <c r="C257" i="59"/>
  <c r="T31" i="59"/>
  <c r="M31" i="59"/>
  <c r="L31" i="59"/>
  <c r="J31" i="59"/>
  <c r="I31" i="59"/>
  <c r="F31" i="59"/>
  <c r="E31" i="59"/>
  <c r="D31" i="59"/>
  <c r="C31" i="59"/>
  <c r="B31" i="59"/>
  <c r="T34" i="59"/>
  <c r="M34" i="59"/>
  <c r="L34" i="59"/>
  <c r="J34" i="59"/>
  <c r="I34" i="59"/>
  <c r="F34" i="59"/>
  <c r="E34" i="59"/>
  <c r="D34" i="59"/>
  <c r="C34" i="59"/>
  <c r="B34" i="59"/>
  <c r="L486" i="59" l="1"/>
  <c r="M486" i="59"/>
  <c r="G33" i="59"/>
  <c r="G29" i="59"/>
  <c r="G291" i="59"/>
  <c r="G255" i="59"/>
  <c r="G246" i="59"/>
  <c r="G257" i="59"/>
  <c r="G245" i="59"/>
  <c r="G288" i="59"/>
  <c r="G253" i="59"/>
  <c r="G231" i="59"/>
  <c r="G241" i="59"/>
  <c r="G30" i="59"/>
  <c r="G247" i="59"/>
  <c r="G263" i="59"/>
  <c r="G260" i="59"/>
  <c r="G251" i="59"/>
  <c r="G285" i="59"/>
  <c r="G259" i="59"/>
  <c r="G219" i="59"/>
  <c r="G226" i="59"/>
  <c r="G243" i="59"/>
  <c r="G256" i="59"/>
  <c r="G249" i="59"/>
  <c r="G238" i="59"/>
  <c r="G34" i="59"/>
  <c r="G31" i="59"/>
  <c r="G286" i="59"/>
  <c r="G239" i="59"/>
  <c r="G225" i="59"/>
  <c r="G254" i="59"/>
  <c r="G284" i="59"/>
  <c r="G277" i="59"/>
  <c r="G234" i="59"/>
  <c r="G28" i="59"/>
  <c r="G12" i="33" a="1"/>
  <c r="G12" i="33" s="1"/>
  <c r="G13" i="33" a="1"/>
  <c r="G13" i="33" s="1"/>
  <c r="G14" i="33" a="1"/>
  <c r="G14" i="33" s="1"/>
  <c r="G15" i="33" a="1"/>
  <c r="G15" i="33" s="1"/>
  <c r="G16" i="33" a="1"/>
  <c r="G16" i="33" s="1"/>
  <c r="G17" i="33" a="1"/>
  <c r="G17" i="33" s="1"/>
  <c r="C34" i="26" l="1"/>
  <c r="J204" i="50" l="1"/>
  <c r="J203" i="50"/>
  <c r="J202" i="50"/>
  <c r="J201" i="50"/>
  <c r="J200" i="50"/>
  <c r="J199" i="50"/>
  <c r="J198" i="50"/>
  <c r="J197" i="50"/>
  <c r="J196" i="50"/>
  <c r="J195" i="50"/>
  <c r="J194" i="50"/>
  <c r="J193" i="50"/>
  <c r="J192" i="50"/>
  <c r="J191" i="50"/>
  <c r="J190" i="50"/>
  <c r="J189" i="50"/>
  <c r="J188" i="50"/>
  <c r="J187" i="50"/>
  <c r="J186" i="50"/>
  <c r="J185" i="50"/>
  <c r="J214" i="50"/>
  <c r="J213" i="50"/>
  <c r="J212" i="50"/>
  <c r="J211" i="50"/>
  <c r="J210" i="50"/>
  <c r="J209" i="50"/>
  <c r="J208" i="50"/>
  <c r="J207" i="50"/>
  <c r="J206" i="50"/>
  <c r="J205" i="50"/>
  <c r="J224" i="50"/>
  <c r="J223" i="50"/>
  <c r="J222" i="50"/>
  <c r="J221" i="50"/>
  <c r="J220" i="50"/>
  <c r="J219" i="50"/>
  <c r="J218" i="50"/>
  <c r="J217" i="50"/>
  <c r="J216" i="50"/>
  <c r="J215" i="50"/>
  <c r="J94" i="50"/>
  <c r="J93" i="50"/>
  <c r="J87" i="50"/>
  <c r="J86" i="50"/>
  <c r="J85" i="50"/>
  <c r="J84" i="50"/>
  <c r="J83" i="50"/>
  <c r="J324" i="50" l="1"/>
  <c r="J323" i="50"/>
  <c r="J54" i="50"/>
  <c r="J21" i="50"/>
  <c r="J49" i="50"/>
  <c r="J45" i="50"/>
  <c r="J24" i="50"/>
  <c r="J23" i="50"/>
  <c r="J272" i="50"/>
  <c r="J254" i="50"/>
  <c r="J297" i="50"/>
  <c r="J301" i="50"/>
  <c r="J300" i="50"/>
  <c r="J241" i="50"/>
  <c r="J285" i="50"/>
  <c r="J286" i="50"/>
  <c r="J287" i="50"/>
  <c r="J283" i="50"/>
  <c r="J284" i="50"/>
  <c r="J275" i="50" l="1"/>
  <c r="J274" i="50"/>
  <c r="J306" i="50"/>
  <c r="J14" i="50"/>
  <c r="J13" i="50"/>
  <c r="J16" i="50"/>
  <c r="J15" i="50"/>
  <c r="J310" i="50"/>
  <c r="J309" i="50"/>
  <c r="J317" i="50"/>
  <c r="J316" i="50"/>
  <c r="J315" i="50"/>
  <c r="J314" i="50"/>
  <c r="J319" i="50"/>
  <c r="J318" i="50"/>
  <c r="J320" i="50"/>
  <c r="J12" i="50" l="1"/>
  <c r="J322" i="50" l="1"/>
  <c r="J321" i="50"/>
  <c r="J313" i="50"/>
  <c r="J312" i="50"/>
  <c r="J311" i="50"/>
  <c r="J308" i="50"/>
  <c r="J307" i="50"/>
  <c r="J304" i="50"/>
  <c r="J303" i="50"/>
  <c r="J302" i="50"/>
  <c r="J299" i="50"/>
  <c r="J298" i="50"/>
  <c r="J296" i="50"/>
  <c r="J295" i="50"/>
  <c r="J294" i="50"/>
  <c r="J293" i="50"/>
  <c r="J292" i="50"/>
  <c r="J291" i="50"/>
  <c r="J290" i="50"/>
  <c r="J289" i="50"/>
  <c r="J288" i="50"/>
  <c r="J282" i="50"/>
  <c r="J281" i="50"/>
  <c r="J280" i="50"/>
  <c r="J270" i="50"/>
  <c r="J269" i="50"/>
  <c r="J268" i="50"/>
  <c r="J267" i="50"/>
  <c r="J266" i="50"/>
  <c r="J265" i="50"/>
  <c r="J264" i="50"/>
  <c r="J263" i="50"/>
  <c r="J262" i="50"/>
  <c r="J261" i="50"/>
  <c r="J260" i="50"/>
  <c r="J259" i="50"/>
  <c r="J258" i="50"/>
  <c r="J257" i="50"/>
  <c r="J256" i="50"/>
  <c r="J255" i="50"/>
  <c r="J253" i="50"/>
  <c r="J252" i="50"/>
  <c r="J251" i="50"/>
  <c r="J250" i="50"/>
  <c r="J249" i="50"/>
  <c r="J248" i="50"/>
  <c r="J247" i="50"/>
  <c r="J246" i="50"/>
  <c r="J245" i="50"/>
  <c r="J244" i="50"/>
  <c r="J243" i="50"/>
  <c r="J242" i="50"/>
  <c r="J240" i="50"/>
  <c r="J239" i="50"/>
  <c r="J238" i="50"/>
  <c r="J237" i="50"/>
  <c r="J236" i="50"/>
  <c r="J235" i="50"/>
  <c r="J234" i="50"/>
  <c r="J233" i="50"/>
  <c r="J232" i="50"/>
  <c r="J231" i="50"/>
  <c r="J230" i="50"/>
  <c r="J229" i="50"/>
  <c r="J228" i="50"/>
  <c r="J227" i="50"/>
  <c r="J226" i="50"/>
  <c r="J225" i="50"/>
  <c r="J184" i="50"/>
  <c r="J183" i="50"/>
  <c r="J182" i="50"/>
  <c r="J181" i="50"/>
  <c r="J180" i="50"/>
  <c r="J179" i="50"/>
  <c r="J178" i="50"/>
  <c r="J177" i="50"/>
  <c r="J176" i="50"/>
  <c r="J175" i="50"/>
  <c r="J174" i="50"/>
  <c r="J173" i="50"/>
  <c r="J172" i="50"/>
  <c r="J171" i="50"/>
  <c r="J170" i="50"/>
  <c r="J169" i="50"/>
  <c r="J168" i="50"/>
  <c r="J167" i="50"/>
  <c r="J166" i="50"/>
  <c r="J165" i="50"/>
  <c r="J164" i="50"/>
  <c r="J163" i="50"/>
  <c r="J162" i="50"/>
  <c r="J161" i="50"/>
  <c r="J160" i="50"/>
  <c r="J159" i="50"/>
  <c r="J158" i="50"/>
  <c r="J157" i="50"/>
  <c r="J156" i="50"/>
  <c r="J155" i="50"/>
  <c r="J154" i="50"/>
  <c r="J153" i="50"/>
  <c r="J152" i="50"/>
  <c r="J151" i="50"/>
  <c r="J150" i="50"/>
  <c r="J149" i="50"/>
  <c r="J148" i="50"/>
  <c r="J147" i="50"/>
  <c r="J146" i="50"/>
  <c r="J145" i="50"/>
  <c r="J144" i="50"/>
  <c r="J143" i="50"/>
  <c r="J142" i="50"/>
  <c r="J141" i="50"/>
  <c r="J140" i="50"/>
  <c r="J139" i="50"/>
  <c r="J138" i="50"/>
  <c r="J137" i="50"/>
  <c r="J136" i="50"/>
  <c r="J135" i="50"/>
  <c r="J134" i="50"/>
  <c r="J133" i="50"/>
  <c r="J132" i="50"/>
  <c r="J131" i="50"/>
  <c r="J130" i="50"/>
  <c r="J129" i="50"/>
  <c r="J128" i="50"/>
  <c r="J127" i="50"/>
  <c r="J126" i="50"/>
  <c r="J125" i="50"/>
  <c r="J124" i="50"/>
  <c r="J123" i="50"/>
  <c r="J122" i="50"/>
  <c r="J121" i="50"/>
  <c r="J120" i="50"/>
  <c r="J119" i="50"/>
  <c r="J118" i="50"/>
  <c r="J117" i="50"/>
  <c r="J116" i="50"/>
  <c r="J115" i="50"/>
  <c r="J114" i="50"/>
  <c r="J113" i="50"/>
  <c r="J112" i="50"/>
  <c r="J111" i="50"/>
  <c r="J110" i="50"/>
  <c r="J109" i="50"/>
  <c r="J108" i="50"/>
  <c r="J107" i="50"/>
  <c r="J106" i="50"/>
  <c r="J105" i="50"/>
  <c r="J104" i="50"/>
  <c r="J103" i="50"/>
  <c r="J102" i="50"/>
  <c r="J101" i="50"/>
  <c r="J100" i="50"/>
  <c r="J99" i="50"/>
  <c r="J98" i="50"/>
  <c r="J97" i="50"/>
  <c r="J96" i="50"/>
  <c r="J95" i="50"/>
  <c r="J92" i="50"/>
  <c r="J91" i="50"/>
  <c r="J90" i="50"/>
  <c r="J89" i="50"/>
  <c r="J88" i="50"/>
  <c r="J82" i="50"/>
  <c r="J81" i="50"/>
  <c r="J80" i="50"/>
  <c r="J79" i="50"/>
  <c r="J78" i="50"/>
  <c r="J77" i="50"/>
  <c r="J76" i="50"/>
  <c r="J75" i="50"/>
  <c r="J74" i="50"/>
  <c r="J73" i="50"/>
  <c r="J72" i="50"/>
  <c r="J71" i="50"/>
  <c r="J70" i="50"/>
  <c r="J69" i="50"/>
  <c r="J68" i="50"/>
  <c r="J67" i="50"/>
  <c r="J66" i="50"/>
  <c r="J65" i="50"/>
  <c r="J64" i="50"/>
  <c r="J63" i="50"/>
  <c r="J62" i="50"/>
  <c r="J61" i="50"/>
  <c r="J60" i="50"/>
  <c r="J59" i="50"/>
  <c r="J58" i="50"/>
  <c r="J57" i="50"/>
  <c r="J56" i="50"/>
  <c r="J55" i="50"/>
  <c r="J53" i="50"/>
  <c r="J52" i="50"/>
  <c r="J51" i="50"/>
  <c r="J50" i="50"/>
  <c r="J48" i="50"/>
  <c r="J47" i="50"/>
  <c r="J46" i="50"/>
  <c r="J44" i="50"/>
  <c r="J43" i="50"/>
  <c r="J42" i="50"/>
  <c r="J41" i="50"/>
  <c r="J40" i="50"/>
  <c r="J39" i="50"/>
  <c r="J38" i="50"/>
  <c r="J37" i="50"/>
  <c r="J36" i="50"/>
  <c r="J35" i="50"/>
  <c r="J34" i="50"/>
  <c r="J33" i="50"/>
  <c r="J32" i="50"/>
  <c r="J31" i="50"/>
  <c r="J30" i="50"/>
  <c r="J29" i="50"/>
  <c r="J28" i="50"/>
  <c r="J27" i="50"/>
  <c r="J26" i="50"/>
  <c r="J25" i="50"/>
  <c r="J22" i="50"/>
  <c r="J20" i="50"/>
  <c r="J19" i="50"/>
  <c r="J18" i="50"/>
  <c r="J17" i="50"/>
  <c r="J11" i="50"/>
  <c r="J10" i="50"/>
  <c r="J9" i="50"/>
  <c r="J8" i="50"/>
  <c r="J7" i="50"/>
  <c r="B1" i="41" l="1"/>
  <c r="G24" i="33" a="1"/>
  <c r="G26" i="33" s="1"/>
  <c r="G6" i="33" a="1"/>
  <c r="G6" i="33" s="1"/>
  <c r="B1" i="26"/>
  <c r="B1" i="43"/>
  <c r="H30" i="33"/>
  <c r="B3" i="50"/>
  <c r="B1" i="51"/>
  <c r="B1" i="49"/>
  <c r="B4" i="43"/>
  <c r="B1" i="42"/>
  <c r="B1" i="31"/>
  <c r="H18" i="33"/>
  <c r="D6" i="28"/>
  <c r="D39" i="26" l="1"/>
  <c r="D42" i="26"/>
  <c r="B42" i="26"/>
  <c r="D38" i="26"/>
  <c r="B38" i="26"/>
  <c r="D41" i="26"/>
  <c r="G25" i="33"/>
  <c r="C22" i="26"/>
  <c r="G24" i="33"/>
  <c r="G10" i="33"/>
  <c r="G9" i="33"/>
  <c r="G29" i="33"/>
  <c r="G8" i="33"/>
  <c r="G28" i="33"/>
  <c r="D22" i="26"/>
  <c r="G7" i="33"/>
  <c r="G27" i="33"/>
  <c r="G11" i="33"/>
  <c r="B40" i="26"/>
  <c r="B39" i="26"/>
  <c r="G18" i="33" l="1"/>
  <c r="G30" i="3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<sst xmlns="http://schemas.openxmlformats.org/spreadsheetml/2006/main" count="11552" uniqueCount="1939">
  <si>
    <t>FIFA Event Technology - TEAP Planning Tool</t>
  </si>
  <si>
    <t>TEAP Planning Tool - Release 2.5| 21-Sep-21</t>
  </si>
  <si>
    <t>The TEAP Planning Tool (current release v2.4) is designed to be as low-maintenance as possible, applying a common approach and a common set of products and services to each FIFA tournament. Reference data</t>
  </si>
  <si>
    <t xml:space="preserve">from past FIFA tournaments is used to initiate the TEAP Process, and at the completion of an event, the finalised TEAP data will feed into the planning activities of future tournaments. </t>
  </si>
  <si>
    <t>Using the TEAP Planning Tool</t>
  </si>
  <si>
    <t xml:space="preserve">The below instructions provide detail on how to complete the Customer Journey  process using this tool. The tool is an Excel workbook, consisting of various interlinked tabs. Tabs are colour coded as follows to </t>
  </si>
  <si>
    <t>describe their function:</t>
  </si>
  <si>
    <t>Information</t>
  </si>
  <si>
    <t>Tabs containing reference data and information which can be used in the process or shared with LOC IT</t>
  </si>
  <si>
    <t>Data Entry</t>
  </si>
  <si>
    <t>Tabs requiring data entry throughout the Customer Journey process</t>
  </si>
  <si>
    <t>Report</t>
  </si>
  <si>
    <t>Tabs containing reports on the TEAP data</t>
  </si>
  <si>
    <t>The below colour coding is used throughout the planning tool to differentiate between cells requiring manual input and cells using a formula to auto-populated data:</t>
  </si>
  <si>
    <t>[manual entry]</t>
  </si>
  <si>
    <t xml:space="preserve">Enter data only in orange shaded cells </t>
  </si>
  <si>
    <t>[auto-populated]</t>
  </si>
  <si>
    <t xml:space="preserve">Grey cells are automatically populated with calculated data and must not be deleted or overwritten </t>
  </si>
  <si>
    <t xml:space="preserve">Important notes: </t>
  </si>
  <si>
    <t xml:space="preserve"> - Columns must not be deleted and column heading names must not be edited - this will affect Pivot Table reports and many of the formulas</t>
  </si>
  <si>
    <t xml:space="preserve"> - TEAP reports should be issued in accordance with the Customer Journey framework. </t>
  </si>
  <si>
    <t xml:space="preserve"> - Partially completed minor versions should never be broadly issued, but if they are required then it should be to a limited audience and with a "Draft" watermark</t>
  </si>
  <si>
    <t>Event Setup</t>
  </si>
  <si>
    <t>To begin using the TEAP Planning Tool, the first step must be to complete the Event Setup tab as per the below example. This data is used throughout the tool to create drop-down lists, page headings:</t>
  </si>
  <si>
    <t xml:space="preserve"> </t>
  </si>
  <si>
    <t xml:space="preserve"> ← Select Event from drop-down list</t>
  </si>
  <si>
    <t xml:space="preserve"> ← Event Short Name is automatically created</t>
  </si>
  <si>
    <t xml:space="preserve"> ← Enter Host Country/ies</t>
  </si>
  <si>
    <t xml:space="preserve"> ← Enter the tournament year</t>
  </si>
  <si>
    <t xml:space="preserve"> ← Enter document version - this will need to be updated throughout the Customer Journey process</t>
  </si>
  <si>
    <t xml:space="preserve"> ← Enter all venues, including stadia, base camps, hotels, etc.</t>
  </si>
  <si>
    <t>TEAP Data Entry</t>
  </si>
  <si>
    <t>The TEAP Data Entry tab is the core piece of this planning tool, where all requirements data is captured for each FA, in each venue they operate and each space within those venues:</t>
  </si>
  <si>
    <t>Code</t>
  </si>
  <si>
    <t>[Manual entry] Codes for all Technology products and services are found in the "FP Code" column of the Products and Services tab. This is the key field for the TEAP Data Entry and will auto-</t>
  </si>
  <si>
    <t xml:space="preserve">populate much of the data in the other columns. </t>
  </si>
  <si>
    <t>FP Name</t>
  </si>
  <si>
    <t>[Auto-populated] this is the internal "Finished Product" name for a product or a service provided by Event Technology. This field should not be used in reports issued externally</t>
  </si>
  <si>
    <t>Category</t>
  </si>
  <si>
    <t>[Auto-populated] this is the category of the product or service type, useful for grouping product and service types when creating pivot tables</t>
  </si>
  <si>
    <t>Packing List Type</t>
  </si>
  <si>
    <t>[Auto-populated] taken from the Products and Services tab, this field is used when generating the Packing List</t>
  </si>
  <si>
    <t>Internet Access Service</t>
  </si>
  <si>
    <t>[Auto-populated] the Internet Access Service data is taken from the Products and Services tab for Stadium network services</t>
  </si>
  <si>
    <t>TEC Product / Service</t>
  </si>
  <si>
    <t>[Auto-populated] this is the "friendly name" for the products and services provided by Event Technology. This field should be used in reports which will be issued to other FIFA and LOC</t>
  </si>
  <si>
    <t>Functional Areas</t>
  </si>
  <si>
    <t>Technical Description</t>
  </si>
  <si>
    <t xml:space="preserve">[Auto-populated] this field is a concatenation of multiple pieces of data about a product or service. This field is useful when creating pivot table reports to be shared within the </t>
  </si>
  <si>
    <t>Event Technology project team, with LOC IT or with technical stakeholders</t>
  </si>
  <si>
    <t>PREVIOUS VERSION</t>
  </si>
  <si>
    <t>The following three fields are populated with a set of data which relates to the previously issued TEAP version. On receipt of the initial TEAP Planning Tool, these fields will be pre-</t>
  </si>
  <si>
    <t xml:space="preserve">populated with data from a past FIFA tournament. As versions are issued throughout the Customer Journey, previous version data should be overwritten </t>
  </si>
  <si>
    <t>Quantity</t>
  </si>
  <si>
    <t>[Manual entry] enter the quantity of the selected product or service to be assigned to an FA, in a space, in a venue. This field will be pre-populated with data from a previous</t>
  </si>
  <si>
    <t>tournament, which must be overwritten with "Current Data" each time a new version is created. This data is used in reports which identify changes in quantities between versions.</t>
  </si>
  <si>
    <t>Network Drops</t>
  </si>
  <si>
    <t xml:space="preserve">[Auto-populated] a sum of the product / service (previous) quantity and the number of associated network drops (network services and some hardware only) </t>
  </si>
  <si>
    <t>SIM Card</t>
  </si>
  <si>
    <t xml:space="preserve">[Auto-populated] a sum of the product / service (previous) quantity and the number of associated SIM cards (mobile phones, some routers and some tablets only)  </t>
  </si>
  <si>
    <t>CURRENT VERSION</t>
  </si>
  <si>
    <t xml:space="preserve">The following three fields are to be populated with updated data as changes are made during the tournament planning phase. </t>
  </si>
  <si>
    <t xml:space="preserve">[Manual entry] enter the updated quantity of the selected product or service to be assigned to an FA, in a space, in a venue. If an item is no longer required, the row should not be </t>
  </si>
  <si>
    <t>deleted, instead a zero should be entered in this field so that the removal of this item is highlighted in reports (with reference to the previous version data)</t>
  </si>
  <si>
    <t xml:space="preserve">[Auto-populated] a sum of the product / service (current) quantity and the number of associated network drops (network services and some hardware only) </t>
  </si>
  <si>
    <t xml:space="preserve">[Auto-populated] a sum of the product / service (current) quantity and the number of associated SIM cards (mobile phones, some routers and some tablets only)  </t>
  </si>
  <si>
    <t>Provided by</t>
  </si>
  <si>
    <t xml:space="preserve">[Manual entry] select from a drop-down list which entity provides the allocated product or service. This should be FIFA Event Technology, LOC IT or suppliers (requires that suppliers are </t>
  </si>
  <si>
    <t>added to the Provided by table in the Lookups tab.</t>
  </si>
  <si>
    <t>Venue</t>
  </si>
  <si>
    <t>[Manual entry] select from a drop-down list the venue where the product / service is being allocated. The list of venues is taken from the Event Setup tab</t>
  </si>
  <si>
    <t>Area</t>
  </si>
  <si>
    <t xml:space="preserve">[Manual entry] Area refers to a grouping of spaces in a venue, such as "Broadcast Compound" or "Stadium Media Centre". This is useful to group data in pivot table reports </t>
  </si>
  <si>
    <t>Space</t>
  </si>
  <si>
    <t>[Manual entry] An operational space within a venue where Technology products and services can be allocated</t>
  </si>
  <si>
    <t>FIFA Department</t>
  </si>
  <si>
    <t>[Manual entry] the FIFA Functional Area responsible for requesting products and services through the TEAP process, either on their own behalf or for their stakeholders</t>
  </si>
  <si>
    <t>Department</t>
  </si>
  <si>
    <t>[Auto-populated] a direct copy of the "FIFA Department" field, needed to enable the same data to be referenced twice in a pivot table</t>
  </si>
  <si>
    <t>Notes</t>
  </si>
  <si>
    <t>[Manual entry] notes or comments for reference. This field is not reported on.</t>
  </si>
  <si>
    <t>Internet Access Service Configuration Tool</t>
  </si>
  <si>
    <t>The Internet Service Config tab contains a tool which uses standard planning assumptions based on user populations to determine the internet bandwidth requirements and quantity of IP Addresses for each of the</t>
  </si>
  <si>
    <t xml:space="preserve">Internet Access Service types per stadium. Requirements are calculated using the expected user group populations with consideration for the number of devices user groups are likely to use. </t>
  </si>
  <si>
    <t xml:space="preserve">The tool requires very little input to use, just enter the approximate number of users expected for each service type for each stadium. This will calculate the bandwidth multiplying the quantity entered by the number of </t>
  </si>
  <si>
    <t>devices and the bandwidth per device, divided by the contention ratio. This value is shown in the "Calculated" column and should be copied into the "Requested" column. It is possible that the result of this calculation</t>
  </si>
  <si>
    <t>exceeds the known bandwidth limitations of the stadium internet service, which is when the "Requested" column can be used to see how the per-service type bandwidth values can be adapted in order to find an achievable</t>
  </si>
  <si>
    <t>total.</t>
  </si>
  <si>
    <t xml:space="preserve">The Internet Access Service types are an established standard to be applied for all FIFA Youth Tournaments, Beach Soccer and Futsal. Full details on each of the below services, including the user group make-up and </t>
  </si>
  <si>
    <t xml:space="preserve">technical specifications can be found in the FIFA Event Technology - Network Requirements document. </t>
  </si>
  <si>
    <t>The values in the "Requested" column and "Approx. IP Addresses" column is used to populate the tables in the Network Requirements tab which is to be shared with the LOC.</t>
  </si>
  <si>
    <t>Version Release Notes</t>
  </si>
  <si>
    <t xml:space="preserve">A new version of TEAP must be accompanied by release notes when it is issued to the LOC IT. This should include summary descriptions of changes made to outline the reason or add context to the change. The granular </t>
  </si>
  <si>
    <t>detail of exactly what has changed between versions can be found in the LOC IT TEAP Report. For reference, the below table is an example of the release notes from the FIFA Club World Cup 2019:</t>
  </si>
  <si>
    <t>← enter release notes which describe the differences to the previously issued version</t>
  </si>
  <si>
    <t>← copy all previous release notes into this table - the most recent should be at the top</t>
  </si>
  <si>
    <t>Network Requirements</t>
  </si>
  <si>
    <t>This tab contains three parts which should be shared with the LOC:</t>
  </si>
  <si>
    <t xml:space="preserve"> - Internet Access Service Requirements Overview: which provides a summary of the Internet Access Services that are defiend in the FIFA Event Technology - Network Requirements document </t>
  </si>
  <si>
    <t xml:space="preserve"> - Internet Access Service Requirements Per Stadium: this references the data entered in the Internet Service Config tab and presents a detailed set of requirements per stadium</t>
  </si>
  <si>
    <t xml:space="preserve"> - SSID Requirements for all Stadiums: which describes the different wireless SSIDs, their coverage requirements and on to which Internet Access Service they correspond</t>
  </si>
  <si>
    <t>Note that the SSID names and passwords are automatically generated using the tournament short name taken from the Event Setup tab.</t>
  </si>
  <si>
    <t>TEAP Reports</t>
  </si>
  <si>
    <t xml:space="preserve">The following four TEAP Reports are available in the TEAP Planning Tool, but many more can be created to meet the needs of the tournament: </t>
  </si>
  <si>
    <t>TEAP Report - FAs</t>
  </si>
  <si>
    <t xml:space="preserve">This report contains TEAP data which is relevant to FIFA FAs, this can be presented as one complete report or using the inbuilt filter function to create a view per FA. Note </t>
  </si>
  <si>
    <t>that the report title automatically updates with the FA name when a filter is applied.</t>
  </si>
  <si>
    <t>TEAP Report - LOC</t>
  </si>
  <si>
    <t xml:space="preserve">A report containing only the products / services where the LOC (or an LOC supplier) is listed as the responsible entity. This report highlights changes between versions. </t>
  </si>
  <si>
    <t>TEAP Report - Event Tech</t>
  </si>
  <si>
    <t>Used by the Event Technology PM to organise the FIFA Technology equipment to be shipped to a tournament</t>
  </si>
  <si>
    <t>VITM Checklist</t>
  </si>
  <si>
    <t>A detailed report of all LOC products and services to be issued per space in a stadium, used by the VITM when completing readiness assessments.</t>
  </si>
  <si>
    <t>Packing List - Outbound</t>
  </si>
  <si>
    <t>The Packing List is created using a macro, which is executed by clicking the "Generate" button at the top right of the table.</t>
  </si>
  <si>
    <t>Click "Yes" when prompted</t>
  </si>
  <si>
    <t>The macro extracts the FIFA Event Technology items from TEAP and arranges the data by venue, in a format in line with the requirements of FIFA Logistics. Important points to note include:</t>
  </si>
  <si>
    <t xml:space="preserve">1. Items which require identification by Serial Number (e.g. laptops, routers, etc.) are broken down into a number of individual rows equal to the quantity allocated in TEAP. E.g. if there are four laptops allocated to </t>
  </si>
  <si>
    <t>a venue in TEAP, four separate rows containing laptop data, each with a quantity of 1 will be written to the Packing List</t>
  </si>
  <si>
    <t xml:space="preserve">2. Items which do not require identification by Serial Number (e.g. patch leads, mice, etc.) will be written to the Packing List in one row, with a quantity equal to what is allocated in TEAP. </t>
  </si>
  <si>
    <t>3. Items in TEAP which are made up of multiple components (e.g. the FIFA Technology HQ Solution, Tool Kits, etc.) will be broken down into their individual components in the Packing List. Only one of these should be allocated</t>
  </si>
  <si>
    <t>to a venue*</t>
  </si>
  <si>
    <t>4. Key information such as make and model, country of origin and value are automatically populated throughout the Packing List</t>
  </si>
  <si>
    <t>5. The Packing List contains blank fields for Serial Number and Shipping Box number which should be completed as per FIFA Logistics requirements</t>
  </si>
  <si>
    <t xml:space="preserve">6. It is advised to only generate the Packing List once TEAP has been finalised. </t>
  </si>
  <si>
    <t xml:space="preserve">* if more than one of the multi-component items mentioned in point 3 needs to be added to a venue, then they must be added to TEAP Data Entry as separate rows, each with a quantity of 1. The Packing List macro </t>
  </si>
  <si>
    <t>cannot count the quantity of items entered in the TEAP Data Entry tab for these items.</t>
  </si>
  <si>
    <t>To delete the contents of the Packing List, click the "Clear Data" button</t>
  </si>
  <si>
    <t>NOTE: Be careful when clearing the Packing List data - the Undo function does not work so all data will be permanently lost</t>
  </si>
  <si>
    <t>Packing List - Return</t>
  </si>
  <si>
    <t>This tab contains a pivot table based on the Packing List data. The data is reformatted to present the equipment per box as required for the re-packing work at the end of the tournament. Once the Packing List -</t>
  </si>
  <si>
    <t>Outbound has been created, complete with serial numbers and box numbers, this pivot table can be refreshed.</t>
  </si>
  <si>
    <t xml:space="preserve">Products and Services </t>
  </si>
  <si>
    <t>The Products and Services tab contains the complete list of items that can be allocated to a tournament. This tab must not be edited. If an item appears to be missing this should be discussed with Shane Smith.</t>
  </si>
  <si>
    <t>Event Technology Kit-list</t>
  </si>
  <si>
    <t>This tab contains a breakdown of components of the Event Technology standard equipment, tools and consumables required in HQ and in Stadiums. This is to declutter TEAP by grouping this standard allocation of equipment.</t>
  </si>
  <si>
    <t>In the Packing List each component of the allocated equipment packs will be listed separately.</t>
  </si>
  <si>
    <t>Lookups</t>
  </si>
  <si>
    <t>This tab contains various lookup tables used to create drops-down lists used throughout the TEAP Planning Tool</t>
  </si>
  <si>
    <t>EVENT SETUP</t>
  </si>
  <si>
    <t>Tournament</t>
  </si>
  <si>
    <t>FIFA U-17 World Cup</t>
  </si>
  <si>
    <t>Short Name</t>
  </si>
  <si>
    <t>Host Country</t>
  </si>
  <si>
    <t>Qatar</t>
  </si>
  <si>
    <t>Year</t>
  </si>
  <si>
    <t>TEAP Version</t>
  </si>
  <si>
    <t>0.9</t>
  </si>
  <si>
    <t>Venues</t>
  </si>
  <si>
    <t>Aspire Center - HQ</t>
  </si>
  <si>
    <t>REF Basecamp Hotel</t>
  </si>
  <si>
    <t>VIP Hotel</t>
  </si>
  <si>
    <t>Khalifa</t>
  </si>
  <si>
    <t>Referee training site</t>
  </si>
  <si>
    <t>Team Hotel  1</t>
  </si>
  <si>
    <t>Team Hotel  2</t>
  </si>
  <si>
    <t>Team Hotel  3</t>
  </si>
  <si>
    <t>Team Hotel  4</t>
  </si>
  <si>
    <t>Team Hotel  5</t>
  </si>
  <si>
    <t>Team Hotel  6</t>
  </si>
  <si>
    <t>Team Hotel  7</t>
  </si>
  <si>
    <t>Team Hotel  8</t>
  </si>
  <si>
    <t>Team Hotel  9</t>
  </si>
  <si>
    <t>Al Thumama - Training Site</t>
  </si>
  <si>
    <t>Al Erssal - Training Site</t>
  </si>
  <si>
    <t xml:space="preserve">Current Version </t>
  </si>
  <si>
    <t>Description of changes</t>
  </si>
  <si>
    <t>Issued by</t>
  </si>
  <si>
    <t>Date</t>
  </si>
  <si>
    <t>Update with the latest FA changes.</t>
  </si>
  <si>
    <t>PAN</t>
  </si>
  <si>
    <t>8.7.2025</t>
  </si>
  <si>
    <t>Previous Versions</t>
  </si>
  <si>
    <t>TEAP 0.1 created</t>
  </si>
  <si>
    <t>TEAP 0.3 created and shared with LOC</t>
  </si>
  <si>
    <t>TEAP 0.9 created and shared with LOC</t>
  </si>
  <si>
    <t>FA</t>
  </si>
  <si>
    <t>FA Name</t>
  </si>
  <si>
    <t>Item</t>
  </si>
  <si>
    <t xml:space="preserve">Quantity </t>
  </si>
  <si>
    <t>Start Date</t>
  </si>
  <si>
    <t>End Date</t>
  </si>
  <si>
    <t>ICT Comment</t>
  </si>
  <si>
    <t>ACS</t>
  </si>
  <si>
    <t>Aspire_Center</t>
  </si>
  <si>
    <t>Other</t>
  </si>
  <si>
    <t>SIM_Telco</t>
  </si>
  <si>
    <t>Telecom - SIM - Data Only</t>
  </si>
  <si>
    <t>SIMDAT</t>
  </si>
  <si>
    <t>15GB per SIM Card</t>
  </si>
  <si>
    <t>Telecom - MiFi - Router</t>
  </si>
  <si>
    <t>ITSR4G</t>
  </si>
  <si>
    <t>500GB per SIM Card</t>
  </si>
  <si>
    <t>KIS</t>
  </si>
  <si>
    <t>25 per SIM Card (These SIM Cards will be used for both U17 &amp; FAC)</t>
  </si>
  <si>
    <t>500GB per SIM Card (These SIM Cards will be used for both U17 &amp; FAC)</t>
  </si>
  <si>
    <t>ACR</t>
  </si>
  <si>
    <t>Non_Comp</t>
  </si>
  <si>
    <t>Main Accreditation Centre (MAC)</t>
  </si>
  <si>
    <t>Several locations inside MAC</t>
  </si>
  <si>
    <t>Printing</t>
  </si>
  <si>
    <t>Printing - Dedicated - Colour - A4</t>
  </si>
  <si>
    <t>MFDDNW</t>
  </si>
  <si>
    <t>moved to FAC TEAP. ID=FAC01042</t>
  </si>
  <si>
    <t>Printing of accreditations.</t>
  </si>
  <si>
    <t>Bulk Distribution area</t>
  </si>
  <si>
    <t>Printing - Dedicated - Colour - A3</t>
  </si>
  <si>
    <t>MFDLNW</t>
  </si>
  <si>
    <t>moved to FAC TEAP. ID=FAC01043</t>
  </si>
  <si>
    <t>Make copies of all forms to be signed among other documents. To scan and make copies of IDs when reporting lost, damaged or stolen accreditation.</t>
  </si>
  <si>
    <t>EU_Equipment</t>
  </si>
  <si>
    <t>EU - Laptop - Event Operations</t>
  </si>
  <si>
    <t>LAPOPS</t>
  </si>
  <si>
    <t>moved to FAC TEAP. ID=FAC01044</t>
  </si>
  <si>
    <t>It can also be AIO PCs</t>
  </si>
  <si>
    <t>EU - Barcode scanner</t>
  </si>
  <si>
    <t>ACCBAR</t>
  </si>
  <si>
    <t>moved to FAC TEAP. ID=FAC01045</t>
  </si>
  <si>
    <t>To scan QIDs and accreditations.</t>
  </si>
  <si>
    <t>EU - Special Request</t>
  </si>
  <si>
    <t>EUQSPE</t>
  </si>
  <si>
    <t>moved to FAC TEAP. ID=FAC01046</t>
  </si>
  <si>
    <t>Mouse to expedite accreditation process at front desk.</t>
  </si>
  <si>
    <t>Network</t>
  </si>
  <si>
    <t xml:space="preserve">Network - Wired Port - General Internet </t>
  </si>
  <si>
    <t>WRDGEN</t>
  </si>
  <si>
    <t>moved to FAC TEAP. ID=FAC01047</t>
  </si>
  <si>
    <t>Cable network connection for each printer, laptop and TV.</t>
  </si>
  <si>
    <t>MAC</t>
  </si>
  <si>
    <t>WiFi</t>
  </si>
  <si>
    <t>WiFi - General WiFi</t>
  </si>
  <si>
    <t>WANGEN</t>
  </si>
  <si>
    <t>moved to FAC TEAP. ID=FAC01048</t>
  </si>
  <si>
    <t>WiFI for all MAC</t>
  </si>
  <si>
    <t>Meeting room and Director's office</t>
  </si>
  <si>
    <t>CATV_IPTV</t>
  </si>
  <si>
    <t>TV - Large - IPTV</t>
  </si>
  <si>
    <t>TVLGIP</t>
  </si>
  <si>
    <t>moved to FAC TEAP. ID=FAC01049</t>
  </si>
  <si>
    <t xml:space="preserve">TV for presentations to the volunteers and staff. TV at Directors office to follow up with competition. </t>
  </si>
  <si>
    <t>CAT</t>
  </si>
  <si>
    <t>Aspire Dome</t>
  </si>
  <si>
    <t>WKF Canteen</t>
  </si>
  <si>
    <t xml:space="preserve">Meals redemption </t>
  </si>
  <si>
    <t>ECR</t>
  </si>
  <si>
    <t>Outer Perimeter</t>
  </si>
  <si>
    <t>Fan Zone Operational area</t>
  </si>
  <si>
    <t>AV</t>
  </si>
  <si>
    <t>AV - TV - Large - Standalone</t>
  </si>
  <si>
    <t>TVLGSA</t>
  </si>
  <si>
    <t>with TV live stream</t>
  </si>
  <si>
    <t>As the operational room functions independently, we will require access to a nearby printer to support our workflow efficiently</t>
  </si>
  <si>
    <t xml:space="preserve">WIFI for the fan zone and operational office </t>
  </si>
  <si>
    <t>Stadium Outer Perimeter</t>
  </si>
  <si>
    <t>FNB</t>
  </si>
  <si>
    <t>Pitch 2</t>
  </si>
  <si>
    <t>F&amp;B AREA</t>
  </si>
  <si>
    <t>example</t>
  </si>
  <si>
    <t>Pitch 5</t>
  </si>
  <si>
    <t>LOG</t>
  </si>
  <si>
    <t>LOG Compound</t>
  </si>
  <si>
    <t>If there is no wifi available in our compound, then LOG would need Cable Network Connection</t>
  </si>
  <si>
    <t>LOG has to print Truck Manufests, Delivery Notes, Room Data Sheets, Pallet Label and the compound will be far from Aspire Dome</t>
  </si>
  <si>
    <t>LOG has to print Truck Manufests, Delivery Notes, Room Data Sheets, Pallet Label</t>
  </si>
  <si>
    <t>RSP</t>
  </si>
  <si>
    <t>LOG Point</t>
  </si>
  <si>
    <t>moved to FAC TEAP. ID=FAC01050</t>
  </si>
  <si>
    <t>moved to FAC TEAP. ID=FAC01051</t>
  </si>
  <si>
    <t>LOG Point is outside of RSP and  to print the daily MDS bookings to share with SEC and daily reports</t>
  </si>
  <si>
    <t>moved to FAC TEAP. ID=FAC01052</t>
  </si>
  <si>
    <t>if the general wifi doesn't work at log point, then we would need wifi mobile</t>
  </si>
  <si>
    <t>LCC Logistics Coordination Center</t>
  </si>
  <si>
    <t>moved to FAC TEAP. ID=FAC01053</t>
  </si>
  <si>
    <t>If LCC will be located in Al Bidda, requirements will change to 2.</t>
  </si>
  <si>
    <t>moved to FAC TEAP. ID=FAC01054</t>
  </si>
  <si>
    <t>If a wired port is not available, we will need access to a Wi-Fi network that can support approximately 20 laptops.</t>
  </si>
  <si>
    <t>Printing - Access to Printer</t>
  </si>
  <si>
    <t>MFDSHR</t>
  </si>
  <si>
    <t>moved to FAC TEAP. ID=FAC01055</t>
  </si>
  <si>
    <t>Not required if  LCC will be located in Al Bidda</t>
  </si>
  <si>
    <t>MED</t>
  </si>
  <si>
    <t>Super Club</t>
  </si>
  <si>
    <t>VIP Medical Clinic</t>
  </si>
  <si>
    <t xml:space="preserve">Required for Electronic Medical Record </t>
  </si>
  <si>
    <t>Pitch 8</t>
  </si>
  <si>
    <t>Player Medical Clinic in Pitch 8 Building</t>
  </si>
  <si>
    <t>Pitch 1</t>
  </si>
  <si>
    <t>Player Medical Clinic nr Pitch 1</t>
  </si>
  <si>
    <t>Required for Match Coverage</t>
  </si>
  <si>
    <t>Fan Zone</t>
  </si>
  <si>
    <t>Spectator Clinic nr Fan Zone</t>
  </si>
  <si>
    <t>Competition Areas</t>
  </si>
  <si>
    <t>Player Medical Clinic</t>
  </si>
  <si>
    <t>VIP/VVIP Areas</t>
  </si>
  <si>
    <t>VVIP Medical Clinic</t>
  </si>
  <si>
    <t>Stadium Inner Perimeter</t>
  </si>
  <si>
    <t>Spectator Clinics</t>
  </si>
  <si>
    <t>PWR</t>
  </si>
  <si>
    <t>not submitted into FIFA TEAP</t>
  </si>
  <si>
    <t>Stadium Offices</t>
  </si>
  <si>
    <t>SPS</t>
  </si>
  <si>
    <t>Restricted Item storage</t>
  </si>
  <si>
    <t>for laptops</t>
  </si>
  <si>
    <t xml:space="preserve">2 laptops per GA RIS and 1 laptop per VIP RIS. </t>
  </si>
  <si>
    <t>Tablets. We are digitalising RIS we need tablets for the process</t>
  </si>
  <si>
    <t>SPS office</t>
  </si>
  <si>
    <t>we need A4 to print our documents</t>
  </si>
  <si>
    <t xml:space="preserve">for our PSA's </t>
  </si>
  <si>
    <t xml:space="preserve">SPS office </t>
  </si>
  <si>
    <t>for staff check-in</t>
  </si>
  <si>
    <t xml:space="preserve">for our PSA's and Check In our staff wtth a SIM cards </t>
  </si>
  <si>
    <t>SSOC</t>
  </si>
  <si>
    <t>Venue Commander's Office</t>
  </si>
  <si>
    <t/>
  </si>
  <si>
    <t>SSOC internal documents cannot be accecable for other FAs</t>
  </si>
  <si>
    <t>Venue Commander's Office (5)</t>
  </si>
  <si>
    <t>Venue Security Coordinators' office (5)</t>
  </si>
  <si>
    <t>Admin office (10)</t>
  </si>
  <si>
    <t>Venue Security Coordinators' office</t>
  </si>
  <si>
    <t>Venue Commander's office</t>
  </si>
  <si>
    <t>Venue Commander' office (5)</t>
  </si>
  <si>
    <t>TSV</t>
  </si>
  <si>
    <t xml:space="preserve">with the TLOs </t>
  </si>
  <si>
    <t>moved to FAC TEAP. ID=FAC01056</t>
  </si>
  <si>
    <t>Sim Cards to be given to the TLOs who will be at the teams Hotels</t>
  </si>
  <si>
    <t>VUM</t>
  </si>
  <si>
    <t>LOC General Office</t>
  </si>
  <si>
    <t>1st floor</t>
  </si>
  <si>
    <t>EU - Monitor</t>
  </si>
  <si>
    <t>DSKMNT</t>
  </si>
  <si>
    <t>Included in FIFA VUM request</t>
  </si>
  <si>
    <t>Meeting Room</t>
  </si>
  <si>
    <t>Offices</t>
  </si>
  <si>
    <t xml:space="preserve">For offices on 2nd floor </t>
  </si>
  <si>
    <t>This is for the use of Venue Management Team on the 2nd floor</t>
  </si>
  <si>
    <t>Accelerator Building</t>
  </si>
  <si>
    <t>Venue Operations Centre</t>
  </si>
  <si>
    <t>This is for the use of LOC team at the VOC</t>
  </si>
  <si>
    <t>For offices on Ground floor</t>
  </si>
  <si>
    <t>This is for the use of LOC staff at Super Club on Ground floor</t>
  </si>
  <si>
    <t>WKF</t>
  </si>
  <si>
    <t>Hospitality Areas</t>
  </si>
  <si>
    <t xml:space="preserve">Training Centre Welcome Desk </t>
  </si>
  <si>
    <t>reduced from 4</t>
  </si>
  <si>
    <t xml:space="preserve">Venue space still TBC </t>
  </si>
  <si>
    <t xml:space="preserve">Tranining Centre Welcome Desk </t>
  </si>
  <si>
    <t>removed</t>
  </si>
  <si>
    <t xml:space="preserve">Welome Desk &amp; Training Rooms </t>
  </si>
  <si>
    <t>AV - Portable Speaker</t>
  </si>
  <si>
    <t>PORSPE</t>
  </si>
  <si>
    <t>reduced from 3</t>
  </si>
  <si>
    <t xml:space="preserve">With mircophone x 2 </t>
  </si>
  <si>
    <t>Replaced A3</t>
  </si>
  <si>
    <t xml:space="preserve">Purpose of printing training materials during operational delivery </t>
  </si>
  <si>
    <t xml:space="preserve">Training Room </t>
  </si>
  <si>
    <t>not submitted into FIFA TEAP, not clear what is this</t>
  </si>
  <si>
    <t xml:space="preserve">Unclear if VIP/ hospitality rooms have projector screens avaliable. 2 x large LED screens will be required to be able to have presentations in 2 seperate rooms </t>
  </si>
  <si>
    <t>Volunteer Support Services Centre</t>
  </si>
  <si>
    <t>moved to FAC TEAP. ID=FAC01057</t>
  </si>
  <si>
    <t xml:space="preserve">To be utilised for FAC25 as well. </t>
  </si>
  <si>
    <t>moved to FAC TEAP. ID=FAC01058</t>
  </si>
  <si>
    <t>moved to FAC TEAP. ID=FAC01059</t>
  </si>
  <si>
    <t>moved to FAC TEAP. ID=FAC01060</t>
  </si>
  <si>
    <t>moved to FAC TEAP. ID=FAC01061</t>
  </si>
  <si>
    <t>To be utilised for FAC25 as well. 
We need to print information for our call center as it is essential for supporting the day-to-day needs of our volunteer operations team</t>
  </si>
  <si>
    <t>Telco - Special Request</t>
  </si>
  <si>
    <t>SPEREQ</t>
  </si>
  <si>
    <t>moved to FAC TEAP. ID=FAC01062</t>
  </si>
  <si>
    <t>To be utilised for FAC25 as well. 
Mobile Phones and full package sim cards
The volunteer  call center is handling all the calls for the volunteer program and excuting all the calls requests from all  FAs.</t>
  </si>
  <si>
    <t>moved to FAC TEAP. ID=FAC01063</t>
  </si>
  <si>
    <t>To be utilised for FAC25 as well.</t>
  </si>
  <si>
    <t>moved to FAC TEAP. ID=FAC01064</t>
  </si>
  <si>
    <t>To be utilised for FAC25 as well. 
For use with the laptops</t>
  </si>
  <si>
    <t>moved to FAC TEAP. ID=FAC01065</t>
  </si>
  <si>
    <t>To be utilised for FAC25 as well. 
Required to display  the stats on the screen</t>
  </si>
  <si>
    <t>AV - Special Request</t>
  </si>
  <si>
    <t>AVRSPE</t>
  </si>
  <si>
    <t>moved to FAC TEAP. ID=FAC01066</t>
  </si>
  <si>
    <t>To be utilised for FAC25 as well. 
Headset 
To be used in the call center for volunteers who are handling the calls</t>
  </si>
  <si>
    <t>Uniform Distribution</t>
  </si>
  <si>
    <t>Uniform Distribution Centre</t>
  </si>
  <si>
    <t>moved to FAC TEAP. ID=FAC01067</t>
  </si>
  <si>
    <t>moved to FAC TEAP. ID=FAC01068</t>
  </si>
  <si>
    <t>To be utilised for FAC25 as well. 
Prinetr to be shared between 2 volunteers at check-in (3)
In case of individual prinetr implemented for each agent,the number will be increased to 5</t>
  </si>
  <si>
    <t>moved to FAC TEAP. ID=FAC01069</t>
  </si>
  <si>
    <t>moved to FAC TEAP. ID=FAC01070</t>
  </si>
  <si>
    <t>moved to FAC TEAP. ID=FAC01071</t>
  </si>
  <si>
    <t>moved to FAC TEAP. ID=FAC01072</t>
  </si>
  <si>
    <t>To be utilised for FAC25 as well. 
Required to support Training sessions RST, VST for Uni &amp; ACR volunteers</t>
  </si>
  <si>
    <t>WKF Centre</t>
  </si>
  <si>
    <t>moved to FAC TEAP. ID=FAC01073</t>
  </si>
  <si>
    <t>moved to FAC TEAP. ID=FAC01074</t>
  </si>
  <si>
    <t>moved to FAC TEAP. ID=FAC01075</t>
  </si>
  <si>
    <t xml:space="preserve">To be utilised for FAC25 as well. 
Mobile Phones and full package sim cards
To contact volunteers for shift fulfilment </t>
  </si>
  <si>
    <t>moved to FAC TEAP. ID=FAC01076</t>
  </si>
  <si>
    <t>moved to FAC TEAP. ID=FAC01077</t>
  </si>
  <si>
    <t>CPM</t>
  </si>
  <si>
    <t>Players Holding Area (Lounge)</t>
  </si>
  <si>
    <t>WiFi - Football</t>
  </si>
  <si>
    <t>WANTMS</t>
  </si>
  <si>
    <t>MOB</t>
  </si>
  <si>
    <t xml:space="preserve">Mobility External Office </t>
  </si>
  <si>
    <t xml:space="preserve">For our both external office locations next to GA parking  and 1 more location </t>
  </si>
  <si>
    <t>FOR PRINTING SCHEDULES, AND ASSIGNED FLEET DETAILS ON A DAILY BASIS</t>
  </si>
  <si>
    <t>MOC</t>
  </si>
  <si>
    <t>VAPP Office</t>
  </si>
  <si>
    <t>moved to FAC TEAP. ID=FAC01078</t>
  </si>
  <si>
    <t>moved to FAC TEAP. ID=FAC01079</t>
  </si>
  <si>
    <t>moved to FAC TEAP. ID=FAC01080</t>
  </si>
  <si>
    <t>moved to FAC TEAP. ID=FAC01081</t>
  </si>
  <si>
    <t>moved to FAC TEAP. ID=FAC01082</t>
  </si>
  <si>
    <t>BUSS AND FLEETS OPS CENTER</t>
  </si>
  <si>
    <t>moved to FAC TEAP. ID=FAC01083</t>
  </si>
  <si>
    <t>moved to FAC TEAP. ID=FAC01084</t>
  </si>
  <si>
    <t>Network - Special Request</t>
  </si>
  <si>
    <t>WRDSPE</t>
  </si>
  <si>
    <t>moved to FAC TEAP. ID=FAC01085</t>
  </si>
  <si>
    <t xml:space="preserve">For live tracking  and updated feeds from all the fleets and busses used for this tournament </t>
  </si>
  <si>
    <t>moved to FAC TEAP. ID=FAC01086</t>
  </si>
  <si>
    <t>multiple schedule printing and no access to the OPS center for unauthorized personnals</t>
  </si>
  <si>
    <t>moved to FAC TEAP. ID=FAC01087</t>
  </si>
  <si>
    <t>used as a hotline nnumber on the operatonal center in 2 shifts.</t>
  </si>
  <si>
    <t>EVENT TRANSPORT OFFICE</t>
  </si>
  <si>
    <t>RFID readers and 1 writer for the tournament access permit urpose</t>
  </si>
  <si>
    <t>TKT</t>
  </si>
  <si>
    <t>STC 1-4 (4 portable cabins)</t>
  </si>
  <si>
    <t>PK 18.09: 2 STC, 4 cables for Laptop + 1 Printer each</t>
  </si>
  <si>
    <t>5 x wired connections x each STC (4) - 4 x laptops &amp; 1 x printer
EACS network - TBC, Dedicated VLAN - TBD - Internet access is required</t>
  </si>
  <si>
    <t>PK 18.09: 2 STC, wifi in each</t>
  </si>
  <si>
    <t>1 x wireless connection for up 10 devices x each STC (4)
EACS network - TBC, Dedicated VLAN - TBD - Internet access is required</t>
  </si>
  <si>
    <t>PK 18.09: 2 STC 1 priter each</t>
  </si>
  <si>
    <t>1 x A4 printer x each STC (4)</t>
  </si>
  <si>
    <t>PK 18.09: 2 STC 1 mifi each</t>
  </si>
  <si>
    <t>1 x MIFI Router x each STC (4) - Data traffic TBC</t>
  </si>
  <si>
    <t>laptops from supplier</t>
  </si>
  <si>
    <t>4 x laptops for each STC (4) - TBC with appointed Ticketing Service Provider</t>
  </si>
  <si>
    <t>Aspire Complex entry points (3)
North, South &amp; East</t>
  </si>
  <si>
    <t>1 x wireless connection for up 10 devices per each entry point (2)
EACS network - TBC, Dedicated VLAN - TBD - Internet access is required</t>
  </si>
  <si>
    <t>In Haya request</t>
  </si>
  <si>
    <t>TBC - Depending on company appointed for access control
1 x each PDA scanner, Q-ty TBC</t>
  </si>
  <si>
    <t>Inner Perimeter</t>
  </si>
  <si>
    <t>Ticketing Resolution Points (4) - TBC</t>
  </si>
  <si>
    <t>2 x wired connections for each TRP/helpdesk tables (Location TBC)
EACS network - TBC, Dedicated VLAN - TBD - Internet access is required</t>
  </si>
  <si>
    <t>1 x wireless connection for each TRP/helpdesk tables for up 10 devices 
EACS network - TBC, Dedicated VLAN - TBD - Internet access is required</t>
  </si>
  <si>
    <t>1 x MIFI router for for each TRP/helpdesk tables</t>
  </si>
  <si>
    <t>2 x laptops for each TRP (4) - TBC with appointed Ticketing Service Provider</t>
  </si>
  <si>
    <t>Pitch 1-8 entry points (8) - TBC</t>
  </si>
  <si>
    <t>Pitch 5&amp;7</t>
  </si>
  <si>
    <t>Pitches requiring additional scanning - TBC
1 x wireless connection for up to 5 PDA scanners per each entry (8)
EACS network - TBC, Dedicated VLAN - TBD - Internet access is required</t>
  </si>
  <si>
    <t>Not in Haya request</t>
  </si>
  <si>
    <t>TBC - Depending on company appointed for access control
1 x SIM with data per each PDA scanners (up to 4 at each entry point)</t>
  </si>
  <si>
    <t>Venue Ticketing office (1) - TBC</t>
  </si>
  <si>
    <t>Venue Ticketing Office - TBC
1 x wireless connection for up 15 devices 
EACS network - TBC, Dedicated VLAN - TBD - Internet access is required</t>
  </si>
  <si>
    <t>Venue Ticketing Office - TBC
6 x wired connections for 5 x laptops &amp; 1 x printer
EACS network - TBC, Dedicated VLAN - TBD - internet access is required</t>
  </si>
  <si>
    <t>Venue Ticketing Office - TBC
1 x A3 printer</t>
  </si>
  <si>
    <t>Venue Ticketing Office - TBC
1 x TV with HDMI</t>
  </si>
  <si>
    <t>Venue EACS office (1) - TBC</t>
  </si>
  <si>
    <t>Venue EACS office - TBC
5 x wired connections for  2 x workstations/laptops, 2 x EACS servers(TBC), 1 x printer 
EACS network - TBC, Dedicated VLAN - TBD - Internet access is required</t>
  </si>
  <si>
    <t>Venue EACS office - TBC
1 x wireless connection for up to 20 devices
EACS network - TBC, Dedicated VLAN - TBD - Internet access is required</t>
  </si>
  <si>
    <t>Venue EACS office - TBC
1 x A4 printer</t>
  </si>
  <si>
    <t>Venue Operations Centre (VOC) (1)</t>
  </si>
  <si>
    <t>2 x wired ports for 2 x laptops
EACS network - TBC, Dedicated VLAN - TBD</t>
  </si>
  <si>
    <t>2 x laptops to provide entry statistics (main and secondary)</t>
  </si>
  <si>
    <t>depends on VOC setup</t>
  </si>
  <si>
    <t>1 x TV with HDMI (TBC - in case is not available in VOC)</t>
  </si>
  <si>
    <t>STC 1-6 (6 portable cabins)</t>
  </si>
  <si>
    <t>5 x wired connections x each STC (6) - 4 x laptops &amp; 1 x printer
EACS network - TBC, Dedicated VLAN - TBD - Internet access is required</t>
  </si>
  <si>
    <t>1 x wireless connection for up 10 devices x each STC (6)
EACS network - TBC, Dedicated VLAN - TBD - Internet access is required</t>
  </si>
  <si>
    <t>1 x A4 printer x each STC (6)</t>
  </si>
  <si>
    <t>1 x MIFI Router x each STC (6) - Data traffic TBC</t>
  </si>
  <si>
    <t>4 x laptops for each STC (6) - TBC with appointed Ticketing Service Provider</t>
  </si>
  <si>
    <t>Outer perimeter entry points (M&amp;Bs) (6)</t>
  </si>
  <si>
    <t>1 x wireless connection x each M&amp;B coverding whole entry area
Quantity of equipment to be connected - TBC
EACS network - TBC, Dedicated VLAN - TBD - Internet access is required</t>
  </si>
  <si>
    <t>TBC - Depending on company appointed for access control
1 x SIM with data x each PDA scanner (Q-ty TBC)</t>
  </si>
  <si>
    <t>Ticketing Resolution points 1-4 (4)</t>
  </si>
  <si>
    <t>2 x wired EACS network connections per each TRP
EACS network and internet access is required</t>
  </si>
  <si>
    <t>1 x wireless connection for up 10 devices 
EACS network - TBC, Dedicated VLAN - TBD - Internet access is required</t>
  </si>
  <si>
    <t>1 x MIFI router x each TRP</t>
  </si>
  <si>
    <t>Entry gates (TBC)</t>
  </si>
  <si>
    <t>Certain gates located on the inner perimeter will need to be covered with wireless connection to support PDA scanners with access to the EACS network. Specific gates TBC</t>
  </si>
  <si>
    <t>Venue EACS office
3 x wired connections for  2 x workstations/laptops, 1 x printer 
EACS network - TBC, Dedicated VLAN - TBD - Internet access is required</t>
  </si>
  <si>
    <t>Venue EACS office
1 x wireless connection for up to 20 devices
EACS network - TBC, Dedicated VLAN - TBD - Internet access is required</t>
  </si>
  <si>
    <t>Venue EACS office
1 x A4 printer</t>
  </si>
  <si>
    <t>Ticketing HQ (LOCATION TBC)</t>
  </si>
  <si>
    <t>moved to FAC TEAP. ID=FAC01088</t>
  </si>
  <si>
    <t xml:space="preserve">4 x TV with HDMI </t>
  </si>
  <si>
    <t>moved to FAC TEAP. ID=FAC01089</t>
  </si>
  <si>
    <t>to be connected to TV-Large-Standalone</t>
  </si>
  <si>
    <t>moved to FAC TEAP. ID=FAC01090</t>
  </si>
  <si>
    <t>moved to FAC TEAP. ID=FAC01091</t>
  </si>
  <si>
    <t>1 x Wireless connection for up to 50 devices</t>
  </si>
  <si>
    <t>moved to FAC TEAP. ID=FAC01092</t>
  </si>
  <si>
    <t>Backup</t>
  </si>
  <si>
    <t>moved to FAC TEAP. ID=FAC01093</t>
  </si>
  <si>
    <t>A3 printer for Ticketing HQ (TBC)</t>
  </si>
  <si>
    <t>moved to FAC TEAP. ID=FAC01094</t>
  </si>
  <si>
    <t>A4 printer for Ticketing HQ (TBC)</t>
  </si>
  <si>
    <t>moved to FAC TEAP. ID=FAC01095</t>
  </si>
  <si>
    <t>Monitor 27" with cable for connection (HDMI, Thunderbolt(type-c), etc.)</t>
  </si>
  <si>
    <t>moved to FAC TEAP. ID=FAC01096</t>
  </si>
  <si>
    <t>Projector FHD with HDMI cable and screen - TBC</t>
  </si>
  <si>
    <t>AND</t>
  </si>
  <si>
    <t>Al Maha Office</t>
  </si>
  <si>
    <t>moved to FAC TEAP. ID=FAC01097</t>
  </si>
  <si>
    <t>moved to FAC TEAP. ID=FAC01098</t>
  </si>
  <si>
    <t>moved to FAC TEAP. ID=FAC01099</t>
  </si>
  <si>
    <t>Technology Product / Service</t>
  </si>
  <si>
    <t>Old Quantity</t>
  </si>
  <si>
    <t>SIM Cards</t>
  </si>
  <si>
    <t>New Quantity</t>
  </si>
  <si>
    <t>Owner</t>
  </si>
  <si>
    <t>LOC IT</t>
  </si>
  <si>
    <t>Entertainment Control Room AE live</t>
  </si>
  <si>
    <t>Entertainment</t>
  </si>
  <si>
    <t>EU</t>
  </si>
  <si>
    <t>Pitch 3</t>
  </si>
  <si>
    <t>Pitch 4</t>
  </si>
  <si>
    <t>Pitch 7</t>
  </si>
  <si>
    <t>Pitch 9</t>
  </si>
  <si>
    <t>IS00WF</t>
  </si>
  <si>
    <t>NW</t>
  </si>
  <si>
    <t>Pitch 1-9</t>
  </si>
  <si>
    <t>around CR/each pitch</t>
  </si>
  <si>
    <t>WRDMED</t>
  </si>
  <si>
    <t>100Mb/Cable</t>
  </si>
  <si>
    <t>1 Control Rooms/pitch (100Mb x LAN)</t>
  </si>
  <si>
    <t>WRDSTU</t>
  </si>
  <si>
    <t>Aspire Dome - level 2</t>
  </si>
  <si>
    <t>FIFA/LOC Offices</t>
  </si>
  <si>
    <t>FIFA Content</t>
  </si>
  <si>
    <t>50Mb/cable, Location TBC</t>
  </si>
  <si>
    <t>Broadcast Compound</t>
  </si>
  <si>
    <t>Broadcast and Streaming Office</t>
  </si>
  <si>
    <t>Location TBC</t>
  </si>
  <si>
    <t>Competition area</t>
  </si>
  <si>
    <t>Doping Control Room</t>
  </si>
  <si>
    <t>FIFA Anti Doping</t>
  </si>
  <si>
    <t>TVSTND</t>
  </si>
  <si>
    <t>TABLEN</t>
  </si>
  <si>
    <t>FIFA Event Technology</t>
  </si>
  <si>
    <t>MODOC app to be installed/available in Play Store</t>
  </si>
  <si>
    <t>Pitch 1 location.</t>
  </si>
  <si>
    <t>Broadcast Compound 1</t>
  </si>
  <si>
    <t>Broadcast and Streaming Office 1</t>
  </si>
  <si>
    <t>FIFA Broadcast</t>
  </si>
  <si>
    <t>Broadcast Compound 2</t>
  </si>
  <si>
    <t>Broadcast and Streaming Office 2</t>
  </si>
  <si>
    <t>WRDSTR</t>
  </si>
  <si>
    <t>MRL behind goal - Left side</t>
  </si>
  <si>
    <t>LOC TBC if Wired</t>
  </si>
  <si>
    <t>MRL behind goal - Right side</t>
  </si>
  <si>
    <t>MRL Positions - Left - 16m line</t>
  </si>
  <si>
    <t>MRL Positions - Right - 16m line</t>
  </si>
  <si>
    <t>OB Van 1-6</t>
  </si>
  <si>
    <t>CR003, 1 general 1 backup (50Mb)</t>
  </si>
  <si>
    <t>OB Van 7-8</t>
  </si>
  <si>
    <t>1 general 1 backup (50Mb)</t>
  </si>
  <si>
    <t>Satellite and HB Cabin 1</t>
  </si>
  <si>
    <t>high speed 50Mb 4 games</t>
  </si>
  <si>
    <t>Satellite and HB Cabin 2</t>
  </si>
  <si>
    <t>Flash Interview</t>
  </si>
  <si>
    <t>SMC/MEO/WD/Mixed Zone</t>
  </si>
  <si>
    <t>CABLOK</t>
  </si>
  <si>
    <t>Media Tribunes</t>
  </si>
  <si>
    <t>Commentary Position</t>
  </si>
  <si>
    <t>LAPPRE</t>
  </si>
  <si>
    <t>1 port for user, 1 port for PRT per position</t>
  </si>
  <si>
    <t>WRDSTA</t>
  </si>
  <si>
    <t>WRDFTI</t>
  </si>
  <si>
    <t>Field of Play</t>
  </si>
  <si>
    <t>Only if existing infrastructure</t>
  </si>
  <si>
    <t>OB Van</t>
  </si>
  <si>
    <t>1 backup and 1 general</t>
  </si>
  <si>
    <t>Satellite and HB Cabin</t>
  </si>
  <si>
    <t>high speed</t>
  </si>
  <si>
    <t>Tunel</t>
  </si>
  <si>
    <t>Match Director Office</t>
  </si>
  <si>
    <t>FIFA Competitions</t>
  </si>
  <si>
    <t>to be moved to Khalifa</t>
  </si>
  <si>
    <t>Small Match Director cabin</t>
  </si>
  <si>
    <t>Printer to be shared between 2 pitches for CPM &amp; ENT</t>
  </si>
  <si>
    <t>Including HDMI cables</t>
  </si>
  <si>
    <t>MCM Room</t>
  </si>
  <si>
    <t>Press Conference Room</t>
  </si>
  <si>
    <t>1 x large TV 75-85" or 2 x TV placed on the side; "PC needs to be ready by MD-3
group stage coordination meeting 2 days prior to the tournamnet" cover 150 pax</t>
  </si>
  <si>
    <t>13.10 - CR001: Change Request - 1 printer in Pitch 8</t>
  </si>
  <si>
    <t>1</t>
  </si>
  <si>
    <t>13.10 - CR001: Change Request</t>
  </si>
  <si>
    <t>FIFA Data Management</t>
  </si>
  <si>
    <t>FIFA Digital Marketing</t>
  </si>
  <si>
    <t>ITSIBU</t>
  </si>
  <si>
    <t>LAPEVT</t>
  </si>
  <si>
    <t>spare laptop</t>
  </si>
  <si>
    <t>valid between 22 Oct - 20 Dec</t>
  </si>
  <si>
    <t>Telco/SIM</t>
  </si>
  <si>
    <t>SIMDOM</t>
  </si>
  <si>
    <t>SIMINT</t>
  </si>
  <si>
    <t>TELMOB</t>
  </si>
  <si>
    <t>FIFA/Venue Technology Office</t>
  </si>
  <si>
    <t>IS0050</t>
  </si>
  <si>
    <t>static public IP</t>
  </si>
  <si>
    <t>ITMON</t>
  </si>
  <si>
    <t>TVMDSA</t>
  </si>
  <si>
    <t>FIFA Films</t>
  </si>
  <si>
    <t>DSK27M</t>
  </si>
  <si>
    <t>TSG - Main room</t>
  </si>
  <si>
    <t>TSG</t>
  </si>
  <si>
    <t>FIFA FTI</t>
  </si>
  <si>
    <t>TSG - Meeting Room</t>
  </si>
  <si>
    <t>FVS cabin A BC1</t>
  </si>
  <si>
    <t>20 Mbps – FTI</t>
  </si>
  <si>
    <t>50 Mbps – FTI</t>
  </si>
  <si>
    <t>20 Mbps - Refereeing</t>
  </si>
  <si>
    <t>FVS cabin B BC1</t>
  </si>
  <si>
    <t>FVS cabin C BC1</t>
  </si>
  <si>
    <t>FVS cabin BC2</t>
  </si>
  <si>
    <t>PROJ6K</t>
  </si>
  <si>
    <t>or a large TV to cover 20 pax</t>
  </si>
  <si>
    <t>if it's possible to provide video signal with different feeds from different angles</t>
  </si>
  <si>
    <t>FTI Equipment Cabin BC1</t>
  </si>
  <si>
    <t>50 Mbps – Streaming provider
3 Main
3 Backup
2 different ISPs</t>
  </si>
  <si>
    <t>100 Mbps – FVS provider</t>
  </si>
  <si>
    <t>FTI Equipment Cabin BC2</t>
  </si>
  <si>
    <t>WRDTSG</t>
  </si>
  <si>
    <t>Internet speed 350Mb</t>
  </si>
  <si>
    <t>FVS Cabin</t>
  </si>
  <si>
    <t>at BC in the stadium</t>
  </si>
  <si>
    <t>FTI equipment cabin</t>
  </si>
  <si>
    <t>at BC in the stadium (2 x 25Mb) 
1 Main
1 Backup
2 different ISPs</t>
  </si>
  <si>
    <t>at BC in the stadium (100 Mb)</t>
  </si>
  <si>
    <t>at BC in the stadium 50 Mbps – FTI</t>
  </si>
  <si>
    <t>at BC in the stadium 20 Mbps - Refereeing</t>
  </si>
  <si>
    <t>Location TBC: MT</t>
  </si>
  <si>
    <t>IS00VP</t>
  </si>
  <si>
    <t>VIP Lounge</t>
  </si>
  <si>
    <t>FIFA Guest Operations</t>
  </si>
  <si>
    <t>Protocol Office</t>
  </si>
  <si>
    <t>VIP area</t>
  </si>
  <si>
    <t>Stadium Media Centre</t>
  </si>
  <si>
    <t>FIFA Media</t>
  </si>
  <si>
    <t>IS00WM</t>
  </si>
  <si>
    <t>for 100pax</t>
  </si>
  <si>
    <t>Media Tribune</t>
  </si>
  <si>
    <t>Local Press</t>
  </si>
  <si>
    <t>Behind goal remote left</t>
  </si>
  <si>
    <t>Behind goal remote right</t>
  </si>
  <si>
    <t>FIFA Photo Positions - Left - 16m line</t>
  </si>
  <si>
    <t>FIFA Photo Positions - Right - 16m line</t>
  </si>
  <si>
    <t>Photographers Positions - Left side</t>
  </si>
  <si>
    <t>Photographers Positions - Right side</t>
  </si>
  <si>
    <t>AUDUSB</t>
  </si>
  <si>
    <t>Media Information / Welcome Desk</t>
  </si>
  <si>
    <t>CAM001</t>
  </si>
  <si>
    <t>Webcam</t>
  </si>
  <si>
    <t>4K</t>
  </si>
  <si>
    <t>MEO office</t>
  </si>
  <si>
    <t>Mixed Zone</t>
  </si>
  <si>
    <t>Local Press+International TBC / for 60pax</t>
  </si>
  <si>
    <t>IS00Wm</t>
  </si>
  <si>
    <t>Request from Paul Murphy / only if existing infrastructure</t>
  </si>
  <si>
    <t>AVMSYS</t>
  </si>
  <si>
    <t>Referees Accommodation</t>
  </si>
  <si>
    <t xml:space="preserve">Class Room - Olympia </t>
  </si>
  <si>
    <t>FIFA Referees</t>
  </si>
  <si>
    <t>Technical / Match Analysts - Office(s) in 1st floor</t>
  </si>
  <si>
    <t>REF Management - Lab 2</t>
  </si>
  <si>
    <t>REF Administration - Glass office (1st floor)</t>
  </si>
  <si>
    <t>Fitness Office</t>
  </si>
  <si>
    <t>IS00WR</t>
  </si>
  <si>
    <t>Training site pitch 10-11</t>
  </si>
  <si>
    <t>Instant Feedback</t>
  </si>
  <si>
    <t>Physio/ Medical Room - GF</t>
  </si>
  <si>
    <t>Only if Wireless is not available</t>
  </si>
  <si>
    <t>3 laptops to connect each to 2 TVs via HDMI - to stream matches via FDP</t>
  </si>
  <si>
    <t>Proj6k</t>
  </si>
  <si>
    <t>pitch 11-12</t>
  </si>
  <si>
    <t>WDF100</t>
  </si>
  <si>
    <t>LOC: Can we add a switch in the room?</t>
  </si>
  <si>
    <t>Security Room (VOC)</t>
  </si>
  <si>
    <t>FIFA Security</t>
  </si>
  <si>
    <t>any other internet availables via Wi-Fi</t>
  </si>
  <si>
    <t>IS00WS</t>
  </si>
  <si>
    <t>Team Dressing Rooms</t>
  </si>
  <si>
    <t>FIFA Team Services</t>
  </si>
  <si>
    <t>Wi-Fi for each dressing room / pitch</t>
  </si>
  <si>
    <t>FIFA Transport</t>
  </si>
  <si>
    <t>FIFA Travel</t>
  </si>
  <si>
    <t>FIFA Venue Management</t>
  </si>
  <si>
    <t>Venue Office</t>
  </si>
  <si>
    <t>L2 general office</t>
  </si>
  <si>
    <t>RADIO</t>
  </si>
  <si>
    <t xml:space="preserve">Aspire Dome </t>
  </si>
  <si>
    <t>Radio Distribution Office</t>
  </si>
  <si>
    <t>TETRA</t>
  </si>
  <si>
    <t>Aspire Dome - level 1</t>
  </si>
  <si>
    <t>VOL Centre</t>
  </si>
  <si>
    <t>FIFA Volunteer</t>
  </si>
  <si>
    <t>Hotline</t>
  </si>
  <si>
    <t>Freelancer</t>
  </si>
  <si>
    <t>FIFA Workforce</t>
  </si>
  <si>
    <t>FIFA/LOC Workforce Area</t>
  </si>
  <si>
    <t>FIFA Storage</t>
  </si>
  <si>
    <t>if possible</t>
  </si>
  <si>
    <t>FIFA/LOC Meeting Room</t>
  </si>
  <si>
    <t>LOC Offices/Storage Area</t>
  </si>
  <si>
    <t>4 games simultaneous</t>
  </si>
  <si>
    <t>TBC Meeting rooms</t>
  </si>
  <si>
    <t>Youth Programme Area</t>
  </si>
  <si>
    <t>Partner Rights Delivery</t>
  </si>
  <si>
    <t>Stadium Perimeter</t>
  </si>
  <si>
    <t>Brand Activation Area 1</t>
  </si>
  <si>
    <t>Can be 4G too. Position 5 on the map</t>
  </si>
  <si>
    <t>Brand Activation Area 2</t>
  </si>
  <si>
    <t>Brand Activation Area 3</t>
  </si>
  <si>
    <t>Brand Activation Area</t>
  </si>
  <si>
    <t>TBC if activated</t>
  </si>
  <si>
    <t>temporarily deployed in SPS</t>
  </si>
  <si>
    <t>Field of Play - LED operator</t>
  </si>
  <si>
    <t>to be kept for the Arab Cup</t>
  </si>
  <si>
    <t>Safeguarding</t>
  </si>
  <si>
    <t xml:space="preserve">LOC Access Management </t>
  </si>
  <si>
    <t>LOC Accreditation</t>
  </si>
  <si>
    <t>PK 17.09: Transferred to FAC scope</t>
  </si>
  <si>
    <t>LOC Catering</t>
  </si>
  <si>
    <t xml:space="preserve">LOC Events and Community Relations </t>
  </si>
  <si>
    <t>LOC Food &amp; Beverage Concessions</t>
  </si>
  <si>
    <t>LOC Logistics</t>
  </si>
  <si>
    <t>LOC Medical</t>
  </si>
  <si>
    <t>LOC Spectator Services</t>
  </si>
  <si>
    <r>
      <rPr>
        <sz val="11"/>
        <color rgb="FF000000"/>
        <rFont val="Calibri"/>
        <family val="2"/>
        <scheme val="minor"/>
      </rPr>
      <t xml:space="preserve">MI 23.10: CR011: Change request to provide 2 mobile phones for SPS team. Changed code to </t>
    </r>
    <r>
      <rPr>
        <b/>
        <sz val="11"/>
        <color rgb="FF000000"/>
        <rFont val="Calibri"/>
        <family val="2"/>
        <scheme val="minor"/>
      </rPr>
      <t xml:space="preserve">TELMOB </t>
    </r>
    <r>
      <rPr>
        <sz val="11"/>
        <color rgb="FF000000"/>
        <rFont val="Calibri"/>
        <family val="2"/>
        <scheme val="minor"/>
      </rPr>
      <t xml:space="preserve">from </t>
    </r>
    <r>
      <rPr>
        <b/>
        <sz val="11"/>
        <color rgb="FF000000"/>
        <rFont val="Calibri"/>
        <family val="2"/>
        <scheme val="minor"/>
      </rPr>
      <t>SIMDAT</t>
    </r>
    <r>
      <rPr>
        <sz val="11"/>
        <color rgb="FF000000"/>
        <rFont val="Calibri"/>
        <family val="2"/>
        <scheme val="minor"/>
      </rPr>
      <t xml:space="preserve"> </t>
    </r>
  </si>
  <si>
    <t>LOC SSOC</t>
  </si>
  <si>
    <t>PK 21.09: A3 replaced with A4</t>
  </si>
  <si>
    <t>PK 21.09: rejected in provision</t>
  </si>
  <si>
    <t>LOC Team Services</t>
  </si>
  <si>
    <t>LOC Venue Management</t>
  </si>
  <si>
    <t>L1 general office</t>
  </si>
  <si>
    <t>LOC Workforce</t>
  </si>
  <si>
    <t>LOC Competition</t>
  </si>
  <si>
    <t>LOC Mobility</t>
  </si>
  <si>
    <t>PK 16.10: wifi replaced to mifi due to out of venue location</t>
  </si>
  <si>
    <t>LOC Ticketing</t>
  </si>
  <si>
    <t>PK 18.09: 2 STC 4 cables for laptops</t>
  </si>
  <si>
    <t>PK 18.09: 2 STC , wifi in each</t>
  </si>
  <si>
    <t>PK 18.09: 2 STC 1 printer each</t>
  </si>
  <si>
    <t>PK 18.09: laptops from TKT supplier</t>
  </si>
  <si>
    <t>Aspire Complex entry points (3)</t>
  </si>
  <si>
    <t>PK 18.09: 2 PSA, wifi in each</t>
  </si>
  <si>
    <t>North, South &amp; East</t>
  </si>
  <si>
    <t>PK 18.09: covered in request from Hayya</t>
  </si>
  <si>
    <t>PK 18.09: no TRP</t>
  </si>
  <si>
    <t>PK 18.09: pitch 5 and 7</t>
  </si>
  <si>
    <t>PK 18.09: pitch 5 and 7, not covered in reuest from Haya</t>
  </si>
  <si>
    <t>PK 18.09: no TKT office</t>
  </si>
  <si>
    <t>PK 18.09: no EACS office</t>
  </si>
  <si>
    <t>"2 x wired ports for 2 x laptops
EACS network - TBC, Dedicated VLAN - TBD"</t>
  </si>
  <si>
    <t>PK 18.09: 2 laptops from LOC</t>
  </si>
  <si>
    <t>PK 18.09: TV depends on VOC setup</t>
  </si>
  <si>
    <t>PK 21.09: reflected in FAC TEAP</t>
  </si>
  <si>
    <t>LOC Arrival &amp; Departure</t>
  </si>
  <si>
    <t>Guest Relations for VIP &amp; VVIP</t>
  </si>
  <si>
    <t>LOC GRE</t>
  </si>
  <si>
    <t>MI 19.10: CR005 - 6 mobile phones with active SIM cards</t>
  </si>
  <si>
    <t>Sum of New Quantity</t>
  </si>
  <si>
    <t>Column Labels</t>
  </si>
  <si>
    <t>Row Labels</t>
  </si>
  <si>
    <t>TVLGIP - TV - Large - IPTV</t>
  </si>
  <si>
    <t>TVLGSA - TV - Large - Standalone</t>
  </si>
  <si>
    <t>TVMDSA - TV - Medium - Standalone</t>
  </si>
  <si>
    <t>Grand Total</t>
  </si>
  <si>
    <t>Sum of SIM Cards2</t>
  </si>
  <si>
    <t xml:space="preserve">IT Solution - 4G Internet backup </t>
  </si>
  <si>
    <t>IT Solution - Router + 4G</t>
  </si>
  <si>
    <t>Local SIM Card</t>
  </si>
  <si>
    <t>Local SIM Card - Data Only</t>
  </si>
  <si>
    <t>Local SIM Card + International</t>
  </si>
  <si>
    <t>Professional Series Tablet + 4G</t>
  </si>
  <si>
    <t>Smart Phone</t>
  </si>
  <si>
    <t>Sum of Network Drops2</t>
  </si>
  <si>
    <t>Cabled Internet - 100Mbps</t>
  </si>
  <si>
    <t>Colour Printer / Scanner (A4)</t>
  </si>
  <si>
    <t>FIFA IT Monitoring network port</t>
  </si>
  <si>
    <t>Internet Service - 50Mbps</t>
  </si>
  <si>
    <t>Large Colour Printer / Scanner (A3)</t>
  </si>
  <si>
    <t>Large TV - CATV Feed</t>
  </si>
  <si>
    <t>Wired Port - ACR-TKT-Ipcodec</t>
  </si>
  <si>
    <t>Wired Port - Content</t>
  </si>
  <si>
    <t>Wired Port - FTI</t>
  </si>
  <si>
    <t>Wired Port - Internet</t>
  </si>
  <si>
    <t>Wired Port - Internet for Media</t>
  </si>
  <si>
    <t>Wired Port - Stream &amp; World feed</t>
  </si>
  <si>
    <t>Wired Port - TSG</t>
  </si>
  <si>
    <t>(blank)</t>
  </si>
  <si>
    <t>OB Van 1</t>
  </si>
  <si>
    <t>OB Van 2</t>
  </si>
  <si>
    <t>24" PC Monitor</t>
  </si>
  <si>
    <t>27" PC Monitor</t>
  </si>
  <si>
    <t>Barcode scanner</t>
  </si>
  <si>
    <t>FIFA Laptop</t>
  </si>
  <si>
    <t>Reprographics</t>
  </si>
  <si>
    <t xml:space="preserve">Sum of Quantity </t>
  </si>
  <si>
    <t>2 cabins</t>
  </si>
  <si>
    <t>5 cables per cabin</t>
  </si>
  <si>
    <t>1 printer per cabin</t>
  </si>
  <si>
    <t>1 per cabin</t>
  </si>
  <si>
    <t>Position</t>
  </si>
  <si>
    <t>Name</t>
  </si>
  <si>
    <t>Phone</t>
  </si>
  <si>
    <t>Email</t>
  </si>
  <si>
    <t xml:space="preserve">Access Management </t>
  </si>
  <si>
    <t>FA Lead</t>
  </si>
  <si>
    <t>Bared Halajian</t>
  </si>
  <si>
    <t>b.halajian@sc.qa</t>
  </si>
  <si>
    <t>FA Requirements Focal</t>
  </si>
  <si>
    <t>Accreditation</t>
  </si>
  <si>
    <t>Griselda Nievas</t>
  </si>
  <si>
    <t>g.nievas@loc.qa</t>
  </si>
  <si>
    <t>Catering</t>
  </si>
  <si>
    <t xml:space="preserve">Events and Community Relations </t>
  </si>
  <si>
    <t>Noha Ziedan</t>
  </si>
  <si>
    <t>7400 9398</t>
  </si>
  <si>
    <t>n.ziedan@sc.qa</t>
  </si>
  <si>
    <t>Food &amp; Beverage Concessions</t>
  </si>
  <si>
    <t>Mustapha Berrebbah</t>
  </si>
  <si>
    <t>5574 3753</t>
  </si>
  <si>
    <t>m.berrebbah@sc.qa</t>
  </si>
  <si>
    <t>Logistics</t>
  </si>
  <si>
    <t>Lana Kayed</t>
  </si>
  <si>
    <t>l.kayed@sc.qa</t>
  </si>
  <si>
    <t>Medical</t>
  </si>
  <si>
    <t>Sara Al batesh</t>
  </si>
  <si>
    <t>s.albatesh@sc.qa</t>
  </si>
  <si>
    <t>Power</t>
  </si>
  <si>
    <t xml:space="preserve">Chady Maalouly </t>
  </si>
  <si>
    <t>c.maalouly@sc.qa</t>
  </si>
  <si>
    <t>Spectator Services</t>
  </si>
  <si>
    <t xml:space="preserve">Tamara Kemulariya </t>
  </si>
  <si>
    <t>t.kemulariya@sc.qa</t>
  </si>
  <si>
    <t>Cristiana Macedo</t>
  </si>
  <si>
    <t>c.fontes@gmail.com</t>
  </si>
  <si>
    <t>Team Services</t>
  </si>
  <si>
    <t>Ligia Rondon</t>
  </si>
  <si>
    <t>3056 9188</t>
  </si>
  <si>
    <t>m.silva@sc.qa</t>
  </si>
  <si>
    <t>Venue Management</t>
  </si>
  <si>
    <t>Workforce</t>
  </si>
  <si>
    <t>Competition</t>
  </si>
  <si>
    <t>Dmitrii Solonenkin</t>
  </si>
  <si>
    <t>d.solonenkin@sc.qa</t>
  </si>
  <si>
    <t>Mobility</t>
  </si>
  <si>
    <t>Ticketing</t>
  </si>
  <si>
    <t xml:space="preserve">Maha Ali Mohamed </t>
  </si>
  <si>
    <t>maha.mohamed@sc.qa</t>
  </si>
  <si>
    <t>Kirill Lokhanin</t>
  </si>
  <si>
    <t>6665 4348</t>
  </si>
  <si>
    <t>KLokhanin@ssoc.gov.qa</t>
  </si>
  <si>
    <t>Marilena Koutra</t>
  </si>
  <si>
    <t>m.koutra@sc.qa</t>
  </si>
  <si>
    <t>Yasmeen Shabsough</t>
  </si>
  <si>
    <t>y.shabsough@sc.qa</t>
  </si>
  <si>
    <t>Zachariah Joseph</t>
  </si>
  <si>
    <t>z.joseph@sc.qa</t>
  </si>
  <si>
    <t>Rania Hachem</t>
  </si>
  <si>
    <t>r.hachem@loc.qa</t>
  </si>
  <si>
    <t>Ganna Musiienko</t>
  </si>
  <si>
    <t>3359 7642</t>
  </si>
  <si>
    <t>g.musiienko@sc.qa</t>
  </si>
  <si>
    <t>Kamran Yasinzade</t>
  </si>
  <si>
    <t>k.yasinzade@sc.qa</t>
  </si>
  <si>
    <t>Aigerim Jumayeva</t>
  </si>
  <si>
    <t>a.jumayeva@sc.qa</t>
  </si>
  <si>
    <t>Mostafa Abdelazim</t>
  </si>
  <si>
    <t>mabdulazeem@qfa.qa</t>
  </si>
  <si>
    <t>ABDULAZIZ FAKHROO</t>
  </si>
  <si>
    <t>ab.fakhroo@sc.qa</t>
  </si>
  <si>
    <t xml:space="preserve">THAHIR NAFEES </t>
  </si>
  <si>
    <t>t.sayid@sc.qa</t>
  </si>
  <si>
    <t>Yulia Kozlova</t>
  </si>
  <si>
    <t>3032 0946</t>
  </si>
  <si>
    <t>y.kozlova@sc.qa</t>
  </si>
  <si>
    <t>Rauf Novruzov</t>
  </si>
  <si>
    <t>-</t>
  </si>
  <si>
    <t>r.novruzov@sc.qa</t>
  </si>
  <si>
    <t>Arrival &amp; Departure</t>
  </si>
  <si>
    <t>Ivo Vermeulen</t>
  </si>
  <si>
    <t>6631 8058</t>
  </si>
  <si>
    <t>i.vermeulen@sc.qa</t>
  </si>
  <si>
    <t>TBC</t>
  </si>
  <si>
    <t>ICT</t>
  </si>
  <si>
    <t>Sergei</t>
  </si>
  <si>
    <t>Pavel</t>
  </si>
  <si>
    <t>Customer Journey notes</t>
  </si>
  <si>
    <t>Funtional area</t>
  </si>
  <si>
    <t>Topics of discussion and comments</t>
  </si>
  <si>
    <t>Status</t>
  </si>
  <si>
    <t>Project Lead Team</t>
  </si>
  <si>
    <r>
      <rPr>
        <b/>
        <sz val="11"/>
        <color theme="1"/>
        <rFont val="Calibri"/>
        <family val="2"/>
        <scheme val="minor"/>
      </rPr>
      <t>Gian Keller</t>
    </r>
    <r>
      <rPr>
        <sz val="11"/>
        <color theme="1"/>
        <rFont val="Calibri"/>
        <family val="2"/>
        <scheme val="minor"/>
      </rPr>
      <t xml:space="preserve">
gian.keller@fifa.org
+41791796531</t>
    </r>
  </si>
  <si>
    <t>50 radios for FIFA staff</t>
  </si>
  <si>
    <r>
      <rPr>
        <b/>
        <sz val="11"/>
        <color theme="1"/>
        <rFont val="Calibri"/>
        <family val="2"/>
        <scheme val="minor"/>
      </rPr>
      <t>Oliver Vogt</t>
    </r>
    <r>
      <rPr>
        <sz val="11"/>
        <color theme="1"/>
        <rFont val="Calibri"/>
        <family val="2"/>
        <scheme val="minor"/>
      </rPr>
      <t xml:space="preserve">
oliver.vogt@fifa.org
+41798164760</t>
    </r>
  </si>
  <si>
    <t>Access Management</t>
  </si>
  <si>
    <r>
      <rPr>
        <b/>
        <sz val="11"/>
        <color rgb="FF000000"/>
        <rFont val="Calibri"/>
        <family val="2"/>
        <scheme val="minor"/>
      </rPr>
      <t xml:space="preserve">Ildar Kamaletdinov
</t>
    </r>
    <r>
      <rPr>
        <sz val="11"/>
        <color rgb="FF000000"/>
        <rFont val="Calibri"/>
        <family val="2"/>
        <scheme val="minor"/>
      </rPr>
      <t>ildar.kamaletdinov@fifa.org
+41795822475</t>
    </r>
  </si>
  <si>
    <t>LOC to deliver the solution</t>
  </si>
  <si>
    <t>Light</t>
  </si>
  <si>
    <r>
      <rPr>
        <b/>
        <sz val="11"/>
        <color rgb="FF000000"/>
        <rFont val="Calibri"/>
        <family val="2"/>
        <scheme val="minor"/>
      </rPr>
      <t xml:space="preserve">Ali Jasir
</t>
    </r>
    <r>
      <rPr>
        <sz val="11"/>
        <color rgb="FF000000"/>
        <rFont val="Calibri"/>
        <family val="2"/>
        <scheme val="minor"/>
      </rPr>
      <t>ali.jasir@fifa.org
+41795822475</t>
    </r>
  </si>
  <si>
    <t>LOC to deliver ACR solution</t>
  </si>
  <si>
    <t>Accommodation</t>
  </si>
  <si>
    <r>
      <rPr>
        <b/>
        <sz val="11"/>
        <color rgb="FF000000"/>
        <rFont val="Calibri"/>
        <family val="2"/>
        <scheme val="minor"/>
      </rPr>
      <t xml:space="preserve">Cataldo Mintrone
</t>
    </r>
    <r>
      <rPr>
        <sz val="11"/>
        <color rgb="FF000000"/>
        <rFont val="Calibri"/>
        <family val="2"/>
        <scheme val="minor"/>
      </rPr>
      <t>cataldo.mintrone@fifa.org
+41798912767</t>
    </r>
  </si>
  <si>
    <t>agreed on Teams</t>
  </si>
  <si>
    <t>light</t>
  </si>
  <si>
    <t>Services Coordination</t>
  </si>
  <si>
    <r>
      <rPr>
        <b/>
        <sz val="11"/>
        <color theme="1"/>
        <rFont val="Calibri"/>
        <family val="2"/>
        <scheme val="minor"/>
      </rPr>
      <t>Patrick Dibb</t>
    </r>
    <r>
      <rPr>
        <sz val="11"/>
        <color theme="1"/>
        <rFont val="Calibri"/>
        <family val="2"/>
        <scheme val="minor"/>
      </rPr>
      <t xml:space="preserve">
patrick.dibb@fifa.org
+41798749568</t>
    </r>
  </si>
  <si>
    <t>No involvement in U17, only Tier 1 on site</t>
  </si>
  <si>
    <t>Brand Management</t>
  </si>
  <si>
    <r>
      <rPr>
        <b/>
        <sz val="11"/>
        <rFont val="Calibri"/>
        <family val="2"/>
        <scheme val="minor"/>
      </rPr>
      <t>Thomas Mauritsen</t>
    </r>
    <r>
      <rPr>
        <sz val="11"/>
        <rFont val="Calibri"/>
        <family val="2"/>
        <scheme val="minor"/>
      </rPr>
      <t xml:space="preserve">
thomas.mauritsen@fifa.org
+41799596573</t>
    </r>
  </si>
  <si>
    <t>Teams</t>
  </si>
  <si>
    <t>TV Operations</t>
  </si>
  <si>
    <r>
      <rPr>
        <b/>
        <sz val="11"/>
        <color rgb="FF000000"/>
        <rFont val="Calibri"/>
        <family val="2"/>
      </rPr>
      <t xml:space="preserve">Dragos Caretas
</t>
    </r>
    <r>
      <rPr>
        <sz val="11"/>
        <color rgb="FF000000"/>
        <rFont val="Calibri"/>
        <family val="2"/>
      </rPr>
      <t>dragos.caretas@fifa.org
+41795065465</t>
    </r>
  </si>
  <si>
    <t>Host Broadcast Production</t>
  </si>
  <si>
    <r>
      <rPr>
        <b/>
        <sz val="11"/>
        <color rgb="FF000000"/>
        <rFont val="Calibri"/>
        <family val="2"/>
        <scheme val="minor"/>
      </rPr>
      <t xml:space="preserve">Dragos Caretas
</t>
    </r>
    <r>
      <rPr>
        <sz val="11"/>
        <color rgb="FF000000"/>
        <rFont val="Calibri"/>
        <family val="2"/>
        <scheme val="minor"/>
      </rPr>
      <t>dragos.caretas@fifa.org
+41795065465</t>
    </r>
  </si>
  <si>
    <t>Media Partnership Services</t>
  </si>
  <si>
    <r>
      <rPr>
        <b/>
        <sz val="11"/>
        <color rgb="FF000000"/>
        <rFont val="Calibri"/>
        <family val="2"/>
        <scheme val="minor"/>
      </rPr>
      <t xml:space="preserve">Anna Andersen
</t>
    </r>
    <r>
      <rPr>
        <sz val="11"/>
        <color rgb="FF000000"/>
        <rFont val="Calibri"/>
        <family val="2"/>
        <scheme val="minor"/>
      </rPr>
      <t>anna.andersen@fifa.org
+41791083665</t>
    </r>
  </si>
  <si>
    <t xml:space="preserve">Media Operations </t>
  </si>
  <si>
    <r>
      <rPr>
        <b/>
        <sz val="11"/>
        <color theme="1"/>
        <rFont val="Calibri"/>
        <family val="2"/>
        <scheme val="minor"/>
      </rPr>
      <t>Joanna Dzios (Media Ops)</t>
    </r>
    <r>
      <rPr>
        <sz val="11"/>
        <color theme="1"/>
        <rFont val="Calibri"/>
        <family val="2"/>
        <scheme val="minor"/>
      </rPr>
      <t xml:space="preserve">
joanna.dzios@fifa.org
+97433398480</t>
    </r>
  </si>
  <si>
    <t>Corporate Communications (FIFA)</t>
  </si>
  <si>
    <r>
      <rPr>
        <b/>
        <sz val="11"/>
        <color theme="1"/>
        <rFont val="Calibri"/>
        <family val="2"/>
        <scheme val="minor"/>
      </rPr>
      <t>Thayssa Plum (Corporate Comms)</t>
    </r>
    <r>
      <rPr>
        <sz val="11"/>
        <color theme="1"/>
        <rFont val="Calibri"/>
        <family val="2"/>
        <scheme val="minor"/>
      </rPr>
      <t xml:space="preserve">
thayssa.plum@fifa.org
+41795001117</t>
    </r>
  </si>
  <si>
    <t>Digital Marketing/Content</t>
  </si>
  <si>
    <r>
      <rPr>
        <b/>
        <sz val="11"/>
        <color theme="1"/>
        <rFont val="Calibri"/>
        <family val="2"/>
        <scheme val="minor"/>
      </rPr>
      <t>Beatrix Hammer</t>
    </r>
    <r>
      <rPr>
        <sz val="11"/>
        <color theme="1"/>
        <rFont val="Calibri"/>
        <family val="2"/>
        <scheme val="minor"/>
      </rPr>
      <t xml:space="preserve">
beatrix.hammer@fifa.org
+41797329115</t>
    </r>
  </si>
  <si>
    <t>IBCC in Paris</t>
  </si>
  <si>
    <t>Content Production (FIFA)</t>
  </si>
  <si>
    <r>
      <rPr>
        <b/>
        <sz val="11"/>
        <color theme="1"/>
        <rFont val="Calibri"/>
        <family val="2"/>
        <scheme val="minor"/>
      </rPr>
      <t>Tim Tschiersch</t>
    </r>
    <r>
      <rPr>
        <sz val="11"/>
        <color theme="1"/>
        <rFont val="Calibri"/>
        <family val="2"/>
        <scheme val="minor"/>
      </rPr>
      <t xml:space="preserve">
Tim.Tschiersch@fifa.org
+41799327376</t>
    </r>
  </si>
  <si>
    <t>Competition Management</t>
  </si>
  <si>
    <r>
      <rPr>
        <b/>
        <sz val="11"/>
        <color theme="1"/>
        <rFont val="Calibri"/>
        <family val="2"/>
        <scheme val="minor"/>
      </rPr>
      <t>Guillermo Tobias</t>
    </r>
    <r>
      <rPr>
        <sz val="11"/>
        <color theme="1"/>
        <rFont val="Calibri"/>
        <family val="2"/>
        <scheme val="minor"/>
      </rPr>
      <t xml:space="preserve">
guillermo.tobias@fifa.org
+41797875980</t>
    </r>
  </si>
  <si>
    <r>
      <rPr>
        <b/>
        <sz val="11"/>
        <color rgb="FF000000"/>
        <rFont val="Calibri"/>
        <family val="2"/>
        <scheme val="minor"/>
      </rPr>
      <t xml:space="preserve">Nick Thurston
</t>
    </r>
    <r>
      <rPr>
        <sz val="11"/>
        <color rgb="FF000000"/>
        <rFont val="Calibri"/>
        <family val="2"/>
        <scheme val="minor"/>
      </rPr>
      <t>nick.thurston@fifa.org
+41797772793</t>
    </r>
  </si>
  <si>
    <t>Data Management</t>
  </si>
  <si>
    <r>
      <rPr>
        <b/>
        <sz val="11"/>
        <color rgb="FF000000"/>
        <rFont val="Calibri"/>
        <family val="2"/>
        <scheme val="minor"/>
      </rPr>
      <t xml:space="preserve">Adrian Popp
</t>
    </r>
    <r>
      <rPr>
        <sz val="11"/>
        <color rgb="FF000000"/>
        <rFont val="Calibri"/>
        <family val="2"/>
        <scheme val="minor"/>
      </rPr>
      <t>adrian.popp@fifa.org
+41793579644</t>
    </r>
  </si>
  <si>
    <t>Remote support only</t>
  </si>
  <si>
    <t>Event Promotion</t>
  </si>
  <si>
    <r>
      <rPr>
        <b/>
        <sz val="11"/>
        <color rgb="FF000000"/>
        <rFont val="Calibri"/>
        <family val="2"/>
        <scheme val="minor"/>
      </rPr>
      <t xml:space="preserve">Egor Kretsan
</t>
    </r>
    <r>
      <rPr>
        <sz val="11"/>
        <color rgb="FF000000"/>
        <rFont val="Calibri"/>
        <family val="2"/>
        <scheme val="minor"/>
      </rPr>
      <t>egor.kretsan@fifa.org
+49 152 0900 8281</t>
    </r>
  </si>
  <si>
    <t>MBBI - Wi-Fi Only using FIFA/LOC Offices</t>
  </si>
  <si>
    <t>Event Controlling</t>
  </si>
  <si>
    <r>
      <rPr>
        <b/>
        <sz val="11"/>
        <color theme="1"/>
        <rFont val="Calibri"/>
        <family val="2"/>
        <scheme val="minor"/>
      </rPr>
      <t>David Guasch</t>
    </r>
    <r>
      <rPr>
        <sz val="11"/>
        <color theme="1"/>
        <rFont val="Calibri"/>
        <family val="2"/>
        <scheme val="minor"/>
      </rPr>
      <t xml:space="preserve">
david.guasch@fifa.org
+41796211457</t>
    </r>
  </si>
  <si>
    <t>Football Technology &amp; Innovation</t>
  </si>
  <si>
    <r>
      <rPr>
        <b/>
        <sz val="11"/>
        <color rgb="FF000000"/>
        <rFont val="Calibri"/>
        <family val="2"/>
      </rPr>
      <t xml:space="preserve">Daniele Diana
</t>
    </r>
    <r>
      <rPr>
        <sz val="11"/>
        <color rgb="FF000000"/>
        <rFont val="Calibri"/>
        <family val="2"/>
      </rPr>
      <t>daniele.diana@fifa.org
+41798324186</t>
    </r>
  </si>
  <si>
    <t>Guest Operations</t>
  </si>
  <si>
    <r>
      <rPr>
        <b/>
        <sz val="11"/>
        <color theme="1"/>
        <rFont val="Calibri"/>
        <family val="2"/>
        <scheme val="minor"/>
      </rPr>
      <t>Santiago Guilarte</t>
    </r>
    <r>
      <rPr>
        <sz val="11"/>
        <color theme="1"/>
        <rFont val="Calibri"/>
        <family val="2"/>
        <scheme val="minor"/>
      </rPr>
      <t xml:space="preserve">
santiago.guilarte@fifa.org
+41754291740</t>
    </r>
  </si>
  <si>
    <t>Follow 03.04</t>
  </si>
  <si>
    <t>Event IT</t>
  </si>
  <si>
    <r>
      <rPr>
        <b/>
        <sz val="11"/>
        <color rgb="FF000000"/>
        <rFont val="Calibri"/>
        <family val="2"/>
        <scheme val="minor"/>
      </rPr>
      <t xml:space="preserve">Tony Peter
</t>
    </r>
    <r>
      <rPr>
        <sz val="11"/>
        <color rgb="FF000000"/>
        <rFont val="Calibri"/>
        <family val="2"/>
        <scheme val="minor"/>
      </rPr>
      <t>tony.peter@fifa.org
+41796188559</t>
    </r>
  </si>
  <si>
    <t>Event Legal</t>
  </si>
  <si>
    <r>
      <rPr>
        <b/>
        <sz val="11"/>
        <color theme="1"/>
        <rFont val="Calibri"/>
        <family val="2"/>
        <scheme val="minor"/>
      </rPr>
      <t>Julianna Hernandez</t>
    </r>
    <r>
      <rPr>
        <sz val="11"/>
        <color theme="1"/>
        <rFont val="Calibri"/>
        <family val="2"/>
        <scheme val="minor"/>
      </rPr>
      <t xml:space="preserve">
julianna.hernandez@fifa.org
</t>
    </r>
  </si>
  <si>
    <t>Event Logistics</t>
  </si>
  <si>
    <r>
      <rPr>
        <b/>
        <sz val="11"/>
        <color rgb="FF000000"/>
        <rFont val="Calibri"/>
        <family val="2"/>
        <scheme val="minor"/>
      </rPr>
      <t xml:space="preserve">Felix Sadenwasser
</t>
    </r>
    <r>
      <rPr>
        <sz val="11"/>
        <color rgb="FF000000"/>
        <rFont val="Calibri"/>
        <family val="2"/>
        <scheme val="minor"/>
      </rPr>
      <t>felix.sadenwasser@fifa.org
+41798923905</t>
    </r>
  </si>
  <si>
    <r>
      <rPr>
        <b/>
        <sz val="11"/>
        <color rgb="FF000000"/>
        <rFont val="Calibri"/>
        <family val="2"/>
        <scheme val="minor"/>
      </rPr>
      <t xml:space="preserve">Njegos Vilotic
</t>
    </r>
    <r>
      <rPr>
        <sz val="11"/>
        <color rgb="FF000000"/>
        <rFont val="Calibri"/>
        <family val="2"/>
        <scheme val="minor"/>
      </rPr>
      <t>njegos.vilotic@fifa.org
+41793074761</t>
    </r>
  </si>
  <si>
    <t>Medical Services</t>
  </si>
  <si>
    <r>
      <rPr>
        <b/>
        <sz val="11"/>
        <color rgb="FF000000"/>
        <rFont val="Calibri"/>
        <family val="2"/>
        <scheme val="minor"/>
      </rPr>
      <t xml:space="preserve">David Rehn
</t>
    </r>
    <r>
      <rPr>
        <sz val="11"/>
        <color rgb="FF000000"/>
        <rFont val="Calibri"/>
        <family val="2"/>
        <scheme val="minor"/>
      </rPr>
      <t>david.rehn@fifa.org
+41796110107</t>
    </r>
  </si>
  <si>
    <t>Doping Control</t>
  </si>
  <si>
    <r>
      <rPr>
        <b/>
        <sz val="11"/>
        <color rgb="FF000000"/>
        <rFont val="Calibri"/>
        <family val="2"/>
        <scheme val="minor"/>
      </rPr>
      <t xml:space="preserve">Erling Bjerga
</t>
    </r>
    <r>
      <rPr>
        <sz val="11"/>
        <color rgb="FF000000"/>
        <rFont val="Calibri"/>
        <family val="2"/>
        <scheme val="minor"/>
      </rPr>
      <t xml:space="preserve">erling.bjerga@fifa.org
</t>
    </r>
  </si>
  <si>
    <r>
      <rPr>
        <b/>
        <sz val="11"/>
        <color theme="1"/>
        <rFont val="Calibri"/>
        <family val="2"/>
        <scheme val="minor"/>
      </rPr>
      <t>Jana Eisenmann</t>
    </r>
    <r>
      <rPr>
        <sz val="11"/>
        <color theme="1"/>
        <rFont val="Calibri"/>
        <family val="2"/>
        <scheme val="minor"/>
      </rPr>
      <t xml:space="preserve">
jana.eisenmann@fifa.org
+41795912746</t>
    </r>
  </si>
  <si>
    <t>ex-MKT</t>
  </si>
  <si>
    <t>Pitch Management</t>
  </si>
  <si>
    <r>
      <rPr>
        <b/>
        <sz val="11"/>
        <color theme="1"/>
        <rFont val="Calibri"/>
        <family val="2"/>
        <scheme val="minor"/>
      </rPr>
      <t>Alan Ferguson</t>
    </r>
    <r>
      <rPr>
        <sz val="11"/>
        <color theme="1"/>
        <rFont val="Calibri"/>
        <family val="2"/>
        <scheme val="minor"/>
      </rPr>
      <t xml:space="preserve">
alan.ferguson@fifa.org
+41798942975</t>
    </r>
  </si>
  <si>
    <t>Licensing &amp; Retail</t>
  </si>
  <si>
    <r>
      <rPr>
        <b/>
        <sz val="11"/>
        <color rgb="FF000000"/>
        <rFont val="Calibri"/>
        <family val="2"/>
        <scheme val="minor"/>
      </rPr>
      <t>Petra Flueckiger</t>
    </r>
    <r>
      <rPr>
        <sz val="11"/>
        <color rgb="FF000000"/>
        <rFont val="Calibri"/>
        <family val="2"/>
        <scheme val="minor"/>
      </rPr>
      <t xml:space="preserve">
Petra.Flueckiger@fifa.org
+41794003243</t>
    </r>
  </si>
  <si>
    <t>rights dropped to LOC</t>
  </si>
  <si>
    <t>mail</t>
  </si>
  <si>
    <t>Partnership Management &amp; Sales</t>
  </si>
  <si>
    <r>
      <rPr>
        <b/>
        <sz val="11"/>
        <color rgb="FF000000"/>
        <rFont val="Calibri"/>
        <family val="2"/>
        <scheme val="minor"/>
      </rPr>
      <t>Giovanni Di Stefano (Partnership)</t>
    </r>
    <r>
      <rPr>
        <sz val="11"/>
        <color rgb="FF000000"/>
        <rFont val="Calibri"/>
        <family val="2"/>
        <scheme val="minor"/>
      </rPr>
      <t xml:space="preserve">
giovanni.distefano@fifa.org
+41792200695</t>
    </r>
  </si>
  <si>
    <t>no call</t>
  </si>
  <si>
    <t>Referee Services</t>
  </si>
  <si>
    <r>
      <rPr>
        <b/>
        <sz val="11"/>
        <color rgb="FF000000"/>
        <rFont val="Calibri"/>
        <family val="2"/>
        <scheme val="minor"/>
      </rPr>
      <t xml:space="preserve">Edgar Streltsov
</t>
    </r>
    <r>
      <rPr>
        <sz val="11"/>
        <color rgb="FF000000"/>
        <rFont val="Calibri"/>
        <family val="2"/>
        <scheme val="minor"/>
      </rPr>
      <t>edgar.streltsov@fifa.org
+41797077599</t>
    </r>
  </si>
  <si>
    <t>Claudio Pilot Lead</t>
  </si>
  <si>
    <t>Safety &amp; Security</t>
  </si>
  <si>
    <r>
      <rPr>
        <b/>
        <sz val="11"/>
        <color rgb="FF000000"/>
        <rFont val="Calibri"/>
        <family val="2"/>
        <scheme val="minor"/>
      </rPr>
      <t xml:space="preserve">Sandeep Mancha
</t>
    </r>
    <r>
      <rPr>
        <sz val="11"/>
        <color rgb="FF000000"/>
        <rFont val="Calibri"/>
        <family val="2"/>
        <scheme val="minor"/>
      </rPr>
      <t>sandeep.mancha@fifa.org
+41795305195</t>
    </r>
  </si>
  <si>
    <r>
      <rPr>
        <b/>
        <sz val="11"/>
        <color rgb="FF000000"/>
        <rFont val="Calibri"/>
        <family val="2"/>
        <scheme val="minor"/>
      </rPr>
      <t xml:space="preserve">Florence Nash
</t>
    </r>
    <r>
      <rPr>
        <sz val="11"/>
        <color rgb="FF000000"/>
        <rFont val="Calibri"/>
        <family val="2"/>
        <scheme val="minor"/>
      </rPr>
      <t>florence.nash@fifa.org
+41754308790</t>
    </r>
  </si>
  <si>
    <r>
      <rPr>
        <b/>
        <sz val="11"/>
        <color rgb="FF000000"/>
        <rFont val="Calibri"/>
        <family val="2"/>
        <scheme val="minor"/>
      </rPr>
      <t xml:space="preserve">Astrid Lehmann
</t>
    </r>
    <r>
      <rPr>
        <sz val="11"/>
        <color rgb="FF000000"/>
        <rFont val="Calibri"/>
        <family val="2"/>
        <scheme val="minor"/>
      </rPr>
      <t>astrid.lehmann@fifa.org
+41793154953</t>
    </r>
  </si>
  <si>
    <t>Technical Services</t>
  </si>
  <si>
    <r>
      <rPr>
        <b/>
        <sz val="11"/>
        <color rgb="FF000000"/>
        <rFont val="Calibri"/>
        <family val="2"/>
        <scheme val="minor"/>
      </rPr>
      <t xml:space="preserve">Denis Kistenyov
</t>
    </r>
    <r>
      <rPr>
        <sz val="11"/>
        <color rgb="FF000000"/>
        <rFont val="Calibri"/>
        <family val="2"/>
        <scheme val="minor"/>
      </rPr>
      <t>denis.kistenyov@fifa.org
+41794813395</t>
    </r>
  </si>
  <si>
    <t>Tim Tschiersch
Tim.Tschiersch@fifa.org
+41799327376</t>
  </si>
  <si>
    <t>IBCC in Paris - check with Dragos</t>
  </si>
  <si>
    <t>FIFA+</t>
  </si>
  <si>
    <r>
      <rPr>
        <b/>
        <sz val="11"/>
        <color theme="1"/>
        <rFont val="Calibri"/>
        <family val="2"/>
        <scheme val="minor"/>
      </rPr>
      <t>Raiana Monteiro</t>
    </r>
    <r>
      <rPr>
        <sz val="11"/>
        <color theme="1"/>
        <rFont val="Calibri"/>
        <family val="2"/>
        <scheme val="minor"/>
      </rPr>
      <t xml:space="preserve">
raiana.monteiro@fifa.org
</t>
    </r>
  </si>
  <si>
    <t>TBD</t>
  </si>
  <si>
    <t>TKT is LOC scope - TBC</t>
  </si>
  <si>
    <t>Event Transport</t>
  </si>
  <si>
    <r>
      <rPr>
        <b/>
        <sz val="11"/>
        <color rgb="FF000000"/>
        <rFont val="Calibri"/>
        <family val="2"/>
        <scheme val="minor"/>
      </rPr>
      <t xml:space="preserve">Marcin Stanowski
</t>
    </r>
    <r>
      <rPr>
        <sz val="11"/>
        <color rgb="FF000000"/>
        <rFont val="Calibri"/>
        <family val="2"/>
        <scheme val="minor"/>
      </rPr>
      <t>marcin.stanowski@fifa.org
+41795627138</t>
    </r>
  </si>
  <si>
    <r>
      <rPr>
        <b/>
        <sz val="11"/>
        <color rgb="FF000000"/>
        <rFont val="Calibri"/>
        <family val="2"/>
        <scheme val="minor"/>
      </rPr>
      <t xml:space="preserve">Magdalena Glowala-Pracz
</t>
    </r>
    <r>
      <rPr>
        <sz val="11"/>
        <color rgb="FF000000"/>
        <rFont val="Calibri"/>
        <family val="2"/>
        <scheme val="minor"/>
      </rPr>
      <t>maagdalena.glowala-pracz@fifa.org
+41795216457</t>
    </r>
  </si>
  <si>
    <t>Travel</t>
  </si>
  <si>
    <r>
      <rPr>
        <b/>
        <sz val="11"/>
        <color theme="1"/>
        <rFont val="Calibri"/>
        <family val="2"/>
        <scheme val="minor"/>
      </rPr>
      <t>Adriano Giordano</t>
    </r>
    <r>
      <rPr>
        <sz val="11"/>
        <color theme="1"/>
        <rFont val="Calibri"/>
        <family val="2"/>
        <scheme val="minor"/>
      </rPr>
      <t xml:space="preserve">
adriano.giordano@fifa.org
+41797397123</t>
    </r>
  </si>
  <si>
    <r>
      <rPr>
        <b/>
        <sz val="11"/>
        <color rgb="FF000000"/>
        <rFont val="Calibri"/>
        <family val="2"/>
        <scheme val="minor"/>
      </rPr>
      <t xml:space="preserve">Justyna Palmowska
</t>
    </r>
    <r>
      <rPr>
        <sz val="11"/>
        <color rgb="FF000000"/>
        <rFont val="Calibri"/>
        <family val="2"/>
        <scheme val="minor"/>
      </rPr>
      <t>justyna.palmowska@fifa.org
+41754294452</t>
    </r>
  </si>
  <si>
    <t>Volunteer Management</t>
  </si>
  <si>
    <r>
      <rPr>
        <b/>
        <sz val="11"/>
        <color rgb="FF000000"/>
        <rFont val="Calibri"/>
        <family val="2"/>
        <scheme val="minor"/>
      </rPr>
      <t xml:space="preserve">Julien Robert
</t>
    </r>
    <r>
      <rPr>
        <sz val="11"/>
        <color rgb="FF000000"/>
        <rFont val="Calibri"/>
        <family val="2"/>
        <scheme val="minor"/>
      </rPr>
      <t>julien.robert@fifa.org
+41799568606</t>
    </r>
  </si>
  <si>
    <t>VOL to remind packing the speakers and checking the connectors - 2 pax</t>
  </si>
  <si>
    <t>Workforce Management</t>
  </si>
  <si>
    <r>
      <rPr>
        <b/>
        <sz val="11"/>
        <color theme="1"/>
        <rFont val="Calibri"/>
        <family val="2"/>
        <scheme val="minor"/>
      </rPr>
      <t>Jonathan Coverlay</t>
    </r>
    <r>
      <rPr>
        <sz val="11"/>
        <color theme="1"/>
        <rFont val="Calibri"/>
        <family val="2"/>
        <scheme val="minor"/>
      </rPr>
      <t xml:space="preserve">
jonathan.coverley@fifa.org
+41794765940 / +971 56 989 1880</t>
    </r>
  </si>
  <si>
    <r>
      <rPr>
        <b/>
        <sz val="11"/>
        <color theme="1"/>
        <rFont val="Calibri"/>
        <family val="2"/>
        <scheme val="minor"/>
      </rPr>
      <t>Jonny Henderson</t>
    </r>
    <r>
      <rPr>
        <sz val="11"/>
        <color theme="1"/>
        <rFont val="Calibri"/>
        <family val="2"/>
        <scheme val="minor"/>
      </rPr>
      <t xml:space="preserve">
jonny.henderson@fifa.org
+41795072718</t>
    </r>
  </si>
  <si>
    <t xml:space="preserve">Football Performance Insights </t>
  </si>
  <si>
    <r>
      <rPr>
        <b/>
        <sz val="11"/>
        <color rgb="FF000000"/>
        <rFont val="Calibri"/>
        <family val="2"/>
        <scheme val="minor"/>
      </rPr>
      <t xml:space="preserve">Natascia Prieto
</t>
    </r>
    <r>
      <rPr>
        <sz val="11"/>
        <color rgb="FF000000"/>
        <rFont val="Calibri"/>
        <family val="2"/>
        <scheme val="minor"/>
      </rPr>
      <t>natascia.prieto@fifa.org
+41798106082</t>
    </r>
  </si>
  <si>
    <t>FTI contact</t>
  </si>
  <si>
    <t>Human Rights, Anti-Discrimination &amp; Accessibility</t>
  </si>
  <si>
    <r>
      <rPr>
        <b/>
        <sz val="11"/>
        <color rgb="FF000000"/>
        <rFont val="Calibri"/>
        <family val="2"/>
        <scheme val="minor"/>
      </rPr>
      <t xml:space="preserve">Gerd Demowski Anti-Discimination)
</t>
    </r>
    <r>
      <rPr>
        <sz val="11"/>
        <color rgb="FF000000"/>
        <rFont val="Calibri"/>
        <family val="2"/>
        <scheme val="minor"/>
      </rPr>
      <t>gerd.dembowski@fifa.org
+41796032189</t>
    </r>
  </si>
  <si>
    <t xml:space="preserve">Safeguarding </t>
  </si>
  <si>
    <r>
      <rPr>
        <b/>
        <sz val="11"/>
        <color rgb="FF000000"/>
        <rFont val="Calibri"/>
        <family val="2"/>
        <scheme val="minor"/>
      </rPr>
      <t xml:space="preserve">Lucy Cunningham
</t>
    </r>
    <r>
      <rPr>
        <sz val="11"/>
        <color rgb="FF000000"/>
        <rFont val="Calibri"/>
        <family val="2"/>
        <scheme val="minor"/>
      </rPr>
      <t>lucy.cunningham@fifa.org
+41793052964</t>
    </r>
  </si>
  <si>
    <t>Hotline/Mobilephone and iPad</t>
  </si>
  <si>
    <t>(Multiple Items)</t>
  </si>
  <si>
    <t>MFD Desktop - Colour - A4 - Network</t>
  </si>
  <si>
    <t xml:space="preserve">Wired Port - General Internet </t>
  </si>
  <si>
    <t>Wireless coverage - Shared Internet Service - Wi-Fi FIFA</t>
  </si>
  <si>
    <t>Wired Port - Media Internet</t>
  </si>
  <si>
    <t>Laptop - Presentation Build</t>
  </si>
  <si>
    <t>Laptop Cable Lock</t>
  </si>
  <si>
    <t>24" Monitor - HDMI/DP</t>
  </si>
  <si>
    <t>TV Stand - Medium &amp; Large TVs</t>
  </si>
  <si>
    <t>27" Monitor - HDMI/DP</t>
  </si>
  <si>
    <t>Office Projector - 6K</t>
  </si>
  <si>
    <t>(All)</t>
  </si>
  <si>
    <t>Sum of Quantity2</t>
  </si>
  <si>
    <t>Wireless coverage - Shared Internet Service - Wi-Fi VIP</t>
  </si>
  <si>
    <t>Wireless coverage - Shared Internet Service - Wi-Fi FOOTBALL</t>
  </si>
  <si>
    <t>MFD Large - Colour - A3 - Network</t>
  </si>
  <si>
    <t>Wireless coverage - Internet Service - Wi-Fi Media</t>
  </si>
  <si>
    <t>Wireless coverage - Internet Service -  Referees</t>
  </si>
  <si>
    <t>Wired Port - 100Mbps - guaranteed</t>
  </si>
  <si>
    <t>TV - Medium - Standalone</t>
  </si>
  <si>
    <t>TV - Large - Standalone</t>
  </si>
  <si>
    <t>Telephone - Mobile - Smart Phone</t>
  </si>
  <si>
    <t>Tablet - FIFA Professional Tablet + 4G</t>
  </si>
  <si>
    <t>SIM - International</t>
  </si>
  <si>
    <t>SIM - Domestic</t>
  </si>
  <si>
    <t>SIM - Data Only</t>
  </si>
  <si>
    <t>Radio PMR In Stadium</t>
  </si>
  <si>
    <t>Portable Speaker</t>
  </si>
  <si>
    <t>Laptop - FIFA Event Build</t>
  </si>
  <si>
    <t>IT Monitoring network port</t>
  </si>
  <si>
    <t>AV Solution (Mics + Speakers)</t>
  </si>
  <si>
    <t>Audio transformer SDI to USB</t>
  </si>
  <si>
    <t>Stadium 1:</t>
  </si>
  <si>
    <t>Approx. no. Service Users</t>
  </si>
  <si>
    <t>Assumed Devices per User</t>
  </si>
  <si>
    <t>Assumed B/W per Device</t>
  </si>
  <si>
    <t>Contention Ratio</t>
  </si>
  <si>
    <t>Internet Bandwidth (Mbps)</t>
  </si>
  <si>
    <t>Approx. IP Addresses</t>
  </si>
  <si>
    <t>Calculated</t>
  </si>
  <si>
    <t>Requested</t>
  </si>
  <si>
    <t>General Internet Access</t>
  </si>
  <si>
    <t>~5000</t>
  </si>
  <si>
    <t>Media Internet Access Media</t>
  </si>
  <si>
    <t>Media Internet Access PHO</t>
  </si>
  <si>
    <t>~1000</t>
  </si>
  <si>
    <t>FIFA Standard Internet Access</t>
  </si>
  <si>
    <t>FIFA Technical FTI</t>
  </si>
  <si>
    <t>FIFA Technical TSG</t>
  </si>
  <si>
    <t>~100</t>
  </si>
  <si>
    <t>FIFA Technical Studio</t>
  </si>
  <si>
    <t>Stream Fabs &amp; W Feed</t>
  </si>
  <si>
    <t>VIP access</t>
  </si>
  <si>
    <t>Team-A VLAN</t>
  </si>
  <si>
    <t>Team-B VLAN</t>
  </si>
  <si>
    <t>EACA</t>
  </si>
  <si>
    <t xml:space="preserve">BANDWIDTH TOTALS: </t>
  </si>
  <si>
    <t>Stadium 2</t>
  </si>
  <si>
    <t>PAAF Prince Abdullah Al Faisal Stadium</t>
  </si>
  <si>
    <t>Media Internet Access</t>
  </si>
  <si>
    <t>~2000</t>
  </si>
  <si>
    <t>FIFA Technical Internet Access</t>
  </si>
  <si>
    <t>Internet Access Service Requirements Overview</t>
  </si>
  <si>
    <t>Service</t>
  </si>
  <si>
    <t xml:space="preserve">Description </t>
  </si>
  <si>
    <t>A dedicated, shared Internet access service for use by FIFA and LOC staff to access cloud hosted corporate tools; also used to provide internet for FIFA HQ where this is located within a stadium venue</t>
  </si>
  <si>
    <t>A dedicated, high-speed shared Internet access service provided to all media and broadcast users and associated operational areas for Internet connectivity and photo upload</t>
  </si>
  <si>
    <t>A dedicated, high-speed shared Internet access service provided to Photographers and associated operational areas for  photo upload</t>
  </si>
  <si>
    <t xml:space="preserve">A dedicated, uncontended, wired-only Internet access service for use by FIFA systems in specific stadium locations, including stadium accreditation centres, stadium ticketing centres , Ipcodec </t>
  </si>
  <si>
    <t>A dedicated, uncontended, high-speed, wired-only Internet access service in specific stadium locations for bandwidth heavy applications operated by FIFA Football Technology Innovations (FTI), such as match footage upload, and Data analyst on media tribune</t>
  </si>
  <si>
    <t>A dedicated, uncontended, high-speed, wired-only Internet access service in specific stadium locations for bandwidth heavy applications operated byTehnical Study group (TSG)</t>
  </si>
  <si>
    <t>FIFA Technical Content</t>
  </si>
  <si>
    <t>A dedicated, uncontended, high-speed, wired-only Internet access service in specific stadium locations for bandwidth heavy applications operated by FIFA+, Films and Social</t>
  </si>
  <si>
    <t>A dedicated, uncontended, high-speed, wired-only Internet access service in specific stadium locations for bandwidth heavy applications operated by TV For Fabs streeming and back up line for Satelite streaming (Eurovision Flex encoder box)</t>
  </si>
  <si>
    <t>A dedicated, shared Internet access service for FIFA/LOC VIP guests used to provide Wi-Fi Internet access in hospitality areas</t>
  </si>
  <si>
    <t>FIFA Access Control</t>
  </si>
  <si>
    <t>A dedicated, uncontended,  Internet access service for use by FIFA systems for Elcetronic access control in specific stadium locations</t>
  </si>
  <si>
    <t>A wired, point-to-point connection within each venue for the exclusive use of Team A analysts immediately prior to and during each match. Secure, dedicated bandwidth is required between Team A analyst desk positions,  the Team A bench,and changing room A including access to the Internet at a minimum bandwidth</t>
  </si>
  <si>
    <t>A wired, point-to-point connection within each venue for the exclusive use of Team B analysts immediately prior to and during each match. Secure, dedicated bandwidth is required between Team B analyst desk positions and the Team B bench, including access to the Internet at a minimum bandwidth</t>
  </si>
  <si>
    <t>Monitoring VLAN</t>
  </si>
  <si>
    <t>Monitoring VLAN - Should have access to the internet and also to the management VLAN on ICMP (ping) and SNMP (tcp 161) protocols only, via the venue firewall</t>
  </si>
  <si>
    <t>Refs VLAN</t>
  </si>
  <si>
    <t>Internet Access Service Requirements - Aspire Center</t>
  </si>
  <si>
    <t xml:space="preserve">Service </t>
  </si>
  <si>
    <t>Per stadium minimum 1.5Gbps required</t>
  </si>
  <si>
    <t>Bandwidth per user</t>
  </si>
  <si>
    <t>Additional information</t>
  </si>
  <si>
    <t>VLAN ID</t>
  </si>
  <si>
    <t>Limitation (Mbps)</t>
  </si>
  <si>
    <t>Comments</t>
  </si>
  <si>
    <t>~4096 (/20 network)</t>
  </si>
  <si>
    <t>fair queuing / maximum 20 per IP</t>
  </si>
  <si>
    <t>WiFi and Cable - This VLAN should be bridged to WiFI in order to allow printing to cabled printers. Only VLAN with printing.</t>
  </si>
  <si>
    <t>~2048 (/21 network)</t>
  </si>
  <si>
    <t>No limit per IP</t>
  </si>
  <si>
    <t>200 Mb Wifi &amp; Cable (Media &amp; PHO)</t>
  </si>
  <si>
    <t>Internet Access Referees</t>
  </si>
  <si>
    <t>Wi-fi &amp; Cable - Refs accommodation, dressing rooms and training pitches</t>
  </si>
  <si>
    <t>~256 (/24 network)</t>
  </si>
  <si>
    <t>limit to 100 per IP</t>
  </si>
  <si>
    <t>Entertaintment</t>
  </si>
  <si>
    <t>Limit to 200 per IP</t>
  </si>
  <si>
    <t>Cable only</t>
  </si>
  <si>
    <t>Only Cable</t>
  </si>
  <si>
    <t>FIFA Content, FIFA Films, FIFA Digital Marketing - Cable</t>
  </si>
  <si>
    <t>no limit per IP</t>
  </si>
  <si>
    <t>Default streaming VLAN. Mostly Broadcast Compound (BC). Bandwidth usually self-limited at the device-level.</t>
  </si>
  <si>
    <t>Limit to 10 Mbps per IP</t>
  </si>
  <si>
    <t>Only Wifi - VIP and FOOTBALL</t>
  </si>
  <si>
    <t>Monitoring VLAN - Should have access to the management VLAN on ICMP (ping) and SNMP (tcp 161) protocols only</t>
  </si>
  <si>
    <t>Bandwidth Totals</t>
  </si>
  <si>
    <t>SSID Requirements for all Stadiums</t>
  </si>
  <si>
    <t>SSID</t>
  </si>
  <si>
    <t>Aligned Internet Service</t>
  </si>
  <si>
    <t>Password</t>
  </si>
  <si>
    <t>Coverage</t>
  </si>
  <si>
    <t>Throughout stadium - full coverage throughout all operational spaces (incl VOL center, VOC)</t>
  </si>
  <si>
    <t>All Media + PHO areas incl. SMC, Broadcast Compound, Mixed Zone, Tribunes (and Press condefernce room)</t>
  </si>
  <si>
    <t>Team dressing rooms, Coaches Offices and Doping Controll Room</t>
  </si>
  <si>
    <t>Hospitality &amp; VIP areas including lounge and seating (indoor seating only - no need for stands)</t>
  </si>
  <si>
    <t>Refs accomodation, dressing rooms and training pitches</t>
  </si>
  <si>
    <t>Internet Access Service Requirements - Khalifa</t>
  </si>
  <si>
    <t>Limit to 50 per IP</t>
  </si>
  <si>
    <t>limit to 25 per IP</t>
  </si>
  <si>
    <t>50 Mb Ipcodec (25 Mb x2) - Valid in Khalifa only</t>
  </si>
  <si>
    <t>backup - Only Cable</t>
  </si>
  <si>
    <t>FIFA Films, FIFA Digital Marketing - Cable</t>
  </si>
  <si>
    <t xml:space="preserve">Internet &amp; SSID Requirements for Draw ( 500 Mbps ) </t>
  </si>
  <si>
    <t xml:space="preserve">Bandwidth </t>
  </si>
  <si>
    <t xml:space="preserve">Cabling </t>
  </si>
  <si>
    <t>Wifi Coverage</t>
  </si>
  <si>
    <t>Users</t>
  </si>
  <si>
    <t>100 Mbps</t>
  </si>
  <si>
    <t>1 printer in Office</t>
  </si>
  <si>
    <t>U17&amp;FACDraw</t>
  </si>
  <si>
    <t>Dr@w!2025</t>
  </si>
  <si>
    <t>FIFA /LOC Office and Throughout all the venue</t>
  </si>
  <si>
    <t>5 in media center</t>
  </si>
  <si>
    <t>Media_U17&amp;FACDraw</t>
  </si>
  <si>
    <t>DRAW25!Medi@</t>
  </si>
  <si>
    <t xml:space="preserve">All Media areas incl. SMC, Mixed Zone </t>
  </si>
  <si>
    <t>200 Mbps</t>
  </si>
  <si>
    <t xml:space="preserve">2 For OBVAN
2 for AE graphics </t>
  </si>
  <si>
    <t>none</t>
  </si>
  <si>
    <t> </t>
  </si>
  <si>
    <t>VIP_U17&amp;FACDraw</t>
  </si>
  <si>
    <t>VIP!DRAW2025</t>
  </si>
  <si>
    <t xml:space="preserve">Technology Products / Services </t>
  </si>
  <si>
    <t>Wireless coverage - Shared Internet Service - FIFA</t>
  </si>
  <si>
    <t xml:space="preserve">IT Products / Services </t>
  </si>
  <si>
    <t>Prev. Qty</t>
  </si>
  <si>
    <t>Curr. Qty.</t>
  </si>
  <si>
    <t>TV Stand for medium and large TVs</t>
  </si>
  <si>
    <t>Large TV - Standalone</t>
  </si>
  <si>
    <t>Medium TV - Standalone</t>
  </si>
  <si>
    <t>Content cabin</t>
  </si>
  <si>
    <t>Wireless coverage - Shared Internet Service - FOOTBALL</t>
  </si>
  <si>
    <t>Wireless coverage - Internet Service - Media</t>
  </si>
  <si>
    <t>Infotainment Control Room</t>
  </si>
  <si>
    <t>Pitch 1-10-12</t>
  </si>
  <si>
    <t>Small Match Director cabin - Pitch 4</t>
  </si>
  <si>
    <t>Small Match Director cabin - Pitch 9</t>
  </si>
  <si>
    <t>Professional Speakers and Microphones</t>
  </si>
  <si>
    <t>Wireless coverage - Shared Internet Service - VIP</t>
  </si>
  <si>
    <t>FIFA IT Products by Venue</t>
  </si>
  <si>
    <t>FIFA IT Products Summary</t>
  </si>
  <si>
    <t>CATV</t>
  </si>
  <si>
    <t>FIFA IT Hardware</t>
  </si>
  <si>
    <t>FIFA IT Network Solutions</t>
  </si>
  <si>
    <t>Peripherals</t>
  </si>
  <si>
    <t>Network &amp; Connectivity</t>
  </si>
  <si>
    <t>Telephony</t>
  </si>
  <si>
    <t>Audio</t>
  </si>
  <si>
    <t>Display Devices</t>
  </si>
  <si>
    <t>Radio</t>
  </si>
  <si>
    <t>IT Products / Services by Venue - Readiness Assessment</t>
  </si>
  <si>
    <t>Qty. LAN Drops</t>
  </si>
  <si>
    <t>FP Code</t>
  </si>
  <si>
    <t>Equipment Model</t>
  </si>
  <si>
    <t>FIFA Asset Tag Number</t>
  </si>
  <si>
    <t xml:space="preserve">Serial Number </t>
  </si>
  <si>
    <t xml:space="preserve">Country of Origin </t>
  </si>
  <si>
    <t>Unit Value (USD)</t>
  </si>
  <si>
    <t>Total Value (USD)</t>
  </si>
  <si>
    <t>Box #</t>
  </si>
  <si>
    <t>Ship to Location
(Stadium, HQ, etc.)</t>
  </si>
  <si>
    <t>FIFA HQ</t>
  </si>
  <si>
    <t>22" Monitor - HDMI/DP</t>
  </si>
  <si>
    <t>M8LMTF154028</t>
  </si>
  <si>
    <t>China</t>
  </si>
  <si>
    <t>Estadio Nacional</t>
  </si>
  <si>
    <t>M9LMTF213939</t>
  </si>
  <si>
    <t>M8LMTF154053</t>
  </si>
  <si>
    <t>M8LMTF154027</t>
  </si>
  <si>
    <t>M8LMTF154054</t>
  </si>
  <si>
    <t>M9LMTF212445</t>
  </si>
  <si>
    <t>ITSFHQ</t>
  </si>
  <si>
    <t>IT Solution - FIFA HQ</t>
  </si>
  <si>
    <t>Firewall: Fortinet FortiGate</t>
  </si>
  <si>
    <t>N/A</t>
  </si>
  <si>
    <t>FG200ETK18916776</t>
  </si>
  <si>
    <t>Taiwan</t>
  </si>
  <si>
    <t>FG200ETK18917076</t>
  </si>
  <si>
    <t>Assess Switch: Fortinet FortiSwitch</t>
  </si>
  <si>
    <t>S248EFTF18007312</t>
  </si>
  <si>
    <t>S248EFTF18007541</t>
  </si>
  <si>
    <t>S248EFTF18007344</t>
  </si>
  <si>
    <t>S248EFTF18007273</t>
  </si>
  <si>
    <t>WAP: Fortinet FortiAP-C24JE</t>
  </si>
  <si>
    <t>FC24JE5918004117</t>
  </si>
  <si>
    <t>FC24JE5918002794</t>
  </si>
  <si>
    <t>FC24JE5918001039</t>
  </si>
  <si>
    <t>FC24JE5918004126</t>
  </si>
  <si>
    <t>FC24JE5918001121</t>
  </si>
  <si>
    <t>FC24JE5918001034</t>
  </si>
  <si>
    <t>FC24JE5918002779</t>
  </si>
  <si>
    <t>FC24JE5918002764</t>
  </si>
  <si>
    <t>FC24JE5918002768</t>
  </si>
  <si>
    <t>FC24JE5918004318</t>
  </si>
  <si>
    <t>FC24JE5918003691</t>
  </si>
  <si>
    <t>FC24JE5918004131</t>
  </si>
  <si>
    <t>FC24JE5918001122</t>
  </si>
  <si>
    <t>FC24JE5918004114</t>
  </si>
  <si>
    <t>FC24JE5918004119</t>
  </si>
  <si>
    <t>FC24JE5918001031</t>
  </si>
  <si>
    <t>FC24JE5918002771</t>
  </si>
  <si>
    <t>FC24JE5918004326</t>
  </si>
  <si>
    <t>FC24JE5918004316</t>
  </si>
  <si>
    <t>FC24JE5918001133</t>
  </si>
  <si>
    <t>FC24JE5918002776</t>
  </si>
  <si>
    <t>FC24JE5918002774</t>
  </si>
  <si>
    <t>PoE Injector: Fortinet GPI-115</t>
  </si>
  <si>
    <t>C18496555000006973</t>
  </si>
  <si>
    <t>C18496555000003661</t>
  </si>
  <si>
    <t>UPS: ETON UPS</t>
  </si>
  <si>
    <t>GA10J51020</t>
  </si>
  <si>
    <t>Patch Cables - 2m</t>
  </si>
  <si>
    <t>Patch Cables - 5m</t>
  </si>
  <si>
    <t>Patch Cables - 20m</t>
  </si>
  <si>
    <t>Swiss power extension lead (2m, 6-gang)</t>
  </si>
  <si>
    <t>Switzerland</t>
  </si>
  <si>
    <t>Flight Case</t>
  </si>
  <si>
    <t>ITSS08</t>
  </si>
  <si>
    <t>IT Solution - Unmanaged Switch 8-Port</t>
  </si>
  <si>
    <t>Netgear ProSafe FS108</t>
  </si>
  <si>
    <t>ITSSAT</t>
  </si>
  <si>
    <t xml:space="preserve">IT Solution - Satellite </t>
  </si>
  <si>
    <t>Fortinet FortiWiFi 60E</t>
  </si>
  <si>
    <t>FWF60ETK18012882</t>
  </si>
  <si>
    <t>FWF60ETK18013437</t>
  </si>
  <si>
    <t>HP Elitebook Laptop 840 G3</t>
  </si>
  <si>
    <t>84G3-01164</t>
  </si>
  <si>
    <t>5CG7122RGB</t>
  </si>
  <si>
    <t>84G3-11225</t>
  </si>
  <si>
    <t>5CG81041S9</t>
  </si>
  <si>
    <t>84G3-11009</t>
  </si>
  <si>
    <t>5CG81033NJ</t>
  </si>
  <si>
    <t>84G3-11023</t>
  </si>
  <si>
    <t>5CG810338L</t>
  </si>
  <si>
    <t>84G3-11230</t>
  </si>
  <si>
    <t>5CG8103Z14</t>
  </si>
  <si>
    <t>84G3-01240</t>
  </si>
  <si>
    <t>5CG8103YGM</t>
  </si>
  <si>
    <t>84G3-01243</t>
  </si>
  <si>
    <t>5CG810401W</t>
  </si>
  <si>
    <t>84G3-01157</t>
  </si>
  <si>
    <t>5CG810340X</t>
  </si>
  <si>
    <t>84G3-11226</t>
  </si>
  <si>
    <t>5CG81041LT</t>
  </si>
  <si>
    <t>84G3-01139</t>
  </si>
  <si>
    <t>5CG7122RHV</t>
  </si>
  <si>
    <t>84G3-01426</t>
  </si>
  <si>
    <t>5CG81035LM</t>
  </si>
  <si>
    <t>84G3-01086</t>
  </si>
  <si>
    <t>5CG81034XF</t>
  </si>
  <si>
    <t>84G3-01092</t>
  </si>
  <si>
    <t>5CG810423Z</t>
  </si>
  <si>
    <t>84G3-01020</t>
  </si>
  <si>
    <t>5CG810401K</t>
  </si>
  <si>
    <t>84G3-01244</t>
  </si>
  <si>
    <t>5CG81034X2</t>
  </si>
  <si>
    <t>84G3-01264</t>
  </si>
  <si>
    <t>5CG81048FW</t>
  </si>
  <si>
    <t>84G3-01594</t>
  </si>
  <si>
    <t>5CG81033Q6</t>
  </si>
  <si>
    <t>84G3-01597</t>
  </si>
  <si>
    <t>5CG7122QNT</t>
  </si>
  <si>
    <t>84G3-01006</t>
  </si>
  <si>
    <t>5CG8103439</t>
  </si>
  <si>
    <t>84G3-01238</t>
  </si>
  <si>
    <t>5CG81034PW</t>
  </si>
  <si>
    <t>84G3-01602</t>
  </si>
  <si>
    <t>5CG8103369</t>
  </si>
  <si>
    <t>84G3-01603</t>
  </si>
  <si>
    <t>5CG7122QCK</t>
  </si>
  <si>
    <t>84G3-01600</t>
  </si>
  <si>
    <t>5CG81033YB</t>
  </si>
  <si>
    <t>84G3-01604</t>
  </si>
  <si>
    <t>5CG7122TFN</t>
  </si>
  <si>
    <t>84G3-01596</t>
  </si>
  <si>
    <t>5CG81034CG</t>
  </si>
  <si>
    <t>84G3-01307</t>
  </si>
  <si>
    <t>5CG8104013</t>
  </si>
  <si>
    <t>MININT-PSEG6TG</t>
  </si>
  <si>
    <t>5CG81034Q5</t>
  </si>
  <si>
    <t>84G3-01595</t>
  </si>
  <si>
    <t>5CG7122R8P</t>
  </si>
  <si>
    <t>84G3-01044</t>
  </si>
  <si>
    <t>5CG810421B</t>
  </si>
  <si>
    <t>84G3-01011</t>
  </si>
  <si>
    <t>5CG7122R2B</t>
  </si>
  <si>
    <t>84G3-01112</t>
  </si>
  <si>
    <t>5CG8103Z5S</t>
  </si>
  <si>
    <t>84G3-14192</t>
  </si>
  <si>
    <t>5CG7122R79</t>
  </si>
  <si>
    <t>84G3-01136</t>
  </si>
  <si>
    <t>5CG8103512</t>
  </si>
  <si>
    <t>84G3-01184</t>
  </si>
  <si>
    <t>5CG81033BK</t>
  </si>
  <si>
    <t>84G3-01210</t>
  </si>
  <si>
    <t>5CG7122RW9</t>
  </si>
  <si>
    <t>84G3-01599</t>
  </si>
  <si>
    <t>5CG7122SS4</t>
  </si>
  <si>
    <t>84G3-01598</t>
  </si>
  <si>
    <t>5CG81034FM</t>
  </si>
  <si>
    <t>84G3-01050</t>
  </si>
  <si>
    <t>5CG81041V5</t>
  </si>
  <si>
    <t>84G3-01012</t>
  </si>
  <si>
    <t>5CG7122T0R</t>
  </si>
  <si>
    <t>VIVO X60</t>
  </si>
  <si>
    <t>95849087930086H</t>
  </si>
  <si>
    <t>30630726400086H</t>
  </si>
  <si>
    <t>30628015080086H</t>
  </si>
  <si>
    <t>30627337260086H</t>
  </si>
  <si>
    <t>95849916030086H</t>
  </si>
  <si>
    <t>30630176420086H</t>
  </si>
  <si>
    <t>30630975770086H</t>
  </si>
  <si>
    <t>95850182980086H</t>
  </si>
  <si>
    <t>30630742480086H</t>
  </si>
  <si>
    <t>95848645820086H</t>
  </si>
  <si>
    <t>3055308915008SU</t>
  </si>
  <si>
    <t>3055262480008SU</t>
  </si>
  <si>
    <t>3050301344008SU</t>
  </si>
  <si>
    <t>3055298285008SU</t>
  </si>
  <si>
    <t>3055179414008SU</t>
  </si>
  <si>
    <t>3055187663008SU</t>
  </si>
  <si>
    <t>3055180481008SU</t>
  </si>
  <si>
    <t>9585896778008SU</t>
  </si>
  <si>
    <t>30630920880086H</t>
  </si>
  <si>
    <t>3055199856008SU</t>
  </si>
  <si>
    <t>3055129561008SU</t>
  </si>
  <si>
    <t>3055286642008SU</t>
  </si>
  <si>
    <t>3055251449008SU</t>
  </si>
  <si>
    <t>3055312964008SU</t>
  </si>
  <si>
    <t>3055232845008SU</t>
  </si>
  <si>
    <t>3055192868008SU</t>
  </si>
  <si>
    <t>30630471410086H</t>
  </si>
  <si>
    <t>3063023482008SU</t>
  </si>
  <si>
    <t>3055275831008SU</t>
  </si>
  <si>
    <t>30628683730086H</t>
  </si>
  <si>
    <t>3055156207008SU</t>
  </si>
  <si>
    <t>3055227827008SU</t>
  </si>
  <si>
    <t>3055174205008SU</t>
  </si>
  <si>
    <t>3055251115008SU</t>
  </si>
  <si>
    <t>3055221020008SU</t>
  </si>
  <si>
    <t>3055128578008SU</t>
  </si>
  <si>
    <t>3055126050008SU</t>
  </si>
  <si>
    <t>3055338707008SU</t>
  </si>
  <si>
    <t>3055152443008SU</t>
  </si>
  <si>
    <t>3055183558008SU</t>
  </si>
  <si>
    <t>3055185925008SU</t>
  </si>
  <si>
    <t>3055276134008SU</t>
  </si>
  <si>
    <t>3062812809008SU</t>
  </si>
  <si>
    <t>3055193304008SU</t>
  </si>
  <si>
    <t>3055215387008SV</t>
  </si>
  <si>
    <t>3062747403008SV</t>
  </si>
  <si>
    <t>3050062552008SU</t>
  </si>
  <si>
    <t>3055170098008SU</t>
  </si>
  <si>
    <t>305525699008SV</t>
  </si>
  <si>
    <t>95850696150086H</t>
  </si>
  <si>
    <t>3055278280008YA</t>
  </si>
  <si>
    <t>3055295389008YA</t>
  </si>
  <si>
    <t>3062980165008YA</t>
  </si>
  <si>
    <t>3055239511008YA</t>
  </si>
  <si>
    <t>3055243276008YA</t>
  </si>
  <si>
    <t>3055262632008YA</t>
  </si>
  <si>
    <t>3055198826008YA</t>
  </si>
  <si>
    <t>3055297913008YA</t>
  </si>
  <si>
    <t>3055175886008YA</t>
  </si>
  <si>
    <t>3055239513008YA</t>
  </si>
  <si>
    <t>9584926281008SU</t>
  </si>
  <si>
    <t>95848661460086H</t>
  </si>
  <si>
    <t>30630486230086H</t>
  </si>
  <si>
    <t>95851398140086H</t>
  </si>
  <si>
    <t>3062769786008SV</t>
  </si>
  <si>
    <t>3055135587008SU</t>
  </si>
  <si>
    <t>95850565420086H</t>
  </si>
  <si>
    <t>3055325310008SU</t>
  </si>
  <si>
    <t>95851363420086H</t>
  </si>
  <si>
    <t>3055228045008SU</t>
  </si>
  <si>
    <t>30552224840008U</t>
  </si>
  <si>
    <t>3055199696008SU</t>
  </si>
  <si>
    <t>3055276131008SU</t>
  </si>
  <si>
    <t>3055311817008SU</t>
  </si>
  <si>
    <t>3055236323008SU</t>
  </si>
  <si>
    <t>3055122561008SU</t>
  </si>
  <si>
    <t>3062985815008SU</t>
  </si>
  <si>
    <t>3055203475008SU</t>
  </si>
  <si>
    <t>3055314541008SU</t>
  </si>
  <si>
    <t>3055207458008SU</t>
  </si>
  <si>
    <t>3055280288008SU</t>
  </si>
  <si>
    <t>9585124072008SU</t>
  </si>
  <si>
    <t>3055155915008SU</t>
  </si>
  <si>
    <t>3055127798008YA</t>
  </si>
  <si>
    <t>3055125320008SU</t>
  </si>
  <si>
    <t>3055190568008SU</t>
  </si>
  <si>
    <t>30630529520086H</t>
  </si>
  <si>
    <t>3062819057008SU</t>
  </si>
  <si>
    <t>3063094595008SU</t>
  </si>
  <si>
    <t>3055118266008SU</t>
  </si>
  <si>
    <t>3055315944008SU</t>
  </si>
  <si>
    <t>3055117058008SU</t>
  </si>
  <si>
    <t>3062855151008SU</t>
  </si>
  <si>
    <t>3055248497008SU</t>
  </si>
  <si>
    <t>9584883734008SU</t>
  </si>
  <si>
    <t>3055277967008SU</t>
  </si>
  <si>
    <t>3055199195008SU</t>
  </si>
  <si>
    <t>3062836024008SU</t>
  </si>
  <si>
    <t>3055247718008SU</t>
  </si>
  <si>
    <t>3055249051008SU</t>
  </si>
  <si>
    <t>3063106789008SU</t>
  </si>
  <si>
    <t>3063109231008SU</t>
  </si>
  <si>
    <t>3063035849008SU</t>
  </si>
  <si>
    <t>3055190143008SU</t>
  </si>
  <si>
    <t>9585913491008SU</t>
  </si>
  <si>
    <t>3062825930008SU</t>
  </si>
  <si>
    <t>3063052258008SU</t>
  </si>
  <si>
    <t>3063010861008SU</t>
  </si>
  <si>
    <t>3063079659008SU</t>
  </si>
  <si>
    <t>3063000283008SU</t>
  </si>
  <si>
    <t>3055184443008SU</t>
  </si>
  <si>
    <t>3055276452008SU</t>
  </si>
  <si>
    <t>3055132671008SU</t>
  </si>
  <si>
    <t>3055318213008SU</t>
  </si>
  <si>
    <t>3055185185008SU</t>
  </si>
  <si>
    <t>3055200338008SU</t>
  </si>
  <si>
    <t>3055278418008SU</t>
  </si>
  <si>
    <t>3055171599008SU</t>
  </si>
  <si>
    <t>3055254034008SU</t>
  </si>
  <si>
    <t>3055314323008SU</t>
  </si>
  <si>
    <t>9585110192008YA</t>
  </si>
  <si>
    <t>3055130590008YA</t>
  </si>
  <si>
    <t>3055244326008YA</t>
  </si>
  <si>
    <t>3062832940008YA</t>
  </si>
  <si>
    <t>3055123858008YA</t>
  </si>
  <si>
    <t>3063092924008YA</t>
  </si>
  <si>
    <t>9585092829008YA</t>
  </si>
  <si>
    <t>3063090486008YA</t>
  </si>
  <si>
    <t>3063057064008YA</t>
  </si>
  <si>
    <t>3055287991008YA</t>
  </si>
  <si>
    <t>3055305571008SU</t>
  </si>
  <si>
    <t>3055218808008SU</t>
  </si>
  <si>
    <t>30626828920086H</t>
  </si>
  <si>
    <t>3063093639008SU</t>
  </si>
  <si>
    <t>3055184616008SU</t>
  </si>
  <si>
    <t>3055238100008SU</t>
  </si>
  <si>
    <t>3055208046008SU</t>
  </si>
  <si>
    <t>3055198823008SU</t>
  </si>
  <si>
    <t>3055202533008SU</t>
  </si>
  <si>
    <t>30627431270086H</t>
  </si>
  <si>
    <t>TLBXHQ</t>
  </si>
  <si>
    <t>Event IT HQ Tool Box</t>
  </si>
  <si>
    <t>Cable ties (150mm) pack of 20</t>
  </si>
  <si>
    <t>Cable ties (200mm) pack of 20</t>
  </si>
  <si>
    <t>Duct Tape (Tesa brand)</t>
  </si>
  <si>
    <t>Germany</t>
  </si>
  <si>
    <t>LinkRunner G2 Smart Networt Tester</t>
  </si>
  <si>
    <t>Screwdriver set</t>
  </si>
  <si>
    <t>Multi-tool</t>
  </si>
  <si>
    <t>Stanley knife</t>
  </si>
  <si>
    <t>Screen wipes</t>
  </si>
  <si>
    <t>Alcohol wipes</t>
  </si>
  <si>
    <t>Sweden</t>
  </si>
  <si>
    <t>EQPKHQ</t>
  </si>
  <si>
    <t>Event IT HQ Equipment Pack</t>
  </si>
  <si>
    <t>Universal plug adapter</t>
  </si>
  <si>
    <t>Power Adapter - Swiss to Local</t>
  </si>
  <si>
    <t>1 to ACR center 114</t>
  </si>
  <si>
    <t>Swiss power extension lead (5m)</t>
  </si>
  <si>
    <t>HP Universal Laptop Charger</t>
  </si>
  <si>
    <t>MS Surface Laptop Charger</t>
  </si>
  <si>
    <t>USB 4-port hub</t>
  </si>
  <si>
    <t>Phone Charger + Cable - iPhone</t>
  </si>
  <si>
    <t>Phone Charger + Cable - USB C</t>
  </si>
  <si>
    <t>Phone Charger + Cable - Micro USB</t>
  </si>
  <si>
    <t>Mice</t>
  </si>
  <si>
    <t>Keyboards</t>
  </si>
  <si>
    <t>2 to EMS</t>
  </si>
  <si>
    <t>Video Cable: HDMI -&gt; DVI</t>
  </si>
  <si>
    <t>Video Cable: HDMI -&gt; DP</t>
  </si>
  <si>
    <t>Video Cable: HDMI -&gt; HDMI</t>
  </si>
  <si>
    <t>Video Cable: Mini-DP -&gt; DVI</t>
  </si>
  <si>
    <t>Video Cable: USB-C -&gt; HDMI</t>
  </si>
  <si>
    <t>Video Adapter: Mini-DP -&gt; HDMI</t>
  </si>
  <si>
    <t>Video Adapter: DP -&gt; DVI</t>
  </si>
  <si>
    <t>Video Adapter: DP -&gt; DP</t>
  </si>
  <si>
    <t>USB memory stick</t>
  </si>
  <si>
    <t>Kensington lock</t>
  </si>
  <si>
    <t>Swisscom SIM card - not activated</t>
  </si>
  <si>
    <t>Bluetooth Headset</t>
  </si>
  <si>
    <t>Portable Speaker - Small (Jabra)</t>
  </si>
  <si>
    <t>A4 Paper (ream)</t>
  </si>
  <si>
    <t>Jabra Speak 510 MS</t>
  </si>
  <si>
    <t>10 port USB charging station</t>
  </si>
  <si>
    <t>Manhattan</t>
  </si>
  <si>
    <t>Lock</t>
  </si>
  <si>
    <t>Abus</t>
  </si>
  <si>
    <t>Audio Interface</t>
  </si>
  <si>
    <t>Scarlett2i2</t>
  </si>
  <si>
    <t>Z8TEH4Q1B13394</t>
  </si>
  <si>
    <t>Z8ADMV01B133B9</t>
  </si>
  <si>
    <t>XLR cable</t>
  </si>
  <si>
    <t>Bemero XLRf-XLRm</t>
  </si>
  <si>
    <t>USB C to Jack 3.5mm adapter</t>
  </si>
  <si>
    <t>Samsung</t>
  </si>
  <si>
    <t>One ear headset</t>
  </si>
  <si>
    <t>Tripot</t>
  </si>
  <si>
    <t>Microsoft LifeCam Studio</t>
  </si>
  <si>
    <t>Cisco Meraki Z3C-WW</t>
  </si>
  <si>
    <t>Q2QY-JW9Y-H9AB</t>
  </si>
  <si>
    <t>ACCMSE</t>
  </si>
  <si>
    <t>LAPACR</t>
  </si>
  <si>
    <t>Laptop - FIFA Accreditation Build</t>
  </si>
  <si>
    <t>84G3-01593</t>
  </si>
  <si>
    <t>5CG81033F7</t>
  </si>
  <si>
    <t>84G3-01592</t>
  </si>
  <si>
    <t>5CG8103ZD3</t>
  </si>
  <si>
    <t>84G3-11187</t>
  </si>
  <si>
    <t>5CG8103ZN8</t>
  </si>
  <si>
    <t>84G3-11037</t>
  </si>
  <si>
    <t>5CG81035SG</t>
  </si>
  <si>
    <t>84G3-11127</t>
  </si>
  <si>
    <t>5CG81033ZT</t>
  </si>
  <si>
    <t>84G3-11048</t>
  </si>
  <si>
    <t>5CG81033SL</t>
  </si>
  <si>
    <t>5CG8235QD5</t>
  </si>
  <si>
    <t>5CG7122SS3</t>
  </si>
  <si>
    <t>VIVO X21</t>
  </si>
  <si>
    <t>860005059353977</t>
  </si>
  <si>
    <t>860005059355196</t>
  </si>
  <si>
    <t>860005059429132</t>
  </si>
  <si>
    <t>860005059353019</t>
  </si>
  <si>
    <t>USB4PT</t>
  </si>
  <si>
    <t>USB Hub - 4-port</t>
  </si>
  <si>
    <t>POWEXT</t>
  </si>
  <si>
    <t>Electrical Extension Cord - 5m (Swiss)</t>
  </si>
  <si>
    <t>POWADP</t>
  </si>
  <si>
    <t>Ref Basecamp Hotel</t>
  </si>
  <si>
    <t>1D4185380081D</t>
  </si>
  <si>
    <t>FWF60ETK18013885</t>
  </si>
  <si>
    <t>ITSWAP</t>
  </si>
  <si>
    <t>IT Solution - Wireless Access Point</t>
  </si>
  <si>
    <t>Fortinet FortiAP-C24JE</t>
  </si>
  <si>
    <t>FC24JE5918004320</t>
  </si>
  <si>
    <t>FC24JE5918002762</t>
  </si>
  <si>
    <t>FC24JE5918002795</t>
  </si>
  <si>
    <t>FC24JE5918002766</t>
  </si>
  <si>
    <t>FC24JE5918004325</t>
  </si>
  <si>
    <t>ITSPOE</t>
  </si>
  <si>
    <t>IT Solution - PoE Injector</t>
  </si>
  <si>
    <t>Fortinet GPI-115</t>
  </si>
  <si>
    <t>C18496555000003801</t>
  </si>
  <si>
    <t>C18496555000006958</t>
  </si>
  <si>
    <t>C18496555000007008</t>
  </si>
  <si>
    <t>C18496555000003570</t>
  </si>
  <si>
    <t>C18496555000006994</t>
  </si>
  <si>
    <t>POWBAR</t>
  </si>
  <si>
    <t>Power Bar - 6-Socket - 2m (Swiss)</t>
  </si>
  <si>
    <t>Build</t>
  </si>
  <si>
    <t>Components</t>
  </si>
  <si>
    <t>Country of Origin</t>
  </si>
  <si>
    <t>Value (USD)</t>
  </si>
  <si>
    <t>FP Description</t>
  </si>
  <si>
    <t>OVPSUB</t>
  </si>
  <si>
    <t>Olympic Video Player Service Subscription</t>
  </si>
  <si>
    <t>Olympic Video Player Service Subscription - x1 account per concurrent view - only applicable to Olympic Football Tournaments</t>
  </si>
  <si>
    <t>Large TV screen - 48" min - full HD - IPTV Distribution (incl. set-top box)</t>
  </si>
  <si>
    <t>TVLGRF</t>
  </si>
  <si>
    <t>TV - Large - RF Distro</t>
  </si>
  <si>
    <t>Large TV screen - 48" min - full HD - RF Distribution over COAX Network</t>
  </si>
  <si>
    <t>TVMDIP</t>
  </si>
  <si>
    <t>TV - Medium - IPTV</t>
  </si>
  <si>
    <t>Medium TV - CATV Feed</t>
  </si>
  <si>
    <t>Medium TV screen - 36" min - full HD - IPTV Distribution (incl. set-top box)</t>
  </si>
  <si>
    <t>TVMDRF</t>
  </si>
  <si>
    <t>TV - Medium - RF Distro</t>
  </si>
  <si>
    <t>Medium TV screen - 36" min - full HD - RF Distribution over COAX Network</t>
  </si>
  <si>
    <t>Medium TV screen - 36" min - full HD - Standalone</t>
  </si>
  <si>
    <t>TVSMIP</t>
  </si>
  <si>
    <t>TV - Small - Media Tribunes - IPTV</t>
  </si>
  <si>
    <t>Small TV - Media Tribunes</t>
  </si>
  <si>
    <t>Small TV screen - 17" to 19" - full HD - IPTV Distribution (incl. set-top box) - for Media Tribunes &amp; Infotainment</t>
  </si>
  <si>
    <t>TVSMRF</t>
  </si>
  <si>
    <t>TV - Small - Media Tribunes - RF Distro</t>
  </si>
  <si>
    <t>Small TV screen - 17" to 19" - full HD - RF Distribution over COAX Network - for Media Tribunes &amp; Infotainment</t>
  </si>
  <si>
    <t>Optoma ZH406</t>
  </si>
  <si>
    <t>Standard Office Projector - 6000+ lumens</t>
  </si>
  <si>
    <t>Single</t>
  </si>
  <si>
    <t>Large TV screen - 48" min - full HD - Standalone</t>
  </si>
  <si>
    <t>FIFA Accreditation Laptop</t>
  </si>
  <si>
    <t>Accreditation Image</t>
  </si>
  <si>
    <t>Laptop with FIFA Accreditation specific image</t>
  </si>
  <si>
    <t>FIFA Event Image</t>
  </si>
  <si>
    <t>Laptop with FIFA image for FIFA freelance Event staff</t>
  </si>
  <si>
    <t>LAPFIF</t>
  </si>
  <si>
    <t>Laptop - FIFA Staff Build</t>
  </si>
  <si>
    <t>FIFA Staff Image</t>
  </si>
  <si>
    <t>Laptop with FIFA image for FIFA full-time staff</t>
  </si>
  <si>
    <t>FIFA Presentation Laptop</t>
  </si>
  <si>
    <t>Presentation Image</t>
  </si>
  <si>
    <t xml:space="preserve">Laptop with simplified image without pop-ups or other restrictions - includes MS Office - to be used for draw presentations etc. </t>
  </si>
  <si>
    <t>LAPTIC</t>
  </si>
  <si>
    <t>Laptop - FIFA Ticketing Build</t>
  </si>
  <si>
    <t>FIFA Ticketing Laptop</t>
  </si>
  <si>
    <t>FIFA Ticketing Image</t>
  </si>
  <si>
    <t>Laptop with FIFA Ticketing Specific image.</t>
  </si>
  <si>
    <t>TABP00</t>
  </si>
  <si>
    <t>Tablet - FIFA Professional Tablet</t>
  </si>
  <si>
    <t>Professional Series Tablet</t>
  </si>
  <si>
    <t>Apple iPad Pro</t>
  </si>
  <si>
    <t>Tablet - Professional - without SIM card slot</t>
  </si>
  <si>
    <t>TABP4G</t>
  </si>
  <si>
    <t>Apple iPad Pro 4G</t>
  </si>
  <si>
    <t>Tablet - Professional - with SIM card slot</t>
  </si>
  <si>
    <t>TABS00</t>
  </si>
  <si>
    <t>Tablet - FIFA Standard Tablet</t>
  </si>
  <si>
    <t>Basic Tablet</t>
  </si>
  <si>
    <t>Apple iPad</t>
  </si>
  <si>
    <t>Tablet - Standard - without SIM card slot</t>
  </si>
  <si>
    <t>TABS4G</t>
  </si>
  <si>
    <t>Tablet - FIFA Standard Tablet + 4G</t>
  </si>
  <si>
    <t>Basic Tablet + 4G</t>
  </si>
  <si>
    <t>Apple iPad 4G</t>
  </si>
  <si>
    <t>Tablet - Standard - with SIM card slot</t>
  </si>
  <si>
    <t>Lenovo Tab K11 LTE</t>
  </si>
  <si>
    <t>Android</t>
  </si>
  <si>
    <t>Lightweight Tablet - with SIM card slot</t>
  </si>
  <si>
    <t>TRA001</t>
  </si>
  <si>
    <t>Step-down Transformer (240v to 110v)</t>
  </si>
  <si>
    <t>PRTRPI</t>
  </si>
  <si>
    <t>Print Server - Compact for FIFA Networks</t>
  </si>
  <si>
    <t>Raspberry Pi 4</t>
  </si>
  <si>
    <t>United Kingdom</t>
  </si>
  <si>
    <t>ITSBW4</t>
  </si>
  <si>
    <t>IT Solution - Basic Wireless Router 4-Port</t>
  </si>
  <si>
    <t>Netgear Nighthawk AC1200 Router</t>
  </si>
  <si>
    <t>Basic 4-port wireless router</t>
  </si>
  <si>
    <t>Infrastructure solution to provide full HQ experience within FIFA HQ</t>
  </si>
  <si>
    <t>HQ Solution</t>
  </si>
  <si>
    <t>Netgear Nighthawk M2 Mobile Router</t>
  </si>
  <si>
    <t>Infrastructure solution to provide internet access for FIFA hardware</t>
  </si>
  <si>
    <t>PoE Injector for Wireless Access Points</t>
  </si>
  <si>
    <t>Infrastructure solution to provide internet access for FIFA systems</t>
  </si>
  <si>
    <t>Unmanaged 8-port switch</t>
  </si>
  <si>
    <t>ITSS16</t>
  </si>
  <si>
    <t>IT Solution - Unmanaged Switch 16-Port</t>
  </si>
  <si>
    <t>Netgear ProSafe FS116</t>
  </si>
  <si>
    <t>Unmanaged 16-port switch</t>
  </si>
  <si>
    <t>ITSS8P</t>
  </si>
  <si>
    <t>IT Solution - Switch 8 port</t>
  </si>
  <si>
    <t>Fortinet FortiSwitch 108E</t>
  </si>
  <si>
    <t>Infrastructure solution to increase capacity in either HQ or Satellite solution</t>
  </si>
  <si>
    <t>Infrastructure solution to provide limited HQ experience - for various locations incl. venue hotels, etc.</t>
  </si>
  <si>
    <t>Wireless Access Points for use with IT Solutions in FIFA HQ and Satellite locations. Includes x4 Ethernet ports</t>
  </si>
  <si>
    <t>50Mbps Internet Service - provided from ISP or LAN</t>
  </si>
  <si>
    <t>IS0100</t>
  </si>
  <si>
    <t>Internet Service - 100Mbps</t>
  </si>
  <si>
    <t>100Mbps Internet Service - provided from ISP or LAN</t>
  </si>
  <si>
    <t>IS0150</t>
  </si>
  <si>
    <t>Internet Service - 150Mbps</t>
  </si>
  <si>
    <t>150Mbps Internet Service - provided from ISP or LAN</t>
  </si>
  <si>
    <t>IS0200</t>
  </si>
  <si>
    <t>Internet Service - 200Mbps</t>
  </si>
  <si>
    <t>200Mbps Internet Service - provided from ISP or LAN</t>
  </si>
  <si>
    <t>IS050F</t>
  </si>
  <si>
    <t>Internet Service - 50Mbps - Static Public IP</t>
  </si>
  <si>
    <t>50Mbps Synchronous Internet Service - Static Public IP - provided by ISP or over LAN</t>
  </si>
  <si>
    <t>IS075F</t>
  </si>
  <si>
    <t>Internet Service - 75Mbps - Static Public IP</t>
  </si>
  <si>
    <t>75Mbps Synchronous Internet Service - Static Public IP - provided by ISP or over LAN</t>
  </si>
  <si>
    <t>IS100F</t>
  </si>
  <si>
    <t>Internet Service - 100Mbps - Static Public IP</t>
  </si>
  <si>
    <t>100Mbps Synchronous Internet Service - Static Public IP - provided by ISP or over LAN</t>
  </si>
  <si>
    <t>IS150F</t>
  </si>
  <si>
    <t>Internet Service - 150Mbps - Static Public IP</t>
  </si>
  <si>
    <t>150Mbps Synchronous Internet Service - Static Public IP - provided by ISP or over LAN</t>
  </si>
  <si>
    <t>IS1GBF</t>
  </si>
  <si>
    <t>Internet Service - 1Gbps - Static Public IP</t>
  </si>
  <si>
    <t>1Gbps Synchronous Internet Service - Static Public IP - provided by ISP or over LAN</t>
  </si>
  <si>
    <t>IS200F</t>
  </si>
  <si>
    <t>Internet Service - 200Mbps - Static Public IP</t>
  </si>
  <si>
    <t>200Mbps Synchronous Internet Service - Static Public IP - provided by ISP or over LAN</t>
  </si>
  <si>
    <t>IS250F</t>
  </si>
  <si>
    <t>Internet Service - 250Mbps - Static Public IP</t>
  </si>
  <si>
    <t>250Mbps Synchronous Internet Service - Static Public IP - provided by ISP or over LAN</t>
  </si>
  <si>
    <t>IS500F</t>
  </si>
  <si>
    <t>Internet Service - 500Mbps - Static Public IP</t>
  </si>
  <si>
    <t>500Mbps Synchronous Internet Service - Static Public IP - provided by ISP or over LAN</t>
  </si>
  <si>
    <t>ISCOM5</t>
  </si>
  <si>
    <t>Internet Service - 5Mbps - Static Public IP - Commentary Audio</t>
  </si>
  <si>
    <t>5Mbps Synchronous Internet Service - Static Public IP - provided by ISP for Commentary Audio</t>
  </si>
  <si>
    <t>WDF020</t>
  </si>
  <si>
    <t>Wired Port - 20Mbps - guaranteed</t>
  </si>
  <si>
    <t>Cabled Internet - 20Mbps</t>
  </si>
  <si>
    <t>Network Drop - internet service for FIFA users - 20Mbps service per user</t>
  </si>
  <si>
    <t>Network Drop - internet service for FIFA users - 100Mbps service per user</t>
  </si>
  <si>
    <t>WRDCOM</t>
  </si>
  <si>
    <t>Wired Port - Commentary Audio</t>
  </si>
  <si>
    <t>Commentary Audio Drop - 5Mbps - Static Public IP</t>
  </si>
  <si>
    <t>Network Drop - Commentary Audio Circuit - 5Mbps guaranteed bandwidth - Static Public IP</t>
  </si>
  <si>
    <t>WRDFIF</t>
  </si>
  <si>
    <t>Wired Port - FIFA Systems</t>
  </si>
  <si>
    <t>Network Drop - internet service for FIFA IT systems in Stadiums</t>
  </si>
  <si>
    <t>Network Drop - internet service for general users, sized to approx. 256Kbps per user</t>
  </si>
  <si>
    <t>Network Drop - internet service for Media users, sized to approx. 512Kbps per user</t>
  </si>
  <si>
    <t>WRDPHO</t>
  </si>
  <si>
    <t>Wired Port - Photographers</t>
  </si>
  <si>
    <t>Wired Port - High Speed Internet for Photographers</t>
  </si>
  <si>
    <t>Network Drop - high speed internet service for Photographers, sized to approx. 10Mbps per user</t>
  </si>
  <si>
    <t>Network Drop</t>
  </si>
  <si>
    <t>WRDACS</t>
  </si>
  <si>
    <t>Wired port- Access control</t>
  </si>
  <si>
    <t>WRDTMA</t>
  </si>
  <si>
    <t>Wired Port - Team A</t>
  </si>
  <si>
    <t>Network Drop - internet service for Team A, sized to 20Mpbs per user</t>
  </si>
  <si>
    <t>WRDTMB</t>
  </si>
  <si>
    <t>Wired Port - Team B</t>
  </si>
  <si>
    <t>Network Drop - internet service for Team B, sized to 20Mpbs per user</t>
  </si>
  <si>
    <t>Motorola DS4208</t>
  </si>
  <si>
    <t>Multi</t>
  </si>
  <si>
    <t>USB Mouse</t>
  </si>
  <si>
    <t>Mouse with USB connection.</t>
  </si>
  <si>
    <t>CAB02M</t>
  </si>
  <si>
    <t>Patch Cable - 2m</t>
  </si>
  <si>
    <t xml:space="preserve">Patch Cable - 2m - CAT5e / CAT6 - RJ45 presentation </t>
  </si>
  <si>
    <t>CAB05M</t>
  </si>
  <si>
    <t>Patch Cable - 5m</t>
  </si>
  <si>
    <t xml:space="preserve">Patch Cable - 5m - CAT5e / CAT6 - RJ45 presentation </t>
  </si>
  <si>
    <t>CAB10M</t>
  </si>
  <si>
    <t>Patch Cable - 10m</t>
  </si>
  <si>
    <t xml:space="preserve">Patch Cable - 10m - CAT5e / CAT6 - RJ45 presentation </t>
  </si>
  <si>
    <t>Laptop Cable Lock - combination lock</t>
  </si>
  <si>
    <t>22" monitor screen with HDMI and display port inputs</t>
  </si>
  <si>
    <t>Event Technology HQ Equipment Pack</t>
  </si>
  <si>
    <t>IT Equipment Pack for HQ: See standard equipment allocation in Event Technology Kit-list tab</t>
  </si>
  <si>
    <t>HQ Kit</t>
  </si>
  <si>
    <t>EQPKST</t>
  </si>
  <si>
    <t>Event Technology Stadium Equipment Pack</t>
  </si>
  <si>
    <t>IT Equipment Pack for Stadium: See standard equipment allocation in Event Technology Kit-list tab</t>
  </si>
  <si>
    <t>Stadium Kit</t>
  </si>
  <si>
    <t>Power Adapter - Swiss → Local</t>
  </si>
  <si>
    <t>Power Bar - 6-Socket - 2m - Swiss - indoor use only</t>
  </si>
  <si>
    <t>Electrical Extension Cord - 5m - Swiss → Swiss - indoor use only</t>
  </si>
  <si>
    <t>Event Technology HQ Tool Box</t>
  </si>
  <si>
    <t>Tool Box for HQ: See standard equipment allocation in Event Technology Kit-list tab</t>
  </si>
  <si>
    <t>HQ Tools</t>
  </si>
  <si>
    <t>TLBXST</t>
  </si>
  <si>
    <t>Event Technology Stadium Tool Box</t>
  </si>
  <si>
    <t>Tool Box for Stadium: See standard equipment allocation in Event Technology Kit-list tab</t>
  </si>
  <si>
    <t>Stadium Tools</t>
  </si>
  <si>
    <t>TV Stand - suitable for medium and large TV screens</t>
  </si>
  <si>
    <t>VADPHD</t>
  </si>
  <si>
    <t>Video Adapter: DP -&gt; HDMI</t>
  </si>
  <si>
    <t>Video Adapter: Display Port to HDMI</t>
  </si>
  <si>
    <t>VAHDDP</t>
  </si>
  <si>
    <t>Video Adapter: HDMI -&gt; DP</t>
  </si>
  <si>
    <t>Video Adapter: HDMI to Display Port</t>
  </si>
  <si>
    <t>VAHDDV</t>
  </si>
  <si>
    <t>Video Adapter: HDMI -&gt; DVI</t>
  </si>
  <si>
    <t>Video Adapter: HDMI to DVI</t>
  </si>
  <si>
    <t>VAMDHD</t>
  </si>
  <si>
    <t>Video Adapter: Mini-Display Port -&gt; HDMI</t>
  </si>
  <si>
    <t>VCDPHD</t>
  </si>
  <si>
    <t>Video Cable: DP -&gt; HDMI</t>
  </si>
  <si>
    <t>Video Cable: Display Port -&gt; HDMI</t>
  </si>
  <si>
    <t>VCHDDP</t>
  </si>
  <si>
    <t>Video Cable: HDMI -&gt; Display Port</t>
  </si>
  <si>
    <t>VCHDHD</t>
  </si>
  <si>
    <t>VCHDDV</t>
  </si>
  <si>
    <t>VCMDHD</t>
  </si>
  <si>
    <t>Video Cable: Mini-DP -&gt; HDMI</t>
  </si>
  <si>
    <t>Video Cable: Mini-Display Port -&gt; HDMI</t>
  </si>
  <si>
    <t>VCUSHD</t>
  </si>
  <si>
    <t>KEYGER</t>
  </si>
  <si>
    <t>Keyboard - German Layout</t>
  </si>
  <si>
    <t>KEYSWI</t>
  </si>
  <si>
    <t>Keyboard - Swiss Layout</t>
  </si>
  <si>
    <t>KEYENG</t>
  </si>
  <si>
    <t>Keyboard - English Layout</t>
  </si>
  <si>
    <t>CTGACR</t>
  </si>
  <si>
    <t>ACR Printer Cartridge Set (CMYB)</t>
  </si>
  <si>
    <t>ACR Printer Cartridge Set</t>
  </si>
  <si>
    <t>Print Consumables</t>
  </si>
  <si>
    <t>HP 414A Original LaserJet Toner Cartridges</t>
  </si>
  <si>
    <t>Full set of toner cartridges for HP Colour LaserJet Pro M454dw printer (CYMB)</t>
  </si>
  <si>
    <t>PAPA3B</t>
  </si>
  <si>
    <t>Printer Paper - A3 - Box (2500 sheets)</t>
  </si>
  <si>
    <t>PAPA3R</t>
  </si>
  <si>
    <t>Printer Paper - A3 - Ream (500 sheets)</t>
  </si>
  <si>
    <t>PAPA4B</t>
  </si>
  <si>
    <t>Printer Paper - A4 - Box (2500 sheets)</t>
  </si>
  <si>
    <t>PAPA4R</t>
  </si>
  <si>
    <t>Printer Paper - A4 - Ream (500 sheets)</t>
  </si>
  <si>
    <t>Multi Function Device - Desktop - Networked - Colour, 33 pages per min. A4 &amp; scan to USB</t>
  </si>
  <si>
    <t>MFDDSA</t>
  </si>
  <si>
    <t>MFD Desktop - Colour - A4 - Standalone</t>
  </si>
  <si>
    <t>Multi Function Device - Desktop - Standalone - Colour, 33 pages per min. A4 &amp; scan to USB</t>
  </si>
  <si>
    <t>Multi Function Device - Large - Networked - Colour, 40 pages per min. A4 / A3 &amp; scan to USB</t>
  </si>
  <si>
    <t>MFDLSA</t>
  </si>
  <si>
    <t>MFD Large - Colour - A3 - Standalone</t>
  </si>
  <si>
    <t>Multi Function Device - Large - Standalone - Colour, 40 pages per min. A4 / A3 &amp; scan to USB</t>
  </si>
  <si>
    <t>PRTACL</t>
  </si>
  <si>
    <t>Printer - Accreditation - Large</t>
  </si>
  <si>
    <t>Accreditation Printer</t>
  </si>
  <si>
    <t>HP LaserJet Enterprise M553n</t>
  </si>
  <si>
    <t>Desktop Printer - Colour - Networked - 25 pages per min. - A4 only - Specific ACR Model</t>
  </si>
  <si>
    <t>PRTACS</t>
  </si>
  <si>
    <t>Printer - Accreditation - Small</t>
  </si>
  <si>
    <t>HP LaserJet Pro M454dw</t>
  </si>
  <si>
    <t>PRTACR+</t>
  </si>
  <si>
    <t>Printer - Accreditation + Plastic</t>
  </si>
  <si>
    <t>Accreditation Printer Plastic</t>
  </si>
  <si>
    <t>ACR+ Printer</t>
  </si>
  <si>
    <t>PRTBSA</t>
  </si>
  <si>
    <t>Printer - B&amp;W - A4 - Standalone</t>
  </si>
  <si>
    <t>B&amp;W Printer (A4)</t>
  </si>
  <si>
    <t>Desktop Printer - B&amp;W - Standalone - 25 pages per min. - A4 only</t>
  </si>
  <si>
    <t>PRTCNW</t>
  </si>
  <si>
    <t>Printer - Colour - A4 - Network</t>
  </si>
  <si>
    <t>Colour Printer (A4)</t>
  </si>
  <si>
    <t>Desktop Printer - Colour - Networked - 25 pages per min. - A4 only</t>
  </si>
  <si>
    <t>PRTCSA</t>
  </si>
  <si>
    <t>Printer - Colour - A4 - Standalone</t>
  </si>
  <si>
    <t>Desktop Printer - Colour - Standalone - 25 pages per min. - A4 only</t>
  </si>
  <si>
    <t>PRTSAD</t>
  </si>
  <si>
    <t>Printer - Media -SAD</t>
  </si>
  <si>
    <t>Printer Media dor SAD</t>
  </si>
  <si>
    <t xml:space="preserve">Mobile local sim card. Data only - for use in 4G routers, tablets, etc. </t>
  </si>
  <si>
    <t>Mobile local sim card. Domestic calling only.</t>
  </si>
  <si>
    <t>Mobile local sim card. Domestic and International calling</t>
  </si>
  <si>
    <t>TELANL</t>
  </si>
  <si>
    <t>Telephone - Analogue</t>
  </si>
  <si>
    <t>Analogue Line + Handset</t>
  </si>
  <si>
    <t>Analogue Telephone line and handset</t>
  </si>
  <si>
    <t>Smart phone for event period use - requires local SIM card</t>
  </si>
  <si>
    <t>TELVPD</t>
  </si>
  <si>
    <t>Telephone - VoIP</t>
  </si>
  <si>
    <t>VoIP Telephone</t>
  </si>
  <si>
    <t>VoIP Telephone line and handset. Domestic calling</t>
  </si>
  <si>
    <t>TELVPI</t>
  </si>
  <si>
    <t>Telephone - VoIP - International Calling</t>
  </si>
  <si>
    <t>VoIP Telephone + International</t>
  </si>
  <si>
    <t>VoIP Telephone line and handset. Domestic and International calling</t>
  </si>
  <si>
    <t>Wireless FIFA - Internet service  for FIFA users - average 5 Mbps per user</t>
  </si>
  <si>
    <t>IS00WV</t>
  </si>
  <si>
    <t>Wireless coverage - Internet Service - Wi-Fi Guests</t>
  </si>
  <si>
    <t>Wireless coverage - Internet Service - Guests</t>
  </si>
  <si>
    <t>VIP Internet Access</t>
  </si>
  <si>
    <t>Wireless FIFA - Internet service  for team users (players) - average 5 Mbps per user</t>
  </si>
  <si>
    <t>Wireless FIFA - Internet service  for FIFA users - average 20 Mbps per user</t>
  </si>
  <si>
    <t>FIFA IT Monitoring network port located in main server room</t>
  </si>
  <si>
    <t>CHROM</t>
  </si>
  <si>
    <t>Chromecast</t>
  </si>
  <si>
    <t>Google Chromecast</t>
  </si>
  <si>
    <t>Broadcast/Streaming football matches for FIFA Club</t>
  </si>
  <si>
    <t>Wireless FIFA - Internet service  for FIFA users - average 10 Mbps per user</t>
  </si>
  <si>
    <t>Component</t>
  </si>
  <si>
    <t>Packing List S/N Req'd</t>
  </si>
  <si>
    <t>Yes</t>
  </si>
  <si>
    <t>No</t>
  </si>
  <si>
    <t>Server: Dell ESRV - ESX31</t>
  </si>
  <si>
    <t>UPS: ETON Battery</t>
  </si>
  <si>
    <t>Patch Cables - 10m</t>
  </si>
  <si>
    <t>Barcode Scanner</t>
  </si>
  <si>
    <t>Printer Toner Set</t>
  </si>
  <si>
    <t>RJ45 Coupler</t>
  </si>
  <si>
    <t>USB Memory Stick (16GB)</t>
  </si>
  <si>
    <t>A3 Paper (ream)</t>
  </si>
  <si>
    <t>Event IT Stadium Equipment Pack</t>
  </si>
  <si>
    <t>Electrical Tape</t>
  </si>
  <si>
    <t>Dymo label machine</t>
  </si>
  <si>
    <t>Dymo Labels (10mm)</t>
  </si>
  <si>
    <t>Fluke Meter</t>
  </si>
  <si>
    <t xml:space="preserve">Tape measure </t>
  </si>
  <si>
    <t>Flashlight</t>
  </si>
  <si>
    <t xml:space="preserve">Electronic measure </t>
  </si>
  <si>
    <t xml:space="preserve">Cable Snips </t>
  </si>
  <si>
    <t>Batteries AA (Pack of 10)</t>
  </si>
  <si>
    <t>Batteries AAA (Pack of 10)</t>
  </si>
  <si>
    <t>Sharpie pen red</t>
  </si>
  <si>
    <t>Event IT Stadium Tool Box</t>
  </si>
  <si>
    <t>Cable Snips (Small)</t>
  </si>
  <si>
    <t>Packing List Source Data</t>
  </si>
  <si>
    <t>Bogota Campin</t>
  </si>
  <si>
    <t xml:space="preserve">Event Name </t>
  </si>
  <si>
    <t>Short Prefix</t>
  </si>
  <si>
    <t>Internet Access Services</t>
  </si>
  <si>
    <t>FIFA World Cup</t>
  </si>
  <si>
    <t>FWC</t>
  </si>
  <si>
    <t>FIFA Women's World Cup</t>
  </si>
  <si>
    <t>FWWC</t>
  </si>
  <si>
    <t>FIFA Club Competition</t>
  </si>
  <si>
    <t>FCC</t>
  </si>
  <si>
    <t>IT Supplier 1</t>
  </si>
  <si>
    <t>Olympic Games</t>
  </si>
  <si>
    <t>OFT</t>
  </si>
  <si>
    <t>IT Supplier 2</t>
  </si>
  <si>
    <t>FIFA U-20 World Cup</t>
  </si>
  <si>
    <t>FU20WC</t>
  </si>
  <si>
    <t>Hotel</t>
  </si>
  <si>
    <t>FIFA U-20 Women's World Cup</t>
  </si>
  <si>
    <t>FU20WWC</t>
  </si>
  <si>
    <t>FU17WC</t>
  </si>
  <si>
    <t>FIFA Technical Digital</t>
  </si>
  <si>
    <t>FIFA U-17 Women's World Cup</t>
  </si>
  <si>
    <t>FU17WWC</t>
  </si>
  <si>
    <t>FIFA Club World Cup</t>
  </si>
  <si>
    <t>FCWC</t>
  </si>
  <si>
    <t>FIFA Beach Soccer World Cup</t>
  </si>
  <si>
    <t>FBSWC</t>
  </si>
  <si>
    <t>FIFA Futsal World Cup</t>
  </si>
  <si>
    <t>FFWC</t>
  </si>
  <si>
    <t>next to MOB/TPT level 2</t>
  </si>
  <si>
    <t>MI 28:10 - CR017, 1 monitor requested by FIFA GOP</t>
  </si>
  <si>
    <t>FIFA/LOC competition office</t>
  </si>
  <si>
    <t>MI 28.10: CR013, 2 additional TV screen in the FIFA/LOC Competition Office in the SuperClub</t>
  </si>
  <si>
    <t>GU23 Qty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</si>
</sst>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quot;* #,##0.00_-;\-&quot;£&quot;* #,##0.00_-;_-&quot;£&quot;* &quot;-&quot;??_-;_-@_-"/>
    <numFmt numFmtId="165" formatCode="_-[$$-409]* #,##0.00_ ;_-[$$-409]* \-#,##0.00\ ;_-[$$-409]* &quot;-&quot;??_ ;_-@_ "/>
    <numFmt numFmtId="166" formatCode="_-[$$-409]* #,##0_ ;_-[$$-409]* \-#,##0\ ;_-[$$-409]* &quot;-&quot;??_ ;_-@_ "/>
    <numFmt numFmtId="167" formatCode="&quot;£&quot;#,##0"/>
    <numFmt numFmtId="168" formatCode="[$$-409]#,##0_ ;\-[$$-409]#,##0\ "/>
    <numFmt numFmtId="169" formatCode="[$$-409]#,##0_ ;\-[$$-409]#,##0"/>
    <numFmt numFmtId="170" formatCode="&quot;$&quot;#,##0"/>
    <numFmt numFmtId="171" formatCode="[$-409]d\-mmm;@"/>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6"/>
      <color theme="1"/>
      <name val="Calibri"/>
      <family val="2"/>
      <scheme val="minor"/>
    </font>
    <font>
      <b/>
      <sz val="12"/>
      <color theme="0"/>
      <name val="Calibri"/>
      <family val="2"/>
      <scheme val="minor"/>
    </font>
    <font>
      <sz val="11"/>
      <color rgb="FF000000"/>
      <name val="Calibri"/>
      <family val="2"/>
      <scheme val="minor"/>
    </font>
    <font>
      <sz val="11"/>
      <color rgb="FF000000"/>
      <name val="Calibri"/>
      <family val="2"/>
    </font>
    <font>
      <sz val="11"/>
      <color theme="1"/>
      <name val="Calibri"/>
      <family val="2"/>
    </font>
    <font>
      <b/>
      <sz val="11"/>
      <name val="Calibri"/>
      <family val="2"/>
      <scheme val="minor"/>
    </font>
    <font>
      <sz val="10"/>
      <color theme="1"/>
      <name val="Calibri"/>
      <family val="2"/>
      <scheme val="minor"/>
    </font>
    <font>
      <sz val="8"/>
      <color theme="1"/>
      <name val="Calibri"/>
      <family val="2"/>
      <scheme val="minor"/>
    </font>
    <font>
      <i/>
      <sz val="11"/>
      <color rgb="FF363636"/>
      <name val="Calibri"/>
      <family val="2"/>
      <scheme val="minor"/>
    </font>
    <font>
      <sz val="11"/>
      <color rgb="FF363636"/>
      <name val="Calibri"/>
      <family val="2"/>
      <scheme val="minor"/>
    </font>
    <font>
      <b/>
      <i/>
      <sz val="11"/>
      <color theme="0"/>
      <name val="Calibri"/>
      <family val="2"/>
      <scheme val="minor"/>
    </font>
    <font>
      <u/>
      <sz val="10"/>
      <color theme="1"/>
      <name val="Calibri"/>
      <family val="2"/>
      <scheme val="minor"/>
    </font>
    <font>
      <b/>
      <sz val="22"/>
      <color theme="1"/>
      <name val="Calibri"/>
      <family val="2"/>
      <scheme val="minor"/>
    </font>
    <font>
      <b/>
      <i/>
      <sz val="11"/>
      <color rgb="FF363636"/>
      <name val="Calibri"/>
      <family val="2"/>
      <scheme val="minor"/>
    </font>
    <font>
      <sz val="10"/>
      <color theme="0"/>
      <name val="Calibri"/>
      <family val="2"/>
      <scheme val="minor"/>
    </font>
    <font>
      <sz val="16"/>
      <color theme="1"/>
      <name val="Calibri"/>
      <family val="2"/>
      <scheme val="minor"/>
    </font>
    <font>
      <sz val="22"/>
      <color theme="1"/>
      <name val="Calibri"/>
      <family val="2"/>
      <scheme val="minor"/>
    </font>
    <font>
      <b/>
      <sz val="10"/>
      <color theme="1"/>
      <name val="Calibri"/>
      <family val="2"/>
      <scheme val="minor"/>
    </font>
    <font>
      <b/>
      <sz val="12"/>
      <color theme="1"/>
      <name val="Calibri"/>
      <family val="2"/>
      <scheme val="minor"/>
    </font>
    <font>
      <sz val="8"/>
      <name val="Calibri"/>
      <family val="2"/>
      <scheme val="minor"/>
    </font>
    <font>
      <b/>
      <sz val="28"/>
      <color theme="1"/>
      <name val="Calibri"/>
      <family val="2"/>
      <scheme val="minor"/>
    </font>
    <font>
      <b/>
      <sz val="11"/>
      <color indexed="8"/>
      <name val="Frutiger LT Com 45 Light"/>
      <family val="2"/>
    </font>
    <font>
      <b/>
      <sz val="11"/>
      <color rgb="FF000000"/>
      <name val="Calibri"/>
      <family val="2"/>
    </font>
    <font>
      <b/>
      <sz val="11"/>
      <color indexed="8"/>
      <name val="Frutiger LT Com 45 Light"/>
    </font>
    <font>
      <b/>
      <sz val="11"/>
      <name val="Frutiger LT Com 45 Light"/>
      <family val="2"/>
    </font>
    <font>
      <sz val="10"/>
      <name val="Calibri"/>
      <family val="2"/>
      <scheme val="minor"/>
    </font>
    <font>
      <b/>
      <sz val="14"/>
      <color theme="0"/>
      <name val="Calibri"/>
      <family val="2"/>
      <scheme val="minor"/>
    </font>
    <font>
      <b/>
      <i/>
      <sz val="14"/>
      <color theme="0"/>
      <name val="Calibri"/>
      <family val="2"/>
      <scheme val="minor"/>
    </font>
    <font>
      <sz val="14"/>
      <color theme="0"/>
      <name val="Calibri"/>
      <family val="2"/>
      <scheme val="minor"/>
    </font>
    <font>
      <b/>
      <i/>
      <sz val="14"/>
      <name val="Calibri"/>
      <family val="2"/>
      <scheme val="minor"/>
    </font>
    <font>
      <b/>
      <sz val="11"/>
      <color rgb="FF000000"/>
      <name val="Calibri"/>
      <family val="2"/>
      <scheme val="minor"/>
    </font>
    <font>
      <i/>
      <sz val="11"/>
      <color rgb="FF000000"/>
      <name val="Calibri"/>
      <family val="2"/>
      <scheme val="minor"/>
    </font>
    <font>
      <b/>
      <sz val="10"/>
      <name val="Calibri"/>
      <family val="2"/>
      <scheme val="minor"/>
    </font>
    <font>
      <strike/>
      <sz val="10"/>
      <color rgb="FFFF0000"/>
      <name val="Calibri"/>
      <family val="2"/>
      <scheme val="minor"/>
    </font>
    <font>
      <strike/>
      <sz val="11"/>
      <color rgb="FFFF0000"/>
      <name val="Calibri"/>
      <family val="2"/>
      <scheme val="minor"/>
    </font>
    <font>
      <sz val="10"/>
      <color rgb="FF000000"/>
      <name val="Calibri"/>
      <family val="2"/>
      <scheme val="minor"/>
    </font>
    <font>
      <b/>
      <sz val="10"/>
      <color rgb="FF000000"/>
      <name val="Calibri"/>
      <family val="2"/>
      <scheme val="minor"/>
    </font>
    <font>
      <sz val="11"/>
      <color rgb="FF0070C0"/>
      <name val="Calibri"/>
      <family val="2"/>
      <scheme val="minor"/>
    </font>
    <font>
      <i/>
      <sz val="11"/>
      <color rgb="FF0070C0"/>
      <name val="Calibri"/>
      <family val="2"/>
      <scheme val="minor"/>
    </font>
    <font>
      <sz val="11"/>
      <color theme="9" tint="-0.249977111117893"/>
      <name val="Calibri"/>
      <family val="2"/>
      <scheme val="minor"/>
    </font>
    <font>
      <strike/>
      <sz val="11"/>
      <color rgb="FF000000"/>
      <name val="Calibri"/>
      <family val="2"/>
      <scheme val="minor"/>
    </font>
    <font>
      <b/>
      <sz val="16"/>
      <color rgb="FF000000"/>
      <name val="Calibri"/>
      <family val="2"/>
    </font>
    <font>
      <b/>
      <sz val="11"/>
      <color rgb="FFFFFFFF"/>
      <name val="Calibri"/>
      <family val="2"/>
    </font>
    <font>
      <sz val="10"/>
      <color rgb="FF000000"/>
      <name val="Calibri"/>
      <family val="2"/>
    </font>
    <font>
      <sz val="11"/>
      <color rgb="FF00B050"/>
      <name val="Calibri"/>
      <family val="2"/>
      <scheme val="minor"/>
    </font>
    <font>
      <sz val="11"/>
      <color rgb="FF548235"/>
      <name val="Calibri"/>
      <family val="2"/>
      <scheme val="minor"/>
    </font>
    <font>
      <b/>
      <sz val="11"/>
      <color rgb="FFFF0000"/>
      <name val="Calibri"/>
      <family val="2"/>
      <scheme val="minor"/>
    </font>
    <font>
      <i/>
      <sz val="10"/>
      <name val="Calibri"/>
      <family val="2"/>
      <scheme val="minor"/>
    </font>
    <font>
      <u/>
      <sz val="11"/>
      <color theme="10"/>
      <name val="Calibri"/>
      <family val="2"/>
      <scheme val="minor"/>
    </font>
    <font>
      <sz val="11"/>
      <color rgb="FF000000"/>
      <name val="Calibri"/>
      <family val="2"/>
      <scheme val="minor"/>
    </font>
    <font>
      <b/>
      <sz val="26"/>
      <color rgb="FF000000"/>
      <name val="Calibri"/>
      <family val="2"/>
    </font>
    <font>
      <b/>
      <sz val="26"/>
      <color rgb="FFFF0000"/>
      <name val="Calibri"/>
      <family val="2"/>
    </font>
  </fonts>
  <fills count="6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1" tint="0.14999847407452621"/>
        <bgColor indexed="64"/>
      </patternFill>
    </fill>
    <fill>
      <patternFill patternType="solid">
        <fgColor theme="6" tint="0.59999389629810485"/>
        <bgColor indexed="64"/>
      </patternFill>
    </fill>
    <fill>
      <patternFill patternType="solid">
        <fgColor theme="5" tint="-0.249977111117893"/>
        <bgColor indexed="64"/>
      </patternFill>
    </fill>
    <fill>
      <patternFill patternType="solid">
        <fgColor indexed="22"/>
        <bgColor indexed="64"/>
      </patternFill>
    </fill>
    <fill>
      <patternFill patternType="solid">
        <fgColor theme="8" tint="0.59999389629810485"/>
        <bgColor theme="9" tint="-0.249977111117893"/>
      </patternFill>
    </fill>
    <fill>
      <patternFill patternType="solid">
        <fgColor theme="8" tint="-0.499984740745262"/>
        <bgColor theme="9" tint="-0.249977111117893"/>
      </patternFill>
    </fill>
    <fill>
      <patternFill patternType="solid">
        <fgColor theme="8" tint="-0.499984740745262"/>
        <bgColor indexed="64"/>
      </patternFill>
    </fill>
    <fill>
      <patternFill patternType="solid">
        <fgColor theme="5"/>
        <bgColor indexed="64"/>
      </patternFill>
    </fill>
    <fill>
      <patternFill patternType="solid">
        <fgColor rgb="FFFFFFB3"/>
        <bgColor indexed="64"/>
      </patternFill>
    </fill>
    <fill>
      <patternFill patternType="solid">
        <fgColor theme="9" tint="0.59999389629810485"/>
        <bgColor indexed="64"/>
      </patternFill>
    </fill>
    <fill>
      <patternFill patternType="solid">
        <fgColor rgb="FF92D050"/>
        <bgColor indexed="64"/>
      </patternFill>
    </fill>
    <fill>
      <patternFill patternType="solid">
        <fgColor rgb="FF1F4E78"/>
        <bgColor rgb="FF548235"/>
      </patternFill>
    </fill>
    <fill>
      <patternFill patternType="solid">
        <fgColor rgb="FFF8CBAD"/>
        <bgColor rgb="FF000000"/>
      </patternFill>
    </fill>
    <fill>
      <patternFill patternType="solid">
        <fgColor theme="8" tint="-0.249977111117893"/>
        <bgColor theme="1"/>
      </patternFill>
    </fill>
    <fill>
      <patternFill patternType="solid">
        <fgColor theme="0" tint="-0.34998626667073579"/>
        <bgColor theme="1"/>
      </patternFill>
    </fill>
    <fill>
      <patternFill patternType="solid">
        <fgColor theme="1"/>
        <bgColor theme="1"/>
      </patternFill>
    </fill>
    <fill>
      <patternFill patternType="solid">
        <fgColor rgb="FFFFFF00"/>
        <bgColor indexed="64"/>
      </patternFill>
    </fill>
    <fill>
      <patternFill patternType="solid">
        <fgColor theme="9" tint="0.59999389629810485"/>
        <bgColor rgb="FF000000"/>
      </patternFill>
    </fill>
    <fill>
      <patternFill patternType="solid">
        <fgColor rgb="FF92D050"/>
        <bgColor rgb="FF000000"/>
      </patternFill>
    </fill>
    <fill>
      <patternFill patternType="solid">
        <fgColor rgb="FFFFFF00"/>
        <bgColor rgb="FF000000"/>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bottom style="thin">
        <color indexed="64"/>
      </bottom>
      <diagonal/>
    </border>
    <border>
      <left style="thin">
        <color theme="0" tint="-0.499984740745262"/>
      </left>
      <right style="thin">
        <color theme="0" tint="-0.499984740745262"/>
      </right>
      <top style="hair">
        <color indexed="64"/>
      </top>
      <bottom style="hair">
        <color indexed="64"/>
      </bottom>
      <diagonal/>
    </border>
    <border>
      <left style="thin">
        <color theme="0" tint="-0.499984740745262"/>
      </left>
      <right style="thin">
        <color theme="0" tint="-0.499984740745262"/>
      </right>
      <top style="hair">
        <color indexed="64"/>
      </top>
      <bottom style="thin">
        <color indexed="64"/>
      </bottom>
      <diagonal/>
    </border>
    <border>
      <left style="thin">
        <color indexed="64"/>
      </left>
      <right style="thin">
        <color theme="0" tint="-0.499984740745262"/>
      </right>
      <top style="hair">
        <color indexed="64"/>
      </top>
      <bottom style="hair">
        <color indexed="64"/>
      </bottom>
      <diagonal/>
    </border>
    <border>
      <left style="thin">
        <color theme="0" tint="-0.499984740745262"/>
      </left>
      <right style="thin">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bottom style="hair">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hair">
        <color indexed="64"/>
      </bottom>
      <diagonal/>
    </border>
    <border>
      <left style="thin">
        <color theme="0" tint="-0.499984740745262"/>
      </left>
      <right style="thin">
        <color theme="0" tint="-0.499984740745262"/>
      </right>
      <top style="hair">
        <color indexed="64"/>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thin">
        <color theme="0" tint="-0.499984740745262"/>
      </bottom>
      <diagonal/>
    </border>
    <border>
      <left/>
      <right style="thin">
        <color theme="0" tint="-0.499984740745262"/>
      </right>
      <top style="hair">
        <color indexed="64"/>
      </top>
      <bottom style="thin">
        <color theme="0" tint="-0.499984740745262"/>
      </bottom>
      <diagonal/>
    </border>
    <border>
      <left style="thin">
        <color theme="0" tint="-0.499984740745262"/>
      </left>
      <right style="thin">
        <color theme="0" tint="-0.499984740745262"/>
      </right>
      <top/>
      <bottom style="hair">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right/>
      <top/>
      <bottom style="thin">
        <color theme="9" tint="0.79998168889431442"/>
      </bottom>
      <diagonal/>
    </border>
    <border>
      <left style="thin">
        <color indexed="64"/>
      </left>
      <right style="thin">
        <color indexed="64"/>
      </right>
      <top style="thin">
        <color indexed="64"/>
      </top>
      <bottom style="hair">
        <color indexed="64"/>
      </bottom>
      <diagonal/>
    </border>
    <border>
      <left style="thin">
        <color theme="0" tint="-0.499984740745262"/>
      </left>
      <right style="hair">
        <color theme="0" tint="-0.499984740745262"/>
      </right>
      <top style="thin">
        <color theme="0" tint="-0.499984740745262"/>
      </top>
      <bottom style="thin">
        <color theme="0" tint="-0.499984740745262"/>
      </bottom>
      <diagonal/>
    </border>
    <border>
      <left style="thin">
        <color indexed="64"/>
      </left>
      <right style="thin">
        <color theme="0" tint="-0.499984740745262"/>
      </right>
      <top style="thin">
        <color indexed="64"/>
      </top>
      <bottom/>
      <diagonal/>
    </border>
    <border>
      <left style="thin">
        <color theme="0" tint="-0.499984740745262"/>
      </left>
      <right style="thin">
        <color theme="0" tint="-0.499984740745262"/>
      </right>
      <top style="hair">
        <color indexed="64"/>
      </top>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hair">
        <color theme="0" tint="-0.499984740745262"/>
      </left>
      <right/>
      <top/>
      <bottom/>
      <diagonal/>
    </border>
    <border>
      <left style="hair">
        <color theme="0" tint="-0.499984740745262"/>
      </left>
      <right/>
      <top style="thin">
        <color theme="0" tint="-0.499984740745262"/>
      </top>
      <bottom style="thin">
        <color theme="0" tint="-0.499984740745262"/>
      </bottom>
      <diagonal/>
    </border>
    <border>
      <left style="thin">
        <color theme="0" tint="-0.499984740745262"/>
      </left>
      <right style="hair">
        <color theme="0" tint="-0.499984740745262"/>
      </right>
      <top style="thin">
        <color theme="0" tint="-0.499984740745262"/>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thin">
        <color rgb="FF808080"/>
      </left>
      <right style="thin">
        <color rgb="FF808080"/>
      </right>
      <top style="thin">
        <color rgb="FF808080"/>
      </top>
      <bottom/>
      <diagonal/>
    </border>
    <border>
      <left/>
      <right style="thin">
        <color rgb="FF808080"/>
      </right>
      <top style="thin">
        <color rgb="FF808080"/>
      </top>
      <bottom/>
      <diagonal/>
    </border>
    <border>
      <left/>
      <right/>
      <top style="thin">
        <color rgb="FF808080"/>
      </top>
      <bottom/>
      <diagonal/>
    </border>
    <border>
      <left/>
      <right style="thin">
        <color indexed="64"/>
      </right>
      <top style="thin">
        <color indexed="64"/>
      </top>
      <bottom style="thin">
        <color indexed="64"/>
      </bottom>
      <diagonal/>
    </border>
    <border>
      <left style="thin">
        <color indexed="64"/>
      </left>
      <right style="thin">
        <color rgb="FF808080"/>
      </right>
      <top style="hair">
        <color indexed="64"/>
      </top>
      <bottom style="hair">
        <color indexed="64"/>
      </bottom>
      <diagonal/>
    </border>
    <border>
      <left style="thin">
        <color rgb="FF808080"/>
      </left>
      <right style="thin">
        <color rgb="FF808080"/>
      </right>
      <top style="hair">
        <color indexed="64"/>
      </top>
      <bottom style="hair">
        <color indexed="64"/>
      </bottom>
      <diagonal/>
    </border>
    <border>
      <left style="thin">
        <color rgb="FF808080"/>
      </left>
      <right style="thin">
        <color rgb="FF808080"/>
      </right>
      <top style="hair">
        <color indexed="64"/>
      </top>
      <bottom/>
      <diagonal/>
    </border>
    <border>
      <left style="thin">
        <color rgb="FF808080"/>
      </left>
      <right style="thin">
        <color rgb="FF808080"/>
      </right>
      <top/>
      <bottom style="hair">
        <color indexed="64"/>
      </bottom>
      <diagonal/>
    </border>
    <border>
      <left style="thin">
        <color rgb="FF808080"/>
      </left>
      <right style="thin">
        <color indexed="64"/>
      </right>
      <top style="hair">
        <color indexed="64"/>
      </top>
      <bottom style="hair">
        <color indexed="64"/>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style="thin">
        <color theme="8" tint="-0.249977111117893"/>
      </right>
      <top style="thin">
        <color theme="8" tint="-0.249977111117893"/>
      </top>
      <bottom style="thin">
        <color theme="8" tint="-0.249977111117893"/>
      </bottom>
      <diagonal/>
    </border>
    <border>
      <left style="thin">
        <color theme="8" tint="-0.249977111117893"/>
      </left>
      <right/>
      <top style="thin">
        <color theme="8" tint="-0.249977111117893"/>
      </top>
      <bottom style="thin">
        <color theme="8" tint="-0.249977111117893"/>
      </bottom>
      <diagonal/>
    </border>
    <border>
      <left/>
      <right/>
      <top style="thin">
        <color theme="8" tint="-0.249977111117893"/>
      </top>
      <bottom style="thin">
        <color theme="8" tint="-0.249977111117893"/>
      </bottom>
      <diagonal/>
    </border>
    <border>
      <left/>
      <right style="thin">
        <color theme="8" tint="-0.249977111117893"/>
      </right>
      <top style="thin">
        <color theme="8" tint="-0.249977111117893"/>
      </top>
      <bottom/>
      <diagonal/>
    </border>
    <border>
      <left style="thin">
        <color theme="8" tint="-0.249977111117893"/>
      </left>
      <right style="thin">
        <color theme="8" tint="-0.249977111117893"/>
      </right>
      <top style="thin">
        <color theme="8" tint="-0.249977111117893"/>
      </top>
      <bottom/>
      <diagonal/>
    </border>
    <border>
      <left style="thin">
        <color theme="8" tint="-0.249977111117893"/>
      </left>
      <right/>
      <top style="thin">
        <color theme="8" tint="-0.249977111117893"/>
      </top>
      <bottom/>
      <diagonal/>
    </border>
    <border>
      <left/>
      <right/>
      <top style="thin">
        <color theme="8" tint="-0.249977111117893"/>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right/>
      <top style="hair">
        <color indexed="64"/>
      </top>
      <bottom style="hair">
        <color indexed="64"/>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67" fillId="0" borderId="0" applyNumberFormat="0" applyFill="0" applyBorder="0" applyAlignment="0" applyProtection="0"/>
  </cellStyleXfs>
  <cellXfs count="471">
    <xf numFmtId="0" fontId="0" fillId="0" borderId="0" xfId="0"/>
    <xf numFmtId="0" fontId="16" fillId="0" borderId="0" xfId="0" applyFont="1"/>
    <xf numFmtId="0" fontId="19" fillId="0" borderId="0" xfId="0" applyFont="1"/>
    <xf numFmtId="0" fontId="19" fillId="0" borderId="0" xfId="0" applyFont="1" applyAlignment="1">
      <alignment vertical="center"/>
    </xf>
    <xf numFmtId="0" fontId="16" fillId="0" borderId="0" xfId="0" applyFont="1" applyAlignment="1">
      <alignment vertical="center"/>
    </xf>
    <xf numFmtId="0" fontId="0" fillId="33" borderId="0" xfId="0" applyFill="1" applyAlignment="1">
      <alignment horizontal="left" indent="2"/>
    </xf>
    <xf numFmtId="0" fontId="18" fillId="34" borderId="14" xfId="0" applyFont="1" applyFill="1" applyBorder="1" applyAlignment="1">
      <alignment horizontal="left" wrapText="1"/>
    </xf>
    <xf numFmtId="0" fontId="18" fillId="34" borderId="15" xfId="0" applyFont="1" applyFill="1" applyBorder="1" applyAlignment="1">
      <alignment horizontal="left" wrapText="1"/>
    </xf>
    <xf numFmtId="0" fontId="18" fillId="0" borderId="15" xfId="0" applyFont="1" applyBorder="1" applyAlignment="1">
      <alignment wrapText="1"/>
    </xf>
    <xf numFmtId="0" fontId="0" fillId="0" borderId="15" xfId="0" applyBorder="1" applyAlignment="1">
      <alignment wrapText="1"/>
    </xf>
    <xf numFmtId="0" fontId="0" fillId="34" borderId="15" xfId="0" applyFill="1" applyBorder="1" applyAlignment="1">
      <alignment wrapText="1"/>
    </xf>
    <xf numFmtId="0" fontId="0" fillId="0" borderId="15" xfId="0" applyBorder="1"/>
    <xf numFmtId="0" fontId="0" fillId="0" borderId="15" xfId="0" applyBorder="1" applyAlignment="1">
      <alignment horizontal="left" wrapText="1"/>
    </xf>
    <xf numFmtId="0" fontId="18" fillId="0" borderId="15" xfId="0" applyFont="1" applyBorder="1"/>
    <xf numFmtId="0" fontId="0" fillId="34" borderId="15" xfId="0" applyFill="1" applyBorder="1" applyAlignment="1">
      <alignment horizontal="left" wrapText="1"/>
    </xf>
    <xf numFmtId="0" fontId="0" fillId="34" borderId="15" xfId="0" quotePrefix="1" applyFill="1" applyBorder="1" applyAlignment="1">
      <alignment horizontal="left" wrapText="1"/>
    </xf>
    <xf numFmtId="0" fontId="18" fillId="34" borderId="15" xfId="0" applyFont="1" applyFill="1" applyBorder="1" applyAlignment="1">
      <alignment wrapText="1"/>
    </xf>
    <xf numFmtId="0" fontId="0" fillId="0" borderId="16" xfId="0" applyBorder="1"/>
    <xf numFmtId="0" fontId="18" fillId="34" borderId="18" xfId="0" applyFont="1" applyFill="1" applyBorder="1" applyAlignment="1">
      <alignment horizontal="left" wrapText="1"/>
    </xf>
    <xf numFmtId="0" fontId="18" fillId="34" borderId="19" xfId="0" applyFont="1" applyFill="1" applyBorder="1" applyAlignment="1">
      <alignment horizontal="left" wrapText="1"/>
    </xf>
    <xf numFmtId="0" fontId="22" fillId="0" borderId="0" xfId="0" applyFont="1" applyAlignment="1">
      <alignment horizontal="right" vertical="center"/>
    </xf>
    <xf numFmtId="0" fontId="22" fillId="0" borderId="0" xfId="0" applyFont="1" applyAlignment="1">
      <alignment vertical="center"/>
    </xf>
    <xf numFmtId="0" fontId="22" fillId="35" borderId="0" xfId="0" applyFont="1" applyFill="1" applyAlignment="1">
      <alignment vertical="center" wrapText="1"/>
    </xf>
    <xf numFmtId="0" fontId="22" fillId="34" borderId="0" xfId="0" applyFont="1" applyFill="1" applyAlignment="1">
      <alignment vertical="center"/>
    </xf>
    <xf numFmtId="0" fontId="18" fillId="34" borderId="14" xfId="0" applyFont="1" applyFill="1" applyBorder="1" applyAlignment="1">
      <alignment wrapText="1"/>
    </xf>
    <xf numFmtId="0" fontId="0" fillId="0" borderId="0" xfId="0" applyAlignment="1">
      <alignment wrapText="1"/>
    </xf>
    <xf numFmtId="0" fontId="0" fillId="0" borderId="12" xfId="0" applyBorder="1"/>
    <xf numFmtId="0" fontId="18" fillId="0" borderId="14" xfId="0" applyFont="1" applyBorder="1" applyAlignment="1">
      <alignment horizontal="left" wrapText="1"/>
    </xf>
    <xf numFmtId="0" fontId="18" fillId="0" borderId="15" xfId="0" applyFont="1" applyBorder="1" applyAlignment="1">
      <alignment horizontal="left" wrapText="1"/>
    </xf>
    <xf numFmtId="0" fontId="21" fillId="0" borderId="15" xfId="0" applyFont="1" applyBorder="1" applyAlignment="1">
      <alignment wrapText="1"/>
    </xf>
    <xf numFmtId="0" fontId="21" fillId="0" borderId="15" xfId="0" applyFont="1" applyBorder="1"/>
    <xf numFmtId="0" fontId="27" fillId="18" borderId="21" xfId="27" applyFont="1" applyBorder="1" applyAlignment="1" applyProtection="1">
      <alignment horizontal="left" wrapText="1" indent="1"/>
    </xf>
    <xf numFmtId="0" fontId="27" fillId="18" borderId="22" xfId="27" applyFont="1" applyBorder="1" applyAlignment="1" applyProtection="1">
      <alignment horizontal="left" wrapText="1" indent="1"/>
    </xf>
    <xf numFmtId="0" fontId="1" fillId="15" borderId="21" xfId="24" applyBorder="1" applyAlignment="1" applyProtection="1">
      <alignment horizontal="left" wrapText="1" indent="1"/>
    </xf>
    <xf numFmtId="0" fontId="0" fillId="0" borderId="0" xfId="0" applyAlignment="1">
      <alignment horizontal="right"/>
    </xf>
    <xf numFmtId="0" fontId="29" fillId="39" borderId="17" xfId="0" applyFont="1" applyFill="1" applyBorder="1" applyAlignment="1">
      <alignment horizontal="left" vertical="center" wrapText="1" indent="1"/>
    </xf>
    <xf numFmtId="0" fontId="29" fillId="39" borderId="10" xfId="0" applyFont="1" applyFill="1" applyBorder="1" applyAlignment="1">
      <alignment horizontal="left" vertical="center" wrapText="1" indent="1"/>
    </xf>
    <xf numFmtId="0" fontId="25" fillId="0" borderId="0" xfId="0" applyFont="1"/>
    <xf numFmtId="0" fontId="0" fillId="0" borderId="0" xfId="0" applyAlignment="1">
      <alignment vertical="top"/>
    </xf>
    <xf numFmtId="0" fontId="25" fillId="0" borderId="0" xfId="0" applyFont="1" applyAlignment="1">
      <alignment vertical="top"/>
    </xf>
    <xf numFmtId="0" fontId="0" fillId="0" borderId="0" xfId="0" applyAlignment="1">
      <alignment horizontal="left" vertical="top" indent="1"/>
    </xf>
    <xf numFmtId="0" fontId="13" fillId="42" borderId="10" xfId="0" applyFont="1" applyFill="1" applyBorder="1" applyAlignment="1">
      <alignment horizontal="left" vertical="center" indent="1"/>
    </xf>
    <xf numFmtId="0" fontId="30" fillId="0" borderId="0" xfId="0" applyFont="1"/>
    <xf numFmtId="0" fontId="0" fillId="0" borderId="0" xfId="0" applyAlignment="1">
      <alignment horizontal="left" indent="1"/>
    </xf>
    <xf numFmtId="0" fontId="1" fillId="15" borderId="21" xfId="24" applyBorder="1" applyAlignment="1" applyProtection="1">
      <alignment horizontal="center"/>
    </xf>
    <xf numFmtId="0" fontId="1" fillId="15" borderId="26" xfId="24" applyBorder="1" applyAlignment="1" applyProtection="1">
      <alignment horizontal="center"/>
    </xf>
    <xf numFmtId="0" fontId="27" fillId="18" borderId="26" xfId="27" applyFont="1" applyBorder="1" applyAlignment="1" applyProtection="1">
      <alignment horizontal="center" wrapText="1"/>
    </xf>
    <xf numFmtId="0" fontId="27" fillId="18" borderId="21" xfId="27" applyFont="1" applyBorder="1" applyAlignment="1" applyProtection="1">
      <alignment horizontal="center" wrapText="1"/>
    </xf>
    <xf numFmtId="1" fontId="32" fillId="18" borderId="26" xfId="27" applyNumberFormat="1" applyFont="1" applyBorder="1" applyAlignment="1" applyProtection="1">
      <alignment horizontal="center" wrapText="1"/>
    </xf>
    <xf numFmtId="0" fontId="16" fillId="15" borderId="26" xfId="24" applyFont="1" applyBorder="1" applyAlignment="1" applyProtection="1">
      <alignment horizontal="center"/>
    </xf>
    <xf numFmtId="1" fontId="32" fillId="18" borderId="21" xfId="27" applyNumberFormat="1" applyFont="1" applyBorder="1" applyAlignment="1" applyProtection="1">
      <alignment horizontal="center" wrapText="1"/>
    </xf>
    <xf numFmtId="0" fontId="16" fillId="15" borderId="21" xfId="24" applyFont="1" applyBorder="1" applyAlignment="1" applyProtection="1">
      <alignment horizontal="center"/>
    </xf>
    <xf numFmtId="0" fontId="32" fillId="18" borderId="21" xfId="27" applyFont="1" applyBorder="1" applyAlignment="1" applyProtection="1">
      <alignment horizontal="center" wrapText="1"/>
    </xf>
    <xf numFmtId="0" fontId="13" fillId="38" borderId="0" xfId="0" applyFont="1" applyFill="1"/>
    <xf numFmtId="0" fontId="33" fillId="38" borderId="0" xfId="0" applyFont="1" applyFill="1"/>
    <xf numFmtId="0" fontId="17" fillId="38" borderId="0" xfId="0" applyFont="1" applyFill="1"/>
    <xf numFmtId="0" fontId="13" fillId="38" borderId="0" xfId="24" applyFont="1" applyFill="1" applyBorder="1" applyAlignment="1" applyProtection="1">
      <alignment horizontal="left" indent="1"/>
    </xf>
    <xf numFmtId="0" fontId="0" fillId="15" borderId="0" xfId="24" applyFont="1" applyBorder="1" applyAlignment="1" applyProtection="1">
      <alignment horizontal="left" indent="1"/>
    </xf>
    <xf numFmtId="0" fontId="27" fillId="18" borderId="0" xfId="27" applyFont="1" applyBorder="1" applyAlignment="1" applyProtection="1">
      <alignment horizontal="left" wrapText="1" indent="1"/>
    </xf>
    <xf numFmtId="0" fontId="0" fillId="15" borderId="21" xfId="24" applyFont="1" applyBorder="1" applyAlignment="1" applyProtection="1">
      <alignment horizontal="left" wrapText="1" indent="1"/>
    </xf>
    <xf numFmtId="0" fontId="0" fillId="0" borderId="0" xfId="0" applyAlignment="1">
      <alignment vertical="center"/>
    </xf>
    <xf numFmtId="0" fontId="34" fillId="0" borderId="0" xfId="0" applyFont="1"/>
    <xf numFmtId="0" fontId="34" fillId="0" borderId="0" xfId="0" applyFont="1" applyAlignment="1">
      <alignment vertical="center"/>
    </xf>
    <xf numFmtId="0" fontId="0" fillId="43" borderId="0" xfId="0" applyFill="1"/>
    <xf numFmtId="0" fontId="25" fillId="44" borderId="0" xfId="0" applyFont="1" applyFill="1"/>
    <xf numFmtId="0" fontId="0" fillId="44" borderId="0" xfId="0" applyFill="1"/>
    <xf numFmtId="0" fontId="13" fillId="44" borderId="0" xfId="27" applyFont="1" applyFill="1" applyBorder="1" applyAlignment="1" applyProtection="1">
      <alignment horizontal="left" wrapText="1" indent="1"/>
    </xf>
    <xf numFmtId="0" fontId="16" fillId="43" borderId="0" xfId="0" applyFont="1" applyFill="1" applyAlignment="1">
      <alignment vertical="center"/>
    </xf>
    <xf numFmtId="0" fontId="0" fillId="43" borderId="0" xfId="0" applyFill="1" applyAlignment="1">
      <alignment horizontal="left" indent="2"/>
    </xf>
    <xf numFmtId="0" fontId="27" fillId="18" borderId="26" xfId="27" applyFont="1" applyBorder="1" applyAlignment="1" applyProtection="1">
      <alignment horizontal="left" wrapText="1" indent="1"/>
    </xf>
    <xf numFmtId="0" fontId="31" fillId="0" borderId="0" xfId="0" applyFont="1" applyAlignment="1">
      <alignment horizontal="left" vertical="center"/>
    </xf>
    <xf numFmtId="0" fontId="0" fillId="0" borderId="12" xfId="0" applyBorder="1" applyAlignment="1">
      <alignment vertical="center"/>
    </xf>
    <xf numFmtId="0" fontId="25" fillId="0" borderId="12" xfId="0" applyFont="1" applyBorder="1" applyAlignment="1">
      <alignment vertical="center"/>
    </xf>
    <xf numFmtId="15" fontId="26" fillId="0" borderId="12" xfId="0" applyNumberFormat="1" applyFont="1" applyBorder="1" applyAlignment="1">
      <alignment horizontal="right" vertical="center"/>
    </xf>
    <xf numFmtId="15" fontId="26" fillId="0" borderId="0" xfId="0" applyNumberFormat="1" applyFont="1" applyAlignment="1">
      <alignment vertical="center"/>
    </xf>
    <xf numFmtId="0" fontId="31" fillId="0" borderId="12" xfId="0" applyFont="1" applyBorder="1" applyAlignment="1">
      <alignment horizontal="left" vertical="center"/>
    </xf>
    <xf numFmtId="0" fontId="13" fillId="44" borderId="0" xfId="27" applyFont="1" applyFill="1" applyBorder="1" applyAlignment="1" applyProtection="1">
      <alignment horizontal="left" indent="1"/>
    </xf>
    <xf numFmtId="0" fontId="25" fillId="0" borderId="0" xfId="0" applyFont="1" applyAlignment="1">
      <alignment horizontal="left" indent="1"/>
    </xf>
    <xf numFmtId="0" fontId="13" fillId="38" borderId="0" xfId="0" applyFont="1" applyFill="1" applyAlignment="1">
      <alignment horizontal="left" indent="1"/>
    </xf>
    <xf numFmtId="0" fontId="16" fillId="0" borderId="0" xfId="0" applyFont="1" applyAlignment="1">
      <alignment horizontal="left" indent="1"/>
    </xf>
    <xf numFmtId="0" fontId="13" fillId="42" borderId="28" xfId="0" applyFont="1" applyFill="1" applyBorder="1" applyAlignment="1">
      <alignment horizontal="left" vertical="top" wrapText="1" indent="1"/>
    </xf>
    <xf numFmtId="0" fontId="29" fillId="39" borderId="28" xfId="0" applyFont="1" applyFill="1" applyBorder="1" applyAlignment="1">
      <alignment horizontal="left" vertical="center" wrapText="1" indent="1"/>
    </xf>
    <xf numFmtId="0" fontId="24" fillId="36" borderId="28" xfId="0" applyFont="1" applyFill="1" applyBorder="1" applyAlignment="1">
      <alignment horizontal="center" vertical="center"/>
    </xf>
    <xf numFmtId="0" fontId="13" fillId="42" borderId="28" xfId="0" applyFont="1" applyFill="1" applyBorder="1" applyAlignment="1">
      <alignment horizontal="left" vertical="center" indent="1"/>
    </xf>
    <xf numFmtId="0" fontId="29" fillId="39" borderId="28" xfId="0" applyFont="1" applyFill="1" applyBorder="1" applyAlignment="1">
      <alignment horizontal="left" vertical="center" indent="1"/>
    </xf>
    <xf numFmtId="0" fontId="24" fillId="40" borderId="28" xfId="0" applyFont="1" applyFill="1" applyBorder="1" applyAlignment="1">
      <alignment horizontal="center" vertical="center"/>
    </xf>
    <xf numFmtId="0" fontId="1" fillId="15" borderId="28" xfId="24" applyBorder="1" applyAlignment="1" applyProtection="1">
      <alignment horizontal="left" wrapText="1" indent="1"/>
    </xf>
    <xf numFmtId="0" fontId="27" fillId="18" borderId="28" xfId="27" applyFont="1" applyBorder="1" applyAlignment="1" applyProtection="1">
      <alignment horizontal="left" wrapText="1" indent="1"/>
    </xf>
    <xf numFmtId="49" fontId="0" fillId="15" borderId="28" xfId="24" applyNumberFormat="1" applyFont="1" applyBorder="1" applyAlignment="1" applyProtection="1">
      <alignment horizontal="left" wrapText="1" indent="1"/>
    </xf>
    <xf numFmtId="0" fontId="1" fillId="15" borderId="30" xfId="24" applyBorder="1" applyAlignment="1" applyProtection="1">
      <alignment horizontal="left" wrapText="1" indent="1"/>
    </xf>
    <xf numFmtId="0" fontId="20" fillId="39" borderId="32" xfId="0" applyFont="1" applyFill="1" applyBorder="1" applyAlignment="1">
      <alignment horizontal="centerContinuous" vertical="center"/>
    </xf>
    <xf numFmtId="0" fontId="13" fillId="39" borderId="33" xfId="0" applyFont="1" applyFill="1" applyBorder="1" applyAlignment="1">
      <alignment horizontal="centerContinuous" vertical="center"/>
    </xf>
    <xf numFmtId="0" fontId="13" fillId="39" borderId="34" xfId="0" applyFont="1" applyFill="1" applyBorder="1" applyAlignment="1">
      <alignment horizontal="centerContinuous" vertical="center"/>
    </xf>
    <xf numFmtId="0" fontId="28" fillId="43" borderId="35" xfId="27" applyFont="1" applyFill="1" applyBorder="1" applyAlignment="1" applyProtection="1">
      <alignment horizontal="left" wrapText="1" indent="1"/>
    </xf>
    <xf numFmtId="0" fontId="0" fillId="43" borderId="36" xfId="0" applyFill="1" applyBorder="1"/>
    <xf numFmtId="0" fontId="0" fillId="43" borderId="37" xfId="0" applyFill="1" applyBorder="1"/>
    <xf numFmtId="0" fontId="16" fillId="43" borderId="38" xfId="0" applyFont="1" applyFill="1" applyBorder="1" applyAlignment="1">
      <alignment vertical="center"/>
    </xf>
    <xf numFmtId="0" fontId="16" fillId="43" borderId="39" xfId="0" applyFont="1" applyFill="1" applyBorder="1" applyAlignment="1">
      <alignment vertical="center"/>
    </xf>
    <xf numFmtId="0" fontId="0" fillId="43" borderId="38" xfId="0" applyFill="1" applyBorder="1"/>
    <xf numFmtId="0" fontId="0" fillId="43" borderId="39" xfId="0" applyFill="1" applyBorder="1"/>
    <xf numFmtId="0" fontId="0" fillId="43" borderId="40" xfId="0" applyFill="1" applyBorder="1"/>
    <xf numFmtId="0" fontId="0" fillId="43" borderId="41" xfId="0" applyFill="1" applyBorder="1" applyAlignment="1">
      <alignment horizontal="left" indent="1"/>
    </xf>
    <xf numFmtId="0" fontId="0" fillId="43" borderId="41" xfId="0" applyFill="1" applyBorder="1"/>
    <xf numFmtId="0" fontId="0" fillId="43" borderId="42" xfId="0" applyFill="1" applyBorder="1"/>
    <xf numFmtId="0" fontId="32" fillId="18" borderId="26" xfId="27" applyFont="1" applyBorder="1" applyAlignment="1" applyProtection="1">
      <alignment horizontal="center" wrapText="1"/>
    </xf>
    <xf numFmtId="0" fontId="0" fillId="39" borderId="32" xfId="0" applyFill="1" applyBorder="1"/>
    <xf numFmtId="0" fontId="13" fillId="39" borderId="28" xfId="0" applyFont="1" applyFill="1" applyBorder="1" applyAlignment="1">
      <alignment horizontal="right" vertical="center" wrapText="1" indent="1"/>
    </xf>
    <xf numFmtId="0" fontId="13" fillId="39" borderId="28" xfId="0" applyFont="1" applyFill="1" applyBorder="1" applyAlignment="1">
      <alignment horizontal="left" vertical="center" wrapText="1" indent="1"/>
    </xf>
    <xf numFmtId="0" fontId="13" fillId="39" borderId="28" xfId="0" applyFont="1" applyFill="1" applyBorder="1" applyAlignment="1">
      <alignment horizontal="left" vertical="center" indent="1"/>
    </xf>
    <xf numFmtId="0" fontId="13" fillId="39" borderId="28" xfId="0" applyFont="1" applyFill="1" applyBorder="1" applyAlignment="1">
      <alignment horizontal="right" vertical="center" indent="1"/>
    </xf>
    <xf numFmtId="0" fontId="0" fillId="0" borderId="43" xfId="0" applyBorder="1" applyAlignment="1">
      <alignment horizontal="left" wrapText="1" indent="1"/>
    </xf>
    <xf numFmtId="0" fontId="0" fillId="0" borderId="44" xfId="0" applyBorder="1" applyAlignment="1">
      <alignment horizontal="left" wrapText="1" indent="1"/>
    </xf>
    <xf numFmtId="0" fontId="0" fillId="0" borderId="45" xfId="0" applyBorder="1" applyAlignment="1">
      <alignment horizontal="left" wrapText="1" indent="1"/>
    </xf>
    <xf numFmtId="0" fontId="29" fillId="39" borderId="34" xfId="0" applyFont="1" applyFill="1" applyBorder="1" applyAlignment="1">
      <alignment horizontal="right" vertical="center"/>
    </xf>
    <xf numFmtId="1" fontId="32" fillId="18" borderId="46" xfId="27" applyNumberFormat="1" applyFont="1" applyBorder="1" applyAlignment="1" applyProtection="1">
      <alignment horizontal="right" wrapText="1" indent="1"/>
    </xf>
    <xf numFmtId="0" fontId="32" fillId="18" borderId="28" xfId="27" applyFont="1" applyBorder="1" applyAlignment="1" applyProtection="1">
      <alignment horizontal="right" wrapText="1" indent="1"/>
    </xf>
    <xf numFmtId="0" fontId="0" fillId="0" borderId="47" xfId="0" applyBorder="1" applyAlignment="1">
      <alignment horizontal="left" wrapText="1" indent="1"/>
    </xf>
    <xf numFmtId="0" fontId="31" fillId="0" borderId="12" xfId="0" applyFont="1" applyBorder="1"/>
    <xf numFmtId="0" fontId="31" fillId="0" borderId="12" xfId="0" applyFont="1" applyBorder="1" applyAlignment="1">
      <alignment vertical="center"/>
    </xf>
    <xf numFmtId="0" fontId="35" fillId="0" borderId="12" xfId="0" applyFont="1" applyBorder="1" applyAlignment="1">
      <alignment vertical="center"/>
    </xf>
    <xf numFmtId="15" fontId="35" fillId="0" borderId="0" xfId="0" applyNumberFormat="1" applyFont="1" applyAlignment="1">
      <alignment vertical="center"/>
    </xf>
    <xf numFmtId="0" fontId="35" fillId="0" borderId="0" xfId="0" applyFont="1" applyAlignment="1">
      <alignment vertical="center"/>
    </xf>
    <xf numFmtId="0" fontId="23" fillId="0" borderId="0" xfId="0" applyFont="1"/>
    <xf numFmtId="0" fontId="0" fillId="15" borderId="29" xfId="24" applyFont="1" applyBorder="1" applyAlignment="1" applyProtection="1">
      <alignment horizontal="left" wrapText="1" indent="1"/>
    </xf>
    <xf numFmtId="0" fontId="23" fillId="0" borderId="11" xfId="0" applyFont="1" applyBorder="1" applyAlignment="1">
      <alignment horizontal="left" vertical="center" wrapText="1" indent="1"/>
    </xf>
    <xf numFmtId="0" fontId="0" fillId="0" borderId="13" xfId="0" applyBorder="1" applyAlignment="1">
      <alignment horizontal="left" indent="1"/>
    </xf>
    <xf numFmtId="0" fontId="0" fillId="0" borderId="27" xfId="0" applyBorder="1" applyAlignment="1">
      <alignment horizontal="left" indent="1"/>
    </xf>
    <xf numFmtId="0" fontId="0" fillId="0" borderId="11" xfId="0" applyBorder="1" applyAlignment="1">
      <alignment horizontal="left" indent="1"/>
    </xf>
    <xf numFmtId="0" fontId="0" fillId="0" borderId="25" xfId="0" applyBorder="1" applyAlignment="1">
      <alignment horizontal="left" indent="1"/>
    </xf>
    <xf numFmtId="0" fontId="0" fillId="0" borderId="20" xfId="0" applyBorder="1" applyAlignment="1">
      <alignment horizontal="left" indent="1"/>
    </xf>
    <xf numFmtId="0" fontId="0" fillId="15" borderId="28" xfId="24" applyFont="1" applyBorder="1" applyAlignment="1" applyProtection="1">
      <alignment horizontal="left" wrapText="1" indent="1"/>
    </xf>
    <xf numFmtId="0" fontId="18" fillId="34" borderId="18" xfId="0" applyFont="1" applyFill="1" applyBorder="1" applyAlignment="1">
      <alignment wrapText="1"/>
    </xf>
    <xf numFmtId="0" fontId="18" fillId="34" borderId="19" xfId="0" applyFont="1" applyFill="1" applyBorder="1" applyAlignment="1">
      <alignment wrapText="1"/>
    </xf>
    <xf numFmtId="0" fontId="1" fillId="15" borderId="22" xfId="24" applyBorder="1" applyAlignment="1" applyProtection="1">
      <alignment horizontal="center"/>
    </xf>
    <xf numFmtId="0" fontId="29" fillId="39" borderId="17" xfId="0" applyFont="1" applyFill="1" applyBorder="1" applyAlignment="1">
      <alignment horizontal="right" vertical="center" wrapText="1" indent="1"/>
    </xf>
    <xf numFmtId="168" fontId="18" fillId="34" borderId="14" xfId="42" applyNumberFormat="1" applyFont="1" applyFill="1" applyBorder="1" applyAlignment="1">
      <alignment horizontal="right" wrapText="1"/>
    </xf>
    <xf numFmtId="168" fontId="18" fillId="34" borderId="15" xfId="42" applyNumberFormat="1" applyFont="1" applyFill="1" applyBorder="1" applyAlignment="1">
      <alignment horizontal="right" wrapText="1"/>
    </xf>
    <xf numFmtId="168" fontId="18" fillId="34" borderId="19" xfId="42" applyNumberFormat="1" applyFont="1" applyFill="1" applyBorder="1" applyAlignment="1">
      <alignment horizontal="right" wrapText="1"/>
    </xf>
    <xf numFmtId="168" fontId="0" fillId="34" borderId="15" xfId="42" applyNumberFormat="1" applyFont="1" applyFill="1" applyBorder="1" applyAlignment="1">
      <alignment horizontal="right" wrapText="1"/>
    </xf>
    <xf numFmtId="168" fontId="0" fillId="0" borderId="15" xfId="42" applyNumberFormat="1" applyFont="1" applyBorder="1" applyAlignment="1">
      <alignment horizontal="right" wrapText="1"/>
    </xf>
    <xf numFmtId="168" fontId="0" fillId="0" borderId="15" xfId="42" applyNumberFormat="1" applyFont="1" applyFill="1" applyBorder="1" applyAlignment="1">
      <alignment horizontal="right" wrapText="1"/>
    </xf>
    <xf numFmtId="168" fontId="18" fillId="0" borderId="15" xfId="42" applyNumberFormat="1" applyFont="1" applyBorder="1" applyAlignment="1">
      <alignment horizontal="right"/>
    </xf>
    <xf numFmtId="168" fontId="18" fillId="0" borderId="15" xfId="42" applyNumberFormat="1" applyFont="1" applyBorder="1" applyAlignment="1">
      <alignment horizontal="right" wrapText="1"/>
    </xf>
    <xf numFmtId="168" fontId="0" fillId="34" borderId="15" xfId="42" quotePrefix="1" applyNumberFormat="1" applyFont="1" applyFill="1" applyBorder="1" applyAlignment="1">
      <alignment horizontal="right" wrapText="1"/>
    </xf>
    <xf numFmtId="168" fontId="0" fillId="0" borderId="15" xfId="42" applyNumberFormat="1" applyFont="1" applyBorder="1" applyAlignment="1">
      <alignment horizontal="right"/>
    </xf>
    <xf numFmtId="168" fontId="0" fillId="0" borderId="16" xfId="42" applyNumberFormat="1" applyFont="1" applyBorder="1" applyAlignment="1">
      <alignment horizontal="right"/>
    </xf>
    <xf numFmtId="167" fontId="18" fillId="34" borderId="14" xfId="42" applyNumberFormat="1" applyFont="1" applyFill="1" applyBorder="1" applyAlignment="1">
      <alignment horizontal="left" wrapText="1" indent="1"/>
    </xf>
    <xf numFmtId="167" fontId="18" fillId="34" borderId="15" xfId="42" applyNumberFormat="1" applyFont="1" applyFill="1" applyBorder="1" applyAlignment="1">
      <alignment horizontal="left" wrapText="1" indent="1"/>
    </xf>
    <xf numFmtId="167" fontId="18" fillId="34" borderId="19" xfId="42" applyNumberFormat="1" applyFont="1" applyFill="1" applyBorder="1" applyAlignment="1">
      <alignment horizontal="left" wrapText="1" indent="1"/>
    </xf>
    <xf numFmtId="167" fontId="0" fillId="34" borderId="15" xfId="42" applyNumberFormat="1" applyFont="1" applyFill="1" applyBorder="1" applyAlignment="1">
      <alignment horizontal="left" wrapText="1" indent="1"/>
    </xf>
    <xf numFmtId="167" fontId="0" fillId="0" borderId="15" xfId="42" applyNumberFormat="1" applyFont="1" applyBorder="1" applyAlignment="1">
      <alignment horizontal="left" wrapText="1" indent="1"/>
    </xf>
    <xf numFmtId="167" fontId="0" fillId="0" borderId="15" xfId="42" applyNumberFormat="1" applyFont="1" applyFill="1" applyBorder="1" applyAlignment="1">
      <alignment horizontal="left" wrapText="1" indent="1"/>
    </xf>
    <xf numFmtId="167" fontId="18" fillId="0" borderId="15" xfId="42" applyNumberFormat="1" applyFont="1" applyBorder="1" applyAlignment="1">
      <alignment horizontal="left" wrapText="1" indent="1"/>
    </xf>
    <xf numFmtId="167" fontId="0" fillId="34" borderId="15" xfId="42" quotePrefix="1" applyNumberFormat="1" applyFont="1" applyFill="1" applyBorder="1" applyAlignment="1">
      <alignment horizontal="left" wrapText="1" indent="1"/>
    </xf>
    <xf numFmtId="167" fontId="18" fillId="0" borderId="15" xfId="42" applyNumberFormat="1" applyFont="1" applyBorder="1" applyAlignment="1">
      <alignment horizontal="left" indent="1"/>
    </xf>
    <xf numFmtId="167" fontId="0" fillId="0" borderId="15" xfId="42" applyNumberFormat="1" applyFont="1" applyBorder="1" applyAlignment="1">
      <alignment horizontal="left" indent="1"/>
    </xf>
    <xf numFmtId="167" fontId="0" fillId="0" borderId="16" xfId="42" applyNumberFormat="1" applyFont="1" applyBorder="1" applyAlignment="1">
      <alignment horizontal="left" indent="1"/>
    </xf>
    <xf numFmtId="0" fontId="29" fillId="39" borderId="51" xfId="0" applyFont="1" applyFill="1" applyBorder="1" applyAlignment="1">
      <alignment horizontal="left" vertical="center" wrapText="1" indent="1"/>
    </xf>
    <xf numFmtId="0" fontId="29" fillId="39" borderId="51" xfId="0" applyFont="1" applyFill="1" applyBorder="1" applyAlignment="1">
      <alignment horizontal="right" vertical="center" wrapText="1" indent="1"/>
    </xf>
    <xf numFmtId="0" fontId="0" fillId="0" borderId="15" xfId="0" applyBorder="1" applyAlignment="1">
      <alignment horizontal="left" indent="1"/>
    </xf>
    <xf numFmtId="0" fontId="0" fillId="0" borderId="15" xfId="0" applyBorder="1" applyAlignment="1">
      <alignment horizontal="center"/>
    </xf>
    <xf numFmtId="0" fontId="29" fillId="39" borderId="51" xfId="0" applyFont="1" applyFill="1" applyBorder="1" applyAlignment="1">
      <alignment horizontal="center" vertical="center" wrapText="1"/>
    </xf>
    <xf numFmtId="0" fontId="0" fillId="0" borderId="16" xfId="0" applyBorder="1" applyAlignment="1">
      <alignment horizontal="left" indent="1"/>
    </xf>
    <xf numFmtId="168" fontId="18" fillId="34" borderId="15" xfId="42" applyNumberFormat="1" applyFont="1" applyFill="1" applyBorder="1" applyAlignment="1">
      <alignment horizontal="right" wrapText="1" indent="1"/>
    </xf>
    <xf numFmtId="0" fontId="0" fillId="0" borderId="16" xfId="0" applyBorder="1" applyAlignment="1">
      <alignment horizontal="center"/>
    </xf>
    <xf numFmtId="168" fontId="18" fillId="34" borderId="16" xfId="42" applyNumberFormat="1" applyFont="1" applyFill="1" applyBorder="1" applyAlignment="1">
      <alignment horizontal="right" wrapText="1" indent="1"/>
    </xf>
    <xf numFmtId="0" fontId="16" fillId="0" borderId="0" xfId="0" applyFont="1" applyAlignment="1">
      <alignment vertical="top"/>
    </xf>
    <xf numFmtId="0" fontId="31" fillId="0" borderId="12" xfId="0" applyFont="1" applyBorder="1" applyAlignment="1">
      <alignment horizontal="left" vertical="center" indent="1"/>
    </xf>
    <xf numFmtId="0" fontId="0" fillId="0" borderId="12" xfId="0" applyBorder="1" applyAlignment="1">
      <alignment horizontal="left" indent="1"/>
    </xf>
    <xf numFmtId="165" fontId="0" fillId="0" borderId="12" xfId="0" applyNumberFormat="1" applyBorder="1" applyAlignment="1">
      <alignment horizontal="left" indent="1"/>
    </xf>
    <xf numFmtId="0" fontId="36" fillId="0" borderId="0" xfId="0" applyFont="1" applyAlignment="1">
      <alignment horizontal="left" indent="1"/>
    </xf>
    <xf numFmtId="165" fontId="0" fillId="0" borderId="0" xfId="0" applyNumberFormat="1" applyAlignment="1">
      <alignment horizontal="left" indent="1"/>
    </xf>
    <xf numFmtId="0" fontId="0" fillId="0" borderId="0" xfId="0" applyAlignment="1">
      <alignment horizontal="right" indent="1"/>
    </xf>
    <xf numFmtId="166" fontId="0" fillId="0" borderId="12" xfId="0" applyNumberFormat="1" applyBorder="1" applyAlignment="1">
      <alignment horizontal="right" indent="1"/>
    </xf>
    <xf numFmtId="0" fontId="0" fillId="0" borderId="12" xfId="0" applyBorder="1" applyAlignment="1">
      <alignment horizontal="right" indent="1"/>
    </xf>
    <xf numFmtId="165" fontId="0" fillId="0" borderId="12" xfId="0" applyNumberFormat="1" applyBorder="1" applyAlignment="1">
      <alignment horizontal="right" indent="1"/>
    </xf>
    <xf numFmtId="166" fontId="25" fillId="0" borderId="0" xfId="0" applyNumberFormat="1" applyFont="1" applyAlignment="1">
      <alignment horizontal="right" indent="1"/>
    </xf>
    <xf numFmtId="0" fontId="25" fillId="0" borderId="0" xfId="0" applyFont="1" applyAlignment="1">
      <alignment horizontal="right" indent="1"/>
    </xf>
    <xf numFmtId="166" fontId="0" fillId="0" borderId="0" xfId="0" applyNumberFormat="1" applyAlignment="1">
      <alignment horizontal="right" indent="1"/>
    </xf>
    <xf numFmtId="165" fontId="0" fillId="0" borderId="0" xfId="0" applyNumberFormat="1" applyAlignment="1">
      <alignment horizontal="right" indent="1"/>
    </xf>
    <xf numFmtId="0" fontId="16" fillId="45" borderId="0" xfId="0" applyFont="1" applyFill="1"/>
    <xf numFmtId="0" fontId="0" fillId="45" borderId="0" xfId="0" applyFill="1"/>
    <xf numFmtId="0" fontId="0" fillId="0" borderId="0" xfId="0" pivotButton="1"/>
    <xf numFmtId="0" fontId="31" fillId="0" borderId="0" xfId="0" applyFont="1" applyAlignment="1">
      <alignment horizontal="left" vertical="center" indent="1"/>
    </xf>
    <xf numFmtId="168" fontId="18" fillId="0" borderId="15" xfId="42" applyNumberFormat="1" applyFont="1" applyFill="1" applyBorder="1" applyAlignment="1">
      <alignment horizontal="right" wrapText="1" indent="1"/>
    </xf>
    <xf numFmtId="0" fontId="29" fillId="39" borderId="28" xfId="0" applyFont="1" applyFill="1" applyBorder="1" applyAlignment="1">
      <alignment horizontal="center" vertical="center" wrapText="1"/>
    </xf>
    <xf numFmtId="0" fontId="13" fillId="42" borderId="28" xfId="0" applyFont="1" applyFill="1" applyBorder="1" applyAlignment="1">
      <alignment horizontal="center" vertical="center" wrapText="1"/>
    </xf>
    <xf numFmtId="0" fontId="37" fillId="0" borderId="0" xfId="0" applyFont="1" applyAlignment="1">
      <alignment vertical="center"/>
    </xf>
    <xf numFmtId="0" fontId="25" fillId="0" borderId="48" xfId="0" applyFont="1" applyBorder="1" applyAlignment="1">
      <alignment horizontal="left" indent="1"/>
    </xf>
    <xf numFmtId="0" fontId="13" fillId="47" borderId="37" xfId="0" applyFont="1" applyFill="1" applyBorder="1" applyAlignment="1">
      <alignment horizontal="left" vertical="center" indent="1"/>
    </xf>
    <xf numFmtId="0" fontId="13" fillId="47" borderId="31" xfId="0" applyFont="1" applyFill="1" applyBorder="1" applyAlignment="1">
      <alignment horizontal="left" vertical="center" indent="1"/>
    </xf>
    <xf numFmtId="0" fontId="13" fillId="47" borderId="35" xfId="0" applyFont="1" applyFill="1" applyBorder="1" applyAlignment="1">
      <alignment horizontal="left" vertical="center" indent="1"/>
    </xf>
    <xf numFmtId="0" fontId="13" fillId="47" borderId="36" xfId="0" applyFont="1" applyFill="1" applyBorder="1" applyAlignment="1">
      <alignment horizontal="left" vertical="center" indent="1"/>
    </xf>
    <xf numFmtId="0" fontId="0" fillId="48" borderId="0" xfId="0" applyFill="1"/>
    <xf numFmtId="0" fontId="0" fillId="48" borderId="0" xfId="0" applyFill="1" applyAlignment="1">
      <alignment horizontal="right"/>
    </xf>
    <xf numFmtId="0" fontId="13" fillId="47" borderId="50" xfId="0" applyFont="1" applyFill="1" applyBorder="1" applyAlignment="1">
      <alignment horizontal="left" vertical="center"/>
    </xf>
    <xf numFmtId="0" fontId="13" fillId="47" borderId="50" xfId="0" applyFont="1" applyFill="1" applyBorder="1" applyAlignment="1">
      <alignment horizontal="center" vertical="center"/>
    </xf>
    <xf numFmtId="166" fontId="13" fillId="47" borderId="50" xfId="0" applyNumberFormat="1" applyFont="1" applyFill="1" applyBorder="1" applyAlignment="1">
      <alignment horizontal="right" vertical="center" wrapText="1"/>
    </xf>
    <xf numFmtId="0" fontId="13" fillId="47" borderId="50" xfId="0" applyFont="1" applyFill="1" applyBorder="1" applyAlignment="1">
      <alignment horizontal="right" vertical="center" wrapText="1"/>
    </xf>
    <xf numFmtId="165" fontId="13" fillId="47" borderId="50" xfId="0" applyNumberFormat="1" applyFont="1" applyFill="1" applyBorder="1" applyAlignment="1">
      <alignment horizontal="right" vertical="center" wrapText="1"/>
    </xf>
    <xf numFmtId="0" fontId="13" fillId="47" borderId="50" xfId="0" applyFont="1" applyFill="1" applyBorder="1" applyAlignment="1">
      <alignment horizontal="left" vertical="center" wrapText="1"/>
    </xf>
    <xf numFmtId="0" fontId="13" fillId="48" borderId="0" xfId="0" applyFont="1" applyFill="1" applyAlignment="1">
      <alignment horizontal="left" indent="1"/>
    </xf>
    <xf numFmtId="0" fontId="13" fillId="48" borderId="0" xfId="0" applyFont="1" applyFill="1"/>
    <xf numFmtId="0" fontId="33" fillId="48" borderId="0" xfId="0" applyFont="1" applyFill="1"/>
    <xf numFmtId="0" fontId="17" fillId="48" borderId="0" xfId="0" applyFont="1" applyFill="1"/>
    <xf numFmtId="0" fontId="16" fillId="0" borderId="28" xfId="0" applyFont="1" applyBorder="1" applyAlignment="1">
      <alignment horizontal="right" indent="1"/>
    </xf>
    <xf numFmtId="0" fontId="36" fillId="0" borderId="52" xfId="0" applyFont="1" applyBorder="1" applyAlignment="1">
      <alignment horizontal="right" indent="1"/>
    </xf>
    <xf numFmtId="0" fontId="24" fillId="46" borderId="52" xfId="0" applyFont="1" applyFill="1" applyBorder="1" applyAlignment="1">
      <alignment horizontal="right" vertical="center" wrapText="1" indent="1"/>
    </xf>
    <xf numFmtId="0" fontId="13" fillId="48" borderId="0" xfId="27" applyFont="1" applyFill="1" applyBorder="1" applyAlignment="1" applyProtection="1">
      <alignment horizontal="left" wrapText="1" indent="1"/>
    </xf>
    <xf numFmtId="0" fontId="0" fillId="39" borderId="40" xfId="0" applyFill="1" applyBorder="1"/>
    <xf numFmtId="0" fontId="29" fillId="39" borderId="42" xfId="0" applyFont="1" applyFill="1" applyBorder="1" applyAlignment="1">
      <alignment horizontal="right" vertical="center"/>
    </xf>
    <xf numFmtId="1" fontId="32" fillId="18" borderId="42" xfId="27" applyNumberFormat="1" applyFont="1" applyBorder="1" applyAlignment="1" applyProtection="1">
      <alignment horizontal="right" wrapText="1" indent="1"/>
    </xf>
    <xf numFmtId="0" fontId="32" fillId="18" borderId="49" xfId="27" applyFont="1" applyBorder="1" applyAlignment="1" applyProtection="1">
      <alignment horizontal="right" wrapText="1" indent="1"/>
    </xf>
    <xf numFmtId="0" fontId="27" fillId="18" borderId="22" xfId="27" applyFont="1" applyBorder="1" applyAlignment="1" applyProtection="1">
      <alignment horizontal="center" wrapText="1"/>
    </xf>
    <xf numFmtId="1" fontId="32" fillId="18" borderId="22" xfId="27" applyNumberFormat="1" applyFont="1" applyBorder="1" applyAlignment="1" applyProtection="1">
      <alignment horizontal="center" wrapText="1"/>
    </xf>
    <xf numFmtId="0" fontId="16" fillId="15" borderId="22" xfId="24" applyFont="1" applyBorder="1" applyAlignment="1" applyProtection="1">
      <alignment horizontal="center"/>
    </xf>
    <xf numFmtId="0" fontId="32" fillId="18" borderId="22" xfId="27" applyFont="1" applyBorder="1" applyAlignment="1" applyProtection="1">
      <alignment horizontal="center" wrapText="1"/>
    </xf>
    <xf numFmtId="0" fontId="13" fillId="47" borderId="31" xfId="0" applyFont="1" applyFill="1" applyBorder="1" applyAlignment="1">
      <alignment horizontal="left" vertical="center" wrapText="1" indent="1"/>
    </xf>
    <xf numFmtId="0" fontId="13" fillId="47" borderId="53" xfId="0" applyFont="1" applyFill="1" applyBorder="1" applyAlignment="1">
      <alignment horizontal="left" vertical="center" indent="1"/>
    </xf>
    <xf numFmtId="0" fontId="25" fillId="0" borderId="10" xfId="0" applyFont="1" applyBorder="1" applyAlignment="1">
      <alignment horizontal="left" vertical="center" indent="1"/>
    </xf>
    <xf numFmtId="0" fontId="18" fillId="0" borderId="0" xfId="0" applyFont="1"/>
    <xf numFmtId="0" fontId="0" fillId="49" borderId="0" xfId="0" applyFill="1"/>
    <xf numFmtId="0" fontId="0" fillId="49" borderId="10" xfId="0" applyFill="1" applyBorder="1" applyAlignment="1">
      <alignment horizontal="center"/>
    </xf>
    <xf numFmtId="169" fontId="0" fillId="49" borderId="0" xfId="0" applyNumberFormat="1" applyFill="1" applyAlignment="1">
      <alignment horizontal="right"/>
    </xf>
    <xf numFmtId="0" fontId="0" fillId="49" borderId="0" xfId="0" applyFill="1" applyAlignment="1">
      <alignment horizontal="right"/>
    </xf>
    <xf numFmtId="0" fontId="0" fillId="49" borderId="10" xfId="0" applyFill="1" applyBorder="1" applyAlignment="1">
      <alignment horizontal="left"/>
    </xf>
    <xf numFmtId="0" fontId="0" fillId="0" borderId="10" xfId="0" applyBorder="1" applyAlignment="1">
      <alignment horizontal="center"/>
    </xf>
    <xf numFmtId="169" fontId="0" fillId="0" borderId="0" xfId="0" applyNumberFormat="1" applyAlignment="1">
      <alignment horizontal="right"/>
    </xf>
    <xf numFmtId="0" fontId="0" fillId="0" borderId="10" xfId="0" applyBorder="1" applyAlignment="1">
      <alignment horizontal="left"/>
    </xf>
    <xf numFmtId="0" fontId="21" fillId="0" borderId="10" xfId="0" applyFont="1" applyBorder="1" applyAlignment="1">
      <alignment horizontal="center"/>
    </xf>
    <xf numFmtId="0" fontId="21" fillId="0" borderId="0" xfId="0" applyFont="1" applyAlignment="1">
      <alignment horizontal="center"/>
    </xf>
    <xf numFmtId="0" fontId="0" fillId="0" borderId="10" xfId="0" quotePrefix="1" applyBorder="1" applyAlignment="1">
      <alignment horizontal="center"/>
    </xf>
    <xf numFmtId="0" fontId="13" fillId="47" borderId="0" xfId="0" applyFont="1" applyFill="1" applyAlignment="1">
      <alignment horizontal="left" vertical="center" indent="1"/>
    </xf>
    <xf numFmtId="0" fontId="25" fillId="0" borderId="10" xfId="0" applyFont="1" applyBorder="1" applyAlignment="1">
      <alignment horizontal="left" indent="1"/>
    </xf>
    <xf numFmtId="0" fontId="25" fillId="0" borderId="10" xfId="0" applyFont="1" applyBorder="1"/>
    <xf numFmtId="0" fontId="0" fillId="0" borderId="10" xfId="0" applyBorder="1"/>
    <xf numFmtId="0" fontId="25" fillId="0" borderId="10" xfId="0" applyFont="1" applyBorder="1" applyAlignment="1">
      <alignment horizontal="left" wrapText="1" indent="1"/>
    </xf>
    <xf numFmtId="0" fontId="0" fillId="0" borderId="0" xfId="0" applyAlignment="1">
      <alignment horizontal="left"/>
    </xf>
    <xf numFmtId="0" fontId="0" fillId="0" borderId="0" xfId="0" pivotButton="1" applyAlignment="1">
      <alignment wrapText="1"/>
    </xf>
    <xf numFmtId="0" fontId="0" fillId="0" borderId="0" xfId="0" applyAlignment="1">
      <alignment horizontal="center" vertical="center"/>
    </xf>
    <xf numFmtId="0" fontId="18" fillId="0" borderId="0" xfId="0" applyFont="1" applyAlignment="1">
      <alignment horizontal="left"/>
    </xf>
    <xf numFmtId="0" fontId="18" fillId="0" borderId="0" xfId="0" applyFont="1" applyAlignment="1">
      <alignment horizontal="left" wrapText="1"/>
    </xf>
    <xf numFmtId="0" fontId="18" fillId="0" borderId="0" xfId="0" applyFont="1" applyAlignment="1">
      <alignment horizontal="center"/>
    </xf>
    <xf numFmtId="0" fontId="14" fillId="34" borderId="15" xfId="0" applyFont="1" applyFill="1" applyBorder="1" applyAlignment="1">
      <alignment wrapText="1"/>
    </xf>
    <xf numFmtId="0" fontId="14" fillId="0" borderId="15" xfId="0" applyFont="1" applyBorder="1" applyAlignment="1">
      <alignment wrapText="1"/>
    </xf>
    <xf numFmtId="0" fontId="14" fillId="34" borderId="15" xfId="0" applyFont="1" applyFill="1" applyBorder="1" applyAlignment="1">
      <alignment horizontal="left" wrapText="1"/>
    </xf>
    <xf numFmtId="0" fontId="39" fillId="0" borderId="0" xfId="0" applyFont="1"/>
    <xf numFmtId="170" fontId="40" fillId="50" borderId="55" xfId="0" applyNumberFormat="1" applyFont="1" applyFill="1" applyBorder="1" applyAlignment="1" applyProtection="1">
      <alignment horizontal="left" vertical="center" wrapText="1"/>
      <protection locked="0"/>
    </xf>
    <xf numFmtId="0" fontId="0" fillId="0" borderId="10" xfId="0" applyBorder="1" applyAlignment="1">
      <alignment vertical="center" wrapText="1"/>
    </xf>
    <xf numFmtId="0" fontId="14" fillId="0" borderId="0" xfId="0" applyFont="1"/>
    <xf numFmtId="0" fontId="25" fillId="0" borderId="0" xfId="0" applyFont="1" applyAlignment="1">
      <alignment wrapText="1"/>
    </xf>
    <xf numFmtId="0" fontId="36" fillId="0" borderId="58" xfId="0" applyFont="1" applyBorder="1" applyAlignment="1">
      <alignment horizontal="right" indent="1"/>
    </xf>
    <xf numFmtId="0" fontId="24" fillId="46" borderId="59" xfId="0" applyFont="1" applyFill="1" applyBorder="1" applyAlignment="1">
      <alignment horizontal="right" vertical="center" wrapText="1" indent="1"/>
    </xf>
    <xf numFmtId="0" fontId="18" fillId="0" borderId="10" xfId="0" applyFont="1" applyBorder="1"/>
    <xf numFmtId="0" fontId="44" fillId="0" borderId="10" xfId="0" applyFont="1" applyBorder="1" applyAlignment="1">
      <alignment horizontal="left" indent="1"/>
    </xf>
    <xf numFmtId="0" fontId="45" fillId="42" borderId="28" xfId="0" applyFont="1" applyFill="1" applyBorder="1" applyAlignment="1">
      <alignment horizontal="left" vertical="center" wrapText="1" indent="1"/>
    </xf>
    <xf numFmtId="0" fontId="46" fillId="39" borderId="28" xfId="0" applyFont="1" applyFill="1" applyBorder="1" applyAlignment="1">
      <alignment horizontal="left" vertical="center" indent="1"/>
    </xf>
    <xf numFmtId="0" fontId="46" fillId="39" borderId="28" xfId="0" applyFont="1" applyFill="1" applyBorder="1" applyAlignment="1">
      <alignment horizontal="left" vertical="center" wrapText="1" indent="1"/>
    </xf>
    <xf numFmtId="0" fontId="46" fillId="39" borderId="28" xfId="0" applyFont="1" applyFill="1" applyBorder="1" applyAlignment="1">
      <alignment horizontal="center" vertical="center" wrapText="1"/>
    </xf>
    <xf numFmtId="0" fontId="47" fillId="0" borderId="0" xfId="0" applyFont="1" applyAlignment="1">
      <alignment vertical="top"/>
    </xf>
    <xf numFmtId="0" fontId="24" fillId="34" borderId="26" xfId="24" applyFont="1" applyFill="1" applyBorder="1" applyAlignment="1" applyProtection="1">
      <alignment horizontal="right"/>
    </xf>
    <xf numFmtId="0" fontId="44" fillId="0" borderId="57" xfId="0" applyFont="1" applyBorder="1" applyAlignment="1">
      <alignment horizontal="right" indent="1"/>
    </xf>
    <xf numFmtId="0" fontId="24" fillId="34" borderId="21" xfId="24" applyFont="1" applyFill="1" applyBorder="1" applyAlignment="1" applyProtection="1">
      <alignment horizontal="right"/>
    </xf>
    <xf numFmtId="0" fontId="24" fillId="34" borderId="54" xfId="24" applyFont="1" applyFill="1" applyBorder="1" applyAlignment="1" applyProtection="1">
      <alignment horizontal="right"/>
    </xf>
    <xf numFmtId="0" fontId="18" fillId="34" borderId="10" xfId="0" applyFont="1" applyFill="1" applyBorder="1"/>
    <xf numFmtId="0" fontId="48" fillId="39" borderId="28" xfId="0" applyFont="1" applyFill="1" applyBorder="1" applyAlignment="1">
      <alignment horizontal="left" vertical="center" wrapText="1" indent="1"/>
    </xf>
    <xf numFmtId="0" fontId="21" fillId="0" borderId="10" xfId="0" applyFont="1" applyBorder="1" applyAlignment="1">
      <alignment vertical="center" wrapText="1"/>
    </xf>
    <xf numFmtId="0" fontId="21" fillId="15" borderId="23" xfId="24" applyFont="1" applyBorder="1" applyAlignment="1" applyProtection="1">
      <alignment horizontal="left" wrapText="1" indent="1"/>
    </xf>
    <xf numFmtId="0" fontId="50" fillId="18" borderId="21" xfId="27" applyFont="1" applyBorder="1" applyAlignment="1" applyProtection="1">
      <alignment horizontal="left" wrapText="1" indent="1"/>
    </xf>
    <xf numFmtId="0" fontId="21" fillId="15" borderId="21" xfId="24" applyFont="1" applyBorder="1" applyAlignment="1" applyProtection="1">
      <alignment horizontal="center"/>
    </xf>
    <xf numFmtId="0" fontId="50" fillId="41" borderId="21" xfId="0" applyFont="1" applyFill="1" applyBorder="1" applyAlignment="1">
      <alignment horizontal="center"/>
    </xf>
    <xf numFmtId="0" fontId="21" fillId="37" borderId="21" xfId="0" applyFont="1" applyFill="1" applyBorder="1" applyAlignment="1">
      <alignment horizontal="left" wrapText="1" indent="1"/>
    </xf>
    <xf numFmtId="0" fontId="21" fillId="15" borderId="21" xfId="24" applyFont="1" applyBorder="1" applyAlignment="1" applyProtection="1">
      <alignment horizontal="left" indent="1"/>
    </xf>
    <xf numFmtId="49" fontId="21" fillId="15" borderId="21" xfId="24" applyNumberFormat="1" applyFont="1" applyBorder="1" applyAlignment="1" applyProtection="1">
      <alignment horizontal="left" indent="1"/>
    </xf>
    <xf numFmtId="0" fontId="21" fillId="41" borderId="26" xfId="0" applyFont="1" applyFill="1" applyBorder="1" applyAlignment="1">
      <alignment horizontal="left" indent="1"/>
    </xf>
    <xf numFmtId="0" fontId="21" fillId="37" borderId="24" xfId="0" applyFont="1" applyFill="1" applyBorder="1" applyAlignment="1">
      <alignment horizontal="left" indent="1"/>
    </xf>
    <xf numFmtId="0" fontId="21" fillId="0" borderId="0" xfId="0" applyFont="1"/>
    <xf numFmtId="0" fontId="21" fillId="15" borderId="23" xfId="24" applyFont="1" applyBorder="1" applyAlignment="1" applyProtection="1">
      <alignment horizontal="left" indent="1"/>
    </xf>
    <xf numFmtId="170" fontId="40" fillId="52" borderId="55" xfId="0" applyNumberFormat="1" applyFont="1" applyFill="1" applyBorder="1" applyAlignment="1" applyProtection="1">
      <alignment horizontal="left" vertical="center" wrapText="1"/>
      <protection locked="0"/>
    </xf>
    <xf numFmtId="170" fontId="40" fillId="52" borderId="0" xfId="0" applyNumberFormat="1" applyFont="1" applyFill="1" applyAlignment="1" applyProtection="1">
      <alignment horizontal="left" vertical="center" wrapText="1"/>
      <protection locked="0"/>
    </xf>
    <xf numFmtId="0" fontId="0" fillId="52" borderId="10" xfId="0" applyFill="1" applyBorder="1" applyAlignment="1">
      <alignment vertical="center" wrapText="1"/>
    </xf>
    <xf numFmtId="0" fontId="0" fillId="52" borderId="0" xfId="0" applyFill="1" applyAlignment="1">
      <alignment wrapText="1"/>
    </xf>
    <xf numFmtId="0" fontId="25" fillId="52" borderId="0" xfId="0" applyFont="1" applyFill="1"/>
    <xf numFmtId="0" fontId="21" fillId="52" borderId="10" xfId="0" applyFont="1" applyFill="1" applyBorder="1" applyAlignment="1">
      <alignment vertical="center" wrapText="1"/>
    </xf>
    <xf numFmtId="0" fontId="0" fillId="52" borderId="0" xfId="0" applyFill="1"/>
    <xf numFmtId="0" fontId="14" fillId="52" borderId="0" xfId="0" applyFont="1" applyFill="1" applyAlignment="1">
      <alignment wrapText="1"/>
    </xf>
    <xf numFmtId="170" fontId="42" fillId="52" borderId="55" xfId="0" applyNumberFormat="1" applyFont="1" applyFill="1" applyBorder="1" applyAlignment="1" applyProtection="1">
      <alignment horizontal="left"/>
      <protection locked="0"/>
    </xf>
    <xf numFmtId="170" fontId="40" fillId="52" borderId="55" xfId="0" applyNumberFormat="1" applyFont="1" applyFill="1" applyBorder="1" applyAlignment="1" applyProtection="1">
      <alignment horizontal="left"/>
      <protection locked="0"/>
    </xf>
    <xf numFmtId="170" fontId="40" fillId="51" borderId="55" xfId="0" applyNumberFormat="1" applyFont="1" applyFill="1" applyBorder="1" applyAlignment="1" applyProtection="1">
      <alignment horizontal="left" wrapText="1"/>
      <protection locked="0"/>
    </xf>
    <xf numFmtId="170" fontId="43" fillId="52" borderId="55" xfId="0" applyNumberFormat="1" applyFont="1" applyFill="1" applyBorder="1" applyAlignment="1" applyProtection="1">
      <alignment horizontal="left"/>
      <protection locked="0"/>
    </xf>
    <xf numFmtId="170" fontId="43" fillId="50" borderId="55" xfId="0" applyNumberFormat="1" applyFont="1" applyFill="1" applyBorder="1" applyAlignment="1" applyProtection="1">
      <alignment horizontal="left"/>
      <protection locked="0"/>
    </xf>
    <xf numFmtId="170" fontId="40" fillId="52" borderId="56" xfId="0" applyNumberFormat="1" applyFont="1" applyFill="1" applyBorder="1" applyAlignment="1" applyProtection="1">
      <alignment horizontal="left"/>
      <protection locked="0"/>
    </xf>
    <xf numFmtId="170" fontId="40" fillId="52" borderId="56" xfId="0" applyNumberFormat="1" applyFont="1" applyFill="1" applyBorder="1" applyAlignment="1" applyProtection="1">
      <alignment horizontal="left" wrapText="1"/>
      <protection locked="0"/>
    </xf>
    <xf numFmtId="0" fontId="22" fillId="52" borderId="10" xfId="0" applyFont="1" applyFill="1" applyBorder="1" applyAlignment="1">
      <alignment vertical="center" wrapText="1"/>
    </xf>
    <xf numFmtId="0" fontId="18" fillId="52" borderId="10" xfId="0" applyFont="1" applyFill="1" applyBorder="1" applyAlignment="1">
      <alignment vertical="center" wrapText="1"/>
    </xf>
    <xf numFmtId="170" fontId="40" fillId="0" borderId="56" xfId="0" applyNumberFormat="1" applyFont="1" applyBorder="1" applyAlignment="1" applyProtection="1">
      <alignment horizontal="left"/>
      <protection locked="0"/>
    </xf>
    <xf numFmtId="0" fontId="14" fillId="0" borderId="0" xfId="0" applyFont="1" applyAlignment="1">
      <alignment wrapText="1"/>
    </xf>
    <xf numFmtId="170" fontId="40" fillId="0" borderId="55" xfId="0" applyNumberFormat="1" applyFont="1" applyBorder="1" applyAlignment="1" applyProtection="1">
      <alignment horizontal="left" vertical="center" wrapText="1"/>
      <protection locked="0"/>
    </xf>
    <xf numFmtId="170" fontId="40" fillId="52" borderId="55" xfId="0" applyNumberFormat="1" applyFont="1" applyFill="1" applyBorder="1" applyAlignment="1" applyProtection="1">
      <alignment horizontal="left" wrapText="1"/>
      <protection locked="0"/>
    </xf>
    <xf numFmtId="0" fontId="51" fillId="0" borderId="48" xfId="0" applyFont="1" applyBorder="1" applyAlignment="1">
      <alignment horizontal="left" indent="1"/>
    </xf>
    <xf numFmtId="0" fontId="53" fillId="0" borderId="0" xfId="0" applyFont="1"/>
    <xf numFmtId="0" fontId="52" fillId="0" borderId="10" xfId="0" applyFont="1" applyBorder="1" applyAlignment="1">
      <alignment horizontal="left" vertical="center" indent="1"/>
    </xf>
    <xf numFmtId="0" fontId="54" fillId="0" borderId="10" xfId="0" applyFont="1" applyBorder="1" applyAlignment="1">
      <alignment horizontal="left" vertical="center" indent="1"/>
    </xf>
    <xf numFmtId="0" fontId="49" fillId="34" borderId="21" xfId="24" applyFont="1" applyFill="1" applyBorder="1" applyAlignment="1" applyProtection="1">
      <alignment horizontal="right"/>
    </xf>
    <xf numFmtId="0" fontId="54" fillId="0" borderId="57" xfId="0" applyFont="1" applyBorder="1" applyAlignment="1">
      <alignment horizontal="right" indent="1"/>
    </xf>
    <xf numFmtId="0" fontId="21" fillId="0" borderId="10" xfId="0" applyFont="1" applyBorder="1"/>
    <xf numFmtId="0" fontId="49" fillId="0" borderId="48" xfId="24" applyFont="1" applyFill="1" applyBorder="1" applyAlignment="1" applyProtection="1">
      <alignment horizontal="right"/>
    </xf>
    <xf numFmtId="0" fontId="55" fillId="0" borderId="48" xfId="0" applyFont="1" applyBorder="1" applyAlignment="1">
      <alignment horizontal="left" indent="1"/>
    </xf>
    <xf numFmtId="0" fontId="56" fillId="37" borderId="21" xfId="0" applyFont="1" applyFill="1" applyBorder="1" applyAlignment="1">
      <alignment horizontal="left" wrapText="1" indent="1"/>
    </xf>
    <xf numFmtId="0" fontId="56" fillId="41" borderId="26" xfId="0" applyFont="1" applyFill="1" applyBorder="1" applyAlignment="1">
      <alignment horizontal="left" indent="1"/>
    </xf>
    <xf numFmtId="0" fontId="56" fillId="37" borderId="24" xfId="0" applyFont="1" applyFill="1" applyBorder="1" applyAlignment="1">
      <alignment horizontal="left" indent="1"/>
    </xf>
    <xf numFmtId="0" fontId="56" fillId="15" borderId="23" xfId="24" applyFont="1" applyBorder="1" applyAlignment="1">
      <alignment horizontal="left" indent="1"/>
    </xf>
    <xf numFmtId="0" fontId="18" fillId="0" borderId="0" xfId="0" applyFont="1" applyAlignment="1">
      <alignment wrapText="1"/>
    </xf>
    <xf numFmtId="0" fontId="58" fillId="0" borderId="0" xfId="0" applyFont="1"/>
    <xf numFmtId="0" fontId="59" fillId="0" borderId="0" xfId="0" applyFont="1"/>
    <xf numFmtId="0" fontId="60" fillId="0" borderId="0" xfId="0" applyFont="1"/>
    <xf numFmtId="0" fontId="22" fillId="0" borderId="0" xfId="0" applyFont="1"/>
    <xf numFmtId="0" fontId="61" fillId="53" borderId="62" xfId="0" applyFont="1" applyFill="1" applyBorder="1" applyAlignment="1">
      <alignment wrapText="1"/>
    </xf>
    <xf numFmtId="0" fontId="61" fillId="53" borderId="63" xfId="0" applyFont="1" applyFill="1" applyBorder="1"/>
    <xf numFmtId="0" fontId="61" fillId="53" borderId="64" xfId="0" applyFont="1" applyFill="1" applyBorder="1"/>
    <xf numFmtId="0" fontId="62" fillId="0" borderId="10" xfId="0" applyFont="1" applyBorder="1"/>
    <xf numFmtId="0" fontId="62" fillId="0" borderId="65" xfId="0" applyFont="1" applyBorder="1"/>
    <xf numFmtId="0" fontId="62" fillId="0" borderId="65" xfId="0" applyFont="1" applyBorder="1" applyAlignment="1">
      <alignment wrapText="1"/>
    </xf>
    <xf numFmtId="0" fontId="62" fillId="0" borderId="25" xfId="0" applyFont="1" applyBorder="1"/>
    <xf numFmtId="0" fontId="62" fillId="0" borderId="20" xfId="0" applyFont="1" applyBorder="1"/>
    <xf numFmtId="0" fontId="62" fillId="0" borderId="20" xfId="0" applyFont="1" applyBorder="1" applyAlignment="1">
      <alignment wrapText="1"/>
    </xf>
    <xf numFmtId="0" fontId="63" fillId="0" borderId="0" xfId="0" applyFont="1"/>
    <xf numFmtId="0" fontId="56" fillId="41" borderId="21" xfId="0" applyFont="1" applyFill="1" applyBorder="1" applyAlignment="1">
      <alignment horizontal="center"/>
    </xf>
    <xf numFmtId="0" fontId="57" fillId="0" borderId="0" xfId="0" applyFont="1"/>
    <xf numFmtId="0" fontId="21" fillId="18" borderId="21" xfId="27" applyFont="1" applyBorder="1" applyAlignment="1" applyProtection="1">
      <alignment horizontal="left" wrapText="1" indent="1"/>
    </xf>
    <xf numFmtId="0" fontId="21" fillId="41" borderId="21" xfId="0" applyFont="1" applyFill="1" applyBorder="1" applyAlignment="1">
      <alignment horizontal="center"/>
    </xf>
    <xf numFmtId="0" fontId="21" fillId="15" borderId="21" xfId="24" applyFont="1" applyBorder="1" applyAlignment="1" applyProtection="1">
      <alignment horizontal="left" wrapText="1" indent="1"/>
    </xf>
    <xf numFmtId="0" fontId="21" fillId="18" borderId="21" xfId="27" applyFont="1" applyBorder="1" applyAlignment="1" applyProtection="1">
      <alignment horizontal="left" indent="1"/>
    </xf>
    <xf numFmtId="0" fontId="21" fillId="15" borderId="23" xfId="24" applyFont="1" applyBorder="1" applyAlignment="1">
      <alignment horizontal="left" indent="1"/>
    </xf>
    <xf numFmtId="49" fontId="21" fillId="15" borderId="21" xfId="24" applyNumberFormat="1" applyFont="1" applyBorder="1" applyAlignment="1" applyProtection="1">
      <alignment horizontal="left" wrapText="1" indent="1"/>
    </xf>
    <xf numFmtId="0" fontId="50" fillId="0" borderId="0" xfId="0" applyFont="1"/>
    <xf numFmtId="0" fontId="21" fillId="15" borderId="21" xfId="24" applyFont="1" applyBorder="1" applyAlignment="1">
      <alignment horizontal="left" wrapText="1" indent="1"/>
    </xf>
    <xf numFmtId="0" fontId="21" fillId="37" borderId="0" xfId="0" applyFont="1" applyFill="1" applyAlignment="1">
      <alignment horizontal="left" indent="1"/>
    </xf>
    <xf numFmtId="0" fontId="21" fillId="15" borderId="21" xfId="24" applyFont="1" applyBorder="1" applyAlignment="1">
      <alignment horizontal="left" indent="1"/>
    </xf>
    <xf numFmtId="0" fontId="21" fillId="15" borderId="23" xfId="24" applyFont="1" applyBorder="1" applyAlignment="1">
      <alignment horizontal="left" wrapText="1" indent="1"/>
    </xf>
    <xf numFmtId="0" fontId="21" fillId="37" borderId="24" xfId="0" applyFont="1" applyFill="1" applyBorder="1" applyAlignment="1">
      <alignment horizontal="left" wrapText="1" indent="1"/>
    </xf>
    <xf numFmtId="0" fontId="21" fillId="15" borderId="0" xfId="24" applyFont="1" applyBorder="1" applyAlignment="1" applyProtection="1">
      <alignment horizontal="left" wrapText="1" indent="1"/>
    </xf>
    <xf numFmtId="0" fontId="21" fillId="18" borderId="21" xfId="27" applyFont="1" applyBorder="1" applyAlignment="1">
      <alignment horizontal="left" indent="1"/>
    </xf>
    <xf numFmtId="0" fontId="21" fillId="18" borderId="21" xfId="27" applyFont="1" applyBorder="1" applyAlignment="1">
      <alignment horizontal="left" wrapText="1" indent="1"/>
    </xf>
    <xf numFmtId="0" fontId="21" fillId="15" borderId="21" xfId="24" applyFont="1" applyBorder="1" applyAlignment="1">
      <alignment horizontal="center"/>
    </xf>
    <xf numFmtId="49" fontId="21" fillId="15" borderId="21" xfId="24" applyNumberFormat="1" applyFont="1" applyBorder="1" applyAlignment="1">
      <alignment horizontal="left" indent="1"/>
    </xf>
    <xf numFmtId="0" fontId="56" fillId="18" borderId="21" xfId="27" applyFont="1" applyBorder="1" applyAlignment="1" applyProtection="1">
      <alignment horizontal="left" wrapText="1" indent="1"/>
    </xf>
    <xf numFmtId="0" fontId="56" fillId="15" borderId="21" xfId="24" applyFont="1" applyBorder="1" applyAlignment="1" applyProtection="1">
      <alignment horizontal="center"/>
    </xf>
    <xf numFmtId="0" fontId="56" fillId="15" borderId="21" xfId="24" applyFont="1" applyBorder="1" applyAlignment="1" applyProtection="1">
      <alignment horizontal="left" indent="1"/>
    </xf>
    <xf numFmtId="0" fontId="56" fillId="15" borderId="21" xfId="24" applyFont="1" applyBorder="1" applyAlignment="1" applyProtection="1">
      <alignment horizontal="left" wrapText="1" indent="1"/>
    </xf>
    <xf numFmtId="49" fontId="56" fillId="15" borderId="21" xfId="24" applyNumberFormat="1" applyFont="1" applyBorder="1" applyAlignment="1" applyProtection="1">
      <alignment horizontal="left" wrapText="1" indent="1"/>
    </xf>
    <xf numFmtId="0" fontId="56" fillId="0" borderId="0" xfId="0" applyFont="1"/>
    <xf numFmtId="0" fontId="0" fillId="15" borderId="23" xfId="24" applyFont="1" applyBorder="1" applyAlignment="1" applyProtection="1">
      <alignment horizontal="left" wrapText="1" indent="1"/>
    </xf>
    <xf numFmtId="0" fontId="0" fillId="15" borderId="21" xfId="24" applyFont="1" applyBorder="1" applyAlignment="1" applyProtection="1">
      <alignment horizontal="center"/>
    </xf>
    <xf numFmtId="0" fontId="0" fillId="15" borderId="21" xfId="24" applyFont="1" applyBorder="1" applyAlignment="1" applyProtection="1">
      <alignment horizontal="left" indent="1"/>
    </xf>
    <xf numFmtId="0" fontId="0" fillId="37" borderId="21" xfId="0" applyFill="1" applyBorder="1" applyAlignment="1">
      <alignment horizontal="left" wrapText="1" indent="1"/>
    </xf>
    <xf numFmtId="49" fontId="0" fillId="15" borderId="21" xfId="24" applyNumberFormat="1" applyFont="1" applyBorder="1" applyAlignment="1" applyProtection="1">
      <alignment horizontal="left" indent="1"/>
    </xf>
    <xf numFmtId="0" fontId="0" fillId="41" borderId="26" xfId="0" applyFill="1" applyBorder="1" applyAlignment="1">
      <alignment horizontal="left" indent="1"/>
    </xf>
    <xf numFmtId="0" fontId="0" fillId="37" borderId="24" xfId="0" applyFill="1" applyBorder="1" applyAlignment="1">
      <alignment horizontal="left" indent="1"/>
    </xf>
    <xf numFmtId="0" fontId="0" fillId="18" borderId="21" xfId="27" applyFont="1" applyBorder="1" applyAlignment="1" applyProtection="1">
      <alignment horizontal="left" wrapText="1" indent="1"/>
    </xf>
    <xf numFmtId="0" fontId="0" fillId="41" borderId="21" xfId="0" applyFill="1" applyBorder="1" applyAlignment="1">
      <alignment horizontal="center"/>
    </xf>
    <xf numFmtId="0" fontId="56" fillId="15" borderId="23" xfId="24" applyFont="1" applyBorder="1" applyAlignment="1" applyProtection="1">
      <alignment horizontal="left" indent="1"/>
    </xf>
    <xf numFmtId="0" fontId="64" fillId="54" borderId="66" xfId="0" applyFont="1" applyFill="1" applyBorder="1" applyAlignment="1">
      <alignment horizontal="left" indent="1"/>
    </xf>
    <xf numFmtId="0" fontId="64" fillId="54" borderId="66" xfId="0" applyFont="1" applyFill="1" applyBorder="1" applyAlignment="1">
      <alignment horizontal="left" wrapText="1" indent="1"/>
    </xf>
    <xf numFmtId="0" fontId="64" fillId="54" borderId="67" xfId="0" applyFont="1" applyFill="1" applyBorder="1" applyAlignment="1">
      <alignment horizontal="center"/>
    </xf>
    <xf numFmtId="0" fontId="21" fillId="54" borderId="67" xfId="0" applyFont="1" applyFill="1" applyBorder="1" applyAlignment="1">
      <alignment horizontal="center"/>
    </xf>
    <xf numFmtId="0" fontId="64" fillId="54" borderId="67" xfId="0" applyFont="1" applyFill="1" applyBorder="1" applyAlignment="1">
      <alignment horizontal="left" indent="1"/>
    </xf>
    <xf numFmtId="0" fontId="64" fillId="54" borderId="67" xfId="0" applyFont="1" applyFill="1" applyBorder="1" applyAlignment="1">
      <alignment horizontal="left" wrapText="1" indent="1"/>
    </xf>
    <xf numFmtId="0" fontId="21" fillId="54" borderId="70" xfId="0" applyFont="1" applyFill="1" applyBorder="1" applyAlignment="1">
      <alignment horizontal="left" indent="1"/>
    </xf>
    <xf numFmtId="0" fontId="21" fillId="37" borderId="24" xfId="0" applyFont="1" applyFill="1" applyBorder="1" applyAlignment="1">
      <alignment horizontal="left" wrapText="1"/>
    </xf>
    <xf numFmtId="0" fontId="45" fillId="42" borderId="0" xfId="0" applyFont="1" applyFill="1" applyAlignment="1">
      <alignment horizontal="left" vertical="center" wrapText="1" indent="1"/>
    </xf>
    <xf numFmtId="0" fontId="58" fillId="54" borderId="67" xfId="0" applyFont="1" applyFill="1" applyBorder="1" applyAlignment="1">
      <alignment horizontal="left" indent="1"/>
    </xf>
    <xf numFmtId="0" fontId="58" fillId="54" borderId="67" xfId="0" applyFont="1" applyFill="1" applyBorder="1" applyAlignment="1">
      <alignment horizontal="left" wrapText="1" indent="1"/>
    </xf>
    <xf numFmtId="0" fontId="58" fillId="54" borderId="68" xfId="0" applyFont="1" applyFill="1" applyBorder="1" applyAlignment="1">
      <alignment horizontal="left" wrapText="1" indent="1"/>
    </xf>
    <xf numFmtId="0" fontId="58" fillId="54" borderId="69" xfId="0" applyFont="1" applyFill="1" applyBorder="1" applyAlignment="1">
      <alignment horizontal="left" wrapText="1" indent="1"/>
    </xf>
    <xf numFmtId="0" fontId="20" fillId="44" borderId="71" xfId="0" applyFont="1" applyFill="1" applyBorder="1" applyAlignment="1">
      <alignment vertical="top"/>
    </xf>
    <xf numFmtId="0" fontId="20" fillId="55" borderId="71" xfId="0" applyFont="1" applyFill="1" applyBorder="1" applyAlignment="1">
      <alignment vertical="top"/>
    </xf>
    <xf numFmtId="0" fontId="20" fillId="56" borderId="71" xfId="0" applyFont="1" applyFill="1" applyBorder="1" applyAlignment="1" applyProtection="1">
      <alignment vertical="top"/>
      <protection hidden="1"/>
    </xf>
    <xf numFmtId="0" fontId="20" fillId="56" borderId="71" xfId="0" applyFont="1" applyFill="1" applyBorder="1" applyAlignment="1">
      <alignment vertical="top"/>
    </xf>
    <xf numFmtId="0" fontId="0" fillId="0" borderId="71" xfId="0" applyBorder="1" applyProtection="1">
      <protection locked="0"/>
    </xf>
    <xf numFmtId="0" fontId="0" fillId="0" borderId="71" xfId="0" applyBorder="1" applyAlignment="1" applyProtection="1">
      <alignment horizontal="center"/>
      <protection locked="0"/>
    </xf>
    <xf numFmtId="171" fontId="0" fillId="0" borderId="71" xfId="0" applyNumberFormat="1" applyBorder="1" applyAlignment="1" applyProtection="1">
      <alignment horizontal="center"/>
      <protection locked="0"/>
    </xf>
    <xf numFmtId="0" fontId="0" fillId="0" borderId="71" xfId="0" applyBorder="1"/>
    <xf numFmtId="0" fontId="65" fillId="0" borderId="71" xfId="0" applyFont="1" applyBorder="1" applyAlignment="1">
      <alignment horizontal="right"/>
    </xf>
    <xf numFmtId="0" fontId="0" fillId="0" borderId="71" xfId="0" applyBorder="1" applyAlignment="1" applyProtection="1">
      <alignment wrapText="1"/>
      <protection locked="0"/>
    </xf>
    <xf numFmtId="0" fontId="0" fillId="0" borderId="72" xfId="0" applyBorder="1" applyProtection="1">
      <protection locked="0"/>
    </xf>
    <xf numFmtId="0" fontId="0" fillId="0" borderId="73" xfId="0" applyBorder="1" applyProtection="1">
      <protection locked="0"/>
    </xf>
    <xf numFmtId="171" fontId="18" fillId="0" borderId="71" xfId="0" applyNumberFormat="1" applyFont="1" applyBorder="1" applyAlignment="1" applyProtection="1">
      <alignment horizontal="center"/>
      <protection locked="0"/>
    </xf>
    <xf numFmtId="0" fontId="0" fillId="0" borderId="0" xfId="0" applyAlignment="1">
      <alignment horizontal="center"/>
    </xf>
    <xf numFmtId="0" fontId="66" fillId="0" borderId="71" xfId="0" applyFont="1" applyBorder="1" applyProtection="1">
      <protection locked="0"/>
    </xf>
    <xf numFmtId="0" fontId="66" fillId="0" borderId="71" xfId="0" applyFont="1" applyBorder="1" applyAlignment="1" applyProtection="1">
      <alignment horizontal="center"/>
      <protection locked="0"/>
    </xf>
    <xf numFmtId="0" fontId="18" fillId="0" borderId="71" xfId="0" applyFont="1" applyBorder="1" applyProtection="1">
      <protection locked="0"/>
    </xf>
    <xf numFmtId="0" fontId="18" fillId="0" borderId="71" xfId="0" applyFont="1" applyBorder="1" applyAlignment="1" applyProtection="1">
      <alignment horizontal="center"/>
      <protection locked="0"/>
    </xf>
    <xf numFmtId="0" fontId="18" fillId="34" borderId="71" xfId="0" applyFont="1" applyFill="1" applyBorder="1" applyProtection="1">
      <protection locked="0"/>
    </xf>
    <xf numFmtId="0" fontId="18" fillId="34" borderId="71" xfId="0" applyFont="1" applyFill="1" applyBorder="1" applyAlignment="1" applyProtection="1">
      <alignment horizontal="center"/>
      <protection locked="0"/>
    </xf>
    <xf numFmtId="0" fontId="16" fillId="0" borderId="73" xfId="0" applyFont="1" applyBorder="1" applyProtection="1">
      <protection locked="0"/>
    </xf>
    <xf numFmtId="16" fontId="0" fillId="0" borderId="71" xfId="0" applyNumberFormat="1" applyBorder="1" applyAlignment="1" applyProtection="1">
      <alignment horizontal="center"/>
      <protection locked="0"/>
    </xf>
    <xf numFmtId="0" fontId="0" fillId="0" borderId="71" xfId="0" applyBorder="1" applyAlignment="1">
      <alignment horizontal="center"/>
    </xf>
    <xf numFmtId="0" fontId="0" fillId="0" borderId="73" xfId="0" applyBorder="1"/>
    <xf numFmtId="0" fontId="0" fillId="0" borderId="74" xfId="0" applyBorder="1" applyProtection="1">
      <protection locked="0"/>
    </xf>
    <xf numFmtId="0" fontId="0" fillId="0" borderId="75" xfId="0" applyBorder="1" applyProtection="1">
      <protection locked="0"/>
    </xf>
    <xf numFmtId="0" fontId="0" fillId="0" borderId="76" xfId="0" applyBorder="1" applyProtection="1">
      <protection locked="0"/>
    </xf>
    <xf numFmtId="16" fontId="0" fillId="0" borderId="76" xfId="0" applyNumberFormat="1" applyBorder="1" applyAlignment="1" applyProtection="1">
      <alignment horizontal="center"/>
      <protection locked="0"/>
    </xf>
    <xf numFmtId="0" fontId="0" fillId="0" borderId="77" xfId="0" applyBorder="1"/>
    <xf numFmtId="0" fontId="0" fillId="0" borderId="78" xfId="0" applyBorder="1" applyProtection="1">
      <protection locked="0"/>
    </xf>
    <xf numFmtId="0" fontId="16" fillId="0" borderId="20" xfId="0" applyFont="1" applyBorder="1"/>
    <xf numFmtId="0" fontId="16" fillId="0" borderId="25" xfId="0" applyFont="1" applyBorder="1"/>
    <xf numFmtId="0" fontId="16" fillId="0" borderId="79" xfId="0" applyFont="1" applyBorder="1"/>
    <xf numFmtId="0" fontId="13" fillId="57" borderId="20" xfId="0" applyFont="1" applyFill="1" applyBorder="1"/>
    <xf numFmtId="0" fontId="13" fillId="57" borderId="79" xfId="0" applyFont="1" applyFill="1" applyBorder="1"/>
    <xf numFmtId="0" fontId="0" fillId="0" borderId="65" xfId="0" applyBorder="1"/>
    <xf numFmtId="0" fontId="67" fillId="0" borderId="17" xfId="44" applyFill="1" applyBorder="1"/>
    <xf numFmtId="0" fontId="0" fillId="0" borderId="17" xfId="0" applyBorder="1"/>
    <xf numFmtId="0" fontId="0" fillId="0" borderId="10" xfId="0" applyBorder="1" applyAlignment="1">
      <alignment horizontal="right"/>
    </xf>
    <xf numFmtId="0" fontId="0" fillId="0" borderId="80" xfId="0" applyBorder="1"/>
    <xf numFmtId="0" fontId="0" fillId="0" borderId="81" xfId="0" applyBorder="1"/>
    <xf numFmtId="0" fontId="0" fillId="0" borderId="27" xfId="0" applyBorder="1"/>
    <xf numFmtId="0" fontId="0" fillId="0" borderId="27" xfId="0" applyBorder="1" applyAlignment="1">
      <alignment horizontal="left"/>
    </xf>
    <xf numFmtId="0" fontId="67" fillId="0" borderId="81" xfId="44" applyFill="1" applyBorder="1"/>
    <xf numFmtId="0" fontId="0" fillId="0" borderId="82" xfId="0" applyBorder="1"/>
    <xf numFmtId="0" fontId="67" fillId="0" borderId="10" xfId="44" applyBorder="1"/>
    <xf numFmtId="0" fontId="0" fillId="0" borderId="12" xfId="0" applyBorder="1" applyAlignment="1">
      <alignment horizontal="center" vertical="center"/>
    </xf>
    <xf numFmtId="0" fontId="0" fillId="0" borderId="12" xfId="0" applyBorder="1" applyAlignment="1">
      <alignment horizontal="left" indent="2"/>
    </xf>
    <xf numFmtId="0" fontId="0" fillId="58" borderId="0" xfId="0" applyFill="1" applyAlignment="1">
      <alignment horizontal="center"/>
    </xf>
    <xf numFmtId="0" fontId="0" fillId="0" borderId="0" xfId="0" applyAlignment="1">
      <alignment horizontal="left" indent="2"/>
    </xf>
    <xf numFmtId="0" fontId="0" fillId="0" borderId="0" xfId="0" applyAlignment="1">
      <alignment horizontal="left" indent="3"/>
    </xf>
    <xf numFmtId="0" fontId="0" fillId="0" borderId="0" xfId="0" applyAlignment="1">
      <alignment textRotation="45"/>
    </xf>
    <xf numFmtId="0" fontId="21" fillId="15" borderId="0" xfId="24" applyFont="1" applyBorder="1" applyAlignment="1">
      <alignment horizontal="left" indent="1"/>
    </xf>
    <xf numFmtId="0" fontId="21" fillId="18" borderId="0" xfId="27" applyFont="1" applyBorder="1" applyAlignment="1">
      <alignment horizontal="left" wrapText="1" indent="1"/>
    </xf>
    <xf numFmtId="0" fontId="21" fillId="15" borderId="0" xfId="24" applyFont="1" applyBorder="1" applyAlignment="1">
      <alignment horizontal="center"/>
    </xf>
    <xf numFmtId="0" fontId="21" fillId="41" borderId="0" xfId="0" applyFont="1" applyFill="1" applyAlignment="1">
      <alignment horizontal="center"/>
    </xf>
    <xf numFmtId="0" fontId="58" fillId="54" borderId="0" xfId="0" applyFont="1" applyFill="1" applyAlignment="1">
      <alignment horizontal="left" wrapText="1" indent="1"/>
    </xf>
    <xf numFmtId="49" fontId="21" fillId="15" borderId="0" xfId="24" applyNumberFormat="1" applyFont="1" applyBorder="1" applyAlignment="1">
      <alignment horizontal="left" indent="1"/>
    </xf>
    <xf numFmtId="0" fontId="21" fillId="41" borderId="0" xfId="0" applyFont="1" applyFill="1" applyAlignment="1">
      <alignment horizontal="left" indent="1"/>
    </xf>
    <xf numFmtId="0" fontId="0" fillId="37" borderId="0" xfId="0" applyFill="1" applyAlignment="1">
      <alignment horizontal="left" indent="1"/>
    </xf>
    <xf numFmtId="0" fontId="58" fillId="15" borderId="23" xfId="24" applyFont="1" applyBorder="1" applyAlignment="1">
      <alignment horizontal="left" indent="1"/>
    </xf>
    <xf numFmtId="0" fontId="58" fillId="15" borderId="21" xfId="24" applyFont="1" applyBorder="1" applyAlignment="1">
      <alignment horizontal="left" indent="1"/>
    </xf>
    <xf numFmtId="49" fontId="58" fillId="15" borderId="21" xfId="24" applyNumberFormat="1" applyFont="1" applyBorder="1" applyAlignment="1">
      <alignment horizontal="left" indent="1"/>
    </xf>
    <xf numFmtId="0" fontId="21" fillId="51" borderId="21" xfId="24" applyFont="1" applyFill="1" applyBorder="1" applyAlignment="1" applyProtection="1">
      <alignment horizontal="center"/>
    </xf>
    <xf numFmtId="0" fontId="64" fillId="59" borderId="67" xfId="0" applyFont="1" applyFill="1" applyBorder="1" applyAlignment="1">
      <alignment horizontal="center"/>
    </xf>
    <xf numFmtId="0" fontId="68" fillId="37" borderId="24" xfId="0" applyFont="1" applyFill="1" applyBorder="1" applyAlignment="1">
      <alignment horizontal="left" indent="1"/>
    </xf>
    <xf numFmtId="0" fontId="21" fillId="58" borderId="21" xfId="24" applyFont="1" applyFill="1" applyBorder="1" applyAlignment="1" applyProtection="1">
      <alignment horizontal="center"/>
    </xf>
    <xf numFmtId="0" fontId="21" fillId="52" borderId="21" xfId="24" applyFont="1" applyFill="1" applyBorder="1" applyAlignment="1" applyProtection="1">
      <alignment horizontal="center"/>
    </xf>
    <xf numFmtId="0" fontId="64" fillId="60" borderId="67" xfId="0" applyFont="1" applyFill="1" applyBorder="1" applyAlignment="1">
      <alignment horizontal="center"/>
    </xf>
    <xf numFmtId="0" fontId="0" fillId="58" borderId="21" xfId="24" applyFont="1" applyFill="1" applyBorder="1" applyAlignment="1" applyProtection="1">
      <alignment horizontal="center"/>
    </xf>
    <xf numFmtId="0" fontId="64" fillId="61" borderId="67" xfId="0" applyFont="1" applyFill="1" applyBorder="1" applyAlignment="1">
      <alignment horizontal="center"/>
    </xf>
    <xf numFmtId="0" fontId="24" fillId="40" borderId="0" xfId="0" applyFont="1" applyFill="1" applyAlignment="1">
      <alignment horizontal="center" vertical="center"/>
    </xf>
    <xf numFmtId="0" fontId="21" fillId="41" borderId="83" xfId="0" applyFont="1" applyFill="1" applyBorder="1" applyAlignment="1">
      <alignment horizontal="center"/>
    </xf>
    <xf numFmtId="0" fontId="0" fillId="0" borderId="28" xfId="0" applyBorder="1" applyAlignment="1">
      <alignment horizontal="right" vertical="top" indent="1"/>
    </xf>
    <xf numFmtId="0" fontId="0" fillId="0" borderId="28" xfId="0" applyBorder="1" applyAlignment="1">
      <alignment horizontal="left" vertical="top" indent="1"/>
    </xf>
    <xf numFmtId="0" fontId="16" fillId="0" borderId="28" xfId="0" applyFont="1" applyBorder="1" applyAlignment="1">
      <alignment horizontal="right" vertical="top" indent="1"/>
    </xf>
    <xf numFmtId="16" fontId="0" fillId="0" borderId="28" xfId="0" applyNumberFormat="1" applyBorder="1" applyAlignment="1">
      <alignment horizontal="right" vertical="top" indent="1"/>
    </xf>
    <xf numFmtId="15" fontId="0" fillId="0" borderId="28" xfId="0" applyNumberFormat="1" applyBorder="1" applyAlignment="1">
      <alignment horizontal="right" vertical="top" indent="1"/>
    </xf>
    <xf numFmtId="0" fontId="24" fillId="36" borderId="31" xfId="0" applyFont="1" applyFill="1" applyBorder="1" applyAlignment="1">
      <alignment horizontal="center" vertical="center"/>
    </xf>
    <xf numFmtId="0" fontId="24" fillId="40" borderId="31" xfId="0" applyFont="1" applyFill="1" applyBorder="1" applyAlignment="1">
      <alignment horizontal="center" vertical="center"/>
    </xf>
    <xf numFmtId="0" fontId="14" fillId="52" borderId="60" xfId="0" applyFont="1" applyFill="1" applyBorder="1" applyAlignment="1">
      <alignment horizontal="left" vertical="center" wrapText="1"/>
    </xf>
    <xf numFmtId="0" fontId="14" fillId="52" borderId="61" xfId="0" applyFont="1" applyFill="1" applyBorder="1" applyAlignment="1">
      <alignment horizontal="left" vertical="center" wrapText="1"/>
    </xf>
    <xf numFmtId="0" fontId="29" fillId="39" borderId="28" xfId="0" applyFont="1" applyFill="1" applyBorder="1" applyAlignment="1">
      <alignment horizontal="center" vertical="center" wrapText="1"/>
    </xf>
    <xf numFmtId="0" fontId="29" fillId="39" borderId="31" xfId="0" applyFont="1" applyFill="1" applyBorder="1" applyAlignment="1">
      <alignment horizontal="left" vertical="center" wrapText="1" indent="1"/>
    </xf>
    <xf numFmtId="0" fontId="29" fillId="39" borderId="49" xfId="0" applyFont="1" applyFill="1" applyBorder="1" applyAlignment="1">
      <alignment horizontal="left" vertical="center" wrapText="1" indent="1"/>
    </xf>
    <xf numFmtId="0" fontId="13" fillId="42" borderId="28" xfId="0" applyFont="1" applyFill="1" applyBorder="1" applyAlignment="1">
      <alignment horizontal="center" vertical="center" wrapText="1"/>
    </xf>
    <xf numFmtId="0" fontId="29" fillId="39" borderId="28" xfId="0" applyFont="1" applyFill="1" applyBorder="1" applyAlignment="1">
      <alignment horizontal="left" vertical="center" wrapText="1" indent="1"/>
    </xf>
    <xf numFmtId="0" fontId="25" fillId="0" borderId="10" xfId="0" applyFont="1" applyBorder="1" applyAlignment="1">
      <alignment horizontal="left" vertical="center" wrapText="1" indent="1"/>
    </xf>
    <xf numFmtId="0" fontId="13" fillId="47" borderId="38" xfId="0" applyFont="1" applyFill="1" applyBorder="1" applyAlignment="1">
      <alignment horizontal="left" vertical="center" indent="1"/>
    </xf>
    <xf numFmtId="0" fontId="13" fillId="47" borderId="0" xfId="0" applyFont="1" applyFill="1" applyAlignment="1">
      <alignment horizontal="left" vertical="center" indent="1"/>
    </xf>
    <xf numFmtId="0" fontId="54" fillId="0" borderId="10" xfId="0" applyFont="1" applyBorder="1" applyAlignment="1">
      <alignment horizontal="left" vertical="center" wrapText="1" indent="1"/>
    </xf>
    <xf numFmtId="0" fontId="52" fillId="0" borderId="10" xfId="0" applyFont="1" applyBorder="1" applyAlignment="1">
      <alignment horizontal="left" vertical="center" wrapText="1" indent="1"/>
    </xf>
    <xf numFmtId="0" fontId="13" fillId="47" borderId="31" xfId="0" applyFont="1" applyFill="1" applyBorder="1" applyAlignment="1">
      <alignment horizontal="left" vertical="center" indent="1"/>
    </xf>
    <xf numFmtId="0" fontId="13" fillId="47" borderId="49" xfId="0" applyFont="1" applyFill="1" applyBorder="1" applyAlignment="1">
      <alignment horizontal="left" vertical="center" indent="1"/>
    </xf>
    <xf numFmtId="0" fontId="13" fillId="48" borderId="32" xfId="0" applyFont="1" applyFill="1" applyBorder="1" applyAlignment="1">
      <alignment horizontal="center" vertical="center"/>
    </xf>
    <xf numFmtId="0" fontId="13" fillId="48" borderId="34"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Currency 2" xfId="43" xr:uid="{00000000-0005-0000-0000-00001C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0">
    <dxf>
      <alignment horizontal="right" readingOrder="0"/>
    </dxf>
    <dxf>
      <alignment horizontal="right" readingOrder="0"/>
    </dxf>
    <dxf>
      <alignment horizontal="right" readingOrder="0"/>
    </dxf>
    <dxf>
      <fill>
        <patternFill>
          <bgColor rgb="FFFF0000"/>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alignment horizontal="right" readingOrder="0"/>
    </dxf>
    <dxf>
      <alignment horizontal="right" readingOrder="0"/>
    </dxf>
    <dxf>
      <fill>
        <patternFill patternType="solid">
          <bgColor theme="8" tint="-0.499984740745262"/>
        </patternFill>
      </fill>
    </dxf>
    <dxf>
      <fill>
        <patternFill patternType="solid">
          <bgColor theme="8" tint="-0.499984740745262"/>
        </patternFill>
      </fill>
    </dxf>
    <dxf>
      <fill>
        <patternFill patternType="solid">
          <bgColor theme="8" tint="-0.499984740745262"/>
        </patternFill>
      </fill>
    </dxf>
    <dxf>
      <fill>
        <patternFill patternType="solid">
          <bgColor theme="8" tint="-0.499984740745262"/>
        </patternFill>
      </fill>
    </dxf>
    <dxf>
      <fill>
        <patternFill patternType="solid">
          <bgColor theme="8" tint="-0.499984740745262"/>
        </patternFill>
      </fill>
    </dxf>
    <dxf>
      <alignment horizontal="right" readingOrder="0"/>
    </dxf>
    <dxf>
      <alignment horizontal="right" readingOrder="0"/>
    </dxf>
    <dxf>
      <alignment horizontal="right" readingOrder="0"/>
    </dxf>
    <dxf>
      <alignment horizontal="right" readingOrder="0"/>
    </dxf>
    <dxf>
      <fill>
        <patternFill patternType="solid">
          <bgColor theme="8" tint="-0.499984740745262"/>
        </patternFill>
      </fill>
    </dxf>
    <dxf>
      <fill>
        <patternFill patternType="solid">
          <bgColor theme="8" tint="-0.499984740745262"/>
        </patternFill>
      </fill>
    </dxf>
    <dxf>
      <fill>
        <patternFill patternType="solid">
          <bgColor theme="8" tint="-0.499984740745262"/>
        </patternFill>
      </fill>
    </dxf>
    <dxf>
      <fill>
        <patternFill patternType="solid">
          <bgColor theme="8" tint="-0.499984740745262"/>
        </patternFill>
      </fill>
    </dxf>
    <dxf>
      <alignment horizontal="right" readingOrder="0"/>
    </dxf>
    <dxf>
      <alignment horizontal="right" readingOrder="0"/>
    </dxf>
    <dxf>
      <fill>
        <patternFill patternType="solid">
          <bgColor theme="8" tint="-0.499984740745262"/>
        </patternFill>
      </fill>
    </dxf>
    <dxf>
      <fill>
        <patternFill patternType="solid">
          <bgColor theme="8" tint="-0.499984740745262"/>
        </patternFill>
      </fill>
    </dxf>
    <dxf>
      <fill>
        <patternFill patternType="solid">
          <bgColor theme="8" tint="-0.499984740745262"/>
        </patternFill>
      </fill>
    </dxf>
    <dxf>
      <fill>
        <patternFill patternType="solid">
          <bgColor theme="8" tint="-0.499984740745262"/>
        </patternFill>
      </fill>
    </dxf>
    <dxf>
      <fill>
        <patternFill patternType="solid">
          <bgColor theme="8" tint="-0.499984740745262"/>
        </patternFill>
      </fill>
    </dxf>
    <dxf>
      <alignment horizontal="right" readingOrder="0"/>
    </dxf>
    <dxf>
      <alignment horizontal="right" readingOrder="0"/>
    </dxf>
    <dxf>
      <fill>
        <patternFill patternType="solid">
          <fgColor indexed="64"/>
          <bgColor theme="8" tint="-0.499984740745262"/>
        </patternFill>
      </fill>
    </dxf>
    <dxf>
      <fill>
        <patternFill patternType="solid">
          <bgColor theme="8" tint="-0.499984740745262"/>
        </patternFill>
      </fill>
    </dxf>
    <dxf>
      <fill>
        <patternFill patternType="solid">
          <bgColor theme="8" tint="-0.499984740745262"/>
        </patternFill>
      </fill>
    </dxf>
    <dxf>
      <fill>
        <patternFill patternType="solid">
          <bgColor theme="8" tint="-0.499984740745262"/>
        </patternFill>
      </fill>
    </dxf>
    <dxf>
      <fill>
        <patternFill patternType="solid">
          <bgColor theme="8" tint="-0.499984740745262"/>
        </patternFill>
      </fill>
    </dxf>
    <dxf>
      <font>
        <color rgb="FF000000"/>
      </font>
    </dxf>
    <dxf>
      <font>
        <color rgb="FF000000"/>
      </font>
    </dxf>
    <dxf>
      <font>
        <color rgb="FF000000"/>
      </font>
    </dxf>
    <dxf>
      <font>
        <color rgb="FF000000"/>
      </font>
    </dxf>
    <dxf>
      <font>
        <color rgb="FF000000"/>
      </font>
    </dxf>
    <dxf>
      <font>
        <color rgb="FF000000"/>
      </font>
    </dxf>
    <dxf>
      <fill>
        <patternFill patternType="solid">
          <fgColor indexed="64"/>
          <bgColor theme="8" tint="-0.499984740745262"/>
        </patternFill>
      </fill>
    </dxf>
    <dxf>
      <fill>
        <patternFill patternType="solid">
          <bgColor theme="8" tint="-0.499984740745262"/>
        </patternFill>
      </fill>
    </dxf>
    <dxf>
      <fill>
        <patternFill patternType="solid">
          <bgColor theme="8" tint="-0.499984740745262"/>
        </patternFill>
      </fill>
    </dxf>
    <dxf>
      <fill>
        <patternFill patternType="solid">
          <bgColor theme="8" tint="-0.499984740745262"/>
        </patternFill>
      </fill>
    </dxf>
    <dxf>
      <fill>
        <patternFill patternType="solid">
          <bgColor theme="8" tint="-0.499984740745262"/>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border>
        <bottom style="thin">
          <color indexed="64"/>
        </bottom>
      </border>
    </dxf>
    <dxf>
      <border>
        <bottom style="thin">
          <color indexed="64"/>
        </bottom>
      </border>
    </dxf>
    <dxf>
      <alignment wrapText="1"/>
    </dxf>
    <dxf>
      <alignment horizontal="center"/>
    </dxf>
    <dxf>
      <alignment vertical="center"/>
    </dxf>
    <dxf>
      <alignment wrapText="1"/>
    </dxf>
    <dxf>
      <fill>
        <patternFill>
          <bgColor theme="0"/>
        </patternFill>
      </fill>
    </dxf>
    <dxf>
      <fill>
        <patternFill>
          <bgColor theme="0"/>
        </patternFill>
      </fill>
    </dxf>
    <dxf>
      <fill>
        <patternFill>
          <bgColor theme="0"/>
        </patternFill>
      </fill>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border>
        <bottom style="thin">
          <color indexed="64"/>
        </bottom>
      </border>
    </dxf>
    <dxf>
      <border>
        <bottom style="thin">
          <color indexed="64"/>
        </bottom>
      </border>
    </dxf>
    <dxf>
      <alignment wrapText="1"/>
    </dxf>
    <dxf>
      <alignment horizontal="center"/>
    </dxf>
    <dxf>
      <alignment vertical="center"/>
    </dxf>
    <dxf>
      <alignment wrapText="1"/>
    </dxf>
    <dxf>
      <font>
        <b val="0"/>
        <i val="0"/>
        <strike val="0"/>
        <condense val="0"/>
        <extend val="0"/>
        <outline val="0"/>
        <shadow val="0"/>
        <u val="none"/>
        <vertAlign val="baseline"/>
        <sz val="11"/>
        <color theme="1"/>
        <name val="Calibri"/>
        <family val="2"/>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border diagonalUp="0" diagonalDown="0" outline="0">
        <left style="thin">
          <color indexed="64"/>
        </left>
        <right style="thin">
          <color indexed="64"/>
        </right>
        <top/>
        <bottom/>
      </border>
    </dxf>
    <dxf>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border diagonalUp="0" diagonalDown="0" outline="0">
        <left style="thin">
          <color indexed="64"/>
        </left>
        <right style="thin">
          <color indexed="64"/>
        </right>
        <top/>
        <bottom/>
      </border>
    </dxf>
    <dxf>
      <fill>
        <patternFill>
          <bgColor theme="7" tint="0.79998168889431442"/>
        </patternFill>
      </fill>
    </dxf>
    <dxf>
      <fill>
        <patternFill>
          <bgColor theme="7" tint="0.79998168889431442"/>
        </patternFill>
      </fill>
    </dxf>
    <dxf>
      <fill>
        <patternFill>
          <bgColor theme="7" tint="0.79998168889431442"/>
        </patternFill>
      </fill>
    </dxf>
    <dxf>
      <alignment textRotation="45"/>
    </dxf>
    <dxf>
      <alignment textRotation="45"/>
    </dxf>
    <dxf>
      <numFmt numFmtId="21" formatCode="dd\-mmm"/>
      <alignment horizontal="center" vertical="bottom" textRotation="0" wrapText="0" indent="0" justifyLastLine="0" shrinkToFit="0" readingOrder="0"/>
      <border diagonalUp="0" diagonalDown="0">
        <left style="thin">
          <color theme="8" tint="-0.249977111117893"/>
        </left>
        <right style="thin">
          <color theme="8" tint="-0.249977111117893"/>
        </right>
        <top style="thin">
          <color theme="8" tint="-0.249977111117893"/>
        </top>
        <bottom style="thin">
          <color theme="8" tint="-0.249977111117893"/>
        </bottom>
        <vertical/>
        <horizontal/>
      </border>
      <protection locked="0" hidden="0"/>
    </dxf>
    <dxf>
      <numFmt numFmtId="21" formatCode="dd\-mmm"/>
      <alignment horizontal="center" vertical="bottom" textRotation="0" wrapText="0" indent="0" justifyLastLine="0" shrinkToFit="0" readingOrder="0"/>
      <border diagonalUp="0" diagonalDown="0">
        <left style="thin">
          <color theme="8" tint="-0.249977111117893"/>
        </left>
        <right style="thin">
          <color theme="8" tint="-0.249977111117893"/>
        </right>
        <top style="thin">
          <color theme="8" tint="-0.249977111117893"/>
        </top>
        <bottom style="thin">
          <color theme="8" tint="-0.249977111117893"/>
        </bottom>
        <vertical/>
        <horizontal/>
      </border>
      <protection locked="0" hidden="0"/>
    </dxf>
    <dxf>
      <alignment horizontal="center" vertical="bottom"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2"/>
        <color theme="0"/>
        <name val="Calibri"/>
        <family val="2"/>
        <scheme val="minor"/>
      </font>
      <fill>
        <patternFill patternType="solid">
          <fgColor theme="1"/>
          <bgColor theme="8" tint="-0.249977111117893"/>
        </patternFill>
      </fill>
      <alignment horizontal="general" vertical="top" textRotation="0" wrapText="0" indent="0" justifyLastLine="0" shrinkToFit="0" readingOrder="0"/>
      <border diagonalUp="0" diagonalDown="0" outline="0">
        <left style="thin">
          <color theme="8" tint="-0.249977111117893"/>
        </left>
        <right style="thin">
          <color theme="8" tint="-0.249977111117893"/>
        </right>
        <top/>
        <bottom/>
      </bord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s>
  <tableStyles count="0" defaultTableStyle="TableStyleMedium2" defaultPivotStyle="PivotStyleLight16"/>
  <colors>
    <mruColors>
      <color rgb="FF363636"/>
      <color rgb="FF001B50"/>
      <color rgb="FF263C18"/>
      <color rgb="FF600000"/>
      <color rgb="FF2E1504"/>
      <color rgb="FF672F0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2.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openxmlformats.org/officeDocument/2006/relationships/sharedStrings" Target="sharedStrings.xml"/><Relationship Id="rId47" Type="http://schemas.microsoft.com/office/2017/06/relationships/rdSupportingPropertyBagStructure" Target="richData/rdsupportingpropertybagstructure.xml"/><Relationship Id="rId50" Type="http://schemas.openxmlformats.org/officeDocument/2006/relationships/calcChain" Target="calcChain.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openxmlformats.org/officeDocument/2006/relationships/theme" Target="theme/theme1.xml"/><Relationship Id="rId45" Type="http://schemas.microsoft.com/office/2017/06/relationships/rdRichValueStructure" Target="richData/rdrichvaluestructure.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microsoft.com/office/2017/06/relationships/rdRichValue" Target="richData/rdrichvalue.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sheetMetadata" Target="metadata.xml"/><Relationship Id="rId48" Type="http://schemas.microsoft.com/office/2017/06/relationships/rdSupportingPropertyBag" Target="richData/rdsupportingpropertybag.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11206</xdr:colOff>
      <xdr:row>147</xdr:row>
      <xdr:rowOff>134471</xdr:rowOff>
    </xdr:from>
    <xdr:to>
      <xdr:col>5</xdr:col>
      <xdr:colOff>1837278</xdr:colOff>
      <xdr:row>174</xdr:row>
      <xdr:rowOff>139203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a:stretch>
          <a:fillRect/>
        </a:stretch>
      </xdr:blipFill>
      <xdr:spPr>
        <a:xfrm>
          <a:off x="392206" y="22871206"/>
          <a:ext cx="5681382" cy="5148232"/>
        </a:xfrm>
        <a:prstGeom prst="rect">
          <a:avLst/>
        </a:prstGeom>
      </xdr:spPr>
    </xdr:pic>
    <xdr:clientData/>
  </xdr:twoCellAnchor>
  <xdr:twoCellAnchor editAs="oneCell">
    <xdr:from>
      <xdr:col>2</xdr:col>
      <xdr:colOff>19050</xdr:colOff>
      <xdr:row>30</xdr:row>
      <xdr:rowOff>142875</xdr:rowOff>
    </xdr:from>
    <xdr:to>
      <xdr:col>4</xdr:col>
      <xdr:colOff>1680956</xdr:colOff>
      <xdr:row>58</xdr:row>
      <xdr:rowOff>34548</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a:stretch>
          <a:fillRect/>
        </a:stretch>
      </xdr:blipFill>
      <xdr:spPr>
        <a:xfrm>
          <a:off x="400050" y="5057775"/>
          <a:ext cx="3495675" cy="3939798"/>
        </a:xfrm>
        <a:prstGeom prst="rect">
          <a:avLst/>
        </a:prstGeom>
      </xdr:spPr>
    </xdr:pic>
    <xdr:clientData/>
  </xdr:twoCellAnchor>
  <xdr:twoCellAnchor editAs="oneCell">
    <xdr:from>
      <xdr:col>2</xdr:col>
      <xdr:colOff>38100</xdr:colOff>
      <xdr:row>205</xdr:row>
      <xdr:rowOff>57150</xdr:rowOff>
    </xdr:from>
    <xdr:to>
      <xdr:col>4</xdr:col>
      <xdr:colOff>717873</xdr:colOff>
      <xdr:row>212</xdr:row>
      <xdr:rowOff>152400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419100" y="32404050"/>
          <a:ext cx="2513542" cy="1428750"/>
        </a:xfrm>
        <a:prstGeom prst="rect">
          <a:avLst/>
        </a:prstGeom>
      </xdr:spPr>
    </xdr:pic>
    <xdr:clientData/>
  </xdr:twoCellAnchor>
  <xdr:twoCellAnchor editAs="oneCell">
    <xdr:from>
      <xdr:col>2</xdr:col>
      <xdr:colOff>28575</xdr:colOff>
      <xdr:row>227</xdr:row>
      <xdr:rowOff>85725</xdr:rowOff>
    </xdr:from>
    <xdr:to>
      <xdr:col>2</xdr:col>
      <xdr:colOff>1584876</xdr:colOff>
      <xdr:row>229</xdr:row>
      <xdr:rowOff>123825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409575" y="36518850"/>
          <a:ext cx="1552574" cy="419100"/>
        </a:xfrm>
        <a:prstGeom prst="rect">
          <a:avLst/>
        </a:prstGeom>
      </xdr:spPr>
    </xdr:pic>
    <xdr:clientData/>
  </xdr:twoCellAnchor>
  <xdr:twoCellAnchor editAs="oneCell">
    <xdr:from>
      <xdr:col>2</xdr:col>
      <xdr:colOff>38100</xdr:colOff>
      <xdr:row>201</xdr:row>
      <xdr:rowOff>95250</xdr:rowOff>
    </xdr:from>
    <xdr:to>
      <xdr:col>2</xdr:col>
      <xdr:colOff>1594208</xdr:colOff>
      <xdr:row>203</xdr:row>
      <xdr:rowOff>133298</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a:stretch>
          <a:fillRect/>
        </a:stretch>
      </xdr:blipFill>
      <xdr:spPr>
        <a:xfrm>
          <a:off x="419100" y="31680150"/>
          <a:ext cx="1552381" cy="419048"/>
        </a:xfrm>
        <a:prstGeom prst="rect">
          <a:avLst/>
        </a:prstGeom>
      </xdr:spPr>
    </xdr:pic>
    <xdr:clientData/>
  </xdr:twoCellAnchor>
  <xdr:twoCellAnchor editAs="oneCell">
    <xdr:from>
      <xdr:col>2</xdr:col>
      <xdr:colOff>47625</xdr:colOff>
      <xdr:row>231</xdr:row>
      <xdr:rowOff>95250</xdr:rowOff>
    </xdr:from>
    <xdr:to>
      <xdr:col>4</xdr:col>
      <xdr:colOff>1061475</xdr:colOff>
      <xdr:row>238</xdr:row>
      <xdr:rowOff>47464</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6"/>
        <a:stretch>
          <a:fillRect/>
        </a:stretch>
      </xdr:blipFill>
      <xdr:spPr>
        <a:xfrm>
          <a:off x="428625" y="37290375"/>
          <a:ext cx="2847619" cy="1285714"/>
        </a:xfrm>
        <a:prstGeom prst="rect">
          <a:avLst/>
        </a:prstGeom>
      </xdr:spPr>
    </xdr:pic>
    <xdr:clientData/>
  </xdr:twoCellAnchor>
  <xdr:twoCellAnchor editAs="oneCell">
    <xdr:from>
      <xdr:col>2</xdr:col>
      <xdr:colOff>47625</xdr:colOff>
      <xdr:row>127</xdr:row>
      <xdr:rowOff>38100</xdr:rowOff>
    </xdr:from>
    <xdr:to>
      <xdr:col>7</xdr:col>
      <xdr:colOff>336653</xdr:colOff>
      <xdr:row>140</xdr:row>
      <xdr:rowOff>66362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7"/>
        <a:stretch>
          <a:fillRect/>
        </a:stretch>
      </xdr:blipFill>
      <xdr:spPr>
        <a:xfrm>
          <a:off x="428625" y="19126200"/>
          <a:ext cx="10219048" cy="25047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762000</xdr:colOff>
          <xdr:row>1</xdr:row>
          <xdr:rowOff>99060</xdr:rowOff>
        </xdr:from>
        <xdr:to>
          <xdr:col>10</xdr:col>
          <xdr:colOff>0</xdr:colOff>
          <xdr:row>1</xdr:row>
          <xdr:rowOff>632460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2600" b="1" i="0" u="none" strike="noStrike" baseline="0">
                  <a:solidFill>
                    <a:srgbClr val="000000"/>
                  </a:solidFill>
                  <a:latin typeface="Calibri"/>
                  <a:ea typeface="Calibri"/>
                  <a:cs typeface="Calibri"/>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685800</xdr:colOff>
          <xdr:row>1</xdr:row>
          <xdr:rowOff>99060</xdr:rowOff>
        </xdr:from>
        <xdr:to>
          <xdr:col>11</xdr:col>
          <xdr:colOff>1470660</xdr:colOff>
          <xdr:row>1</xdr:row>
          <xdr:rowOff>632460</xdr:rowOff>
        </xdr:to>
        <xdr:sp macro="" textlink="">
          <xdr:nvSpPr>
            <xdr:cNvPr id="13314" name="Button 2" descr="CLEAR DATA" hidden="1">
              <a:extLst>
                <a:ext uri="{63B3BB69-23CF-44E3-9099-C40C66FF867C}">
                  <a14:compatExt spid="_x0000_s13314"/>
                </a:ext>
                <a:ext uri="{FF2B5EF4-FFF2-40B4-BE49-F238E27FC236}">
                  <a16:creationId xmlns:a16="http://schemas.microsoft.com/office/drawing/2014/main" id="{00000000-0008-0000-1500-0000023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2600" b="1" i="0" u="none" strike="noStrike" baseline="0">
                  <a:solidFill>
                    <a:srgbClr val="FF0000"/>
                  </a:solidFill>
                  <a:latin typeface="Calibri"/>
                  <a:ea typeface="Calibri"/>
                  <a:cs typeface="Calibri"/>
                </a:rPr>
                <a:t>CLEAR DATA</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Techo" id="{D6EBE357-E67E-4B05-9938-F03A96A77BB8}">
    <nsvFilter filterId="{00000000-0001-0000-0200-000000000000}" ref="A2:X484" tableId="0">
      <columnFilter colId="10">
        <filter colId="10">
          <x:filters>
            <x:filter val="1"/>
            <x:filter val="2"/>
            <x:filter val="3"/>
            <x:filter val="4"/>
            <x:filter val="6"/>
            <x:filter val="8"/>
          </x:filters>
        </filter>
      </columnFilter>
      <columnFilter colId="15">
        <filter colId="15">
          <x:filters>
            <x:filter val="Bogota Techo"/>
          </x:filters>
        </filter>
      </columnFilter>
    </nsvFilter>
  </namedSheetView>
</namedSheetViews>
</file>

<file path=xl/pivotCache/_rels/pivotCacheDefinition1.xml.rels><?xml version="1.0" encoding="UTF-8" standalone="yes"?>
<Relationships xmlns="http://schemas.openxmlformats.org/package/2006/relationships"><Relationship Id="rId2" Type="http://schemas.openxmlformats.org/officeDocument/2006/relationships/externalLinkPath" Target="https://fifa.sharepoint.com/sites/ECO-TCE/FU20WWC2024%20Colombia/Internal/03%20Planning/TEAP/FU20WWC2024_TEAP0.9_shared%20with%20LOC.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richPivotRecords" Target="richPivotRecords1.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ter, Tony (FIFA)" refreshedDate="45665.569164236113" createdVersion="6" refreshedVersion="8" minRefreshableVersion="3" recordCount="28" xr:uid="{00000000-000A-0000-FFFF-FFFF73000000}">
  <cacheSource type="worksheet">
    <worksheetSource ref="A2:Q30" sheet="TEAP Data Entry" r:id="rId2"/>
  </cacheSource>
  <cacheFields count="17">
    <cacheField name="Code" numFmtId="0">
      <sharedItems containsBlank="1" count="70">
        <s v="CAB02M"/>
        <s v="CAB05M"/>
        <s v="PRTACS"/>
        <s v="IS00WF"/>
        <s v="DSKMNT"/>
        <s v="WRDSTA"/>
        <s v="TVSTND"/>
        <s v="TVLGIP"/>
        <s v="MFDDNW"/>
        <s v="WRDGEN"/>
        <s v="IS00WS"/>
        <s v="WRDMED"/>
        <s v="TVSMRF"/>
        <s v="WRDPHO"/>
        <s v="ITSIBU"/>
        <s v="ITSR4G" u="1"/>
        <s v="ITSS08" u="1"/>
        <s v="LAPACR" u="1"/>
        <s v="CABLOK" u="1"/>
        <s v="USB4PT" u="1"/>
        <s v="ACCMSE" u="1"/>
        <s v="CAM001" u="1"/>
        <s v="POWADP" u="1"/>
        <s v="POWBAR" u="1"/>
        <s v="POWEXT" u="1"/>
        <s v="LAPEVT" u="1"/>
        <s v="LAPPRE" u="1"/>
        <s v="WRDSTR" u="1"/>
        <s v="WRDSTU" u="1"/>
        <m u="1"/>
        <s v="WRDACS" u="1"/>
        <s v="ITSPOE" u="1"/>
        <s v="IS0050" u="1"/>
        <s v="ITSWAP" u="1"/>
        <s v="EQPKST" u="1"/>
        <s v="CTGACR" u="1"/>
        <s v="TABP4G" u="1"/>
        <s v="TVSMIP" u="1"/>
        <s v="TLBXST" u="1"/>
        <s v="ITSSAT" u="1"/>
        <s v="WRDFTI" u="1"/>
        <s v="PRTBNW" u="1"/>
        <s v="ITSFHQ" u="1"/>
        <s v="WRDTMB" u="1"/>
        <s v="PRTBSA" u="1"/>
        <s v="WDF020" u="1"/>
        <s v="PROJ6K" u="1"/>
        <s v="KEYGER" u="1"/>
        <s v="MFDLNW" u="1"/>
        <s v="TVLGRF" u="1"/>
        <s v="AUDUSB" u="1"/>
        <s v="WDF100" u="1"/>
        <s v="EQPKHQ" u="1"/>
        <s v="TVMDIP" u="1"/>
        <s v="WRDTMA" u="1"/>
        <s v="SIMDOM" u="1"/>
        <s v="PRTACR+" u="1"/>
        <s v="SIMDAT" u="1"/>
        <s v="TLBXHQ" u="1"/>
        <s v="WRDFIF" u="1"/>
        <s v="WRDTSG" u="1"/>
        <s v="TRA001" u="1"/>
        <s v="ISCOM5" u="1"/>
        <s v="TELVPI" u="1"/>
        <s v="IS0100" u="1"/>
        <s v="TELMOB" u="1"/>
        <s v="SIMINT" u="1"/>
        <s v="IS100F" u="1"/>
        <s v="PORSPE" u="1"/>
        <s v="TVMDSA" u="1"/>
      </sharedItems>
    </cacheField>
    <cacheField name="FP Name" numFmtId="0">
      <sharedItems containsBlank="1" count="74">
        <s v="Patch Cable - 2m"/>
        <s v="Patch Cable - 5m"/>
        <s v="Printer - Accreditation - Small"/>
        <s v="Wireless coverage - Shared Internet Service - Wi-Fi FIFA"/>
        <s v="22&quot; Monitor - HDMI/DP"/>
        <s v="Wired Port - ACR-TKT-Ipcodec"/>
        <s v="TV Stand - Medium &amp; Large TVs"/>
        <s v="TV - Large - IPTV"/>
        <s v="MFD Desktop - Colour - A4 - Network"/>
        <s v="Wired Port - General Internet "/>
        <s v="Wireless coverage - Shared Internet Service - Wi-Fi FOOTBALL"/>
        <s v="Wired Port - Media Internet"/>
        <s v="TV - Small - Media Tribunes - RF Distro"/>
        <s v="Wired Port - Photographers"/>
        <s v="IT Solution - 4G Internet backup "/>
        <s v="IT Solution - Router + 4G" u="1"/>
        <s v="IT Solution - Unmanaged Switch 8-Port" u="1"/>
        <s v="Laptop - FIFA Accreditation Build" u="1"/>
        <s v="Laptop Cable Lock" u="1"/>
        <s v="USB Hub - 4-port" u="1"/>
        <s v="USB Mouse" u="1"/>
        <s v="Webcam" u="1"/>
        <s v="Power Adapter - Swiss to Local" u="1"/>
        <s v="Power Bar - 6-Socket - 2m (Swiss)" u="1"/>
        <s v="Electrical Extension Cord - 5m (Swiss)" u="1"/>
        <s v="Laptop - FIFA Event Build" u="1"/>
        <s v="Laptop - Presentation Build" u="1"/>
        <s v="Wired Port - Stream &amp; World feed" u="1"/>
        <s v="Wired Port - Studio and Digital" u="1"/>
        <s v="" u="1"/>
        <m u="1"/>
        <s v="TV - Large - RF Distro" u="1"/>
        <s v="Printer - B&amp;W A4 - Network" u="1"/>
        <s v="IT Solution - Wireless Access Point" u="1"/>
        <s v="SIM - International" u="1"/>
        <s v="Printer - B&amp;W - A4 - Standalone" u="1"/>
        <s v="SIM - Data Only" u="1"/>
        <s v="Audio transformer SDI to USB" u="1"/>
        <s v="ACR Printer Cartridge Set (CMYB)" u="1"/>
        <s v="Event Technology Stadium Equipment Pack" u="1"/>
        <s v="Office Projector - 6K" u="1"/>
        <s v="Step-down Transformer (240v to 110v)" u="1"/>
        <s v="Wired Port - 100Mbps - guaranteed" u="1"/>
        <s v="Event Technology HQ Tool Box" u="1"/>
        <s v="Wired port- Access control" u="1"/>
        <s v="Wired Port - FTI" u="1"/>
        <s v="SIM - Domestic" u="1"/>
        <s v="IT Solution - FIFA HQ" u="1"/>
        <s v="Wired Port - Internet" u="1"/>
        <s v="Internet Service - 5Mbps - Static Public IP - Commentary Audio" u="1"/>
        <s v="IT Solution - Satellite " u="1"/>
        <s v="Wired Port - FIFA Systems" u="1"/>
        <s v="MFD Large - Colour - A3 - Network" u="1"/>
        <s v="Telephone - Mobile - Smart Phone" u="1"/>
        <s v="Telephone - VoIP - International Calling" u="1"/>
        <s v="Tablet - FIFA Professional Tablet + 4G" u="1"/>
        <s v="Keyboard - German Layout" u="1"/>
        <s v="Wired Port - Team A" u="1"/>
        <s v="TV - Medium - Standalone" u="1"/>
        <s v="Keyboard" u="1"/>
        <s v="Printer - Accreditation + Plastic" u="1"/>
        <s v="Wired Port - TSG" u="1"/>
        <s v="Wired Port - Team B" u="1"/>
        <s v="Event Technology HQ Equipment Pack" u="1"/>
        <s v="TV - Small - Media Tribunes - IPTV" u="1"/>
        <s v="Internet Service - 50Mbps" u="1"/>
        <s v="IT Solution - PoE Injector" u="1"/>
        <s v="Internet Service - 100Mbps - Static Public IP" u="1"/>
        <s v="TV - Medium - IPTV" u="1"/>
        <s v="Internet Service - 100Mbps" u="1"/>
        <s v="Event Technology Stadium Tool Box" u="1"/>
        <s v="Portable Speaker" u="1"/>
        <s v="Tripot" u="1"/>
        <s v="Wired Port - 20Mbps - guaranteed" u="1"/>
      </sharedItems>
    </cacheField>
    <cacheField name="Category" numFmtId="0">
      <sharedItems containsBlank="1" count="12">
        <s v="Peripherals"/>
        <s v="Reprographics"/>
        <s v="Network &amp; Connectivity"/>
        <s v="CATV"/>
        <s v="FIFA IT Network Solutions"/>
        <s v="FIFA IT Hardware" u="1"/>
        <s v="" u="1"/>
        <m u="1"/>
        <s v="Telephony" u="1"/>
        <s v="Print Consumables" u="1"/>
        <s v="Display Devices" u="1"/>
        <s v="Audio" u="1"/>
      </sharedItems>
    </cacheField>
    <cacheField name="Internet Access Service" numFmtId="0">
      <sharedItems/>
    </cacheField>
    <cacheField name="Technology Product / Service" numFmtId="0">
      <sharedItems/>
    </cacheField>
    <cacheField name="Quantity" numFmtId="0">
      <sharedItems containsSemiMixedTypes="0" containsString="0" containsNumber="1" containsInteger="1" minValue="0" maxValue="5"/>
    </cacheField>
    <cacheField name="Network Drops" numFmtId="0">
      <sharedItems containsSemiMixedTypes="0" containsString="0" containsNumber="1" containsInteger="1" minValue="0" maxValue="4"/>
    </cacheField>
    <cacheField name="SIM Cards" numFmtId="0">
      <sharedItems containsSemiMixedTypes="0" containsString="0" containsNumber="1" containsInteger="1" minValue="0" maxValue="4"/>
    </cacheField>
    <cacheField name="Quantity2" numFmtId="0">
      <sharedItems containsSemiMixedTypes="0" containsString="0" containsNumber="1" containsInteger="1" minValue="1" maxValue="5"/>
    </cacheField>
    <cacheField name="Network Drops2" numFmtId="0">
      <sharedItems containsSemiMixedTypes="0" containsString="0" containsNumber="1" containsInteger="1" minValue="0" maxValue="4"/>
    </cacheField>
    <cacheField name="SIM Cards2" numFmtId="0">
      <sharedItems containsSemiMixedTypes="0" containsString="0" containsNumber="1" containsInteger="1" minValue="0" maxValue="4"/>
    </cacheField>
    <cacheField name="Provided by" numFmtId="0">
      <sharedItems containsBlank="1" count="3">
        <s v="LOC IT"/>
        <s v="FIFA Event Technology" u="1"/>
        <m u="1"/>
      </sharedItems>
    </cacheField>
    <cacheField name="Venue" numFmtId="0">
      <sharedItems containsBlank="1" count="26">
        <s v="Bogota Campin"/>
        <s v="JKT Jakarta" u="1"/>
        <m u="1"/>
        <s v="VIP Hotel Ritz Carlton" u="1"/>
        <s v="Team Hotel 1" u="1"/>
        <s v="REF Basecamp Assila Hotel" u="1"/>
        <s v="Bali (Stadium)" u="1"/>
        <s v="PAAF Prince Abdullah Al Faisal Stadium" u="1"/>
        <s v="Estadio Nacional" u="1"/>
        <s v="Jakarta (Stadium)" u="1"/>
        <s v="Training Site 1" u="1"/>
        <s v="Team Hotel 3" u="1"/>
        <s v="Estadio Alejandro Morera Soto" u="1"/>
        <s v="KASC King Abdullah Sports City Stadium" u="1"/>
        <s v="Airport CRC" u="1"/>
        <s v="Team Hotel 5" u="1"/>
        <s v="Garage CRC" u="1"/>
        <s v="Ref Basecamp Hotel" u="1"/>
        <s v="Bandung (Stadium)" u="1"/>
        <s v="Team Hotel 2" u="1"/>
        <s v="HQ Office Sports Hall KASC" u="1"/>
        <s v="FIFA Staff Hotel" u="1"/>
        <s v="Airport (Bandung)" u="1"/>
        <s v="FIFA HQ" u="1"/>
        <s v="SBY Surabaya" u="1"/>
        <s v="Team Hotel 4" u="1"/>
      </sharedItems>
    </cacheField>
    <cacheField name="Area" numFmtId="0">
      <sharedItems containsBlank="1" count="23">
        <s v="Stadium Perimeter"/>
        <s v="Competition area"/>
        <s v="Stadium Offices"/>
        <s v="Media Tribunes"/>
        <s v="VIP Lounge"/>
        <s v="Stadium Media Centre"/>
        <s v="Broadcast Compound" u="1"/>
        <m u="1"/>
        <s v="Spare equipment" u="1"/>
        <s v="Operational Spaces" u="1"/>
        <s v="Competition" u="1"/>
        <s v="Press Conference Room" u="1"/>
        <s v="REF training site" u="1"/>
        <s v="FIFA Hotel" u="1"/>
        <s v="Mixed Zone" u="1"/>
        <s v="VOL Centre" u="1"/>
        <s v="Pitch" u="1"/>
        <s v="Comms room" u="1"/>
        <s v="Team Hotel" u="1"/>
        <s v="Pitch " u="1"/>
        <s v="Staff Office" u="1"/>
        <s v="Security Room (VOC)" u="1"/>
        <s v="Main camera platform" u="1"/>
      </sharedItems>
    </cacheField>
    <cacheField name="Space" numFmtId="0">
      <sharedItems containsBlank="1" count="88">
        <s v="Accreditation Centre"/>
        <s v="Doping Control Holding Area"/>
        <s v="Match Director Office"/>
        <s v="Team Dressing Rooms"/>
        <s v="Analysts desk"/>
        <s v="Commentary Tribune"/>
        <s v="Event data speaker workstation"/>
        <s v="VIP Lounge - Protocol Office"/>
        <s v="VIP Lounge"/>
        <s v="Field of Play - LED operator"/>
        <s v="Brand Activation Area"/>
        <s v="Visa Office"/>
        <s v="Media Information / Welcome Desk"/>
        <s v="Youth Programme" u="1"/>
        <s v="FABS Cabin" u="1"/>
        <s v="FIFA Studios" u="1"/>
        <s v="VOL Centre" u="1"/>
        <m u="1"/>
        <s v="FIFA Films" u="1"/>
        <s v="Admin/Operational Office" u="1"/>
        <s v="MCM room" u="1"/>
        <s v="Media Tribune" u="1"/>
        <s v="VAR room" u="1"/>
        <s v="Photographers Positions - Left side" u="1"/>
        <s v="Comms room" u="1"/>
        <s v="FTI Cabin" u="1"/>
        <s v="Team Meeting Room" u="1"/>
        <s v="Written Press Seating" u="1"/>
        <s v="Press Conference Room" u="1"/>
        <s v="Fourth Official bench " u="1"/>
        <s v="FIFA Technology Office" u="1"/>
        <s v="Audio Control Cabin/Room" u="1"/>
        <s v="Fitness Instructors Office" u="1"/>
        <s v="Brand Activation" u="1"/>
        <s v="Accreditation Centre Back Office" u="1"/>
        <s v="FIFA Digital Cabin" u="1"/>
        <s v="Photographers Positions - Right side" u="1"/>
        <s v="Graphics cabin AE life" u="1"/>
        <s v="TOC / MCR" u="1"/>
        <s v="FIFA Logistics" u="1"/>
        <s v="Match Analysts Office" u="1"/>
        <s v="OB Van" u="1"/>
        <s v="FIFA Archiving" u="1"/>
        <s v="FIFA Office" u="1"/>
        <s v="Arrivals &amp; Departures Offices" u="1"/>
        <s v="Tracking Data" u="1"/>
        <s v="ACR Space" u="1"/>
        <s v="ACS Space" u="1"/>
        <s v="Venue Team Office" u="1"/>
        <s v="REF cabins" u="1"/>
        <s v="Competition Space" u="1"/>
        <s v="FIFA Archiving at Qualit control" u="1"/>
        <s v="Offices Venue Team" u="1"/>
        <s v="Operational Spaces" u="1"/>
        <s v="TSG" u="1"/>
        <s v="FIFA +" u="1"/>
        <s v="Changing room A" u="1"/>
        <s v="FIFA staff area" u="1"/>
        <s v="Spare equipment" u="1"/>
        <s v="FIFA Office (Amigo)" u="1"/>
        <s v="Changing room B" u="1"/>
        <s v="Qualitiy Control / WF Transmission" u="1"/>
        <s v="Concession Stands" u="1"/>
        <s v="Players Bench A" u="1"/>
        <s v="MCP Tacktical camera" u="1"/>
        <s v="Security Room (VOC)" u="1"/>
        <s v="Equipment Room &amp; Shading Cabin/Room" u="1"/>
        <s v="Players Bench B" u="1"/>
        <s v="Technical Office" u="1"/>
        <s v="Mixed Zone" u="1"/>
        <s v="OB Van " u="1"/>
        <s v="Optical Tracking" u="1"/>
        <s v="Stadium Media Centre / Lounge" u="1"/>
        <s v="Refereeing Head Office" u="1"/>
        <s v="Photographer Desks" u="1"/>
        <s v="Infotainment Control Room" u="1"/>
        <s v="Highlights" u="1"/>
        <s v="FIFA / HBS  Office" u="1"/>
        <s v="EACS Office" u="1"/>
        <s v="Ticketing Booths" u="1"/>
        <s v="VAR cabin" u="1"/>
        <s v="FIFA Digital" u="1"/>
        <s v="General Coordinator Office" u="1"/>
        <s v="FIFA Photo Positions - Right - 16m line" u="1"/>
        <s v="Stadium Media Centre" u="1"/>
        <s v="Referee Analysts" u="1"/>
        <s v="FIFA Photo Positions - Left - 16m line" u="1"/>
        <s v="FIFA Archiving at TOC" u="1"/>
      </sharedItems>
    </cacheField>
    <cacheField name="FIFA Department" numFmtId="0">
      <sharedItems containsBlank="1" count="22">
        <s v="FIFA Accreditation"/>
        <s v="FIFA Anti Doping"/>
        <s v="FIFA Competitions"/>
        <s v="FIFA Team Services"/>
        <s v="FIFA FTI"/>
        <s v="FIFA TV"/>
        <s v="FIFA Guest Operations"/>
        <s v="FIFA Marketing"/>
        <s v="FIFA Media"/>
        <s v="FIFA Studios" u="1"/>
        <m u="1"/>
        <s v="FIFA Security" u="1"/>
        <s v="FIFA Digital" u="1"/>
        <s v="FIFA ACS" u="1"/>
        <s v="FIFA Referees" u="1"/>
        <s v="FIFA Logistics" u="1"/>
        <s v="FIFA Workforce" u="1"/>
        <s v="TSG" u="1"/>
        <s v="FIFA Ticketing" u="1"/>
        <s v="FIFA Transportation" u="1"/>
        <s v="FIFA Event Technology" u="1"/>
        <s v="Infotainment" u="1"/>
      </sharedItems>
    </cacheField>
    <cacheField name="Notes"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88.431161458335" createdVersion="6" refreshedVersion="8" minRefreshableVersion="3" recordCount="332" xr:uid="{00000000-000A-0000-FFFF-FFFF72000000}">
  <cacheSource type="worksheet">
    <worksheetSource ref="B5:L2445" sheet="Packing List - Outbound"/>
  </cacheSource>
  <cacheFields count="11">
    <cacheField name="FP Code" numFmtId="0">
      <sharedItems containsBlank="1"/>
    </cacheField>
    <cacheField name="FP Name" numFmtId="0">
      <sharedItems containsBlank="1" count="45">
        <m/>
        <s v="22&quot; Monitor - HDMI/DP"/>
        <s v="IT Solution - FIFA HQ"/>
        <s v="IT Solution - Unmanaged Switch 8-Port"/>
        <s v="IT Solution - Satellite "/>
        <s v="Laptop - FIFA Event Build"/>
        <s v="Telephone - Mobile - Smart Phone"/>
        <s v="Event IT HQ Tool Box"/>
        <s v="Event IT HQ Equipment Pack"/>
        <s v="Portable Speaker"/>
        <s v="10 port USB charging station"/>
        <s v="Lock"/>
        <s v="Audio Interface"/>
        <s v="XLR cable"/>
        <s v="USB C to Jack 3.5mm adapter"/>
        <s v="One ear headset"/>
        <s v="Tripot"/>
        <s v="Webcam"/>
        <s v="IT Solution - Router + 4G"/>
        <s v="Mice"/>
        <s v="Laptop - FIFA Accreditation Build"/>
        <s v="USB Hub - 4-port"/>
        <s v="Electrical Extension Cord - 5m (Swiss)"/>
        <s v="Laptop Cable Lock"/>
        <s v="Power Adapter - Swiss to Local"/>
        <s v="IT Solution - Wireless Access Point"/>
        <s v="IT Solution - PoE Injector"/>
        <s v="Power Bar - 6-Socket - 2m (Swiss)"/>
        <s v="Laptop - FIFA Ticketing Build" u="1"/>
        <s v="IT Solution - Basic Wireless Router 4-Port" u="1"/>
        <s v="Video Cable: USB-C -&gt; HDMI" u="1"/>
        <s v="Barcode scanner" u="1"/>
        <s v="Tablet - FIFA Standard Tablet + 4G" u="1"/>
        <s v="IT Solution - Unmanaged Switch 16-Port" u="1"/>
        <s v="USB Mouse" u="1"/>
        <s v="Video Cable: HDMI -&gt; HDMI" u="1"/>
        <s v="Video Cable: HDMI -&gt; DP" u="1"/>
        <s v="Event IT Stadium Tool Box" u="1"/>
        <s v="Video Adapter: HDMI -&gt; DVI" u="1"/>
        <s v="Video Cable: Mini-DP -&gt; HDMI" u="1"/>
        <s v="Video Adapter: DP -&gt; HDMI" u="1"/>
        <s v="Event IT Stadium Equipment Pack" u="1"/>
        <s v="Video Adapter: Mini-DP -&gt; HDMI" u="1"/>
        <s v="Video Cable: DP -&gt; HDMI" u="1"/>
        <s v="Video Adapter: HDMI -&gt; DP" u="1"/>
      </sharedItems>
    </cacheField>
    <cacheField name="Equipment Model" numFmtId="0">
      <sharedItems containsBlank="1" count="88">
        <m/>
        <s v="Firewall: Fortinet FortiGate"/>
        <s v="Assess Switch: Fortinet FortiSwitch"/>
        <s v="WAP: Fortinet FortiAP-C24JE"/>
        <s v="PoE Injector: Fortinet GPI-115"/>
        <s v="UPS: ETON UPS"/>
        <s v="Patch Cables - 2m"/>
        <s v="Patch Cables - 5m"/>
        <s v="Patch Cables - 20m"/>
        <s v="Swiss power extension lead (2m, 6-gang)"/>
        <s v="Flight Case"/>
        <s v="Netgear ProSafe FS108"/>
        <s v="Fortinet FortiWiFi 60E"/>
        <s v="HP Elitebook Laptop 840 G3"/>
        <s v="VIVO X60"/>
        <s v="Cable ties (150mm) pack of 20"/>
        <s v="Cable ties (200mm) pack of 20"/>
        <s v="Duct Tape (Tesa brand)"/>
        <s v="LinkRunner G2 Smart Networt Tester"/>
        <s v="Screwdriver set"/>
        <s v="Multi-tool"/>
        <s v="Stanley knife"/>
        <s v="Screen wipes"/>
        <s v="Alcohol wipes"/>
        <s v="Universal plug adapter"/>
        <s v="Power Adapter - Swiss to Local"/>
        <s v="Swiss power extension lead (5m)"/>
        <s v="HP Universal Laptop Charger"/>
        <s v="MS Surface Laptop Charger"/>
        <s v="USB 4-port hub"/>
        <s v="Phone Charger + Cable - iPhone"/>
        <s v="Phone Charger + Cable - USB C"/>
        <s v="Phone Charger + Cable - Micro USB"/>
        <s v="Mice"/>
        <s v="Keyboards"/>
        <s v="Video Cable: HDMI -&gt; DVI"/>
        <s v="Video Cable: HDMI -&gt; DP"/>
        <s v="Video Cable: HDMI -&gt; HDMI"/>
        <s v="Video Cable: Mini-DP -&gt; DVI"/>
        <s v="Video Cable: USB-C -&gt; HDMI"/>
        <s v="Video Adapter: Mini-DP -&gt; HDMI"/>
        <s v="Video Adapter: DP -&gt; DVI"/>
        <s v="Video Adapter: DP -&gt; DP"/>
        <s v="USB memory stick"/>
        <s v="Kensington lock"/>
        <s v="Swisscom SIM card - not activated"/>
        <s v="Bluetooth Headset"/>
        <s v="Portable Speaker - Small (Jabra)"/>
        <s v="A4 Paper (ream)"/>
        <s v="Jabra Speak 510 MS"/>
        <s v="Manhattan"/>
        <s v="Abus"/>
        <s v="Scarlett2i2"/>
        <s v="Bemero XLRf-XLRm"/>
        <s v="Samsung"/>
        <s v="Microsoft LifeCam Studio"/>
        <s v="Cisco Meraki Z3C-WW"/>
        <s v="VIVO X21"/>
        <s v="Fortinet FortiAP-C24JE"/>
        <s v="Fortinet GPI-115"/>
        <s v="Video Adapter: HDMI -&gt; DP" u="1"/>
        <s v="Tape measure " u="1"/>
        <s v="Webcam" u="1"/>
        <s v="Video Adapter: HDMI -&gt; DVI" u="1"/>
        <s v="Dymo Labels (10mm)" u="1"/>
        <s v="Electrical Tape" u="1"/>
        <s v="Sharpie pen red" u="1"/>
        <s v="Flashlight" u="1"/>
        <s v="Barcode Scanner" u="1"/>
        <s v="Netgear Nighthawk AC1200 Router" u="1"/>
        <s v="Netgear ProSafe FS116" u="1"/>
        <s v="Batteries AA (Pack of 10)" u="1"/>
        <s v="USB Memory Stick (16GB)" u="1"/>
        <s v="Server: Dell ESRV - ESX31" u="1"/>
        <s v="Printer Toner Set" u="1"/>
        <s v="Fluke Meter" u="1"/>
        <s v="RJ45 Coupler" u="1"/>
        <s v="Patch Cables - 10m" u="1"/>
        <s v="Video Adapter: DP -&gt; HDMI" u="1"/>
        <s v="Video Cable: DP -&gt; HDMI" u="1"/>
        <s v="Cable Snips (Small)" u="1"/>
        <s v="A3 Paper (ream)" u="1"/>
        <s v="Electronic measure " u="1"/>
        <s v="Cable Snips " u="1"/>
        <s v="Batteries AAA (Pack of 10)" u="1"/>
        <s v="UPS: ETON Battery" u="1"/>
        <s v="Dymo label machine" u="1"/>
        <s v="Video Cable: Mini-DP -&gt; HDMI" u="1"/>
      </sharedItems>
    </cacheField>
    <cacheField name="FIFA Asset Tag Number" numFmtId="0">
      <sharedItems containsBlank="1" containsMixedTypes="1" containsNumber="1" containsInteger="1" minValue="10393" maxValue="12450" count="54">
        <m/>
        <n v="12447"/>
        <n v="12446"/>
        <n v="12445"/>
        <n v="12444"/>
        <n v="12450"/>
        <n v="12442"/>
        <s v="N/A"/>
        <s v="84G3-01164"/>
        <s v="84G3-11225"/>
        <s v="84G3-11009"/>
        <s v="84G3-11023"/>
        <s v="84G3-11230"/>
        <s v="84G3-01240"/>
        <s v="84G3-01243"/>
        <s v="84G3-01157"/>
        <s v="84G3-11226"/>
        <s v="84G3-01139"/>
        <s v="84G3-01426"/>
        <s v="84G3-01086"/>
        <s v="84G3-01092"/>
        <s v="84G3-01020"/>
        <s v="84G3-01244"/>
        <s v="84G3-01264"/>
        <s v="84G3-01594"/>
        <s v="84G3-01597"/>
        <s v="84G3-01006"/>
        <s v="84G3-01238"/>
        <s v="84G3-01602"/>
        <s v="84G3-01603"/>
        <s v="84G3-01600"/>
        <s v="84G3-01604"/>
        <s v="84G3-01596"/>
        <s v="84G3-01307"/>
        <s v="MININT-PSEG6TG"/>
        <s v="84G3-01595"/>
        <s v="84G3-01044"/>
        <s v="84G3-01011"/>
        <s v="84G3-01112"/>
        <s v="84G3-14192"/>
        <s v="84G3-01136"/>
        <s v="84G3-01184"/>
        <s v="84G3-01210"/>
        <s v="84G3-01599"/>
        <s v="84G3-01598"/>
        <s v="84G3-01050"/>
        <s v="84G3-01012"/>
        <s v="84G3-01593"/>
        <s v="84G3-01592"/>
        <s v="84G3-11187"/>
        <s v="84G3-11037"/>
        <s v="84G3-11127"/>
        <s v="84G3-11048"/>
        <n v="10393"/>
      </sharedItems>
    </cacheField>
    <cacheField name="Serial Number " numFmtId="0">
      <sharedItems containsBlank="1" count="247">
        <m/>
        <s v="M8LMTF154028"/>
        <s v="M9LMTF213939"/>
        <s v="M8LMTF154053"/>
        <s v="M8LMTF154027"/>
        <s v="M8LMTF154054"/>
        <s v="M9LMTF212445"/>
        <s v="FG200ETK18916776"/>
        <s v="FG200ETK18917076"/>
        <s v="S248EFTF18007312"/>
        <s v="S248EFTF18007541"/>
        <s v="S248EFTF18007344"/>
        <s v="S248EFTF18007273"/>
        <s v="FC24JE5918004117"/>
        <s v="FC24JE5918002794"/>
        <s v="FC24JE5918001039"/>
        <s v="FC24JE5918004126"/>
        <s v="FC24JE5918001121"/>
        <s v="FC24JE5918001034"/>
        <s v="FC24JE5918002779"/>
        <s v="FC24JE5918002764"/>
        <s v="FC24JE5918002768"/>
        <s v="FC24JE5918004318"/>
        <s v="FC24JE5918003691"/>
        <s v="FC24JE5918004131"/>
        <s v="FC24JE5918001122"/>
        <s v="FC24JE5918004114"/>
        <s v="FC24JE5918004119"/>
        <s v="FC24JE5918001031"/>
        <s v="FC24JE5918002771"/>
        <s v="FC24JE5918004326"/>
        <s v="FC24JE5918004316"/>
        <s v="FC24JE5918001133"/>
        <s v="FC24JE5918002776"/>
        <s v="FC24JE5918002774"/>
        <s v="C18496555000006973"/>
        <s v="C18496555000003661"/>
        <s v="GA10J51020"/>
        <s v="N/A"/>
        <s v="FWF60ETK18012882"/>
        <s v="FWF60ETK18013437"/>
        <s v="5CG7122RGB"/>
        <s v="5CG81041S9"/>
        <s v="5CG81033NJ"/>
        <s v="5CG810338L"/>
        <s v="5CG8103Z14"/>
        <s v="5CG8103YGM"/>
        <s v="5CG810401W"/>
        <s v="5CG810340X"/>
        <s v="5CG81041LT"/>
        <s v="5CG7122RHV"/>
        <s v="5CG81035LM"/>
        <s v="5CG81034XF"/>
        <s v="5CG810423Z"/>
        <s v="5CG810401K"/>
        <s v="5CG81034X2"/>
        <s v="5CG81048FW"/>
        <s v="5CG81033Q6"/>
        <s v="5CG7122QNT"/>
        <s v="5CG8103439"/>
        <s v="5CG81034PW"/>
        <s v="5CG8103369"/>
        <s v="5CG7122QCK"/>
        <s v="5CG81033YB"/>
        <s v="5CG7122TFN"/>
        <s v="5CG81034CG"/>
        <s v="5CG8104013"/>
        <s v="5CG81034Q5"/>
        <s v="5CG7122R8P"/>
        <s v="5CG810421B"/>
        <s v="5CG7122R2B"/>
        <s v="5CG8103Z5S"/>
        <s v="5CG7122R79"/>
        <s v="5CG8103512"/>
        <s v="5CG81033BK"/>
        <s v="5CG7122RW9"/>
        <s v="5CG7122SS4"/>
        <s v="5CG81034FM"/>
        <s v="5CG81041V5"/>
        <s v="5CG7122T0R"/>
        <s v="95849087930086H"/>
        <s v="30630726400086H"/>
        <s v="30628015080086H"/>
        <s v="30627337260086H"/>
        <s v="95849916030086H"/>
        <s v="30630176420086H"/>
        <s v="30630975770086H"/>
        <s v="95850182980086H"/>
        <s v="30630742480086H"/>
        <s v="95848645820086H"/>
        <s v="3055308915008SU"/>
        <s v="3055262480008SU"/>
        <s v="3050301344008SU"/>
        <s v="3055298285008SU"/>
        <s v="3055179414008SU"/>
        <s v="3055187663008SU"/>
        <s v="3055180481008SU"/>
        <s v="9585896778008SU"/>
        <s v="30630920880086H"/>
        <s v="3055199856008SU"/>
        <s v="3055129561008SU"/>
        <s v="3055286642008SU"/>
        <s v="3055251449008SU"/>
        <s v="3055312964008SU"/>
        <s v="3055232845008SU"/>
        <s v="3055192868008SU"/>
        <s v="30630471410086H"/>
        <s v="3063023482008SU"/>
        <s v="3055275831008SU"/>
        <s v="30628683730086H"/>
        <s v="3055156207008SU"/>
        <s v="3055227827008SU"/>
        <s v="3055174205008SU"/>
        <s v="3055251115008SU"/>
        <s v="3055221020008SU"/>
        <s v="3055128578008SU"/>
        <s v="3055126050008SU"/>
        <s v="3055338707008SU"/>
        <s v="3055152443008SU"/>
        <s v="3055183558008SU"/>
        <s v="3055185925008SU"/>
        <s v="3055276134008SU"/>
        <s v="3062812809008SU"/>
        <s v="3055193304008SU"/>
        <s v="3055215387008SV"/>
        <s v="3062747403008SV"/>
        <s v="3050062552008SU"/>
        <s v="3055170098008SU"/>
        <s v="305525699008SV"/>
        <s v="95850696150086H"/>
        <s v="3055278280008YA"/>
        <s v="3055295389008YA"/>
        <s v="3062980165008YA"/>
        <s v="3055239511008YA"/>
        <s v="3055243276008YA"/>
        <s v="3055262632008YA"/>
        <s v="3055198826008YA"/>
        <s v="3055297913008YA"/>
        <s v="3055175886008YA"/>
        <s v="3055239513008YA"/>
        <s v="9584926281008SU"/>
        <s v="95848661460086H"/>
        <s v="30630486230086H"/>
        <s v="95851398140086H"/>
        <s v="3062769786008SV"/>
        <s v="3055135587008SU"/>
        <s v="95850565420086H"/>
        <s v="3055325310008SU"/>
        <s v="95851363420086H"/>
        <s v="3055228045008SU"/>
        <s v="30552224840008U"/>
        <s v="3055199696008SU"/>
        <s v="3055276131008SU"/>
        <s v="3055311817008SU"/>
        <s v="3055236323008SU"/>
        <s v="3055122561008SU"/>
        <s v="3062985815008SU"/>
        <s v="3055203475008SU"/>
        <s v="3055314541008SU"/>
        <s v="3055207458008SU"/>
        <s v="3055280288008SU"/>
        <s v="9585124072008SU"/>
        <s v="3055155915008SU"/>
        <s v="3055127798008YA"/>
        <s v="3055125320008SU"/>
        <s v="3055190568008SU"/>
        <s v="30630529520086H"/>
        <s v="3062819057008SU"/>
        <s v="3063094595008SU"/>
        <s v="3055118266008SU"/>
        <s v="3055315944008SU"/>
        <s v="3055117058008SU"/>
        <s v="3062855151008SU"/>
        <s v="3055248497008SU"/>
        <s v="9584883734008SU"/>
        <s v="3055277967008SU"/>
        <s v="3055199195008SU"/>
        <s v="3062836024008SU"/>
        <s v="3055247718008SU"/>
        <s v="3055249051008SU"/>
        <s v="3063106789008SU"/>
        <s v="3063109231008SU"/>
        <s v="3063035849008SU"/>
        <s v="3055190143008SU"/>
        <s v="9585913491008SU"/>
        <s v="3062825930008SU"/>
        <s v="3063052258008SU"/>
        <s v="3063010861008SU"/>
        <s v="3063079659008SU"/>
        <s v="3063000283008SU"/>
        <s v="3055184443008SU"/>
        <s v="3055276452008SU"/>
        <s v="3055132671008SU"/>
        <s v="3055318213008SU"/>
        <s v="3055185185008SU"/>
        <s v="3055200338008SU"/>
        <s v="3055278418008SU"/>
        <s v="3055171599008SU"/>
        <s v="3055254034008SU"/>
        <s v="3055314323008SU"/>
        <s v="9585110192008YA"/>
        <s v="3055130590008YA"/>
        <s v="3055244326008YA"/>
        <s v="3062832940008YA"/>
        <s v="3055123858008YA"/>
        <s v="3063092924008YA"/>
        <s v="9585092829008YA"/>
        <s v="3063090486008YA"/>
        <s v="3063057064008YA"/>
        <s v="3055287991008YA"/>
        <s v="3055305571008SU"/>
        <s v="3055218808008SU"/>
        <s v="30626828920086H"/>
        <s v="3063093639008SU"/>
        <s v="3055184616008SU"/>
        <s v="3055238100008SU"/>
        <s v="3055208046008SU"/>
        <s v="3055198823008SU"/>
        <s v="3055202533008SU"/>
        <s v="30627431270086H"/>
        <s v="Z8TEH4Q1B13394"/>
        <s v="Z8ADMV01B133B9"/>
        <s v="Q2QY-JW9Y-H9AB"/>
        <s v="5CG81033F7"/>
        <s v="5CG8103ZD3"/>
        <s v="5CG8103ZN8"/>
        <s v="5CG81035SG"/>
        <s v="5CG81033ZT"/>
        <s v="5CG81033SL"/>
        <s v="5CG8235QD5"/>
        <s v="5CG7122SS3"/>
        <s v="860005059353977"/>
        <s v="860005059355196"/>
        <s v="860005059429132"/>
        <s v="860005059353019"/>
        <s v="1D4185380081D"/>
        <s v="FWF60ETK18013885"/>
        <s v="FC24JE5918004320"/>
        <s v="FC24JE5918002762"/>
        <s v="FC24JE5918002795"/>
        <s v="FC24JE5918002766"/>
        <s v="FC24JE5918004325"/>
        <s v="C18496555000003801"/>
        <s v="C18496555000006958"/>
        <s v="C18496555000007008"/>
        <s v="C18496555000003570"/>
        <s v="C18496555000006994"/>
      </sharedItems>
    </cacheField>
    <cacheField name="Country of Origin " numFmtId="0">
      <sharedItems containsBlank="1"/>
    </cacheField>
    <cacheField name="Unit Value (USD)" numFmtId="0">
      <sharedItems containsString="0" containsBlank="1" containsNumber="1" containsInteger="1" minValue="2" maxValue="7200"/>
    </cacheField>
    <cacheField name="Quantity" numFmtId="0">
      <sharedItems containsString="0" containsBlank="1" containsNumber="1" containsInteger="1" minValue="1" maxValue="40"/>
    </cacheField>
    <cacheField name="Total Value (USD)" numFmtId="0">
      <sharedItems containsString="0" containsBlank="1" containsNumber="1" containsInteger="1" minValue="4" maxValue="7200"/>
    </cacheField>
    <cacheField name="Box #" numFmtId="0">
      <sharedItems containsString="0" containsBlank="1" containsNumber="1" containsInteger="1" minValue="1" maxValue="2004" count="28">
        <m/>
        <n v="112"/>
        <n v="138"/>
        <n v="135"/>
        <n v="136"/>
        <n v="162"/>
        <n v="184"/>
        <n v="114"/>
        <n v="130"/>
        <n v="178"/>
        <n v="1"/>
        <n v="2"/>
        <n v="3"/>
        <n v="4"/>
        <n v="5"/>
        <n v="6"/>
        <n v="7"/>
        <n v="8"/>
        <n v="9"/>
        <n v="10"/>
        <n v="11"/>
        <n v="12"/>
        <n v="13"/>
        <n v="14"/>
        <n v="45"/>
        <n v="160"/>
        <n v="2004"/>
        <n v="134" u="1"/>
      </sharedItems>
    </cacheField>
    <cacheField name="Ship to Location_x000a_(Stadium, HQ, etc.)"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88.431161458335" createdVersion="8" refreshedVersion="8" minRefreshableVersion="3" recordCount="260" xr:uid="{EE7343B7-1BEF-49E5-B0EB-110916B5F59F}">
  <cacheSource type="worksheet">
    <worksheetSource ref="A2:U295" sheet="TEAP Data Entry"/>
  </cacheSource>
  <cacheFields count="20">
    <cacheField name="Code" numFmtId="0">
      <sharedItems/>
    </cacheField>
    <cacheField name="FP Name" numFmtId="0">
      <sharedItems count="52">
        <s v="24&quot; Monitor - HDMI/DP"/>
        <s v="Wireless coverage - Shared Internet Service - Wi-Fi FIFA"/>
        <s v="Laptop - FIFA Event Build"/>
        <s v="MFD Desktop - Colour - A4 - Network"/>
        <s v="Tablet - FIFA Professional Tablet + 4G"/>
        <s v="Wired Port - Media Internet"/>
        <s v="TV - Large - IPTV"/>
        <s v="TV Stand - Medium &amp; Large TVs"/>
        <s v="Wired Port - General Internet "/>
        <s v="Wired Port - Content"/>
        <s v="Wired Port - FTI"/>
        <s v="Wireless coverage - Internet Service - Wi-Fi Media"/>
        <s v="Wired Port - Stream &amp; World feed"/>
        <s v="Laptop Cable Lock"/>
        <s v="Laptop - Presentation Build"/>
        <s v="Wired Port - ACR-TKT-Ipcodec"/>
        <s v="Portable Speaker"/>
        <s v="TV - Large - Standalone"/>
        <s v="IT Solution - 4G Internet backup "/>
        <s v="SIM - Data Only"/>
        <s v="SIM - Domestic"/>
        <s v="SIM - International"/>
        <s v="Telephone - Mobile - Smart Phone"/>
        <s v="Internet Service - 50Mbps"/>
        <s v="IT Monitoring network port"/>
        <s v="TV - Medium - Standalone"/>
        <s v="27&quot; Monitor - HDMI/DP"/>
        <s v="Office Projector - 6K"/>
        <s v="Wired Port - TSG"/>
        <s v="Wireless coverage - Shared Internet Service - Wi-Fi VIP"/>
        <s v="Audio transformer SDI to USB"/>
        <s v="Webcam"/>
        <s v="AV Solution (Mics + Speakers)"/>
        <s v="Wireless coverage - Internet Service -  Referees"/>
        <s v="MFD Large - Colour - A3 - Network"/>
        <s v="Wired Port - 100Mbps - guaranteed"/>
        <s v="Wireless coverage - Shared Internet Service - Wi-Fi FOOTBALL"/>
        <s v="Radio PMR In Stadium"/>
        <s v="Barcode scanner"/>
        <s v="Tablet - FIFA Professional Tablet" u="1"/>
        <s v="Wired Port - Photographers" u="1"/>
        <s v="Wired Port - 20Mbps - guaranteed" u="1"/>
        <s v="Printer - Colour - A4 - Network" u="1"/>
        <s v="Wireless coverage - Internet Service - Wi-Fi Guests" u="1"/>
        <s v="TV - Medium - IPTV" u="1"/>
        <s v="Wired Port - Team A" u="1"/>
        <s v="TV - Small - Media Tribunes - RF Distro" u="1"/>
        <s v="Wired Port - Team B" u="1"/>
        <s v="IT Solution - Router + 4G" u="1"/>
        <s v="Printer - Colour - A4 - Standalone" u="1"/>
        <s v="Chromecast" u="1"/>
        <s v="Video Cable: HDMI -&gt; HDMI" u="1"/>
      </sharedItems>
    </cacheField>
    <cacheField name="Category" numFmtId="0">
      <sharedItems count="10">
        <s v="Peripherals"/>
        <s v="Network &amp; Connectivity"/>
        <s v="FIFA IT Hardware"/>
        <s v="Reprographics"/>
        <s v="CATV"/>
        <s v="Display Devices"/>
        <s v="FIFA IT Network Solutions"/>
        <s v="Telephony"/>
        <s v="Audio"/>
        <s v="Radio"/>
      </sharedItems>
    </cacheField>
    <cacheField name="Packing List Type" numFmtId="0">
      <sharedItems/>
    </cacheField>
    <cacheField name="Internet Access Service" numFmtId="0">
      <sharedItems/>
    </cacheField>
    <cacheField name="Technology Product / Service" numFmtId="0">
      <sharedItems/>
    </cacheField>
    <cacheField name="Technical Description" numFmtId="0">
      <sharedItems/>
    </cacheField>
    <cacheField name="Old Quantity" numFmtId="0">
      <sharedItems containsSemiMixedTypes="0" containsString="0" containsNumber="1" containsInteger="1" minValue="0" maxValue="80"/>
    </cacheField>
    <cacheField name="Network Drops" numFmtId="0">
      <sharedItems containsSemiMixedTypes="0" containsString="0" containsNumber="1" containsInteger="1" minValue="0" maxValue="12"/>
    </cacheField>
    <cacheField name="SIM Cards" numFmtId="0">
      <sharedItems containsSemiMixedTypes="0" containsString="0" containsNumber="1" containsInteger="1" minValue="0" maxValue="100"/>
    </cacheField>
    <cacheField name="Quantity2" numFmtId="0">
      <sharedItems containsSemiMixedTypes="0" containsString="0" containsNumber="1" containsInteger="1" minValue="1" maxValue="100"/>
    </cacheField>
    <cacheField name="Network Drops2" numFmtId="0">
      <sharedItems containsSemiMixedTypes="0" containsString="0" containsNumber="1" containsInteger="1" minValue="0" maxValue="12"/>
    </cacheField>
    <cacheField name="SIM Cards2" numFmtId="0">
      <sharedItems containsSemiMixedTypes="0" containsString="0" containsNumber="1" containsInteger="1" minValue="0" maxValue="100"/>
    </cacheField>
    <cacheField name="Provided by" numFmtId="0">
      <sharedItems count="3">
        <s v="LOC IT"/>
        <s v="FIFA Event Technology"/>
        <s v="Hotel" u="1"/>
      </sharedItems>
    </cacheField>
    <cacheField name="Venue" numFmtId="0">
      <sharedItems count="14">
        <s v="Aspire Center - HQ"/>
        <s v="Khalifa"/>
        <s v="Team Hotel  1" u="1"/>
        <s v="Team Hotel  2" u="1"/>
        <s v="Team Hotel  3" u="1"/>
        <s v="Team Hotel  4" u="1"/>
        <s v="Team Hotel  5" u="1"/>
        <s v="Team Hotel  6" u="1"/>
        <s v="Team Hotel  7" u="1"/>
        <s v="Team Hotel  8" u="1"/>
        <s v="Team Hotel  9" u="1"/>
        <s v="Al Thumama - Training Site" u="1"/>
        <s v="Al Erssal - Training Site" u="1"/>
        <s v="VIP Hotel" u="1"/>
      </sharedItems>
    </cacheField>
    <cacheField name="Area" numFmtId="0">
      <sharedItems/>
    </cacheField>
    <cacheField name="Space" numFmtId="0">
      <sharedItems/>
    </cacheField>
    <cacheField name="FIFA Department" numFmtId="0">
      <sharedItems/>
    </cacheField>
    <cacheField name="Department" numFmtId="0">
      <sharedItems/>
    </cacheField>
    <cacheField name="Notes"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88.431198032406" createdVersion="8" refreshedVersion="8" minRefreshableVersion="3" recordCount="259" xr:uid="{1020525D-2C7B-46D5-BB22-07E61976A324}">
  <cacheSource type="worksheet">
    <worksheetSource ref="A2:U294" sheet="TEAP Data Entry"/>
  </cacheSource>
  <cacheFields count="20">
    <cacheField name="Code" numFmtId="0">
      <sharedItems/>
    </cacheField>
    <cacheField name="FP Name" numFmtId="0">
      <sharedItems count="71">
        <s v="24&quot; Monitor - HDMI/DP"/>
        <s v="Wireless coverage - Shared Internet Service - Wi-Fi FIFA"/>
        <s v="Laptop - FIFA Event Build"/>
        <s v="MFD Desktop - Colour - A4 - Network"/>
        <s v="Tablet - FIFA Professional Tablet + 4G"/>
        <s v="Wired Port - Media Internet"/>
        <s v="TV - Large - IPTV"/>
        <s v="TV Stand - Medium &amp; Large TVs"/>
        <s v="Wired Port - General Internet "/>
        <s v="Wired Port - Content"/>
        <s v="Wired Port - FTI"/>
        <s v="Wireless coverage - Internet Service - Wi-Fi Media"/>
        <s v="Wired Port - Stream &amp; World feed"/>
        <s v="Laptop Cable Lock"/>
        <s v="Laptop - Presentation Build"/>
        <s v="Wired Port - ACR-TKT-Ipcodec"/>
        <s v="Portable Speaker"/>
        <s v="TV - Large - Standalone"/>
        <s v="IT Solution - 4G Internet backup "/>
        <s v="SIM - Data Only"/>
        <s v="SIM - Domestic"/>
        <s v="SIM - International"/>
        <s v="Telephone - Mobile - Smart Phone"/>
        <s v="Internet Service - 50Mbps"/>
        <s v="IT Monitoring network port"/>
        <s v="TV - Medium - Standalone"/>
        <s v="27&quot; Monitor - HDMI/DP"/>
        <s v="Office Projector - 6K"/>
        <s v="Wired Port - TSG"/>
        <s v="Wireless coverage - Shared Internet Service - Wi-Fi VIP"/>
        <s v="Audio transformer SDI to USB"/>
        <s v="Webcam"/>
        <s v="AV Solution (Mics + Speakers)"/>
        <s v="Wireless coverage - Internet Service -  Referees"/>
        <s v="MFD Large - Colour - A3 - Network"/>
        <s v="Wired Port - 100Mbps - guaranteed"/>
        <s v="Wireless coverage - Shared Internet Service - Wi-Fi FOOTBALL"/>
        <s v="Radio PMR In Stadium"/>
        <s v="Barcode scanner"/>
        <s v="Tablet - FIFA Professional Tablet" u="1"/>
        <s v="Wired Port - Photographers" u="1"/>
        <s v="Wired Port - 20Mbps - guaranteed" u="1"/>
        <s v="Printer - Colour - A4 - Network" u="1"/>
        <s v="TV - Medium - IPTV" u="1"/>
        <s v="Wireless coverage - Internet Service - Wi-Fi Guests" u="1"/>
        <s v="Wired Port - Team A" u="1"/>
        <s v="TV - Small - Media Tribunes - RF Distro" u="1"/>
        <s v="Wired Port - Team B" u="1"/>
        <s v="IT Solution - Router + 4G" u="1"/>
        <s v="Printer - Colour - A4 - Standalone" u="1"/>
        <s v="Chromecast" u="1"/>
        <s v="Video Cable: HDMI -&gt; HDMI" u="1"/>
        <s v="Internet Service - 100Mbps" u="1"/>
        <s v="Tablet - FIFA Standard Tablet + 4G" u="1"/>
        <s v="22&quot; Monitor - HDMI/DP" u="1"/>
        <s v="Wired port- Access control" u="1"/>
        <s v="Laptop - FIFA Ticketing Build" u="1"/>
        <s v="USB Mouse" u="1"/>
        <e v="#N/A" u="1"/>
        <s v="MFD Desktop - Colour - A4 - Standalone" u="1"/>
        <s v="Keyboard - German Layout" u="1"/>
        <s v="IT Solution - Unmanaged Switch 8-Port" u="1"/>
        <s v="Laptop - FIFA Accreditation Build" u="1"/>
        <s v="Patch Cable - 2m" u="1"/>
        <s v="Patch Cable - 5m" u="1"/>
        <s v="Printer - Accreditation - Small" u="1"/>
        <s v="USB Hub - 4-port" u="1"/>
        <s v="Power Adapter - Swiss to Local" u="1"/>
        <s v="Power Bar - 6-Socket - 2m (Swiss)" u="1"/>
        <s v="Electrical Extension Cord - 5m (Swiss)" u="1"/>
        <s v="Telephone - VoIP - International Calling" u="1"/>
      </sharedItems>
    </cacheField>
    <cacheField name="Category" numFmtId="0">
      <sharedItems count="11">
        <s v="Peripherals"/>
        <s v="Network &amp; Connectivity"/>
        <s v="FIFA IT Hardware"/>
        <s v="Reprographics"/>
        <s v="CATV"/>
        <s v="Display Devices"/>
        <s v="FIFA IT Network Solutions"/>
        <s v="Telephony"/>
        <s v="Audio"/>
        <s v="Radio"/>
        <e v="#N/A" u="1"/>
      </sharedItems>
    </cacheField>
    <cacheField name="Packing List Type" numFmtId="0">
      <sharedItems/>
    </cacheField>
    <cacheField name="Internet Access Service" numFmtId="0">
      <sharedItems/>
    </cacheField>
    <cacheField name="Technology Product / Service" numFmtId="0">
      <sharedItems/>
    </cacheField>
    <cacheField name="Technical Description" numFmtId="0">
      <sharedItems/>
    </cacheField>
    <cacheField name="Old Quantity" numFmtId="0">
      <sharedItems containsSemiMixedTypes="0" containsString="0" containsNumber="1" containsInteger="1" minValue="0" maxValue="80"/>
    </cacheField>
    <cacheField name="Network Drops" numFmtId="0">
      <sharedItems containsSemiMixedTypes="0" containsString="0" containsNumber="1" containsInteger="1" minValue="0" maxValue="12"/>
    </cacheField>
    <cacheField name="SIM Cards" numFmtId="0">
      <sharedItems containsSemiMixedTypes="0" containsString="0" containsNumber="1" containsInteger="1" minValue="0" maxValue="100"/>
    </cacheField>
    <cacheField name="Quantity2" numFmtId="0">
      <sharedItems containsSemiMixedTypes="0" containsString="0" containsNumber="1" containsInteger="1" minValue="1" maxValue="100"/>
    </cacheField>
    <cacheField name="Network Drops2" numFmtId="0">
      <sharedItems containsSemiMixedTypes="0" containsString="0" containsNumber="1" containsInteger="1" minValue="0" maxValue="12"/>
    </cacheField>
    <cacheField name="SIM Cards2" numFmtId="0">
      <sharedItems containsSemiMixedTypes="0" containsString="0" containsNumber="1" containsInteger="1" minValue="0" maxValue="100"/>
    </cacheField>
    <cacheField name="Provided by" numFmtId="0">
      <sharedItems count="3">
        <s v="LOC IT"/>
        <s v="FIFA Event Technology"/>
        <s v="Hotel" u="1"/>
      </sharedItems>
    </cacheField>
    <cacheField name="Venue" numFmtId="0">
      <sharedItems/>
    </cacheField>
    <cacheField name="Area" numFmtId="0">
      <sharedItems/>
    </cacheField>
    <cacheField name="Space" numFmtId="0">
      <sharedItems/>
    </cacheField>
    <cacheField name="FIFA Department" numFmtId="0">
      <sharedItems/>
    </cacheField>
    <cacheField name="Department" numFmtId="0">
      <sharedItems/>
    </cacheField>
    <cacheField name="Notes"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97.487192592591" createdVersion="8" refreshedVersion="8" minRefreshableVersion="3" recordCount="284" xr:uid="{63070F2C-20D3-4851-98F9-1C28DD4F2EA3}">
  <cacheSource type="worksheet">
    <worksheetSource ref="A2:S294" sheet="TEAP Data Entry"/>
  </cacheSource>
  <cacheFields count="18">
    <cacheField name="Code" numFmtId="0">
      <sharedItems/>
    </cacheField>
    <cacheField name="FP Name" numFmtId="0">
      <sharedItems/>
    </cacheField>
    <cacheField name="Category" numFmtId="0">
      <sharedItems/>
    </cacheField>
    <cacheField name="Packing List Type" numFmtId="0">
      <sharedItems/>
    </cacheField>
    <cacheField name="Internet Access Service" numFmtId="0">
      <sharedItems/>
    </cacheField>
    <cacheField name="Technology Product / Service" numFmtId="0">
      <sharedItems containsBlank="1" count="71">
        <s v="24&quot; PC Monitor"/>
        <s v="Wireless coverage - Shared Internet Service - FIFA"/>
        <s v="Large Colour Printer / Scanner (A3)"/>
        <s v="Colour Printer / Scanner (A4)"/>
        <s v="Wired Port - Internet for Media"/>
        <s v="Large TV - CATV Feed"/>
        <s v="TV Stand for medium and large TVs"/>
        <s v="Professional Series Tablet + 4G"/>
        <s v="Wired Port - Internet"/>
        <s v="Wired Port - Content"/>
        <s v="Wired Port - FTI"/>
        <s v="Wireless coverage - Internet Service - Media"/>
        <s v="Wired Port - Stream &amp; World feed"/>
        <s v="Laptop Cable Lock"/>
        <s v="FIFA Presentation Laptop"/>
        <s v="Wired Port - ACR-TKT-Ipcodec"/>
        <s v="Portable Speaker"/>
        <s v="Large TV - Standalone"/>
        <s v="IT Solution - 4G Internet backup "/>
        <s v="FIFA Laptop"/>
        <s v="Local SIM Card - Data Only"/>
        <s v="Local SIM Card"/>
        <s v="Local SIM Card + International"/>
        <s v="Smart Phone"/>
        <s v="Internet Service - 50Mbps"/>
        <s v="FIFA IT Monitoring network port"/>
        <s v="Medium TV - Standalone"/>
        <s v="27&quot; PC Monitor"/>
        <s v="Office Projector - 6K"/>
        <s v="Wired Port - TSG"/>
        <s v="Wireless coverage - Shared Internet Service - VIP"/>
        <s v="Audio transformer SDI to USB"/>
        <s v="Webcam"/>
        <s v="Professional Speakers and Microphones"/>
        <s v="Wireless coverage - Internet Service -  Referees"/>
        <s v="Cabled Internet - 100Mbps"/>
        <s v="Wireless coverage - Shared Internet Service - FOOTBALL"/>
        <s v="Radio PMR In Stadium"/>
        <s v="Barcode scanner" u="1"/>
        <s v="Professional Series Tablet" u="1"/>
        <s v="Wired Port - High Speed Internet for Photographers" u="1"/>
        <s v="Colour Printer (A4)" u="1"/>
        <s v="Cabled Internet - 20Mbps" u="1"/>
        <s v="Wireless coverage - Internet Service - Guests" u="1"/>
        <s v="Medium TV - CATV Feed" u="1"/>
        <s v="Wired Port - Team A" u="1"/>
        <s v="Small TV - Media Tribunes" u="1"/>
        <s v="Wired Port - Team B" u="1"/>
        <s v="IT Solution - Router + 4G" u="1"/>
        <s v="Google Chromecast" u="1"/>
        <s v="Video Cable: HDMI -&gt; HDMI" u="1"/>
        <s v="Internet Service - 100Mbps" u="1"/>
        <s v="Basic Tablet + 4G" u="1"/>
        <m u="1"/>
        <s v="22&quot; PC Monitor" u="1"/>
        <s v="Wired port- Access control" u="1"/>
        <s v="FIFA Ticketing Laptop" u="1"/>
        <s v="USB Mouse" u="1"/>
        <e v="#N/A" u="1"/>
        <s v="Keyboard - German Layout" u="1"/>
        <s v="IT Solution - Unmanaged Switch 8-Port" u="1"/>
        <s v="FIFA Accreditation Laptop" u="1"/>
        <s v="Patch Cable - 2m" u="1"/>
        <s v="Patch Cable - 5m" u="1"/>
        <s v="Accreditation Printer" u="1"/>
        <s v="USB Hub - 4-port" u="1"/>
        <s v="Power Adapter - Swiss to Local" u="1"/>
        <s v="Power Bar - 6-Socket - 2m (Swiss)" u="1"/>
        <s v="Electrical Extension Cord - 5m (Swiss)" u="1"/>
        <s v="VoIP Telephone + International" u="1"/>
        <s v="Internet Service - 50Mbps - Static Public IP" u="1"/>
      </sharedItems>
    </cacheField>
    <cacheField name="Technical Description" numFmtId="0">
      <sharedItems/>
    </cacheField>
    <cacheField name="Old Quantity" numFmtId="0">
      <sharedItems containsSemiMixedTypes="0" containsString="0" containsNumber="1" containsInteger="1" minValue="0" maxValue="80"/>
    </cacheField>
    <cacheField name="Network Drops" numFmtId="0">
      <sharedItems containsSemiMixedTypes="0" containsString="0" containsNumber="1" containsInteger="1" minValue="0" maxValue="12"/>
    </cacheField>
    <cacheField name="SIM Cards" numFmtId="0">
      <sharedItems containsSemiMixedTypes="0" containsString="0" containsNumber="1" containsInteger="1" minValue="0" maxValue="100"/>
    </cacheField>
    <cacheField name="Quantity2" numFmtId="0">
      <sharedItems containsSemiMixedTypes="0" containsString="0" containsNumber="1" containsInteger="1" minValue="1" maxValue="100"/>
    </cacheField>
    <cacheField name="Network Drops2" numFmtId="0">
      <sharedItems containsSemiMixedTypes="0" containsString="0" containsNumber="1" containsInteger="1" minValue="0" maxValue="12"/>
    </cacheField>
    <cacheField name="SIM Cards2" numFmtId="0">
      <sharedItems containsSemiMixedTypes="0" containsString="0" containsNumber="1" containsInteger="1" minValue="0" maxValue="100"/>
    </cacheField>
    <cacheField name="Provided by" numFmtId="0">
      <sharedItems containsBlank="1" count="4">
        <s v="LOC IT"/>
        <s v="FIFA Event Technology"/>
        <s v="Hotel" u="1"/>
        <m u="1"/>
      </sharedItems>
    </cacheField>
    <cacheField name="Venue" numFmtId="0">
      <sharedItems containsBlank="1" count="21">
        <s v="Aspire Center - HQ"/>
        <s v="Khalifa"/>
        <s v="Team Hotel  1" u="1"/>
        <s v="Team Hotel  2" u="1"/>
        <s v="Team Hotel  3" u="1"/>
        <s v="Team Hotel  4" u="1"/>
        <s v="Team Hotel  5" u="1"/>
        <s v="Team Hotel  6" u="1"/>
        <s v="Team Hotel  7" u="1"/>
        <s v="Team Hotel  8" u="1"/>
        <s v="Team Hotel  9" u="1"/>
        <s v="Al Thumama - Training Site" u="1"/>
        <s v="Al Erssal - Training Site" u="1"/>
        <s v="VIP Hotel" u="1"/>
        <m u="1"/>
        <s v="REF Basecamp Hotel" u="1"/>
        <s v="Referee training site" u="1"/>
        <s v="ABHA" u="1"/>
        <s v="Aspire Center" u="1"/>
        <s v="IBCC" u="1"/>
        <s v="HQ Office" u="1"/>
      </sharedItems>
    </cacheField>
    <cacheField name="Area" numFmtId="0">
      <sharedItems containsBlank="1" count="62">
        <s v="Pitch 1"/>
        <s v="Pitch 2"/>
        <s v="Pitch 3"/>
        <s v="Pitch 4"/>
        <s v="Pitch 5"/>
        <s v="Pitch 7"/>
        <s v="Pitch 8"/>
        <s v="Pitch 9"/>
        <s v="Stadium Offices"/>
        <s v="Competition area"/>
        <s v="Super Club"/>
        <s v="Broadcast Compound 1"/>
        <s v="Broadcast Compound 2"/>
        <s v="Pitch 1-10-12"/>
        <s v="Flash Interview"/>
        <s v="Broadcast Compound"/>
        <s v="Media Tribunes"/>
        <s v="Field of Play"/>
        <s v="Press Conference Room"/>
        <s v="Aspire Dome - level 2"/>
        <s v="FIFA/LOC Offices"/>
        <s v="TSG - Main room"/>
        <s v="TSG - Meeting Room"/>
        <s v="VIP area"/>
        <s v="Stadium Media Centre"/>
        <s v="Pitch 1-9"/>
        <s v="Mixed Zone"/>
        <s v="Referees Accommodation"/>
        <s v="Training site pitch 10-11"/>
        <s v="Accelerator Building"/>
        <s v="Security Room (VOC)"/>
        <s v="Aspire Dome "/>
        <s v="Aspire Dome - level 1"/>
        <s v="Stadium Perimeter"/>
        <s v="Pitch" u="1"/>
        <s v="VOL Centre" u="1"/>
        <s v="Pitch side" u="1"/>
        <s v="Pitch 10" u="1"/>
        <s v="Pitch 11" u="1"/>
        <s v="Office Space" u="1"/>
        <s v="Broadcast Compound 3" u="1"/>
        <s v="Training site pitch 10-12" u="1"/>
        <s v="TSG" u="1"/>
        <s v="Pitch 12" u="1"/>
        <s v="Pitch 2 " u="1"/>
        <s v="Pitch 5 " u="1"/>
        <s v="Pitch 1-8" u="1"/>
        <s v="Training site pitch 8-9" u="1"/>
        <s v="Welcome desk" u="1"/>
        <s v="Guest ops office" u="1"/>
        <s v="Staff Office" u="1"/>
        <s v="Stadium Office" u="1"/>
        <s v="Aspire Dome – Second Floor" u="1"/>
        <s v="Ticketing Center" u="1"/>
        <s v="WKF Canteen" u="1"/>
        <s v="Venue Technology Office" u="1"/>
        <s v="FIFA staff hotel" u="1"/>
        <s v="Workforce Area" u="1"/>
        <s v="Press Conference" u="1"/>
        <m u="1"/>
        <s v="Stadium outer perimeter" u="1"/>
        <s v="Radio Distribution Office" u="1"/>
      </sharedItems>
    </cacheField>
    <cacheField name="Space" numFmtId="0">
      <sharedItems containsBlank="1" count="150">
        <s v="Infotainment Control Room"/>
        <s v="Doping Control Room"/>
        <s v="Broadcast and Streaming Office 1"/>
        <s v="Broadcast and Streaming Office 2"/>
        <s v="Entertainment Control Room AE live"/>
        <s v="MRL behind goal - Left side"/>
        <s v="MRL behind goal - Right side"/>
        <s v="MRL Positions - Left - 16m line"/>
        <s v="MRL Positions - Right - 16m line"/>
        <s v="OB Van 1"/>
        <s v="OB Van 2"/>
        <s v="Satellite and HB Cabin 1"/>
        <s v="Satellite and HB Cabin 2"/>
        <s v="SMC/MEO/WD/Mixed Zone"/>
        <s v="Broadcast and Streaming Office"/>
        <s v="Commentary Position"/>
        <s v="OB Van"/>
        <s v="Satellite and HB Cabin"/>
        <s v="Tunel"/>
        <s v="Match Director Office"/>
        <s v="Small Match Director cabin - Pitch 4"/>
        <s v="Small Match Director cabin - Pitch 9"/>
        <s v="MCM Room"/>
        <s v="Press Conference Room"/>
        <s v="FIFA/LOC Offices"/>
        <s v="Content cabin"/>
        <s v="FIFA/Venue Technology Office"/>
        <s v="TSG"/>
        <s v="FVS cabin A BC1"/>
        <s v="FVS cabin B BC1"/>
        <s v="FVS cabin C BC1"/>
        <s v="FVS cabin BC2"/>
        <s v="FTI Equipment Cabin BC1"/>
        <s v="FTI Equipment Cabin BC2"/>
        <s v="FVS Cabin"/>
        <s v="FTI equipment cabin"/>
        <s v="VIP Lounge"/>
        <s v="Protocol Office"/>
        <s v="Media Tribune"/>
        <s v="Behind goal remote left"/>
        <s v="Behind goal remote right"/>
        <s v="FIFA Photo Positions - Left - 16m line"/>
        <s v="FIFA Photo Positions - Right - 16m line"/>
        <s v="Photographers Positions - Left side"/>
        <s v="Photographers Positions - Right side"/>
        <s v="Media Information / Welcome Desk"/>
        <s v="MEO office"/>
        <s v="Mixed Zone"/>
        <s v="Stadium Media Centre"/>
        <s v="Class Room - Olympia "/>
        <s v="Technical / Match Analysts - Office(s) in 1st floor"/>
        <s v="REF Management - Lab 2"/>
        <s v="REF Administration - Glass office (1st floor)"/>
        <s v="Fitness Office"/>
        <s v="Instant Feedback"/>
        <s v="Referees Accommodation"/>
        <s v="Physio/ Medical Room - GF"/>
        <s v="Security Room (VOC)"/>
        <s v="Team Dressing Rooms"/>
        <s v="Players Holding Area (Lounge)"/>
        <s v="Venue Office"/>
        <s v="Radio Distribution Office"/>
        <s v="VOL Centre"/>
        <s v="FIFA/LOC Workforce Area"/>
        <s v="FIFA Storage"/>
        <s v="FIFA/LOC Meeting Room"/>
        <s v="LOC Offices/Storage Area"/>
        <s v="Youth Programme Area"/>
        <s v="Brand Activation Area 1"/>
        <s v="Brand Activation Area 2"/>
        <s v="Brand Activation Area 3"/>
        <s v="Brand Activation Area"/>
        <s v="Field of Play - LED operator"/>
        <s v="FVS cabin 1" u="1"/>
        <s v="FVS cabin 2" u="1"/>
        <s v="FTI cabin BC1" u="1"/>
        <s v="FTI cabin BC2" u="1"/>
        <s v="Class Room" u="1"/>
        <s v="Technical / Match Analysts" u="1"/>
        <s v="REF Management" u="1"/>
        <s v="REF Administration" u="1"/>
        <s v="Physio/ Medical Room" u="1"/>
        <s v="Team Meeting Room" u="1"/>
        <s v="Commentary Tribune" u="1"/>
        <s v="Small Match Director cabin - Pitch 3" u="1"/>
        <s v="Small Match Director cabin - pitch 7" u="1"/>
        <s v="Small Match Director cabin - Pitch 8" u="1"/>
        <s v="Small Match Director cabin - Pitch 1" u="1"/>
        <s v="Small Match Director cabin - Pitch 2" u="1"/>
        <s v="Small Match Director cabin - Pitch 5" u="1"/>
        <s v="Small Match Director cabin - Pitch 10" u="1"/>
        <s v="Small Match Director cabin - Pitch 12" u="1"/>
        <s v="Analysts desk A" u="1"/>
        <s v="Analysts desk B" u="1"/>
        <s v="Fan Entertainment and F&amp;B" u="1"/>
        <s v="Event Data Collector" u="1"/>
        <s v="Dressing Room Team A" u="1"/>
        <s v="Dressing Room Team B" u="1"/>
        <s v="Team Bench A" u="1"/>
        <s v="Team Bench B" u="1"/>
        <s v="Fourth Official Bench" u="1"/>
        <s v="Team Benches" u="1"/>
        <s v="FTI cabin" u="1"/>
        <s v="Youth Programme" u="1"/>
        <s v="Welcome desk" u="1"/>
        <s v="Guest ops office" u="1"/>
        <s v="Venue Technology Office" u="1"/>
        <s v="Ticketing APP ops" u="1"/>
        <s v="WKF Canteen" u="1"/>
        <s v="FIFA staff hotel" u="1"/>
        <s v="Press Conference" u="1"/>
        <m u="1"/>
        <s v="Access Management Office" u="1"/>
        <s v="Stadium Ticketing Center 1" u="1"/>
        <s v="Stadium Office" u="1"/>
        <s v="Offices Venue Team" u="1"/>
        <s v="Stadium Ticketing Center 2" u="1"/>
        <s v="Ticketing Resolution Point (6)" u="1"/>
        <s v="Stadium Ticketing Center" u="1"/>
        <s v="Ticketing Resolution Point (4)" u="1"/>
        <s v="FIFA Club" u="1"/>
        <s v="VIP / VVIP Lounge" u="1"/>
        <s v="Welcome desk and FIFA Club" u="1"/>
        <s v="Meeting Room" u="1"/>
        <s v="Accreditation Centre" u="1"/>
        <s v="Visa Office" u="1"/>
        <s v="Match Analysts Huila" u="1"/>
        <s v="Operational Spaces" u="1"/>
        <s v="Match Analysts" u="1"/>
        <s v="FIFA staff area" u="1"/>
        <s v="Small Match Director cabin - Pitch 3 " u="1"/>
        <s v="Small Match Director cabin" u="1"/>
        <s v="Doping Control Holding Area" u="1"/>
        <s v="FIFA Technology Office" u="1"/>
        <s v="REF Administration Cauca" u="1"/>
        <s v="Fitness Office Tolima" u="1"/>
        <s v="Classroom Dorado 2" u="1"/>
        <s v="VAR cabin" u="1"/>
        <s v="OTS/LPS Cabin" u="1"/>
        <s v="Graphics AE live" u="1"/>
        <s v="Infotainment Control Room AE live" u="1"/>
        <s v="QC / WFC / S&amp;A WF Coordination" u="1"/>
        <s v="Accommodation office" u="1"/>
        <s v="Stadium Media Centre/Mixed Zone" u="1"/>
        <s v="Stadium Media Centre 2" u="1"/>
        <s v="Content cabin 1" u="1"/>
        <s v="Cabin 2 Social" u="1"/>
        <s v="Cabin 1 Platform Mgmt" u="1"/>
        <s v="Content Cabin 2" u="1"/>
        <s v="FIFA Social" u="1"/>
      </sharedItems>
    </cacheField>
    <cacheField name="FIFA Department" numFmtId="0">
      <sharedItems containsBlank="1" count="34">
        <s v="Entertainment"/>
        <s v="FIFA Anti Doping"/>
        <s v="FIFA Broadcast"/>
        <s v="FIFA Competitions"/>
        <s v="FIFA Data Management"/>
        <s v="FIFA Digital Marketing"/>
        <s v="FIFA Event Technology"/>
        <s v="FIFA Films"/>
        <s v="FIFA FTI"/>
        <s v="FIFA Guest Operations"/>
        <s v="FIFA Media"/>
        <s v="FIFA Referees"/>
        <s v="FIFA Security"/>
        <s v="FIFA Team Services"/>
        <s v="FIFA Transport"/>
        <s v="FIFA Travel"/>
        <s v="FIFA Venue Management"/>
        <s v="FIFA Volunteer"/>
        <s v="FIFA Workforce"/>
        <s v="Partner Rights Delivery"/>
        <s v="FIFA Medical Services" u="1"/>
        <s v="Safeguarding" u="1"/>
        <s v="FIFA MBBI" u="1"/>
        <s v="Catering" u="1"/>
        <m u="1"/>
        <s v="Access Management" u="1"/>
        <s v="FIFA Ticketing" u="1"/>
        <s v="FIFA Accreditation" u="1"/>
        <s v="FIFA Marketing" u="1"/>
        <s v="FIFA TV" u="1"/>
        <s v="FIFA Accommodation" u="1"/>
        <s v="FIFA Social" u="1"/>
        <s v="FIFA +" u="1"/>
        <s v="FIFA Technology"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912.435783564812" createdVersion="8" refreshedVersion="8" minRefreshableVersion="3" recordCount="290" xr:uid="{42873BC4-A291-46DA-A774-B515A4021F7D}">
  <cacheSource type="worksheet">
    <worksheetSource ref="A2:S295" sheet="TEAP Data Entry"/>
  </cacheSource>
  <cacheFields count="18">
    <cacheField name="Code" numFmtId="0">
      <sharedItems/>
    </cacheField>
    <cacheField name="FP Name" numFmtId="0">
      <sharedItems/>
    </cacheField>
    <cacheField name="Category" numFmtId="0">
      <sharedItems/>
    </cacheField>
    <cacheField name="Packing List Type" numFmtId="0">
      <sharedItems/>
    </cacheField>
    <cacheField name="Internet Access Service" numFmtId="0">
      <sharedItems/>
    </cacheField>
    <cacheField name="Technology Product / Service" numFmtId="0">
      <sharedItems containsBlank="1" count="39">
        <s v="24&quot; PC Monitor"/>
        <s v="Wireless coverage - Shared Internet Service - FIFA"/>
        <s v="Colour Printer / Scanner (A4)"/>
        <s v="Wired Port - Internet for Media"/>
        <s v="Wired Port - Content"/>
        <s v="Large TV - CATV Feed"/>
        <s v="TV Stand for medium and large TVs"/>
        <s v="Professional Series Tablet + 4G"/>
        <s v="Wired Port - Internet"/>
        <s v="Wired Port - Stream &amp; World feed"/>
        <s v="Laptop Cable Lock"/>
        <s v="FIFA Presentation Laptop"/>
        <s v="Wired Port - ACR-TKT-Ipcodec"/>
        <s v="Wired Port - FTI"/>
        <s v="Portable Speaker"/>
        <s v="Large TV - Standalone"/>
        <s v="IT Solution - 4G Internet backup "/>
        <s v="FIFA Laptop"/>
        <s v="Local SIM Card - Data Only"/>
        <s v="Local SIM Card"/>
        <s v="Local SIM Card + International"/>
        <s v="Smart Phone"/>
        <s v="Internet Service - 50Mbps"/>
        <s v="FIFA IT Monitoring network port"/>
        <s v="Medium TV - Standalone"/>
        <s v="27&quot; PC Monitor"/>
        <s v="Office Projector - 6K"/>
        <s v="Wired Port - TSG"/>
        <s v="Wireless coverage - Shared Internet Service - VIP"/>
        <s v="Wireless coverage - Internet Service - Media"/>
        <s v="Audio transformer SDI to USB"/>
        <s v="Webcam"/>
        <s v="Professional Speakers and Microphones"/>
        <s v="Wireless coverage - Internet Service -  Referees"/>
        <s v="Large Colour Printer / Scanner (A3)"/>
        <s v="Cabled Internet - 100Mbps"/>
        <s v="Wireless coverage - Shared Internet Service - FOOTBALL"/>
        <s v="Radio PMR In Stadium"/>
        <m u="1"/>
      </sharedItems>
    </cacheField>
    <cacheField name="Technical Description" numFmtId="0">
      <sharedItems/>
    </cacheField>
    <cacheField name="Old Quantity" numFmtId="0">
      <sharedItems containsSemiMixedTypes="0" containsString="0" containsNumber="1" containsInteger="1" minValue="0" maxValue="80"/>
    </cacheField>
    <cacheField name="Network Drops" numFmtId="0">
      <sharedItems containsSemiMixedTypes="0" containsString="0" containsNumber="1" containsInteger="1" minValue="0" maxValue="12"/>
    </cacheField>
    <cacheField name="SIM Cards" numFmtId="0">
      <sharedItems containsSemiMixedTypes="0" containsString="0" containsNumber="1" containsInteger="1" minValue="0" maxValue="100"/>
    </cacheField>
    <cacheField name="Quantity2" numFmtId="0">
      <sharedItems containsSemiMixedTypes="0" containsString="0" containsNumber="1" containsInteger="1" minValue="1" maxValue="100"/>
    </cacheField>
    <cacheField name="Network Drops2" numFmtId="0">
      <sharedItems containsSemiMixedTypes="0" containsString="0" containsNumber="1" containsInteger="1" minValue="0" maxValue="12"/>
    </cacheField>
    <cacheField name="SIM Cards2" numFmtId="0">
      <sharedItems containsSemiMixedTypes="0" containsString="0" containsNumber="1" containsInteger="1" minValue="0" maxValue="100"/>
    </cacheField>
    <cacheField name="Provided by" numFmtId="0">
      <sharedItems/>
    </cacheField>
    <cacheField name="Venue" numFmtId="0">
      <sharedItems count="2">
        <s v="Aspire Center - HQ"/>
        <s v="Khalifa"/>
      </sharedItems>
    </cacheField>
    <cacheField name="Area" numFmtId="0">
      <sharedItems/>
    </cacheField>
    <cacheField name="Space" numFmtId="0">
      <sharedItems count="74">
        <s v="Entertainment Control Room AE live"/>
        <s v="FIFA/LOC Offices"/>
        <s v="Broadcast and Streaming Office"/>
        <s v="Doping Control Room"/>
        <s v="Broadcast and Streaming Office 1"/>
        <s v="Broadcast and Streaming Office 2"/>
        <s v="MRL behind goal - Left side"/>
        <s v="MRL behind goal - Right side"/>
        <s v="MRL Positions - Left - 16m line"/>
        <s v="MRL Positions - Right - 16m line"/>
        <s v="OB Van 1"/>
        <s v="OB Van 2"/>
        <s v="Satellite and HB Cabin 1"/>
        <s v="Satellite and HB Cabin 2"/>
        <s v="SMC/MEO/WD/Mixed Zone"/>
        <s v="Commentary Position"/>
        <s v="OB Van"/>
        <s v="Satellite and HB Cabin"/>
        <s v="Tunel"/>
        <s v="Match Director Office"/>
        <s v="Small Match Director cabin"/>
        <s v="MCM Room"/>
        <s v="Press Conference Room"/>
        <s v="FIFA/Venue Technology Office"/>
        <s v="TSG"/>
        <s v="FVS cabin A BC1"/>
        <s v="FVS cabin B BC1"/>
        <s v="FVS cabin C BC1"/>
        <s v="FVS cabin BC2"/>
        <s v="FTI Equipment Cabin BC1"/>
        <s v="FTI Equipment Cabin BC2"/>
        <s v="FVS Cabin"/>
        <s v="FTI equipment cabin"/>
        <s v="VIP Lounge"/>
        <s v="Protocol Office"/>
        <s v="Media Tribune"/>
        <s v="Behind goal remote left"/>
        <s v="Behind goal remote right"/>
        <s v="FIFA Photo Positions - Left - 16m line"/>
        <s v="FIFA Photo Positions - Right - 16m line"/>
        <s v="Photographers Positions - Left side"/>
        <s v="Photographers Positions - Right side"/>
        <s v="Media Information / Welcome Desk"/>
        <s v="MEO office"/>
        <s v="Mixed Zone"/>
        <s v="Stadium Media Centre"/>
        <s v="Class Room - Olympia "/>
        <s v="Technical / Match Analysts - Office(s) in 1st floor"/>
        <s v="REF Management - Lab 2"/>
        <s v="REF Administration - Glass office (1st floor)"/>
        <s v="Fitness Office"/>
        <s v="Instant Feedback"/>
        <s v="Referees Accommodation"/>
        <s v="Physio/ Medical Room - GF"/>
        <s v="Security Room (VOC)"/>
        <s v="Team Dressing Rooms"/>
        <s v="Players Holding Area (Lounge)"/>
        <s v="Venue Office"/>
        <s v="Radio Distribution Office"/>
        <s v="VOL Centre"/>
        <s v="FIFA/LOC Workforce Area"/>
        <s v="FIFA Storage"/>
        <s v="FIFA/LOC Meeting Room"/>
        <s v="LOC Offices/Storage Area"/>
        <s v="Youth Programme Area"/>
        <s v="Brand Activation Area 1"/>
        <s v="Brand Activation Area 2"/>
        <s v="Brand Activation Area 3"/>
        <s v="Brand Activation Area"/>
        <s v="Field of Play - LED operator"/>
        <s v="Content cabin" u="1"/>
        <s v="Infotainment Control Room" u="1"/>
        <s v="Small Match Director cabin - Pitch 4" u="1"/>
        <s v="Small Match Director cabin - Pitch 9" u="1"/>
      </sharedItems>
    </cacheField>
    <cacheField name="FIFA Department" numFmtId="0">
      <sharedItems count="23">
        <s v="Entertainment"/>
        <s v="FIFA Content"/>
        <s v="FIFA Anti Doping"/>
        <s v="FIFA Broadcast"/>
        <s v="FIFA Competitions"/>
        <s v="FIFA Data Management"/>
        <s v="FIFA Digital Marketing"/>
        <s v="FIFA Event Technology"/>
        <s v="FIFA Films"/>
        <s v="FIFA FTI"/>
        <s v="FIFA Guest Operations"/>
        <s v="FIFA Media"/>
        <s v="FIFA Referees"/>
        <s v="FIFA Security"/>
        <s v="FIFA Team Services"/>
        <s v="FIFA Transport"/>
        <s v="FIFA Travel"/>
        <s v="FIFA Venue Management"/>
        <s v="FIFA Volunteer"/>
        <s v="FIFA Workforce"/>
        <s v="Partner Rights Delivery"/>
        <s v="Safeguarding"/>
        <s v="Travel" u="1"/>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916.424708217593" createdVersion="8" refreshedVersion="8" minRefreshableVersion="3" recordCount="306" xr:uid="{9A60EB02-4293-4280-8D59-DCC937B7909D}">
  <cacheSource type="worksheet">
    <worksheetSource ref="A2:U311" sheet="TEAP Data Entry"/>
  </cacheSource>
  <cacheFields count="20">
    <cacheField name="Code" numFmtId="0">
      <sharedItems/>
    </cacheField>
    <cacheField name="FP Name" numFmtId="0">
      <sharedItems containsBlank="1" count="71">
        <s v="24&quot; Monitor - HDMI/DP"/>
        <s v="Wireless coverage - Shared Internet Service - Wi-Fi FIFA"/>
        <s v="MFD Desktop - Colour - A4 - Network"/>
        <s v="Wired Port - Media Internet"/>
        <s v="Wired Port - Content"/>
        <s v="TV - Large - IPTV"/>
        <s v="TV Stand - Medium &amp; Large TVs"/>
        <s v="Tablet - FIFA Professional Tablet + 4G"/>
        <s v="Wired Port - General Internet "/>
        <s v="Wired Port - Stream &amp; World feed"/>
        <s v="Laptop Cable Lock"/>
        <s v="Laptop - Presentation Build"/>
        <s v="Wired Port - ACR-TKT-Ipcodec"/>
        <s v="Wired Port - FTI"/>
        <s v="Portable Speaker"/>
        <s v="TV - Large - Standalone"/>
        <s v="IT Solution - 4G Internet backup "/>
        <s v="Laptop - FIFA Event Build"/>
        <s v="SIM - Data Only"/>
        <s v="SIM - Domestic"/>
        <s v="SIM - International"/>
        <s v="Telephone - Mobile - Smart Phone"/>
        <s v="Internet Service - 50Mbps"/>
        <s v="IT Monitoring network port"/>
        <s v="TV - Medium - Standalone"/>
        <s v="27&quot; Monitor - HDMI/DP"/>
        <s v="Office Projector - 6K"/>
        <s v="Wired Port - TSG"/>
        <s v="Wireless coverage - Shared Internet Service - Wi-Fi VIP"/>
        <s v="Wireless coverage - Internet Service - Wi-Fi Media"/>
        <s v="Audio transformer SDI to USB"/>
        <s v="Webcam"/>
        <s v="AV Solution (Mics + Speakers)"/>
        <s v="Wireless coverage - Internet Service -  Referees"/>
        <s v="MFD Large - Colour - A3 - Network"/>
        <s v="Wired Port - 100Mbps - guaranteed"/>
        <s v="Wireless coverage - Shared Internet Service - Wi-Fi FOOTBALL"/>
        <s v="Radio PMR In Stadium"/>
        <s v="IT Solution - Router + 4G"/>
        <s v="Barcode scanner"/>
        <m u="1"/>
        <s v="Wired Port - Photographers" u="1"/>
        <s v="Printer - Colour - A4 - Network" u="1"/>
        <s v="Tablet - FIFA Professional Tablet" u="1"/>
        <s v="Wired Port - 20Mbps - guaranteed" u="1"/>
        <s v="TV - Medium - IPTV" u="1"/>
        <s v="Wireless coverage - Internet Service - Wi-Fi Guests" u="1"/>
        <s v="Wired Port - Team A" u="1"/>
        <s v="TV - Small - Media Tribunes - RF Distro" u="1"/>
        <s v="Wired Port - Team B" u="1"/>
        <s v="Printer - Colour - A4 - Standalone" u="1"/>
        <s v="Chromecast" u="1"/>
        <s v="Video Cable: HDMI -&gt; HDMI" u="1"/>
        <s v="Tablet - FIFA Standard Tablet + 4G" u="1"/>
        <s v="22&quot; Monitor - HDMI/DP" u="1"/>
        <s v="Wired port- Access control" u="1"/>
        <s v="MFD Desktop - Colour - A4 - Standalone" u="1"/>
        <s v="Keyboard - German Layout" u="1"/>
        <s v="Laptop - FIFA Ticketing Build" u="1"/>
        <s v="USB Mouse" u="1"/>
        <e v="#N/A" u="1"/>
        <s v="IT Solution - Unmanaged Switch 8-Port" u="1"/>
        <s v="Laptop - FIFA Accreditation Build" u="1"/>
        <s v="Patch Cable - 2m" u="1"/>
        <s v="Patch Cable - 5m" u="1"/>
        <s v="Printer - Accreditation - Small" u="1"/>
        <s v="USB Hub - 4-port" u="1"/>
        <s v="Power Adapter - Swiss to Local" u="1"/>
        <s v="Power Bar - 6-Socket - 2m (Swiss)" u="1"/>
        <s v="Electrical Extension Cord - 5m (Swiss)" u="1"/>
        <s v="Telephone - VoIP - International Calling" u="1"/>
      </sharedItems>
    </cacheField>
    <cacheField name="Category" numFmtId="0">
      <sharedItems containsBlank="1" count="12">
        <s v="Peripherals"/>
        <s v="Network &amp; Connectivity"/>
        <s v="Reprographics"/>
        <s v="CATV"/>
        <s v="FIFA IT Hardware"/>
        <s v="Display Devices"/>
        <s v="FIFA IT Network Solutions"/>
        <s v="Telephony"/>
        <s v="Audio"/>
        <s v="Radio"/>
        <m u="1"/>
        <e v="#N/A" u="1"/>
      </sharedItems>
    </cacheField>
    <cacheField name="Packing List Type" numFmtId="0">
      <sharedItems/>
    </cacheField>
    <cacheField name="Internet Access Service" numFmtId="0">
      <sharedItems/>
    </cacheField>
    <cacheField name="Technology Product / Service" numFmtId="0">
      <sharedItems/>
    </cacheField>
    <cacheField name="Technical Description" numFmtId="0">
      <sharedItems/>
    </cacheField>
    <cacheField name="Old Quantity" numFmtId="0">
      <sharedItems containsString="0" containsBlank="1" containsNumber="1" containsInteger="1" minValue="0" maxValue="80"/>
    </cacheField>
    <cacheField name="Network Drops" numFmtId="0">
      <sharedItems containsSemiMixedTypes="0" containsString="0" containsNumber="1" containsInteger="1" minValue="0" maxValue="55"/>
    </cacheField>
    <cacheField name="SIM Cards" numFmtId="0">
      <sharedItems containsSemiMixedTypes="0" containsString="0" containsNumber="1" containsInteger="1" minValue="0" maxValue="100"/>
    </cacheField>
    <cacheField name="Quantity2" numFmtId="0">
      <sharedItems containsSemiMixedTypes="0" containsString="0" containsNumber="1" containsInteger="1" minValue="1" maxValue="100"/>
    </cacheField>
    <cacheField name="Network Drops2" numFmtId="0">
      <sharedItems containsSemiMixedTypes="0" containsString="0" containsNumber="1" containsInteger="1" minValue="0" maxValue="55"/>
    </cacheField>
    <cacheField name="SIM Cards2" numFmtId="0">
      <sharedItems containsSemiMixedTypes="0" containsString="0" containsNumber="1" containsInteger="1" minValue="0" maxValue="100"/>
    </cacheField>
    <cacheField name="Provided by" numFmtId="0">
      <sharedItems containsBlank="1" count="4">
        <s v="LOC IT"/>
        <s v="FIFA Event Technology"/>
        <m u="1"/>
        <s v="Hotel" u="1"/>
      </sharedItems>
    </cacheField>
    <cacheField name="Venue" numFmtId="0">
      <sharedItems containsBlank="1" count="19">
        <s v="Aspire Center - HQ"/>
        <s v="Khalifa"/>
        <s v="Non_Comp"/>
        <m u="1"/>
        <s v="Team Hotel  1" u="1"/>
        <s v="Team Hotel  2" u="1"/>
        <s v="Team Hotel  3" u="1"/>
        <s v="Team Hotel  4" u="1"/>
        <s v="Team Hotel  5" u="1"/>
        <s v="Team Hotel  6" u="1"/>
        <s v="Team Hotel  7" u="1"/>
        <s v="Team Hotel  8" u="1"/>
        <s v="Team Hotel  9" u="1"/>
        <s v="Al Thumama - Training Site" u="1"/>
        <s v="Al Erssal - Training Site" u="1"/>
        <s v="VIP Hotel" u="1"/>
        <s v="REF Basecamp Hotel" u="1"/>
        <s v="Referee training site" u="1"/>
        <s v="ABHA" u="1"/>
      </sharedItems>
    </cacheField>
    <cacheField name="Area" numFmtId="0">
      <sharedItems containsBlank="1" count="75">
        <s v="Pitch 1"/>
        <s v="Pitch 2"/>
        <s v="Pitch 3"/>
        <s v="Pitch 4"/>
        <s v="Pitch 5"/>
        <s v="Pitch 7"/>
        <s v="Pitch 8"/>
        <s v="Pitch 9"/>
        <s v="Stadium Offices"/>
        <s v="Pitch 1-9"/>
        <s v="Aspire Dome - level 2"/>
        <s v="Broadcast Compound"/>
        <s v="Competition area"/>
        <s v="Super Club"/>
        <s v="Broadcast Compound 1"/>
        <s v="Broadcast Compound 2"/>
        <s v="Flash Interview"/>
        <s v="Media Tribunes"/>
        <s v="Field of Play"/>
        <s v="Press Conference Room"/>
        <s v="TSG - Main room"/>
        <s v="TSG - Meeting Room"/>
        <s v="VIP area"/>
        <s v="Stadium Media Centre"/>
        <s v="Mixed Zone"/>
        <s v="Referees Accommodation"/>
        <s v="Training site pitch 10-11"/>
        <s v="Accelerator Building"/>
        <s v="Security Room (VOC)"/>
        <s v="Aspire Dome "/>
        <s v="Aspire Dome - level 1"/>
        <s v="FIFA/LOC Offices"/>
        <s v="Stadium Perimeter"/>
        <s v="Other"/>
        <s v="Main Accreditation Centre (MAC)"/>
        <s v="Aspire Dome"/>
        <s v="Outer Perimeter"/>
        <s v="Pitch 1-10-12" u="1"/>
        <s v="Pitch" u="1"/>
        <s v="VOL Centre" u="1"/>
        <s v="Pitch side" u="1"/>
        <m u="1"/>
        <s v="Pitch 10" u="1"/>
        <s v="Pitch 11" u="1"/>
        <s v="Office Space" u="1"/>
        <s v="Training site pitch 10-12" u="1"/>
        <s v="TSG" u="1"/>
        <s v="Broadcast Compound 3" u="1"/>
        <s v="Pitch 2 " u="1"/>
        <s v="Pitch 5 " u="1"/>
        <s v="Pitch 12" u="1"/>
        <s v="Pitch 1-8" u="1"/>
        <s v="Training site pitch 8-9" u="1"/>
        <s v="Welcome desk" u="1"/>
        <s v="Guest ops office" u="1"/>
        <s v="Workforce Area" u="1"/>
        <s v="Stadium Office" u="1"/>
        <s v="Staff Office" u="1"/>
        <s v="Aspire Dome – Second Floor" u="1"/>
        <s v="Press Conference" u="1"/>
        <s v="FIFA staff hotel" u="1"/>
        <s v="Ticketing Center" u="1"/>
        <s v="WKF Canteen" u="1"/>
        <s v="Stadium outer perimeter" u="1"/>
        <s v="Welcome desk and FIFA Club" u="1"/>
        <s v="Services Office" u="1"/>
        <s v="FIFA Club" u="1"/>
        <s v="Meeting Room" u="1"/>
        <s v="Stadium inner perimeter" u="1"/>
        <s v="Pitch 10-12 " u="1"/>
        <s v="Pitch 2 (QNB ATM)" u="1"/>
        <s v="Pitch 5  (QNB ATM)" u="1"/>
        <s v="Pitch 10-12  (QNB ATM)" u="1"/>
        <s v="IBCC QC / WFC / S&amp;A" u="1"/>
        <s v="Referee training site" u="1"/>
      </sharedItems>
    </cacheField>
    <cacheField name="Space" numFmtId="0">
      <sharedItems containsBlank="1" count="145">
        <s v="Entertainment Control Room AE live"/>
        <s v="FIFA/LOC Offices"/>
        <s v="Broadcast and Streaming Office"/>
        <s v="Doping Control Room"/>
        <s v="Broadcast and Streaming Office 1"/>
        <s v="Broadcast and Streaming Office 2"/>
        <s v="MRL behind goal - Left side"/>
        <s v="MRL behind goal - Right side"/>
        <s v="MRL Positions - Left - 16m line"/>
        <s v="MRL Positions - Right - 16m line"/>
        <s v="OB Van 1"/>
        <s v="OB Van 2"/>
        <s v="Satellite and HB Cabin 1"/>
        <s v="Satellite and HB Cabin 2"/>
        <s v="SMC/MEO/WD/Mixed Zone"/>
        <s v="Commentary Position"/>
        <s v="OB Van"/>
        <s v="Satellite and HB Cabin"/>
        <s v="Tunel"/>
        <s v="Match Director Office"/>
        <s v="Small Match Director cabin"/>
        <s v="MCM Room"/>
        <s v="Press Conference Room"/>
        <s v="FIFA/Venue Technology Office"/>
        <s v="TSG"/>
        <s v="FVS cabin A BC1"/>
        <s v="FVS cabin B BC1"/>
        <s v="FVS cabin C BC1"/>
        <s v="FVS cabin BC2"/>
        <s v="FTI Equipment Cabin BC1"/>
        <s v="FTI Equipment Cabin BC2"/>
        <s v="FVS Cabin"/>
        <s v="FTI equipment cabin"/>
        <s v="VIP Lounge"/>
        <s v="Protocol Office"/>
        <s v="Media Tribune"/>
        <s v="Behind goal remote left"/>
        <s v="Behind goal remote right"/>
        <s v="FIFA Photo Positions - Left - 16m line"/>
        <s v="FIFA Photo Positions - Right - 16m line"/>
        <s v="Photographers Positions - Left side"/>
        <s v="Photographers Positions - Right side"/>
        <s v="Media Information / Welcome Desk"/>
        <s v="MEO office"/>
        <s v="Mixed Zone"/>
        <s v="Stadium Media Centre"/>
        <s v="Class Room - Olympia "/>
        <s v="Technical / Match Analysts - Office(s) in 1st floor"/>
        <s v="REF Management - Lab 2"/>
        <s v="REF Administration - Glass office (1st floor)"/>
        <s v="Fitness Office"/>
        <s v="Instant Feedback"/>
        <s v="Referees Accommodation"/>
        <s v="Physio/ Medical Room - GF"/>
        <s v="Security Room (VOC)"/>
        <s v="Team Dressing Rooms"/>
        <s v="Players Holding Area (Lounge)"/>
        <s v="Venue Office"/>
        <s v="Radio Distribution Office"/>
        <s v="VOL Centre"/>
        <s v="FIFA/LOC Workforce Area"/>
        <s v="FIFA Storage"/>
        <s v="FIFA/LOC Meeting Room"/>
        <s v="LOC Offices/Storage Area"/>
        <s v="Youth Programme Area"/>
        <s v="Brand Activation Area 1"/>
        <s v="Brand Activation Area 2"/>
        <s v="Brand Activation Area 3"/>
        <s v="Brand Activation Area"/>
        <s v="Field of Play - LED operator"/>
        <m/>
        <s v="Several locations inside MAC"/>
        <s v="Bulk Distribution area"/>
        <s v="MAC"/>
        <s v="Meeting room and Director's office"/>
        <s v="WKF Canteen"/>
        <s v="Fan Zone Operational area"/>
        <s v="Infotainment Control Room" u="1"/>
        <s v="Small Match Director cabin - Pitch 4" u="1"/>
        <s v="Small Match Director cabin - Pitch 9" u="1"/>
        <s v="Content cabin" u="1"/>
        <s v="FVS cabin 1" u="1"/>
        <s v="FVS cabin 2" u="1"/>
        <s v="FTI cabin BC1" u="1"/>
        <s v="FTI cabin BC2" u="1"/>
        <s v="Class Room" u="1"/>
        <s v="Technical / Match Analysts" u="1"/>
        <s v="REF Management" u="1"/>
        <s v="REF Administration" u="1"/>
        <s v="Physio/ Medical Room" u="1"/>
        <s v="Team Meeting Room" u="1"/>
        <s v="Commentary Tribune" u="1"/>
        <s v="Small Match Director cabin - Pitch 8" u="1"/>
        <s v="Small Match Director cabin - Pitch 3" u="1"/>
        <s v="Small Match Director cabin - pitch 7" u="1"/>
        <s v="Analysts desk A" u="1"/>
        <s v="Analysts desk B" u="1"/>
        <s v="Fan Entertainment and F&amp;B" u="1"/>
        <s v="Event Data Collector" u="1"/>
        <s v="Dressing Room Team A" u="1"/>
        <s v="Dressing Room Team B" u="1"/>
        <s v="Team Bench A" u="1"/>
        <s v="Small Match Director cabin - Pitch 1" u="1"/>
        <s v="Small Match Director cabin - Pitch 2" u="1"/>
        <s v="Small Match Director cabin - Pitch 5" u="1"/>
        <s v="Small Match Director cabin - Pitch 10" u="1"/>
        <s v="Small Match Director cabin - Pitch 12" u="1"/>
        <s v="Team Bench B" u="1"/>
        <s v="Fourth Official Bench" u="1"/>
        <s v="Team Benches" u="1"/>
        <s v="FTI cabin" u="1"/>
        <s v="Youth Programme" u="1"/>
        <s v="Welcome desk" u="1"/>
        <s v="Guest ops office" u="1"/>
        <s v="Press Conference" u="1"/>
        <s v="FIFA staff hotel" u="1"/>
        <s v="Ticketing APP ops" u="1"/>
        <s v="Stadium Office" u="1"/>
        <s v="Offices Venue Team" u="1"/>
        <s v="Access Management Office" u="1"/>
        <s v="Stadium Ticketing Center 1" u="1"/>
        <s v="VIP / VVIP Lounge" u="1"/>
        <s v="Welcome desk and FIFA Club" u="1"/>
        <s v="FIFA Club" u="1"/>
        <s v="Meeting Room" u="1"/>
        <s v="Stadium Ticketing Center 2" u="1"/>
        <s v="Ticketing Resolution Point (6)" u="1"/>
        <s v="Stadium Ticketing Center" u="1"/>
        <s v="Ticketing Resolution Point (4)" u="1"/>
        <s v="Accreditation Centre" u="1"/>
        <s v="Doping Control Holding Area" u="1"/>
        <s v="FIFA staff area" u="1"/>
        <s v="Visa Office" u="1"/>
        <s v="Venue Technology office" u="1"/>
        <s v="Graphics AE live" u="1"/>
        <s v="Infotainment Control Room AE live" u="1"/>
        <s v="QC / WFC / S&amp;A WF Coordination" u="1"/>
        <s v="FIFA Technology Office" u="1"/>
        <s v="Match Analysts Huila" u="1"/>
        <s v="Operational Spaces" u="1"/>
        <s v="REF Administration Cauca" u="1"/>
        <s v="Fitness Office Tolima" u="1"/>
        <s v="Classroom Dorado 2" u="1"/>
        <s v="VAR cabin" u="1"/>
        <s v="OTS/LPS Cabin" u="1"/>
      </sharedItems>
    </cacheField>
    <cacheField name="FIFA Department" numFmtId="0">
      <sharedItems containsBlank="1" count="35">
        <s v="Entertainment"/>
        <s v="FIFA Content"/>
        <s v="FIFA Anti Doping"/>
        <s v="FIFA Broadcast"/>
        <s v="FIFA Competitions"/>
        <s v="FIFA Data Management"/>
        <s v="FIFA Digital Marketing"/>
        <s v="FIFA Event Technology"/>
        <s v="FIFA Films"/>
        <s v="FIFA FTI"/>
        <s v="FIFA Guest Operations"/>
        <s v="FIFA Media"/>
        <s v="FIFA Referees"/>
        <s v="FIFA Security"/>
        <s v="FIFA Team Services"/>
        <s v="FIFA Transport"/>
        <s v="FIFA Travel"/>
        <s v="FIFA Venue Management"/>
        <s v="FIFA Volunteer"/>
        <s v="FIFA Workforce"/>
        <s v="Partner Rights Delivery"/>
        <s v="Safeguarding"/>
        <s v="LOC Access Management "/>
        <s v="LOC Accreditation"/>
        <s v="LOC Catering"/>
        <s v="LOC Events and Community Relations "/>
        <m u="1"/>
        <s v="FIFA Medical Services" u="1"/>
        <s v="FIFA MBBI" u="1"/>
        <s v="Catering" u="1"/>
        <s v="Access Management" u="1"/>
        <s v="FIFA Ticketing" u="1"/>
        <s v="FIFA Accreditation" u="1"/>
        <s v="FIFA TV" u="1"/>
        <s v="FIFA Marketing" u="1"/>
      </sharedItems>
    </cacheField>
    <cacheField name="Department" numFmtId="0">
      <sharedItems/>
    </cacheField>
    <cacheField name="Notes" numFmtId="0">
      <sharedItems containsBlank="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Pavel Kornilov" refreshedDate="45918.437182986112" createdVersion="8" refreshedVersion="8" minRefreshableVersion="3" recordCount="198" xr:uid="{7BBA9C96-605B-46B5-A44E-50CE79ABB6B1}">
  <cacheSource type="worksheet">
    <worksheetSource name="t_requirements"/>
  </cacheSource>
  <cacheFields count="13">
    <cacheField name="FA" numFmtId="0">
      <sharedItems count="17">
        <s v="ACS"/>
        <s v="ACR"/>
        <s v="CAT"/>
        <s v="ECR"/>
        <s v="FNB"/>
        <s v="LOG"/>
        <s v="MED"/>
        <s v="PWR"/>
        <s v="SPS"/>
        <s v="SSOC"/>
        <s v="TSV"/>
        <s v="VUM"/>
        <s v="WKF"/>
        <s v="CPM"/>
        <s v="MOB"/>
        <s v="TKT"/>
        <s v="AND"/>
      </sharedItems>
    </cacheField>
    <cacheField name="FA Name" numFmtId="0">
      <sharedItems/>
    </cacheField>
    <cacheField name="Venue" numFmtId="0">
      <sharedItems count="3">
        <s v="Aspire_Center"/>
        <s v="KIS"/>
        <s v="Non_Comp"/>
      </sharedItems>
    </cacheField>
    <cacheField name="Area" numFmtId="0">
      <sharedItems count="22">
        <s v="Other"/>
        <s v="Main Accreditation Centre (MAC)"/>
        <s v="Aspire Dome"/>
        <s v="Outer Perimeter"/>
        <s v="Stadium Outer Perimeter"/>
        <s v="Pitch 2"/>
        <s v="Pitch 5"/>
        <s v="RSP"/>
        <s v="Super Club"/>
        <s v="Pitch 8"/>
        <s v="Pitch 1"/>
        <s v="Fan Zone"/>
        <s v="Competition Areas"/>
        <s v="VIP/VVIP Areas"/>
        <s v="Stadium Inner Perimeter"/>
        <s v="Stadium Offices"/>
        <s v="Accelerator Building"/>
        <s v="Hospitality Areas"/>
        <s v="Uniform Distribution"/>
        <s v="Players Holding Area (Lounge)"/>
        <s v="MOC"/>
        <s v="Inner Perimeter"/>
      </sharedItems>
    </cacheField>
    <cacheField name="Space" numFmtId="0">
      <sharedItems containsBlank="1" count="57">
        <m/>
        <s v="Several locations inside MAC"/>
        <s v="Bulk Distribution area"/>
        <s v="MAC"/>
        <s v="Meeting room and Director's office"/>
        <s v="WKF Canteen"/>
        <s v="Fan Zone Operational area"/>
        <s v="F&amp;B AREA"/>
        <s v="LOG Compound"/>
        <s v="LOG Point"/>
        <s v="LCC Logistics Coordination Center"/>
        <s v="VIP Medical Clinic"/>
        <s v="Player Medical Clinic in Pitch 8 Building"/>
        <s v="Player Medical Clinic nr Pitch 1"/>
        <s v="Spectator Clinic nr Fan Zone"/>
        <s v="Player Medical Clinic"/>
        <s v="VVIP Medical Clinic"/>
        <s v="Spectator Clinics"/>
        <s v="Restricted Item storage"/>
        <s v="SPS office"/>
        <s v="SPS office "/>
        <s v="Venue Commander's Office"/>
        <s v="Venue Commander's Office (5)"/>
        <s v="Venue Security Coordinators' office (5)"/>
        <s v="Admin office (10)"/>
        <s v="Venue Security Coordinators' office"/>
        <s v="Venue Commander' office (5)"/>
        <s v="with the TLOs "/>
        <s v="LOC General Office"/>
        <s v="Meeting Room"/>
        <s v="Offices"/>
        <s v="Venue Operations Centre"/>
        <s v="Training Centre Welcome Desk "/>
        <s v="Tranining Centre Welcome Desk "/>
        <s v="Welome Desk &amp; Training Rooms "/>
        <s v="Training Room "/>
        <s v="Volunteer Support Services Centre"/>
        <s v="Uniform Distribution Centre"/>
        <s v="WKF Centre"/>
        <s v="Players Holding Area (Lounge)"/>
        <s v="Mobility External Office "/>
        <s v="VAPP Office"/>
        <s v="BUSS AND FLEETS OPS CENTER"/>
        <s v="EVENT TRANSPORT OFFICE"/>
        <s v="STC 1-4 (4 portable cabins)"/>
        <s v="Aspire Complex entry points (3)_x000a_North, South &amp; East"/>
        <s v="Ticketing Resolution Points (4) - TBC"/>
        <s v="Pitch 1-8 entry points (8) - TBC"/>
        <s v="Venue Ticketing office (1) - TBC"/>
        <s v="Venue EACS office (1) - TBC"/>
        <s v="Venue Operations Centre (VOC) (1)"/>
        <s v="STC 1-6 (6 portable cabins)"/>
        <s v="Outer perimeter entry points (M&amp;Bs) (6)"/>
        <s v="Ticketing Resolution points 1-4 (4)"/>
        <s v="Entry gates (TBC)"/>
        <s v="Ticketing HQ (LOCATION TBC)"/>
        <s v="Al Maha Office"/>
      </sharedItems>
    </cacheField>
    <cacheField name="Category" numFmtId="0">
      <sharedItems/>
    </cacheField>
    <cacheField name="Item" numFmtId="0">
      <sharedItems count="18">
        <s v="Telecom - SIM - Data Only"/>
        <s v="Telecom - MiFi - Router"/>
        <s v="Printing - Dedicated - Colour - A4"/>
        <s v="Printing - Dedicated - Colour - A3"/>
        <s v="EU - Laptop - Event Operations"/>
        <s v="EU - Barcode scanner"/>
        <s v="EU - Special Request"/>
        <s v="Network - Wired Port - General Internet "/>
        <s v="WiFi - General WiFi"/>
        <s v="TV - Large - IPTV"/>
        <s v="AV - TV - Large - Standalone"/>
        <s v="Printing - Access to Printer"/>
        <s v="EU - Monitor"/>
        <s v="AV - Portable Speaker"/>
        <s v="Telco - Special Request"/>
        <s v="AV - Special Request"/>
        <s v="WiFi - Football"/>
        <s v="Network - Special Request"/>
      </sharedItems>
    </cacheField>
    <cacheField name="Quantity " numFmtId="0">
      <sharedItems containsSemiMixedTypes="0" containsString="0" containsNumber="1" containsInteger="1" minValue="0" maxValue="100" count="15">
        <n v="37"/>
        <n v="2"/>
        <n v="90"/>
        <n v="0"/>
        <n v="1"/>
        <n v="6"/>
        <n v="4"/>
        <n v="5"/>
        <n v="3"/>
        <n v="10"/>
        <n v="15"/>
        <n v="8"/>
        <n v="30"/>
        <n v="24"/>
        <n v="100"/>
      </sharedItems>
    </cacheField>
    <cacheField name="Start Date" numFmtId="0">
      <sharedItems containsSemiMixedTypes="0" containsNonDate="0" containsDate="1" containsString="0" minDate="2025-07-01T00:00:00" maxDate="2025-11-27T00:00:00"/>
    </cacheField>
    <cacheField name="End Date" numFmtId="0">
      <sharedItems containsSemiMixedTypes="0" containsNonDate="0" containsDate="1" containsString="0" minDate="2025-11-27T00:00:00" maxDate="2026-01-01T00:00:00"/>
    </cacheField>
    <cacheField name="Code" numFmtId="0">
      <sharedItems/>
    </cacheField>
    <cacheField name="ICT Comment" numFmtId="0">
      <sharedItems containsBlank="1"/>
    </cacheField>
    <cacheField name="Notes" numFmtId="0">
      <sharedItems containsBlank="1"/>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RichData</xxpvi:lastRefreshFeature>
      </xxpvi:cacheVersionInfo>
    </ext>
    <ext xmlns:xprd="http://schemas.microsoft.com/office/spreadsheetml/2022/pivotRichData" uri="{2C874A73-7782-4A18-856F-96AC7E287872}">
      <xprd:richInfo pivotCacheGuid="{7BBA9C96-605B-46B5-A44E-50CE79ABB6B1}" pivotIgnoreInvalidCache="1" r:id="rId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el Kornilov" refreshedDate="45922.545820370367" createdVersion="8" refreshedVersion="8" minRefreshableVersion="3" recordCount="477" xr:uid="{B8A1549F-1661-4711-8D4C-14924062AF2E}">
  <cacheSource type="worksheet">
    <worksheetSource ref="A2:V483" sheet="TEAP Data Entry"/>
  </cacheSource>
  <cacheFields count="21">
    <cacheField name="Code" numFmtId="0">
      <sharedItems/>
    </cacheField>
    <cacheField name="FP Name" numFmtId="0">
      <sharedItems/>
    </cacheField>
    <cacheField name="Category" numFmtId="0">
      <sharedItems count="10">
        <s v="Peripherals"/>
        <s v="Network &amp; Connectivity"/>
        <s v="Reprographics"/>
        <s v="CATV"/>
        <s v="FIFA IT Hardware"/>
        <s v="Display Devices"/>
        <s v="FIFA IT Network Solutions"/>
        <s v="Telephony"/>
        <s v="Audio"/>
        <s v="Radio"/>
      </sharedItems>
    </cacheField>
    <cacheField name="Packing List Type" numFmtId="0">
      <sharedItems/>
    </cacheField>
    <cacheField name="Internet Access Service" numFmtId="0">
      <sharedItems/>
    </cacheField>
    <cacheField name="Technology Product / Service" numFmtId="0">
      <sharedItems count="40">
        <s v="24&quot; PC Monitor"/>
        <s v="Wireless coverage - Shared Internet Service - FIFA"/>
        <s v="Colour Printer / Scanner (A4)"/>
        <s v="Wired Port - Internet for Media"/>
        <s v="Wired Port - Content"/>
        <s v="Large TV - CATV Feed"/>
        <s v="TV Stand for medium and large TVs"/>
        <s v="Professional Series Tablet + 4G"/>
        <s v="Wired Port - Internet"/>
        <s v="Wired Port - Stream &amp; World feed"/>
        <s v="Laptop Cable Lock"/>
        <s v="FIFA Presentation Laptop"/>
        <s v="Wired Port - ACR-TKT-Ipcodec"/>
        <s v="Wired Port - FTI"/>
        <s v="Portable Speaker"/>
        <s v="Large TV - Standalone"/>
        <s v="IT Solution - 4G Internet backup "/>
        <s v="FIFA Laptop"/>
        <s v="Local SIM Card - Data Only"/>
        <s v="Local SIM Card"/>
        <s v="Local SIM Card + International"/>
        <s v="Smart Phone"/>
        <s v="Internet Service - 50Mbps"/>
        <s v="FIFA IT Monitoring network port"/>
        <s v="Medium TV - Standalone"/>
        <s v="27&quot; PC Monitor"/>
        <s v="Office Projector - 6K"/>
        <s v="Wired Port - TSG"/>
        <s v="Wireless coverage - Shared Internet Service - VIP"/>
        <s v="Wireless coverage - Internet Service - Media"/>
        <s v="Audio transformer SDI to USB"/>
        <s v="Webcam"/>
        <s v="Professional Speakers and Microphones"/>
        <s v="Wireless coverage - Internet Service -  Referees"/>
        <s v="Large Colour Printer / Scanner (A3)"/>
        <s v="Cabled Internet - 100Mbps"/>
        <s v="Wireless coverage - Shared Internet Service - FOOTBALL"/>
        <s v="Radio PMR In Stadium"/>
        <s v="IT Solution - Router + 4G"/>
        <s v="Barcode scanner"/>
      </sharedItems>
    </cacheField>
    <cacheField name="Technical Description" numFmtId="0">
      <sharedItems count="40">
        <s v="DSKMNT - 24&quot; Monitor - HDMI/DP"/>
        <s v="IS00WF - Wireless coverage - Shared Internet Service - Wi-Fi FIFA (General Internet Access)"/>
        <s v="MFDDNW - MFD Desktop - Colour - A4 - Network (General Internet Access)"/>
        <s v="WRDMED - Wired Port - Media Internet (Media Internet Access Media)"/>
        <s v="WRDSTU - Wired Port - Content (FIFA Technical Content)"/>
        <s v="TVLGIP - TV - Large - IPTV"/>
        <s v="TVSTND - TV Stand - Medium &amp; Large TVs"/>
        <s v="TABLEN - Tablet - FIFA Professional Tablet + 4G"/>
        <s v="WRDGEN - Wired Port - General Internet  (General Internet Access)"/>
        <s v="WRDSTR - Wired Port - Stream &amp; World feed (Stream Fabs &amp; W Feed)"/>
        <s v="CABLOK - Laptop Cable Lock"/>
        <s v="LAPPRE - Laptop - Presentation Build"/>
        <s v="WRDSTA - Wired Port - ACR-TKT-Ipcodec (FIFA Standard Internet Access)"/>
        <s v="WRDFTI - Wired Port - FTI (FIFA Technical FTI)"/>
        <s v="PORSPE - Portable Speaker"/>
        <s v="TVLGSA - TV - Large - Standalone"/>
        <s v="ITSIBU - IT Solution - 4G Internet backup "/>
        <s v="LAPEVT - Laptop - FIFA Event Build"/>
        <s v="SIMDAT - SIM - Data Only"/>
        <s v="SIMDOM - SIM - Domestic"/>
        <s v="SIMINT - SIM - International"/>
        <s v="TELMOB - Telephone - Mobile - Smart Phone"/>
        <s v="IS0050 - Internet Service - 50Mbps"/>
        <s v="ITMON - IT Monitoring network port (Monitoring VLAN)"/>
        <s v="TVMDSA - TV - Medium - Standalone"/>
        <s v="DSK27M - 27&quot; Monitor - HDMI/DP"/>
        <s v="PROJ6K - Office Projector - 6K"/>
        <s v="WRDTSG - Wired Port - TSG (FIFA Technical TSG)"/>
        <s v="IS00VP - Wireless coverage - Shared Internet Service - Wi-Fi VIP (General Internet Access)"/>
        <s v="IS00WM - Wireless coverage - Internet Service - Wi-Fi Media (Media Internet Access)"/>
        <s v="AUDUSB - Audio transformer SDI to USB"/>
        <s v="CAM001 - Webcam"/>
        <s v="AVMSYS - AV Solution (Mics + Speakers)"/>
        <s v="IS00WR - Wireless coverage - Internet Service -  Referees (General Internet Access)"/>
        <s v="MFDLNW - MFD Large - Colour - A3 - Network (General Internet Access)"/>
        <s v="WDF100 - Wired Port - 100Mbps - guaranteed (FIFA Technical Internet Access)"/>
        <s v="IS00WS - Wireless coverage - Shared Internet Service - Wi-Fi FOOTBALL (VIP Internet Access)"/>
        <s v="RADIO - Radio PMR In Stadium"/>
        <s v="ITSR4G - IT Solution - Router + 4G"/>
        <s v="ACCBAR - Barcode scanner"/>
      </sharedItems>
    </cacheField>
    <cacheField name="Old Quantity" numFmtId="0">
      <sharedItems containsString="0" containsBlank="1" containsNumber="1" containsInteger="1" minValue="0" maxValue="80"/>
    </cacheField>
    <cacheField name="Network Drops" numFmtId="0">
      <sharedItems containsSemiMixedTypes="0" containsString="0" containsNumber="1" containsInteger="1" minValue="0" maxValue="12"/>
    </cacheField>
    <cacheField name="SIM Cards" numFmtId="0">
      <sharedItems containsSemiMixedTypes="0" containsString="0" containsNumber="1" containsInteger="1" minValue="0" maxValue="100"/>
    </cacheField>
    <cacheField name="New Quantity" numFmtId="0">
      <sharedItems containsSemiMixedTypes="0" containsString="0" containsNumber="1" containsInteger="1" minValue="0" maxValue="100"/>
    </cacheField>
    <cacheField name="Network Drops2" numFmtId="0">
      <sharedItems containsSemiMixedTypes="0" containsString="0" containsNumber="1" containsInteger="1" minValue="0" maxValue="12"/>
    </cacheField>
    <cacheField name="SIM Cards2" numFmtId="0">
      <sharedItems containsSemiMixedTypes="0" containsString="0" containsNumber="1" containsInteger="1" minValue="0" maxValue="100"/>
    </cacheField>
    <cacheField name="Provided by" numFmtId="0">
      <sharedItems/>
    </cacheField>
    <cacheField name="Venue" numFmtId="0">
      <sharedItems count="3">
        <s v="Aspire Center - HQ"/>
        <s v="Khalifa"/>
        <s v="Non_Comp"/>
      </sharedItems>
    </cacheField>
    <cacheField name="Area" numFmtId="0">
      <sharedItems count="48">
        <s v="Pitch 1"/>
        <s v="Pitch 2"/>
        <s v="Pitch 3"/>
        <s v="Pitch 4"/>
        <s v="Pitch 5"/>
        <s v="Pitch 7"/>
        <s v="Pitch 8"/>
        <s v="Pitch 9"/>
        <s v="Stadium Offices"/>
        <s v="Pitch 1-9"/>
        <s v="Aspire Dome - level 2"/>
        <s v="Broadcast Compound"/>
        <s v="Competition area"/>
        <s v="Super Club"/>
        <s v="Broadcast Compound 1"/>
        <s v="Broadcast Compound 2"/>
        <s v="Flash Interview"/>
        <s v="Media Tribunes"/>
        <s v="Field of Play"/>
        <s v="Press Conference Room"/>
        <s v="TSG - Main room"/>
        <s v="TSG - Meeting Room"/>
        <s v="VIP area"/>
        <s v="Stadium Media Centre"/>
        <s v="Mixed Zone"/>
        <s v="Referees Accommodation"/>
        <s v="Training site pitch 10-11"/>
        <s v="Accelerator Building"/>
        <s v="Security Room (VOC)"/>
        <s v="Aspire Dome "/>
        <s v="Aspire Dome - level 1"/>
        <s v="FIFA/LOC Offices"/>
        <s v="Stadium Perimeter"/>
        <s v="Other"/>
        <s v="Main Accreditation Centre (MAC)"/>
        <s v="Aspire Dome"/>
        <s v="Outer Perimeter"/>
        <s v="Stadium Outer Perimeter"/>
        <s v="RSP"/>
        <s v="Fan Zone"/>
        <s v="Competition Areas"/>
        <s v="VIP/VVIP Areas"/>
        <s v="Stadium Inner Perimeter"/>
        <s v="Hospitality Areas"/>
        <s v="Uniform Distribution"/>
        <s v="Players Holding Area (Lounge)"/>
        <s v="MOC"/>
        <s v="Inner Perimeter"/>
      </sharedItems>
    </cacheField>
    <cacheField name="Space" numFmtId="0">
      <sharedItems containsBlank="1" count="125">
        <s v="Entertainment Control Room AE live"/>
        <s v="FIFA/LOC Offices"/>
        <s v="Broadcast and Streaming Office"/>
        <s v="Doping Control Room"/>
        <s v="Broadcast and Streaming Office 1"/>
        <s v="Broadcast and Streaming Office 2"/>
        <s v="MRL behind goal - Left side"/>
        <s v="MRL behind goal - Right side"/>
        <s v="MRL Positions - Left - 16m line"/>
        <s v="MRL Positions - Right - 16m line"/>
        <s v="OB Van 1"/>
        <s v="OB Van 2"/>
        <s v="Satellite and HB Cabin 1"/>
        <s v="Satellite and HB Cabin 2"/>
        <s v="SMC/MEO/WD/Mixed Zone"/>
        <s v="Commentary Position"/>
        <s v="OB Van"/>
        <s v="Satellite and HB Cabin"/>
        <s v="Tunel"/>
        <s v="Match Director Office"/>
        <s v="Small Match Director cabin"/>
        <s v="MCM Room"/>
        <s v="Press Conference Room"/>
        <s v="FIFA/Venue Technology Office"/>
        <s v="TSG"/>
        <s v="FVS cabin A BC1"/>
        <s v="FVS cabin B BC1"/>
        <s v="FVS cabin C BC1"/>
        <s v="FVS cabin BC2"/>
        <s v="FTI Equipment Cabin BC1"/>
        <s v="FTI Equipment Cabin BC2"/>
        <s v="FVS Cabin"/>
        <s v="FTI equipment cabin"/>
        <s v="VIP Lounge"/>
        <s v="Protocol Office"/>
        <s v="Media Tribune"/>
        <s v="Behind goal remote left"/>
        <s v="Behind goal remote right"/>
        <s v="FIFA Photo Positions - Left - 16m line"/>
        <s v="FIFA Photo Positions - Right - 16m line"/>
        <s v="Photographers Positions - Left side"/>
        <s v="Photographers Positions - Right side"/>
        <s v="Media Information / Welcome Desk"/>
        <s v="MEO office"/>
        <s v="Mixed Zone"/>
        <s v="Stadium Media Centre"/>
        <s v="Class Room - Olympia "/>
        <s v="Technical / Match Analysts - Office(s) in 1st floor"/>
        <s v="REF Management - Lab 2"/>
        <s v="REF Administration - Glass office (1st floor)"/>
        <s v="Fitness Office"/>
        <s v="Instant Feedback"/>
        <s v="Referees Accommodation"/>
        <s v="Physio/ Medical Room - GF"/>
        <s v="Security Room (VOC)"/>
        <s v="Team Dressing Rooms"/>
        <s v="Players Holding Area (Lounge)"/>
        <s v="Venue Office"/>
        <s v="Radio Distribution Office"/>
        <s v="VOL Centre"/>
        <s v="FIFA/LOC Workforce Area"/>
        <s v="FIFA Storage"/>
        <s v="FIFA/LOC Meeting Room"/>
        <s v="LOC Offices/Storage Area"/>
        <s v="Youth Programme Area"/>
        <s v="Brand Activation Area 1"/>
        <s v="Brand Activation Area 2"/>
        <s v="Brand Activation Area 3"/>
        <s v="Brand Activation Area"/>
        <s v="Field of Play - LED operator"/>
        <m/>
        <s v="Several locations inside MAC"/>
        <s v="Bulk Distribution area"/>
        <s v="MAC"/>
        <s v="Meeting room and Director's office"/>
        <s v="WKF Canteen"/>
        <s v="Fan Zone Operational area"/>
        <s v="F&amp;B AREA"/>
        <s v="LOG Compound"/>
        <s v="LOG Point"/>
        <s v="LCC Logistics Coordination Center"/>
        <s v="VIP Medical Clinic"/>
        <s v="Player Medical Clinic in Pitch 8 Building"/>
        <s v="Player Medical Clinic nr Pitch 1"/>
        <s v="Spectator Clinic nr Fan Zone"/>
        <s v="Player Medical Clinic"/>
        <s v="VVIP Medical Clinic"/>
        <s v="Spectator Clinics"/>
        <s v="Restricted Item storage"/>
        <s v="SPS office"/>
        <s v="SPS office "/>
        <s v="Venue Commander's Office"/>
        <s v="Venue Commander's Office (5)"/>
        <s v="Venue Security Coordinators' office (5)"/>
        <s v="Admin office (10)"/>
        <s v="Venue Security Coordinators' office"/>
        <s v="Venue Commander' office (5)"/>
        <s v="with the TLOs "/>
        <s v="LOC General Office"/>
        <s v="Meeting Room"/>
        <s v="Offices"/>
        <s v="Venue Operations Centre"/>
        <s v="Training Centre Welcome Desk "/>
        <s v="Tranining Centre Welcome Desk "/>
        <s v="Welome Desk &amp; Training Rooms "/>
        <s v="Volunteer Support Services Centre"/>
        <s v="Uniform Distribution Centre"/>
        <s v="WKF Centre"/>
        <s v="Mobility External Office "/>
        <s v="VAPP Office"/>
        <s v="BUSS AND FLEETS OPS CENTER"/>
        <s v="STC 1-4 (4 portable cabins)"/>
        <s v="Aspire Complex entry points (3)"/>
        <s v="North, South &amp; East"/>
        <s v="Ticketing Resolution Points (4) - TBC"/>
        <s v="Pitch 1-8 entry points (8) - TBC"/>
        <s v="Venue Ticketing office (1) - TBC"/>
        <s v="Venue EACS office (1) - TBC"/>
        <s v="Venue Operations Centre (VOC) (1)"/>
        <s v="STC 1-6 (6 portable cabins)"/>
        <s v="Outer perimeter entry points (M&amp;Bs) (6)"/>
        <s v="Ticketing Resolution points 1-4 (4)"/>
        <s v="Entry gates (TBC)"/>
        <s v="Ticketing HQ (LOCATION TBC)"/>
        <s v="Al Maha Office"/>
      </sharedItems>
    </cacheField>
    <cacheField name="FIFA Department" numFmtId="0">
      <sharedItems count="38">
        <s v="Entertainment"/>
        <s v="FIFA Content"/>
        <s v="FIFA Anti Doping"/>
        <s v="FIFA Broadcast"/>
        <s v="FIFA Competitions"/>
        <s v="FIFA Data Management"/>
        <s v="FIFA Digital Marketing"/>
        <s v="FIFA Event Technology"/>
        <s v="FIFA Films"/>
        <s v="FIFA FTI"/>
        <s v="FIFA Guest Operations"/>
        <s v="FIFA Media"/>
        <s v="FIFA Referees"/>
        <s v="FIFA Security"/>
        <s v="FIFA Team Services"/>
        <s v="FIFA Transport"/>
        <s v="FIFA Travel"/>
        <s v="FIFA Venue Management"/>
        <s v="FIFA Volunteer"/>
        <s v="FIFA Workforce"/>
        <s v="Partner Rights Delivery"/>
        <s v="Safeguarding"/>
        <s v="LOC Access Management "/>
        <s v="LOC Accreditation"/>
        <s v="LOC Catering"/>
        <s v="LOC Events and Community Relations "/>
        <s v="LOC Food &amp; Beverage Concessions"/>
        <s v="LOC Logistics"/>
        <s v="LOC Medical"/>
        <s v="LOC Spectator Services"/>
        <s v="LOC SSOC"/>
        <s v="LOC Team Services"/>
        <s v="LOC Venue Management"/>
        <s v="LOC Workforce"/>
        <s v="LOC Competition"/>
        <s v="LOC Mobility"/>
        <s v="LOC Ticketing"/>
        <s v="LOC Arrival &amp; Departure"/>
      </sharedItems>
    </cacheField>
    <cacheField name="Department" numFmtId="0">
      <sharedItems/>
    </cacheField>
    <cacheField name="Notes" numFmtId="0">
      <sharedItems containsBlank="1"/>
    </cacheField>
    <cacheField name="Owner" numFmtId="0">
      <sharedItems/>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el Kornilov" refreshedDate="45930.62583553241" createdVersion="8" refreshedVersion="8" minRefreshableVersion="3" recordCount="479" xr:uid="{BFEDFD26-66FE-4817-B853-FEC01B0D5792}">
  <cacheSource type="worksheet">
    <worksheetSource ref="A2:V486" sheet="TEAP Data Entry"/>
  </cacheSource>
  <cacheFields count="21">
    <cacheField name="Code" numFmtId="0">
      <sharedItems containsBlank="1"/>
    </cacheField>
    <cacheField name="FP Name" numFmtId="0">
      <sharedItems containsBlank="1"/>
    </cacheField>
    <cacheField name="Category" numFmtId="0">
      <sharedItems containsBlank="1"/>
    </cacheField>
    <cacheField name="Packing List Type" numFmtId="0">
      <sharedItems containsBlank="1"/>
    </cacheField>
    <cacheField name="Internet Access Service" numFmtId="0">
      <sharedItems containsBlank="1"/>
    </cacheField>
    <cacheField name="Technology Product / Service" numFmtId="0">
      <sharedItems containsBlank="1" count="41">
        <s v="24&quot; PC Monitor"/>
        <s v="Wireless coverage - Shared Internet Service - FIFA"/>
        <s v="Colour Printer / Scanner (A4)"/>
        <s v="Wired Port - Internet for Media"/>
        <s v="Wired Port - Content"/>
        <s v="Large TV - CATV Feed"/>
        <s v="TV Stand for medium and large TVs"/>
        <s v="Professional Series Tablet + 4G"/>
        <s v="Wired Port - Internet"/>
        <s v="Wired Port - Stream &amp; World feed"/>
        <s v="Laptop Cable Lock"/>
        <s v="FIFA Presentation Laptop"/>
        <s v="Wired Port - ACR-TKT-Ipcodec"/>
        <s v="Wired Port - FTI"/>
        <s v="Portable Speaker"/>
        <s v="Large TV - Standalone"/>
        <s v="IT Solution - 4G Internet backup "/>
        <s v="FIFA Laptop"/>
        <s v="Local SIM Card - Data Only"/>
        <s v="Local SIM Card"/>
        <s v="Local SIM Card + International"/>
        <s v="Smart Phone"/>
        <s v="Internet Service - 50Mbps"/>
        <s v="FIFA IT Monitoring network port"/>
        <s v="Medium TV - Standalone"/>
        <s v="27&quot; PC Monitor"/>
        <s v="Office Projector - 6K"/>
        <s v="Wired Port - TSG"/>
        <s v="Wireless coverage - Shared Internet Service - VIP"/>
        <s v="Wireless coverage - Internet Service - Media"/>
        <s v="Audio transformer SDI to USB"/>
        <s v="Webcam"/>
        <s v="Professional Speakers and Microphones"/>
        <s v="Wireless coverage - Internet Service -  Referees"/>
        <s v="Large Colour Printer / Scanner (A3)"/>
        <s v="Cabled Internet - 100Mbps"/>
        <s v="Wireless coverage - Shared Internet Service - FOOTBALL"/>
        <s v="Radio PMR In Stadium"/>
        <s v="IT Solution - Router + 4G"/>
        <s v="Barcode scanner"/>
        <m/>
      </sharedItems>
    </cacheField>
    <cacheField name="Technical Description" numFmtId="0">
      <sharedItems containsBlank="1" count="41">
        <s v="DSKMNT - 24&quot; Monitor - HDMI/DP"/>
        <s v="IS00WF - Wireless coverage - Shared Internet Service - Wi-Fi FIFA (General Internet Access)"/>
        <s v="MFDDNW - MFD Desktop - Colour - A4 - Network (General Internet Access)"/>
        <s v="WRDMED - Wired Port - Media Internet (Media Internet Access Media)"/>
        <s v="WRDSTU - Wired Port - Content (FIFA Technical Content)"/>
        <s v="TVLGIP - TV - Large - IPTV"/>
        <s v="TVSTND - TV Stand - Medium &amp; Large TVs"/>
        <s v="TABLEN - Tablet - FIFA Professional Tablet + 4G"/>
        <s v="WRDGEN - Wired Port - General Internet  (General Internet Access)"/>
        <s v="WRDSTR - Wired Port - Stream &amp; World feed (Stream Fabs &amp; W Feed)"/>
        <s v="CABLOK - Laptop Cable Lock"/>
        <s v="LAPPRE - Laptop - Presentation Build"/>
        <s v="WRDSTA - Wired Port - ACR-TKT-Ipcodec (FIFA Standard Internet Access)"/>
        <s v="WRDFTI - Wired Port - FTI (FIFA Technical FTI)"/>
        <s v="PORSPE - Portable Speaker"/>
        <s v="TVLGSA - TV - Large - Standalone"/>
        <s v="ITSIBU - IT Solution - 4G Internet backup "/>
        <s v="LAPEVT - Laptop - FIFA Event Build"/>
        <s v="SIMDAT - SIM - Data Only"/>
        <s v="SIMDOM - SIM - Domestic"/>
        <s v="SIMINT - SIM - International"/>
        <s v="TELMOB - Telephone - Mobile - Smart Phone"/>
        <s v="IS0050 - Internet Service - 50Mbps"/>
        <s v="ITMON - IT Monitoring network port (Monitoring VLAN)"/>
        <s v="TVMDSA - TV - Medium - Standalone"/>
        <s v="DSK27M - 27&quot; Monitor - HDMI/DP"/>
        <s v="PROJ6K - Office Projector - 6K"/>
        <s v="WRDTSG - Wired Port - TSG (FIFA Technical TSG)"/>
        <s v="IS00VP - Wireless coverage - Shared Internet Service - Wi-Fi VIP (General Internet Access)"/>
        <s v="IS00WM - Wireless coverage - Internet Service - Wi-Fi Media (Media Internet Access)"/>
        <s v="AUDUSB - Audio transformer SDI to USB"/>
        <s v="CAM001 - Webcam"/>
        <s v="AVMSYS - AV Solution (Mics + Speakers)"/>
        <s v="IS00WR - Wireless coverage - Internet Service -  Referees (General Internet Access)"/>
        <s v="MFDLNW - MFD Large - Colour - A3 - Network (General Internet Access)"/>
        <s v="WDF100 - Wired Port - 100Mbps - guaranteed (FIFA Technical Internet Access)"/>
        <s v="IS00WS - Wireless coverage - Shared Internet Service - Wi-Fi FOOTBALL (VIP Internet Access)"/>
        <s v="RADIO - Radio PMR In Stadium"/>
        <s v="ITSR4G - IT Solution - Router + 4G"/>
        <s v="ACCBAR - Barcode scanner"/>
        <m/>
      </sharedItems>
    </cacheField>
    <cacheField name="Old Quantity" numFmtId="0">
      <sharedItems containsString="0" containsBlank="1" containsNumber="1" containsInteger="1" minValue="0" maxValue="80"/>
    </cacheField>
    <cacheField name="Network Drops" numFmtId="0">
      <sharedItems containsString="0" containsBlank="1" containsNumber="1" containsInteger="1" minValue="0" maxValue="12"/>
    </cacheField>
    <cacheField name="SIM Cards" numFmtId="0">
      <sharedItems containsString="0" containsBlank="1" containsNumber="1" containsInteger="1" minValue="0" maxValue="100"/>
    </cacheField>
    <cacheField name="New Quantity" numFmtId="0">
      <sharedItems containsString="0" containsBlank="1" containsNumber="1" containsInteger="1" minValue="0" maxValue="1129"/>
    </cacheField>
    <cacheField name="Network Drops2" numFmtId="0">
      <sharedItems containsString="0" containsBlank="1" containsNumber="1" containsInteger="1" minValue="0" maxValue="249"/>
    </cacheField>
    <cacheField name="SIM Cards2" numFmtId="0">
      <sharedItems containsString="0" containsBlank="1" containsNumber="1" containsInteger="1" minValue="0" maxValue="396"/>
    </cacheField>
    <cacheField name="Provided by" numFmtId="0">
      <sharedItems containsBlank="1" count="3">
        <s v="LOC IT"/>
        <s v="FIFA Event Technology"/>
        <m/>
      </sharedItems>
    </cacheField>
    <cacheField name="Venue" numFmtId="0">
      <sharedItems containsBlank="1" count="4">
        <s v="Aspire Center - HQ"/>
        <s v="Khalifa"/>
        <s v="Non_Comp"/>
        <m/>
      </sharedItems>
    </cacheField>
    <cacheField name="Area" numFmtId="0">
      <sharedItems containsBlank="1"/>
    </cacheField>
    <cacheField name="Space" numFmtId="0">
      <sharedItems containsBlank="1"/>
    </cacheField>
    <cacheField name="FIFA Department" numFmtId="0">
      <sharedItems containsBlank="1" count="39">
        <s v="Entertainment"/>
        <s v="FIFA Content"/>
        <s v="FIFA Anti Doping"/>
        <s v="FIFA Broadcast"/>
        <s v="FIFA Competitions"/>
        <s v="FIFA Data Management"/>
        <s v="FIFA Digital Marketing"/>
        <s v="FIFA Event Technology"/>
        <s v="FIFA Films"/>
        <s v="FIFA FTI"/>
        <s v="FIFA Guest Operations"/>
        <s v="FIFA Media"/>
        <s v="FIFA Referees"/>
        <s v="FIFA Security"/>
        <s v="FIFA Team Services"/>
        <s v="FIFA Transport"/>
        <s v="FIFA Travel"/>
        <s v="FIFA Venue Management"/>
        <s v="FIFA Volunteer"/>
        <s v="FIFA Workforce"/>
        <s v="Partner Rights Delivery"/>
        <s v="Safeguarding"/>
        <s v="LOC Access Management "/>
        <s v="LOC Accreditation"/>
        <s v="LOC Catering"/>
        <s v="LOC Events and Community Relations "/>
        <s v="LOC Food &amp; Beverage Concessions"/>
        <s v="LOC Logistics"/>
        <s v="LOC Medical"/>
        <s v="LOC Spectator Services"/>
        <s v="LOC SSOC"/>
        <s v="LOC Team Services"/>
        <s v="LOC Venue Management"/>
        <s v="LOC Workforce"/>
        <s v="LOC Competition"/>
        <s v="LOC Mobility"/>
        <s v="LOC Ticketing"/>
        <s v="LOC Arrival &amp; Departure"/>
        <m/>
      </sharedItems>
    </cacheField>
    <cacheField name="Department" numFmtId="0">
      <sharedItems containsBlank="1"/>
    </cacheField>
    <cacheField name="Notes" numFmtId="0">
      <sharedItems containsBlank="1"/>
    </cacheField>
    <cacheField name="Owner" numFmtId="0">
      <sharedItems containsBlank="1"/>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el Kornilov" refreshedDate="45950.629881365741" createdVersion="8" refreshedVersion="8" minRefreshableVersion="3" recordCount="483" xr:uid="{49990228-B5EB-44B5-9AA7-03EA411DC656}">
  <cacheSource type="worksheet">
    <worksheetSource ref="A2:V1048576" sheet="TEAP Data Entry"/>
  </cacheSource>
  <cacheFields count="21">
    <cacheField name="Code" numFmtId="0">
      <sharedItems containsBlank="1"/>
    </cacheField>
    <cacheField name="FP Name" numFmtId="0">
      <sharedItems containsBlank="1"/>
    </cacheField>
    <cacheField name="Category" numFmtId="0">
      <sharedItems containsBlank="1"/>
    </cacheField>
    <cacheField name="Packing List Type" numFmtId="0">
      <sharedItems containsBlank="1" containsMixedTypes="1" containsNumber="1" containsInteger="1" minValue="1" maxValue="1"/>
    </cacheField>
    <cacheField name="Internet Access Service" numFmtId="0">
      <sharedItems containsBlank="1"/>
    </cacheField>
    <cacheField name="Technology Product / Service" numFmtId="0">
      <sharedItems containsBlank="1"/>
    </cacheField>
    <cacheField name="Technical Description" numFmtId="0">
      <sharedItems containsBlank="1" count="42">
        <s v="DSKMNT - 24&quot; Monitor - HDMI/DP"/>
        <s v="IS00WF - Wireless coverage - Shared Internet Service - Wi-Fi FIFA (General Internet Access)"/>
        <s v="MFDDNW - MFD Desktop - Colour - A4 - Network (General Internet Access)"/>
        <s v="WRDMED - Wired Port - Media Internet (Media Internet Access Media)"/>
        <s v="WRDSTU - Wired Port - Content (FIFA Technical Content)"/>
        <s v="TVLGIP - TV - Large - IPTV"/>
        <s v="TVSTND - TV Stand - Medium &amp; Large TVs"/>
        <s v="TABLEN - Tablet - FIFA Professional Tablet + 4G"/>
        <s v="WRDGEN - Wired Port - General Internet  (General Internet Access)"/>
        <s v="WRDSTR - Wired Port - Stream &amp; World feed (Stream Fabs &amp; W Feed)"/>
        <s v="CABLOK - Laptop Cable Lock"/>
        <s v="LAPPRE - Laptop - Presentation Build"/>
        <s v="WRDSTA - Wired Port - ACR-TKT-Ipcodec (FIFA Standard Internet Access)"/>
        <s v="WRDFTI - Wired Port - FTI (FIFA Technical FTI)"/>
        <s v="PORSPE - Portable Speaker"/>
        <s v="TVLGSA - TV - Large - Standalone"/>
        <m/>
        <s v="LOC IT"/>
        <s v="ITSIBU - IT Solution - 4G Internet backup "/>
        <s v="LAPEVT - Laptop - FIFA Event Build"/>
        <s v="SIMDAT - SIM - Data Only"/>
        <s v="SIMDOM - SIM - Domestic"/>
        <s v="SIMINT - SIM - International"/>
        <s v="TELMOB - Telephone - Mobile - Smart Phone"/>
        <s v="IS0050 - Internet Service - 50Mbps"/>
        <s v="ITMON - IT Monitoring network port (Monitoring VLAN)"/>
        <s v="TVMDSA - TV - Medium - Standalone"/>
        <s v="DSK27M - 27&quot; Monitor - HDMI/DP"/>
        <s v="PROJ6K - Office Projector - 6K"/>
        <s v="WRDTSG - Wired Port - TSG (FIFA Technical TSG)"/>
        <s v="IS00VP - Wireless coverage - Shared Internet Service - Wi-Fi VIP (General Internet Access)"/>
        <s v="IS00WM - Wireless coverage - Internet Service - Wi-Fi Media (Media Internet Access)"/>
        <s v="AUDUSB - Audio transformer SDI to USB"/>
        <s v="CAM001 - Webcam"/>
        <s v="AVMSYS - AV Solution (Mics + Speakers)"/>
        <s v="IS00WR - Wireless coverage - Internet Service -  Referees (General Internet Access)"/>
        <s v="MFDLNW - MFD Large - Colour - A3 - Network (General Internet Access)"/>
        <s v="WDF100 - Wired Port - 100Mbps - guaranteed (FIFA Technical Internet Access)"/>
        <s v="IS00WS - Wireless coverage - Shared Internet Service - Wi-Fi FOOTBALL (VIP Internet Access)"/>
        <s v="RADIO - Radio PMR In Stadium"/>
        <s v="ITSR4G - IT Solution - Router + 4G"/>
        <s v="ACCBAR - Barcode scanner"/>
      </sharedItems>
    </cacheField>
    <cacheField name="Old Quantity" numFmtId="0">
      <sharedItems containsBlank="1" containsMixedTypes="1" containsNumber="1" containsInteger="1" minValue="0" maxValue="80"/>
    </cacheField>
    <cacheField name="Network Drops" numFmtId="0">
      <sharedItems containsBlank="1" containsMixedTypes="1" containsNumber="1" containsInteger="1" minValue="0" maxValue="12"/>
    </cacheField>
    <cacheField name="SIM Cards" numFmtId="0">
      <sharedItems containsBlank="1" containsMixedTypes="1" containsNumber="1" containsInteger="1" minValue="0" maxValue="100"/>
    </cacheField>
    <cacheField name="New Quantity" numFmtId="0">
      <sharedItems containsBlank="1" containsMixedTypes="1" containsNumber="1" containsInteger="1" minValue="0" maxValue="100"/>
    </cacheField>
    <cacheField name="Network Drops2" numFmtId="0">
      <sharedItems containsBlank="1" containsMixedTypes="1" containsNumber="1" containsInteger="1" minValue="0" maxValue="12"/>
    </cacheField>
    <cacheField name="SIM Cards2" numFmtId="0">
      <sharedItems containsString="0" containsBlank="1" containsNumber="1" containsInteger="1" minValue="0" maxValue="100"/>
    </cacheField>
    <cacheField name="Provided by" numFmtId="0">
      <sharedItems containsBlank="1"/>
    </cacheField>
    <cacheField name="Venue" numFmtId="0">
      <sharedItems containsBlank="1" count="4">
        <s v="Aspire Center - HQ"/>
        <s v="Khalifa"/>
        <s v="Non_Comp"/>
        <m/>
      </sharedItems>
    </cacheField>
    <cacheField name="Area" numFmtId="0">
      <sharedItems containsBlank="1" count="50">
        <s v="Pitch 1"/>
        <s v="Pitch 2"/>
        <s v="Pitch 3"/>
        <s v="Pitch 4"/>
        <s v="Pitch 5"/>
        <s v="Pitch 7"/>
        <s v="Pitch 8"/>
        <s v="Pitch 9"/>
        <s v="Stadium Offices"/>
        <s v="Pitch 1-9"/>
        <s v="Aspire Dome - level 2"/>
        <s v="Broadcast Compound"/>
        <s v="Competition area"/>
        <s v="Super Club"/>
        <s v="Broadcast Compound 1"/>
        <s v="Broadcast Compound 2"/>
        <s v="Flash Interview"/>
        <s v="Media Tribunes"/>
        <s v="Field of Play"/>
        <s v="Press Conference Room"/>
        <s v="TSG - Main room"/>
        <s v="TSG - Meeting Room"/>
        <s v="VIP area"/>
        <s v="Stadium Media Centre"/>
        <s v="Mixed Zone"/>
        <s v="Referees Accommodation"/>
        <s v="Training site pitch 10-11"/>
        <s v="Accelerator Building"/>
        <s v="Security Room (VOC)"/>
        <s v="Aspire Dome "/>
        <s v="Aspire Dome - level 1"/>
        <s v="FIFA/LOC Offices"/>
        <s v="Stadium Perimeter"/>
        <s v="Other"/>
        <s v="Main Accreditation Centre (MAC)"/>
        <s v="Aspire Dome"/>
        <s v="Outer Perimeter"/>
        <s v="Stadium Outer Perimeter"/>
        <s v="RSP"/>
        <s v="Fan Zone"/>
        <s v="Competition Areas"/>
        <s v="VIP/VVIP Areas"/>
        <s v="Stadium Inner Perimeter"/>
        <s v="Hospitality Areas"/>
        <s v="Uniform Distribution"/>
        <s v="Players Holding Area (Lounge)"/>
        <s v="MOC"/>
        <s v="Inner Perimeter"/>
        <s v="Guest Relations for VIP &amp; VVIP"/>
        <m/>
      </sharedItems>
    </cacheField>
    <cacheField name="Space" numFmtId="0">
      <sharedItems containsBlank="1" count="126">
        <s v="Entertainment Control Room AE live"/>
        <s v="FIFA/LOC Offices"/>
        <s v="Broadcast and Streaming Office"/>
        <s v="Doping Control Room"/>
        <s v="Broadcast and Streaming Office 1"/>
        <s v="Broadcast and Streaming Office 2"/>
        <s v="MRL behind goal - Left side"/>
        <s v="MRL behind goal - Right side"/>
        <s v="MRL Positions - Left - 16m line"/>
        <s v="MRL Positions - Right - 16m line"/>
        <s v="OB Van 1"/>
        <s v="OB Van 2"/>
        <s v="Satellite and HB Cabin 1"/>
        <s v="Satellite and HB Cabin 2"/>
        <s v="SMC/MEO/WD/Mixed Zone"/>
        <s v="Commentary Position"/>
        <s v="OB Van"/>
        <s v="Satellite and HB Cabin"/>
        <s v="Tunel"/>
        <s v="Match Director Office"/>
        <s v="Small Match Director cabin"/>
        <s v="MCM Room"/>
        <s v="Press Conference Room"/>
        <s v="FIFA/Venue Technology Office"/>
        <s v="TSG"/>
        <s v="FVS cabin A BC1"/>
        <s v="FVS cabin B BC1"/>
        <s v="FVS cabin C BC1"/>
        <s v="FVS cabin BC2"/>
        <s v="FTI Equipment Cabin BC1"/>
        <s v="FTI Equipment Cabin BC2"/>
        <s v="FVS Cabin"/>
        <s v="FTI equipment cabin"/>
        <s v="VIP Lounge"/>
        <s v="Protocol Office"/>
        <s v="Media Tribune"/>
        <s v="Behind goal remote left"/>
        <s v="Behind goal remote right"/>
        <s v="FIFA Photo Positions - Left - 16m line"/>
        <s v="FIFA Photo Positions - Right - 16m line"/>
        <s v="Photographers Positions - Left side"/>
        <s v="Photographers Positions - Right side"/>
        <s v="Media Information / Welcome Desk"/>
        <s v="MEO office"/>
        <s v="Mixed Zone"/>
        <s v="Stadium Media Centre"/>
        <s v="Class Room - Olympia "/>
        <s v="Technical / Match Analysts - Office(s) in 1st floor"/>
        <s v="REF Management - Lab 2"/>
        <s v="REF Administration - Glass office (1st floor)"/>
        <s v="Fitness Office"/>
        <s v="Instant Feedback"/>
        <s v="Referees Accommodation"/>
        <s v="Physio/ Medical Room - GF"/>
        <s v="Security Room (VOC)"/>
        <s v="Team Dressing Rooms"/>
        <s v="Players Holding Area (Lounge)"/>
        <s v="Venue Office"/>
        <s v="Radio Distribution Office"/>
        <s v="VOL Centre"/>
        <s v="FIFA/LOC Workforce Area"/>
        <s v="FIFA Storage"/>
        <s v="FIFA/LOC Meeting Room"/>
        <s v="LOC Offices/Storage Area"/>
        <s v="Youth Programme Area"/>
        <s v="Brand Activation Area 1"/>
        <s v="Brand Activation Area 2"/>
        <s v="Brand Activation Area 3"/>
        <s v="Brand Activation Area"/>
        <s v="Field of Play - LED operator"/>
        <m/>
        <s v="Several locations inside MAC"/>
        <s v="Bulk Distribution area"/>
        <s v="MAC"/>
        <s v="Meeting room and Director's office"/>
        <s v="WKF Canteen"/>
        <s v="Fan Zone Operational area"/>
        <s v="F&amp;B AREA"/>
        <s v="LOG Compound"/>
        <s v="LOG Point"/>
        <s v="LCC Logistics Coordination Center"/>
        <s v="VIP Medical Clinic"/>
        <s v="Player Medical Clinic in Pitch 8 Building"/>
        <s v="Player Medical Clinic nr Pitch 1"/>
        <s v="Spectator Clinic nr Fan Zone"/>
        <s v="Player Medical Clinic"/>
        <s v="VVIP Medical Clinic"/>
        <s v="Spectator Clinics"/>
        <s v="Restricted Item storage"/>
        <s v="SPS office"/>
        <s v="SPS office "/>
        <s v="Venue Commander's Office"/>
        <s v="Venue Commander's Office (5)"/>
        <s v="Venue Security Coordinators' office (5)"/>
        <s v="Admin office (10)"/>
        <s v="Venue Security Coordinators' office"/>
        <s v="Venue Commander' office (5)"/>
        <s v="with the TLOs "/>
        <s v="LOC General Office"/>
        <s v="Meeting Room"/>
        <s v="Offices"/>
        <s v="Venue Operations Centre"/>
        <s v="Training Centre Welcome Desk "/>
        <s v="Tranining Centre Welcome Desk "/>
        <s v="Welome Desk &amp; Training Rooms "/>
        <s v="Volunteer Support Services Centre"/>
        <s v="Uniform Distribution Centre"/>
        <s v="WKF Centre"/>
        <s v="Mobility External Office "/>
        <s v="VAPP Office"/>
        <s v="BUSS AND FLEETS OPS CENTER"/>
        <s v="STC 1-4 (4 portable cabins)"/>
        <s v="Aspire Complex entry points (3)"/>
        <s v="North, South &amp; East"/>
        <s v="Ticketing Resolution Points (4) - TBC"/>
        <s v="Pitch 1-8 entry points (8) - TBC"/>
        <s v="Venue Ticketing office (1) - TBC"/>
        <s v="Venue EACS office (1) - TBC"/>
        <s v="Venue Operations Centre (VOC) (1)"/>
        <s v="STC 1-6 (6 portable cabins)"/>
        <s v="Outer perimeter entry points (M&amp;Bs) (6)"/>
        <s v="Ticketing Resolution points 1-4 (4)"/>
        <s v="Entry gates (TBC)"/>
        <s v="Ticketing HQ (LOCATION TBC)"/>
        <s v="Al Maha Office"/>
        <s v="Guest Relations for VIP &amp; VVIP"/>
      </sharedItems>
    </cacheField>
    <cacheField name="FIFA Department" numFmtId="0">
      <sharedItems containsBlank="1"/>
    </cacheField>
    <cacheField name="Department" numFmtId="0">
      <sharedItems containsBlank="1"/>
    </cacheField>
    <cacheField name="Notes" numFmtId="0">
      <sharedItems containsBlank="1"/>
    </cacheField>
    <cacheField name="Owner" numFmtId="0">
      <sharedItems containsBlank="1"/>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el Kornilov" refreshedDate="45955.774417708337" createdVersion="8" refreshedVersion="8" minRefreshableVersion="3" recordCount="479" xr:uid="{B195B05D-7DAF-43C3-8430-E81D3558C82C}">
  <cacheSource type="worksheet">
    <worksheetSource ref="A2:U483" sheet="TEAP Data Entry"/>
  </cacheSource>
  <cacheFields count="20">
    <cacheField name="Code" numFmtId="0">
      <sharedItems/>
    </cacheField>
    <cacheField name="FP Name" numFmtId="0">
      <sharedItems count="40">
        <s v="24&quot; Monitor - HDMI/DP"/>
        <s v="Wireless coverage - Shared Internet Service - Wi-Fi FIFA"/>
        <s v="MFD Desktop - Colour - A4 - Network"/>
        <s v="Wired Port - Media Internet"/>
        <s v="Wired Port - Content"/>
        <s v="TV - Large - IPTV"/>
        <s v="TV Stand - Medium &amp; Large TVs"/>
        <s v="Tablet - FIFA Professional Tablet + 4G"/>
        <s v="Wired Port - General Internet "/>
        <s v="Wired Port - Stream &amp; World feed"/>
        <s v="Laptop Cable Lock"/>
        <s v="Laptop - Presentation Build"/>
        <s v="Wired Port - ACR-TKT-Ipcodec"/>
        <s v="Wired Port - FTI"/>
        <s v="Portable Speaker"/>
        <s v="TV - Large - Standalone"/>
        <s v="IT Solution - 4G Internet backup "/>
        <s v="Laptop - FIFA Event Build"/>
        <s v="SIM - Data Only"/>
        <s v="SIM - Domestic"/>
        <s v="SIM - International"/>
        <s v="Telephone - Mobile - Smart Phone"/>
        <s v="Internet Service - 50Mbps"/>
        <s v="IT Monitoring network port"/>
        <s v="TV - Medium - Standalone"/>
        <s v="27&quot; Monitor - HDMI/DP"/>
        <s v="Office Projector - 6K"/>
        <s v="Wired Port - TSG"/>
        <s v="Wireless coverage - Shared Internet Service - Wi-Fi VIP"/>
        <s v="Wireless coverage - Internet Service - Wi-Fi Media"/>
        <s v="Audio transformer SDI to USB"/>
        <s v="Webcam"/>
        <s v="AV Solution (Mics + Speakers)"/>
        <s v="Wireless coverage - Internet Service -  Referees"/>
        <s v="MFD Large - Colour - A3 - Network"/>
        <s v="Wired Port - 100Mbps - guaranteed"/>
        <s v="Wireless coverage - Shared Internet Service - Wi-Fi FOOTBALL"/>
        <s v="Radio PMR In Stadium"/>
        <s v="IT Solution - Router + 4G"/>
        <s v="Barcode scanner"/>
      </sharedItems>
    </cacheField>
    <cacheField name="Category" numFmtId="0">
      <sharedItems/>
    </cacheField>
    <cacheField name="Packing List Type" numFmtId="0">
      <sharedItems containsBlank="1" containsMixedTypes="1" containsNumber="1" containsInteger="1" minValue="1" maxValue="1"/>
    </cacheField>
    <cacheField name="Internet Access Service" numFmtId="0">
      <sharedItems containsBlank="1"/>
    </cacheField>
    <cacheField name="Technology Product / Service" numFmtId="0">
      <sharedItems containsBlank="1"/>
    </cacheField>
    <cacheField name="Technical Description" numFmtId="0">
      <sharedItems containsBlank="1"/>
    </cacheField>
    <cacheField name="Old Quantity" numFmtId="0">
      <sharedItems containsBlank="1" containsMixedTypes="1" containsNumber="1" containsInteger="1" minValue="0" maxValue="80"/>
    </cacheField>
    <cacheField name="Network Drops" numFmtId="0">
      <sharedItems containsBlank="1" containsMixedTypes="1" containsNumber="1" containsInteger="1" minValue="0" maxValue="12"/>
    </cacheField>
    <cacheField name="SIM Cards" numFmtId="0">
      <sharedItems containsBlank="1" containsMixedTypes="1" containsNumber="1" containsInteger="1" minValue="0" maxValue="100"/>
    </cacheField>
    <cacheField name="New Quantity" numFmtId="0">
      <sharedItems containsMixedTypes="1" containsNumber="1" containsInteger="1" minValue="0" maxValue="100"/>
    </cacheField>
    <cacheField name="Network Drops2" numFmtId="0">
      <sharedItems containsMixedTypes="1" containsNumber="1" containsInteger="1" minValue="0" maxValue="12"/>
    </cacheField>
    <cacheField name="SIM Cards2" numFmtId="0">
      <sharedItems containsSemiMixedTypes="0" containsString="0" containsNumber="1" containsInteger="1" minValue="0" maxValue="100"/>
    </cacheField>
    <cacheField name="Provided by" numFmtId="0">
      <sharedItems count="2">
        <s v="LOC IT"/>
        <s v="FIFA Event Technology"/>
      </sharedItems>
    </cacheField>
    <cacheField name="Venue" numFmtId="0">
      <sharedItems count="5">
        <s v="Aspire Center - HQ"/>
        <s v="Khalifa"/>
        <s v="Non_Comp"/>
        <s v="Aspire_Center" u="1"/>
        <s v="KIS" u="1"/>
      </sharedItems>
    </cacheField>
    <cacheField name="Area" numFmtId="0">
      <sharedItems count="48">
        <s v="Pitch 1"/>
        <s v="Pitch 2"/>
        <s v="Pitch 3"/>
        <s v="Pitch 4"/>
        <s v="Pitch 5"/>
        <s v="Pitch 7"/>
        <s v="Pitch 8"/>
        <s v="Pitch 9"/>
        <s v="Stadium Offices"/>
        <s v="Pitch 1-9"/>
        <s v="Aspire Dome - level 2"/>
        <s v="Broadcast Compound"/>
        <s v="Competition area"/>
        <s v="Super Club"/>
        <s v="Broadcast Compound 1"/>
        <s v="Broadcast Compound 2"/>
        <s v="Flash Interview"/>
        <s v="Media Tribunes"/>
        <s v="Field of Play"/>
        <s v="Press Conference Room"/>
        <s v="TSG - Main room"/>
        <s v="TSG - Meeting Room"/>
        <s v="VIP area"/>
        <s v="Stadium Media Centre"/>
        <s v="Mixed Zone"/>
        <s v="Referees Accommodation"/>
        <s v="Training site pitch 10-11"/>
        <s v="Accelerator Building"/>
        <s v="Security Room (VOC)"/>
        <s v="Aspire Dome "/>
        <s v="Aspire Dome - level 1"/>
        <s v="FIFA/LOC Offices"/>
        <s v="Stadium Perimeter"/>
        <s v="Other"/>
        <s v="Main Accreditation Centre (MAC)"/>
        <s v="Aspire Dome"/>
        <s v="Outer Perimeter"/>
        <s v="Stadium Outer Perimeter"/>
        <s v="RSP"/>
        <s v="Fan Zone"/>
        <s v="Competition Areas"/>
        <s v="VIP/VVIP Areas"/>
        <s v="Stadium Inner Perimeter"/>
        <s v="Hospitality Areas"/>
        <s v="Uniform Distribution"/>
        <s v="Players Holding Area (Lounge)"/>
        <s v="MOC"/>
        <s v="Inner Perimeter"/>
      </sharedItems>
    </cacheField>
    <cacheField name="Space" numFmtId="0">
      <sharedItems containsBlank="1" count="127">
        <s v="Entertainment Control Room AE live"/>
        <s v="FIFA/LOC Offices"/>
        <s v="Broadcast and Streaming Office"/>
        <s v="Doping Control Room"/>
        <s v="Broadcast and Streaming Office 1"/>
        <s v="Broadcast and Streaming Office 2"/>
        <s v="MRL behind goal - Left side"/>
        <s v="MRL behind goal - Right side"/>
        <s v="MRL Positions - Left - 16m line"/>
        <s v="MRL Positions - Right - 16m line"/>
        <s v="OB Van 1-6"/>
        <s v="OB Van 7-8"/>
        <s v="Satellite and HB Cabin 1"/>
        <s v="Satellite and HB Cabin 2"/>
        <s v="SMC/MEO/WD/Mixed Zone"/>
        <s v="Commentary Position"/>
        <s v="OB Van"/>
        <s v="Satellite and HB Cabin"/>
        <s v="Tunel"/>
        <s v="Match Director Office"/>
        <s v="Small Match Director cabin"/>
        <s v="MCM Room"/>
        <s v="Press Conference Room"/>
        <s v="FIFA/Venue Technology Office"/>
        <s v="TSG"/>
        <s v="FVS cabin A BC1"/>
        <s v="FVS cabin B BC1"/>
        <s v="FVS cabin C BC1"/>
        <s v="FVS cabin BC2"/>
        <s v="FTI Equipment Cabin BC1"/>
        <s v="FTI Equipment Cabin BC2"/>
        <s v="FVS Cabin"/>
        <s v="FTI equipment cabin"/>
        <s v="VIP Lounge"/>
        <s v="Protocol Office"/>
        <s v="Media Tribune"/>
        <s v="Behind goal remote left"/>
        <s v="Behind goal remote right"/>
        <s v="FIFA Photo Positions - Left - 16m line"/>
        <s v="FIFA Photo Positions - Right - 16m line"/>
        <s v="Photographers Positions - Left side"/>
        <s v="Photographers Positions - Right side"/>
        <s v="Media Information / Welcome Desk"/>
        <s v="MEO office"/>
        <s v="Mixed Zone"/>
        <s v="Stadium Media Centre"/>
        <s v="Class Room - Olympia "/>
        <s v="Technical / Match Analysts - Office(s) in 1st floor"/>
        <s v="REF Management - Lab 2"/>
        <s v="REF Administration - Glass office (1st floor)"/>
        <s v="Fitness Office"/>
        <s v="Instant Feedback"/>
        <s v="Referees Accommodation"/>
        <s v="Physio/ Medical Room - GF"/>
        <s v="Security Room (VOC)"/>
        <s v="Team Dressing Rooms"/>
        <s v="Players Holding Area (Lounge)"/>
        <s v="Venue Office"/>
        <s v="Radio Distribution Office"/>
        <s v="VOL Centre"/>
        <s v="FIFA/LOC Workforce Area"/>
        <s v="FIFA Storage"/>
        <s v="FIFA/LOC Meeting Room"/>
        <s v="LOC Offices/Storage Area"/>
        <s v="Youth Programme Area"/>
        <s v="Brand Activation Area 1"/>
        <s v="Brand Activation Area 2"/>
        <s v="Brand Activation Area 3"/>
        <s v="Brand Activation Area"/>
        <s v="Field of Play - LED operator"/>
        <m/>
        <s v="Several locations inside MAC"/>
        <s v="Bulk Distribution area"/>
        <s v="MAC"/>
        <s v="Meeting room and Director's office"/>
        <s v="WKF Canteen"/>
        <s v="Fan Zone Operational area"/>
        <s v="F&amp;B AREA"/>
        <s v="LOG Compound"/>
        <s v="LOG Point"/>
        <s v="LCC Logistics Coordination Center"/>
        <s v="VIP Medical Clinic"/>
        <s v="Player Medical Clinic in Pitch 8 Building"/>
        <s v="Player Medical Clinic nr Pitch 1"/>
        <s v="Spectator Clinic nr Fan Zone"/>
        <s v="Player Medical Clinic"/>
        <s v="VVIP Medical Clinic"/>
        <s v="Spectator Clinics"/>
        <s v="Restricted Item storage"/>
        <s v="SPS office"/>
        <s v="SPS office "/>
        <s v="Venue Commander's Office"/>
        <s v="Venue Commander's Office (5)"/>
        <s v="Venue Security Coordinators' office (5)"/>
        <s v="Admin office (10)"/>
        <s v="Venue Security Coordinators' office"/>
        <s v="Venue Commander' office (5)"/>
        <s v="with the TLOs "/>
        <s v="LOC General Office"/>
        <s v="Meeting Room"/>
        <s v="Offices"/>
        <s v="Venue Operations Centre"/>
        <s v="Training Centre Welcome Desk "/>
        <s v="Tranining Centre Welcome Desk "/>
        <s v="Welome Desk &amp; Training Rooms "/>
        <s v="Volunteer Support Services Centre"/>
        <s v="Uniform Distribution Centre"/>
        <s v="WKF Centre"/>
        <s v="Mobility External Office "/>
        <s v="VAPP Office"/>
        <s v="BUSS AND FLEETS OPS CENTER"/>
        <s v="STC 1-4 (4 portable cabins)"/>
        <s v="Aspire Complex entry points (3)"/>
        <s v="North, South &amp; East"/>
        <s v="Ticketing Resolution Points (4) - TBC"/>
        <s v="Pitch 1-8 entry points (8) - TBC"/>
        <s v="Venue Ticketing office (1) - TBC"/>
        <s v="Venue EACS office (1) - TBC"/>
        <s v="Venue Operations Centre (VOC) (1)"/>
        <s v="STC 1-6 (6 portable cabins)"/>
        <s v="Outer perimeter entry points (M&amp;Bs) (6)"/>
        <s v="Ticketing Resolution points 1-4 (4)"/>
        <s v="Entry gates (TBC)"/>
        <s v="Ticketing HQ (LOCATION TBC)"/>
        <s v="Al Maha Office"/>
        <s v="OB Van 1" u="1"/>
        <s v="OB Van 2" u="1"/>
      </sharedItems>
    </cacheField>
    <cacheField name="FIFA Department" numFmtId="0">
      <sharedItems count="38">
        <s v="Entertainment"/>
        <s v="FIFA Content"/>
        <s v="FIFA Anti Doping"/>
        <s v="FIFA Broadcast"/>
        <s v="FIFA Competitions"/>
        <s v="FIFA Data Management"/>
        <s v="FIFA Digital Marketing"/>
        <s v="FIFA Event Technology"/>
        <s v="FIFA Films"/>
        <s v="FIFA FTI"/>
        <s v="FIFA Guest Operations"/>
        <s v="FIFA Media"/>
        <s v="FIFA Referees"/>
        <s v="FIFA Security"/>
        <s v="FIFA Team Services"/>
        <s v="FIFA Transport"/>
        <s v="FIFA Travel"/>
        <s v="FIFA Venue Management"/>
        <s v="FIFA Volunteer"/>
        <s v="FIFA Workforce"/>
        <s v="Partner Rights Delivery"/>
        <s v="Safeguarding"/>
        <s v="LOC Access Management "/>
        <s v="LOC Accreditation"/>
        <s v="LOC Catering"/>
        <s v="LOC Events and Community Relations "/>
        <s v="LOC Food &amp; Beverage Concessions"/>
        <s v="LOC Logistics"/>
        <s v="LOC Medical"/>
        <s v="LOC Spectator Services"/>
        <s v="LOC SSOC"/>
        <s v="LOC Team Services"/>
        <s v="LOC Venue Management"/>
        <s v="LOC Workforce"/>
        <s v="LOC Competition"/>
        <s v="LOC Mobility"/>
        <s v="LOC Ticketing"/>
        <s v="LOC Arrival &amp; Departure"/>
      </sharedItems>
    </cacheField>
    <cacheField name="Department" numFmtId="0">
      <sharedItems/>
    </cacheField>
    <cacheField name="Note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x v="0"/>
    <x v="0"/>
    <x v="0"/>
    <s v=""/>
    <s v="Patch Cable - 2m"/>
    <n v="5"/>
    <n v="0"/>
    <n v="0"/>
    <n v="5"/>
    <n v="0"/>
    <n v="0"/>
    <x v="0"/>
    <x v="0"/>
    <x v="0"/>
    <x v="0"/>
    <x v="0"/>
    <s v="exact layout will be provided - cabling done by LOC"/>
  </r>
  <r>
    <x v="1"/>
    <x v="1"/>
    <x v="0"/>
    <s v=""/>
    <s v="Patch Cable - 5m"/>
    <n v="2"/>
    <n v="0"/>
    <n v="0"/>
    <n v="2"/>
    <n v="0"/>
    <n v="0"/>
    <x v="0"/>
    <x v="0"/>
    <x v="0"/>
    <x v="0"/>
    <x v="0"/>
    <s v="exact layout will be provided - cabling done by LOC"/>
  </r>
  <r>
    <x v="2"/>
    <x v="2"/>
    <x v="1"/>
    <s v=""/>
    <s v="Accreditation Printer"/>
    <n v="2"/>
    <n v="0"/>
    <n v="0"/>
    <n v="2"/>
    <n v="0"/>
    <n v="0"/>
    <x v="0"/>
    <x v="0"/>
    <x v="0"/>
    <x v="0"/>
    <x v="0"/>
    <m/>
  </r>
  <r>
    <x v="3"/>
    <x v="3"/>
    <x v="2"/>
    <s v="General Internet Access"/>
    <s v="Wireless coverage - Shared Internet Service - FIFA"/>
    <n v="1"/>
    <n v="0"/>
    <n v="0"/>
    <n v="1"/>
    <n v="0"/>
    <n v="0"/>
    <x v="0"/>
    <x v="0"/>
    <x v="0"/>
    <x v="0"/>
    <x v="0"/>
    <s v="back office"/>
  </r>
  <r>
    <x v="4"/>
    <x v="4"/>
    <x v="0"/>
    <s v=""/>
    <s v="22&quot; PC Monitor"/>
    <n v="1"/>
    <n v="0"/>
    <n v="0"/>
    <n v="1"/>
    <n v="0"/>
    <n v="0"/>
    <x v="0"/>
    <x v="0"/>
    <x v="0"/>
    <x v="0"/>
    <x v="0"/>
    <s v="back office"/>
  </r>
  <r>
    <x v="5"/>
    <x v="5"/>
    <x v="2"/>
    <s v="FIFA Standard Internet Access"/>
    <s v="Wired Port - ACR-TKT-Ipcodec"/>
    <n v="1"/>
    <n v="1"/>
    <n v="0"/>
    <n v="1"/>
    <n v="1"/>
    <n v="0"/>
    <x v="0"/>
    <x v="0"/>
    <x v="0"/>
    <x v="0"/>
    <x v="0"/>
    <m/>
  </r>
  <r>
    <x v="6"/>
    <x v="6"/>
    <x v="0"/>
    <s v=""/>
    <s v="TV Stand for medium and large TVs"/>
    <n v="1"/>
    <n v="0"/>
    <n v="0"/>
    <n v="1"/>
    <n v="0"/>
    <n v="0"/>
    <x v="0"/>
    <x v="0"/>
    <x v="1"/>
    <x v="1"/>
    <x v="1"/>
    <m/>
  </r>
  <r>
    <x v="7"/>
    <x v="7"/>
    <x v="3"/>
    <s v=""/>
    <s v="Large TV - CATV Feed"/>
    <n v="1"/>
    <n v="1"/>
    <n v="0"/>
    <n v="1"/>
    <n v="1"/>
    <n v="0"/>
    <x v="0"/>
    <x v="0"/>
    <x v="1"/>
    <x v="1"/>
    <x v="1"/>
    <m/>
  </r>
  <r>
    <x v="3"/>
    <x v="3"/>
    <x v="2"/>
    <s v="General Internet Access"/>
    <s v="Wireless coverage - Shared Internet Service - FIFA"/>
    <n v="1"/>
    <n v="0"/>
    <n v="0"/>
    <n v="1"/>
    <n v="0"/>
    <n v="0"/>
    <x v="0"/>
    <x v="0"/>
    <x v="1"/>
    <x v="1"/>
    <x v="1"/>
    <m/>
  </r>
  <r>
    <x v="8"/>
    <x v="8"/>
    <x v="1"/>
    <s v="General Internet Access"/>
    <s v="Colour Printer / Scanner (A4)"/>
    <n v="1"/>
    <n v="1"/>
    <n v="0"/>
    <n v="1"/>
    <n v="1"/>
    <n v="0"/>
    <x v="0"/>
    <x v="0"/>
    <x v="2"/>
    <x v="2"/>
    <x v="2"/>
    <m/>
  </r>
  <r>
    <x v="9"/>
    <x v="9"/>
    <x v="2"/>
    <s v="General Internet Access"/>
    <s v="Wired Port - Internet"/>
    <n v="2"/>
    <n v="2"/>
    <n v="0"/>
    <n v="2"/>
    <n v="2"/>
    <n v="0"/>
    <x v="0"/>
    <x v="0"/>
    <x v="2"/>
    <x v="2"/>
    <x v="2"/>
    <m/>
  </r>
  <r>
    <x v="3"/>
    <x v="3"/>
    <x v="2"/>
    <s v="General Internet Access"/>
    <s v="Wireless coverage - Shared Internet Service - FIFA"/>
    <n v="1"/>
    <n v="0"/>
    <n v="0"/>
    <n v="1"/>
    <n v="0"/>
    <n v="0"/>
    <x v="0"/>
    <x v="0"/>
    <x v="2"/>
    <x v="2"/>
    <x v="2"/>
    <m/>
  </r>
  <r>
    <x v="6"/>
    <x v="6"/>
    <x v="0"/>
    <s v=""/>
    <s v="TV Stand for medium and large TVs"/>
    <n v="1"/>
    <n v="0"/>
    <n v="0"/>
    <n v="1"/>
    <n v="0"/>
    <n v="0"/>
    <x v="0"/>
    <x v="0"/>
    <x v="2"/>
    <x v="2"/>
    <x v="2"/>
    <m/>
  </r>
  <r>
    <x v="7"/>
    <x v="7"/>
    <x v="3"/>
    <s v=""/>
    <s v="Large TV - CATV Feed"/>
    <n v="1"/>
    <n v="1"/>
    <n v="0"/>
    <n v="1"/>
    <n v="1"/>
    <n v="0"/>
    <x v="0"/>
    <x v="0"/>
    <x v="2"/>
    <x v="2"/>
    <x v="2"/>
    <m/>
  </r>
  <r>
    <x v="10"/>
    <x v="10"/>
    <x v="2"/>
    <s v="VIP Internet Access"/>
    <s v="Wireless coverage - Shared Internet Service - FOOTBALL"/>
    <n v="1"/>
    <n v="0"/>
    <n v="0"/>
    <n v="1"/>
    <n v="0"/>
    <n v="0"/>
    <x v="0"/>
    <x v="0"/>
    <x v="1"/>
    <x v="3"/>
    <x v="3"/>
    <m/>
  </r>
  <r>
    <x v="11"/>
    <x v="11"/>
    <x v="2"/>
    <s v="Media Internet Access Media"/>
    <s v="Wired Port - Internet for Media"/>
    <n v="2"/>
    <n v="2"/>
    <n v="0"/>
    <n v="2"/>
    <n v="2"/>
    <n v="0"/>
    <x v="0"/>
    <x v="0"/>
    <x v="3"/>
    <x v="4"/>
    <x v="4"/>
    <s v="Analyst Desk Team A"/>
  </r>
  <r>
    <x v="11"/>
    <x v="11"/>
    <x v="2"/>
    <s v="Media Internet Access Media"/>
    <s v="Wired Port - Internet for Media"/>
    <n v="2"/>
    <n v="2"/>
    <n v="0"/>
    <n v="2"/>
    <n v="2"/>
    <n v="0"/>
    <x v="0"/>
    <x v="0"/>
    <x v="3"/>
    <x v="4"/>
    <x v="4"/>
    <s v="Analyst Desk Team B"/>
  </r>
  <r>
    <x v="12"/>
    <x v="12"/>
    <x v="3"/>
    <s v=""/>
    <s v="Small TV - Media Tribunes"/>
    <n v="3"/>
    <n v="0"/>
    <n v="0"/>
    <n v="4"/>
    <n v="0"/>
    <n v="0"/>
    <x v="0"/>
    <x v="0"/>
    <x v="3"/>
    <x v="5"/>
    <x v="5"/>
    <m/>
  </r>
  <r>
    <x v="11"/>
    <x v="11"/>
    <x v="2"/>
    <s v="Media Internet Access Media"/>
    <s v="Wired Port - Internet for Media"/>
    <n v="3"/>
    <n v="4"/>
    <n v="0"/>
    <n v="4"/>
    <n v="4"/>
    <n v="0"/>
    <x v="0"/>
    <x v="0"/>
    <x v="3"/>
    <x v="5"/>
    <x v="5"/>
    <m/>
  </r>
  <r>
    <x v="5"/>
    <x v="5"/>
    <x v="2"/>
    <s v="FIFA Standard Internet Access"/>
    <s v="Wired Port - ACR-TKT-Ipcodec"/>
    <n v="3"/>
    <n v="3"/>
    <n v="0"/>
    <n v="3"/>
    <n v="3"/>
    <n v="0"/>
    <x v="0"/>
    <x v="0"/>
    <x v="3"/>
    <x v="5"/>
    <x v="5"/>
    <s v="public IP really needed?"/>
  </r>
  <r>
    <x v="11"/>
    <x v="11"/>
    <x v="2"/>
    <s v="Media Internet Access Media"/>
    <s v="Wired Port - Internet for Media"/>
    <n v="1"/>
    <n v="1"/>
    <n v="0"/>
    <n v="1"/>
    <n v="1"/>
    <n v="0"/>
    <x v="0"/>
    <x v="0"/>
    <x v="3"/>
    <x v="6"/>
    <x v="4"/>
    <m/>
  </r>
  <r>
    <x v="8"/>
    <x v="8"/>
    <x v="1"/>
    <s v="General Internet Access"/>
    <s v="Colour Printer / Scanner (A4)"/>
    <n v="1"/>
    <n v="1"/>
    <n v="0"/>
    <n v="1"/>
    <n v="1"/>
    <n v="0"/>
    <x v="0"/>
    <x v="0"/>
    <x v="4"/>
    <x v="7"/>
    <x v="6"/>
    <m/>
  </r>
  <r>
    <x v="6"/>
    <x v="6"/>
    <x v="0"/>
    <s v=""/>
    <s v="TV Stand for medium and large TVs"/>
    <n v="2"/>
    <n v="0"/>
    <n v="0"/>
    <n v="2"/>
    <n v="0"/>
    <n v="0"/>
    <x v="0"/>
    <x v="0"/>
    <x v="4"/>
    <x v="8"/>
    <x v="6"/>
    <s v="signal: World Feed"/>
  </r>
  <r>
    <x v="7"/>
    <x v="7"/>
    <x v="3"/>
    <s v=""/>
    <s v="Large TV - CATV Feed"/>
    <n v="2"/>
    <n v="2"/>
    <n v="0"/>
    <n v="2"/>
    <n v="2"/>
    <n v="0"/>
    <x v="0"/>
    <x v="0"/>
    <x v="4"/>
    <x v="8"/>
    <x v="6"/>
    <s v="signal: World Feed"/>
  </r>
  <r>
    <x v="13"/>
    <x v="13"/>
    <x v="2"/>
    <s v="Media Internet Access PHO"/>
    <s v="Wired Port - High Speed Internet for Photographers"/>
    <n v="1"/>
    <n v="1"/>
    <n v="0"/>
    <n v="1"/>
    <n v="1"/>
    <n v="0"/>
    <x v="0"/>
    <x v="0"/>
    <x v="0"/>
    <x v="9"/>
    <x v="7"/>
    <m/>
  </r>
  <r>
    <x v="14"/>
    <x v="14"/>
    <x v="4"/>
    <s v=""/>
    <s v="IT Solution - 4G Internet backup "/>
    <n v="4"/>
    <n v="0"/>
    <n v="4"/>
    <n v="4"/>
    <n v="0"/>
    <n v="4"/>
    <x v="0"/>
    <x v="0"/>
    <x v="0"/>
    <x v="10"/>
    <x v="7"/>
    <s v="can be WiFi depending on location of service"/>
  </r>
  <r>
    <x v="3"/>
    <x v="3"/>
    <x v="2"/>
    <s v="General Internet Access"/>
    <s v="Wireless coverage - Shared Internet Service - FIFA"/>
    <n v="0"/>
    <n v="0"/>
    <n v="0"/>
    <n v="1"/>
    <n v="0"/>
    <n v="0"/>
    <x v="0"/>
    <x v="0"/>
    <x v="0"/>
    <x v="11"/>
    <x v="7"/>
    <s v="TBC if activated"/>
  </r>
  <r>
    <x v="8"/>
    <x v="8"/>
    <x v="1"/>
    <s v="General Internet Access"/>
    <s v="Colour Printer / Scanner (A4)"/>
    <n v="1"/>
    <n v="1"/>
    <n v="0"/>
    <n v="1"/>
    <n v="1"/>
    <n v="0"/>
    <x v="0"/>
    <x v="0"/>
    <x v="5"/>
    <x v="12"/>
    <x v="8"/>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2">
  <r>
    <s v="FIFA HQ"/>
    <x v="0"/>
    <x v="0"/>
    <x v="0"/>
    <x v="0"/>
    <m/>
    <m/>
    <m/>
    <m/>
    <x v="0"/>
    <m/>
  </r>
  <r>
    <s v="DSKMNT"/>
    <x v="1"/>
    <x v="0"/>
    <x v="1"/>
    <x v="1"/>
    <s v="China"/>
    <n v="200"/>
    <n v="1"/>
    <n v="200"/>
    <x v="1"/>
    <s v="Estadio Nacional"/>
  </r>
  <r>
    <s v="DSKMNT"/>
    <x v="1"/>
    <x v="0"/>
    <x v="2"/>
    <x v="2"/>
    <s v="China"/>
    <n v="200"/>
    <n v="1"/>
    <n v="200"/>
    <x v="1"/>
    <s v="Estadio Nacional"/>
  </r>
  <r>
    <s v="DSKMNT"/>
    <x v="1"/>
    <x v="0"/>
    <x v="3"/>
    <x v="3"/>
    <s v="China"/>
    <n v="200"/>
    <n v="1"/>
    <n v="200"/>
    <x v="1"/>
    <s v="Estadio Nacional"/>
  </r>
  <r>
    <s v="DSKMNT"/>
    <x v="1"/>
    <x v="0"/>
    <x v="4"/>
    <x v="4"/>
    <s v="China"/>
    <n v="200"/>
    <n v="1"/>
    <n v="200"/>
    <x v="1"/>
    <s v="Estadio Nacional"/>
  </r>
  <r>
    <s v="DSKMNT"/>
    <x v="1"/>
    <x v="0"/>
    <x v="5"/>
    <x v="5"/>
    <s v="China"/>
    <n v="200"/>
    <n v="1"/>
    <n v="200"/>
    <x v="1"/>
    <s v="Estadio Nacional"/>
  </r>
  <r>
    <s v="DSKMNT"/>
    <x v="1"/>
    <x v="0"/>
    <x v="6"/>
    <x v="6"/>
    <s v="China"/>
    <n v="200"/>
    <n v="1"/>
    <n v="200"/>
    <x v="1"/>
    <s v="Estadio Nacional"/>
  </r>
  <r>
    <s v="DSKMNT"/>
    <x v="1"/>
    <x v="0"/>
    <x v="6"/>
    <x v="6"/>
    <s v="China"/>
    <n v="200"/>
    <n v="1"/>
    <n v="200"/>
    <x v="2"/>
    <s v="Estadio Nacional"/>
  </r>
  <r>
    <s v="DSKMNT"/>
    <x v="1"/>
    <x v="0"/>
    <x v="6"/>
    <x v="6"/>
    <s v="China"/>
    <n v="200"/>
    <n v="1"/>
    <n v="200"/>
    <x v="2"/>
    <s v="Estadio Nacional"/>
  </r>
  <r>
    <s v="DSKMNT"/>
    <x v="1"/>
    <x v="0"/>
    <x v="6"/>
    <x v="6"/>
    <s v="China"/>
    <n v="200"/>
    <n v="1"/>
    <n v="200"/>
    <x v="2"/>
    <s v="Estadio Nacional"/>
  </r>
  <r>
    <s v="DSKMNT"/>
    <x v="1"/>
    <x v="0"/>
    <x v="6"/>
    <x v="6"/>
    <s v="China"/>
    <n v="200"/>
    <n v="1"/>
    <n v="200"/>
    <x v="2"/>
    <s v="Estadio Nacional"/>
  </r>
  <r>
    <s v="ITSFHQ"/>
    <x v="2"/>
    <x v="1"/>
    <x v="7"/>
    <x v="7"/>
    <s v="Taiwan"/>
    <n v="7200"/>
    <n v="1"/>
    <n v="7200"/>
    <x v="3"/>
    <s v="Estadio Nacional"/>
  </r>
  <r>
    <s v="ITSFHQ"/>
    <x v="2"/>
    <x v="1"/>
    <x v="7"/>
    <x v="8"/>
    <s v="Taiwan"/>
    <n v="7200"/>
    <n v="1"/>
    <n v="7200"/>
    <x v="3"/>
    <s v="Estadio Nacional"/>
  </r>
  <r>
    <s v="ITSFHQ"/>
    <x v="2"/>
    <x v="2"/>
    <x v="7"/>
    <x v="9"/>
    <s v="Taiwan"/>
    <n v="3000"/>
    <n v="1"/>
    <n v="3000"/>
    <x v="3"/>
    <s v="Estadio Nacional"/>
  </r>
  <r>
    <s v="ITSFHQ"/>
    <x v="2"/>
    <x v="2"/>
    <x v="7"/>
    <x v="10"/>
    <s v="Taiwan"/>
    <n v="3000"/>
    <n v="1"/>
    <n v="3000"/>
    <x v="3"/>
    <s v="Estadio Nacional"/>
  </r>
  <r>
    <s v="ITSFHQ"/>
    <x v="2"/>
    <x v="2"/>
    <x v="7"/>
    <x v="11"/>
    <s v="Taiwan"/>
    <n v="3000"/>
    <n v="1"/>
    <n v="3000"/>
    <x v="3"/>
    <s v="Estadio Nacional"/>
  </r>
  <r>
    <s v="ITSFHQ"/>
    <x v="2"/>
    <x v="2"/>
    <x v="7"/>
    <x v="12"/>
    <s v="Taiwan"/>
    <n v="3000"/>
    <n v="1"/>
    <n v="3000"/>
    <x v="3"/>
    <s v="Estadio Nacional"/>
  </r>
  <r>
    <s v="ITSFHQ"/>
    <x v="2"/>
    <x v="3"/>
    <x v="7"/>
    <x v="13"/>
    <s v="China"/>
    <n v="150"/>
    <n v="1"/>
    <n v="150"/>
    <x v="4"/>
    <s v="Estadio Nacional"/>
  </r>
  <r>
    <s v="ITSFHQ"/>
    <x v="2"/>
    <x v="3"/>
    <x v="7"/>
    <x v="14"/>
    <s v="China"/>
    <n v="150"/>
    <n v="1"/>
    <n v="150"/>
    <x v="4"/>
    <s v="Estadio Nacional"/>
  </r>
  <r>
    <s v="ITSFHQ"/>
    <x v="2"/>
    <x v="3"/>
    <x v="7"/>
    <x v="15"/>
    <s v="China"/>
    <n v="150"/>
    <n v="1"/>
    <n v="150"/>
    <x v="4"/>
    <s v="Estadio Nacional"/>
  </r>
  <r>
    <s v="ITSFHQ"/>
    <x v="2"/>
    <x v="3"/>
    <x v="7"/>
    <x v="16"/>
    <s v="China"/>
    <n v="150"/>
    <n v="1"/>
    <n v="150"/>
    <x v="4"/>
    <s v="Estadio Nacional"/>
  </r>
  <r>
    <s v="ITSFHQ"/>
    <x v="2"/>
    <x v="3"/>
    <x v="7"/>
    <x v="17"/>
    <s v="China"/>
    <n v="150"/>
    <n v="1"/>
    <n v="150"/>
    <x v="4"/>
    <s v="Estadio Nacional"/>
  </r>
  <r>
    <s v="ITSFHQ"/>
    <x v="2"/>
    <x v="3"/>
    <x v="7"/>
    <x v="18"/>
    <s v="China"/>
    <n v="150"/>
    <n v="1"/>
    <n v="150"/>
    <x v="4"/>
    <s v="Estadio Nacional"/>
  </r>
  <r>
    <s v="ITSFHQ"/>
    <x v="2"/>
    <x v="3"/>
    <x v="7"/>
    <x v="19"/>
    <s v="China"/>
    <n v="150"/>
    <n v="1"/>
    <n v="150"/>
    <x v="4"/>
    <s v="Estadio Nacional"/>
  </r>
  <r>
    <s v="ITSFHQ"/>
    <x v="2"/>
    <x v="3"/>
    <x v="7"/>
    <x v="20"/>
    <s v="China"/>
    <n v="150"/>
    <n v="1"/>
    <n v="150"/>
    <x v="4"/>
    <s v="Estadio Nacional"/>
  </r>
  <r>
    <s v="ITSFHQ"/>
    <x v="2"/>
    <x v="3"/>
    <x v="7"/>
    <x v="21"/>
    <s v="China"/>
    <n v="150"/>
    <n v="1"/>
    <n v="150"/>
    <x v="4"/>
    <s v="Estadio Nacional"/>
  </r>
  <r>
    <s v="ITSFHQ"/>
    <x v="2"/>
    <x v="3"/>
    <x v="7"/>
    <x v="22"/>
    <s v="China"/>
    <n v="150"/>
    <n v="1"/>
    <n v="150"/>
    <x v="4"/>
    <s v="Estadio Nacional"/>
  </r>
  <r>
    <s v="ITSFHQ"/>
    <x v="2"/>
    <x v="3"/>
    <x v="7"/>
    <x v="23"/>
    <s v="China"/>
    <n v="150"/>
    <n v="1"/>
    <n v="150"/>
    <x v="4"/>
    <s v="Estadio Nacional"/>
  </r>
  <r>
    <s v="ITSFHQ"/>
    <x v="2"/>
    <x v="3"/>
    <x v="7"/>
    <x v="24"/>
    <s v="China"/>
    <n v="150"/>
    <n v="1"/>
    <n v="150"/>
    <x v="4"/>
    <s v="Estadio Nacional"/>
  </r>
  <r>
    <s v="ITSFHQ"/>
    <x v="2"/>
    <x v="3"/>
    <x v="7"/>
    <x v="25"/>
    <s v="China"/>
    <n v="150"/>
    <n v="1"/>
    <n v="150"/>
    <x v="4"/>
    <s v="Estadio Nacional"/>
  </r>
  <r>
    <s v="ITSFHQ"/>
    <x v="2"/>
    <x v="3"/>
    <x v="7"/>
    <x v="26"/>
    <s v="China"/>
    <n v="150"/>
    <n v="1"/>
    <n v="150"/>
    <x v="4"/>
    <s v="Estadio Nacional"/>
  </r>
  <r>
    <s v="ITSFHQ"/>
    <x v="2"/>
    <x v="3"/>
    <x v="7"/>
    <x v="27"/>
    <s v="China"/>
    <n v="150"/>
    <n v="1"/>
    <n v="150"/>
    <x v="4"/>
    <s v="Estadio Nacional"/>
  </r>
  <r>
    <s v="ITSFHQ"/>
    <x v="2"/>
    <x v="3"/>
    <x v="7"/>
    <x v="28"/>
    <s v="China"/>
    <n v="150"/>
    <n v="1"/>
    <n v="150"/>
    <x v="4"/>
    <s v="Estadio Nacional"/>
  </r>
  <r>
    <s v="ITSFHQ"/>
    <x v="2"/>
    <x v="3"/>
    <x v="7"/>
    <x v="29"/>
    <s v="China"/>
    <n v="150"/>
    <n v="1"/>
    <n v="150"/>
    <x v="4"/>
    <s v="Estadio Nacional"/>
  </r>
  <r>
    <s v="ITSFHQ"/>
    <x v="2"/>
    <x v="3"/>
    <x v="7"/>
    <x v="30"/>
    <s v="China"/>
    <n v="150"/>
    <n v="1"/>
    <n v="150"/>
    <x v="4"/>
    <s v="Estadio Nacional"/>
  </r>
  <r>
    <s v="ITSFHQ"/>
    <x v="2"/>
    <x v="3"/>
    <x v="7"/>
    <x v="31"/>
    <s v="China"/>
    <n v="150"/>
    <n v="1"/>
    <n v="150"/>
    <x v="4"/>
    <s v="Estadio Nacional"/>
  </r>
  <r>
    <s v="ITSFHQ"/>
    <x v="2"/>
    <x v="3"/>
    <x v="7"/>
    <x v="32"/>
    <s v="China"/>
    <n v="150"/>
    <n v="1"/>
    <n v="150"/>
    <x v="4"/>
    <s v="Estadio Nacional"/>
  </r>
  <r>
    <s v="ITSFHQ"/>
    <x v="2"/>
    <x v="3"/>
    <x v="7"/>
    <x v="33"/>
    <s v="China"/>
    <n v="150"/>
    <n v="1"/>
    <n v="150"/>
    <x v="4"/>
    <s v="Estadio Nacional"/>
  </r>
  <r>
    <s v="ITSFHQ"/>
    <x v="2"/>
    <x v="3"/>
    <x v="7"/>
    <x v="34"/>
    <s v="China"/>
    <n v="150"/>
    <n v="1"/>
    <n v="150"/>
    <x v="4"/>
    <s v="Estadio Nacional"/>
  </r>
  <r>
    <s v="ITSFHQ"/>
    <x v="2"/>
    <x v="4"/>
    <x v="7"/>
    <x v="35"/>
    <s v="Taiwan"/>
    <n v="80"/>
    <n v="20"/>
    <n v="1600"/>
    <x v="4"/>
    <s v="Estadio Nacional"/>
  </r>
  <r>
    <s v="ITSFHQ"/>
    <x v="2"/>
    <x v="4"/>
    <x v="7"/>
    <x v="36"/>
    <s v="Taiwan"/>
    <n v="80"/>
    <n v="20"/>
    <n v="1600"/>
    <x v="4"/>
    <s v="Estadio Nacional"/>
  </r>
  <r>
    <s v="ITSFHQ"/>
    <x v="2"/>
    <x v="5"/>
    <x v="7"/>
    <x v="37"/>
    <s v="China"/>
    <n v="1100"/>
    <n v="1"/>
    <n v="1100"/>
    <x v="3"/>
    <s v="Estadio Nacional"/>
  </r>
  <r>
    <s v="ITSFHQ"/>
    <x v="2"/>
    <x v="6"/>
    <x v="7"/>
    <x v="38"/>
    <s v="China"/>
    <n v="5"/>
    <n v="10"/>
    <n v="50"/>
    <x v="4"/>
    <s v="Estadio Nacional"/>
  </r>
  <r>
    <s v="ITSFHQ"/>
    <x v="2"/>
    <x v="7"/>
    <x v="7"/>
    <x v="38"/>
    <s v="China"/>
    <n v="10"/>
    <n v="11"/>
    <n v="110"/>
    <x v="3"/>
    <s v="Estadio Nacional"/>
  </r>
  <r>
    <s v="ITSFHQ"/>
    <x v="2"/>
    <x v="8"/>
    <x v="7"/>
    <x v="38"/>
    <s v="China"/>
    <n v="15"/>
    <n v="1"/>
    <n v="15"/>
    <x v="4"/>
    <s v="Estadio Nacional"/>
  </r>
  <r>
    <s v="ITSFHQ"/>
    <x v="2"/>
    <x v="9"/>
    <x v="7"/>
    <x v="38"/>
    <s v="Switzerland"/>
    <n v="20"/>
    <n v="2"/>
    <n v="40"/>
    <x v="3"/>
    <s v="Estadio Nacional"/>
  </r>
  <r>
    <s v="ITSFHQ"/>
    <x v="2"/>
    <x v="10"/>
    <x v="7"/>
    <x v="38"/>
    <s v="China"/>
    <n v="250"/>
    <n v="1"/>
    <n v="250"/>
    <x v="3"/>
    <s v="Estadio Nacional"/>
  </r>
  <r>
    <s v="ITSS08"/>
    <x v="3"/>
    <x v="11"/>
    <x v="7"/>
    <x v="38"/>
    <s v="China"/>
    <n v="120"/>
    <n v="1"/>
    <n v="120"/>
    <x v="4"/>
    <s v="Estadio Nacional"/>
  </r>
  <r>
    <s v="ITSSAT"/>
    <x v="4"/>
    <x v="12"/>
    <x v="7"/>
    <x v="39"/>
    <s v="Taiwan"/>
    <n v="1100"/>
    <n v="1"/>
    <n v="1100"/>
    <x v="4"/>
    <s v="Estadio Nacional"/>
  </r>
  <r>
    <s v="ITSSAT"/>
    <x v="4"/>
    <x v="12"/>
    <x v="7"/>
    <x v="40"/>
    <s v="Taiwan"/>
    <n v="1100"/>
    <n v="1"/>
    <n v="1100"/>
    <x v="4"/>
    <s v="Estadio Nacional"/>
  </r>
  <r>
    <s v="LAPEVT"/>
    <x v="5"/>
    <x v="13"/>
    <x v="8"/>
    <x v="41"/>
    <s v="China"/>
    <n v="500"/>
    <n v="1"/>
    <n v="500"/>
    <x v="5"/>
    <s v="Estadio Nacional"/>
  </r>
  <r>
    <s v="LAPEVT"/>
    <x v="5"/>
    <x v="13"/>
    <x v="9"/>
    <x v="42"/>
    <s v="China"/>
    <n v="500"/>
    <n v="1"/>
    <n v="500"/>
    <x v="5"/>
    <s v="Estadio Nacional"/>
  </r>
  <r>
    <s v="LAPEVT"/>
    <x v="5"/>
    <x v="13"/>
    <x v="10"/>
    <x v="43"/>
    <s v="China"/>
    <n v="500"/>
    <n v="1"/>
    <n v="500"/>
    <x v="5"/>
    <s v="Estadio Nacional"/>
  </r>
  <r>
    <s v="LAPEVT"/>
    <x v="5"/>
    <x v="13"/>
    <x v="11"/>
    <x v="44"/>
    <s v="China"/>
    <n v="500"/>
    <n v="1"/>
    <n v="500"/>
    <x v="5"/>
    <s v="Estadio Nacional"/>
  </r>
  <r>
    <s v="LAPEVT"/>
    <x v="5"/>
    <x v="13"/>
    <x v="12"/>
    <x v="45"/>
    <s v="China"/>
    <n v="500"/>
    <n v="1"/>
    <n v="500"/>
    <x v="5"/>
    <s v="Estadio Nacional"/>
  </r>
  <r>
    <s v="LAPEVT"/>
    <x v="5"/>
    <x v="13"/>
    <x v="13"/>
    <x v="46"/>
    <s v="China"/>
    <n v="500"/>
    <n v="1"/>
    <n v="500"/>
    <x v="5"/>
    <s v="Estadio Nacional"/>
  </r>
  <r>
    <s v="LAPEVT"/>
    <x v="5"/>
    <x v="13"/>
    <x v="14"/>
    <x v="47"/>
    <s v="China"/>
    <n v="500"/>
    <n v="1"/>
    <n v="500"/>
    <x v="5"/>
    <s v="Estadio Nacional"/>
  </r>
  <r>
    <s v="LAPEVT"/>
    <x v="5"/>
    <x v="13"/>
    <x v="15"/>
    <x v="48"/>
    <s v="China"/>
    <n v="500"/>
    <n v="1"/>
    <n v="500"/>
    <x v="5"/>
    <s v="Estadio Nacional"/>
  </r>
  <r>
    <s v="LAPEVT"/>
    <x v="5"/>
    <x v="13"/>
    <x v="16"/>
    <x v="49"/>
    <s v="China"/>
    <n v="500"/>
    <n v="1"/>
    <n v="500"/>
    <x v="5"/>
    <s v="Estadio Nacional"/>
  </r>
  <r>
    <s v="LAPEVT"/>
    <x v="5"/>
    <x v="13"/>
    <x v="17"/>
    <x v="50"/>
    <s v="China"/>
    <n v="500"/>
    <n v="1"/>
    <n v="500"/>
    <x v="5"/>
    <s v="Estadio Nacional"/>
  </r>
  <r>
    <s v="LAPEVT"/>
    <x v="5"/>
    <x v="13"/>
    <x v="18"/>
    <x v="51"/>
    <s v="China"/>
    <n v="500"/>
    <n v="1"/>
    <n v="500"/>
    <x v="6"/>
    <s v="Estadio Nacional"/>
  </r>
  <r>
    <s v="LAPEVT"/>
    <x v="5"/>
    <x v="13"/>
    <x v="19"/>
    <x v="52"/>
    <s v="China"/>
    <n v="500"/>
    <n v="1"/>
    <n v="500"/>
    <x v="6"/>
    <s v="Estadio Nacional"/>
  </r>
  <r>
    <s v="LAPEVT"/>
    <x v="5"/>
    <x v="13"/>
    <x v="20"/>
    <x v="53"/>
    <s v="China"/>
    <n v="500"/>
    <n v="1"/>
    <n v="500"/>
    <x v="6"/>
    <s v="Estadio Nacional"/>
  </r>
  <r>
    <s v="LAPEVT"/>
    <x v="5"/>
    <x v="13"/>
    <x v="21"/>
    <x v="54"/>
    <s v="China"/>
    <n v="500"/>
    <n v="1"/>
    <n v="500"/>
    <x v="6"/>
    <s v="Estadio Nacional"/>
  </r>
  <r>
    <s v="LAPEVT"/>
    <x v="5"/>
    <x v="13"/>
    <x v="22"/>
    <x v="55"/>
    <s v="China"/>
    <n v="500"/>
    <n v="1"/>
    <n v="500"/>
    <x v="6"/>
    <s v="Estadio Nacional"/>
  </r>
  <r>
    <s v="LAPEVT"/>
    <x v="5"/>
    <x v="13"/>
    <x v="23"/>
    <x v="56"/>
    <s v="China"/>
    <n v="500"/>
    <n v="1"/>
    <n v="500"/>
    <x v="6"/>
    <s v="Estadio Nacional"/>
  </r>
  <r>
    <s v="LAPEVT"/>
    <x v="5"/>
    <x v="13"/>
    <x v="24"/>
    <x v="57"/>
    <s v="China"/>
    <n v="500"/>
    <n v="1"/>
    <n v="500"/>
    <x v="6"/>
    <s v="Estadio Nacional"/>
  </r>
  <r>
    <s v="LAPEVT"/>
    <x v="5"/>
    <x v="13"/>
    <x v="25"/>
    <x v="58"/>
    <s v="China"/>
    <n v="500"/>
    <n v="1"/>
    <n v="500"/>
    <x v="6"/>
    <s v="Estadio Nacional"/>
  </r>
  <r>
    <s v="LAPEVT"/>
    <x v="5"/>
    <x v="13"/>
    <x v="26"/>
    <x v="59"/>
    <s v="China"/>
    <n v="500"/>
    <n v="1"/>
    <n v="500"/>
    <x v="6"/>
    <s v="Estadio Nacional"/>
  </r>
  <r>
    <s v="LAPEVT"/>
    <x v="5"/>
    <x v="13"/>
    <x v="27"/>
    <x v="60"/>
    <s v="China"/>
    <n v="500"/>
    <n v="1"/>
    <n v="500"/>
    <x v="6"/>
    <s v="Estadio Nacional"/>
  </r>
  <r>
    <s v="LAPEVT"/>
    <x v="5"/>
    <x v="13"/>
    <x v="28"/>
    <x v="61"/>
    <s v="China"/>
    <n v="500"/>
    <n v="1"/>
    <n v="500"/>
    <x v="7"/>
    <s v="Estadio Nacional"/>
  </r>
  <r>
    <s v="LAPEVT"/>
    <x v="5"/>
    <x v="13"/>
    <x v="29"/>
    <x v="62"/>
    <s v="China"/>
    <n v="500"/>
    <n v="1"/>
    <n v="500"/>
    <x v="7"/>
    <s v="Estadio Nacional"/>
  </r>
  <r>
    <s v="LAPEVT"/>
    <x v="5"/>
    <x v="13"/>
    <x v="30"/>
    <x v="63"/>
    <s v="China"/>
    <n v="500"/>
    <n v="1"/>
    <n v="500"/>
    <x v="7"/>
    <s v="Estadio Nacional"/>
  </r>
  <r>
    <s v="LAPEVT"/>
    <x v="5"/>
    <x v="13"/>
    <x v="31"/>
    <x v="64"/>
    <s v="China"/>
    <n v="500"/>
    <n v="1"/>
    <n v="500"/>
    <x v="7"/>
    <s v="Estadio Nacional"/>
  </r>
  <r>
    <s v="LAPEVT"/>
    <x v="5"/>
    <x v="13"/>
    <x v="32"/>
    <x v="65"/>
    <s v="China"/>
    <n v="500"/>
    <n v="1"/>
    <n v="500"/>
    <x v="7"/>
    <s v="Estadio Nacional"/>
  </r>
  <r>
    <s v="LAPEVT"/>
    <x v="5"/>
    <x v="13"/>
    <x v="33"/>
    <x v="66"/>
    <s v="China"/>
    <n v="500"/>
    <n v="1"/>
    <n v="500"/>
    <x v="7"/>
    <s v="Estadio Nacional"/>
  </r>
  <r>
    <s v="LAPEVT"/>
    <x v="5"/>
    <x v="13"/>
    <x v="34"/>
    <x v="67"/>
    <s v="China"/>
    <n v="500"/>
    <n v="1"/>
    <n v="500"/>
    <x v="7"/>
    <s v="Estadio Nacional"/>
  </r>
  <r>
    <s v="LAPEVT"/>
    <x v="5"/>
    <x v="13"/>
    <x v="35"/>
    <x v="68"/>
    <s v="China"/>
    <n v="500"/>
    <n v="1"/>
    <n v="500"/>
    <x v="8"/>
    <s v="Estadio Nacional"/>
  </r>
  <r>
    <s v="LAPEVT"/>
    <x v="5"/>
    <x v="13"/>
    <x v="36"/>
    <x v="69"/>
    <s v="China"/>
    <n v="500"/>
    <n v="1"/>
    <n v="500"/>
    <x v="8"/>
    <s v="Estadio Nacional"/>
  </r>
  <r>
    <s v="LAPEVT"/>
    <x v="5"/>
    <x v="13"/>
    <x v="37"/>
    <x v="70"/>
    <s v="China"/>
    <n v="500"/>
    <n v="1"/>
    <n v="500"/>
    <x v="8"/>
    <s v="Estadio Nacional"/>
  </r>
  <r>
    <s v="LAPEVT"/>
    <x v="5"/>
    <x v="13"/>
    <x v="38"/>
    <x v="71"/>
    <s v="China"/>
    <n v="500"/>
    <n v="1"/>
    <n v="500"/>
    <x v="8"/>
    <s v="Estadio Nacional"/>
  </r>
  <r>
    <s v="LAPEVT"/>
    <x v="5"/>
    <x v="13"/>
    <x v="39"/>
    <x v="72"/>
    <s v="China"/>
    <n v="500"/>
    <n v="1"/>
    <n v="500"/>
    <x v="8"/>
    <s v="Estadio Nacional"/>
  </r>
  <r>
    <s v="LAPEVT"/>
    <x v="5"/>
    <x v="13"/>
    <x v="40"/>
    <x v="73"/>
    <s v="China"/>
    <n v="500"/>
    <n v="1"/>
    <n v="500"/>
    <x v="8"/>
    <s v="Estadio Nacional"/>
  </r>
  <r>
    <s v="LAPEVT"/>
    <x v="5"/>
    <x v="13"/>
    <x v="41"/>
    <x v="74"/>
    <s v="China"/>
    <n v="500"/>
    <n v="1"/>
    <n v="500"/>
    <x v="8"/>
    <s v="Estadio Nacional"/>
  </r>
  <r>
    <s v="LAPEVT"/>
    <x v="5"/>
    <x v="13"/>
    <x v="42"/>
    <x v="75"/>
    <s v="China"/>
    <n v="500"/>
    <n v="1"/>
    <n v="500"/>
    <x v="8"/>
    <s v="Estadio Nacional"/>
  </r>
  <r>
    <s v="LAPEVT"/>
    <x v="5"/>
    <x v="13"/>
    <x v="43"/>
    <x v="76"/>
    <s v="China"/>
    <n v="500"/>
    <n v="1"/>
    <n v="500"/>
    <x v="8"/>
    <s v="Estadio Nacional"/>
  </r>
  <r>
    <s v="LAPEVT"/>
    <x v="5"/>
    <x v="13"/>
    <x v="44"/>
    <x v="77"/>
    <s v="China"/>
    <n v="500"/>
    <n v="1"/>
    <n v="500"/>
    <x v="8"/>
    <s v="Estadio Nacional"/>
  </r>
  <r>
    <s v="LAPEVT"/>
    <x v="5"/>
    <x v="13"/>
    <x v="45"/>
    <x v="78"/>
    <s v="China"/>
    <n v="500"/>
    <n v="1"/>
    <n v="500"/>
    <x v="9"/>
    <s v="Estadio Nacional"/>
  </r>
  <r>
    <s v="LAPEVT"/>
    <x v="5"/>
    <x v="13"/>
    <x v="46"/>
    <x v="79"/>
    <s v="China"/>
    <n v="500"/>
    <n v="1"/>
    <n v="500"/>
    <x v="9"/>
    <s v="Estadio Nacional"/>
  </r>
  <r>
    <s v="TELMOB"/>
    <x v="6"/>
    <x v="14"/>
    <x v="7"/>
    <x v="80"/>
    <s v="China"/>
    <n v="450"/>
    <n v="1"/>
    <n v="450"/>
    <x v="10"/>
    <s v="Estadio Nacional"/>
  </r>
  <r>
    <s v="TELMOB"/>
    <x v="6"/>
    <x v="14"/>
    <x v="7"/>
    <x v="81"/>
    <s v="China"/>
    <n v="450"/>
    <n v="1"/>
    <n v="450"/>
    <x v="10"/>
    <s v="Estadio Nacional"/>
  </r>
  <r>
    <s v="TELMOB"/>
    <x v="6"/>
    <x v="14"/>
    <x v="7"/>
    <x v="82"/>
    <s v="China"/>
    <n v="450"/>
    <n v="1"/>
    <n v="450"/>
    <x v="10"/>
    <s v="Estadio Nacional"/>
  </r>
  <r>
    <s v="TELMOB"/>
    <x v="6"/>
    <x v="14"/>
    <x v="7"/>
    <x v="83"/>
    <s v="China"/>
    <n v="450"/>
    <n v="1"/>
    <n v="450"/>
    <x v="10"/>
    <s v="Estadio Nacional"/>
  </r>
  <r>
    <s v="TELMOB"/>
    <x v="6"/>
    <x v="14"/>
    <x v="7"/>
    <x v="84"/>
    <s v="China"/>
    <n v="450"/>
    <n v="1"/>
    <n v="450"/>
    <x v="10"/>
    <s v="Estadio Nacional"/>
  </r>
  <r>
    <s v="TELMOB"/>
    <x v="6"/>
    <x v="14"/>
    <x v="7"/>
    <x v="85"/>
    <s v="China"/>
    <n v="450"/>
    <n v="1"/>
    <n v="450"/>
    <x v="10"/>
    <s v="Estadio Nacional"/>
  </r>
  <r>
    <s v="TELMOB"/>
    <x v="6"/>
    <x v="14"/>
    <x v="7"/>
    <x v="86"/>
    <s v="China"/>
    <n v="450"/>
    <n v="1"/>
    <n v="450"/>
    <x v="10"/>
    <s v="Estadio Nacional"/>
  </r>
  <r>
    <s v="TELMOB"/>
    <x v="6"/>
    <x v="14"/>
    <x v="7"/>
    <x v="87"/>
    <s v="China"/>
    <n v="450"/>
    <n v="1"/>
    <n v="450"/>
    <x v="10"/>
    <s v="Estadio Nacional"/>
  </r>
  <r>
    <s v="TELMOB"/>
    <x v="6"/>
    <x v="14"/>
    <x v="7"/>
    <x v="88"/>
    <s v="China"/>
    <n v="450"/>
    <n v="1"/>
    <n v="450"/>
    <x v="10"/>
    <s v="Estadio Nacional"/>
  </r>
  <r>
    <s v="TELMOB"/>
    <x v="6"/>
    <x v="14"/>
    <x v="7"/>
    <x v="89"/>
    <s v="China"/>
    <n v="450"/>
    <n v="1"/>
    <n v="450"/>
    <x v="10"/>
    <s v="Estadio Nacional"/>
  </r>
  <r>
    <s v="TELMOB"/>
    <x v="6"/>
    <x v="14"/>
    <x v="7"/>
    <x v="90"/>
    <s v="China"/>
    <n v="450"/>
    <n v="1"/>
    <n v="450"/>
    <x v="11"/>
    <s v="Estadio Nacional"/>
  </r>
  <r>
    <s v="TELMOB"/>
    <x v="6"/>
    <x v="14"/>
    <x v="7"/>
    <x v="91"/>
    <s v="China"/>
    <n v="450"/>
    <n v="1"/>
    <n v="450"/>
    <x v="11"/>
    <s v="Estadio Nacional"/>
  </r>
  <r>
    <s v="TELMOB"/>
    <x v="6"/>
    <x v="14"/>
    <x v="7"/>
    <x v="92"/>
    <s v="China"/>
    <n v="450"/>
    <n v="1"/>
    <n v="450"/>
    <x v="11"/>
    <s v="Estadio Nacional"/>
  </r>
  <r>
    <s v="TELMOB"/>
    <x v="6"/>
    <x v="14"/>
    <x v="7"/>
    <x v="93"/>
    <s v="China"/>
    <n v="450"/>
    <n v="1"/>
    <n v="450"/>
    <x v="11"/>
    <s v="Estadio Nacional"/>
  </r>
  <r>
    <s v="TELMOB"/>
    <x v="6"/>
    <x v="14"/>
    <x v="7"/>
    <x v="94"/>
    <s v="China"/>
    <n v="450"/>
    <n v="1"/>
    <n v="450"/>
    <x v="11"/>
    <s v="Estadio Nacional"/>
  </r>
  <r>
    <s v="TELMOB"/>
    <x v="6"/>
    <x v="14"/>
    <x v="7"/>
    <x v="95"/>
    <s v="China"/>
    <n v="450"/>
    <n v="1"/>
    <n v="450"/>
    <x v="11"/>
    <s v="Estadio Nacional"/>
  </r>
  <r>
    <s v="TELMOB"/>
    <x v="6"/>
    <x v="14"/>
    <x v="7"/>
    <x v="96"/>
    <s v="China"/>
    <n v="450"/>
    <n v="1"/>
    <n v="450"/>
    <x v="11"/>
    <s v="Estadio Nacional"/>
  </r>
  <r>
    <s v="TELMOB"/>
    <x v="6"/>
    <x v="14"/>
    <x v="7"/>
    <x v="97"/>
    <s v="China"/>
    <n v="450"/>
    <n v="1"/>
    <n v="450"/>
    <x v="11"/>
    <s v="Estadio Nacional"/>
  </r>
  <r>
    <s v="TELMOB"/>
    <x v="6"/>
    <x v="14"/>
    <x v="7"/>
    <x v="98"/>
    <s v="China"/>
    <n v="450"/>
    <n v="1"/>
    <n v="450"/>
    <x v="11"/>
    <s v="Estadio Nacional"/>
  </r>
  <r>
    <s v="TELMOB"/>
    <x v="6"/>
    <x v="14"/>
    <x v="7"/>
    <x v="99"/>
    <s v="China"/>
    <n v="450"/>
    <n v="1"/>
    <n v="450"/>
    <x v="11"/>
    <s v="Estadio Nacional"/>
  </r>
  <r>
    <s v="TELMOB"/>
    <x v="6"/>
    <x v="14"/>
    <x v="7"/>
    <x v="100"/>
    <s v="China"/>
    <n v="450"/>
    <n v="1"/>
    <n v="450"/>
    <x v="12"/>
    <s v="Estadio Nacional"/>
  </r>
  <r>
    <s v="TELMOB"/>
    <x v="6"/>
    <x v="14"/>
    <x v="7"/>
    <x v="101"/>
    <s v="China"/>
    <n v="450"/>
    <n v="1"/>
    <n v="450"/>
    <x v="12"/>
    <s v="Estadio Nacional"/>
  </r>
  <r>
    <s v="TELMOB"/>
    <x v="6"/>
    <x v="14"/>
    <x v="7"/>
    <x v="102"/>
    <s v="China"/>
    <n v="450"/>
    <n v="1"/>
    <n v="450"/>
    <x v="12"/>
    <s v="Estadio Nacional"/>
  </r>
  <r>
    <s v="TELMOB"/>
    <x v="6"/>
    <x v="14"/>
    <x v="7"/>
    <x v="103"/>
    <s v="China"/>
    <n v="450"/>
    <n v="1"/>
    <n v="450"/>
    <x v="12"/>
    <s v="Estadio Nacional"/>
  </r>
  <r>
    <s v="TELMOB"/>
    <x v="6"/>
    <x v="14"/>
    <x v="7"/>
    <x v="104"/>
    <s v="China"/>
    <n v="450"/>
    <n v="1"/>
    <n v="450"/>
    <x v="12"/>
    <s v="Estadio Nacional"/>
  </r>
  <r>
    <s v="TELMOB"/>
    <x v="6"/>
    <x v="14"/>
    <x v="7"/>
    <x v="105"/>
    <s v="China"/>
    <n v="450"/>
    <n v="1"/>
    <n v="450"/>
    <x v="12"/>
    <s v="Estadio Nacional"/>
  </r>
  <r>
    <s v="TELMOB"/>
    <x v="6"/>
    <x v="14"/>
    <x v="7"/>
    <x v="106"/>
    <s v="China"/>
    <n v="450"/>
    <n v="1"/>
    <n v="450"/>
    <x v="12"/>
    <s v="Estadio Nacional"/>
  </r>
  <r>
    <s v="TELMOB"/>
    <x v="6"/>
    <x v="14"/>
    <x v="7"/>
    <x v="107"/>
    <s v="China"/>
    <n v="450"/>
    <n v="1"/>
    <n v="450"/>
    <x v="12"/>
    <s v="Estadio Nacional"/>
  </r>
  <r>
    <s v="TELMOB"/>
    <x v="6"/>
    <x v="14"/>
    <x v="7"/>
    <x v="108"/>
    <s v="China"/>
    <n v="450"/>
    <n v="1"/>
    <n v="450"/>
    <x v="12"/>
    <s v="Estadio Nacional"/>
  </r>
  <r>
    <s v="TELMOB"/>
    <x v="6"/>
    <x v="14"/>
    <x v="7"/>
    <x v="109"/>
    <s v="China"/>
    <n v="450"/>
    <n v="1"/>
    <n v="450"/>
    <x v="12"/>
    <s v="Estadio Nacional"/>
  </r>
  <r>
    <s v="TELMOB"/>
    <x v="6"/>
    <x v="14"/>
    <x v="7"/>
    <x v="110"/>
    <s v="China"/>
    <n v="450"/>
    <n v="1"/>
    <n v="450"/>
    <x v="13"/>
    <s v="Estadio Nacional"/>
  </r>
  <r>
    <s v="TELMOB"/>
    <x v="6"/>
    <x v="14"/>
    <x v="7"/>
    <x v="111"/>
    <s v="China"/>
    <n v="450"/>
    <n v="1"/>
    <n v="450"/>
    <x v="13"/>
    <s v="Estadio Nacional"/>
  </r>
  <r>
    <s v="TELMOB"/>
    <x v="6"/>
    <x v="14"/>
    <x v="7"/>
    <x v="112"/>
    <s v="China"/>
    <n v="450"/>
    <n v="1"/>
    <n v="450"/>
    <x v="13"/>
    <s v="Estadio Nacional"/>
  </r>
  <r>
    <s v="TELMOB"/>
    <x v="6"/>
    <x v="14"/>
    <x v="7"/>
    <x v="113"/>
    <s v="China"/>
    <n v="450"/>
    <n v="1"/>
    <n v="450"/>
    <x v="13"/>
    <s v="Estadio Nacional"/>
  </r>
  <r>
    <s v="TELMOB"/>
    <x v="6"/>
    <x v="14"/>
    <x v="7"/>
    <x v="114"/>
    <s v="China"/>
    <n v="450"/>
    <n v="1"/>
    <n v="450"/>
    <x v="13"/>
    <s v="Estadio Nacional"/>
  </r>
  <r>
    <s v="TELMOB"/>
    <x v="6"/>
    <x v="14"/>
    <x v="7"/>
    <x v="115"/>
    <s v="China"/>
    <n v="450"/>
    <n v="1"/>
    <n v="450"/>
    <x v="13"/>
    <s v="Estadio Nacional"/>
  </r>
  <r>
    <s v="TELMOB"/>
    <x v="6"/>
    <x v="14"/>
    <x v="7"/>
    <x v="116"/>
    <s v="China"/>
    <n v="450"/>
    <n v="1"/>
    <n v="450"/>
    <x v="13"/>
    <s v="Estadio Nacional"/>
  </r>
  <r>
    <s v="TELMOB"/>
    <x v="6"/>
    <x v="14"/>
    <x v="7"/>
    <x v="117"/>
    <s v="China"/>
    <n v="450"/>
    <n v="1"/>
    <n v="450"/>
    <x v="13"/>
    <s v="Estadio Nacional"/>
  </r>
  <r>
    <s v="TELMOB"/>
    <x v="6"/>
    <x v="14"/>
    <x v="7"/>
    <x v="118"/>
    <s v="China"/>
    <n v="450"/>
    <n v="1"/>
    <n v="450"/>
    <x v="13"/>
    <s v="Estadio Nacional"/>
  </r>
  <r>
    <s v="TELMOB"/>
    <x v="6"/>
    <x v="14"/>
    <x v="7"/>
    <x v="119"/>
    <s v="China"/>
    <n v="450"/>
    <n v="1"/>
    <n v="450"/>
    <x v="13"/>
    <s v="Estadio Nacional"/>
  </r>
  <r>
    <s v="TELMOB"/>
    <x v="6"/>
    <x v="14"/>
    <x v="7"/>
    <x v="120"/>
    <s v="China"/>
    <n v="450"/>
    <n v="1"/>
    <n v="450"/>
    <x v="14"/>
    <s v="Estadio Nacional"/>
  </r>
  <r>
    <s v="TELMOB"/>
    <x v="6"/>
    <x v="14"/>
    <x v="7"/>
    <x v="121"/>
    <s v="China"/>
    <n v="450"/>
    <n v="1"/>
    <n v="450"/>
    <x v="14"/>
    <s v="Estadio Nacional"/>
  </r>
  <r>
    <s v="TELMOB"/>
    <x v="6"/>
    <x v="14"/>
    <x v="7"/>
    <x v="122"/>
    <s v="China"/>
    <n v="450"/>
    <n v="1"/>
    <n v="450"/>
    <x v="14"/>
    <s v="Estadio Nacional"/>
  </r>
  <r>
    <s v="TELMOB"/>
    <x v="6"/>
    <x v="14"/>
    <x v="7"/>
    <x v="123"/>
    <s v="China"/>
    <n v="450"/>
    <n v="1"/>
    <n v="450"/>
    <x v="14"/>
    <s v="Estadio Nacional"/>
  </r>
  <r>
    <s v="TELMOB"/>
    <x v="6"/>
    <x v="14"/>
    <x v="7"/>
    <x v="124"/>
    <s v="China"/>
    <n v="450"/>
    <n v="1"/>
    <n v="450"/>
    <x v="14"/>
    <s v="Estadio Nacional"/>
  </r>
  <r>
    <s v="TELMOB"/>
    <x v="6"/>
    <x v="14"/>
    <x v="7"/>
    <x v="125"/>
    <s v="China"/>
    <n v="450"/>
    <n v="1"/>
    <n v="450"/>
    <x v="14"/>
    <s v="Estadio Nacional"/>
  </r>
  <r>
    <s v="TELMOB"/>
    <x v="6"/>
    <x v="14"/>
    <x v="7"/>
    <x v="126"/>
    <s v="China"/>
    <n v="450"/>
    <n v="1"/>
    <n v="450"/>
    <x v="14"/>
    <s v="Estadio Nacional"/>
  </r>
  <r>
    <s v="TELMOB"/>
    <x v="6"/>
    <x v="14"/>
    <x v="7"/>
    <x v="127"/>
    <s v="China"/>
    <n v="450"/>
    <n v="1"/>
    <n v="450"/>
    <x v="14"/>
    <s v="Estadio Nacional"/>
  </r>
  <r>
    <s v="TELMOB"/>
    <x v="6"/>
    <x v="14"/>
    <x v="7"/>
    <x v="128"/>
    <s v="China"/>
    <n v="450"/>
    <n v="1"/>
    <n v="450"/>
    <x v="14"/>
    <s v="Estadio Nacional"/>
  </r>
  <r>
    <s v="TELMOB"/>
    <x v="6"/>
    <x v="14"/>
    <x v="7"/>
    <x v="129"/>
    <s v="China"/>
    <n v="450"/>
    <n v="1"/>
    <n v="450"/>
    <x v="14"/>
    <s v="Estadio Nacional"/>
  </r>
  <r>
    <s v="TELMOB"/>
    <x v="6"/>
    <x v="14"/>
    <x v="7"/>
    <x v="130"/>
    <s v="China"/>
    <n v="450"/>
    <n v="1"/>
    <n v="450"/>
    <x v="15"/>
    <s v="Estadio Nacional"/>
  </r>
  <r>
    <s v="TELMOB"/>
    <x v="6"/>
    <x v="14"/>
    <x v="7"/>
    <x v="131"/>
    <s v="China"/>
    <n v="450"/>
    <n v="1"/>
    <n v="450"/>
    <x v="15"/>
    <s v="Estadio Nacional"/>
  </r>
  <r>
    <s v="TELMOB"/>
    <x v="6"/>
    <x v="14"/>
    <x v="7"/>
    <x v="132"/>
    <s v="China"/>
    <n v="450"/>
    <n v="1"/>
    <n v="450"/>
    <x v="15"/>
    <s v="Estadio Nacional"/>
  </r>
  <r>
    <s v="TELMOB"/>
    <x v="6"/>
    <x v="14"/>
    <x v="7"/>
    <x v="133"/>
    <s v="China"/>
    <n v="450"/>
    <n v="1"/>
    <n v="450"/>
    <x v="15"/>
    <s v="Estadio Nacional"/>
  </r>
  <r>
    <s v="TELMOB"/>
    <x v="6"/>
    <x v="14"/>
    <x v="7"/>
    <x v="134"/>
    <s v="China"/>
    <n v="450"/>
    <n v="1"/>
    <n v="450"/>
    <x v="15"/>
    <s v="Estadio Nacional"/>
  </r>
  <r>
    <s v="TELMOB"/>
    <x v="6"/>
    <x v="14"/>
    <x v="7"/>
    <x v="135"/>
    <s v="China"/>
    <n v="450"/>
    <n v="1"/>
    <n v="450"/>
    <x v="15"/>
    <s v="Estadio Nacional"/>
  </r>
  <r>
    <s v="TELMOB"/>
    <x v="6"/>
    <x v="14"/>
    <x v="7"/>
    <x v="136"/>
    <s v="China"/>
    <n v="450"/>
    <n v="1"/>
    <n v="450"/>
    <x v="15"/>
    <s v="Estadio Nacional"/>
  </r>
  <r>
    <s v="TELMOB"/>
    <x v="6"/>
    <x v="14"/>
    <x v="7"/>
    <x v="137"/>
    <s v="China"/>
    <n v="450"/>
    <n v="1"/>
    <n v="450"/>
    <x v="15"/>
    <s v="Estadio Nacional"/>
  </r>
  <r>
    <s v="TELMOB"/>
    <x v="6"/>
    <x v="14"/>
    <x v="7"/>
    <x v="138"/>
    <s v="China"/>
    <n v="450"/>
    <n v="1"/>
    <n v="450"/>
    <x v="15"/>
    <s v="Estadio Nacional"/>
  </r>
  <r>
    <s v="TELMOB"/>
    <x v="6"/>
    <x v="14"/>
    <x v="7"/>
    <x v="139"/>
    <s v="China"/>
    <n v="450"/>
    <n v="1"/>
    <n v="450"/>
    <x v="15"/>
    <s v="Estadio Nacional"/>
  </r>
  <r>
    <s v="TELMOB"/>
    <x v="6"/>
    <x v="14"/>
    <x v="7"/>
    <x v="140"/>
    <s v="China"/>
    <n v="450"/>
    <n v="1"/>
    <n v="450"/>
    <x v="16"/>
    <s v="Estadio Nacional"/>
  </r>
  <r>
    <s v="TELMOB"/>
    <x v="6"/>
    <x v="14"/>
    <x v="7"/>
    <x v="141"/>
    <s v="China"/>
    <n v="450"/>
    <n v="1"/>
    <n v="450"/>
    <x v="16"/>
    <s v="Estadio Nacional"/>
  </r>
  <r>
    <s v="TELMOB"/>
    <x v="6"/>
    <x v="14"/>
    <x v="7"/>
    <x v="142"/>
    <s v="China"/>
    <n v="450"/>
    <n v="1"/>
    <n v="450"/>
    <x v="16"/>
    <s v="Estadio Nacional"/>
  </r>
  <r>
    <s v="TELMOB"/>
    <x v="6"/>
    <x v="14"/>
    <x v="7"/>
    <x v="143"/>
    <s v="China"/>
    <n v="450"/>
    <n v="1"/>
    <n v="450"/>
    <x v="16"/>
    <s v="Estadio Nacional"/>
  </r>
  <r>
    <s v="TELMOB"/>
    <x v="6"/>
    <x v="14"/>
    <x v="7"/>
    <x v="144"/>
    <s v="China"/>
    <n v="450"/>
    <n v="1"/>
    <n v="450"/>
    <x v="16"/>
    <s v="Estadio Nacional"/>
  </r>
  <r>
    <s v="TELMOB"/>
    <x v="6"/>
    <x v="14"/>
    <x v="7"/>
    <x v="145"/>
    <s v="China"/>
    <n v="450"/>
    <n v="1"/>
    <n v="450"/>
    <x v="16"/>
    <s v="Estadio Nacional"/>
  </r>
  <r>
    <s v="TELMOB"/>
    <x v="6"/>
    <x v="14"/>
    <x v="7"/>
    <x v="146"/>
    <s v="China"/>
    <n v="450"/>
    <n v="1"/>
    <n v="450"/>
    <x v="16"/>
    <s v="Estadio Nacional"/>
  </r>
  <r>
    <s v="TELMOB"/>
    <x v="6"/>
    <x v="14"/>
    <x v="7"/>
    <x v="147"/>
    <s v="China"/>
    <n v="450"/>
    <n v="1"/>
    <n v="450"/>
    <x v="16"/>
    <s v="Estadio Nacional"/>
  </r>
  <r>
    <s v="TELMOB"/>
    <x v="6"/>
    <x v="14"/>
    <x v="7"/>
    <x v="148"/>
    <s v="China"/>
    <n v="450"/>
    <n v="1"/>
    <n v="450"/>
    <x v="16"/>
    <s v="Estadio Nacional"/>
  </r>
  <r>
    <s v="TELMOB"/>
    <x v="6"/>
    <x v="14"/>
    <x v="7"/>
    <x v="149"/>
    <s v="China"/>
    <n v="450"/>
    <n v="1"/>
    <n v="450"/>
    <x v="16"/>
    <s v="Estadio Nacional"/>
  </r>
  <r>
    <s v="TELMOB"/>
    <x v="6"/>
    <x v="14"/>
    <x v="7"/>
    <x v="150"/>
    <s v="China"/>
    <n v="450"/>
    <n v="1"/>
    <n v="450"/>
    <x v="17"/>
    <s v="Estadio Nacional"/>
  </r>
  <r>
    <s v="TELMOB"/>
    <x v="6"/>
    <x v="14"/>
    <x v="7"/>
    <x v="151"/>
    <s v="China"/>
    <n v="450"/>
    <n v="1"/>
    <n v="450"/>
    <x v="17"/>
    <s v="Estadio Nacional"/>
  </r>
  <r>
    <s v="TELMOB"/>
    <x v="6"/>
    <x v="14"/>
    <x v="7"/>
    <x v="152"/>
    <s v="China"/>
    <n v="450"/>
    <n v="1"/>
    <n v="450"/>
    <x v="17"/>
    <s v="Estadio Nacional"/>
  </r>
  <r>
    <s v="TELMOB"/>
    <x v="6"/>
    <x v="14"/>
    <x v="7"/>
    <x v="153"/>
    <s v="China"/>
    <n v="450"/>
    <n v="1"/>
    <n v="450"/>
    <x v="17"/>
    <s v="Estadio Nacional"/>
  </r>
  <r>
    <s v="TELMOB"/>
    <x v="6"/>
    <x v="14"/>
    <x v="7"/>
    <x v="154"/>
    <s v="China"/>
    <n v="450"/>
    <n v="1"/>
    <n v="450"/>
    <x v="17"/>
    <s v="Estadio Nacional"/>
  </r>
  <r>
    <s v="TELMOB"/>
    <x v="6"/>
    <x v="14"/>
    <x v="7"/>
    <x v="155"/>
    <s v="China"/>
    <n v="450"/>
    <n v="1"/>
    <n v="450"/>
    <x v="17"/>
    <s v="Estadio Nacional"/>
  </r>
  <r>
    <s v="TELMOB"/>
    <x v="6"/>
    <x v="14"/>
    <x v="7"/>
    <x v="156"/>
    <s v="China"/>
    <n v="450"/>
    <n v="1"/>
    <n v="450"/>
    <x v="17"/>
    <s v="Estadio Nacional"/>
  </r>
  <r>
    <s v="TELMOB"/>
    <x v="6"/>
    <x v="14"/>
    <x v="7"/>
    <x v="157"/>
    <s v="China"/>
    <n v="450"/>
    <n v="1"/>
    <n v="450"/>
    <x v="17"/>
    <s v="Estadio Nacional"/>
  </r>
  <r>
    <s v="TELMOB"/>
    <x v="6"/>
    <x v="14"/>
    <x v="7"/>
    <x v="158"/>
    <s v="China"/>
    <n v="450"/>
    <n v="1"/>
    <n v="450"/>
    <x v="17"/>
    <s v="Estadio Nacional"/>
  </r>
  <r>
    <s v="TELMOB"/>
    <x v="6"/>
    <x v="14"/>
    <x v="7"/>
    <x v="159"/>
    <s v="China"/>
    <n v="450"/>
    <n v="1"/>
    <n v="450"/>
    <x v="17"/>
    <s v="Estadio Nacional"/>
  </r>
  <r>
    <s v="TELMOB"/>
    <x v="6"/>
    <x v="14"/>
    <x v="7"/>
    <x v="160"/>
    <s v="China"/>
    <n v="450"/>
    <n v="1"/>
    <n v="450"/>
    <x v="18"/>
    <s v="Estadio Nacional"/>
  </r>
  <r>
    <s v="TELMOB"/>
    <x v="6"/>
    <x v="14"/>
    <x v="7"/>
    <x v="161"/>
    <s v="China"/>
    <n v="450"/>
    <n v="1"/>
    <n v="450"/>
    <x v="18"/>
    <s v="Estadio Nacional"/>
  </r>
  <r>
    <s v="TELMOB"/>
    <x v="6"/>
    <x v="14"/>
    <x v="7"/>
    <x v="162"/>
    <s v="China"/>
    <n v="450"/>
    <n v="1"/>
    <n v="450"/>
    <x v="18"/>
    <s v="Estadio Nacional"/>
  </r>
  <r>
    <s v="TELMOB"/>
    <x v="6"/>
    <x v="14"/>
    <x v="7"/>
    <x v="163"/>
    <s v="China"/>
    <n v="450"/>
    <n v="1"/>
    <n v="450"/>
    <x v="18"/>
    <s v="Estadio Nacional"/>
  </r>
  <r>
    <s v="TELMOB"/>
    <x v="6"/>
    <x v="14"/>
    <x v="7"/>
    <x v="164"/>
    <s v="China"/>
    <n v="450"/>
    <n v="1"/>
    <n v="450"/>
    <x v="18"/>
    <s v="Estadio Nacional"/>
  </r>
  <r>
    <s v="TELMOB"/>
    <x v="6"/>
    <x v="14"/>
    <x v="7"/>
    <x v="165"/>
    <s v="China"/>
    <n v="450"/>
    <n v="1"/>
    <n v="450"/>
    <x v="18"/>
    <s v="Estadio Nacional"/>
  </r>
  <r>
    <s v="TELMOB"/>
    <x v="6"/>
    <x v="14"/>
    <x v="7"/>
    <x v="166"/>
    <s v="China"/>
    <n v="450"/>
    <n v="1"/>
    <n v="450"/>
    <x v="18"/>
    <s v="Estadio Nacional"/>
  </r>
  <r>
    <s v="TELMOB"/>
    <x v="6"/>
    <x v="14"/>
    <x v="7"/>
    <x v="167"/>
    <s v="China"/>
    <n v="450"/>
    <n v="1"/>
    <n v="450"/>
    <x v="18"/>
    <s v="Estadio Nacional"/>
  </r>
  <r>
    <s v="TELMOB"/>
    <x v="6"/>
    <x v="14"/>
    <x v="7"/>
    <x v="168"/>
    <s v="China"/>
    <n v="450"/>
    <n v="1"/>
    <n v="450"/>
    <x v="18"/>
    <s v="Estadio Nacional"/>
  </r>
  <r>
    <s v="TELMOB"/>
    <x v="6"/>
    <x v="14"/>
    <x v="7"/>
    <x v="169"/>
    <s v="China"/>
    <n v="450"/>
    <n v="1"/>
    <n v="450"/>
    <x v="18"/>
    <s v="Estadio Nacional"/>
  </r>
  <r>
    <s v="TELMOB"/>
    <x v="6"/>
    <x v="14"/>
    <x v="7"/>
    <x v="170"/>
    <s v="China"/>
    <n v="450"/>
    <n v="1"/>
    <n v="450"/>
    <x v="19"/>
    <s v="Estadio Nacional"/>
  </r>
  <r>
    <s v="TELMOB"/>
    <x v="6"/>
    <x v="14"/>
    <x v="7"/>
    <x v="171"/>
    <s v="China"/>
    <n v="450"/>
    <n v="1"/>
    <n v="450"/>
    <x v="19"/>
    <s v="Estadio Nacional"/>
  </r>
  <r>
    <s v="TELMOB"/>
    <x v="6"/>
    <x v="14"/>
    <x v="7"/>
    <x v="172"/>
    <s v="China"/>
    <n v="450"/>
    <n v="1"/>
    <n v="450"/>
    <x v="19"/>
    <s v="Estadio Nacional"/>
  </r>
  <r>
    <s v="TELMOB"/>
    <x v="6"/>
    <x v="14"/>
    <x v="7"/>
    <x v="173"/>
    <s v="China"/>
    <n v="450"/>
    <n v="1"/>
    <n v="450"/>
    <x v="19"/>
    <s v="Estadio Nacional"/>
  </r>
  <r>
    <s v="TELMOB"/>
    <x v="6"/>
    <x v="14"/>
    <x v="7"/>
    <x v="174"/>
    <s v="China"/>
    <n v="450"/>
    <n v="1"/>
    <n v="450"/>
    <x v="19"/>
    <s v="Estadio Nacional"/>
  </r>
  <r>
    <s v="TELMOB"/>
    <x v="6"/>
    <x v="14"/>
    <x v="7"/>
    <x v="175"/>
    <s v="China"/>
    <n v="450"/>
    <n v="1"/>
    <n v="450"/>
    <x v="19"/>
    <s v="Estadio Nacional"/>
  </r>
  <r>
    <s v="TELMOB"/>
    <x v="6"/>
    <x v="14"/>
    <x v="7"/>
    <x v="176"/>
    <s v="China"/>
    <n v="450"/>
    <n v="1"/>
    <n v="450"/>
    <x v="19"/>
    <s v="Estadio Nacional"/>
  </r>
  <r>
    <s v="TELMOB"/>
    <x v="6"/>
    <x v="14"/>
    <x v="7"/>
    <x v="177"/>
    <s v="China"/>
    <n v="450"/>
    <n v="1"/>
    <n v="450"/>
    <x v="19"/>
    <s v="Estadio Nacional"/>
  </r>
  <r>
    <s v="TELMOB"/>
    <x v="6"/>
    <x v="14"/>
    <x v="7"/>
    <x v="178"/>
    <s v="China"/>
    <n v="450"/>
    <n v="1"/>
    <n v="450"/>
    <x v="19"/>
    <s v="Estadio Nacional"/>
  </r>
  <r>
    <s v="TELMOB"/>
    <x v="6"/>
    <x v="14"/>
    <x v="7"/>
    <x v="179"/>
    <s v="China"/>
    <n v="450"/>
    <n v="1"/>
    <n v="450"/>
    <x v="19"/>
    <s v="Estadio Nacional"/>
  </r>
  <r>
    <s v="TELMOB"/>
    <x v="6"/>
    <x v="14"/>
    <x v="7"/>
    <x v="180"/>
    <s v="China"/>
    <n v="450"/>
    <n v="1"/>
    <n v="450"/>
    <x v="20"/>
    <s v="Estadio Nacional"/>
  </r>
  <r>
    <s v="TELMOB"/>
    <x v="6"/>
    <x v="14"/>
    <x v="7"/>
    <x v="181"/>
    <s v="China"/>
    <n v="450"/>
    <n v="1"/>
    <n v="450"/>
    <x v="20"/>
    <s v="Estadio Nacional"/>
  </r>
  <r>
    <s v="TELMOB"/>
    <x v="6"/>
    <x v="14"/>
    <x v="7"/>
    <x v="182"/>
    <s v="China"/>
    <n v="450"/>
    <n v="1"/>
    <n v="450"/>
    <x v="20"/>
    <s v="Estadio Nacional"/>
  </r>
  <r>
    <s v="TELMOB"/>
    <x v="6"/>
    <x v="14"/>
    <x v="7"/>
    <x v="183"/>
    <s v="China"/>
    <n v="450"/>
    <n v="1"/>
    <n v="450"/>
    <x v="20"/>
    <s v="Estadio Nacional"/>
  </r>
  <r>
    <s v="TELMOB"/>
    <x v="6"/>
    <x v="14"/>
    <x v="7"/>
    <x v="184"/>
    <s v="China"/>
    <n v="450"/>
    <n v="1"/>
    <n v="450"/>
    <x v="20"/>
    <s v="Estadio Nacional"/>
  </r>
  <r>
    <s v="TELMOB"/>
    <x v="6"/>
    <x v="14"/>
    <x v="7"/>
    <x v="185"/>
    <s v="China"/>
    <n v="450"/>
    <n v="1"/>
    <n v="450"/>
    <x v="20"/>
    <s v="Estadio Nacional"/>
  </r>
  <r>
    <s v="TELMOB"/>
    <x v="6"/>
    <x v="14"/>
    <x v="7"/>
    <x v="186"/>
    <s v="China"/>
    <n v="450"/>
    <n v="1"/>
    <n v="450"/>
    <x v="20"/>
    <s v="Estadio Nacional"/>
  </r>
  <r>
    <s v="TELMOB"/>
    <x v="6"/>
    <x v="14"/>
    <x v="7"/>
    <x v="187"/>
    <s v="China"/>
    <n v="450"/>
    <n v="1"/>
    <n v="450"/>
    <x v="20"/>
    <s v="Estadio Nacional"/>
  </r>
  <r>
    <s v="TELMOB"/>
    <x v="6"/>
    <x v="14"/>
    <x v="7"/>
    <x v="188"/>
    <s v="China"/>
    <n v="450"/>
    <n v="1"/>
    <n v="450"/>
    <x v="20"/>
    <s v="Estadio Nacional"/>
  </r>
  <r>
    <s v="TELMOB"/>
    <x v="6"/>
    <x v="14"/>
    <x v="7"/>
    <x v="189"/>
    <s v="China"/>
    <n v="450"/>
    <n v="1"/>
    <n v="450"/>
    <x v="20"/>
    <s v="Estadio Nacional"/>
  </r>
  <r>
    <s v="TELMOB"/>
    <x v="6"/>
    <x v="14"/>
    <x v="7"/>
    <x v="190"/>
    <s v="China"/>
    <n v="450"/>
    <n v="1"/>
    <n v="450"/>
    <x v="21"/>
    <s v="Estadio Nacional"/>
  </r>
  <r>
    <s v="TELMOB"/>
    <x v="6"/>
    <x v="14"/>
    <x v="7"/>
    <x v="191"/>
    <s v="China"/>
    <n v="450"/>
    <n v="1"/>
    <n v="450"/>
    <x v="21"/>
    <s v="Estadio Nacional"/>
  </r>
  <r>
    <s v="TELMOB"/>
    <x v="6"/>
    <x v="14"/>
    <x v="7"/>
    <x v="192"/>
    <s v="China"/>
    <n v="450"/>
    <n v="1"/>
    <n v="450"/>
    <x v="21"/>
    <s v="Estadio Nacional"/>
  </r>
  <r>
    <s v="TELMOB"/>
    <x v="6"/>
    <x v="14"/>
    <x v="7"/>
    <x v="193"/>
    <s v="China"/>
    <n v="450"/>
    <n v="1"/>
    <n v="450"/>
    <x v="21"/>
    <s v="Estadio Nacional"/>
  </r>
  <r>
    <s v="TELMOB"/>
    <x v="6"/>
    <x v="14"/>
    <x v="7"/>
    <x v="194"/>
    <s v="China"/>
    <n v="450"/>
    <n v="1"/>
    <n v="450"/>
    <x v="21"/>
    <s v="Estadio Nacional"/>
  </r>
  <r>
    <s v="TELMOB"/>
    <x v="6"/>
    <x v="14"/>
    <x v="7"/>
    <x v="195"/>
    <s v="China"/>
    <n v="450"/>
    <n v="1"/>
    <n v="450"/>
    <x v="21"/>
    <s v="Estadio Nacional"/>
  </r>
  <r>
    <s v="TELMOB"/>
    <x v="6"/>
    <x v="14"/>
    <x v="7"/>
    <x v="196"/>
    <s v="China"/>
    <n v="450"/>
    <n v="1"/>
    <n v="450"/>
    <x v="21"/>
    <s v="Estadio Nacional"/>
  </r>
  <r>
    <s v="TELMOB"/>
    <x v="6"/>
    <x v="14"/>
    <x v="7"/>
    <x v="197"/>
    <s v="China"/>
    <n v="450"/>
    <n v="1"/>
    <n v="450"/>
    <x v="21"/>
    <s v="Estadio Nacional"/>
  </r>
  <r>
    <s v="TELMOB"/>
    <x v="6"/>
    <x v="14"/>
    <x v="7"/>
    <x v="198"/>
    <s v="China"/>
    <n v="450"/>
    <n v="1"/>
    <n v="450"/>
    <x v="21"/>
    <s v="Estadio Nacional"/>
  </r>
  <r>
    <s v="TELMOB"/>
    <x v="6"/>
    <x v="14"/>
    <x v="7"/>
    <x v="199"/>
    <s v="China"/>
    <n v="450"/>
    <n v="1"/>
    <n v="450"/>
    <x v="21"/>
    <s v="Estadio Nacional"/>
  </r>
  <r>
    <s v="TELMOB"/>
    <x v="6"/>
    <x v="14"/>
    <x v="7"/>
    <x v="200"/>
    <s v="China"/>
    <n v="450"/>
    <n v="1"/>
    <n v="450"/>
    <x v="22"/>
    <s v="Estadio Nacional"/>
  </r>
  <r>
    <s v="TELMOB"/>
    <x v="6"/>
    <x v="14"/>
    <x v="7"/>
    <x v="201"/>
    <s v="China"/>
    <n v="450"/>
    <n v="1"/>
    <n v="450"/>
    <x v="22"/>
    <s v="Estadio Nacional"/>
  </r>
  <r>
    <s v="TELMOB"/>
    <x v="6"/>
    <x v="14"/>
    <x v="7"/>
    <x v="202"/>
    <s v="China"/>
    <n v="450"/>
    <n v="1"/>
    <n v="450"/>
    <x v="22"/>
    <s v="Estadio Nacional"/>
  </r>
  <r>
    <s v="TELMOB"/>
    <x v="6"/>
    <x v="14"/>
    <x v="7"/>
    <x v="203"/>
    <s v="China"/>
    <n v="450"/>
    <n v="1"/>
    <n v="450"/>
    <x v="22"/>
    <s v="Estadio Nacional"/>
  </r>
  <r>
    <s v="TELMOB"/>
    <x v="6"/>
    <x v="14"/>
    <x v="7"/>
    <x v="204"/>
    <s v="China"/>
    <n v="450"/>
    <n v="1"/>
    <n v="450"/>
    <x v="22"/>
    <s v="Estadio Nacional"/>
  </r>
  <r>
    <s v="TELMOB"/>
    <x v="6"/>
    <x v="14"/>
    <x v="7"/>
    <x v="205"/>
    <s v="China"/>
    <n v="450"/>
    <n v="1"/>
    <n v="450"/>
    <x v="22"/>
    <s v="Estadio Nacional"/>
  </r>
  <r>
    <s v="TELMOB"/>
    <x v="6"/>
    <x v="14"/>
    <x v="7"/>
    <x v="206"/>
    <s v="China"/>
    <n v="450"/>
    <n v="1"/>
    <n v="450"/>
    <x v="22"/>
    <s v="Estadio Nacional"/>
  </r>
  <r>
    <s v="TELMOB"/>
    <x v="6"/>
    <x v="14"/>
    <x v="7"/>
    <x v="207"/>
    <s v="China"/>
    <n v="450"/>
    <n v="1"/>
    <n v="450"/>
    <x v="22"/>
    <s v="Estadio Nacional"/>
  </r>
  <r>
    <s v="TELMOB"/>
    <x v="6"/>
    <x v="14"/>
    <x v="7"/>
    <x v="208"/>
    <s v="China"/>
    <n v="450"/>
    <n v="1"/>
    <n v="450"/>
    <x v="22"/>
    <s v="Estadio Nacional"/>
  </r>
  <r>
    <s v="TELMOB"/>
    <x v="6"/>
    <x v="14"/>
    <x v="7"/>
    <x v="209"/>
    <s v="China"/>
    <n v="450"/>
    <n v="1"/>
    <n v="450"/>
    <x v="22"/>
    <s v="Estadio Nacional"/>
  </r>
  <r>
    <s v="TELMOB"/>
    <x v="6"/>
    <x v="14"/>
    <x v="7"/>
    <x v="210"/>
    <s v="China"/>
    <n v="450"/>
    <n v="1"/>
    <n v="450"/>
    <x v="23"/>
    <s v="Estadio Nacional"/>
  </r>
  <r>
    <s v="TELMOB"/>
    <x v="6"/>
    <x v="14"/>
    <x v="7"/>
    <x v="211"/>
    <s v="China"/>
    <n v="450"/>
    <n v="1"/>
    <n v="450"/>
    <x v="23"/>
    <s v="Estadio Nacional"/>
  </r>
  <r>
    <s v="TELMOB"/>
    <x v="6"/>
    <x v="14"/>
    <x v="7"/>
    <x v="212"/>
    <s v="China"/>
    <n v="450"/>
    <n v="1"/>
    <n v="450"/>
    <x v="23"/>
    <s v="Estadio Nacional"/>
  </r>
  <r>
    <s v="TELMOB"/>
    <x v="6"/>
    <x v="14"/>
    <x v="7"/>
    <x v="213"/>
    <s v="China"/>
    <n v="450"/>
    <n v="1"/>
    <n v="450"/>
    <x v="23"/>
    <s v="Estadio Nacional"/>
  </r>
  <r>
    <s v="TELMOB"/>
    <x v="6"/>
    <x v="14"/>
    <x v="7"/>
    <x v="214"/>
    <s v="China"/>
    <n v="450"/>
    <n v="1"/>
    <n v="450"/>
    <x v="23"/>
    <s v="Estadio Nacional"/>
  </r>
  <r>
    <s v="TELMOB"/>
    <x v="6"/>
    <x v="14"/>
    <x v="7"/>
    <x v="215"/>
    <s v="China"/>
    <n v="450"/>
    <n v="1"/>
    <n v="450"/>
    <x v="23"/>
    <s v="Estadio Nacional"/>
  </r>
  <r>
    <s v="TELMOB"/>
    <x v="6"/>
    <x v="14"/>
    <x v="7"/>
    <x v="216"/>
    <s v="China"/>
    <n v="450"/>
    <n v="1"/>
    <n v="450"/>
    <x v="23"/>
    <s v="Estadio Nacional"/>
  </r>
  <r>
    <s v="TELMOB"/>
    <x v="6"/>
    <x v="14"/>
    <x v="7"/>
    <x v="217"/>
    <s v="China"/>
    <n v="450"/>
    <n v="1"/>
    <n v="450"/>
    <x v="23"/>
    <s v="Estadio Nacional"/>
  </r>
  <r>
    <s v="TELMOB"/>
    <x v="6"/>
    <x v="14"/>
    <x v="7"/>
    <x v="218"/>
    <s v="China"/>
    <n v="450"/>
    <n v="1"/>
    <n v="450"/>
    <x v="23"/>
    <s v="Estadio Nacional"/>
  </r>
  <r>
    <s v="TELMOB"/>
    <x v="6"/>
    <x v="14"/>
    <x v="7"/>
    <x v="219"/>
    <s v="China"/>
    <n v="450"/>
    <n v="1"/>
    <n v="450"/>
    <x v="23"/>
    <s v="Estadio Nacional"/>
  </r>
  <r>
    <s v="TLBXHQ"/>
    <x v="7"/>
    <x v="15"/>
    <x v="7"/>
    <x v="38"/>
    <s v="China"/>
    <n v="5"/>
    <n v="1"/>
    <n v="5"/>
    <x v="1"/>
    <s v="Estadio Nacional"/>
  </r>
  <r>
    <s v="TLBXHQ"/>
    <x v="7"/>
    <x v="16"/>
    <x v="7"/>
    <x v="38"/>
    <s v="China"/>
    <n v="5"/>
    <n v="1"/>
    <n v="5"/>
    <x v="1"/>
    <s v="Estadio Nacional"/>
  </r>
  <r>
    <s v="TLBXHQ"/>
    <x v="7"/>
    <x v="17"/>
    <x v="7"/>
    <x v="38"/>
    <s v="Germany"/>
    <n v="10"/>
    <n v="2"/>
    <n v="20"/>
    <x v="1"/>
    <s v="Estadio Nacional"/>
  </r>
  <r>
    <s v="TLBXHQ"/>
    <x v="7"/>
    <x v="18"/>
    <x v="7"/>
    <x v="38"/>
    <s v="China"/>
    <n v="2900"/>
    <n v="1"/>
    <n v="2900"/>
    <x v="1"/>
    <s v="Estadio Nacional"/>
  </r>
  <r>
    <s v="TLBXHQ"/>
    <x v="7"/>
    <x v="19"/>
    <x v="7"/>
    <x v="38"/>
    <s v="China"/>
    <n v="100"/>
    <n v="1"/>
    <n v="100"/>
    <x v="1"/>
    <s v="Estadio Nacional"/>
  </r>
  <r>
    <s v="TLBXHQ"/>
    <x v="7"/>
    <x v="20"/>
    <x v="7"/>
    <x v="38"/>
    <s v="China"/>
    <n v="80"/>
    <n v="1"/>
    <n v="80"/>
    <x v="1"/>
    <s v="Estadio Nacional"/>
  </r>
  <r>
    <s v="TLBXHQ"/>
    <x v="7"/>
    <x v="21"/>
    <x v="7"/>
    <x v="38"/>
    <s v="China"/>
    <n v="25"/>
    <n v="1"/>
    <n v="25"/>
    <x v="1"/>
    <s v="Estadio Nacional"/>
  </r>
  <r>
    <s v="TLBXHQ"/>
    <x v="7"/>
    <x v="22"/>
    <x v="7"/>
    <x v="38"/>
    <s v="China"/>
    <n v="2"/>
    <n v="20"/>
    <n v="40"/>
    <x v="1"/>
    <s v="Estadio Nacional"/>
  </r>
  <r>
    <s v="TLBXHQ"/>
    <x v="7"/>
    <x v="23"/>
    <x v="7"/>
    <x v="38"/>
    <s v="Sweden"/>
    <n v="10"/>
    <n v="1"/>
    <n v="10"/>
    <x v="1"/>
    <s v="Estadio Nacional"/>
  </r>
  <r>
    <s v="EQPKHQ"/>
    <x v="8"/>
    <x v="24"/>
    <x v="7"/>
    <x v="38"/>
    <s v="China"/>
    <n v="15"/>
    <n v="10"/>
    <n v="150"/>
    <x v="1"/>
    <s v="Estadio Nacional"/>
  </r>
  <r>
    <s v="EQPKHQ"/>
    <x v="8"/>
    <x v="25"/>
    <x v="7"/>
    <x v="38"/>
    <s v="Switzerland"/>
    <n v="8"/>
    <n v="40"/>
    <n v="320"/>
    <x v="1"/>
    <s v="Estadio Nacional"/>
  </r>
  <r>
    <s v="EQPKHQ"/>
    <x v="8"/>
    <x v="9"/>
    <x v="7"/>
    <x v="38"/>
    <s v="Switzerland"/>
    <n v="20"/>
    <n v="40"/>
    <n v="800"/>
    <x v="9"/>
    <s v="1 to ACR center 114"/>
  </r>
  <r>
    <s v="EQPKHQ"/>
    <x v="8"/>
    <x v="26"/>
    <x v="7"/>
    <x v="38"/>
    <s v="Switzerland"/>
    <n v="7"/>
    <n v="3"/>
    <n v="21"/>
    <x v="9"/>
    <s v="Estadio Nacional"/>
  </r>
  <r>
    <s v="EQPKHQ"/>
    <x v="8"/>
    <x v="27"/>
    <x v="7"/>
    <x v="38"/>
    <s v="China"/>
    <n v="20"/>
    <n v="8"/>
    <n v="160"/>
    <x v="5"/>
    <s v="Estadio Nacional"/>
  </r>
  <r>
    <s v="EQPKHQ"/>
    <x v="8"/>
    <x v="28"/>
    <x v="7"/>
    <x v="38"/>
    <s v="China"/>
    <n v="30"/>
    <n v="1"/>
    <n v="30"/>
    <x v="5"/>
    <s v="Estadio Nacional"/>
  </r>
  <r>
    <s v="EQPKHQ"/>
    <x v="8"/>
    <x v="29"/>
    <x v="7"/>
    <x v="38"/>
    <s v="China"/>
    <n v="15"/>
    <n v="2"/>
    <n v="30"/>
    <x v="1"/>
    <s v="Estadio Nacional"/>
  </r>
  <r>
    <s v="EQPKHQ"/>
    <x v="8"/>
    <x v="30"/>
    <x v="7"/>
    <x v="38"/>
    <s v="China"/>
    <n v="15"/>
    <n v="7"/>
    <n v="105"/>
    <x v="5"/>
    <s v="Estadio Nacional"/>
  </r>
  <r>
    <s v="EQPKHQ"/>
    <x v="8"/>
    <x v="31"/>
    <x v="7"/>
    <x v="38"/>
    <s v="China"/>
    <n v="15"/>
    <n v="5"/>
    <n v="75"/>
    <x v="5"/>
    <s v="Estadio Nacional"/>
  </r>
  <r>
    <s v="EQPKHQ"/>
    <x v="8"/>
    <x v="32"/>
    <x v="7"/>
    <x v="38"/>
    <s v="China"/>
    <n v="15"/>
    <n v="5"/>
    <n v="75"/>
    <x v="5"/>
    <s v="Estadio Nacional"/>
  </r>
  <r>
    <s v="EQPKHQ"/>
    <x v="8"/>
    <x v="33"/>
    <x v="7"/>
    <x v="38"/>
    <s v="China"/>
    <n v="10"/>
    <n v="6"/>
    <n v="60"/>
    <x v="5"/>
    <s v="Estadio Nacional"/>
  </r>
  <r>
    <s v="EQPKHQ"/>
    <x v="8"/>
    <x v="34"/>
    <x v="7"/>
    <x v="38"/>
    <s v="China"/>
    <n v="25"/>
    <n v="6"/>
    <n v="150"/>
    <x v="1"/>
    <s v="2 to EMS"/>
  </r>
  <r>
    <s v="EQPKHQ"/>
    <x v="8"/>
    <x v="35"/>
    <x v="7"/>
    <x v="38"/>
    <s v="China"/>
    <n v="10"/>
    <n v="5"/>
    <n v="50"/>
    <x v="1"/>
    <s v="Estadio Nacional"/>
  </r>
  <r>
    <s v="EQPKHQ"/>
    <x v="8"/>
    <x v="36"/>
    <x v="7"/>
    <x v="38"/>
    <s v="China"/>
    <n v="10"/>
    <n v="4"/>
    <n v="40"/>
    <x v="1"/>
    <s v="Estadio Nacional"/>
  </r>
  <r>
    <s v="EQPKHQ"/>
    <x v="8"/>
    <x v="37"/>
    <x v="7"/>
    <x v="38"/>
    <s v="China"/>
    <n v="10"/>
    <n v="5"/>
    <n v="50"/>
    <x v="1"/>
    <s v="Estadio Nacional"/>
  </r>
  <r>
    <s v="EQPKHQ"/>
    <x v="8"/>
    <x v="38"/>
    <x v="7"/>
    <x v="38"/>
    <s v="China"/>
    <n v="10"/>
    <n v="1"/>
    <n v="10"/>
    <x v="1"/>
    <s v="Estadio Nacional"/>
  </r>
  <r>
    <s v="EQPKHQ"/>
    <x v="8"/>
    <x v="39"/>
    <x v="7"/>
    <x v="38"/>
    <s v="China"/>
    <n v="15"/>
    <n v="2"/>
    <n v="30"/>
    <x v="1"/>
    <s v="Estadio Nacional"/>
  </r>
  <r>
    <s v="EQPKHQ"/>
    <x v="8"/>
    <x v="40"/>
    <x v="7"/>
    <x v="38"/>
    <s v="China"/>
    <n v="15"/>
    <n v="3"/>
    <n v="45"/>
    <x v="1"/>
    <s v="Estadio Nacional"/>
  </r>
  <r>
    <s v="EQPKHQ"/>
    <x v="8"/>
    <x v="41"/>
    <x v="7"/>
    <x v="38"/>
    <s v="China"/>
    <n v="10"/>
    <n v="1"/>
    <n v="10"/>
    <x v="1"/>
    <s v="Estadio Nacional"/>
  </r>
  <r>
    <s v="EQPKHQ"/>
    <x v="8"/>
    <x v="42"/>
    <x v="7"/>
    <x v="38"/>
    <s v="China"/>
    <n v="10"/>
    <n v="1"/>
    <n v="10"/>
    <x v="1"/>
    <s v="Estadio Nacional"/>
  </r>
  <r>
    <s v="EQPKHQ"/>
    <x v="8"/>
    <x v="43"/>
    <x v="7"/>
    <x v="38"/>
    <s v="China"/>
    <n v="20"/>
    <n v="5"/>
    <n v="100"/>
    <x v="1"/>
    <s v="Estadio Nacional"/>
  </r>
  <r>
    <s v="EQPKHQ"/>
    <x v="8"/>
    <x v="44"/>
    <x v="7"/>
    <x v="38"/>
    <s v="China"/>
    <n v="30"/>
    <n v="6"/>
    <n v="180"/>
    <x v="5"/>
    <s v="Estadio Nacional"/>
  </r>
  <r>
    <s v="EQPKHQ"/>
    <x v="8"/>
    <x v="45"/>
    <x v="7"/>
    <x v="38"/>
    <s v="Switzerland"/>
    <n v="5"/>
    <n v="2"/>
    <n v="10"/>
    <x v="5"/>
    <s v="Estadio Nacional"/>
  </r>
  <r>
    <s v="EQPKHQ"/>
    <x v="8"/>
    <x v="46"/>
    <x v="7"/>
    <x v="38"/>
    <s v="China"/>
    <n v="130"/>
    <n v="3"/>
    <n v="390"/>
    <x v="1"/>
    <s v="Estadio Nacional"/>
  </r>
  <r>
    <s v="EQPKHQ"/>
    <x v="8"/>
    <x v="47"/>
    <x v="7"/>
    <x v="38"/>
    <s v="China"/>
    <n v="110"/>
    <n v="1"/>
    <n v="110"/>
    <x v="1"/>
    <s v="Estadio Nacional"/>
  </r>
  <r>
    <s v="EQPKHQ"/>
    <x v="8"/>
    <x v="48"/>
    <x v="7"/>
    <x v="38"/>
    <s v="Switzerland"/>
    <n v="4"/>
    <n v="1"/>
    <n v="4"/>
    <x v="1"/>
    <s v="Estadio Nacional"/>
  </r>
  <r>
    <s v="PORSPE"/>
    <x v="9"/>
    <x v="49"/>
    <x v="7"/>
    <x v="38"/>
    <s v="China"/>
    <n v="100"/>
    <n v="1"/>
    <n v="100"/>
    <x v="1"/>
    <s v="Estadio Nacional"/>
  </r>
  <r>
    <m/>
    <x v="10"/>
    <x v="50"/>
    <x v="7"/>
    <x v="38"/>
    <m/>
    <m/>
    <m/>
    <n v="80"/>
    <x v="7"/>
    <s v="Estadio Nacional"/>
  </r>
  <r>
    <s v="EQPKHQ"/>
    <x v="11"/>
    <x v="51"/>
    <x v="7"/>
    <x v="38"/>
    <s v="Switzerland"/>
    <n v="10"/>
    <n v="11"/>
    <n v="110"/>
    <x v="5"/>
    <s v="Estadio Nacional"/>
  </r>
  <r>
    <s v="Estadio Nacional"/>
    <x v="0"/>
    <x v="0"/>
    <x v="0"/>
    <x v="0"/>
    <m/>
    <m/>
    <m/>
    <m/>
    <x v="0"/>
    <m/>
  </r>
  <r>
    <m/>
    <x v="12"/>
    <x v="52"/>
    <x v="7"/>
    <x v="220"/>
    <s v="China"/>
    <n v="95"/>
    <n v="2"/>
    <n v="190"/>
    <x v="24"/>
    <s v="Estadio Nacional"/>
  </r>
  <r>
    <m/>
    <x v="12"/>
    <x v="52"/>
    <x v="7"/>
    <x v="221"/>
    <s v="China"/>
    <n v="95"/>
    <n v="2"/>
    <n v="190"/>
    <x v="24"/>
    <s v="Estadio Nacional"/>
  </r>
  <r>
    <m/>
    <x v="13"/>
    <x v="53"/>
    <x v="7"/>
    <x v="38"/>
    <m/>
    <m/>
    <n v="3"/>
    <n v="100"/>
    <x v="24"/>
    <s v="Estadio Nacional"/>
  </r>
  <r>
    <m/>
    <x v="14"/>
    <x v="54"/>
    <x v="7"/>
    <x v="38"/>
    <m/>
    <m/>
    <n v="5"/>
    <n v="10"/>
    <x v="24"/>
    <s v="Estadio Nacional"/>
  </r>
  <r>
    <m/>
    <x v="15"/>
    <x v="0"/>
    <x v="7"/>
    <x v="38"/>
    <m/>
    <m/>
    <n v="10"/>
    <n v="20"/>
    <x v="24"/>
    <s v="Estadio Nacional"/>
  </r>
  <r>
    <m/>
    <x v="16"/>
    <x v="0"/>
    <x v="7"/>
    <x v="38"/>
    <m/>
    <m/>
    <n v="2"/>
    <n v="40"/>
    <x v="24"/>
    <s v="Estadio Nacional"/>
  </r>
  <r>
    <s v="CAM001"/>
    <x v="17"/>
    <x v="55"/>
    <x v="7"/>
    <x v="38"/>
    <s v="China"/>
    <n v="95"/>
    <n v="2"/>
    <n v="190"/>
    <x v="24"/>
    <s v="Estadio Nacional"/>
  </r>
  <r>
    <s v="ITSR4G"/>
    <x v="18"/>
    <x v="56"/>
    <x v="7"/>
    <x v="222"/>
    <s v="Taiwan"/>
    <n v="500"/>
    <n v="1"/>
    <n v="500"/>
    <x v="25"/>
    <s v="Estadio Nacional"/>
  </r>
  <r>
    <s v="ITSS08"/>
    <x v="3"/>
    <x v="11"/>
    <x v="7"/>
    <x v="38"/>
    <s v="China"/>
    <n v="120"/>
    <n v="1"/>
    <n v="120"/>
    <x v="25"/>
    <s v="Estadio Nacional"/>
  </r>
  <r>
    <s v="EQPKHQ"/>
    <x v="8"/>
    <x v="29"/>
    <x v="7"/>
    <x v="38"/>
    <s v="China"/>
    <n v="15"/>
    <n v="5"/>
    <n v="75"/>
    <x v="25"/>
    <s v="Estadio Nacional"/>
  </r>
  <r>
    <s v="EQPKHQ"/>
    <x v="8"/>
    <x v="44"/>
    <x v="7"/>
    <x v="38"/>
    <s v="China"/>
    <n v="30"/>
    <n v="5"/>
    <n v="150"/>
    <x v="25"/>
    <s v="Estadio Nacional"/>
  </r>
  <r>
    <s v="CAM001"/>
    <x v="17"/>
    <x v="55"/>
    <x v="7"/>
    <x v="38"/>
    <s v="China"/>
    <n v="95"/>
    <n v="2"/>
    <n v="190"/>
    <x v="25"/>
    <s v="Estadio Nacional"/>
  </r>
  <r>
    <s v="ACCMSE"/>
    <x v="19"/>
    <x v="0"/>
    <x v="7"/>
    <x v="38"/>
    <s v="China"/>
    <n v="15"/>
    <n v="5"/>
    <n v="75"/>
    <x v="25"/>
    <s v="Estadio Nacional"/>
  </r>
  <r>
    <s v="LAPACR"/>
    <x v="20"/>
    <x v="13"/>
    <x v="47"/>
    <x v="223"/>
    <s v="China"/>
    <n v="500"/>
    <n v="1"/>
    <n v="500"/>
    <x v="25"/>
    <s v="Estadio Nacional"/>
  </r>
  <r>
    <s v="LAPACR"/>
    <x v="20"/>
    <x v="13"/>
    <x v="48"/>
    <x v="224"/>
    <s v="China"/>
    <n v="500"/>
    <n v="1"/>
    <n v="500"/>
    <x v="25"/>
    <s v="Estadio Nacional"/>
  </r>
  <r>
    <s v="LAPACR"/>
    <x v="20"/>
    <x v="13"/>
    <x v="49"/>
    <x v="225"/>
    <s v="China"/>
    <n v="500"/>
    <n v="1"/>
    <n v="500"/>
    <x v="25"/>
    <s v="Estadio Nacional"/>
  </r>
  <r>
    <s v="LAPACR"/>
    <x v="20"/>
    <x v="13"/>
    <x v="50"/>
    <x v="226"/>
    <s v="China"/>
    <n v="500"/>
    <n v="1"/>
    <n v="500"/>
    <x v="25"/>
    <s v="Estadio Nacional"/>
  </r>
  <r>
    <s v="LAPACR"/>
    <x v="20"/>
    <x v="13"/>
    <x v="51"/>
    <x v="227"/>
    <s v="China"/>
    <n v="500"/>
    <n v="1"/>
    <n v="500"/>
    <x v="25"/>
    <s v="Estadio Nacional"/>
  </r>
  <r>
    <s v="LAPACR"/>
    <x v="20"/>
    <x v="13"/>
    <x v="52"/>
    <x v="228"/>
    <s v="China"/>
    <n v="500"/>
    <n v="1"/>
    <n v="500"/>
    <x v="25"/>
    <s v="Estadio Nacional"/>
  </r>
  <r>
    <s v="LAPEVT"/>
    <x v="5"/>
    <x v="13"/>
    <x v="53"/>
    <x v="229"/>
    <s v="China"/>
    <n v="500"/>
    <n v="1"/>
    <n v="500"/>
    <x v="24"/>
    <s v="Estadio Nacional"/>
  </r>
  <r>
    <s v="LAPEVT"/>
    <x v="5"/>
    <x v="13"/>
    <x v="7"/>
    <x v="230"/>
    <s v="China"/>
    <n v="500"/>
    <n v="1"/>
    <n v="500"/>
    <x v="24"/>
    <s v="Estadio Nacional"/>
  </r>
  <r>
    <s v="TELMOB"/>
    <x v="6"/>
    <x v="57"/>
    <x v="7"/>
    <x v="231"/>
    <s v="China"/>
    <n v="450"/>
    <n v="1"/>
    <n v="450"/>
    <x v="5"/>
    <s v="Estadio Nacional"/>
  </r>
  <r>
    <s v="TELMOB"/>
    <x v="6"/>
    <x v="57"/>
    <x v="7"/>
    <x v="232"/>
    <s v="China"/>
    <n v="450"/>
    <n v="1"/>
    <n v="450"/>
    <x v="5"/>
    <s v="Estadio Nacional"/>
  </r>
  <r>
    <s v="TELMOB"/>
    <x v="6"/>
    <x v="57"/>
    <x v="7"/>
    <x v="233"/>
    <s v="China"/>
    <n v="450"/>
    <n v="1"/>
    <n v="450"/>
    <x v="5"/>
    <s v="Estadio Nacional"/>
  </r>
  <r>
    <s v="TELMOB"/>
    <x v="6"/>
    <x v="57"/>
    <x v="7"/>
    <x v="234"/>
    <s v="China"/>
    <n v="450"/>
    <n v="1"/>
    <n v="450"/>
    <x v="5"/>
    <s v="Estadio Nacional"/>
  </r>
  <r>
    <s v="USB4PT"/>
    <x v="21"/>
    <x v="0"/>
    <x v="7"/>
    <x v="38"/>
    <s v="China"/>
    <n v="23"/>
    <n v="3"/>
    <n v="69"/>
    <x v="24"/>
    <s v="Estadio Nacional"/>
  </r>
  <r>
    <s v="ITSFHQ"/>
    <x v="2"/>
    <x v="6"/>
    <x v="7"/>
    <x v="38"/>
    <s v="China"/>
    <n v="5"/>
    <n v="5"/>
    <n v="25"/>
    <x v="25"/>
    <s v="Estadio Nacional"/>
  </r>
  <r>
    <s v="ITSFHQ"/>
    <x v="2"/>
    <x v="7"/>
    <x v="7"/>
    <x v="38"/>
    <s v="China"/>
    <n v="10"/>
    <n v="5"/>
    <n v="50"/>
    <x v="25"/>
    <s v="Estadio Nacional"/>
  </r>
  <r>
    <s v="POWEXT"/>
    <x v="22"/>
    <x v="0"/>
    <x v="7"/>
    <x v="38"/>
    <s v="Switzerland"/>
    <n v="7"/>
    <n v="1"/>
    <n v="7"/>
    <x v="25"/>
    <s v="Estadio Nacional"/>
  </r>
  <r>
    <s v="CABLOK"/>
    <x v="23"/>
    <x v="0"/>
    <x v="7"/>
    <x v="38"/>
    <s v="China"/>
    <n v="30"/>
    <n v="5"/>
    <n v="150"/>
    <x v="25"/>
    <s v="Estadio Nacional"/>
  </r>
  <r>
    <s v="POWADP"/>
    <x v="24"/>
    <x v="0"/>
    <x v="7"/>
    <x v="38"/>
    <s v="Switzerland"/>
    <n v="8"/>
    <n v="5"/>
    <n v="40"/>
    <x v="25"/>
    <s v="Estadio Nacional"/>
  </r>
  <r>
    <s v="Ref Basecamp Hotel"/>
    <x v="0"/>
    <x v="0"/>
    <x v="0"/>
    <x v="0"/>
    <m/>
    <m/>
    <m/>
    <m/>
    <x v="0"/>
    <m/>
  </r>
  <r>
    <s v="POWADP"/>
    <x v="24"/>
    <x v="0"/>
    <x v="7"/>
    <x v="38"/>
    <s v="Switzerland"/>
    <n v="8"/>
    <n v="7"/>
    <n v="56"/>
    <x v="26"/>
    <s v="REF Basecamp Hotel"/>
  </r>
  <r>
    <s v="ITSS08"/>
    <x v="3"/>
    <x v="11"/>
    <x v="7"/>
    <x v="235"/>
    <s v="China"/>
    <n v="120"/>
    <n v="1"/>
    <n v="120"/>
    <x v="26"/>
    <s v="REF Basecamp Hotel"/>
  </r>
  <r>
    <s v="ITSSAT"/>
    <x v="4"/>
    <x v="12"/>
    <x v="7"/>
    <x v="236"/>
    <s v="Taiwan"/>
    <n v="1100"/>
    <n v="1"/>
    <n v="1100"/>
    <x v="26"/>
    <s v="REF Basecamp Hotel"/>
  </r>
  <r>
    <s v="EQPKHQ"/>
    <x v="8"/>
    <x v="6"/>
    <x v="7"/>
    <x v="38"/>
    <s v="China"/>
    <n v="5"/>
    <n v="3"/>
    <n v="15"/>
    <x v="26"/>
    <s v="REF Basecamp Hotel"/>
  </r>
  <r>
    <s v="EQPKHQ"/>
    <x v="8"/>
    <x v="7"/>
    <x v="7"/>
    <x v="38"/>
    <s v="China"/>
    <n v="10"/>
    <n v="5"/>
    <n v="50"/>
    <x v="26"/>
    <s v="REF Basecamp Hotel"/>
  </r>
  <r>
    <s v="ITSWAP"/>
    <x v="25"/>
    <x v="58"/>
    <x v="7"/>
    <x v="237"/>
    <s v="Taiwan"/>
    <n v="300"/>
    <n v="1"/>
    <n v="300"/>
    <x v="26"/>
    <s v="REF Basecamp Hotel"/>
  </r>
  <r>
    <s v="ITSWAP"/>
    <x v="25"/>
    <x v="58"/>
    <x v="7"/>
    <x v="238"/>
    <s v="Taiwan"/>
    <n v="300"/>
    <n v="1"/>
    <n v="300"/>
    <x v="26"/>
    <s v="REF Basecamp Hotel"/>
  </r>
  <r>
    <s v="ITSWAP"/>
    <x v="25"/>
    <x v="58"/>
    <x v="7"/>
    <x v="239"/>
    <s v="Taiwan"/>
    <n v="300"/>
    <n v="1"/>
    <n v="300"/>
    <x v="26"/>
    <s v="REF Basecamp Hotel"/>
  </r>
  <r>
    <s v="ITSWAP"/>
    <x v="25"/>
    <x v="58"/>
    <x v="7"/>
    <x v="240"/>
    <s v="Taiwan"/>
    <n v="300"/>
    <n v="1"/>
    <n v="300"/>
    <x v="26"/>
    <s v="REF Basecamp Hotel"/>
  </r>
  <r>
    <s v="ITSWAP"/>
    <x v="25"/>
    <x v="58"/>
    <x v="7"/>
    <x v="241"/>
    <s v="Taiwan"/>
    <n v="300"/>
    <n v="1"/>
    <n v="300"/>
    <x v="26"/>
    <s v="REF Basecamp Hotel"/>
  </r>
  <r>
    <s v="ITSPOE"/>
    <x v="26"/>
    <x v="59"/>
    <x v="7"/>
    <x v="242"/>
    <s v="China"/>
    <n v="80"/>
    <n v="1"/>
    <n v="80"/>
    <x v="26"/>
    <s v="REF Basecamp Hotel"/>
  </r>
  <r>
    <s v="ITSPOE"/>
    <x v="26"/>
    <x v="59"/>
    <x v="7"/>
    <x v="243"/>
    <s v="China"/>
    <n v="80"/>
    <n v="1"/>
    <n v="80"/>
    <x v="26"/>
    <s v="REF Basecamp Hotel"/>
  </r>
  <r>
    <s v="ITSPOE"/>
    <x v="26"/>
    <x v="59"/>
    <x v="7"/>
    <x v="244"/>
    <s v="China"/>
    <n v="80"/>
    <n v="1"/>
    <n v="80"/>
    <x v="26"/>
    <s v="REF Basecamp Hotel"/>
  </r>
  <r>
    <s v="ITSPOE"/>
    <x v="26"/>
    <x v="59"/>
    <x v="7"/>
    <x v="245"/>
    <s v="China"/>
    <n v="80"/>
    <n v="1"/>
    <n v="80"/>
    <x v="26"/>
    <s v="REF Basecamp Hotel"/>
  </r>
  <r>
    <s v="ITSPOE"/>
    <x v="26"/>
    <x v="59"/>
    <x v="7"/>
    <x v="246"/>
    <s v="China"/>
    <n v="80"/>
    <n v="1"/>
    <n v="80"/>
    <x v="26"/>
    <s v="REF Basecamp Hotel"/>
  </r>
  <r>
    <s v="POWBAR"/>
    <x v="27"/>
    <x v="0"/>
    <x v="7"/>
    <x v="38"/>
    <s v="Switzerland"/>
    <n v="20"/>
    <n v="5"/>
    <n v="100"/>
    <x v="26"/>
    <s v="REF Basecamp Hotel"/>
  </r>
  <r>
    <s v="POWEXT"/>
    <x v="22"/>
    <x v="0"/>
    <x v="7"/>
    <x v="38"/>
    <s v="Switzerland"/>
    <n v="7"/>
    <n v="1"/>
    <n v="7"/>
    <x v="26"/>
    <s v="REF Basecamp Hotel"/>
  </r>
  <r>
    <s v="ITSFHQ"/>
    <x v="2"/>
    <x v="6"/>
    <x v="7"/>
    <x v="38"/>
    <s v="China"/>
    <n v="5"/>
    <n v="10"/>
    <n v="50"/>
    <x v="26"/>
    <s v="REF Basecamp Hotel"/>
  </r>
  <r>
    <s v="ITSFHQ"/>
    <x v="2"/>
    <x v="7"/>
    <x v="7"/>
    <x v="38"/>
    <s v="China"/>
    <n v="10"/>
    <n v="7"/>
    <n v="70"/>
    <x v="26"/>
    <s v="REF Basecamp Hotel"/>
  </r>
  <r>
    <m/>
    <x v="0"/>
    <x v="0"/>
    <x v="0"/>
    <x v="0"/>
    <m/>
    <m/>
    <m/>
    <m/>
    <x v="0"/>
    <m/>
  </r>
  <r>
    <m/>
    <x v="0"/>
    <x v="0"/>
    <x v="0"/>
    <x v="0"/>
    <m/>
    <m/>
    <m/>
    <m/>
    <x v="0"/>
    <m/>
  </r>
  <r>
    <m/>
    <x v="0"/>
    <x v="0"/>
    <x v="0"/>
    <x v="0"/>
    <m/>
    <m/>
    <m/>
    <m/>
    <x v="0"/>
    <m/>
  </r>
  <r>
    <m/>
    <x v="0"/>
    <x v="0"/>
    <x v="0"/>
    <x v="0"/>
    <m/>
    <m/>
    <m/>
    <m/>
    <x v="0"/>
    <m/>
  </r>
  <r>
    <m/>
    <x v="0"/>
    <x v="0"/>
    <x v="0"/>
    <x v="0"/>
    <m/>
    <m/>
    <m/>
    <m/>
    <x v="0"/>
    <m/>
  </r>
  <r>
    <m/>
    <x v="0"/>
    <x v="0"/>
    <x v="0"/>
    <x v="0"/>
    <m/>
    <m/>
    <m/>
    <m/>
    <x v="0"/>
    <m/>
  </r>
  <r>
    <m/>
    <x v="0"/>
    <x v="0"/>
    <x v="0"/>
    <x v="0"/>
    <m/>
    <m/>
    <m/>
    <m/>
    <x v="0"/>
    <m/>
  </r>
  <r>
    <m/>
    <x v="0"/>
    <x v="0"/>
    <x v="0"/>
    <x v="0"/>
    <m/>
    <m/>
    <m/>
    <m/>
    <x v="0"/>
    <m/>
  </r>
  <r>
    <m/>
    <x v="0"/>
    <x v="0"/>
    <x v="0"/>
    <x v="0"/>
    <m/>
    <m/>
    <m/>
    <m/>
    <x v="0"/>
    <m/>
  </r>
  <r>
    <m/>
    <x v="0"/>
    <x v="0"/>
    <x v="0"/>
    <x v="0"/>
    <m/>
    <m/>
    <m/>
    <m/>
    <x v="0"/>
    <m/>
  </r>
  <r>
    <m/>
    <x v="0"/>
    <x v="0"/>
    <x v="0"/>
    <x v="0"/>
    <m/>
    <m/>
    <m/>
    <m/>
    <x v="0"/>
    <m/>
  </r>
  <r>
    <m/>
    <x v="0"/>
    <x v="0"/>
    <x v="0"/>
    <x v="0"/>
    <m/>
    <m/>
    <m/>
    <m/>
    <x v="0"/>
    <m/>
  </r>
  <r>
    <m/>
    <x v="0"/>
    <x v="0"/>
    <x v="0"/>
    <x v="0"/>
    <m/>
    <m/>
    <m/>
    <m/>
    <x v="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0">
  <r>
    <s v="DSKMNT"/>
    <x v="0"/>
    <x v="0"/>
    <s v=""/>
    <s v=""/>
    <s v="24&quot; PC Monitor"/>
    <s v="DSKMNT - 24&quot; Monitor - HDMI/DP"/>
    <n v="5"/>
    <n v="0"/>
    <n v="0"/>
    <n v="5"/>
    <n v="0"/>
    <n v="0"/>
    <x v="0"/>
    <x v="0"/>
    <s v="Stadium Offices"/>
    <s v="Infotainment Control Room"/>
    <s v="Entertainment"/>
    <s v="Entertainment"/>
    <s v="based on availability"/>
  </r>
  <r>
    <s v="IS00WF"/>
    <x v="1"/>
    <x v="1"/>
    <s v=""/>
    <s v="General Internet Access"/>
    <s v="Wireless coverage - Shared Internet Service - FIFA"/>
    <s v="IS00WF - Wireless coverage - Shared Internet Service - Wi-Fi FIFA (General Internet Access)"/>
    <n v="1"/>
    <n v="0"/>
    <n v="0"/>
    <n v="1"/>
    <n v="0"/>
    <n v="0"/>
    <x v="0"/>
    <x v="1"/>
    <s v="Stadium Offices"/>
    <s v="Infotainment Control Room"/>
    <s v="Entertainment"/>
    <s v="Entertainment"/>
    <m/>
  </r>
  <r>
    <s v="IS00WF"/>
    <x v="1"/>
    <x v="1"/>
    <s v=""/>
    <s v="General Internet Access"/>
    <s v="Wireless coverage - Shared Internet Service - FIFA"/>
    <s v="IS00WF - Wireless coverage - Shared Internet Service - Wi-Fi FIFA (General Internet Access)"/>
    <n v="1"/>
    <n v="0"/>
    <n v="0"/>
    <n v="1"/>
    <n v="0"/>
    <n v="0"/>
    <x v="0"/>
    <x v="0"/>
    <s v="Stadium Offices"/>
    <s v="Infotainment Control Room"/>
    <s v="Entertainment"/>
    <s v="Entertainment"/>
    <s v="3 locations TBC"/>
  </r>
  <r>
    <s v="LAPEVT"/>
    <x v="2"/>
    <x v="2"/>
    <s v="Single"/>
    <s v=""/>
    <s v="FIFA Laptop"/>
    <s v="LAPEVT - Laptop - FIFA Event Build"/>
    <n v="8"/>
    <n v="0"/>
    <n v="0"/>
    <n v="8"/>
    <n v="0"/>
    <n v="0"/>
    <x v="1"/>
    <x v="0"/>
    <s v="Stadium Offices"/>
    <s v="Infotainment Control Room"/>
    <s v="Entertainment"/>
    <s v="Entertainment"/>
    <s v="will move to the final"/>
  </r>
  <r>
    <s v="MFDDNW"/>
    <x v="3"/>
    <x v="3"/>
    <s v=""/>
    <s v="General Internet Access"/>
    <s v="Colour Printer / Scanner (A4)"/>
    <s v="MFDDNW - MFD Desktop - Colour - A4 - Network (General Internet Access)"/>
    <n v="1"/>
    <n v="1"/>
    <n v="0"/>
    <n v="1"/>
    <n v="1"/>
    <n v="0"/>
    <x v="0"/>
    <x v="1"/>
    <s v="Stadium Offices"/>
    <s v="Infotainment Control Room"/>
    <s v="Entertainment"/>
    <s v="Entertainment"/>
    <m/>
  </r>
  <r>
    <s v="TABLEN"/>
    <x v="4"/>
    <x v="2"/>
    <s v="Single"/>
    <s v=""/>
    <s v="Professional Series Tablet + 4G"/>
    <s v="TABLEN - Tablet - FIFA Professional Tablet + 4G"/>
    <n v="5"/>
    <n v="0"/>
    <n v="5"/>
    <n v="5"/>
    <n v="0"/>
    <n v="0"/>
    <x v="1"/>
    <x v="0"/>
    <s v="Stadium Offices"/>
    <s v="Infotainment Control Room"/>
    <s v="Entertainment"/>
    <s v="Entertainment"/>
    <s v="will move to the final"/>
  </r>
  <r>
    <s v="WRDMED"/>
    <x v="5"/>
    <x v="1"/>
    <s v=""/>
    <s v="Media Internet Access Media"/>
    <s v="Wired Port - Internet for Media"/>
    <s v="WRDMED - Wired Port - Media Internet (Media Internet Access Media)"/>
    <n v="2"/>
    <n v="2"/>
    <n v="0"/>
    <n v="2"/>
    <n v="2"/>
    <n v="0"/>
    <x v="0"/>
    <x v="1"/>
    <s v="Stadium Offices"/>
    <s v="Infotainment Control Room"/>
    <s v="Entertainment"/>
    <s v="Entertainment"/>
    <m/>
  </r>
  <r>
    <s v="WRDMED"/>
    <x v="5"/>
    <x v="1"/>
    <s v=""/>
    <s v="Media Internet Access Media"/>
    <s v="Wired Port - Internet for Media"/>
    <s v="WRDMED - Wired Port - Media Internet (Media Internet Access Media)"/>
    <n v="5"/>
    <n v="5"/>
    <n v="0"/>
    <n v="5"/>
    <n v="5"/>
    <n v="0"/>
    <x v="0"/>
    <x v="0"/>
    <s v="Stadium Offices"/>
    <s v="Infotainment Control Room"/>
    <s v="Entertainment"/>
    <s v="Entertainment"/>
    <s v="3 locations TBC"/>
  </r>
  <r>
    <s v="IS00WF"/>
    <x v="1"/>
    <x v="1"/>
    <s v=""/>
    <s v="General Internet Access"/>
    <s v="Wireless coverage - Shared Internet Service - FIFA"/>
    <s v="IS00WF - Wireless coverage - Shared Internet Service - Wi-Fi FIFA (General Internet Access)"/>
    <n v="1"/>
    <n v="0"/>
    <n v="0"/>
    <n v="1"/>
    <n v="0"/>
    <n v="0"/>
    <x v="0"/>
    <x v="1"/>
    <s v="Competition area"/>
    <s v="Doping Control Room"/>
    <s v="FIFA Anti Doping"/>
    <s v="FIFA Anti Doping"/>
    <m/>
  </r>
  <r>
    <s v="TVLGIP"/>
    <x v="6"/>
    <x v="4"/>
    <s v=""/>
    <s v=""/>
    <s v="Large TV - CATV Feed"/>
    <s v="TVLGIP - TV - Large - IPTV"/>
    <n v="1"/>
    <n v="1"/>
    <n v="0"/>
    <n v="1"/>
    <n v="1"/>
    <n v="0"/>
    <x v="0"/>
    <x v="1"/>
    <s v="Competition area"/>
    <s v="Doping Control Room"/>
    <s v="FIFA Anti Doping"/>
    <s v="FIFA Anti Doping"/>
    <m/>
  </r>
  <r>
    <s v="TVSTND"/>
    <x v="7"/>
    <x v="0"/>
    <s v=""/>
    <s v=""/>
    <s v="TV Stand for medium and large TVs"/>
    <s v="TVSTND - TV Stand - Medium &amp; Large TVs"/>
    <n v="1"/>
    <n v="0"/>
    <n v="0"/>
    <n v="1"/>
    <n v="0"/>
    <n v="0"/>
    <x v="0"/>
    <x v="1"/>
    <s v="Competition area"/>
    <s v="Doping Control Room"/>
    <s v="FIFA Anti Doping"/>
    <s v="FIFA Anti Doping"/>
    <m/>
  </r>
  <r>
    <s v="IS00WF"/>
    <x v="1"/>
    <x v="1"/>
    <s v=""/>
    <s v="General Internet Access"/>
    <s v="Wireless coverage - Shared Internet Service - FIFA"/>
    <s v="IS00WF - Wireless coverage - Shared Internet Service - Wi-Fi FIFA (General Internet Access)"/>
    <n v="1"/>
    <n v="0"/>
    <n v="0"/>
    <n v="1"/>
    <n v="0"/>
    <n v="0"/>
    <x v="0"/>
    <x v="0"/>
    <s v="Super Club"/>
    <s v="Doping Control Room"/>
    <s v="FIFA Anti Doping"/>
    <s v="FIFA Anti Doping"/>
    <m/>
  </r>
  <r>
    <s v="TABLEN"/>
    <x v="4"/>
    <x v="2"/>
    <s v="Single"/>
    <s v=""/>
    <s v="Professional Series Tablet + 4G"/>
    <s v="TABLEN - Tablet - FIFA Professional Tablet + 4G"/>
    <n v="4"/>
    <n v="0"/>
    <n v="4"/>
    <n v="4"/>
    <n v="0"/>
    <n v="4"/>
    <x v="1"/>
    <x v="0"/>
    <s v="Super Club"/>
    <s v="Doping Control Room"/>
    <s v="FIFA Anti Doping"/>
    <s v="FIFA Anti Doping"/>
    <s v="MODOC app to be installed/available in Play Store"/>
  </r>
  <r>
    <s v="TVLGIP"/>
    <x v="6"/>
    <x v="4"/>
    <s v=""/>
    <s v=""/>
    <s v="Large TV - CATV Feed"/>
    <s v="TVLGIP - TV - Large - IPTV"/>
    <n v="1"/>
    <n v="1"/>
    <n v="0"/>
    <n v="1"/>
    <n v="1"/>
    <n v="0"/>
    <x v="0"/>
    <x v="0"/>
    <s v="Super Club"/>
    <s v="Doping Control Room"/>
    <s v="FIFA Anti Doping"/>
    <s v="FIFA Anti Doping"/>
    <m/>
  </r>
  <r>
    <s v="TVSTND"/>
    <x v="7"/>
    <x v="0"/>
    <s v=""/>
    <s v=""/>
    <s v="TV Stand for medium and large TVs"/>
    <s v="TVSTND - TV Stand - Medium &amp; Large TVs"/>
    <n v="1"/>
    <n v="0"/>
    <n v="0"/>
    <n v="1"/>
    <n v="0"/>
    <n v="0"/>
    <x v="0"/>
    <x v="0"/>
    <s v="Super Club"/>
    <s v="Doping Control Room"/>
    <s v="FIFA Anti Doping"/>
    <s v="FIFA Anti Doping"/>
    <m/>
  </r>
  <r>
    <s v="IS00WF"/>
    <x v="1"/>
    <x v="1"/>
    <s v=""/>
    <s v="General Internet Access"/>
    <s v="Wireless coverage - Shared Internet Service - FIFA"/>
    <s v="IS00WF - Wireless coverage - Shared Internet Service - Wi-Fi FIFA (General Internet Access)"/>
    <n v="1"/>
    <n v="0"/>
    <n v="0"/>
    <n v="1"/>
    <n v="0"/>
    <n v="0"/>
    <x v="0"/>
    <x v="0"/>
    <s v="Broadcast Compound 1"/>
    <s v="Broadcast and Streaming Office 1"/>
    <s v="FIFA Broadcast"/>
    <s v="FIFA Broadcast"/>
    <m/>
  </r>
  <r>
    <s v="MFDDNW"/>
    <x v="3"/>
    <x v="3"/>
    <s v=""/>
    <s v="General Internet Access"/>
    <s v="Colour Printer / Scanner (A4)"/>
    <s v="MFDDNW - MFD Desktop - Colour - A4 - Network (General Internet Access)"/>
    <n v="1"/>
    <n v="1"/>
    <n v="0"/>
    <n v="1"/>
    <n v="1"/>
    <n v="0"/>
    <x v="0"/>
    <x v="0"/>
    <s v="Broadcast Compound 1"/>
    <s v="Broadcast and Streaming Office 1"/>
    <s v="FIFA Broadcast"/>
    <s v="FIFA Broadcast"/>
    <m/>
  </r>
  <r>
    <s v="WRDGEN"/>
    <x v="8"/>
    <x v="1"/>
    <s v=""/>
    <s v="General Internet Access"/>
    <s v="Wired Port - Internet"/>
    <s v="WRDGEN - Wired Port - General Internet  (General Internet Access)"/>
    <n v="6"/>
    <n v="1"/>
    <n v="0"/>
    <n v="1"/>
    <n v="1"/>
    <n v="0"/>
    <x v="0"/>
    <x v="0"/>
    <s v="Broadcast Compound 1"/>
    <s v="Broadcast and Streaming Office 1"/>
    <s v="FIFA Broadcast"/>
    <s v="FIFA Broadcast"/>
    <m/>
  </r>
  <r>
    <s v="WRDSTU"/>
    <x v="9"/>
    <x v="1"/>
    <s v=""/>
    <s v="FIFA Technical Content"/>
    <s v="Wired Port - Content"/>
    <s v="WRDSTU - Wired Port - Content (FIFA Technical Content)"/>
    <n v="1"/>
    <n v="1"/>
    <n v="0"/>
    <n v="1"/>
    <n v="1"/>
    <n v="0"/>
    <x v="0"/>
    <x v="0"/>
    <s v="Broadcast Compound 1"/>
    <s v="Broadcast and Streaming Office 1"/>
    <s v="FIFA Broadcast"/>
    <s v="FIFA Broadcast"/>
    <m/>
  </r>
  <r>
    <s v="IS00WF"/>
    <x v="1"/>
    <x v="1"/>
    <s v=""/>
    <s v="General Internet Access"/>
    <s v="Wireless coverage - Shared Internet Service - FIFA"/>
    <s v="IS00WF - Wireless coverage - Shared Internet Service - Wi-Fi FIFA (General Internet Access)"/>
    <n v="1"/>
    <n v="0"/>
    <n v="0"/>
    <n v="1"/>
    <n v="0"/>
    <n v="0"/>
    <x v="0"/>
    <x v="0"/>
    <s v="Broadcast Compound 2"/>
    <s v="Broadcast and Streaming Office 2"/>
    <s v="FIFA Broadcast"/>
    <s v="FIFA Broadcast"/>
    <m/>
  </r>
  <r>
    <s v="MFDDNW"/>
    <x v="3"/>
    <x v="3"/>
    <s v=""/>
    <s v="General Internet Access"/>
    <s v="Colour Printer / Scanner (A4)"/>
    <s v="MFDDNW - MFD Desktop - Colour - A4 - Network (General Internet Access)"/>
    <n v="1"/>
    <n v="1"/>
    <n v="0"/>
    <n v="1"/>
    <n v="1"/>
    <n v="0"/>
    <x v="0"/>
    <x v="0"/>
    <s v="Broadcast Compound 2"/>
    <s v="Broadcast and Streaming Office 2"/>
    <s v="FIFA Broadcast"/>
    <s v="FIFA Broadcast"/>
    <m/>
  </r>
  <r>
    <s v="WRDGEN"/>
    <x v="8"/>
    <x v="1"/>
    <s v=""/>
    <s v="General Internet Access"/>
    <s v="Wired Port - Internet"/>
    <s v="WRDGEN - Wired Port - General Internet  (General Internet Access)"/>
    <n v="6"/>
    <n v="1"/>
    <n v="0"/>
    <n v="1"/>
    <n v="1"/>
    <n v="0"/>
    <x v="0"/>
    <x v="0"/>
    <s v="Broadcast Compound 2"/>
    <s v="Broadcast and Streaming Office 2"/>
    <s v="FIFA Broadcast"/>
    <s v="FIFA Broadcast"/>
    <m/>
  </r>
  <r>
    <s v="WRDSTU"/>
    <x v="9"/>
    <x v="1"/>
    <s v=""/>
    <s v="FIFA Technical Content"/>
    <s v="Wired Port - Content"/>
    <s v="WRDSTU - Wired Port - Content (FIFA Technical Content)"/>
    <n v="1"/>
    <n v="1"/>
    <n v="0"/>
    <n v="1"/>
    <n v="1"/>
    <n v="0"/>
    <x v="0"/>
    <x v="0"/>
    <s v="Broadcast Compound 2"/>
    <s v="Broadcast and Streaming Office 2"/>
    <s v="FIFA Broadcast"/>
    <s v="FIFA Broadcast"/>
    <m/>
  </r>
  <r>
    <s v="IS00WF"/>
    <x v="1"/>
    <x v="1"/>
    <s v=""/>
    <s v="General Internet Access"/>
    <s v="Wireless coverage - Shared Internet Service - FIFA"/>
    <s v="IS00WF - Wireless coverage - Shared Internet Service - Wi-Fi FIFA (General Internet Access)"/>
    <n v="1"/>
    <n v="0"/>
    <n v="0"/>
    <n v="1"/>
    <n v="0"/>
    <n v="0"/>
    <x v="0"/>
    <x v="0"/>
    <s v="Stadium Offices"/>
    <s v="Entertainment Control Room AE live"/>
    <s v="FIFA Broadcast"/>
    <s v="FIFA Broadcast"/>
    <s v="TBC how many locations and giant screens are"/>
  </r>
  <r>
    <s v="WRDFTI"/>
    <x v="10"/>
    <x v="1"/>
    <s v=""/>
    <s v="FIFA Technical FTI"/>
    <s v="Wired Port - FTI"/>
    <s v="WRDFTI - Wired Port - FTI (FIFA Technical FTI)"/>
    <n v="3"/>
    <n v="3"/>
    <n v="0"/>
    <n v="3"/>
    <n v="3"/>
    <n v="0"/>
    <x v="0"/>
    <x v="0"/>
    <s v="Stadium Offices"/>
    <s v="Entertainment Control Room AE live"/>
    <s v="FIFA Broadcast"/>
    <s v="FIFA Broadcast"/>
    <s v="TBC how many locations and giant screens are"/>
  </r>
  <r>
    <s v="WRDGEN"/>
    <x v="8"/>
    <x v="1"/>
    <s v=""/>
    <s v="General Internet Access"/>
    <s v="Wired Port - Internet"/>
    <s v="WRDGEN - Wired Port - General Internet  (General Internet Access)"/>
    <n v="3"/>
    <n v="3"/>
    <n v="0"/>
    <n v="3"/>
    <n v="3"/>
    <n v="0"/>
    <x v="0"/>
    <x v="0"/>
    <s v="Stadium Offices"/>
    <s v="Entertainment Control Room AE live"/>
    <s v="FIFA Broadcast"/>
    <s v="FIFA Broadcast"/>
    <s v="TBC how many locations and giant screens are"/>
  </r>
  <r>
    <s v="IS00WM"/>
    <x v="11"/>
    <x v="1"/>
    <s v=""/>
    <s v="Media Internet Access"/>
    <s v="Wireless coverage - Internet Service - Media"/>
    <s v="IS00WM - Wireless coverage - Internet Service - Wi-Fi Media (Media Internet Access)"/>
    <n v="1"/>
    <n v="0"/>
    <n v="0"/>
    <n v="1"/>
    <n v="0"/>
    <n v="0"/>
    <x v="0"/>
    <x v="0"/>
    <s v="Pitch 1-10-12"/>
    <s v="MRL behind goal - Left side"/>
    <s v="FIFA Broadcast"/>
    <s v="FIFA Broadcast"/>
    <s v="LOC TBC if Wired"/>
  </r>
  <r>
    <s v="IS00WM"/>
    <x v="11"/>
    <x v="1"/>
    <s v=""/>
    <s v="Media Internet Access"/>
    <s v="Wireless coverage - Internet Service - Media"/>
    <s v="IS00WM - Wireless coverage - Internet Service - Wi-Fi Media (Media Internet Access)"/>
    <n v="1"/>
    <n v="0"/>
    <n v="0"/>
    <n v="1"/>
    <n v="0"/>
    <n v="0"/>
    <x v="0"/>
    <x v="0"/>
    <s v="Pitch 1-10-12"/>
    <s v="MRL behind goal - Right side"/>
    <s v="FIFA Broadcast"/>
    <s v="FIFA Broadcast"/>
    <s v="LOC TBC if Wired"/>
  </r>
  <r>
    <s v="IS00WM"/>
    <x v="11"/>
    <x v="1"/>
    <s v=""/>
    <s v="Media Internet Access"/>
    <s v="Wireless coverage - Internet Service - Media"/>
    <s v="IS00WM - Wireless coverage - Internet Service - Wi-Fi Media (Media Internet Access)"/>
    <n v="1"/>
    <n v="0"/>
    <n v="0"/>
    <n v="1"/>
    <n v="0"/>
    <n v="0"/>
    <x v="0"/>
    <x v="0"/>
    <s v="Pitch 1-10-12"/>
    <s v="MRL Positions - Left - 16m line"/>
    <s v="FIFA Broadcast"/>
    <s v="FIFA Broadcast"/>
    <s v="LOC TBC if Wired"/>
  </r>
  <r>
    <s v="IS00WM"/>
    <x v="11"/>
    <x v="1"/>
    <s v=""/>
    <s v="Media Internet Access"/>
    <s v="Wireless coverage - Internet Service - Media"/>
    <s v="IS00WM - Wireless coverage - Internet Service - Wi-Fi Media (Media Internet Access)"/>
    <n v="1"/>
    <n v="0"/>
    <n v="0"/>
    <n v="1"/>
    <n v="0"/>
    <n v="0"/>
    <x v="0"/>
    <x v="0"/>
    <s v="Pitch 1-10-12"/>
    <s v="MRL Positions - Right - 16m line"/>
    <s v="FIFA Broadcast"/>
    <s v="FIFA Broadcast"/>
    <s v="LOC TBC if Wired"/>
  </r>
  <r>
    <s v="WRDGEN"/>
    <x v="8"/>
    <x v="1"/>
    <s v=""/>
    <s v="General Internet Access"/>
    <s v="Wired Port - Internet"/>
    <s v="WRDGEN - Wired Port - General Internet  (General Internet Access)"/>
    <n v="2"/>
    <n v="2"/>
    <n v="0"/>
    <n v="2"/>
    <n v="2"/>
    <n v="0"/>
    <x v="0"/>
    <x v="0"/>
    <s v="Broadcast Compound 1"/>
    <s v="OB Van 1"/>
    <s v="FIFA Broadcast"/>
    <s v="FIFA Broadcast"/>
    <s v="1 general 1 backup (50Mb)"/>
  </r>
  <r>
    <s v="WRDGEN"/>
    <x v="8"/>
    <x v="1"/>
    <s v=""/>
    <s v="General Internet Access"/>
    <s v="Wired Port - Internet"/>
    <s v="WRDGEN - Wired Port - General Internet  (General Internet Access)"/>
    <n v="2"/>
    <n v="2"/>
    <n v="0"/>
    <n v="2"/>
    <n v="2"/>
    <n v="0"/>
    <x v="0"/>
    <x v="0"/>
    <s v="Broadcast Compound 2"/>
    <s v="OB Van 2"/>
    <s v="FIFA Broadcast"/>
    <s v="FIFA Broadcast"/>
    <s v="1 general 1 backup (50Mb)"/>
  </r>
  <r>
    <s v="WRDGEN"/>
    <x v="8"/>
    <x v="1"/>
    <s v=""/>
    <s v="General Internet Access"/>
    <s v="Wired Port - Internet"/>
    <s v="WRDGEN - Wired Port - General Internet  (General Internet Access)"/>
    <n v="1"/>
    <n v="1"/>
    <n v="0"/>
    <n v="1"/>
    <n v="1"/>
    <n v="0"/>
    <x v="0"/>
    <x v="0"/>
    <s v="Broadcast Compound 1"/>
    <s v="Satellite and HB Cabin 1"/>
    <s v="FIFA Broadcast"/>
    <s v="FIFA Broadcast"/>
    <m/>
  </r>
  <r>
    <s v="WRDSTR"/>
    <x v="12"/>
    <x v="1"/>
    <s v=""/>
    <s v="Stream Fabs &amp; W Feed"/>
    <s v="Wired Port - Stream &amp; World feed"/>
    <s v="WRDSTR - Wired Port - Stream &amp; World feed (Stream Fabs &amp; W Feed)"/>
    <n v="3"/>
    <n v="12"/>
    <n v="0"/>
    <n v="12"/>
    <n v="12"/>
    <n v="0"/>
    <x v="0"/>
    <x v="0"/>
    <s v="Broadcast Compound 1"/>
    <s v="Satellite and HB Cabin 1"/>
    <s v="FIFA Broadcast"/>
    <s v="FIFA Broadcast"/>
    <s v="high speed 50Mb 4 games"/>
  </r>
  <r>
    <s v="WRDGEN"/>
    <x v="8"/>
    <x v="1"/>
    <s v=""/>
    <s v="General Internet Access"/>
    <s v="Wired Port - Internet"/>
    <s v="WRDGEN - Wired Port - General Internet  (General Internet Access)"/>
    <n v="1"/>
    <n v="1"/>
    <n v="0"/>
    <n v="1"/>
    <n v="1"/>
    <n v="0"/>
    <x v="0"/>
    <x v="0"/>
    <s v="Broadcast Compound 2"/>
    <s v="Satellite and HB Cabin 2"/>
    <s v="FIFA Broadcast"/>
    <s v="FIFA Broadcast"/>
    <m/>
  </r>
  <r>
    <s v="WRDSTR"/>
    <x v="12"/>
    <x v="1"/>
    <s v=""/>
    <s v="Stream Fabs &amp; W Feed"/>
    <s v="Wired Port - Stream &amp; World feed"/>
    <s v="WRDSTR - Wired Port - Stream &amp; World feed (Stream Fabs &amp; W Feed)"/>
    <n v="3"/>
    <n v="4"/>
    <n v="0"/>
    <n v="4"/>
    <n v="4"/>
    <n v="0"/>
    <x v="0"/>
    <x v="0"/>
    <s v="Broadcast Compound 2"/>
    <s v="Satellite and HB Cabin 2"/>
    <s v="FIFA Broadcast"/>
    <s v="FIFA Broadcast"/>
    <s v="high speed 50Mb 4 games"/>
  </r>
  <r>
    <s v="WRDMED"/>
    <x v="5"/>
    <x v="1"/>
    <s v=""/>
    <s v="Media Internet Access Media"/>
    <s v="Wired Port - Internet for Media"/>
    <s v="WRDMED - Wired Port - Media Internet (Media Internet Access Media)"/>
    <n v="2"/>
    <n v="2"/>
    <n v="0"/>
    <n v="2"/>
    <n v="2"/>
    <n v="0"/>
    <x v="0"/>
    <x v="0"/>
    <s v="Flash Interview"/>
    <s v="SMC/MEO/WD/Mixed Zone"/>
    <s v="FIFA Broadcast"/>
    <s v="FIFA Broadcast"/>
    <m/>
  </r>
  <r>
    <s v="IS00WF"/>
    <x v="1"/>
    <x v="1"/>
    <s v=""/>
    <s v="General Internet Access"/>
    <s v="Wireless coverage - Shared Internet Service - FIFA"/>
    <s v="IS00WF - Wireless coverage - Shared Internet Service - Wi-Fi FIFA (General Internet Access)"/>
    <n v="1"/>
    <n v="0"/>
    <n v="0"/>
    <n v="1"/>
    <n v="0"/>
    <n v="0"/>
    <x v="0"/>
    <x v="1"/>
    <s v="Broadcast Compound"/>
    <s v="Broadcast and Streaming Office"/>
    <s v="FIFA Broadcast"/>
    <s v="FIFA Broadcast"/>
    <m/>
  </r>
  <r>
    <s v="MFDDNW"/>
    <x v="3"/>
    <x v="3"/>
    <s v=""/>
    <s v="General Internet Access"/>
    <s v="Colour Printer / Scanner (A4)"/>
    <s v="MFDDNW - MFD Desktop - Colour - A4 - Network (General Internet Access)"/>
    <n v="1"/>
    <n v="1"/>
    <n v="0"/>
    <n v="1"/>
    <n v="1"/>
    <n v="0"/>
    <x v="0"/>
    <x v="1"/>
    <s v="Broadcast Compound"/>
    <s v="Broadcast and Streaming Office"/>
    <s v="FIFA Broadcast"/>
    <s v="FIFA Broadcast"/>
    <m/>
  </r>
  <r>
    <s v="WRDGEN"/>
    <x v="8"/>
    <x v="1"/>
    <s v=""/>
    <s v="General Internet Access"/>
    <s v="Wired Port - Internet"/>
    <s v="WRDGEN - Wired Port - General Internet  (General Internet Access)"/>
    <n v="6"/>
    <n v="1"/>
    <n v="0"/>
    <n v="1"/>
    <n v="1"/>
    <n v="0"/>
    <x v="0"/>
    <x v="1"/>
    <s v="Broadcast Compound"/>
    <s v="Broadcast and Streaming Office"/>
    <s v="FIFA Broadcast"/>
    <s v="FIFA Broadcast"/>
    <m/>
  </r>
  <r>
    <s v="WRDSTU"/>
    <x v="9"/>
    <x v="1"/>
    <s v=""/>
    <s v="FIFA Technical Content"/>
    <s v="Wired Port - Content"/>
    <s v="WRDSTU - Wired Port - Content (FIFA Technical Content)"/>
    <n v="1"/>
    <n v="1"/>
    <n v="0"/>
    <n v="1"/>
    <n v="1"/>
    <n v="0"/>
    <x v="0"/>
    <x v="1"/>
    <s v="Broadcast Compound"/>
    <s v="Broadcast and Streaming Office"/>
    <s v="FIFA Broadcast"/>
    <s v="FIFA Broadcast"/>
    <m/>
  </r>
  <r>
    <s v="CABLOK"/>
    <x v="13"/>
    <x v="0"/>
    <s v="Multi"/>
    <s v=""/>
    <s v="Laptop Cable Lock"/>
    <s v="CABLOK - Laptop Cable Lock"/>
    <n v="2"/>
    <n v="0"/>
    <n v="0"/>
    <n v="2"/>
    <n v="0"/>
    <n v="0"/>
    <x v="1"/>
    <x v="1"/>
    <s v="Media Tribunes"/>
    <s v="Commentary Position"/>
    <s v="FIFA Broadcast"/>
    <s v="FIFA Broadcast"/>
    <m/>
  </r>
  <r>
    <s v="LAPPRE"/>
    <x v="14"/>
    <x v="2"/>
    <s v="Single"/>
    <s v=""/>
    <s v="FIFA Presentation Laptop"/>
    <s v="LAPPRE - Laptop - Presentation Build"/>
    <n v="2"/>
    <n v="0"/>
    <n v="0"/>
    <n v="2"/>
    <n v="0"/>
    <n v="0"/>
    <x v="1"/>
    <x v="1"/>
    <s v="Media Tribunes"/>
    <s v="Commentary Position"/>
    <s v="FIFA Broadcast"/>
    <s v="FIFA Broadcast"/>
    <m/>
  </r>
  <r>
    <s v="WRDMED"/>
    <x v="5"/>
    <x v="1"/>
    <s v=""/>
    <s v="Media Internet Access Media"/>
    <s v="Wired Port - Internet for Media"/>
    <s v="WRDMED - Wired Port - Media Internet (Media Internet Access Media)"/>
    <n v="4"/>
    <n v="4"/>
    <n v="0"/>
    <n v="4"/>
    <n v="4"/>
    <n v="0"/>
    <x v="0"/>
    <x v="1"/>
    <s v="Media Tribunes"/>
    <s v="Commentary Position"/>
    <s v="FIFA Broadcast"/>
    <s v="FIFA Broadcast"/>
    <s v="1 port for user, 1 port for PRT per position"/>
  </r>
  <r>
    <s v="WRDSTA"/>
    <x v="15"/>
    <x v="1"/>
    <s v=""/>
    <s v="FIFA Standard Internet Access"/>
    <s v="Wired Port - ACR-TKT-Ipcodec"/>
    <s v="WRDSTA - Wired Port - ACR-TKT-Ipcodec (FIFA Standard Internet Access)"/>
    <n v="2"/>
    <n v="2"/>
    <n v="0"/>
    <n v="2"/>
    <n v="2"/>
    <n v="0"/>
    <x v="0"/>
    <x v="1"/>
    <s v="Media Tribunes"/>
    <s v="Commentary Position"/>
    <s v="FIFA Broadcast"/>
    <s v="FIFA Broadcast"/>
    <m/>
  </r>
  <r>
    <s v="IS00WF"/>
    <x v="1"/>
    <x v="1"/>
    <s v=""/>
    <s v="General Internet Access"/>
    <s v="Wireless coverage - Shared Internet Service - FIFA"/>
    <s v="IS00WF - Wireless coverage - Shared Internet Service - Wi-Fi FIFA (General Internet Access)"/>
    <n v="1"/>
    <n v="0"/>
    <n v="0"/>
    <n v="1"/>
    <n v="0"/>
    <n v="0"/>
    <x v="0"/>
    <x v="1"/>
    <s v="Stadium Offices"/>
    <s v="Entertainment Control Room AE live"/>
    <s v="FIFA Broadcast"/>
    <s v="FIFA Broadcast"/>
    <m/>
  </r>
  <r>
    <s v="WRDFTI"/>
    <x v="10"/>
    <x v="1"/>
    <s v=""/>
    <s v="FIFA Technical FTI"/>
    <s v="Wired Port - FTI"/>
    <s v="WRDFTI - Wired Port - FTI (FIFA Technical FTI)"/>
    <n v="1"/>
    <n v="1"/>
    <n v="0"/>
    <n v="1"/>
    <n v="1"/>
    <n v="0"/>
    <x v="0"/>
    <x v="1"/>
    <s v="Stadium Offices"/>
    <s v="Entertainment Control Room AE live"/>
    <s v="FIFA Broadcast"/>
    <s v="FIFA Broadcast"/>
    <m/>
  </r>
  <r>
    <s v="WRDGEN"/>
    <x v="8"/>
    <x v="1"/>
    <s v=""/>
    <s v="General Internet Access"/>
    <s v="Wired Port - Internet"/>
    <s v="WRDGEN - Wired Port - General Internet  (General Internet Access)"/>
    <n v="1"/>
    <n v="1"/>
    <n v="0"/>
    <n v="1"/>
    <n v="1"/>
    <n v="0"/>
    <x v="0"/>
    <x v="1"/>
    <s v="Stadium Offices"/>
    <s v="Entertainment Control Room AE live"/>
    <s v="FIFA Broadcast"/>
    <s v="FIFA Broadcast"/>
    <m/>
  </r>
  <r>
    <s v="WRDMED"/>
    <x v="5"/>
    <x v="1"/>
    <s v=""/>
    <s v="Media Internet Access Media"/>
    <s v="Wired Port - Internet for Media"/>
    <s v="WRDMED - Wired Port - Media Internet (Media Internet Access Media)"/>
    <n v="1"/>
    <n v="1"/>
    <n v="0"/>
    <n v="1"/>
    <n v="1"/>
    <n v="0"/>
    <x v="0"/>
    <x v="1"/>
    <s v="Pitch"/>
    <s v="MRL behind goal - Left side"/>
    <s v="FIFA Broadcast"/>
    <s v="FIFA Broadcast"/>
    <s v="Only if existing infrastructure"/>
  </r>
  <r>
    <s v="WRDMED"/>
    <x v="5"/>
    <x v="1"/>
    <s v=""/>
    <s v="Media Internet Access Media"/>
    <s v="Wired Port - Internet for Media"/>
    <s v="WRDMED - Wired Port - Media Internet (Media Internet Access Media)"/>
    <n v="1"/>
    <n v="1"/>
    <n v="0"/>
    <n v="1"/>
    <n v="1"/>
    <n v="0"/>
    <x v="0"/>
    <x v="1"/>
    <s v="Pitch"/>
    <s v="MRL behind goal - Right side"/>
    <s v="FIFA Broadcast"/>
    <s v="FIFA Broadcast"/>
    <s v="Only if existing infrastructure"/>
  </r>
  <r>
    <s v="WRDMED"/>
    <x v="5"/>
    <x v="1"/>
    <s v=""/>
    <s v="Media Internet Access Media"/>
    <s v="Wired Port - Internet for Media"/>
    <s v="WRDMED - Wired Port - Media Internet (Media Internet Access Media)"/>
    <n v="1"/>
    <n v="1"/>
    <n v="0"/>
    <n v="1"/>
    <n v="1"/>
    <n v="0"/>
    <x v="0"/>
    <x v="1"/>
    <s v="Pitch"/>
    <s v="MRL Positions - Left - 16m line"/>
    <s v="FIFA Broadcast"/>
    <s v="FIFA Broadcast"/>
    <s v="Only if existing infrastructure"/>
  </r>
  <r>
    <s v="WRDMED"/>
    <x v="5"/>
    <x v="1"/>
    <s v=""/>
    <s v="Media Internet Access Media"/>
    <s v="Wired Port - Internet for Media"/>
    <s v="WRDMED - Wired Port - Media Internet (Media Internet Access Media)"/>
    <n v="1"/>
    <n v="1"/>
    <n v="0"/>
    <n v="1"/>
    <n v="1"/>
    <n v="0"/>
    <x v="0"/>
    <x v="1"/>
    <s v="Pitch"/>
    <s v="MRL Positions - Right - 16m line"/>
    <s v="FIFA Broadcast"/>
    <s v="FIFA Broadcast"/>
    <s v="Only if existing infrastructure"/>
  </r>
  <r>
    <s v="WRDGEN"/>
    <x v="8"/>
    <x v="1"/>
    <s v=""/>
    <s v="General Internet Access"/>
    <s v="Wired Port - Internet"/>
    <s v="WRDGEN - Wired Port - General Internet  (General Internet Access)"/>
    <n v="2"/>
    <n v="2"/>
    <n v="0"/>
    <n v="2"/>
    <n v="2"/>
    <n v="0"/>
    <x v="0"/>
    <x v="1"/>
    <s v="Broadcast Compound"/>
    <s v="OB Van"/>
    <s v="FIFA Broadcast"/>
    <s v="FIFA Broadcast"/>
    <s v="1 backup and 1 general"/>
  </r>
  <r>
    <s v="WRDGEN"/>
    <x v="8"/>
    <x v="1"/>
    <s v=""/>
    <s v="General Internet Access"/>
    <s v="Wired Port - Internet"/>
    <s v="WRDGEN - Wired Port - General Internet  (General Internet Access)"/>
    <n v="1"/>
    <n v="1"/>
    <n v="0"/>
    <n v="1"/>
    <n v="1"/>
    <n v="0"/>
    <x v="0"/>
    <x v="1"/>
    <s v="Broadcast Compound"/>
    <s v="Satellite and HB Cabin"/>
    <s v="FIFA Broadcast"/>
    <s v="FIFA Broadcast"/>
    <m/>
  </r>
  <r>
    <s v="WRDSTR"/>
    <x v="12"/>
    <x v="1"/>
    <s v=""/>
    <s v="Stream Fabs &amp; W Feed"/>
    <s v="Wired Port - Stream &amp; World feed"/>
    <s v="WRDSTR - Wired Port - Stream &amp; World feed (Stream Fabs &amp; W Feed)"/>
    <n v="3"/>
    <n v="2"/>
    <n v="0"/>
    <n v="2"/>
    <n v="2"/>
    <n v="0"/>
    <x v="0"/>
    <x v="1"/>
    <s v="Broadcast Compound"/>
    <s v="Satellite and HB Cabin"/>
    <s v="FIFA Broadcast"/>
    <s v="FIFA Broadcast"/>
    <s v="high speed"/>
  </r>
  <r>
    <s v="WRDMED"/>
    <x v="5"/>
    <x v="1"/>
    <s v=""/>
    <s v="Media Internet Access Media"/>
    <s v="Wired Port - Internet for Media"/>
    <s v="WRDMED - Wired Port - Media Internet (Media Internet Access Media)"/>
    <n v="2"/>
    <n v="2"/>
    <n v="0"/>
    <n v="2"/>
    <n v="2"/>
    <n v="0"/>
    <x v="0"/>
    <x v="1"/>
    <s v="Flash Interview"/>
    <s v="Tunel"/>
    <s v="FIFA Broadcast"/>
    <s v="FIFA Broadcast"/>
    <m/>
  </r>
  <r>
    <s v="DSKMNT"/>
    <x v="0"/>
    <x v="0"/>
    <s v=""/>
    <s v=""/>
    <s v="24&quot; PC Monitor"/>
    <s v="DSKMNT - 24&quot; Monitor - HDMI/DP"/>
    <n v="2"/>
    <n v="0"/>
    <n v="0"/>
    <n v="2"/>
    <n v="0"/>
    <n v="0"/>
    <x v="0"/>
    <x v="0"/>
    <s v="Super Club"/>
    <s v="Match Director Office"/>
    <s v="FIFA Competitions"/>
    <s v="FIFA Competitions"/>
    <s v="to be moved to Khalifa"/>
  </r>
  <r>
    <s v="IS00WF"/>
    <x v="1"/>
    <x v="1"/>
    <s v=""/>
    <s v="General Internet Access"/>
    <s v="Wireless coverage - Shared Internet Service - FIFA"/>
    <s v="IS00WF - Wireless coverage - Shared Internet Service - Wi-Fi FIFA (General Internet Access)"/>
    <n v="1"/>
    <n v="0"/>
    <n v="0"/>
    <n v="1"/>
    <n v="0"/>
    <n v="0"/>
    <x v="0"/>
    <x v="0"/>
    <s v="Super Club"/>
    <s v="Match Director Office"/>
    <s v="FIFA Competitions"/>
    <s v="FIFA Competitions"/>
    <m/>
  </r>
  <r>
    <s v="MFDDNW"/>
    <x v="3"/>
    <x v="3"/>
    <s v=""/>
    <s v="General Internet Access"/>
    <s v="Colour Printer / Scanner (A4)"/>
    <s v="MFDDNW - MFD Desktop - Colour - A4 - Network (General Internet Access)"/>
    <n v="1"/>
    <n v="1"/>
    <n v="0"/>
    <n v="1"/>
    <n v="1"/>
    <n v="0"/>
    <x v="0"/>
    <x v="0"/>
    <s v="Super Club"/>
    <s v="Match Director Office"/>
    <s v="FIFA Competitions"/>
    <s v="FIFA Competitions"/>
    <m/>
  </r>
  <r>
    <s v="MFDDNW"/>
    <x v="3"/>
    <x v="3"/>
    <s v=""/>
    <s v="General Internet Access"/>
    <s v="Colour Printer / Scanner (A4)"/>
    <s v="MFDDNW - MFD Desktop - Colour - A4 - Network (General Internet Access)"/>
    <n v="1"/>
    <n v="1"/>
    <n v="0"/>
    <n v="1"/>
    <n v="1"/>
    <n v="0"/>
    <x v="0"/>
    <x v="0"/>
    <s v="Pitch 4"/>
    <s v="Small Match Director cabin - Pitch 4"/>
    <s v="FIFA Competitions"/>
    <s v="FIFA Competitions"/>
    <s v="can be B/W printer. One printer at pitch 4, covering pitch 3, 4, 5 and 7"/>
  </r>
  <r>
    <s v="MFDDNW"/>
    <x v="3"/>
    <x v="3"/>
    <s v=""/>
    <s v="General Internet Access"/>
    <s v="Colour Printer / Scanner (A4)"/>
    <s v="MFDDNW - MFD Desktop - Colour - A4 - Network (General Internet Access)"/>
    <n v="1"/>
    <n v="1"/>
    <n v="0"/>
    <n v="1"/>
    <n v="1"/>
    <n v="0"/>
    <x v="0"/>
    <x v="0"/>
    <s v="Pitch 8"/>
    <s v="Small Match Director cabin - Pitch 9"/>
    <s v="FIFA Competitions"/>
    <s v="FIFA Competitions"/>
    <s v="can be B/W printer and shared with pitch 8"/>
  </r>
  <r>
    <s v="PORSPE"/>
    <x v="16"/>
    <x v="0"/>
    <s v="Single"/>
    <s v=""/>
    <s v="Portable Speaker"/>
    <s v="PORSPE - Portable Speaker"/>
    <n v="1"/>
    <n v="0"/>
    <n v="0"/>
    <n v="1"/>
    <n v="0"/>
    <n v="0"/>
    <x v="1"/>
    <x v="0"/>
    <s v="Super Club"/>
    <s v="Match Director Office"/>
    <s v="FIFA Competitions"/>
    <s v="FIFA Competitions"/>
    <m/>
  </r>
  <r>
    <s v="TABLEN"/>
    <x v="4"/>
    <x v="2"/>
    <s v="Single"/>
    <s v=""/>
    <s v="Professional Series Tablet + 4G"/>
    <s v="TABLEN - Tablet - FIFA Professional Tablet + 4G"/>
    <n v="2"/>
    <n v="0"/>
    <n v="2"/>
    <n v="2"/>
    <n v="0"/>
    <n v="0"/>
    <x v="1"/>
    <x v="0"/>
    <s v="Super Club"/>
    <s v="Match Director Office"/>
    <s v="FIFA Competitions"/>
    <s v="FIFA Competitions"/>
    <m/>
  </r>
  <r>
    <s v="TVLGIP"/>
    <x v="6"/>
    <x v="4"/>
    <s v=""/>
    <s v=""/>
    <s v="Large TV - CATV Feed"/>
    <s v="TVLGIP - TV - Large - IPTV"/>
    <n v="1"/>
    <n v="1"/>
    <n v="0"/>
    <n v="1"/>
    <n v="1"/>
    <n v="0"/>
    <x v="0"/>
    <x v="0"/>
    <s v="Super Club"/>
    <s v="Match Director Office"/>
    <s v="FIFA Competitions"/>
    <s v="FIFA Competitions"/>
    <s v="Including HDMI cables"/>
  </r>
  <r>
    <s v="TVSTND"/>
    <x v="7"/>
    <x v="0"/>
    <s v=""/>
    <s v=""/>
    <s v="TV Stand for medium and large TVs"/>
    <s v="TVSTND - TV Stand - Medium &amp; Large TVs"/>
    <n v="1"/>
    <n v="0"/>
    <n v="0"/>
    <n v="1"/>
    <n v="0"/>
    <n v="0"/>
    <x v="0"/>
    <x v="0"/>
    <s v="Super Club"/>
    <s v="Match Director Office"/>
    <s v="FIFA Competitions"/>
    <s v="FIFA Competitions"/>
    <m/>
  </r>
  <r>
    <s v="IS00WF"/>
    <x v="1"/>
    <x v="1"/>
    <s v=""/>
    <s v="General Internet Access"/>
    <s v="Wireless coverage - Shared Internet Service - FIFA"/>
    <s v="IS00WF - Wireless coverage - Shared Internet Service - Wi-Fi FIFA (General Internet Access)"/>
    <n v="1"/>
    <n v="0"/>
    <n v="0"/>
    <n v="1"/>
    <n v="0"/>
    <n v="0"/>
    <x v="0"/>
    <x v="1"/>
    <s v="Competition area"/>
    <s v="Match Director Office"/>
    <s v="FIFA Competitions"/>
    <s v="FIFA Competitions"/>
    <m/>
  </r>
  <r>
    <s v="IS00WF"/>
    <x v="1"/>
    <x v="1"/>
    <s v=""/>
    <s v="General Internet Access"/>
    <s v="Wireless coverage - Shared Internet Service - FIFA"/>
    <s v="IS00WF - Wireless coverage - Shared Internet Service - Wi-Fi FIFA (General Internet Access)"/>
    <n v="1"/>
    <n v="0"/>
    <n v="0"/>
    <n v="1"/>
    <n v="0"/>
    <n v="0"/>
    <x v="0"/>
    <x v="1"/>
    <s v="Competition area"/>
    <s v="MCM Room"/>
    <s v="FIFA Competitions"/>
    <s v="FIFA Competitions"/>
    <m/>
  </r>
  <r>
    <s v="IS00WF"/>
    <x v="1"/>
    <x v="1"/>
    <s v=""/>
    <s v="General Internet Access"/>
    <s v="Wireless coverage - Shared Internet Service - FIFA"/>
    <s v="IS00WF - Wireless coverage - Shared Internet Service - Wi-Fi FIFA (General Internet Access)"/>
    <n v="1"/>
    <n v="0"/>
    <n v="0"/>
    <n v="1"/>
    <n v="0"/>
    <n v="0"/>
    <x v="0"/>
    <x v="1"/>
    <s v="Press Conference Room"/>
    <s v="Press Conference Room"/>
    <s v="FIFA Competitions"/>
    <s v="FIFA Competitions"/>
    <m/>
  </r>
  <r>
    <s v="MFDDNW"/>
    <x v="3"/>
    <x v="3"/>
    <s v=""/>
    <s v="General Internet Access"/>
    <s v="Colour Printer / Scanner (A4)"/>
    <s v="MFDDNW - MFD Desktop - Colour - A4 - Network (General Internet Access)"/>
    <n v="1"/>
    <n v="1"/>
    <n v="0"/>
    <n v="1"/>
    <n v="1"/>
    <n v="0"/>
    <x v="0"/>
    <x v="1"/>
    <s v="Competition area"/>
    <s v="Match Director Office"/>
    <s v="FIFA Competitions"/>
    <s v="FIFA Competitions"/>
    <m/>
  </r>
  <r>
    <s v="TVLGIP"/>
    <x v="6"/>
    <x v="4"/>
    <s v=""/>
    <s v=""/>
    <s v="Large TV - CATV Feed"/>
    <s v="TVLGIP - TV - Large - IPTV"/>
    <n v="1"/>
    <n v="1"/>
    <n v="0"/>
    <n v="1"/>
    <n v="1"/>
    <n v="0"/>
    <x v="0"/>
    <x v="1"/>
    <s v="Competition area"/>
    <s v="Match Director Office"/>
    <s v="FIFA Competitions"/>
    <s v="FIFA Competitions"/>
    <m/>
  </r>
  <r>
    <s v="TVLGSA"/>
    <x v="17"/>
    <x v="5"/>
    <s v=""/>
    <s v=""/>
    <s v="Large TV - Standalone"/>
    <s v="TVLGSA - TV - Large - Standalone"/>
    <n v="1"/>
    <n v="0"/>
    <n v="0"/>
    <n v="1"/>
    <n v="0"/>
    <n v="0"/>
    <x v="0"/>
    <x v="1"/>
    <s v="Competition area"/>
    <s v="MCM Room"/>
    <s v="FIFA Competitions"/>
    <s v="FIFA Competitions"/>
    <m/>
  </r>
  <r>
    <s v="TVLGSA"/>
    <x v="17"/>
    <x v="5"/>
    <s v=""/>
    <s v=""/>
    <s v="Large TV - Standalone"/>
    <s v="TVLGSA - TV - Large - Standalone"/>
    <n v="1"/>
    <n v="0"/>
    <n v="0"/>
    <n v="1"/>
    <n v="0"/>
    <n v="0"/>
    <x v="0"/>
    <x v="1"/>
    <s v="Press Conference Room"/>
    <s v="Press Conference Room"/>
    <s v="FIFA Competitions"/>
    <s v="FIFA Competitions"/>
    <s v="1 x large TV 75-85&quot; or 2 x TV placed on the side; &quot;PC needs to be ready by MD-3_x000a_group stage coordination meeting 2 days prior to the tournamnet&quot; cover 150 pax"/>
  </r>
  <r>
    <s v="TVSTND"/>
    <x v="7"/>
    <x v="0"/>
    <s v=""/>
    <s v=""/>
    <s v="TV Stand for medium and large TVs"/>
    <s v="TVSTND - TV Stand - Medium &amp; Large TVs"/>
    <n v="1"/>
    <n v="0"/>
    <n v="0"/>
    <n v="1"/>
    <n v="0"/>
    <n v="0"/>
    <x v="0"/>
    <x v="1"/>
    <s v="Competition area"/>
    <s v="Match Director Office"/>
    <s v="FIFA Competitions"/>
    <s v="FIFA Competitions"/>
    <m/>
  </r>
  <r>
    <s v="TVSTND"/>
    <x v="7"/>
    <x v="0"/>
    <s v=""/>
    <s v=""/>
    <s v="TV Stand for medium and large TVs"/>
    <s v="TVSTND - TV Stand - Medium &amp; Large TVs"/>
    <n v="1"/>
    <n v="0"/>
    <n v="0"/>
    <n v="1"/>
    <n v="0"/>
    <n v="0"/>
    <x v="0"/>
    <x v="1"/>
    <s v="Competition area"/>
    <s v="MCM Room"/>
    <s v="FIFA Competitions"/>
    <s v="FIFA Competitions"/>
    <m/>
  </r>
  <r>
    <s v="TVSTND"/>
    <x v="7"/>
    <x v="0"/>
    <s v=""/>
    <s v=""/>
    <s v="TV Stand for medium and large TVs"/>
    <s v="TVSTND - TV Stand - Medium &amp; Large TVs"/>
    <n v="1"/>
    <n v="0"/>
    <n v="0"/>
    <n v="1"/>
    <n v="0"/>
    <n v="0"/>
    <x v="0"/>
    <x v="1"/>
    <s v="Press Conference Room"/>
    <s v="Press Conference Room"/>
    <s v="FIFA Competitions"/>
    <s v="FIFA Competitions"/>
    <m/>
  </r>
  <r>
    <s v="DSKMNT"/>
    <x v="0"/>
    <x v="0"/>
    <s v=""/>
    <s v=""/>
    <s v="24&quot; PC Monitor"/>
    <s v="DSKMNT - 24&quot; Monitor - HDMI/DP"/>
    <n v="2"/>
    <n v="0"/>
    <n v="0"/>
    <n v="2"/>
    <n v="0"/>
    <n v="0"/>
    <x v="0"/>
    <x v="0"/>
    <s v="Aspire Dome - level 2"/>
    <s v="FIFA/LOC Offices"/>
    <s v="FIFA Data Management"/>
    <s v="FIFA Data Management"/>
    <m/>
  </r>
  <r>
    <s v="DSKMNT"/>
    <x v="0"/>
    <x v="0"/>
    <s v=""/>
    <s v=""/>
    <s v="24&quot; PC Monitor"/>
    <s v="DSKMNT - 24&quot; Monitor - HDMI/DP"/>
    <n v="5"/>
    <n v="0"/>
    <n v="0"/>
    <n v="3"/>
    <n v="0"/>
    <n v="0"/>
    <x v="0"/>
    <x v="0"/>
    <s v="Broadcast Compound 1"/>
    <s v="Content cabin"/>
    <s v="FIFA Digital Marketing"/>
    <s v="FIFA Digital Marketing"/>
    <m/>
  </r>
  <r>
    <s v="WRDSTU"/>
    <x v="9"/>
    <x v="1"/>
    <s v=""/>
    <s v="FIFA Technical Content"/>
    <s v="Wired Port - Content"/>
    <s v="WRDSTU - Wired Port - Content (FIFA Technical Content)"/>
    <n v="5"/>
    <n v="3"/>
    <n v="0"/>
    <n v="3"/>
    <n v="3"/>
    <n v="0"/>
    <x v="0"/>
    <x v="0"/>
    <s v="Broadcast Compound 1"/>
    <s v="Content cabin"/>
    <s v="FIFA Digital Marketing"/>
    <s v="FIFA Digital Marketing"/>
    <m/>
  </r>
  <r>
    <s v="ITSIBU"/>
    <x v="18"/>
    <x v="6"/>
    <s v=""/>
    <s v=""/>
    <s v="IT Solution - 4G Internet backup "/>
    <s v="ITSIBU - IT Solution - 4G Internet backup "/>
    <n v="10"/>
    <n v="0"/>
    <n v="10"/>
    <n v="10"/>
    <n v="0"/>
    <n v="10"/>
    <x v="0"/>
    <x v="0"/>
    <s v="Aspire Dome - level 2"/>
    <s v="FIFA/LOC Offices"/>
    <s v="FIFA Event Technology"/>
    <s v="FIFA Event Technology"/>
    <m/>
  </r>
  <r>
    <s v="LAPEVT"/>
    <x v="2"/>
    <x v="2"/>
    <s v="Single"/>
    <s v=""/>
    <s v="FIFA Laptop"/>
    <s v="LAPEVT - Laptop - FIFA Event Build"/>
    <n v="2"/>
    <n v="0"/>
    <n v="0"/>
    <n v="2"/>
    <n v="0"/>
    <n v="0"/>
    <x v="1"/>
    <x v="0"/>
    <s v="Aspire Dome - level 2"/>
    <s v="FIFA/LOC Offices"/>
    <s v="FIFA Event Technology"/>
    <s v="FIFA Event Technology"/>
    <s v="spare laptop"/>
  </r>
  <r>
    <s v="LAPPRE"/>
    <x v="14"/>
    <x v="2"/>
    <s v="Single"/>
    <s v=""/>
    <s v="FIFA Presentation Laptop"/>
    <s v="LAPPRE - Laptop - Presentation Build"/>
    <n v="4"/>
    <n v="0"/>
    <n v="0"/>
    <n v="4"/>
    <n v="0"/>
    <n v="0"/>
    <x v="1"/>
    <x v="0"/>
    <s v="Aspire Dome - level 2"/>
    <s v="FIFA/LOC Offices"/>
    <s v="FIFA Event Technology"/>
    <s v="FIFA Event Technology"/>
    <s v="spare laptop"/>
  </r>
  <r>
    <s v="PORSPE"/>
    <x v="16"/>
    <x v="0"/>
    <s v="Single"/>
    <s v=""/>
    <s v="Portable Speaker"/>
    <s v="PORSPE - Portable Speaker"/>
    <n v="2"/>
    <n v="0"/>
    <n v="0"/>
    <n v="2"/>
    <n v="0"/>
    <n v="0"/>
    <x v="1"/>
    <x v="0"/>
    <s v="Aspire Dome - level 2"/>
    <s v="FIFA/LOC Offices"/>
    <s v="FIFA Event Technology"/>
    <s v="FIFA Event Technology"/>
    <m/>
  </r>
  <r>
    <s v="SIMDAT"/>
    <x v="19"/>
    <x v="7"/>
    <s v=""/>
    <s v=""/>
    <s v="Local SIM Card - Data Only"/>
    <s v="SIMDAT - SIM - Data Only"/>
    <n v="10"/>
    <n v="0"/>
    <n v="20"/>
    <n v="20"/>
    <n v="0"/>
    <n v="20"/>
    <x v="0"/>
    <x v="0"/>
    <s v="Aspire Dome - level 2"/>
    <s v="FIFA/LOC Offices"/>
    <s v="FIFA Event Technology"/>
    <s v="FIFA Event Technology"/>
    <s v="valid between 22 Oct - 20 Dec"/>
  </r>
  <r>
    <s v="SIMDOM"/>
    <x v="20"/>
    <x v="7"/>
    <s v=""/>
    <s v=""/>
    <s v="Local SIM Card"/>
    <s v="SIMDOM - SIM - Domestic"/>
    <n v="80"/>
    <n v="0"/>
    <n v="100"/>
    <n v="100"/>
    <n v="0"/>
    <n v="100"/>
    <x v="0"/>
    <x v="0"/>
    <s v="Aspire Dome - level 2"/>
    <s v="FIFA/LOC Offices"/>
    <s v="FIFA Event Technology"/>
    <s v="FIFA Event Technology"/>
    <s v="valid between 22 Oct - 20 Dec"/>
  </r>
  <r>
    <s v="SIMINT"/>
    <x v="21"/>
    <x v="7"/>
    <s v=""/>
    <s v=""/>
    <s v="Local SIM Card + International"/>
    <s v="SIMINT - SIM - International"/>
    <n v="5"/>
    <n v="0"/>
    <n v="15"/>
    <n v="15"/>
    <n v="0"/>
    <n v="15"/>
    <x v="0"/>
    <x v="0"/>
    <s v="Aspire Dome - level 2"/>
    <s v="FIFA/LOC Offices"/>
    <s v="FIFA Event Technology"/>
    <s v="FIFA Event Technology"/>
    <s v="valid between 22 Oct - 20 Dec"/>
  </r>
  <r>
    <s v="TELMOB"/>
    <x v="22"/>
    <x v="7"/>
    <s v="Single"/>
    <s v=""/>
    <s v="Smart Phone"/>
    <s v="TELMOB - Telephone - Mobile - Smart Phone"/>
    <n v="80"/>
    <n v="0"/>
    <n v="100"/>
    <n v="100"/>
    <n v="0"/>
    <n v="0"/>
    <x v="1"/>
    <x v="0"/>
    <s v="Aspire Dome - level 2"/>
    <s v="FIFA/LOC Offices"/>
    <s v="FIFA Event Technology"/>
    <s v="FIFA Event Technology"/>
    <m/>
  </r>
  <r>
    <s v="WRDGEN"/>
    <x v="8"/>
    <x v="1"/>
    <s v=""/>
    <s v="General Internet Access"/>
    <s v="Wired Port - Internet"/>
    <s v="WRDGEN - Wired Port - General Internet  (General Internet Access)"/>
    <n v="2"/>
    <n v="2"/>
    <n v="0"/>
    <n v="2"/>
    <n v="2"/>
    <n v="0"/>
    <x v="0"/>
    <x v="0"/>
    <s v="Aspire Dome - level 2"/>
    <s v="FIFA/LOC Offices"/>
    <s v="FIFA Event Technology"/>
    <s v="FIFA Event Technology"/>
    <m/>
  </r>
  <r>
    <s v="DSKMNT"/>
    <x v="0"/>
    <x v="0"/>
    <s v=""/>
    <s v=""/>
    <s v="24&quot; PC Monitor"/>
    <s v="DSKMNT - 24&quot; Monitor - HDMI/DP"/>
    <n v="1"/>
    <n v="0"/>
    <n v="0"/>
    <n v="1"/>
    <n v="0"/>
    <n v="0"/>
    <x v="0"/>
    <x v="0"/>
    <s v="Aspire Dome - level 2"/>
    <s v="FIFA/Venue Technology Office"/>
    <s v="FIFA Event Technology"/>
    <s v="FIFA Event Technology"/>
    <m/>
  </r>
  <r>
    <s v="IS0050"/>
    <x v="23"/>
    <x v="1"/>
    <s v=""/>
    <s v=""/>
    <s v="Internet Service - 50Mbps"/>
    <s v="IS0050 - Internet Service - 50Mbps"/>
    <n v="1"/>
    <n v="1"/>
    <n v="0"/>
    <n v="1"/>
    <n v="1"/>
    <n v="0"/>
    <x v="0"/>
    <x v="0"/>
    <s v="Aspire Dome - level 2"/>
    <s v="FIFA/Venue Technology Office"/>
    <s v="FIFA Event Technology"/>
    <s v="FIFA Event Technology"/>
    <s v="static public IP"/>
  </r>
  <r>
    <s v="ITMON"/>
    <x v="24"/>
    <x v="1"/>
    <s v=""/>
    <s v="Monitoring VLAN"/>
    <s v="FIFA IT Monitoring network port"/>
    <s v="ITMON - IT Monitoring network port (Monitoring VLAN)"/>
    <n v="1"/>
    <n v="1"/>
    <n v="0"/>
    <n v="1"/>
    <n v="1"/>
    <n v="0"/>
    <x v="0"/>
    <x v="0"/>
    <s v="Aspire Dome - level 2"/>
    <s v="FIFA/Venue Technology Office"/>
    <s v="FIFA Event Technology"/>
    <s v="FIFA Event Technology"/>
    <m/>
  </r>
  <r>
    <s v="ITMON"/>
    <x v="24"/>
    <x v="1"/>
    <s v=""/>
    <s v="Monitoring VLAN"/>
    <s v="FIFA IT Monitoring network port"/>
    <s v="ITMON - IT Monitoring network port (Monitoring VLAN)"/>
    <n v="1"/>
    <n v="1"/>
    <n v="0"/>
    <n v="1"/>
    <n v="1"/>
    <n v="0"/>
    <x v="0"/>
    <x v="1"/>
    <s v="FIFA/LOC Offices"/>
    <s v="FIFA/Venue Technology Office"/>
    <s v="FIFA Event Technology"/>
    <s v="FIFA Event Technology"/>
    <m/>
  </r>
  <r>
    <s v="TVMDSA"/>
    <x v="25"/>
    <x v="4"/>
    <s v=""/>
    <s v=""/>
    <s v="Medium TV - Standalone"/>
    <s v="TVMDSA - TV - Medium - Standalone"/>
    <n v="1"/>
    <n v="0"/>
    <n v="0"/>
    <n v="1"/>
    <n v="0"/>
    <n v="0"/>
    <x v="0"/>
    <x v="0"/>
    <s v="Aspire Dome - level 2"/>
    <s v="FIFA/Venue Technology Office"/>
    <s v="FIFA Event Technology"/>
    <s v="FIFA Event Technology"/>
    <m/>
  </r>
  <r>
    <s v="TVSTND"/>
    <x v="7"/>
    <x v="0"/>
    <s v=""/>
    <s v=""/>
    <s v="TV Stand for medium and large TVs"/>
    <s v="TVSTND - TV Stand - Medium &amp; Large TVs"/>
    <n v="1"/>
    <n v="0"/>
    <n v="0"/>
    <n v="1"/>
    <n v="0"/>
    <n v="0"/>
    <x v="0"/>
    <x v="0"/>
    <s v="Aspire Dome - level 2"/>
    <s v="FIFA/Venue Technology Office"/>
    <s v="FIFA Event Technology"/>
    <s v="FIFA Event Technology"/>
    <m/>
  </r>
  <r>
    <s v="WRDGEN"/>
    <x v="8"/>
    <x v="1"/>
    <s v=""/>
    <s v="General Internet Access"/>
    <s v="Wired Port - Internet"/>
    <s v="WRDGEN - Wired Port - General Internet  (General Internet Access)"/>
    <n v="2"/>
    <n v="2"/>
    <n v="0"/>
    <n v="2"/>
    <n v="2"/>
    <n v="0"/>
    <x v="0"/>
    <x v="1"/>
    <s v="FIFA/LOC Offices"/>
    <s v="FIFA/Venue Technology Office"/>
    <s v="FIFA Event Technology"/>
    <s v="FIFA Event Technology"/>
    <m/>
  </r>
  <r>
    <s v="WRDGEN"/>
    <x v="8"/>
    <x v="1"/>
    <s v=""/>
    <s v="General Internet Access"/>
    <s v="Wired Port - Internet"/>
    <s v="WRDGEN - Wired Port - General Internet  (General Internet Access)"/>
    <n v="1"/>
    <n v="1"/>
    <n v="0"/>
    <n v="1"/>
    <n v="1"/>
    <n v="0"/>
    <x v="0"/>
    <x v="0"/>
    <s v="Aspire Dome - level 2"/>
    <s v="FIFA/Venue Technology Office"/>
    <s v="FIFA Event Technology"/>
    <s v="FIFA Event Technology"/>
    <m/>
  </r>
  <r>
    <s v="DSKMNT"/>
    <x v="0"/>
    <x v="0"/>
    <s v=""/>
    <s v=""/>
    <s v="24&quot; PC Monitor"/>
    <s v="DSKMNT - 24&quot; Monitor - HDMI/DP"/>
    <n v="2"/>
    <n v="0"/>
    <n v="0"/>
    <n v="2"/>
    <n v="0"/>
    <n v="0"/>
    <x v="0"/>
    <x v="0"/>
    <s v="Broadcast Compound 1"/>
    <s v="Content cabin"/>
    <s v="FIFA Films"/>
    <s v="FIFA Films"/>
    <m/>
  </r>
  <r>
    <s v="IS00WF"/>
    <x v="1"/>
    <x v="1"/>
    <s v=""/>
    <s v="General Internet Access"/>
    <s v="Wireless coverage - Shared Internet Service - FIFA"/>
    <s v="IS00WF - Wireless coverage - Shared Internet Service - Wi-Fi FIFA (General Internet Access)"/>
    <n v="1"/>
    <n v="0"/>
    <n v="0"/>
    <n v="1"/>
    <n v="0"/>
    <n v="0"/>
    <x v="0"/>
    <x v="0"/>
    <s v="Broadcast Compound 1"/>
    <s v="Content cabin"/>
    <s v="FIFA Films"/>
    <s v="FIFA Films"/>
    <m/>
  </r>
  <r>
    <s v="WRDSTU"/>
    <x v="9"/>
    <x v="1"/>
    <s v=""/>
    <s v="FIFA Technical Content"/>
    <s v="Wired Port - Content"/>
    <s v="WRDSTU - Wired Port - Content (FIFA Technical Content)"/>
    <n v="2"/>
    <n v="2"/>
    <n v="0"/>
    <n v="2"/>
    <n v="2"/>
    <n v="0"/>
    <x v="0"/>
    <x v="0"/>
    <s v="Broadcast Compound 1"/>
    <s v="Content cabin"/>
    <s v="FIFA Films"/>
    <s v="FIFA Films"/>
    <m/>
  </r>
  <r>
    <s v="DSK27M"/>
    <x v="26"/>
    <x v="0"/>
    <s v=""/>
    <s v=""/>
    <s v="27&quot; PC Monitor"/>
    <s v="DSK27M - 27&quot; Monitor - HDMI/DP"/>
    <n v="4"/>
    <n v="0"/>
    <n v="0"/>
    <n v="4"/>
    <n v="0"/>
    <n v="0"/>
    <x v="0"/>
    <x v="0"/>
    <s v="TSG - Main room"/>
    <s v="TSG"/>
    <s v="FIFA FTI"/>
    <s v="FIFA FTI"/>
    <m/>
  </r>
  <r>
    <s v="IS00WF"/>
    <x v="1"/>
    <x v="1"/>
    <s v=""/>
    <s v="General Internet Access"/>
    <s v="Wireless coverage - Shared Internet Service - FIFA"/>
    <s v="IS00WF - Wireless coverage - Shared Internet Service - Wi-Fi FIFA (General Internet Access)"/>
    <n v="1"/>
    <n v="0"/>
    <n v="0"/>
    <n v="1"/>
    <n v="0"/>
    <n v="0"/>
    <x v="0"/>
    <x v="0"/>
    <s v="TSG - Main room"/>
    <s v="TSG"/>
    <s v="FIFA FTI"/>
    <s v="FIFA FTI"/>
    <m/>
  </r>
  <r>
    <s v="IS00WF"/>
    <x v="1"/>
    <x v="1"/>
    <s v=""/>
    <s v="General Internet Access"/>
    <s v="Wireless coverage - Shared Internet Service - FIFA"/>
    <s v="IS00WF - Wireless coverage - Shared Internet Service - Wi-Fi FIFA (General Internet Access)"/>
    <n v="1"/>
    <n v="0"/>
    <n v="0"/>
    <n v="1"/>
    <n v="0"/>
    <n v="0"/>
    <x v="0"/>
    <x v="0"/>
    <s v="TSG - Meeting Room"/>
    <s v="TSG"/>
    <s v="FIFA FTI"/>
    <s v="FIFA FTI"/>
    <m/>
  </r>
  <r>
    <s v="IS00WF"/>
    <x v="1"/>
    <x v="1"/>
    <s v=""/>
    <s v="General Internet Access"/>
    <s v="Wireless coverage - Shared Internet Service - FIFA"/>
    <s v="IS00WF - Wireless coverage - Shared Internet Service - Wi-Fi FIFA (General Internet Access)"/>
    <n v="1"/>
    <n v="0"/>
    <n v="0"/>
    <n v="1"/>
    <n v="0"/>
    <n v="0"/>
    <x v="0"/>
    <x v="0"/>
    <s v="Broadcast Compound 1"/>
    <s v="FVS cabin 1"/>
    <s v="FIFA FTI"/>
    <s v="FIFA FTI"/>
    <m/>
  </r>
  <r>
    <s v="IS00WF"/>
    <x v="1"/>
    <x v="1"/>
    <s v=""/>
    <s v="General Internet Access"/>
    <s v="Wireless coverage - Shared Internet Service - FIFA"/>
    <s v="IS00WF - Wireless coverage - Shared Internet Service - Wi-Fi FIFA (General Internet Access)"/>
    <n v="1"/>
    <n v="0"/>
    <n v="0"/>
    <n v="1"/>
    <n v="0"/>
    <n v="0"/>
    <x v="0"/>
    <x v="0"/>
    <s v="Broadcast Compound 2"/>
    <s v="FVS cabin 2"/>
    <s v="FIFA FTI"/>
    <s v="FIFA FTI"/>
    <m/>
  </r>
  <r>
    <s v="PROJ6K"/>
    <x v="27"/>
    <x v="5"/>
    <s v=""/>
    <s v=""/>
    <s v="Office Projector - 6K"/>
    <s v="PROJ6K - Office Projector - 6K"/>
    <n v="1"/>
    <n v="0"/>
    <n v="0"/>
    <n v="1"/>
    <n v="0"/>
    <n v="0"/>
    <x v="0"/>
    <x v="0"/>
    <s v="TSG - Meeting Room"/>
    <s v="TSG"/>
    <s v="FIFA FTI"/>
    <s v="FIFA FTI"/>
    <s v="or a large TV to cover 20 pax"/>
  </r>
  <r>
    <s v="TVLGIP"/>
    <x v="6"/>
    <x v="4"/>
    <s v=""/>
    <s v=""/>
    <s v="Large TV - CATV Feed"/>
    <s v="TVLGIP - TV - Large - IPTV"/>
    <n v="4"/>
    <n v="4"/>
    <n v="0"/>
    <n v="4"/>
    <n v="4"/>
    <n v="0"/>
    <x v="0"/>
    <x v="0"/>
    <s v="TSG - Main room"/>
    <s v="TSG"/>
    <s v="FIFA FTI"/>
    <s v="FIFA FTI"/>
    <s v="if it's possible to provide video signal with different feeds from different angles"/>
  </r>
  <r>
    <s v="TVSTND"/>
    <x v="7"/>
    <x v="0"/>
    <s v=""/>
    <s v=""/>
    <s v="TV Stand for medium and large TVs"/>
    <s v="TVSTND - TV Stand - Medium &amp; Large TVs"/>
    <n v="4"/>
    <n v="0"/>
    <n v="0"/>
    <n v="4"/>
    <n v="0"/>
    <n v="0"/>
    <x v="0"/>
    <x v="0"/>
    <s v="TSG - Main room"/>
    <s v="TSG"/>
    <s v="FIFA FTI"/>
    <s v="FIFA FTI"/>
    <m/>
  </r>
  <r>
    <s v="WRDFTI"/>
    <x v="10"/>
    <x v="1"/>
    <s v=""/>
    <s v="FIFA Technical FTI"/>
    <s v="Wired Port - FTI"/>
    <s v="WRDFTI - Wired Port - FTI (FIFA Technical FTI)"/>
    <n v="7"/>
    <n v="7"/>
    <n v="0"/>
    <n v="7"/>
    <n v="7"/>
    <n v="0"/>
    <x v="0"/>
    <x v="0"/>
    <s v="Broadcast Compound 1"/>
    <s v="FTI cabin BC1"/>
    <s v="FIFA FTI"/>
    <s v="FIFA FTI"/>
    <s v="BC 1 Aspire"/>
  </r>
  <r>
    <s v="WRDFTI"/>
    <x v="10"/>
    <x v="1"/>
    <s v=""/>
    <s v="FIFA Technical FTI"/>
    <s v="Wired Port - FTI"/>
    <s v="WRDFTI - Wired Port - FTI (FIFA Technical FTI)"/>
    <n v="7"/>
    <n v="4"/>
    <n v="0"/>
    <n v="4"/>
    <n v="4"/>
    <n v="0"/>
    <x v="0"/>
    <x v="0"/>
    <s v="Broadcast Compound 2"/>
    <s v="FTI cabin BC2"/>
    <s v="FIFA FTI"/>
    <s v="FIFA FTI"/>
    <s v="BC 2 Aspire"/>
  </r>
  <r>
    <s v="WRDFTI"/>
    <x v="10"/>
    <x v="1"/>
    <s v=""/>
    <s v="FIFA Technical FTI"/>
    <s v="Wired Port - FTI"/>
    <s v="WRDFTI - Wired Port - FTI (FIFA Technical FTI)"/>
    <n v="2"/>
    <n v="2"/>
    <n v="0"/>
    <n v="2"/>
    <n v="2"/>
    <n v="0"/>
    <x v="0"/>
    <x v="0"/>
    <s v="Broadcast Compound 1"/>
    <s v="FVS cabin 2"/>
    <s v="FIFA FTI"/>
    <s v="FIFA FTI"/>
    <m/>
  </r>
  <r>
    <s v="WRDFTI"/>
    <x v="10"/>
    <x v="1"/>
    <s v=""/>
    <s v="FIFA Technical FTI"/>
    <s v="Wired Port - FTI"/>
    <s v="WRDFTI - Wired Port - FTI (FIFA Technical FTI)"/>
    <n v="6"/>
    <n v="6"/>
    <n v="0"/>
    <n v="6"/>
    <n v="6"/>
    <n v="0"/>
    <x v="0"/>
    <x v="0"/>
    <s v="Broadcast Compound 2"/>
    <s v="FVS cabin 1"/>
    <s v="FIFA FTI"/>
    <s v="FIFA FTI"/>
    <m/>
  </r>
  <r>
    <s v="WRDTSG"/>
    <x v="28"/>
    <x v="1"/>
    <s v=""/>
    <s v="FIFA Technical TSG"/>
    <s v="Wired Port - TSG"/>
    <s v="WRDTSG - Wired Port - TSG (FIFA Technical TSG)"/>
    <n v="1"/>
    <n v="1"/>
    <n v="0"/>
    <n v="1"/>
    <n v="1"/>
    <n v="0"/>
    <x v="0"/>
    <x v="0"/>
    <s v="TSG - Main room"/>
    <s v="TSG"/>
    <s v="FIFA FTI"/>
    <s v="FIFA FTI"/>
    <s v="Internet speed 200Mb"/>
  </r>
  <r>
    <s v="IS00WF"/>
    <x v="1"/>
    <x v="1"/>
    <s v=""/>
    <s v="General Internet Access"/>
    <s v="Wireless coverage - Shared Internet Service - FIFA"/>
    <s v="IS00WF - Wireless coverage - Shared Internet Service - Wi-Fi FIFA (General Internet Access)"/>
    <n v="1"/>
    <n v="0"/>
    <n v="0"/>
    <n v="1"/>
    <n v="0"/>
    <n v="0"/>
    <x v="0"/>
    <x v="1"/>
    <s v="Broadcast Compound"/>
    <s v="FVS Cabin"/>
    <s v="FIFA FTI"/>
    <s v="FIFA FTI"/>
    <s v="at BC in the stdium"/>
  </r>
  <r>
    <s v="WRDFTI"/>
    <x v="10"/>
    <x v="1"/>
    <s v=""/>
    <s v="FIFA Technical FTI"/>
    <s v="Wired Port - FTI"/>
    <s v="WRDFTI - Wired Port - FTI (FIFA Technical FTI)"/>
    <n v="2"/>
    <n v="2"/>
    <n v="0"/>
    <n v="2"/>
    <n v="2"/>
    <n v="0"/>
    <x v="0"/>
    <x v="1"/>
    <s v="Broadcast Compound"/>
    <s v="FTI equipment cabin"/>
    <s v="FIFA FTI"/>
    <s v="FIFA FTI"/>
    <s v="at BC in the stdium (2 x 50Mb)"/>
  </r>
  <r>
    <s v="WRDFTI"/>
    <x v="10"/>
    <x v="1"/>
    <s v=""/>
    <s v="FIFA Technical FTI"/>
    <s v="Wired Port - FTI"/>
    <s v="WRDFTI - Wired Port - FTI (FIFA Technical FTI)"/>
    <n v="1"/>
    <n v="1"/>
    <n v="0"/>
    <n v="1"/>
    <n v="1"/>
    <n v="0"/>
    <x v="0"/>
    <x v="1"/>
    <s v="Broadcast Compound"/>
    <s v="FTI equipment cabin"/>
    <s v="FIFA FTI"/>
    <s v="FIFA FTI"/>
    <s v="at BC in the stdium (100 Mb)"/>
  </r>
  <r>
    <s v="WRDFTI"/>
    <x v="10"/>
    <x v="1"/>
    <s v=""/>
    <s v="FIFA Technical FTI"/>
    <s v="Wired Port - FTI"/>
    <s v="WRDFTI - Wired Port - FTI (FIFA Technical FTI)"/>
    <n v="1"/>
    <n v="1"/>
    <n v="0"/>
    <n v="1"/>
    <n v="1"/>
    <n v="0"/>
    <x v="0"/>
    <x v="1"/>
    <s v="Broadcast Compound"/>
    <s v="FVS Cabin"/>
    <s v="FIFA FTI"/>
    <s v="FIFA FTI"/>
    <s v="at BC in the stdium"/>
  </r>
  <r>
    <s v="WRDTSG"/>
    <x v="28"/>
    <x v="1"/>
    <s v=""/>
    <s v="FIFA Technical TSG"/>
    <s v="Wired Port - TSG"/>
    <s v="WRDTSG - Wired Port - TSG (FIFA Technical TSG)"/>
    <n v="8"/>
    <n v="8"/>
    <n v="0"/>
    <n v="8"/>
    <n v="8"/>
    <n v="0"/>
    <x v="0"/>
    <x v="1"/>
    <s v="Media Tribunes"/>
    <s v="TSG"/>
    <s v="FIFA FTI"/>
    <s v="FIFA FTI"/>
    <s v="Location TBC: MT"/>
  </r>
  <r>
    <s v="IS00VP"/>
    <x v="29"/>
    <x v="1"/>
    <s v=""/>
    <s v="General Internet Access"/>
    <s v="Wireless coverage - Shared Internet Service - VIP"/>
    <s v="IS00VP - Wireless coverage - Shared Internet Service - Wi-Fi VIP (General Internet Access)"/>
    <n v="1"/>
    <n v="0"/>
    <n v="0"/>
    <n v="1"/>
    <n v="0"/>
    <n v="0"/>
    <x v="0"/>
    <x v="0"/>
    <s v="Super Club"/>
    <s v="VIP Lounge"/>
    <s v="FIFA Guest Operations"/>
    <s v="FIFA Guest Operations"/>
    <m/>
  </r>
  <r>
    <s v="IS00WF"/>
    <x v="1"/>
    <x v="1"/>
    <s v=""/>
    <s v="General Internet Access"/>
    <s v="Wireless coverage - Shared Internet Service - FIFA"/>
    <s v="IS00WF - Wireless coverage - Shared Internet Service - Wi-Fi FIFA (General Internet Access)"/>
    <n v="1"/>
    <n v="0"/>
    <n v="0"/>
    <n v="1"/>
    <n v="0"/>
    <n v="0"/>
    <x v="0"/>
    <x v="0"/>
    <s v="Super Club"/>
    <s v="Protocol Office"/>
    <s v="FIFA Guest Operations"/>
    <s v="FIFA Guest Operations"/>
    <m/>
  </r>
  <r>
    <s v="MFDDNW"/>
    <x v="3"/>
    <x v="3"/>
    <s v=""/>
    <s v="General Internet Access"/>
    <s v="Colour Printer / Scanner (A4)"/>
    <s v="MFDDNW - MFD Desktop - Colour - A4 - Network (General Internet Access)"/>
    <n v="1"/>
    <n v="1"/>
    <n v="0"/>
    <n v="1"/>
    <n v="1"/>
    <n v="0"/>
    <x v="0"/>
    <x v="0"/>
    <s v="Super Club"/>
    <s v="Protocol Office"/>
    <s v="FIFA Guest Operations"/>
    <s v="FIFA Guest Operations"/>
    <m/>
  </r>
  <r>
    <s v="TVLGIP"/>
    <x v="6"/>
    <x v="4"/>
    <s v=""/>
    <s v=""/>
    <s v="Large TV - CATV Feed"/>
    <s v="TVLGIP - TV - Large - IPTV"/>
    <n v="4"/>
    <n v="4"/>
    <n v="0"/>
    <n v="4"/>
    <n v="4"/>
    <n v="0"/>
    <x v="0"/>
    <x v="0"/>
    <s v="Super Club"/>
    <s v="VIP Lounge"/>
    <s v="FIFA Guest Operations"/>
    <s v="FIFA Guest Operations"/>
    <m/>
  </r>
  <r>
    <s v="TVSTND"/>
    <x v="7"/>
    <x v="0"/>
    <s v=""/>
    <s v=""/>
    <s v="TV Stand for medium and large TVs"/>
    <s v="TVSTND - TV Stand - Medium &amp; Large TVs"/>
    <n v="4"/>
    <n v="0"/>
    <n v="0"/>
    <n v="4"/>
    <n v="0"/>
    <n v="0"/>
    <x v="0"/>
    <x v="0"/>
    <s v="Super Club"/>
    <s v="VIP Lounge"/>
    <s v="FIFA Guest Operations"/>
    <s v="FIFA Guest Operations"/>
    <m/>
  </r>
  <r>
    <s v="IS00VP"/>
    <x v="29"/>
    <x v="1"/>
    <s v=""/>
    <s v="General Internet Access"/>
    <s v="Wireless coverage - Shared Internet Service - VIP"/>
    <s v="IS00VP - Wireless coverage - Shared Internet Service - Wi-Fi VIP (General Internet Access)"/>
    <n v="1"/>
    <n v="0"/>
    <n v="0"/>
    <n v="1"/>
    <n v="0"/>
    <n v="0"/>
    <x v="0"/>
    <x v="1"/>
    <s v="VIP area"/>
    <s v="VIP Lounge"/>
    <s v="FIFA Guest Operations"/>
    <s v="FIFA Guest Operations"/>
    <m/>
  </r>
  <r>
    <s v="IS00WF"/>
    <x v="1"/>
    <x v="1"/>
    <s v=""/>
    <s v="General Internet Access"/>
    <s v="Wireless coverage - Shared Internet Service - FIFA"/>
    <s v="IS00WF - Wireless coverage - Shared Internet Service - Wi-Fi FIFA (General Internet Access)"/>
    <n v="1"/>
    <n v="0"/>
    <n v="0"/>
    <n v="1"/>
    <n v="0"/>
    <n v="0"/>
    <x v="0"/>
    <x v="1"/>
    <s v="VIP area"/>
    <s v="Protocol Office"/>
    <s v="FIFA Guest Operations"/>
    <s v="FIFA Guest Operations"/>
    <m/>
  </r>
  <r>
    <s v="MFDDNW"/>
    <x v="3"/>
    <x v="3"/>
    <s v=""/>
    <s v="General Internet Access"/>
    <s v="Colour Printer / Scanner (A4)"/>
    <s v="MFDDNW - MFD Desktop - Colour - A4 - Network (General Internet Access)"/>
    <n v="1"/>
    <n v="1"/>
    <n v="0"/>
    <n v="1"/>
    <n v="1"/>
    <n v="0"/>
    <x v="0"/>
    <x v="1"/>
    <s v="VIP area"/>
    <s v="Protocol Office"/>
    <s v="FIFA Guest Operations"/>
    <s v="FIFA Guest Operations"/>
    <m/>
  </r>
  <r>
    <s v="TVLGIP"/>
    <x v="6"/>
    <x v="4"/>
    <s v=""/>
    <s v=""/>
    <s v="Large TV - CATV Feed"/>
    <s v="TVLGIP - TV - Large - IPTV"/>
    <n v="2"/>
    <n v="2"/>
    <n v="0"/>
    <n v="2"/>
    <n v="2"/>
    <n v="0"/>
    <x v="0"/>
    <x v="1"/>
    <s v="VIP area"/>
    <s v="VIP Lounge"/>
    <s v="FIFA Guest Operations"/>
    <s v="FIFA Guest Operations"/>
    <m/>
  </r>
  <r>
    <s v="TVSTND"/>
    <x v="7"/>
    <x v="0"/>
    <s v=""/>
    <s v=""/>
    <s v="TV Stand for medium and large TVs"/>
    <s v="TVSTND - TV Stand - Medium &amp; Large TVs"/>
    <n v="2"/>
    <n v="0"/>
    <n v="0"/>
    <n v="2"/>
    <n v="0"/>
    <n v="0"/>
    <x v="0"/>
    <x v="1"/>
    <s v="VIP area"/>
    <s v="VIP Lounge"/>
    <s v="FIFA Guest Operations"/>
    <s v="FIFA Guest Operations"/>
    <m/>
  </r>
  <r>
    <s v="CABLOK"/>
    <x v="13"/>
    <x v="0"/>
    <s v="Multi"/>
    <s v=""/>
    <s v="Laptop Cable Lock"/>
    <s v="CABLOK - Laptop Cable Lock"/>
    <n v="1"/>
    <n v="0"/>
    <n v="0"/>
    <n v="1"/>
    <n v="0"/>
    <n v="0"/>
    <x v="1"/>
    <x v="0"/>
    <s v="Stadium Media Centre"/>
    <s v="SMC/MEO/WD/Mixed Zone"/>
    <s v="FIFA Media"/>
    <s v="FIFA Media"/>
    <m/>
  </r>
  <r>
    <s v="IS00WM"/>
    <x v="11"/>
    <x v="1"/>
    <s v=""/>
    <s v="Media Internet Access"/>
    <s v="Wireless coverage - Internet Service - Media"/>
    <s v="IS00WM - Wireless coverage - Internet Service - Wi-Fi Media (Media Internet Access)"/>
    <n v="1"/>
    <n v="0"/>
    <n v="0"/>
    <n v="1"/>
    <n v="0"/>
    <n v="0"/>
    <x v="0"/>
    <x v="0"/>
    <s v="Stadium Media Centre"/>
    <s v="SMC/MEO/WD/Mixed Zone"/>
    <s v="FIFA Media"/>
    <s v="FIFA Media"/>
    <s v="for 100pax"/>
  </r>
  <r>
    <s v="IS00WM"/>
    <x v="11"/>
    <x v="1"/>
    <s v=""/>
    <s v="Media Internet Access"/>
    <s v="Wireless coverage - Internet Service - Media"/>
    <s v="IS00WM - Wireless coverage - Internet Service - Wi-Fi Media (Media Internet Access)"/>
    <n v="1"/>
    <n v="0"/>
    <n v="0"/>
    <n v="1"/>
    <n v="0"/>
    <n v="0"/>
    <x v="0"/>
    <x v="0"/>
    <s v="Media Tribunes"/>
    <s v="Media Tribune"/>
    <s v="FIFA Media"/>
    <s v="FIFA Media"/>
    <s v="Local Press"/>
  </r>
  <r>
    <s v="IS00WM"/>
    <x v="11"/>
    <x v="1"/>
    <s v=""/>
    <s v="Media Internet Access"/>
    <s v="Wireless coverage - Internet Service - Media"/>
    <s v="IS00WM - Wireless coverage - Internet Service - Wi-Fi Media (Media Internet Access)"/>
    <n v="1"/>
    <n v="0"/>
    <n v="0"/>
    <n v="1"/>
    <n v="0"/>
    <n v="0"/>
    <x v="0"/>
    <x v="0"/>
    <s v="Field of Play"/>
    <s v="Behind goal remote left"/>
    <s v="FIFA Media"/>
    <s v="FIFA Media"/>
    <m/>
  </r>
  <r>
    <s v="IS00WM"/>
    <x v="11"/>
    <x v="1"/>
    <s v=""/>
    <s v="Media Internet Access"/>
    <s v="Wireless coverage - Internet Service - Media"/>
    <s v="IS00WM - Wireless coverage - Internet Service - Wi-Fi Media (Media Internet Access)"/>
    <n v="1"/>
    <n v="0"/>
    <n v="0"/>
    <n v="1"/>
    <n v="0"/>
    <n v="0"/>
    <x v="0"/>
    <x v="0"/>
    <s v="Field of Play"/>
    <s v="Behind goal remote right"/>
    <s v="FIFA Media"/>
    <s v="FIFA Media"/>
    <m/>
  </r>
  <r>
    <s v="IS00WM"/>
    <x v="11"/>
    <x v="1"/>
    <s v=""/>
    <s v="Media Internet Access"/>
    <s v="Wireless coverage - Internet Service - Media"/>
    <s v="IS00WM - Wireless coverage - Internet Service - Wi-Fi Media (Media Internet Access)"/>
    <n v="1"/>
    <n v="0"/>
    <n v="0"/>
    <n v="1"/>
    <n v="0"/>
    <n v="0"/>
    <x v="0"/>
    <x v="0"/>
    <s v="Pitch 1"/>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x v="0"/>
    <s v="Pitch 1"/>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x v="0"/>
    <s v="Pitch 2"/>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x v="0"/>
    <s v="Pitch 2"/>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x v="0"/>
    <s v="Pitch 3"/>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x v="0"/>
    <s v="Pitch 3"/>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x v="0"/>
    <s v="Pitch 4"/>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x v="0"/>
    <s v="Pitch 4"/>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x v="0"/>
    <s v="Pitch 5"/>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x v="0"/>
    <s v="Pitch 5"/>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x v="0"/>
    <s v="Pitch 7"/>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x v="0"/>
    <s v="Pitch 7"/>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x v="0"/>
    <s v="Pitch 8"/>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x v="0"/>
    <s v="Pitch 8"/>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x v="0"/>
    <s v="Pitch 9"/>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x v="0"/>
    <s v="Pitch 9"/>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x v="0"/>
    <s v="Field of Play"/>
    <s v="Photographers Positions - Left side"/>
    <s v="FIFA Media"/>
    <s v="FIFA Media"/>
    <m/>
  </r>
  <r>
    <s v="IS00WM"/>
    <x v="11"/>
    <x v="1"/>
    <s v=""/>
    <s v="Media Internet Access"/>
    <s v="Wireless coverage - Internet Service - Media"/>
    <s v="IS00WM - Wireless coverage - Internet Service - Wi-Fi Media (Media Internet Access)"/>
    <n v="1"/>
    <n v="0"/>
    <n v="0"/>
    <n v="1"/>
    <n v="0"/>
    <n v="0"/>
    <x v="0"/>
    <x v="0"/>
    <s v="Field of Play"/>
    <s v="Photographers Positions - Right side"/>
    <s v="FIFA Media"/>
    <s v="FIFA Media"/>
    <m/>
  </r>
  <r>
    <s v="LAPEVT"/>
    <x v="2"/>
    <x v="2"/>
    <s v="Single"/>
    <s v=""/>
    <s v="FIFA Laptop"/>
    <s v="LAPEVT - Laptop - FIFA Event Build"/>
    <n v="1"/>
    <n v="0"/>
    <n v="0"/>
    <n v="1"/>
    <n v="0"/>
    <n v="0"/>
    <x v="1"/>
    <x v="0"/>
    <s v="Stadium Media Centre"/>
    <s v="SMC/MEO/WD/Mixed Zone"/>
    <s v="FIFA Media"/>
    <s v="FIFA Media"/>
    <m/>
  </r>
  <r>
    <s v="TVLGIP"/>
    <x v="6"/>
    <x v="4"/>
    <s v=""/>
    <s v=""/>
    <s v="Large TV - CATV Feed"/>
    <s v="TVLGIP - TV - Large - IPTV"/>
    <n v="2"/>
    <n v="2"/>
    <n v="0"/>
    <n v="2"/>
    <n v="2"/>
    <n v="0"/>
    <x v="0"/>
    <x v="0"/>
    <s v="Stadium Media Centre"/>
    <s v="SMC/MEO/WD/Mixed Zone"/>
    <s v="FIFA Media"/>
    <s v="FIFA Media"/>
    <m/>
  </r>
  <r>
    <s v="TVSTND"/>
    <x v="7"/>
    <x v="0"/>
    <s v=""/>
    <s v=""/>
    <s v="TV Stand for medium and large TVs"/>
    <s v="TVSTND - TV Stand - Medium &amp; Large TVs"/>
    <n v="2"/>
    <n v="0"/>
    <n v="0"/>
    <n v="2"/>
    <n v="0"/>
    <n v="0"/>
    <x v="0"/>
    <x v="0"/>
    <s v="Stadium Media Centre"/>
    <s v="SMC/MEO/WD/Mixed Zone"/>
    <s v="FIFA Media"/>
    <s v="FIFA Media"/>
    <m/>
  </r>
  <r>
    <s v="WRDMED"/>
    <x v="5"/>
    <x v="1"/>
    <s v=""/>
    <s v="Media Internet Access Media"/>
    <s v="Wired Port - Internet for Media"/>
    <s v="WRDMED - Wired Port - Media Internet (Media Internet Access Media)"/>
    <n v="5"/>
    <n v="5"/>
    <n v="0"/>
    <n v="5"/>
    <n v="5"/>
    <n v="0"/>
    <x v="0"/>
    <x v="0"/>
    <s v="Stadium Media Centre"/>
    <s v="SMC/MEO/WD/Mixed Zone"/>
    <s v="FIFA Media"/>
    <s v="FIFA Media"/>
    <m/>
  </r>
  <r>
    <s v="AUDUSB"/>
    <x v="30"/>
    <x v="8"/>
    <s v=""/>
    <s v=""/>
    <s v="Audio transformer SDI to USB"/>
    <s v="AUDUSB - Audio transformer SDI to USB"/>
    <n v="1"/>
    <n v="0"/>
    <n v="0"/>
    <n v="1"/>
    <n v="0"/>
    <n v="0"/>
    <x v="1"/>
    <x v="1"/>
    <s v="Press Conference Room"/>
    <s v="Press Conference Room"/>
    <s v="FIFA Media"/>
    <s v="FIFA Media"/>
    <m/>
  </r>
  <r>
    <s v="CABLOK"/>
    <x v="13"/>
    <x v="0"/>
    <s v="Multi"/>
    <s v=""/>
    <s v="Laptop Cable Lock"/>
    <s v="CABLOK - Laptop Cable Lock"/>
    <n v="1"/>
    <n v="0"/>
    <n v="0"/>
    <n v="1"/>
    <n v="0"/>
    <n v="0"/>
    <x v="1"/>
    <x v="1"/>
    <s v="Stadium Media Centre"/>
    <s v="Media Information / Welcome Desk"/>
    <s v="FIFA Media"/>
    <s v="FIFA Media"/>
    <m/>
  </r>
  <r>
    <s v="CABLOK"/>
    <x v="13"/>
    <x v="0"/>
    <s v="Multi"/>
    <s v=""/>
    <s v="Laptop Cable Lock"/>
    <s v="CABLOK - Laptop Cable Lock"/>
    <n v="2"/>
    <n v="0"/>
    <n v="0"/>
    <n v="2"/>
    <n v="0"/>
    <n v="0"/>
    <x v="1"/>
    <x v="1"/>
    <s v="Press Conference Room"/>
    <s v="Press Conference Room"/>
    <s v="FIFA Media"/>
    <s v="FIFA Media"/>
    <m/>
  </r>
  <r>
    <s v="CAM001"/>
    <x v="31"/>
    <x v="0"/>
    <s v="Multi"/>
    <s v=""/>
    <s v="Webcam"/>
    <s v="CAM001 - Webcam"/>
    <n v="1"/>
    <n v="0"/>
    <n v="0"/>
    <n v="1"/>
    <n v="0"/>
    <n v="0"/>
    <x v="1"/>
    <x v="1"/>
    <s v="Press Conference Room"/>
    <s v="Press Conference Room"/>
    <s v="FIFA Media"/>
    <s v="FIFA Media"/>
    <s v="4K"/>
  </r>
  <r>
    <s v="IS00WM"/>
    <x v="11"/>
    <x v="1"/>
    <s v=""/>
    <s v="Media Internet Access"/>
    <s v="Wireless coverage - Internet Service - Media"/>
    <s v="IS00WM - Wireless coverage - Internet Service - Wi-Fi Media (Media Internet Access)"/>
    <n v="1"/>
    <n v="0"/>
    <n v="0"/>
    <n v="1"/>
    <n v="0"/>
    <n v="0"/>
    <x v="0"/>
    <x v="1"/>
    <s v="Stadium Media Centre"/>
    <s v="MEO office"/>
    <s v="FIFA Media"/>
    <s v="FIFA Media"/>
    <m/>
  </r>
  <r>
    <s v="IS00WM"/>
    <x v="11"/>
    <x v="1"/>
    <s v=""/>
    <s v="Media Internet Access"/>
    <s v="Wireless coverage - Internet Service - Media"/>
    <s v="IS00WM - Wireless coverage - Internet Service - Wi-Fi Media (Media Internet Access)"/>
    <n v="1"/>
    <n v="0"/>
    <n v="0"/>
    <n v="1"/>
    <n v="0"/>
    <n v="0"/>
    <x v="0"/>
    <x v="1"/>
    <s v="Mixed Zone"/>
    <s v="Mixed Zone"/>
    <s v="FIFA Media"/>
    <s v="FIFA Media"/>
    <m/>
  </r>
  <r>
    <s v="IS00WM"/>
    <x v="11"/>
    <x v="1"/>
    <s v=""/>
    <s v="Media Internet Access"/>
    <s v="Wireless coverage - Internet Service - Media"/>
    <s v="IS00WM - Wireless coverage - Internet Service - Wi-Fi Media (Media Internet Access)"/>
    <n v="1"/>
    <n v="0"/>
    <n v="0"/>
    <n v="1"/>
    <n v="0"/>
    <n v="0"/>
    <x v="0"/>
    <x v="1"/>
    <s v="Stadium Media Centre"/>
    <s v="Stadium Media Centre"/>
    <s v="FIFA Media"/>
    <s v="FIFA Media"/>
    <m/>
  </r>
  <r>
    <s v="IS00WM"/>
    <x v="11"/>
    <x v="1"/>
    <s v=""/>
    <s v="Media Internet Access"/>
    <s v="Wireless coverage - Internet Service - Media"/>
    <s v="IS00WM - Wireless coverage - Internet Service - Wi-Fi Media (Media Internet Access)"/>
    <n v="1"/>
    <n v="0"/>
    <n v="0"/>
    <n v="1"/>
    <n v="0"/>
    <n v="0"/>
    <x v="0"/>
    <x v="1"/>
    <s v="Media Tribunes"/>
    <s v="Media Tribune"/>
    <s v="FIFA Media"/>
    <s v="FIFA Media"/>
    <s v="Local Press+International TBC / for 60pax"/>
  </r>
  <r>
    <s v="IS00WM"/>
    <x v="11"/>
    <x v="1"/>
    <s v=""/>
    <s v="Media Internet Access"/>
    <s v="Wireless coverage - Internet Service - Media"/>
    <s v="IS00WM - Wireless coverage - Internet Service - Wi-Fi Media (Media Internet Access)"/>
    <n v="1"/>
    <n v="0"/>
    <n v="0"/>
    <n v="1"/>
    <n v="0"/>
    <n v="0"/>
    <x v="0"/>
    <x v="1"/>
    <s v="Stadium Media Centre"/>
    <s v="Media Information / Welcome Desk"/>
    <s v="FIFA Media"/>
    <s v="FIFA Media"/>
    <m/>
  </r>
  <r>
    <s v="IS00WM"/>
    <x v="11"/>
    <x v="1"/>
    <s v=""/>
    <s v="Media Internet Access"/>
    <s v="Wireless coverage - Internet Service - Media"/>
    <s v="IS00WM - Wireless coverage - Internet Service - Wi-Fi Media (Media Internet Access)"/>
    <n v="1"/>
    <n v="0"/>
    <n v="0"/>
    <n v="1"/>
    <n v="0"/>
    <n v="0"/>
    <x v="0"/>
    <x v="1"/>
    <s v="Pitch"/>
    <s v="Behind goal remote left"/>
    <s v="FIFA Media"/>
    <s v="FIFA Media"/>
    <m/>
  </r>
  <r>
    <s v="IS00WM"/>
    <x v="11"/>
    <x v="1"/>
    <s v=""/>
    <s v="Media Internet Access"/>
    <s v="Wireless coverage - Internet Service - Media"/>
    <s v="IS00WM - Wireless coverage - Internet Service - Wi-Fi Media (Media Internet Access)"/>
    <n v="1"/>
    <n v="0"/>
    <n v="0"/>
    <n v="1"/>
    <n v="0"/>
    <n v="0"/>
    <x v="0"/>
    <x v="1"/>
    <s v="Pitch"/>
    <s v="Behind goal remote right"/>
    <s v="FIFA Media"/>
    <s v="FIFA Media"/>
    <m/>
  </r>
  <r>
    <s v="IS00WM"/>
    <x v="11"/>
    <x v="1"/>
    <s v=""/>
    <s v="Media Internet Access"/>
    <s v="Wireless coverage - Internet Service - Media"/>
    <s v="IS00WM - Wireless coverage - Internet Service - Wi-Fi Media (Media Internet Access)"/>
    <n v="1"/>
    <n v="0"/>
    <n v="0"/>
    <n v="1"/>
    <n v="0"/>
    <n v="0"/>
    <x v="0"/>
    <x v="1"/>
    <s v="Pitch"/>
    <s v="Photographers Positions - Right side"/>
    <s v="FIFA Media"/>
    <s v="FIFA Media"/>
    <m/>
  </r>
  <r>
    <s v="IS00WM"/>
    <x v="11"/>
    <x v="1"/>
    <s v=""/>
    <s v="Media Internet Access"/>
    <s v="Wireless coverage - Internet Service - Media"/>
    <s v="IS00WM - Wireless coverage - Internet Service - Wi-Fi Media (Media Internet Access)"/>
    <n v="1"/>
    <n v="0"/>
    <n v="0"/>
    <n v="1"/>
    <n v="0"/>
    <n v="0"/>
    <x v="0"/>
    <x v="1"/>
    <s v="Pitch"/>
    <s v="Photographers Positions - Left side"/>
    <s v="FIFA Media"/>
    <s v="FIFA Media"/>
    <m/>
  </r>
  <r>
    <s v="IS00WM"/>
    <x v="11"/>
    <x v="1"/>
    <s v=""/>
    <s v="Media Internet Access"/>
    <s v="Wireless coverage - Internet Service - Media"/>
    <s v="IS00WM - Wireless coverage - Internet Service - Wi-Fi Media (Media Internet Access)"/>
    <n v="1"/>
    <n v="0"/>
    <n v="0"/>
    <n v="1"/>
    <n v="0"/>
    <n v="0"/>
    <x v="0"/>
    <x v="1"/>
    <s v="Pitch"/>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x v="1"/>
    <s v="Pitch"/>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x v="1"/>
    <s v="Press Conference Room"/>
    <s v="Press Conference Room"/>
    <s v="FIFA Media"/>
    <s v="FIFA Media"/>
    <m/>
  </r>
  <r>
    <s v="LAPEVT"/>
    <x v="2"/>
    <x v="2"/>
    <s v="Single"/>
    <s v=""/>
    <s v="FIFA Laptop"/>
    <s v="LAPEVT - Laptop - FIFA Event Build"/>
    <n v="1"/>
    <n v="0"/>
    <n v="0"/>
    <n v="1"/>
    <n v="0"/>
    <n v="0"/>
    <x v="1"/>
    <x v="1"/>
    <s v="Stadium Media Centre"/>
    <s v="Media Information / Welcome Desk"/>
    <s v="FIFA Media"/>
    <s v="FIFA Media"/>
    <m/>
  </r>
  <r>
    <s v="LAPEVT"/>
    <x v="2"/>
    <x v="2"/>
    <s v="Single"/>
    <s v=""/>
    <s v="FIFA Laptop"/>
    <s v="LAPEVT - Laptop - FIFA Event Build"/>
    <n v="2"/>
    <n v="0"/>
    <n v="0"/>
    <n v="2"/>
    <n v="0"/>
    <n v="0"/>
    <x v="1"/>
    <x v="1"/>
    <s v="Press Conference Room"/>
    <s v="Press Conference Room"/>
    <s v="FIFA Media"/>
    <s v="FIFA Media"/>
    <m/>
  </r>
  <r>
    <s v="TELMOB"/>
    <x v="22"/>
    <x v="7"/>
    <s v="Single"/>
    <s v=""/>
    <s v="Smart Phone"/>
    <s v="TELMOB - Telephone - Mobile - Smart Phone"/>
    <n v="6"/>
    <n v="0"/>
    <n v="6"/>
    <n v="6"/>
    <n v="0"/>
    <n v="6"/>
    <x v="1"/>
    <x v="1"/>
    <s v="Press Conference Room"/>
    <s v="Press Conference Room"/>
    <s v="FIFA Media"/>
    <s v="FIFA Media"/>
    <m/>
  </r>
  <r>
    <s v="SIMDAT"/>
    <x v="19"/>
    <x v="7"/>
    <s v=""/>
    <s v=""/>
    <s v="Local SIM Card - Data Only"/>
    <s v="SIMDAT - SIM - Data Only"/>
    <n v="6"/>
    <n v="0"/>
    <n v="6"/>
    <n v="6"/>
    <n v="0"/>
    <n v="6"/>
    <x v="0"/>
    <x v="1"/>
    <s v="Press Conference Room"/>
    <s v="Press Conference Room"/>
    <s v="FIFA Media"/>
    <s v="FIFA Media"/>
    <m/>
  </r>
  <r>
    <s v="TVLGIP"/>
    <x v="6"/>
    <x v="4"/>
    <s v=""/>
    <s v=""/>
    <s v="Large TV - CATV Feed"/>
    <s v="TVLGIP - TV - Large - IPTV"/>
    <n v="1"/>
    <n v="1"/>
    <n v="0"/>
    <n v="1"/>
    <n v="1"/>
    <n v="0"/>
    <x v="0"/>
    <x v="1"/>
    <s v="Mixed Zone"/>
    <s v="Mixed Zone"/>
    <s v="FIFA Media"/>
    <s v="FIFA Media"/>
    <m/>
  </r>
  <r>
    <s v="TVLGIP"/>
    <x v="6"/>
    <x v="4"/>
    <s v=""/>
    <s v=""/>
    <s v="Large TV - CATV Feed"/>
    <s v="TVLGIP - TV - Large - IPTV"/>
    <n v="1"/>
    <n v="1"/>
    <n v="0"/>
    <n v="1"/>
    <n v="1"/>
    <n v="0"/>
    <x v="0"/>
    <x v="1"/>
    <s v="Stadium Media Centre"/>
    <s v="Stadium Media Centre"/>
    <s v="FIFA Media"/>
    <s v="FIFA Media"/>
    <m/>
  </r>
  <r>
    <s v="TVSTND"/>
    <x v="7"/>
    <x v="0"/>
    <s v=""/>
    <s v=""/>
    <s v="TV Stand for medium and large TVs"/>
    <s v="TVSTND - TV Stand - Medium &amp; Large TVs"/>
    <n v="1"/>
    <n v="0"/>
    <n v="0"/>
    <n v="1"/>
    <n v="0"/>
    <n v="0"/>
    <x v="0"/>
    <x v="1"/>
    <s v="Mixed Zone"/>
    <s v="Mixed Zone"/>
    <s v="FIFA Media"/>
    <s v="FIFA Media"/>
    <m/>
  </r>
  <r>
    <s v="TVSTND"/>
    <x v="7"/>
    <x v="0"/>
    <s v=""/>
    <s v=""/>
    <s v="TV Stand for medium and large TVs"/>
    <s v="TVSTND - TV Stand - Medium &amp; Large TVs"/>
    <n v="1"/>
    <n v="0"/>
    <n v="0"/>
    <n v="1"/>
    <n v="0"/>
    <n v="0"/>
    <x v="0"/>
    <x v="1"/>
    <s v="Stadium Media Centre"/>
    <s v="Stadium Media Centre"/>
    <s v="FIFA Media"/>
    <s v="FIFA Media"/>
    <m/>
  </r>
  <r>
    <s v="WRDFTI"/>
    <x v="10"/>
    <x v="1"/>
    <s v=""/>
    <s v="FIFA Technical FTI"/>
    <s v="Wired Port - FTI"/>
    <s v="WRDFTI - Wired Port - FTI (FIFA Technical FTI)"/>
    <n v="2"/>
    <n v="2"/>
    <n v="0"/>
    <n v="2"/>
    <n v="2"/>
    <n v="0"/>
    <x v="0"/>
    <x v="1"/>
    <s v="Press Conference Room"/>
    <s v="Press Conference Room"/>
    <s v="FIFA Media"/>
    <s v="FIFA Media"/>
    <m/>
  </r>
  <r>
    <s v="WRDMED"/>
    <x v="5"/>
    <x v="1"/>
    <s v=""/>
    <s v="Media Internet Access Media"/>
    <s v="Wired Port - Internet for Media"/>
    <s v="WRDMED - Wired Port - Media Internet (Media Internet Access Media)"/>
    <n v="5"/>
    <n v="5"/>
    <n v="0"/>
    <n v="5"/>
    <n v="5"/>
    <n v="0"/>
    <x v="0"/>
    <x v="1"/>
    <s v="Stadium Media Centre"/>
    <s v="Stadium Media Centre"/>
    <s v="FIFA Media"/>
    <s v="FIFA Media"/>
    <m/>
  </r>
  <r>
    <s v="WRDMED"/>
    <x v="5"/>
    <x v="1"/>
    <s v=""/>
    <s v="Media Internet Access Media"/>
    <s v="Wired Port - Internet for Media"/>
    <s v="WRDMED - Wired Port - Media Internet (Media Internet Access Media)"/>
    <n v="1"/>
    <n v="1"/>
    <n v="0"/>
    <n v="1"/>
    <n v="1"/>
    <n v="0"/>
    <x v="0"/>
    <x v="1"/>
    <s v="Pitch"/>
    <s v="FIFA Photo Positions - Right - 16m line"/>
    <s v="FIFA Media"/>
    <s v="FIFA Media"/>
    <s v="Request from Paul Murphy / only if existing infrastructure"/>
  </r>
  <r>
    <s v="WRDMED"/>
    <x v="5"/>
    <x v="1"/>
    <s v=""/>
    <s v="Media Internet Access Media"/>
    <s v="Wired Port - Internet for Media"/>
    <s v="WRDMED - Wired Port - Media Internet (Media Internet Access Media)"/>
    <n v="1"/>
    <n v="1"/>
    <n v="0"/>
    <n v="1"/>
    <n v="1"/>
    <n v="0"/>
    <x v="0"/>
    <x v="1"/>
    <s v="Pitch"/>
    <s v="FIFA Photo Positions - Left - 16m line"/>
    <s v="FIFA Media"/>
    <s v="FIFA Media"/>
    <s v="Request from Paul Murphy / only if existing infrastructure"/>
  </r>
  <r>
    <s v="AVMSYS"/>
    <x v="32"/>
    <x v="8"/>
    <s v=""/>
    <s v=""/>
    <s v="Professional Speakers and Microphones"/>
    <s v="AVMSYS - AV Solution (Mics + Speakers)"/>
    <n v="1"/>
    <n v="0"/>
    <n v="0"/>
    <n v="1"/>
    <n v="0"/>
    <n v="0"/>
    <x v="0"/>
    <x v="0"/>
    <s v="Referees Accommodation"/>
    <s v="Class Room"/>
    <s v="FIFA Referees"/>
    <s v="FIFA Referees"/>
    <m/>
  </r>
  <r>
    <s v="DSKMNT"/>
    <x v="0"/>
    <x v="0"/>
    <s v=""/>
    <s v=""/>
    <s v="24&quot; PC Monitor"/>
    <s v="DSKMNT - 24&quot; Monitor - HDMI/DP"/>
    <n v="4"/>
    <n v="0"/>
    <n v="0"/>
    <n v="4"/>
    <n v="0"/>
    <n v="0"/>
    <x v="0"/>
    <x v="0"/>
    <s v="Referees Accommodation"/>
    <s v="Technical / Match Analysts"/>
    <s v="FIFA Referees"/>
    <s v="FIFA Referees"/>
    <m/>
  </r>
  <r>
    <s v="DSKMNT"/>
    <x v="0"/>
    <x v="0"/>
    <s v=""/>
    <s v=""/>
    <s v="24&quot; PC Monitor"/>
    <s v="DSKMNT - 24&quot; Monitor - HDMI/DP"/>
    <n v="0"/>
    <n v="0"/>
    <n v="0"/>
    <n v="2"/>
    <n v="0"/>
    <n v="0"/>
    <x v="0"/>
    <x v="0"/>
    <s v="Referees Accommodation"/>
    <s v="REF Management"/>
    <s v="FIFA Referees"/>
    <s v="FIFA Referees"/>
    <m/>
  </r>
  <r>
    <s v="DSKMNT"/>
    <x v="0"/>
    <x v="0"/>
    <s v=""/>
    <s v=""/>
    <s v="24&quot; PC Monitor"/>
    <s v="DSKMNT - 24&quot; Monitor - HDMI/DP"/>
    <n v="0"/>
    <n v="0"/>
    <n v="0"/>
    <n v="2"/>
    <n v="0"/>
    <n v="0"/>
    <x v="0"/>
    <x v="0"/>
    <s v="Referees Accommodation"/>
    <s v="REF Administration"/>
    <s v="FIFA Referees"/>
    <s v="FIFA Referees"/>
    <m/>
  </r>
  <r>
    <s v="DSKMNT"/>
    <x v="0"/>
    <x v="0"/>
    <s v=""/>
    <s v=""/>
    <s v="24&quot; PC Monitor"/>
    <s v="DSKMNT - 24&quot; Monitor - HDMI/DP"/>
    <n v="0"/>
    <n v="0"/>
    <n v="0"/>
    <n v="2"/>
    <n v="0"/>
    <n v="0"/>
    <x v="0"/>
    <x v="0"/>
    <s v="Referees Accommodation"/>
    <s v="Fitness Office"/>
    <s v="FIFA Referees"/>
    <s v="FIFA Referees"/>
    <m/>
  </r>
  <r>
    <s v="IS00WR"/>
    <x v="33"/>
    <x v="1"/>
    <s v=""/>
    <s v="General Internet Access"/>
    <s v="Wireless coverage - Internet Service -  Referees"/>
    <s v="IS00WR - Wireless coverage - Internet Service -  Referees (General Internet Access)"/>
    <n v="1"/>
    <n v="0"/>
    <n v="0"/>
    <n v="1"/>
    <n v="0"/>
    <n v="0"/>
    <x v="0"/>
    <x v="0"/>
    <s v="Referees Accommodation"/>
    <s v="Technical / Match Analysts"/>
    <s v="FIFA Referees"/>
    <s v="FIFA Referees"/>
    <m/>
  </r>
  <r>
    <s v="IS00WR"/>
    <x v="33"/>
    <x v="1"/>
    <s v=""/>
    <s v="General Internet Access"/>
    <s v="Wireless coverage - Internet Service -  Referees"/>
    <s v="IS00WR - Wireless coverage - Internet Service -  Referees (General Internet Access)"/>
    <n v="1"/>
    <n v="0"/>
    <n v="0"/>
    <n v="1"/>
    <n v="0"/>
    <n v="0"/>
    <x v="0"/>
    <x v="0"/>
    <s v="Training site pitch 10-11"/>
    <s v="Instant Feedback"/>
    <s v="FIFA Referees"/>
    <s v="FIFA Referees"/>
    <m/>
  </r>
  <r>
    <s v="IS00WR"/>
    <x v="33"/>
    <x v="1"/>
    <s v=""/>
    <s v="General Internet Access"/>
    <s v="Wireless coverage - Internet Service -  Referees"/>
    <s v="IS00WR - Wireless coverage - Internet Service -  Referees (General Internet Access)"/>
    <n v="1"/>
    <n v="0"/>
    <n v="0"/>
    <n v="1"/>
    <n v="0"/>
    <n v="0"/>
    <x v="0"/>
    <x v="0"/>
    <s v="Referees Accommodation"/>
    <s v="REF Management"/>
    <s v="FIFA Referees"/>
    <s v="FIFA Referees"/>
    <m/>
  </r>
  <r>
    <s v="IS00WR"/>
    <x v="33"/>
    <x v="1"/>
    <s v=""/>
    <s v="General Internet Access"/>
    <s v="Wireless coverage - Internet Service -  Referees"/>
    <s v="IS00WR - Wireless coverage - Internet Service -  Referees (General Internet Access)"/>
    <n v="1"/>
    <n v="0"/>
    <n v="0"/>
    <n v="1"/>
    <n v="0"/>
    <n v="0"/>
    <x v="0"/>
    <x v="0"/>
    <s v="Referees Accommodation"/>
    <s v="REF Administration"/>
    <s v="FIFA Referees"/>
    <s v="FIFA Referees"/>
    <m/>
  </r>
  <r>
    <s v="IS00WR"/>
    <x v="33"/>
    <x v="1"/>
    <s v=""/>
    <s v="General Internet Access"/>
    <s v="Wireless coverage - Internet Service -  Referees"/>
    <s v="IS00WR - Wireless coverage - Internet Service -  Referees (General Internet Access)"/>
    <n v="1"/>
    <n v="0"/>
    <n v="0"/>
    <n v="1"/>
    <n v="0"/>
    <n v="0"/>
    <x v="0"/>
    <x v="0"/>
    <s v="Referees Accommodation"/>
    <s v="Fitness Office"/>
    <s v="FIFA Referees"/>
    <s v="FIFA Referees"/>
    <m/>
  </r>
  <r>
    <s v="IS00WR"/>
    <x v="33"/>
    <x v="1"/>
    <s v=""/>
    <s v="General Internet Access"/>
    <s v="Wireless coverage - Internet Service -  Referees"/>
    <s v="IS00WR - Wireless coverage - Internet Service -  Referees (General Internet Access)"/>
    <n v="1"/>
    <n v="0"/>
    <n v="0"/>
    <n v="1"/>
    <n v="0"/>
    <n v="0"/>
    <x v="0"/>
    <x v="0"/>
    <s v="Referees Accommodation"/>
    <s v="Class Room"/>
    <s v="FIFA Referees"/>
    <s v="FIFA Referees"/>
    <m/>
  </r>
  <r>
    <s v="IS00WR"/>
    <x v="33"/>
    <x v="1"/>
    <s v=""/>
    <s v="General Internet Access"/>
    <s v="Wireless coverage - Internet Service -  Referees"/>
    <s v="IS00WR - Wireless coverage - Internet Service -  Referees (General Internet Access)"/>
    <n v="1"/>
    <n v="0"/>
    <n v="0"/>
    <n v="1"/>
    <n v="0"/>
    <n v="0"/>
    <x v="0"/>
    <x v="0"/>
    <s v="Referees Accommodation"/>
    <s v="Referees Accommodation"/>
    <s v="FIFA Referees"/>
    <s v="FIFA Referees"/>
    <m/>
  </r>
  <r>
    <s v="IS00WR"/>
    <x v="33"/>
    <x v="1"/>
    <s v=""/>
    <s v="General Internet Access"/>
    <s v="Wireless coverage - Internet Service -  Referees"/>
    <s v="IS00WR - Wireless coverage - Internet Service -  Referees (General Internet Access)"/>
    <n v="1"/>
    <n v="0"/>
    <n v="0"/>
    <n v="1"/>
    <n v="0"/>
    <n v="0"/>
    <x v="0"/>
    <x v="0"/>
    <s v="Referees Accommodation"/>
    <s v="Physio/ Medical Room"/>
    <s v="FIFA Referees"/>
    <s v="FIFA Referees"/>
    <m/>
  </r>
  <r>
    <s v="ITSIBU"/>
    <x v="18"/>
    <x v="6"/>
    <s v=""/>
    <s v=""/>
    <s v="IT Solution - 4G Internet backup "/>
    <s v="ITSIBU - IT Solution - 4G Internet backup "/>
    <n v="1"/>
    <n v="0"/>
    <n v="1"/>
    <n v="1"/>
    <n v="0"/>
    <n v="1"/>
    <x v="0"/>
    <x v="0"/>
    <s v="Training site pitch 10-11"/>
    <s v="Instant Feedback"/>
    <s v="FIFA Referees"/>
    <s v="FIFA Referees"/>
    <s v="Only if Wireless is not available"/>
  </r>
  <r>
    <s v="LAPPRE"/>
    <x v="14"/>
    <x v="2"/>
    <s v="Single"/>
    <s v=""/>
    <s v="FIFA Presentation Laptop"/>
    <s v="LAPPRE - Laptop - Presentation Build"/>
    <n v="3"/>
    <n v="0"/>
    <n v="0"/>
    <n v="3"/>
    <n v="0"/>
    <n v="0"/>
    <x v="1"/>
    <x v="0"/>
    <s v="Referees Accommodation"/>
    <s v="Referees Accommodation"/>
    <s v="FIFA Referees"/>
    <s v="FIFA Referees"/>
    <s v="3 laptops to connect each to 2 TVs via HDMI - to stream matches via FDP"/>
  </r>
  <r>
    <s v="MFDDNW"/>
    <x v="3"/>
    <x v="3"/>
    <s v=""/>
    <s v="General Internet Access"/>
    <s v="Colour Printer / Scanner (A4)"/>
    <s v="MFDDNW - MFD Desktop - Colour - A4 - Network (General Internet Access)"/>
    <n v="1"/>
    <n v="1"/>
    <n v="0"/>
    <n v="1"/>
    <n v="1"/>
    <n v="0"/>
    <x v="0"/>
    <x v="0"/>
    <s v="Referees Accommodation"/>
    <s v="Technical / Match Analysts"/>
    <s v="FIFA Referees"/>
    <s v="FIFA Referees"/>
    <m/>
  </r>
  <r>
    <s v="MFDDNW"/>
    <x v="3"/>
    <x v="3"/>
    <s v=""/>
    <s v="General Internet Access"/>
    <s v="Colour Printer / Scanner (A4)"/>
    <s v="MFDDNW - MFD Desktop - Colour - A4 - Network (General Internet Access)"/>
    <n v="1"/>
    <n v="1"/>
    <n v="0"/>
    <n v="1"/>
    <n v="1"/>
    <n v="0"/>
    <x v="0"/>
    <x v="0"/>
    <s v="Referees Accommodation"/>
    <s v="Fitness Office"/>
    <s v="FIFA Referees"/>
    <s v="FIFA Referees"/>
    <m/>
  </r>
  <r>
    <s v="MFDLNW"/>
    <x v="34"/>
    <x v="3"/>
    <s v=""/>
    <s v="General Internet Access"/>
    <s v="Large Colour Printer / Scanner (A3)"/>
    <s v="MFDLNW - MFD Large - Colour - A3 - Network (General Internet Access)"/>
    <n v="1"/>
    <n v="1"/>
    <n v="0"/>
    <n v="1"/>
    <n v="1"/>
    <n v="0"/>
    <x v="0"/>
    <x v="0"/>
    <s v="Referees Accommodation"/>
    <s v="REF Management"/>
    <s v="FIFA Referees"/>
    <s v="FIFA Referees"/>
    <m/>
  </r>
  <r>
    <s v="Proj6k"/>
    <x v="27"/>
    <x v="5"/>
    <s v=""/>
    <s v=""/>
    <s v="Office Projector - 6K"/>
    <s v="Proj6k - Office Projector - 6K"/>
    <n v="1"/>
    <n v="0"/>
    <n v="0"/>
    <n v="1"/>
    <n v="0"/>
    <n v="0"/>
    <x v="0"/>
    <x v="0"/>
    <s v="Referees Accommodation"/>
    <s v="Class Room"/>
    <s v="FIFA Referees"/>
    <s v="FIFA Referees"/>
    <m/>
  </r>
  <r>
    <s v="TVLGIP"/>
    <x v="6"/>
    <x v="4"/>
    <s v=""/>
    <s v=""/>
    <s v="Large TV - CATV Feed"/>
    <s v="TVLGIP - TV - Large - IPTV"/>
    <n v="2"/>
    <n v="2"/>
    <n v="0"/>
    <n v="2"/>
    <n v="2"/>
    <n v="0"/>
    <x v="0"/>
    <x v="0"/>
    <s v="Referees Accommodation"/>
    <s v="Technical / Match Analysts"/>
    <s v="FIFA Referees"/>
    <s v="FIFA Referees"/>
    <m/>
  </r>
  <r>
    <s v="TVLGIP"/>
    <x v="6"/>
    <x v="4"/>
    <s v=""/>
    <s v=""/>
    <s v="Large TV - CATV Feed"/>
    <s v="TVLGIP - TV - Large - IPTV"/>
    <n v="2"/>
    <n v="2"/>
    <n v="0"/>
    <n v="2"/>
    <n v="2"/>
    <n v="0"/>
    <x v="0"/>
    <x v="0"/>
    <s v="Referees Accommodation"/>
    <s v="REF Management"/>
    <s v="FIFA Referees"/>
    <s v="FIFA Referees"/>
    <m/>
  </r>
  <r>
    <s v="TVLGIP"/>
    <x v="6"/>
    <x v="4"/>
    <s v=""/>
    <s v=""/>
    <s v="Large TV - CATV Feed"/>
    <s v="TVLGIP - TV - Large - IPTV"/>
    <n v="1"/>
    <n v="1"/>
    <n v="0"/>
    <n v="1"/>
    <n v="1"/>
    <n v="0"/>
    <x v="0"/>
    <x v="0"/>
    <s v="Referees Accommodation"/>
    <s v="REF Administration"/>
    <s v="FIFA Referees"/>
    <s v="FIFA Referees"/>
    <m/>
  </r>
  <r>
    <s v="TVLGIP"/>
    <x v="6"/>
    <x v="4"/>
    <s v=""/>
    <s v=""/>
    <s v="Large TV - CATV Feed"/>
    <s v="TVLGIP - TV - Large - IPTV"/>
    <n v="2"/>
    <n v="2"/>
    <n v="0"/>
    <n v="2"/>
    <n v="2"/>
    <n v="0"/>
    <x v="0"/>
    <x v="0"/>
    <s v="Referees Accommodation"/>
    <s v="Fitness Office"/>
    <s v="FIFA Referees"/>
    <s v="FIFA Referees"/>
    <m/>
  </r>
  <r>
    <s v="TVLGIP"/>
    <x v="6"/>
    <x v="4"/>
    <s v=""/>
    <s v=""/>
    <s v="Large TV - CATV Feed"/>
    <s v="TVLGIP - TV - Large - IPTV"/>
    <n v="1"/>
    <n v="1"/>
    <n v="0"/>
    <n v="1"/>
    <n v="1"/>
    <n v="0"/>
    <x v="0"/>
    <x v="0"/>
    <s v="Referees Accommodation"/>
    <s v="Class Room"/>
    <s v="FIFA Referees"/>
    <s v="FIFA Referees"/>
    <m/>
  </r>
  <r>
    <s v="TVLGIP"/>
    <x v="6"/>
    <x v="4"/>
    <s v=""/>
    <s v=""/>
    <s v="Large TV - CATV Feed"/>
    <s v="TVLGIP - TV - Large - IPTV"/>
    <n v="2"/>
    <n v="2"/>
    <n v="0"/>
    <n v="2"/>
    <n v="2"/>
    <n v="0"/>
    <x v="0"/>
    <x v="0"/>
    <s v="Referees Accommodation"/>
    <s v="Physio/ Medical Room"/>
    <s v="FIFA Referees"/>
    <s v="FIFA Referees"/>
    <m/>
  </r>
  <r>
    <s v="TVLGSA"/>
    <x v="17"/>
    <x v="5"/>
    <s v=""/>
    <s v=""/>
    <s v="Large TV - Standalone"/>
    <s v="TVLGSA - TV - Large - Standalone"/>
    <n v="1"/>
    <n v="0"/>
    <n v="0"/>
    <n v="1"/>
    <n v="0"/>
    <n v="0"/>
    <x v="0"/>
    <x v="0"/>
    <s v="Training site pitch 10-11"/>
    <s v="Instant Feedback"/>
    <s v="FIFA Referees"/>
    <s v="FIFA Referees"/>
    <s v="pitch 11-12"/>
  </r>
  <r>
    <s v="TVSTND"/>
    <x v="7"/>
    <x v="0"/>
    <s v=""/>
    <s v=""/>
    <s v="TV Stand for medium and large TVs"/>
    <s v="TVSTND - TV Stand - Medium &amp; Large TVs"/>
    <n v="2"/>
    <n v="0"/>
    <n v="0"/>
    <n v="2"/>
    <n v="0"/>
    <n v="0"/>
    <x v="0"/>
    <x v="0"/>
    <s v="Referees Accommodation"/>
    <s v="Technical / Match Analysts"/>
    <s v="FIFA Referees"/>
    <s v="FIFA Referees"/>
    <m/>
  </r>
  <r>
    <s v="TVSTND"/>
    <x v="7"/>
    <x v="0"/>
    <s v=""/>
    <s v=""/>
    <s v="TV Stand for medium and large TVs"/>
    <s v="TVSTND - TV Stand - Medium &amp; Large TVs"/>
    <n v="1"/>
    <n v="0"/>
    <n v="0"/>
    <n v="1"/>
    <n v="0"/>
    <n v="0"/>
    <x v="0"/>
    <x v="0"/>
    <s v="Training site pitch 10-11"/>
    <s v="Instant Feedback"/>
    <s v="FIFA Referees"/>
    <s v="FIFA Referees"/>
    <m/>
  </r>
  <r>
    <s v="TVSTND"/>
    <x v="7"/>
    <x v="0"/>
    <s v=""/>
    <s v=""/>
    <s v="TV Stand for medium and large TVs"/>
    <s v="TVSTND - TV Stand - Medium &amp; Large TVs"/>
    <n v="2"/>
    <n v="0"/>
    <n v="0"/>
    <n v="2"/>
    <n v="0"/>
    <n v="0"/>
    <x v="0"/>
    <x v="0"/>
    <s v="Referees Accommodation"/>
    <s v="REF Management"/>
    <s v="FIFA Referees"/>
    <s v="FIFA Referees"/>
    <m/>
  </r>
  <r>
    <s v="TVSTND"/>
    <x v="7"/>
    <x v="0"/>
    <s v=""/>
    <s v=""/>
    <s v="TV Stand for medium and large TVs"/>
    <s v="TVSTND - TV Stand - Medium &amp; Large TVs"/>
    <n v="1"/>
    <n v="0"/>
    <n v="0"/>
    <n v="1"/>
    <n v="0"/>
    <n v="0"/>
    <x v="0"/>
    <x v="0"/>
    <s v="Referees Accommodation"/>
    <s v="REF Administration"/>
    <s v="FIFA Referees"/>
    <s v="FIFA Referees"/>
    <m/>
  </r>
  <r>
    <s v="TVSTND"/>
    <x v="7"/>
    <x v="0"/>
    <s v=""/>
    <s v=""/>
    <s v="TV Stand for medium and large TVs"/>
    <s v="TVSTND - TV Stand - Medium &amp; Large TVs"/>
    <n v="2"/>
    <n v="0"/>
    <n v="0"/>
    <n v="2"/>
    <n v="0"/>
    <n v="0"/>
    <x v="0"/>
    <x v="0"/>
    <s v="Referees Accommodation"/>
    <s v="Fitness Office"/>
    <s v="FIFA Referees"/>
    <s v="FIFA Referees"/>
    <m/>
  </r>
  <r>
    <s v="TVSTND"/>
    <x v="7"/>
    <x v="0"/>
    <s v=""/>
    <s v=""/>
    <s v="TV Stand for medium and large TVs"/>
    <s v="TVSTND - TV Stand - Medium &amp; Large TVs"/>
    <n v="1"/>
    <n v="0"/>
    <n v="0"/>
    <n v="1"/>
    <n v="0"/>
    <n v="0"/>
    <x v="0"/>
    <x v="0"/>
    <s v="Referees Accommodation"/>
    <s v="Class Room"/>
    <s v="FIFA Referees"/>
    <s v="FIFA Referees"/>
    <m/>
  </r>
  <r>
    <s v="TVSTND"/>
    <x v="7"/>
    <x v="0"/>
    <s v=""/>
    <s v=""/>
    <s v="TV Stand for medium and large TVs"/>
    <s v="TVSTND - TV Stand - Medium &amp; Large TVs"/>
    <n v="2"/>
    <n v="0"/>
    <n v="0"/>
    <n v="2"/>
    <n v="0"/>
    <n v="0"/>
    <x v="0"/>
    <x v="0"/>
    <s v="Referees Accommodation"/>
    <s v="Physio/ Medical Room"/>
    <s v="FIFA Referees"/>
    <s v="FIFA Referees"/>
    <m/>
  </r>
  <r>
    <s v="WDF100"/>
    <x v="35"/>
    <x v="1"/>
    <s v=""/>
    <s v="FIFA Technical Internet Access"/>
    <s v="Cabled Internet - 100Mbps"/>
    <s v="WDF100 - Wired Port - 100Mbps - guaranteed (FIFA Technical Internet Access)"/>
    <n v="1"/>
    <n v="1"/>
    <n v="0"/>
    <n v="1"/>
    <n v="1"/>
    <n v="0"/>
    <x v="0"/>
    <x v="0"/>
    <s v="Referees Accommodation"/>
    <s v="Technical / Match Analysts"/>
    <s v="FIFA Referees"/>
    <s v="FIFA Referees"/>
    <s v="LOC: Can we add a switch in the room?"/>
  </r>
  <r>
    <s v="WRDGEN"/>
    <x v="8"/>
    <x v="1"/>
    <s v=""/>
    <s v="General Internet Access"/>
    <s v="Wired Port - Internet"/>
    <s v="WRDGEN - Wired Port - General Internet  (General Internet Access)"/>
    <n v="2"/>
    <n v="2"/>
    <n v="0"/>
    <n v="2"/>
    <n v="2"/>
    <n v="0"/>
    <x v="0"/>
    <x v="0"/>
    <s v="Referees Accommodation"/>
    <s v="Class Room"/>
    <s v="FIFA Referees"/>
    <s v="FIFA Referees"/>
    <m/>
  </r>
  <r>
    <s v="IS00WF"/>
    <x v="1"/>
    <x v="1"/>
    <s v=""/>
    <s v="General Internet Access"/>
    <s v="Wireless coverage - Shared Internet Service - FIFA"/>
    <s v="IS00WF - Wireless coverage - Shared Internet Service - Wi-Fi FIFA (General Internet Access)"/>
    <n v="1"/>
    <n v="0"/>
    <n v="0"/>
    <n v="1"/>
    <n v="0"/>
    <n v="0"/>
    <x v="0"/>
    <x v="0"/>
    <s v="Accelerator Building"/>
    <s v="Security Room (VOC)"/>
    <s v="FIFA Security"/>
    <s v="FIFA Security"/>
    <s v="any other internet availables via Wi-Fi"/>
  </r>
  <r>
    <s v="IS00WF"/>
    <x v="1"/>
    <x v="1"/>
    <s v=""/>
    <s v="General Internet Access"/>
    <s v="Wireless coverage - Shared Internet Service - FIFA"/>
    <s v="IS00WF - Wireless coverage - Shared Internet Service - Wi-Fi FIFA (General Internet Access)"/>
    <n v="1"/>
    <n v="0"/>
    <n v="0"/>
    <n v="1"/>
    <n v="0"/>
    <n v="0"/>
    <x v="0"/>
    <x v="1"/>
    <s v="Security Room (VOC)"/>
    <s v="Security Room (VOC)"/>
    <s v="FIFA Security"/>
    <s v="FIFA Security"/>
    <m/>
  </r>
  <r>
    <s v="IS00WS"/>
    <x v="36"/>
    <x v="1"/>
    <s v=""/>
    <s v="VIP Internet Access"/>
    <s v="Wireless coverage - Shared Internet Service - FOOTBALL"/>
    <s v="IS00WS - Wireless coverage - Shared Internet Service - Wi-Fi FOOTBALL (VIP Internet Access)"/>
    <n v="1"/>
    <n v="0"/>
    <n v="0"/>
    <n v="1"/>
    <n v="0"/>
    <n v="0"/>
    <x v="0"/>
    <x v="0"/>
    <s v="Competition area"/>
    <s v="Team Dressing Rooms"/>
    <s v="FIFA Team Services"/>
    <s v="FIFA Team Services"/>
    <m/>
  </r>
  <r>
    <s v="IS00WS"/>
    <x v="36"/>
    <x v="1"/>
    <s v=""/>
    <s v="VIP Internet Access"/>
    <s v="Wireless coverage - Shared Internet Service - FOOTBALL"/>
    <s v="IS00WS - Wireless coverage - Shared Internet Service - Wi-Fi FOOTBALL (VIP Internet Access)"/>
    <n v="1"/>
    <n v="0"/>
    <n v="0"/>
    <n v="1"/>
    <n v="0"/>
    <n v="0"/>
    <x v="0"/>
    <x v="0"/>
    <s v="Competition area"/>
    <s v="Players Holding Area (Lounge)"/>
    <s v="FIFA Team Services"/>
    <s v="FIFA Team Services"/>
    <m/>
  </r>
  <r>
    <s v="IS00WS"/>
    <x v="36"/>
    <x v="1"/>
    <s v=""/>
    <s v="VIP Internet Access"/>
    <s v="Wireless coverage - Shared Internet Service - FOOTBALL"/>
    <s v="IS00WS - Wireless coverage - Shared Internet Service - Wi-Fi FOOTBALL (VIP Internet Access)"/>
    <n v="1"/>
    <n v="0"/>
    <n v="0"/>
    <n v="1"/>
    <n v="0"/>
    <n v="0"/>
    <x v="0"/>
    <x v="1"/>
    <s v="Competition area"/>
    <s v="Team Dressing Rooms"/>
    <s v="FIFA Team Services"/>
    <s v="FIFA Team Services"/>
    <m/>
  </r>
  <r>
    <s v="LAPPRE"/>
    <x v="14"/>
    <x v="2"/>
    <s v="Single"/>
    <s v=""/>
    <s v="FIFA Presentation Laptop"/>
    <s v="LAPPRE - Laptop - Presentation Build"/>
    <n v="1"/>
    <n v="0"/>
    <n v="0"/>
    <n v="1"/>
    <n v="0"/>
    <n v="0"/>
    <x v="1"/>
    <x v="0"/>
    <s v="Aspire Dome - level 2"/>
    <s v="FIFA/LOC Offices"/>
    <s v="FIFA Team Services"/>
    <s v="FIFA Team Services"/>
    <m/>
  </r>
  <r>
    <s v="DSKMNT"/>
    <x v="0"/>
    <x v="0"/>
    <s v=""/>
    <s v=""/>
    <s v="24&quot; PC Monitor"/>
    <s v="DSKMNT - 24&quot; Monitor - HDMI/DP"/>
    <n v="2"/>
    <n v="0"/>
    <n v="0"/>
    <n v="2"/>
    <n v="0"/>
    <n v="0"/>
    <x v="0"/>
    <x v="0"/>
    <s v="Aspire Dome - level 2"/>
    <s v="FIFA/LOC Offices"/>
    <s v="FIFA Transport"/>
    <s v="FIFA Transport"/>
    <m/>
  </r>
  <r>
    <s v="TABLEN"/>
    <x v="4"/>
    <x v="2"/>
    <s v="Single"/>
    <s v=""/>
    <s v="Professional Series Tablet + 4G"/>
    <s v="TABLEN - Tablet - FIFA Professional Tablet + 4G"/>
    <n v="2"/>
    <n v="0"/>
    <n v="2"/>
    <n v="2"/>
    <n v="0"/>
    <n v="2"/>
    <x v="1"/>
    <x v="0"/>
    <s v="Aspire Dome - level 2"/>
    <s v="FIFA/LOC Offices"/>
    <s v="FIFA Transport"/>
    <s v="FIFA Transport"/>
    <m/>
  </r>
  <r>
    <s v="DSKMNT"/>
    <x v="0"/>
    <x v="0"/>
    <s v=""/>
    <s v=""/>
    <s v="24&quot; PC Monitor"/>
    <s v="DSKMNT - 24&quot; Monitor - HDMI/DP"/>
    <n v="2"/>
    <n v="0"/>
    <n v="0"/>
    <n v="2"/>
    <n v="0"/>
    <n v="0"/>
    <x v="0"/>
    <x v="0"/>
    <s v="Aspire Dome - level 2"/>
    <s v="FIFA/LOC Offices"/>
    <s v="FIFA Travel"/>
    <s v="FIFA Travel"/>
    <m/>
  </r>
  <r>
    <s v="IS00WF"/>
    <x v="1"/>
    <x v="1"/>
    <s v=""/>
    <s v="General Internet Access"/>
    <s v="Wireless coverage - Shared Internet Service - FIFA"/>
    <s v="IS00WF - Wireless coverage - Shared Internet Service - Wi-Fi FIFA (General Internet Access)"/>
    <n v="1"/>
    <n v="0"/>
    <n v="0"/>
    <n v="1"/>
    <n v="0"/>
    <n v="0"/>
    <x v="0"/>
    <x v="0"/>
    <s v="Aspire Dome "/>
    <s v="FIFA/LOC Offices"/>
    <s v="FIFA Venue Management"/>
    <s v="FIFA Venue Management"/>
    <m/>
  </r>
  <r>
    <s v="IS00WF"/>
    <x v="1"/>
    <x v="1"/>
    <s v=""/>
    <s v="General Internet Access"/>
    <s v="Wireless coverage - Shared Internet Service - FIFA"/>
    <s v="IS00WF - Wireless coverage - Shared Internet Service - Wi-Fi FIFA (General Internet Access)"/>
    <n v="1"/>
    <n v="0"/>
    <n v="0"/>
    <n v="1"/>
    <n v="0"/>
    <n v="0"/>
    <x v="0"/>
    <x v="1"/>
    <s v="Stadium Offices"/>
    <s v="Venue Office"/>
    <s v="FIFA Venue Management"/>
    <s v="FIFA Venue Management"/>
    <m/>
  </r>
  <r>
    <s v="MFDLNW"/>
    <x v="34"/>
    <x v="3"/>
    <s v=""/>
    <s v="General Internet Access"/>
    <s v="Large Colour Printer / Scanner (A3)"/>
    <s v="MFDLNW - MFD Large - Colour - A3 - Network (General Internet Access)"/>
    <n v="1"/>
    <n v="1"/>
    <n v="0"/>
    <n v="1"/>
    <n v="1"/>
    <n v="0"/>
    <x v="0"/>
    <x v="0"/>
    <s v="Aspire Dome "/>
    <s v="FIFA/LOC Offices"/>
    <s v="FIFA Venue Management"/>
    <s v="FIFA Venue Management"/>
    <m/>
  </r>
  <r>
    <s v="MFDDNW"/>
    <x v="3"/>
    <x v="3"/>
    <s v=""/>
    <s v="General Internet Access"/>
    <s v="Colour Printer / Scanner (A4)"/>
    <s v="MFDDNW - MFD Desktop - Colour - A4 - Network (General Internet Access)"/>
    <n v="1"/>
    <n v="1"/>
    <n v="0"/>
    <n v="1"/>
    <n v="1"/>
    <n v="0"/>
    <x v="0"/>
    <x v="1"/>
    <s v="Stadium Offices"/>
    <s v="Venue Office"/>
    <s v="FIFA Venue Management"/>
    <s v="FIFA Venue Management"/>
    <m/>
  </r>
  <r>
    <s v="RADIO"/>
    <x v="37"/>
    <x v="9"/>
    <s v=""/>
    <s v=""/>
    <s v="Radio PMR In Stadium"/>
    <s v="RADIO - Radio PMR In Stadium"/>
    <n v="50"/>
    <n v="0"/>
    <n v="0"/>
    <n v="50"/>
    <n v="0"/>
    <n v="0"/>
    <x v="0"/>
    <x v="0"/>
    <s v="Aspire Dome "/>
    <s v="Radio Distribution Office"/>
    <s v="FIFA Venue Management"/>
    <s v="FIFA Venue Management"/>
    <m/>
  </r>
  <r>
    <s v="ACCBAR"/>
    <x v="38"/>
    <x v="0"/>
    <s v=""/>
    <s v=""/>
    <s v="Barcode scanner"/>
    <s v="ACCBAR - Barcode scanner"/>
    <n v="4"/>
    <n v="0"/>
    <n v="0"/>
    <n v="4"/>
    <n v="0"/>
    <n v="0"/>
    <x v="0"/>
    <x v="0"/>
    <s v="Aspire Dome - level 1"/>
    <s v="VOL Centre"/>
    <s v="FIFA Volunteer"/>
    <s v="FIFA Volunteer"/>
    <s v="2 Wireless + 2 wired"/>
  </r>
  <r>
    <s v="IS00WF"/>
    <x v="1"/>
    <x v="1"/>
    <s v=""/>
    <s v="General Internet Access"/>
    <s v="Wireless coverage - Shared Internet Service - FIFA"/>
    <s v="IS00WF - Wireless coverage - Shared Internet Service - Wi-Fi FIFA (General Internet Access)"/>
    <n v="1"/>
    <n v="0"/>
    <n v="0"/>
    <n v="1"/>
    <n v="0"/>
    <n v="0"/>
    <x v="0"/>
    <x v="0"/>
    <s v="Aspire Dome - level 1"/>
    <s v="VOL Centre"/>
    <s v="FIFA Volunteer"/>
    <s v="FIFA Volunteer"/>
    <m/>
  </r>
  <r>
    <s v="LAPEVT"/>
    <x v="2"/>
    <x v="2"/>
    <s v=""/>
    <s v=""/>
    <s v="FIFA Laptop"/>
    <s v="LAPEVT - Laptop - FIFA Event Build"/>
    <n v="2"/>
    <n v="0"/>
    <n v="0"/>
    <n v="2"/>
    <n v="0"/>
    <n v="0"/>
    <x v="0"/>
    <x v="0"/>
    <s v="Aspire Dome - level 1"/>
    <s v="VOL Centre"/>
    <s v="FIFA Volunteer"/>
    <s v="FIFA Volunteer"/>
    <s v="LOC Laptop if possible"/>
  </r>
  <r>
    <s v="MFDDNW"/>
    <x v="3"/>
    <x v="3"/>
    <s v=""/>
    <s v="General Internet Access"/>
    <s v="Colour Printer / Scanner (A4)"/>
    <s v="MFDDNW - MFD Desktop - Colour - A4 - Network (General Internet Access)"/>
    <n v="1"/>
    <n v="1"/>
    <n v="0"/>
    <n v="1"/>
    <n v="1"/>
    <n v="0"/>
    <x v="0"/>
    <x v="0"/>
    <s v="Aspire Dome - level 1"/>
    <s v="VOL Centre"/>
    <s v="FIFA Volunteer"/>
    <s v="FIFA Volunteer"/>
    <m/>
  </r>
  <r>
    <s v="TABLEN"/>
    <x v="4"/>
    <x v="2"/>
    <s v="Single"/>
    <s v=""/>
    <s v="Professional Series Tablet + 4G"/>
    <s v="TABLEN - Tablet - FIFA Professional Tablet + 4G"/>
    <n v="2"/>
    <n v="0"/>
    <n v="2"/>
    <n v="2"/>
    <n v="0"/>
    <n v="2"/>
    <x v="1"/>
    <x v="0"/>
    <s v="Aspire Dome - level 1"/>
    <s v="VOL Centre"/>
    <s v="FIFA Volunteer"/>
    <s v="FIFA Volunteer"/>
    <m/>
  </r>
  <r>
    <s v="TELMOB"/>
    <x v="22"/>
    <x v="7"/>
    <s v="Single"/>
    <s v=""/>
    <s v="Smart Phone"/>
    <s v="TELMOB - Telephone - Mobile - Smart Phone"/>
    <n v="1"/>
    <n v="0"/>
    <n v="1"/>
    <n v="1"/>
    <n v="0"/>
    <n v="1"/>
    <x v="1"/>
    <x v="0"/>
    <s v="Aspire Dome - level 1"/>
    <s v="VOL Centre"/>
    <s v="FIFA Volunteer"/>
    <s v="FIFA Volunteer"/>
    <s v="Hotline"/>
  </r>
  <r>
    <s v="TELMOB"/>
    <x v="22"/>
    <x v="7"/>
    <s v="Single"/>
    <s v=""/>
    <s v="Smart Phone"/>
    <s v="TELMOB - Telephone - Mobile - Smart Phone"/>
    <n v="1"/>
    <n v="0"/>
    <n v="1"/>
    <n v="1"/>
    <n v="0"/>
    <n v="1"/>
    <x v="1"/>
    <x v="0"/>
    <s v="Aspire Dome - level 1"/>
    <s v="VOL Centre"/>
    <s v="FIFA Volunteer"/>
    <s v="FIFA Volunteer"/>
    <s v="Freelancer"/>
  </r>
  <r>
    <s v="TVLGIP"/>
    <x v="6"/>
    <x v="4"/>
    <s v=""/>
    <s v=""/>
    <s v="Large TV - CATV Feed"/>
    <s v="TVLGIP - TV - Large - IPTV"/>
    <n v="1"/>
    <n v="1"/>
    <n v="0"/>
    <n v="1"/>
    <n v="1"/>
    <n v="0"/>
    <x v="0"/>
    <x v="0"/>
    <s v="Aspire Dome - level 1"/>
    <s v="VOL Centre"/>
    <s v="FIFA Volunteer"/>
    <s v="FIFA Volunteer"/>
    <m/>
  </r>
  <r>
    <s v="TVSTND"/>
    <x v="7"/>
    <x v="0"/>
    <s v=""/>
    <s v=""/>
    <s v="TV Stand for medium and large TVs"/>
    <s v="TVSTND - TV Stand - Medium &amp; Large TVs"/>
    <n v="1"/>
    <n v="0"/>
    <n v="0"/>
    <n v="1"/>
    <n v="0"/>
    <n v="0"/>
    <x v="0"/>
    <x v="0"/>
    <s v="Aspire Dome - level 1"/>
    <s v="VOL Centre"/>
    <s v="FIFA Volunteer"/>
    <s v="FIFA Volunteer"/>
    <m/>
  </r>
  <r>
    <s v="TVLGIP"/>
    <x v="6"/>
    <x v="4"/>
    <s v=""/>
    <s v=""/>
    <s v="Large TV - CATV Feed"/>
    <s v="TVLGIP - TV - Large - IPTV"/>
    <n v="1"/>
    <n v="1"/>
    <n v="0"/>
    <n v="1"/>
    <n v="1"/>
    <n v="0"/>
    <x v="0"/>
    <x v="1"/>
    <s v="VOL Centre"/>
    <s v="VOL Centre"/>
    <s v="FIFA Volunteer"/>
    <s v="FIFA Volunteer"/>
    <s v="In case is a Vol center for FAC"/>
  </r>
  <r>
    <s v="TVSTND"/>
    <x v="7"/>
    <x v="0"/>
    <s v=""/>
    <s v=""/>
    <s v="TV Stand for medium and large TVs"/>
    <s v="TVSTND - TV Stand - Medium &amp; Large TVs"/>
    <n v="1"/>
    <n v="0"/>
    <n v="0"/>
    <n v="1"/>
    <n v="0"/>
    <n v="0"/>
    <x v="0"/>
    <x v="1"/>
    <s v="VOL Centre"/>
    <s v="VOL Centre"/>
    <s v="FIFA Volunteer"/>
    <s v="FIFA Volunteer"/>
    <s v="In case is a Vol center for FAC"/>
  </r>
  <r>
    <s v="DSKMNT"/>
    <x v="0"/>
    <x v="0"/>
    <s v=""/>
    <s v=""/>
    <s v="24&quot; PC Monitor"/>
    <s v="DSKMNT - 24&quot; Monitor - HDMI/DP"/>
    <n v="1"/>
    <n v="0"/>
    <n v="0"/>
    <n v="1"/>
    <n v="0"/>
    <n v="0"/>
    <x v="0"/>
    <x v="0"/>
    <s v="Aspire Dome - level 2"/>
    <s v="FIFA/LOC Offices"/>
    <s v="FIFA Workforce"/>
    <s v="FIFA Workforce"/>
    <s v="TBC if they are on site"/>
  </r>
  <r>
    <s v="IS00WF"/>
    <x v="1"/>
    <x v="1"/>
    <s v=""/>
    <s v="General Internet Access"/>
    <s v="Wireless coverage - Shared Internet Service - FIFA"/>
    <s v="IS00WF - Wireless coverage - Shared Internet Service - Wi-Fi FIFA (General Internet Access)"/>
    <n v="1"/>
    <n v="0"/>
    <n v="0"/>
    <n v="1"/>
    <n v="0"/>
    <n v="0"/>
    <x v="0"/>
    <x v="1"/>
    <s v="FIFA/LOC Offices"/>
    <s v="FIFA/LOC Offices"/>
    <s v="FIFA Workforce"/>
    <s v="FIFA Workforce"/>
    <m/>
  </r>
  <r>
    <s v="IS00WF"/>
    <x v="1"/>
    <x v="1"/>
    <s v=""/>
    <s v="General Internet Access"/>
    <s v="Wireless coverage - Shared Internet Service - FIFA"/>
    <s v="IS00WF - Wireless coverage - Shared Internet Service - Wi-Fi FIFA (General Internet Access)"/>
    <n v="1"/>
    <n v="0"/>
    <n v="0"/>
    <n v="1"/>
    <n v="0"/>
    <n v="0"/>
    <x v="0"/>
    <x v="0"/>
    <s v="Aspire Dome - level 2"/>
    <s v="FIFA/LOC Offices"/>
    <s v="FIFA Workforce"/>
    <s v="FIFA Workforce"/>
    <s v="TBC if they are on site"/>
  </r>
  <r>
    <s v="IS00WF"/>
    <x v="1"/>
    <x v="1"/>
    <s v=""/>
    <s v="General Internet Access"/>
    <s v="Wireless coverage - Shared Internet Service - FIFA"/>
    <s v="IS00WF - Wireless coverage - Shared Internet Service - Wi-Fi FIFA (General Internet Access)"/>
    <n v="1"/>
    <n v="0"/>
    <n v="0"/>
    <n v="1"/>
    <n v="0"/>
    <n v="0"/>
    <x v="0"/>
    <x v="0"/>
    <s v="Aspire Dome - level 2"/>
    <s v="FIFA/LOC Workforce Area"/>
    <s v="FIFA Workforce"/>
    <s v="FIFA Workforce"/>
    <s v="TBC if they are on site"/>
  </r>
  <r>
    <s v="IS00WF"/>
    <x v="1"/>
    <x v="1"/>
    <s v=""/>
    <s v="General Internet Access"/>
    <s v="Wireless coverage - Shared Internet Service - FIFA"/>
    <s v="IS00WF - Wireless coverage - Shared Internet Service - Wi-Fi FIFA (General Internet Access)"/>
    <n v="1"/>
    <n v="0"/>
    <n v="0"/>
    <n v="1"/>
    <n v="0"/>
    <n v="0"/>
    <x v="0"/>
    <x v="0"/>
    <s v="Aspire Dome - level 2"/>
    <s v="FIFA Storage"/>
    <s v="FIFA Workforce"/>
    <s v="FIFA Workforce"/>
    <s v="TBC if they are on site"/>
  </r>
  <r>
    <s v="IS00WF"/>
    <x v="1"/>
    <x v="1"/>
    <s v=""/>
    <s v="General Internet Access"/>
    <s v="Wireless coverage - Shared Internet Service - FIFA"/>
    <s v="IS00WF - Wireless coverage - Shared Internet Service - Wi-Fi FIFA (General Internet Access)"/>
    <n v="1"/>
    <n v="0"/>
    <n v="0"/>
    <n v="1"/>
    <n v="0"/>
    <n v="0"/>
    <x v="0"/>
    <x v="0"/>
    <s v="Aspire Dome - level 2"/>
    <s v="FIFA/LOC Meeting Room"/>
    <s v="FIFA Workforce"/>
    <s v="FIFA Workforce"/>
    <s v="TBC if they are on site"/>
  </r>
  <r>
    <s v="IS00WF"/>
    <x v="1"/>
    <x v="1"/>
    <s v=""/>
    <s v="General Internet Access"/>
    <s v="Wireless coverage - Shared Internet Service - FIFA"/>
    <s v="IS00WF - Wireless coverage - Shared Internet Service - Wi-Fi FIFA (General Internet Access)"/>
    <n v="1"/>
    <n v="0"/>
    <n v="0"/>
    <n v="1"/>
    <n v="0"/>
    <n v="0"/>
    <x v="0"/>
    <x v="0"/>
    <s v="Aspire Dome - level 1"/>
    <s v="LOC Offices/Storage Area"/>
    <s v="FIFA Workforce"/>
    <s v="FIFA Workforce"/>
    <s v="TBC if they are on site"/>
  </r>
  <r>
    <s v="TVLGIP"/>
    <x v="6"/>
    <x v="4"/>
    <s v=""/>
    <s v=""/>
    <s v="Large TV - CATV Feed"/>
    <s v="TVLGIP - TV - Large - IPTV"/>
    <n v="2"/>
    <n v="2"/>
    <n v="0"/>
    <n v="2"/>
    <n v="2"/>
    <n v="0"/>
    <x v="0"/>
    <x v="0"/>
    <s v="Aspire Dome - level 2"/>
    <s v="FIFA/LOC Offices"/>
    <s v="FIFA Workforce"/>
    <s v="FIFA Workforce"/>
    <s v="TBC Location wise"/>
  </r>
  <r>
    <s v="TVLGSA"/>
    <x v="17"/>
    <x v="5"/>
    <s v=""/>
    <s v=""/>
    <s v="Large TV - Standalone"/>
    <s v="TVLGSA - TV - Large - Standalone"/>
    <n v="1"/>
    <n v="0"/>
    <n v="0"/>
    <n v="1"/>
    <n v="0"/>
    <n v="0"/>
    <x v="0"/>
    <x v="0"/>
    <s v="Aspire Dome - level 2"/>
    <s v="FIFA/LOC Offices"/>
    <s v="FIFA Workforce"/>
    <s v="FIFA Workforce"/>
    <s v="TBC Meeting rooms"/>
  </r>
  <r>
    <s v="TVSTND"/>
    <x v="7"/>
    <x v="0"/>
    <s v=""/>
    <s v=""/>
    <s v="TV Stand for medium and large TVs"/>
    <s v="TVSTND - TV Stand - Medium &amp; Large TVs"/>
    <n v="3"/>
    <n v="0"/>
    <n v="0"/>
    <n v="3"/>
    <n v="0"/>
    <n v="0"/>
    <x v="0"/>
    <x v="0"/>
    <s v="Aspire Dome - level 2"/>
    <s v="FIFA/LOC Offices"/>
    <s v="FIFA Workforce"/>
    <s v="FIFA Workforce"/>
    <s v="TBC Location wise"/>
  </r>
  <r>
    <s v="IS00WF"/>
    <x v="1"/>
    <x v="1"/>
    <s v=""/>
    <s v="General Internet Access"/>
    <s v="Wireless coverage - Shared Internet Service - FIFA"/>
    <s v="IS00WF - Wireless coverage - Shared Internet Service - Wi-Fi FIFA (General Internet Access)"/>
    <n v="1"/>
    <n v="0"/>
    <n v="0"/>
    <n v="1"/>
    <n v="0"/>
    <n v="0"/>
    <x v="0"/>
    <x v="0"/>
    <s v="Aspire Dome - level 1"/>
    <s v="Youth Programme Area"/>
    <s v="Partner Rights Delivery"/>
    <s v="Partner Rights Delivery"/>
    <m/>
  </r>
  <r>
    <s v="IS00WF"/>
    <x v="1"/>
    <x v="1"/>
    <s v=""/>
    <s v="General Internet Access"/>
    <s v="Wireless coverage - Shared Internet Service - FIFA"/>
    <s v="IS00WF - Wireless coverage - Shared Internet Service - Wi-Fi FIFA (General Internet Access)"/>
    <n v="1"/>
    <n v="0"/>
    <n v="0"/>
    <n v="1"/>
    <n v="0"/>
    <n v="0"/>
    <x v="0"/>
    <x v="0"/>
    <s v="Stadium Perimeter"/>
    <s v="Brand Activation Area 1"/>
    <s v="Partner Rights Delivery"/>
    <s v="Partner Rights Delivery"/>
    <s v="Can be 4G too. Position 5 on the map"/>
  </r>
  <r>
    <s v="IS00WF"/>
    <x v="1"/>
    <x v="1"/>
    <s v=""/>
    <s v="General Internet Access"/>
    <s v="Wireless coverage - Shared Internet Service - FIFA"/>
    <s v="IS00WF - Wireless coverage - Shared Internet Service - Wi-Fi FIFA (General Internet Access)"/>
    <n v="1"/>
    <n v="0"/>
    <n v="0"/>
    <n v="1"/>
    <n v="0"/>
    <n v="0"/>
    <x v="0"/>
    <x v="0"/>
    <s v="Stadium Perimeter"/>
    <s v="Brand Activation Area 2"/>
    <s v="Partner Rights Delivery"/>
    <s v="Partner Rights Delivery"/>
    <s v="Can be 4G too. Position 5 on the map"/>
  </r>
  <r>
    <s v="IS00WF"/>
    <x v="1"/>
    <x v="1"/>
    <s v=""/>
    <s v="General Internet Access"/>
    <s v="Wireless coverage - Shared Internet Service - FIFA"/>
    <s v="IS00WF - Wireless coverage - Shared Internet Service - Wi-Fi FIFA (General Internet Access)"/>
    <n v="1"/>
    <n v="0"/>
    <n v="0"/>
    <n v="1"/>
    <n v="0"/>
    <n v="0"/>
    <x v="0"/>
    <x v="0"/>
    <s v="Stadium Perimeter"/>
    <s v="Brand Activation Area 3"/>
    <s v="Partner Rights Delivery"/>
    <s v="Partner Rights Delivery"/>
    <s v="Can be 4G too. Position 5 on the map"/>
  </r>
  <r>
    <s v="ITSIBU"/>
    <x v="18"/>
    <x v="6"/>
    <s v=""/>
    <s v=""/>
    <s v="IT Solution - 4G Internet backup "/>
    <s v="ITSIBU - IT Solution - 4G Internet backup "/>
    <n v="4"/>
    <n v="0"/>
    <n v="1"/>
    <n v="1"/>
    <n v="0"/>
    <n v="1"/>
    <x v="0"/>
    <x v="1"/>
    <s v="Stadium Perimeter"/>
    <s v="Brand Activation Area"/>
    <s v="Partner Rights Delivery"/>
    <s v="Partner Rights Delivery"/>
    <s v="TBC if activated"/>
  </r>
  <r>
    <s v="TVLGIP"/>
    <x v="6"/>
    <x v="4"/>
    <s v=""/>
    <s v=""/>
    <s v="Large TV - CATV Feed"/>
    <s v="TVLGIP - TV - Large - IPTV"/>
    <n v="1"/>
    <n v="1"/>
    <n v="0"/>
    <n v="1"/>
    <n v="1"/>
    <n v="0"/>
    <x v="0"/>
    <x v="0"/>
    <s v="Aspire Dome - level 1"/>
    <s v="Youth Programme Area"/>
    <s v="Partner Rights Delivery"/>
    <s v="Partner Rights Delivery"/>
    <m/>
  </r>
  <r>
    <s v="TVSTND"/>
    <x v="7"/>
    <x v="0"/>
    <s v=""/>
    <s v=""/>
    <s v="TV Stand for medium and large TVs"/>
    <s v="TVSTND - TV Stand - Medium &amp; Large TVs"/>
    <n v="1"/>
    <n v="0"/>
    <n v="0"/>
    <n v="1"/>
    <n v="0"/>
    <n v="0"/>
    <x v="0"/>
    <x v="0"/>
    <s v="Aspire Dome - level 1"/>
    <s v="Youth Programme Area"/>
    <s v="Partner Rights Delivery"/>
    <s v="Partner Rights Delivery"/>
    <m/>
  </r>
  <r>
    <s v="WRDMED"/>
    <x v="5"/>
    <x v="1"/>
    <s v=""/>
    <s v="Media Internet Access Media"/>
    <s v="Wired Port - Internet for Media"/>
    <s v="WRDMED - Wired Port - Media Internet (Media Internet Access Media)"/>
    <n v="1"/>
    <n v="1"/>
    <n v="0"/>
    <n v="1"/>
    <n v="1"/>
    <n v="0"/>
    <x v="0"/>
    <x v="1"/>
    <s v="Pitch side"/>
    <s v="Field of Play - LED operator"/>
    <s v="Partner Rights Delivery"/>
    <s v="Partner Rights Delivery"/>
    <s v="to be kept for the Arab Cup"/>
  </r>
  <r>
    <s v="TABLEN"/>
    <x v="4"/>
    <x v="2"/>
    <s v="Single"/>
    <s v=""/>
    <s v="Professional Series Tablet + 4G"/>
    <s v="TABLEN - Tablet - FIFA Professional Tablet + 4G"/>
    <n v="1"/>
    <n v="0"/>
    <n v="1"/>
    <n v="1"/>
    <n v="0"/>
    <n v="1"/>
    <x v="1"/>
    <x v="0"/>
    <s v="Aspire Dome - level 2"/>
    <s v="FIFA/LOC Offices"/>
    <s v="Safeguarding"/>
    <s v="Safeguarding"/>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9">
  <r>
    <s v="DSKMNT"/>
    <x v="0"/>
    <x v="0"/>
    <s v=""/>
    <s v=""/>
    <s v="24&quot; PC Monitor"/>
    <s v="DSKMNT - 24&quot; Monitor - HDMI/DP"/>
    <n v="5"/>
    <n v="0"/>
    <n v="0"/>
    <n v="5"/>
    <n v="0"/>
    <n v="0"/>
    <x v="0"/>
    <s v="Aspire Center - HQ"/>
    <s v="Stadium Offices"/>
    <s v="Infotainment Control Room"/>
    <s v="Entertainment"/>
    <s v="Entertainment"/>
    <s v="based on availability"/>
  </r>
  <r>
    <s v="IS00WF"/>
    <x v="1"/>
    <x v="1"/>
    <s v=""/>
    <s v="General Internet Access"/>
    <s v="Wireless coverage - Shared Internet Service - FIFA"/>
    <s v="IS00WF - Wireless coverage - Shared Internet Service - Wi-Fi FIFA (General Internet Access)"/>
    <n v="1"/>
    <n v="0"/>
    <n v="0"/>
    <n v="1"/>
    <n v="0"/>
    <n v="0"/>
    <x v="0"/>
    <s v="Khalifa"/>
    <s v="Stadium Offices"/>
    <s v="Infotainment Control Room"/>
    <s v="Entertainment"/>
    <s v="Entertainment"/>
    <m/>
  </r>
  <r>
    <s v="IS00WF"/>
    <x v="1"/>
    <x v="1"/>
    <s v=""/>
    <s v="General Internet Access"/>
    <s v="Wireless coverage - Shared Internet Service - FIFA"/>
    <s v="IS00WF - Wireless coverage - Shared Internet Service - Wi-Fi FIFA (General Internet Access)"/>
    <n v="1"/>
    <n v="0"/>
    <n v="0"/>
    <n v="1"/>
    <n v="0"/>
    <n v="0"/>
    <x v="0"/>
    <s v="Aspire Center - HQ"/>
    <s v="Stadium Offices"/>
    <s v="Infotainment Control Room"/>
    <s v="Entertainment"/>
    <s v="Entertainment"/>
    <s v="3 locations TBC"/>
  </r>
  <r>
    <s v="LAPEVT"/>
    <x v="2"/>
    <x v="2"/>
    <s v="Single"/>
    <s v=""/>
    <s v="FIFA Laptop"/>
    <s v="LAPEVT - Laptop - FIFA Event Build"/>
    <n v="8"/>
    <n v="0"/>
    <n v="0"/>
    <n v="8"/>
    <n v="0"/>
    <n v="0"/>
    <x v="1"/>
    <s v="Aspire Center - HQ"/>
    <s v="Stadium Offices"/>
    <s v="Infotainment Control Room"/>
    <s v="Entertainment"/>
    <s v="Entertainment"/>
    <s v="will move to the final"/>
  </r>
  <r>
    <s v="MFDDNW"/>
    <x v="3"/>
    <x v="3"/>
    <s v=""/>
    <s v="General Internet Access"/>
    <s v="Colour Printer / Scanner (A4)"/>
    <s v="MFDDNW - MFD Desktop - Colour - A4 - Network (General Internet Access)"/>
    <n v="1"/>
    <n v="1"/>
    <n v="0"/>
    <n v="1"/>
    <n v="1"/>
    <n v="0"/>
    <x v="0"/>
    <s v="Khalifa"/>
    <s v="Stadium Offices"/>
    <s v="Infotainment Control Room"/>
    <s v="Entertainment"/>
    <s v="Entertainment"/>
    <m/>
  </r>
  <r>
    <s v="TABLEN"/>
    <x v="4"/>
    <x v="2"/>
    <s v="Single"/>
    <s v=""/>
    <s v="Professional Series Tablet + 4G"/>
    <s v="TABLEN - Tablet - FIFA Professional Tablet + 4G"/>
    <n v="5"/>
    <n v="0"/>
    <n v="5"/>
    <n v="5"/>
    <n v="0"/>
    <n v="0"/>
    <x v="1"/>
    <s v="Aspire Center - HQ"/>
    <s v="Stadium Offices"/>
    <s v="Infotainment Control Room"/>
    <s v="Entertainment"/>
    <s v="Entertainment"/>
    <s v="will move to the final"/>
  </r>
  <r>
    <s v="WRDMED"/>
    <x v="5"/>
    <x v="1"/>
    <s v=""/>
    <s v="Media Internet Access Media"/>
    <s v="Wired Port - Internet for Media"/>
    <s v="WRDMED - Wired Port - Media Internet (Media Internet Access Media)"/>
    <n v="2"/>
    <n v="2"/>
    <n v="0"/>
    <n v="2"/>
    <n v="2"/>
    <n v="0"/>
    <x v="0"/>
    <s v="Khalifa"/>
    <s v="Stadium Offices"/>
    <s v="Infotainment Control Room"/>
    <s v="Entertainment"/>
    <s v="Entertainment"/>
    <m/>
  </r>
  <r>
    <s v="WRDMED"/>
    <x v="5"/>
    <x v="1"/>
    <s v=""/>
    <s v="Media Internet Access Media"/>
    <s v="Wired Port - Internet for Media"/>
    <s v="WRDMED - Wired Port - Media Internet (Media Internet Access Media)"/>
    <n v="5"/>
    <n v="5"/>
    <n v="0"/>
    <n v="5"/>
    <n v="5"/>
    <n v="0"/>
    <x v="0"/>
    <s v="Aspire Center - HQ"/>
    <s v="Stadium Offices"/>
    <s v="Infotainment Control Room"/>
    <s v="Entertainment"/>
    <s v="Entertainment"/>
    <s v="3 locations TBC"/>
  </r>
  <r>
    <s v="IS00WF"/>
    <x v="1"/>
    <x v="1"/>
    <s v=""/>
    <s v="General Internet Access"/>
    <s v="Wireless coverage - Shared Internet Service - FIFA"/>
    <s v="IS00WF - Wireless coverage - Shared Internet Service - Wi-Fi FIFA (General Internet Access)"/>
    <n v="1"/>
    <n v="0"/>
    <n v="0"/>
    <n v="1"/>
    <n v="0"/>
    <n v="0"/>
    <x v="0"/>
    <s v="Khalifa"/>
    <s v="Competition area"/>
    <s v="Doping Control Room"/>
    <s v="FIFA Anti Doping"/>
    <s v="FIFA Anti Doping"/>
    <m/>
  </r>
  <r>
    <s v="TVLGIP"/>
    <x v="6"/>
    <x v="4"/>
    <s v=""/>
    <s v=""/>
    <s v="Large TV - CATV Feed"/>
    <s v="TVLGIP - TV - Large - IPTV"/>
    <n v="1"/>
    <n v="1"/>
    <n v="0"/>
    <n v="1"/>
    <n v="1"/>
    <n v="0"/>
    <x v="0"/>
    <s v="Khalifa"/>
    <s v="Competition area"/>
    <s v="Doping Control Room"/>
    <s v="FIFA Anti Doping"/>
    <s v="FIFA Anti Doping"/>
    <m/>
  </r>
  <r>
    <s v="TVSTND"/>
    <x v="7"/>
    <x v="0"/>
    <s v=""/>
    <s v=""/>
    <s v="TV Stand for medium and large TVs"/>
    <s v="TVSTND - TV Stand - Medium &amp; Large TVs"/>
    <n v="1"/>
    <n v="0"/>
    <n v="0"/>
    <n v="1"/>
    <n v="0"/>
    <n v="0"/>
    <x v="0"/>
    <s v="Khalifa"/>
    <s v="Competition area"/>
    <s v="Doping Control Room"/>
    <s v="FIFA Anti Doping"/>
    <s v="FIFA Anti Doping"/>
    <m/>
  </r>
  <r>
    <s v="IS00WF"/>
    <x v="1"/>
    <x v="1"/>
    <s v=""/>
    <s v="General Internet Access"/>
    <s v="Wireless coverage - Shared Internet Service - FIFA"/>
    <s v="IS00WF - Wireless coverage - Shared Internet Service - Wi-Fi FIFA (General Internet Access)"/>
    <n v="1"/>
    <n v="0"/>
    <n v="0"/>
    <n v="1"/>
    <n v="0"/>
    <n v="0"/>
    <x v="0"/>
    <s v="Aspire Center - HQ"/>
    <s v="Super Club"/>
    <s v="Doping Control Room"/>
    <s v="FIFA Anti Doping"/>
    <s v="FIFA Anti Doping"/>
    <m/>
  </r>
  <r>
    <s v="TABLEN"/>
    <x v="4"/>
    <x v="2"/>
    <s v="Single"/>
    <s v=""/>
    <s v="Professional Series Tablet + 4G"/>
    <s v="TABLEN - Tablet - FIFA Professional Tablet + 4G"/>
    <n v="4"/>
    <n v="0"/>
    <n v="4"/>
    <n v="4"/>
    <n v="0"/>
    <n v="4"/>
    <x v="1"/>
    <s v="Aspire Center - HQ"/>
    <s v="Super Club"/>
    <s v="Doping Control Room"/>
    <s v="FIFA Anti Doping"/>
    <s v="FIFA Anti Doping"/>
    <s v="MODOC app to be installed/available in Play Store"/>
  </r>
  <r>
    <s v="TVLGIP"/>
    <x v="6"/>
    <x v="4"/>
    <s v=""/>
    <s v=""/>
    <s v="Large TV - CATV Feed"/>
    <s v="TVLGIP - TV - Large - IPTV"/>
    <n v="1"/>
    <n v="1"/>
    <n v="0"/>
    <n v="1"/>
    <n v="1"/>
    <n v="0"/>
    <x v="0"/>
    <s v="Aspire Center - HQ"/>
    <s v="Super Club"/>
    <s v="Doping Control Room"/>
    <s v="FIFA Anti Doping"/>
    <s v="FIFA Anti Doping"/>
    <m/>
  </r>
  <r>
    <s v="TVSTND"/>
    <x v="7"/>
    <x v="0"/>
    <s v=""/>
    <s v=""/>
    <s v="TV Stand for medium and large TVs"/>
    <s v="TVSTND - TV Stand - Medium &amp; Large TVs"/>
    <n v="1"/>
    <n v="0"/>
    <n v="0"/>
    <n v="1"/>
    <n v="0"/>
    <n v="0"/>
    <x v="0"/>
    <s v="Aspire Center - HQ"/>
    <s v="Super Club"/>
    <s v="Doping Control Room"/>
    <s v="FIFA Anti Doping"/>
    <s v="FIFA Anti Doping"/>
    <m/>
  </r>
  <r>
    <s v="IS00WF"/>
    <x v="1"/>
    <x v="1"/>
    <s v=""/>
    <s v="General Internet Access"/>
    <s v="Wireless coverage - Shared Internet Service - FIFA"/>
    <s v="IS00WF - Wireless coverage - Shared Internet Service - Wi-Fi FIFA (General Internet Access)"/>
    <n v="1"/>
    <n v="0"/>
    <n v="0"/>
    <n v="1"/>
    <n v="0"/>
    <n v="0"/>
    <x v="0"/>
    <s v="Aspire Center - HQ"/>
    <s v="Broadcast Compound 1"/>
    <s v="Broadcast and Streaming Office 1"/>
    <s v="FIFA Broadcast"/>
    <s v="FIFA Broadcast"/>
    <m/>
  </r>
  <r>
    <s v="MFDDNW"/>
    <x v="3"/>
    <x v="3"/>
    <s v=""/>
    <s v="General Internet Access"/>
    <s v="Colour Printer / Scanner (A4)"/>
    <s v="MFDDNW - MFD Desktop - Colour - A4 - Network (General Internet Access)"/>
    <n v="1"/>
    <n v="1"/>
    <n v="0"/>
    <n v="1"/>
    <n v="1"/>
    <n v="0"/>
    <x v="0"/>
    <s v="Aspire Center - HQ"/>
    <s v="Broadcast Compound 1"/>
    <s v="Broadcast and Streaming Office 1"/>
    <s v="FIFA Broadcast"/>
    <s v="FIFA Broadcast"/>
    <m/>
  </r>
  <r>
    <s v="WRDGEN"/>
    <x v="8"/>
    <x v="1"/>
    <s v=""/>
    <s v="General Internet Access"/>
    <s v="Wired Port - Internet"/>
    <s v="WRDGEN - Wired Port - General Internet  (General Internet Access)"/>
    <n v="6"/>
    <n v="1"/>
    <n v="0"/>
    <n v="1"/>
    <n v="1"/>
    <n v="0"/>
    <x v="0"/>
    <s v="Aspire Center - HQ"/>
    <s v="Broadcast Compound 1"/>
    <s v="Broadcast and Streaming Office 1"/>
    <s v="FIFA Broadcast"/>
    <s v="FIFA Broadcast"/>
    <m/>
  </r>
  <r>
    <s v="WRDSTU"/>
    <x v="9"/>
    <x v="1"/>
    <s v=""/>
    <s v="FIFA Technical Content"/>
    <s v="Wired Port - Content"/>
    <s v="WRDSTU - Wired Port - Content (FIFA Technical Content)"/>
    <n v="1"/>
    <n v="1"/>
    <n v="0"/>
    <n v="1"/>
    <n v="1"/>
    <n v="0"/>
    <x v="0"/>
    <s v="Aspire Center - HQ"/>
    <s v="Broadcast Compound 1"/>
    <s v="Broadcast and Streaming Office 1"/>
    <s v="FIFA Broadcast"/>
    <s v="FIFA Broadcast"/>
    <m/>
  </r>
  <r>
    <s v="IS00WF"/>
    <x v="1"/>
    <x v="1"/>
    <s v=""/>
    <s v="General Internet Access"/>
    <s v="Wireless coverage - Shared Internet Service - FIFA"/>
    <s v="IS00WF - Wireless coverage - Shared Internet Service - Wi-Fi FIFA (General Internet Access)"/>
    <n v="1"/>
    <n v="0"/>
    <n v="0"/>
    <n v="1"/>
    <n v="0"/>
    <n v="0"/>
    <x v="0"/>
    <s v="Aspire Center - HQ"/>
    <s v="Broadcast Compound 2"/>
    <s v="Broadcast and Streaming Office 2"/>
    <s v="FIFA Broadcast"/>
    <s v="FIFA Broadcast"/>
    <m/>
  </r>
  <r>
    <s v="MFDDNW"/>
    <x v="3"/>
    <x v="3"/>
    <s v=""/>
    <s v="General Internet Access"/>
    <s v="Colour Printer / Scanner (A4)"/>
    <s v="MFDDNW - MFD Desktop - Colour - A4 - Network (General Internet Access)"/>
    <n v="1"/>
    <n v="1"/>
    <n v="0"/>
    <n v="1"/>
    <n v="1"/>
    <n v="0"/>
    <x v="0"/>
    <s v="Aspire Center - HQ"/>
    <s v="Broadcast Compound 2"/>
    <s v="Broadcast and Streaming Office 2"/>
    <s v="FIFA Broadcast"/>
    <s v="FIFA Broadcast"/>
    <m/>
  </r>
  <r>
    <s v="WRDGEN"/>
    <x v="8"/>
    <x v="1"/>
    <s v=""/>
    <s v="General Internet Access"/>
    <s v="Wired Port - Internet"/>
    <s v="WRDGEN - Wired Port - General Internet  (General Internet Access)"/>
    <n v="6"/>
    <n v="1"/>
    <n v="0"/>
    <n v="1"/>
    <n v="1"/>
    <n v="0"/>
    <x v="0"/>
    <s v="Aspire Center - HQ"/>
    <s v="Broadcast Compound 2"/>
    <s v="Broadcast and Streaming Office 2"/>
    <s v="FIFA Broadcast"/>
    <s v="FIFA Broadcast"/>
    <m/>
  </r>
  <r>
    <s v="WRDSTU"/>
    <x v="9"/>
    <x v="1"/>
    <s v=""/>
    <s v="FIFA Technical Content"/>
    <s v="Wired Port - Content"/>
    <s v="WRDSTU - Wired Port - Content (FIFA Technical Content)"/>
    <n v="1"/>
    <n v="1"/>
    <n v="0"/>
    <n v="1"/>
    <n v="1"/>
    <n v="0"/>
    <x v="0"/>
    <s v="Aspire Center - HQ"/>
    <s v="Broadcast Compound 2"/>
    <s v="Broadcast and Streaming Office 2"/>
    <s v="FIFA Broadcast"/>
    <s v="FIFA Broadcast"/>
    <m/>
  </r>
  <r>
    <s v="IS00WF"/>
    <x v="1"/>
    <x v="1"/>
    <s v=""/>
    <s v="General Internet Access"/>
    <s v="Wireless coverage - Shared Internet Service - FIFA"/>
    <s v="IS00WF - Wireless coverage - Shared Internet Service - Wi-Fi FIFA (General Internet Access)"/>
    <n v="1"/>
    <n v="0"/>
    <n v="0"/>
    <n v="1"/>
    <n v="0"/>
    <n v="0"/>
    <x v="0"/>
    <s v="Aspire Center - HQ"/>
    <s v="Stadium Offices"/>
    <s v="Entertainment Control Room AE live"/>
    <s v="FIFA Broadcast"/>
    <s v="FIFA Broadcast"/>
    <s v="TBC how many locations and giant screens are"/>
  </r>
  <r>
    <s v="WRDFTI"/>
    <x v="10"/>
    <x v="1"/>
    <s v=""/>
    <s v="FIFA Technical FTI"/>
    <s v="Wired Port - FTI"/>
    <s v="WRDFTI - Wired Port - FTI (FIFA Technical FTI)"/>
    <n v="3"/>
    <n v="3"/>
    <n v="0"/>
    <n v="3"/>
    <n v="3"/>
    <n v="0"/>
    <x v="0"/>
    <s v="Aspire Center - HQ"/>
    <s v="Stadium Offices"/>
    <s v="Entertainment Control Room AE live"/>
    <s v="FIFA Broadcast"/>
    <s v="FIFA Broadcast"/>
    <s v="TBC how many locations and giant screens are"/>
  </r>
  <r>
    <s v="WRDGEN"/>
    <x v="8"/>
    <x v="1"/>
    <s v=""/>
    <s v="General Internet Access"/>
    <s v="Wired Port - Internet"/>
    <s v="WRDGEN - Wired Port - General Internet  (General Internet Access)"/>
    <n v="3"/>
    <n v="3"/>
    <n v="0"/>
    <n v="3"/>
    <n v="3"/>
    <n v="0"/>
    <x v="0"/>
    <s v="Aspire Center - HQ"/>
    <s v="Stadium Offices"/>
    <s v="Entertainment Control Room AE live"/>
    <s v="FIFA Broadcast"/>
    <s v="FIFA Broadcast"/>
    <s v="TBC how many locations and giant screens are"/>
  </r>
  <r>
    <s v="IS00WM"/>
    <x v="11"/>
    <x v="1"/>
    <s v=""/>
    <s v="Media Internet Access"/>
    <s v="Wireless coverage - Internet Service - Media"/>
    <s v="IS00WM - Wireless coverage - Internet Service - Wi-Fi Media (Media Internet Access)"/>
    <n v="1"/>
    <n v="0"/>
    <n v="0"/>
    <n v="1"/>
    <n v="0"/>
    <n v="0"/>
    <x v="0"/>
    <s v="Aspire Center - HQ"/>
    <s v="Pitch 1-10-12"/>
    <s v="MRL behind goal - Left side"/>
    <s v="FIFA Broadcast"/>
    <s v="FIFA Broadcast"/>
    <s v="LOC TBC if Wired"/>
  </r>
  <r>
    <s v="IS00WM"/>
    <x v="11"/>
    <x v="1"/>
    <s v=""/>
    <s v="Media Internet Access"/>
    <s v="Wireless coverage - Internet Service - Media"/>
    <s v="IS00WM - Wireless coverage - Internet Service - Wi-Fi Media (Media Internet Access)"/>
    <n v="1"/>
    <n v="0"/>
    <n v="0"/>
    <n v="1"/>
    <n v="0"/>
    <n v="0"/>
    <x v="0"/>
    <s v="Aspire Center - HQ"/>
    <s v="Pitch 1-10-12"/>
    <s v="MRL behind goal - Right side"/>
    <s v="FIFA Broadcast"/>
    <s v="FIFA Broadcast"/>
    <s v="LOC TBC if Wired"/>
  </r>
  <r>
    <s v="IS00WM"/>
    <x v="11"/>
    <x v="1"/>
    <s v=""/>
    <s v="Media Internet Access"/>
    <s v="Wireless coverage - Internet Service - Media"/>
    <s v="IS00WM - Wireless coverage - Internet Service - Wi-Fi Media (Media Internet Access)"/>
    <n v="1"/>
    <n v="0"/>
    <n v="0"/>
    <n v="1"/>
    <n v="0"/>
    <n v="0"/>
    <x v="0"/>
    <s v="Aspire Center - HQ"/>
    <s v="Pitch 1-10-12"/>
    <s v="MRL Positions - Left - 16m line"/>
    <s v="FIFA Broadcast"/>
    <s v="FIFA Broadcast"/>
    <s v="LOC TBC if Wired"/>
  </r>
  <r>
    <s v="IS00WM"/>
    <x v="11"/>
    <x v="1"/>
    <s v=""/>
    <s v="Media Internet Access"/>
    <s v="Wireless coverage - Internet Service - Media"/>
    <s v="IS00WM - Wireless coverage - Internet Service - Wi-Fi Media (Media Internet Access)"/>
    <n v="1"/>
    <n v="0"/>
    <n v="0"/>
    <n v="1"/>
    <n v="0"/>
    <n v="0"/>
    <x v="0"/>
    <s v="Aspire Center - HQ"/>
    <s v="Pitch 1-10-12"/>
    <s v="MRL Positions - Right - 16m line"/>
    <s v="FIFA Broadcast"/>
    <s v="FIFA Broadcast"/>
    <s v="LOC TBC if Wired"/>
  </r>
  <r>
    <s v="WRDGEN"/>
    <x v="8"/>
    <x v="1"/>
    <s v=""/>
    <s v="General Internet Access"/>
    <s v="Wired Port - Internet"/>
    <s v="WRDGEN - Wired Port - General Internet  (General Internet Access)"/>
    <n v="2"/>
    <n v="2"/>
    <n v="0"/>
    <n v="2"/>
    <n v="2"/>
    <n v="0"/>
    <x v="0"/>
    <s v="Aspire Center - HQ"/>
    <s v="Broadcast Compound 1"/>
    <s v="OB Van 1"/>
    <s v="FIFA Broadcast"/>
    <s v="FIFA Broadcast"/>
    <s v="1 general 1 backup (50Mb)"/>
  </r>
  <r>
    <s v="WRDGEN"/>
    <x v="8"/>
    <x v="1"/>
    <s v=""/>
    <s v="General Internet Access"/>
    <s v="Wired Port - Internet"/>
    <s v="WRDGEN - Wired Port - General Internet  (General Internet Access)"/>
    <n v="2"/>
    <n v="2"/>
    <n v="0"/>
    <n v="2"/>
    <n v="2"/>
    <n v="0"/>
    <x v="0"/>
    <s v="Aspire Center - HQ"/>
    <s v="Broadcast Compound 2"/>
    <s v="OB Van 2"/>
    <s v="FIFA Broadcast"/>
    <s v="FIFA Broadcast"/>
    <s v="1 general 1 backup (50Mb)"/>
  </r>
  <r>
    <s v="WRDGEN"/>
    <x v="8"/>
    <x v="1"/>
    <s v=""/>
    <s v="General Internet Access"/>
    <s v="Wired Port - Internet"/>
    <s v="WRDGEN - Wired Port - General Internet  (General Internet Access)"/>
    <n v="1"/>
    <n v="1"/>
    <n v="0"/>
    <n v="1"/>
    <n v="1"/>
    <n v="0"/>
    <x v="0"/>
    <s v="Aspire Center - HQ"/>
    <s v="Broadcast Compound 1"/>
    <s v="Satellite and HB Cabin 1"/>
    <s v="FIFA Broadcast"/>
    <s v="FIFA Broadcast"/>
    <m/>
  </r>
  <r>
    <s v="WRDSTR"/>
    <x v="12"/>
    <x v="1"/>
    <s v=""/>
    <s v="Stream Fabs &amp; W Feed"/>
    <s v="Wired Port - Stream &amp; World feed"/>
    <s v="WRDSTR - Wired Port - Stream &amp; World feed (Stream Fabs &amp; W Feed)"/>
    <n v="3"/>
    <n v="12"/>
    <n v="0"/>
    <n v="12"/>
    <n v="12"/>
    <n v="0"/>
    <x v="0"/>
    <s v="Aspire Center - HQ"/>
    <s v="Broadcast Compound 1"/>
    <s v="Satellite and HB Cabin 1"/>
    <s v="FIFA Broadcast"/>
    <s v="FIFA Broadcast"/>
    <s v="high speed 50Mb 4 games"/>
  </r>
  <r>
    <s v="WRDGEN"/>
    <x v="8"/>
    <x v="1"/>
    <s v=""/>
    <s v="General Internet Access"/>
    <s v="Wired Port - Internet"/>
    <s v="WRDGEN - Wired Port - General Internet  (General Internet Access)"/>
    <n v="1"/>
    <n v="1"/>
    <n v="0"/>
    <n v="1"/>
    <n v="1"/>
    <n v="0"/>
    <x v="0"/>
    <s v="Aspire Center - HQ"/>
    <s v="Broadcast Compound 2"/>
    <s v="Satellite and HB Cabin 2"/>
    <s v="FIFA Broadcast"/>
    <s v="FIFA Broadcast"/>
    <m/>
  </r>
  <r>
    <s v="WRDSTR"/>
    <x v="12"/>
    <x v="1"/>
    <s v=""/>
    <s v="Stream Fabs &amp; W Feed"/>
    <s v="Wired Port - Stream &amp; World feed"/>
    <s v="WRDSTR - Wired Port - Stream &amp; World feed (Stream Fabs &amp; W Feed)"/>
    <n v="3"/>
    <n v="4"/>
    <n v="0"/>
    <n v="4"/>
    <n v="4"/>
    <n v="0"/>
    <x v="0"/>
    <s v="Aspire Center - HQ"/>
    <s v="Broadcast Compound 2"/>
    <s v="Satellite and HB Cabin 2"/>
    <s v="FIFA Broadcast"/>
    <s v="FIFA Broadcast"/>
    <s v="high speed 50Mb 4 games"/>
  </r>
  <r>
    <s v="WRDMED"/>
    <x v="5"/>
    <x v="1"/>
    <s v=""/>
    <s v="Media Internet Access Media"/>
    <s v="Wired Port - Internet for Media"/>
    <s v="WRDMED - Wired Port - Media Internet (Media Internet Access Media)"/>
    <n v="2"/>
    <n v="2"/>
    <n v="0"/>
    <n v="2"/>
    <n v="2"/>
    <n v="0"/>
    <x v="0"/>
    <s v="Aspire Center - HQ"/>
    <s v="Flash Interview"/>
    <s v="SMC/MEO/WD/Mixed Zone"/>
    <s v="FIFA Broadcast"/>
    <s v="FIFA Broadcast"/>
    <m/>
  </r>
  <r>
    <s v="IS00WF"/>
    <x v="1"/>
    <x v="1"/>
    <s v=""/>
    <s v="General Internet Access"/>
    <s v="Wireless coverage - Shared Internet Service - FIFA"/>
    <s v="IS00WF - Wireless coverage - Shared Internet Service - Wi-Fi FIFA (General Internet Access)"/>
    <n v="1"/>
    <n v="0"/>
    <n v="0"/>
    <n v="1"/>
    <n v="0"/>
    <n v="0"/>
    <x v="0"/>
    <s v="Khalifa"/>
    <s v="Broadcast Compound"/>
    <s v="Broadcast and Streaming Office"/>
    <s v="FIFA Broadcast"/>
    <s v="FIFA Broadcast"/>
    <m/>
  </r>
  <r>
    <s v="MFDDNW"/>
    <x v="3"/>
    <x v="3"/>
    <s v=""/>
    <s v="General Internet Access"/>
    <s v="Colour Printer / Scanner (A4)"/>
    <s v="MFDDNW - MFD Desktop - Colour - A4 - Network (General Internet Access)"/>
    <n v="1"/>
    <n v="1"/>
    <n v="0"/>
    <n v="1"/>
    <n v="1"/>
    <n v="0"/>
    <x v="0"/>
    <s v="Khalifa"/>
    <s v="Broadcast Compound"/>
    <s v="Broadcast and Streaming Office"/>
    <s v="FIFA Broadcast"/>
    <s v="FIFA Broadcast"/>
    <m/>
  </r>
  <r>
    <s v="WRDGEN"/>
    <x v="8"/>
    <x v="1"/>
    <s v=""/>
    <s v="General Internet Access"/>
    <s v="Wired Port - Internet"/>
    <s v="WRDGEN - Wired Port - General Internet  (General Internet Access)"/>
    <n v="6"/>
    <n v="1"/>
    <n v="0"/>
    <n v="1"/>
    <n v="1"/>
    <n v="0"/>
    <x v="0"/>
    <s v="Khalifa"/>
    <s v="Broadcast Compound"/>
    <s v="Broadcast and Streaming Office"/>
    <s v="FIFA Broadcast"/>
    <s v="FIFA Broadcast"/>
    <m/>
  </r>
  <r>
    <s v="WRDSTU"/>
    <x v="9"/>
    <x v="1"/>
    <s v=""/>
    <s v="FIFA Technical Content"/>
    <s v="Wired Port - Content"/>
    <s v="WRDSTU - Wired Port - Content (FIFA Technical Content)"/>
    <n v="1"/>
    <n v="1"/>
    <n v="0"/>
    <n v="1"/>
    <n v="1"/>
    <n v="0"/>
    <x v="0"/>
    <s v="Khalifa"/>
    <s v="Broadcast Compound"/>
    <s v="Broadcast and Streaming Office"/>
    <s v="FIFA Broadcast"/>
    <s v="FIFA Broadcast"/>
    <m/>
  </r>
  <r>
    <s v="CABLOK"/>
    <x v="13"/>
    <x v="0"/>
    <s v="Multi"/>
    <s v=""/>
    <s v="Laptop Cable Lock"/>
    <s v="CABLOK - Laptop Cable Lock"/>
    <n v="2"/>
    <n v="0"/>
    <n v="0"/>
    <n v="2"/>
    <n v="0"/>
    <n v="0"/>
    <x v="1"/>
    <s v="Khalifa"/>
    <s v="Media Tribunes"/>
    <s v="Commentary Position"/>
    <s v="FIFA Broadcast"/>
    <s v="FIFA Broadcast"/>
    <m/>
  </r>
  <r>
    <s v="LAPPRE"/>
    <x v="14"/>
    <x v="2"/>
    <s v="Single"/>
    <s v=""/>
    <s v="FIFA Presentation Laptop"/>
    <s v="LAPPRE - Laptop - Presentation Build"/>
    <n v="2"/>
    <n v="0"/>
    <n v="0"/>
    <n v="2"/>
    <n v="0"/>
    <n v="0"/>
    <x v="1"/>
    <s v="Khalifa"/>
    <s v="Media Tribunes"/>
    <s v="Commentary Position"/>
    <s v="FIFA Broadcast"/>
    <s v="FIFA Broadcast"/>
    <m/>
  </r>
  <r>
    <s v="WRDMED"/>
    <x v="5"/>
    <x v="1"/>
    <s v=""/>
    <s v="Media Internet Access Media"/>
    <s v="Wired Port - Internet for Media"/>
    <s v="WRDMED - Wired Port - Media Internet (Media Internet Access Media)"/>
    <n v="4"/>
    <n v="4"/>
    <n v="0"/>
    <n v="4"/>
    <n v="4"/>
    <n v="0"/>
    <x v="0"/>
    <s v="Khalifa"/>
    <s v="Media Tribunes"/>
    <s v="Commentary Position"/>
    <s v="FIFA Broadcast"/>
    <s v="FIFA Broadcast"/>
    <s v="1 port for user, 1 port for PRT per position"/>
  </r>
  <r>
    <s v="WRDSTA"/>
    <x v="15"/>
    <x v="1"/>
    <s v=""/>
    <s v="FIFA Standard Internet Access"/>
    <s v="Wired Port - ACR-TKT-Ipcodec"/>
    <s v="WRDSTA - Wired Port - ACR-TKT-Ipcodec (FIFA Standard Internet Access)"/>
    <n v="2"/>
    <n v="2"/>
    <n v="0"/>
    <n v="2"/>
    <n v="2"/>
    <n v="0"/>
    <x v="0"/>
    <s v="Khalifa"/>
    <s v="Media Tribunes"/>
    <s v="Commentary Position"/>
    <s v="FIFA Broadcast"/>
    <s v="FIFA Broadcast"/>
    <m/>
  </r>
  <r>
    <s v="IS00WF"/>
    <x v="1"/>
    <x v="1"/>
    <s v=""/>
    <s v="General Internet Access"/>
    <s v="Wireless coverage - Shared Internet Service - FIFA"/>
    <s v="IS00WF - Wireless coverage - Shared Internet Service - Wi-Fi FIFA (General Internet Access)"/>
    <n v="1"/>
    <n v="0"/>
    <n v="0"/>
    <n v="1"/>
    <n v="0"/>
    <n v="0"/>
    <x v="0"/>
    <s v="Khalifa"/>
    <s v="Stadium Offices"/>
    <s v="Entertainment Control Room AE live"/>
    <s v="FIFA Broadcast"/>
    <s v="FIFA Broadcast"/>
    <m/>
  </r>
  <r>
    <s v="WRDFTI"/>
    <x v="10"/>
    <x v="1"/>
    <s v=""/>
    <s v="FIFA Technical FTI"/>
    <s v="Wired Port - FTI"/>
    <s v="WRDFTI - Wired Port - FTI (FIFA Technical FTI)"/>
    <n v="1"/>
    <n v="1"/>
    <n v="0"/>
    <n v="1"/>
    <n v="1"/>
    <n v="0"/>
    <x v="0"/>
    <s v="Khalifa"/>
    <s v="Stadium Offices"/>
    <s v="Entertainment Control Room AE live"/>
    <s v="FIFA Broadcast"/>
    <s v="FIFA Broadcast"/>
    <m/>
  </r>
  <r>
    <s v="WRDGEN"/>
    <x v="8"/>
    <x v="1"/>
    <s v=""/>
    <s v="General Internet Access"/>
    <s v="Wired Port - Internet"/>
    <s v="WRDGEN - Wired Port - General Internet  (General Internet Access)"/>
    <n v="1"/>
    <n v="1"/>
    <n v="0"/>
    <n v="1"/>
    <n v="1"/>
    <n v="0"/>
    <x v="0"/>
    <s v="Khalifa"/>
    <s v="Stadium Offices"/>
    <s v="Entertainment Control Room AE live"/>
    <s v="FIFA Broadcast"/>
    <s v="FIFA Broadcast"/>
    <m/>
  </r>
  <r>
    <s v="WRDMED"/>
    <x v="5"/>
    <x v="1"/>
    <s v=""/>
    <s v="Media Internet Access Media"/>
    <s v="Wired Port - Internet for Media"/>
    <s v="WRDMED - Wired Port - Media Internet (Media Internet Access Media)"/>
    <n v="1"/>
    <n v="1"/>
    <n v="0"/>
    <n v="1"/>
    <n v="1"/>
    <n v="0"/>
    <x v="0"/>
    <s v="Khalifa"/>
    <s v="Pitch"/>
    <s v="MRL behind goal - Left side"/>
    <s v="FIFA Broadcast"/>
    <s v="FIFA Broadcast"/>
    <s v="Only if existing infrastructure"/>
  </r>
  <r>
    <s v="WRDMED"/>
    <x v="5"/>
    <x v="1"/>
    <s v=""/>
    <s v="Media Internet Access Media"/>
    <s v="Wired Port - Internet for Media"/>
    <s v="WRDMED - Wired Port - Media Internet (Media Internet Access Media)"/>
    <n v="1"/>
    <n v="1"/>
    <n v="0"/>
    <n v="1"/>
    <n v="1"/>
    <n v="0"/>
    <x v="0"/>
    <s v="Khalifa"/>
    <s v="Pitch"/>
    <s v="MRL behind goal - Right side"/>
    <s v="FIFA Broadcast"/>
    <s v="FIFA Broadcast"/>
    <s v="Only if existing infrastructure"/>
  </r>
  <r>
    <s v="WRDMED"/>
    <x v="5"/>
    <x v="1"/>
    <s v=""/>
    <s v="Media Internet Access Media"/>
    <s v="Wired Port - Internet for Media"/>
    <s v="WRDMED - Wired Port - Media Internet (Media Internet Access Media)"/>
    <n v="1"/>
    <n v="1"/>
    <n v="0"/>
    <n v="1"/>
    <n v="1"/>
    <n v="0"/>
    <x v="0"/>
    <s v="Khalifa"/>
    <s v="Pitch"/>
    <s v="MRL Positions - Left - 16m line"/>
    <s v="FIFA Broadcast"/>
    <s v="FIFA Broadcast"/>
    <s v="Only if existing infrastructure"/>
  </r>
  <r>
    <s v="WRDMED"/>
    <x v="5"/>
    <x v="1"/>
    <s v=""/>
    <s v="Media Internet Access Media"/>
    <s v="Wired Port - Internet for Media"/>
    <s v="WRDMED - Wired Port - Media Internet (Media Internet Access Media)"/>
    <n v="1"/>
    <n v="1"/>
    <n v="0"/>
    <n v="1"/>
    <n v="1"/>
    <n v="0"/>
    <x v="0"/>
    <s v="Khalifa"/>
    <s v="Pitch"/>
    <s v="MRL Positions - Right - 16m line"/>
    <s v="FIFA Broadcast"/>
    <s v="FIFA Broadcast"/>
    <s v="Only if existing infrastructure"/>
  </r>
  <r>
    <s v="WRDGEN"/>
    <x v="8"/>
    <x v="1"/>
    <s v=""/>
    <s v="General Internet Access"/>
    <s v="Wired Port - Internet"/>
    <s v="WRDGEN - Wired Port - General Internet  (General Internet Access)"/>
    <n v="2"/>
    <n v="2"/>
    <n v="0"/>
    <n v="2"/>
    <n v="2"/>
    <n v="0"/>
    <x v="0"/>
    <s v="Khalifa"/>
    <s v="Broadcast Compound"/>
    <s v="OB Van"/>
    <s v="FIFA Broadcast"/>
    <s v="FIFA Broadcast"/>
    <s v="1 backup and 1 general"/>
  </r>
  <r>
    <s v="WRDGEN"/>
    <x v="8"/>
    <x v="1"/>
    <s v=""/>
    <s v="General Internet Access"/>
    <s v="Wired Port - Internet"/>
    <s v="WRDGEN - Wired Port - General Internet  (General Internet Access)"/>
    <n v="1"/>
    <n v="1"/>
    <n v="0"/>
    <n v="1"/>
    <n v="1"/>
    <n v="0"/>
    <x v="0"/>
    <s v="Khalifa"/>
    <s v="Broadcast Compound"/>
    <s v="Satellite and HB Cabin"/>
    <s v="FIFA Broadcast"/>
    <s v="FIFA Broadcast"/>
    <m/>
  </r>
  <r>
    <s v="WRDSTR"/>
    <x v="12"/>
    <x v="1"/>
    <s v=""/>
    <s v="Stream Fabs &amp; W Feed"/>
    <s v="Wired Port - Stream &amp; World feed"/>
    <s v="WRDSTR - Wired Port - Stream &amp; World feed (Stream Fabs &amp; W Feed)"/>
    <n v="3"/>
    <n v="2"/>
    <n v="0"/>
    <n v="2"/>
    <n v="2"/>
    <n v="0"/>
    <x v="0"/>
    <s v="Khalifa"/>
    <s v="Broadcast Compound"/>
    <s v="Satellite and HB Cabin"/>
    <s v="FIFA Broadcast"/>
    <s v="FIFA Broadcast"/>
    <s v="high speed"/>
  </r>
  <r>
    <s v="WRDMED"/>
    <x v="5"/>
    <x v="1"/>
    <s v=""/>
    <s v="Media Internet Access Media"/>
    <s v="Wired Port - Internet for Media"/>
    <s v="WRDMED - Wired Port - Media Internet (Media Internet Access Media)"/>
    <n v="2"/>
    <n v="2"/>
    <n v="0"/>
    <n v="2"/>
    <n v="2"/>
    <n v="0"/>
    <x v="0"/>
    <s v="Khalifa"/>
    <s v="Flash Interview"/>
    <s v="Tunel"/>
    <s v="FIFA Broadcast"/>
    <s v="FIFA Broadcast"/>
    <m/>
  </r>
  <r>
    <s v="DSKMNT"/>
    <x v="0"/>
    <x v="0"/>
    <s v=""/>
    <s v=""/>
    <s v="24&quot; PC Monitor"/>
    <s v="DSKMNT - 24&quot; Monitor - HDMI/DP"/>
    <n v="2"/>
    <n v="0"/>
    <n v="0"/>
    <n v="2"/>
    <n v="0"/>
    <n v="0"/>
    <x v="0"/>
    <s v="Aspire Center - HQ"/>
    <s v="Super Club"/>
    <s v="Match Director Office"/>
    <s v="FIFA Competitions"/>
    <s v="FIFA Competitions"/>
    <s v="to be moved to Khalifa"/>
  </r>
  <r>
    <s v="IS00WF"/>
    <x v="1"/>
    <x v="1"/>
    <s v=""/>
    <s v="General Internet Access"/>
    <s v="Wireless coverage - Shared Internet Service - FIFA"/>
    <s v="IS00WF - Wireless coverage - Shared Internet Service - Wi-Fi FIFA (General Internet Access)"/>
    <n v="1"/>
    <n v="0"/>
    <n v="0"/>
    <n v="1"/>
    <n v="0"/>
    <n v="0"/>
    <x v="0"/>
    <s v="Aspire Center - HQ"/>
    <s v="Super Club"/>
    <s v="Match Director Office"/>
    <s v="FIFA Competitions"/>
    <s v="FIFA Competitions"/>
    <m/>
  </r>
  <r>
    <s v="MFDDNW"/>
    <x v="3"/>
    <x v="3"/>
    <s v=""/>
    <s v="General Internet Access"/>
    <s v="Colour Printer / Scanner (A4)"/>
    <s v="MFDDNW - MFD Desktop - Colour - A4 - Network (General Internet Access)"/>
    <n v="1"/>
    <n v="1"/>
    <n v="0"/>
    <n v="1"/>
    <n v="1"/>
    <n v="0"/>
    <x v="0"/>
    <s v="Aspire Center - HQ"/>
    <s v="Super Club"/>
    <s v="Match Director Office"/>
    <s v="FIFA Competitions"/>
    <s v="FIFA Competitions"/>
    <m/>
  </r>
  <r>
    <s v="MFDDNW"/>
    <x v="3"/>
    <x v="3"/>
    <s v=""/>
    <s v="General Internet Access"/>
    <s v="Colour Printer / Scanner (A4)"/>
    <s v="MFDDNW - MFD Desktop - Colour - A4 - Network (General Internet Access)"/>
    <n v="1"/>
    <n v="1"/>
    <n v="0"/>
    <n v="1"/>
    <n v="1"/>
    <n v="0"/>
    <x v="0"/>
    <s v="Aspire Center - HQ"/>
    <s v="Pitch 4"/>
    <s v="Small Match Director cabin - Pitch 4"/>
    <s v="FIFA Competitions"/>
    <s v="FIFA Competitions"/>
    <s v="can be B/W printer. One printer at pitch 4, covering pitch 3, 4, 5 and 7"/>
  </r>
  <r>
    <s v="MFDDNW"/>
    <x v="3"/>
    <x v="3"/>
    <s v=""/>
    <s v="General Internet Access"/>
    <s v="Colour Printer / Scanner (A4)"/>
    <s v="MFDDNW - MFD Desktop - Colour - A4 - Network (General Internet Access)"/>
    <n v="1"/>
    <n v="1"/>
    <n v="0"/>
    <n v="1"/>
    <n v="1"/>
    <n v="0"/>
    <x v="0"/>
    <s v="Aspire Center - HQ"/>
    <s v="Pitch 8"/>
    <s v="Small Match Director cabin - Pitch 9"/>
    <s v="FIFA Competitions"/>
    <s v="FIFA Competitions"/>
    <s v="can be B/W printer and shared with pitch 8"/>
  </r>
  <r>
    <s v="PORSPE"/>
    <x v="16"/>
    <x v="0"/>
    <s v="Single"/>
    <s v=""/>
    <s v="Portable Speaker"/>
    <s v="PORSPE - Portable Speaker"/>
    <n v="1"/>
    <n v="0"/>
    <n v="0"/>
    <n v="1"/>
    <n v="0"/>
    <n v="0"/>
    <x v="1"/>
    <s v="Aspire Center - HQ"/>
    <s v="Super Club"/>
    <s v="Match Director Office"/>
    <s v="FIFA Competitions"/>
    <s v="FIFA Competitions"/>
    <m/>
  </r>
  <r>
    <s v="TABLEN"/>
    <x v="4"/>
    <x v="2"/>
    <s v="Single"/>
    <s v=""/>
    <s v="Professional Series Tablet + 4G"/>
    <s v="TABLEN - Tablet - FIFA Professional Tablet + 4G"/>
    <n v="2"/>
    <n v="0"/>
    <n v="2"/>
    <n v="2"/>
    <n v="0"/>
    <n v="0"/>
    <x v="1"/>
    <s v="Aspire Center - HQ"/>
    <s v="Super Club"/>
    <s v="Match Director Office"/>
    <s v="FIFA Competitions"/>
    <s v="FIFA Competitions"/>
    <m/>
  </r>
  <r>
    <s v="TVLGIP"/>
    <x v="6"/>
    <x v="4"/>
    <s v=""/>
    <s v=""/>
    <s v="Large TV - CATV Feed"/>
    <s v="TVLGIP - TV - Large - IPTV"/>
    <n v="1"/>
    <n v="1"/>
    <n v="0"/>
    <n v="1"/>
    <n v="1"/>
    <n v="0"/>
    <x v="0"/>
    <s v="Aspire Center - HQ"/>
    <s v="Super Club"/>
    <s v="Match Director Office"/>
    <s v="FIFA Competitions"/>
    <s v="FIFA Competitions"/>
    <s v="Including HDMI cables"/>
  </r>
  <r>
    <s v="TVSTND"/>
    <x v="7"/>
    <x v="0"/>
    <s v=""/>
    <s v=""/>
    <s v="TV Stand for medium and large TVs"/>
    <s v="TVSTND - TV Stand - Medium &amp; Large TVs"/>
    <n v="1"/>
    <n v="0"/>
    <n v="0"/>
    <n v="1"/>
    <n v="0"/>
    <n v="0"/>
    <x v="0"/>
    <s v="Aspire Center - HQ"/>
    <s v="Super Club"/>
    <s v="Match Director Office"/>
    <s v="FIFA Competitions"/>
    <s v="FIFA Competitions"/>
    <m/>
  </r>
  <r>
    <s v="IS00WF"/>
    <x v="1"/>
    <x v="1"/>
    <s v=""/>
    <s v="General Internet Access"/>
    <s v="Wireless coverage - Shared Internet Service - FIFA"/>
    <s v="IS00WF - Wireless coverage - Shared Internet Service - Wi-Fi FIFA (General Internet Access)"/>
    <n v="1"/>
    <n v="0"/>
    <n v="0"/>
    <n v="1"/>
    <n v="0"/>
    <n v="0"/>
    <x v="0"/>
    <s v="Khalifa"/>
    <s v="Competition area"/>
    <s v="Match Director Office"/>
    <s v="FIFA Competitions"/>
    <s v="FIFA Competitions"/>
    <m/>
  </r>
  <r>
    <s v="IS00WF"/>
    <x v="1"/>
    <x v="1"/>
    <s v=""/>
    <s v="General Internet Access"/>
    <s v="Wireless coverage - Shared Internet Service - FIFA"/>
    <s v="IS00WF - Wireless coverage - Shared Internet Service - Wi-Fi FIFA (General Internet Access)"/>
    <n v="1"/>
    <n v="0"/>
    <n v="0"/>
    <n v="1"/>
    <n v="0"/>
    <n v="0"/>
    <x v="0"/>
    <s v="Khalifa"/>
    <s v="Competition area"/>
    <s v="MCM Room"/>
    <s v="FIFA Competitions"/>
    <s v="FIFA Competitions"/>
    <m/>
  </r>
  <r>
    <s v="IS00WF"/>
    <x v="1"/>
    <x v="1"/>
    <s v=""/>
    <s v="General Internet Access"/>
    <s v="Wireless coverage - Shared Internet Service - FIFA"/>
    <s v="IS00WF - Wireless coverage - Shared Internet Service - Wi-Fi FIFA (General Internet Access)"/>
    <n v="1"/>
    <n v="0"/>
    <n v="0"/>
    <n v="1"/>
    <n v="0"/>
    <n v="0"/>
    <x v="0"/>
    <s v="Khalifa"/>
    <s v="Press Conference Room"/>
    <s v="Press Conference Room"/>
    <s v="FIFA Competitions"/>
    <s v="FIFA Competitions"/>
    <m/>
  </r>
  <r>
    <s v="MFDDNW"/>
    <x v="3"/>
    <x v="3"/>
    <s v=""/>
    <s v="General Internet Access"/>
    <s v="Colour Printer / Scanner (A4)"/>
    <s v="MFDDNW - MFD Desktop - Colour - A4 - Network (General Internet Access)"/>
    <n v="1"/>
    <n v="1"/>
    <n v="0"/>
    <n v="1"/>
    <n v="1"/>
    <n v="0"/>
    <x v="0"/>
    <s v="Khalifa"/>
    <s v="Competition area"/>
    <s v="Match Director Office"/>
    <s v="FIFA Competitions"/>
    <s v="FIFA Competitions"/>
    <m/>
  </r>
  <r>
    <s v="TVLGIP"/>
    <x v="6"/>
    <x v="4"/>
    <s v=""/>
    <s v=""/>
    <s v="Large TV - CATV Feed"/>
    <s v="TVLGIP - TV - Large - IPTV"/>
    <n v="1"/>
    <n v="1"/>
    <n v="0"/>
    <n v="1"/>
    <n v="1"/>
    <n v="0"/>
    <x v="0"/>
    <s v="Khalifa"/>
    <s v="Competition area"/>
    <s v="Match Director Office"/>
    <s v="FIFA Competitions"/>
    <s v="FIFA Competitions"/>
    <m/>
  </r>
  <r>
    <s v="TVLGSA"/>
    <x v="17"/>
    <x v="5"/>
    <s v=""/>
    <s v=""/>
    <s v="Large TV - Standalone"/>
    <s v="TVLGSA - TV - Large - Standalone"/>
    <n v="1"/>
    <n v="0"/>
    <n v="0"/>
    <n v="1"/>
    <n v="0"/>
    <n v="0"/>
    <x v="0"/>
    <s v="Khalifa"/>
    <s v="Competition area"/>
    <s v="MCM Room"/>
    <s v="FIFA Competitions"/>
    <s v="FIFA Competitions"/>
    <m/>
  </r>
  <r>
    <s v="TVLGSA"/>
    <x v="17"/>
    <x v="5"/>
    <s v=""/>
    <s v=""/>
    <s v="Large TV - Standalone"/>
    <s v="TVLGSA - TV - Large - Standalone"/>
    <n v="1"/>
    <n v="0"/>
    <n v="0"/>
    <n v="1"/>
    <n v="0"/>
    <n v="0"/>
    <x v="0"/>
    <s v="Khalifa"/>
    <s v="Press Conference Room"/>
    <s v="Press Conference Room"/>
    <s v="FIFA Competitions"/>
    <s v="FIFA Competitions"/>
    <s v="1 x large TV 75-85&quot; or 2 x TV placed on the side; &quot;PC needs to be ready by MD-3_x000a_group stage coordination meeting 2 days prior to the tournamnet&quot; cover 150 pax"/>
  </r>
  <r>
    <s v="TVSTND"/>
    <x v="7"/>
    <x v="0"/>
    <s v=""/>
    <s v=""/>
    <s v="TV Stand for medium and large TVs"/>
    <s v="TVSTND - TV Stand - Medium &amp; Large TVs"/>
    <n v="1"/>
    <n v="0"/>
    <n v="0"/>
    <n v="1"/>
    <n v="0"/>
    <n v="0"/>
    <x v="0"/>
    <s v="Khalifa"/>
    <s v="Competition area"/>
    <s v="Match Director Office"/>
    <s v="FIFA Competitions"/>
    <s v="FIFA Competitions"/>
    <m/>
  </r>
  <r>
    <s v="TVSTND"/>
    <x v="7"/>
    <x v="0"/>
    <s v=""/>
    <s v=""/>
    <s v="TV Stand for medium and large TVs"/>
    <s v="TVSTND - TV Stand - Medium &amp; Large TVs"/>
    <n v="1"/>
    <n v="0"/>
    <n v="0"/>
    <n v="1"/>
    <n v="0"/>
    <n v="0"/>
    <x v="0"/>
    <s v="Khalifa"/>
    <s v="Competition area"/>
    <s v="MCM Room"/>
    <s v="FIFA Competitions"/>
    <s v="FIFA Competitions"/>
    <m/>
  </r>
  <r>
    <s v="TVSTND"/>
    <x v="7"/>
    <x v="0"/>
    <s v=""/>
    <s v=""/>
    <s v="TV Stand for medium and large TVs"/>
    <s v="TVSTND - TV Stand - Medium &amp; Large TVs"/>
    <n v="1"/>
    <n v="0"/>
    <n v="0"/>
    <n v="1"/>
    <n v="0"/>
    <n v="0"/>
    <x v="0"/>
    <s v="Khalifa"/>
    <s v="Press Conference Room"/>
    <s v="Press Conference Room"/>
    <s v="FIFA Competitions"/>
    <s v="FIFA Competitions"/>
    <m/>
  </r>
  <r>
    <s v="DSKMNT"/>
    <x v="0"/>
    <x v="0"/>
    <s v=""/>
    <s v=""/>
    <s v="24&quot; PC Monitor"/>
    <s v="DSKMNT - 24&quot; Monitor - HDMI/DP"/>
    <n v="2"/>
    <n v="0"/>
    <n v="0"/>
    <n v="2"/>
    <n v="0"/>
    <n v="0"/>
    <x v="0"/>
    <s v="Aspire Center - HQ"/>
    <s v="Aspire Dome - level 2"/>
    <s v="FIFA/LOC Offices"/>
    <s v="FIFA Data Management"/>
    <s v="FIFA Data Management"/>
    <m/>
  </r>
  <r>
    <s v="DSKMNT"/>
    <x v="0"/>
    <x v="0"/>
    <s v=""/>
    <s v=""/>
    <s v="24&quot; PC Monitor"/>
    <s v="DSKMNT - 24&quot; Monitor - HDMI/DP"/>
    <n v="5"/>
    <n v="0"/>
    <n v="0"/>
    <n v="3"/>
    <n v="0"/>
    <n v="0"/>
    <x v="0"/>
    <s v="Aspire Center - HQ"/>
    <s v="Broadcast Compound 1"/>
    <s v="Content cabin"/>
    <s v="FIFA Digital Marketing"/>
    <s v="FIFA Digital Marketing"/>
    <m/>
  </r>
  <r>
    <s v="WRDSTU"/>
    <x v="9"/>
    <x v="1"/>
    <s v=""/>
    <s v="FIFA Technical Content"/>
    <s v="Wired Port - Content"/>
    <s v="WRDSTU - Wired Port - Content (FIFA Technical Content)"/>
    <n v="5"/>
    <n v="3"/>
    <n v="0"/>
    <n v="3"/>
    <n v="3"/>
    <n v="0"/>
    <x v="0"/>
    <s v="Aspire Center - HQ"/>
    <s v="Broadcast Compound 1"/>
    <s v="Content cabin"/>
    <s v="FIFA Digital Marketing"/>
    <s v="FIFA Digital Marketing"/>
    <m/>
  </r>
  <r>
    <s v="ITSIBU"/>
    <x v="18"/>
    <x v="6"/>
    <s v=""/>
    <s v=""/>
    <s v="IT Solution - 4G Internet backup "/>
    <s v="ITSIBU - IT Solution - 4G Internet backup "/>
    <n v="10"/>
    <n v="0"/>
    <n v="10"/>
    <n v="10"/>
    <n v="0"/>
    <n v="10"/>
    <x v="0"/>
    <s v="Aspire Center - HQ"/>
    <s v="Aspire Dome - level 2"/>
    <s v="FIFA/LOC Offices"/>
    <s v="FIFA Event Technology"/>
    <s v="FIFA Event Technology"/>
    <m/>
  </r>
  <r>
    <s v="LAPEVT"/>
    <x v="2"/>
    <x v="2"/>
    <s v="Single"/>
    <s v=""/>
    <s v="FIFA Laptop"/>
    <s v="LAPEVT - Laptop - FIFA Event Build"/>
    <n v="2"/>
    <n v="0"/>
    <n v="0"/>
    <n v="2"/>
    <n v="0"/>
    <n v="0"/>
    <x v="1"/>
    <s v="Aspire Center - HQ"/>
    <s v="Aspire Dome - level 2"/>
    <s v="FIFA/LOC Offices"/>
    <s v="FIFA Event Technology"/>
    <s v="FIFA Event Technology"/>
    <s v="spare laptop"/>
  </r>
  <r>
    <s v="LAPPRE"/>
    <x v="14"/>
    <x v="2"/>
    <s v="Single"/>
    <s v=""/>
    <s v="FIFA Presentation Laptop"/>
    <s v="LAPPRE - Laptop - Presentation Build"/>
    <n v="4"/>
    <n v="0"/>
    <n v="0"/>
    <n v="4"/>
    <n v="0"/>
    <n v="0"/>
    <x v="1"/>
    <s v="Aspire Center - HQ"/>
    <s v="Aspire Dome - level 2"/>
    <s v="FIFA/LOC Offices"/>
    <s v="FIFA Event Technology"/>
    <s v="FIFA Event Technology"/>
    <s v="spare laptop"/>
  </r>
  <r>
    <s v="PORSPE"/>
    <x v="16"/>
    <x v="0"/>
    <s v="Single"/>
    <s v=""/>
    <s v="Portable Speaker"/>
    <s v="PORSPE - Portable Speaker"/>
    <n v="2"/>
    <n v="0"/>
    <n v="0"/>
    <n v="2"/>
    <n v="0"/>
    <n v="0"/>
    <x v="1"/>
    <s v="Aspire Center - HQ"/>
    <s v="Aspire Dome - level 2"/>
    <s v="FIFA/LOC Offices"/>
    <s v="FIFA Event Technology"/>
    <s v="FIFA Event Technology"/>
    <m/>
  </r>
  <r>
    <s v="SIMDAT"/>
    <x v="19"/>
    <x v="7"/>
    <s v=""/>
    <s v=""/>
    <s v="Local SIM Card - Data Only"/>
    <s v="SIMDAT - SIM - Data Only"/>
    <n v="10"/>
    <n v="0"/>
    <n v="20"/>
    <n v="20"/>
    <n v="0"/>
    <n v="20"/>
    <x v="0"/>
    <s v="Aspire Center - HQ"/>
    <s v="Aspire Dome - level 2"/>
    <s v="FIFA/LOC Offices"/>
    <s v="FIFA Event Technology"/>
    <s v="FIFA Event Technology"/>
    <s v="valid between 22 Oct - 20 Dec"/>
  </r>
  <r>
    <s v="SIMDOM"/>
    <x v="20"/>
    <x v="7"/>
    <s v=""/>
    <s v=""/>
    <s v="Local SIM Card"/>
    <s v="SIMDOM - SIM - Domestic"/>
    <n v="80"/>
    <n v="0"/>
    <n v="100"/>
    <n v="100"/>
    <n v="0"/>
    <n v="100"/>
    <x v="0"/>
    <s v="Aspire Center - HQ"/>
    <s v="Aspire Dome - level 2"/>
    <s v="FIFA/LOC Offices"/>
    <s v="FIFA Event Technology"/>
    <s v="FIFA Event Technology"/>
    <s v="valid between 22 Oct - 20 Dec"/>
  </r>
  <r>
    <s v="SIMINT"/>
    <x v="21"/>
    <x v="7"/>
    <s v=""/>
    <s v=""/>
    <s v="Local SIM Card + International"/>
    <s v="SIMINT - SIM - International"/>
    <n v="5"/>
    <n v="0"/>
    <n v="15"/>
    <n v="15"/>
    <n v="0"/>
    <n v="15"/>
    <x v="0"/>
    <s v="Aspire Center - HQ"/>
    <s v="Aspire Dome - level 2"/>
    <s v="FIFA/LOC Offices"/>
    <s v="FIFA Event Technology"/>
    <s v="FIFA Event Technology"/>
    <s v="valid between 22 Oct - 20 Dec"/>
  </r>
  <r>
    <s v="TELMOB"/>
    <x v="22"/>
    <x v="7"/>
    <s v="Single"/>
    <s v=""/>
    <s v="Smart Phone"/>
    <s v="TELMOB - Telephone - Mobile - Smart Phone"/>
    <n v="80"/>
    <n v="0"/>
    <n v="100"/>
    <n v="100"/>
    <n v="0"/>
    <n v="0"/>
    <x v="1"/>
    <s v="Aspire Center - HQ"/>
    <s v="Aspire Dome - level 2"/>
    <s v="FIFA/LOC Offices"/>
    <s v="FIFA Event Technology"/>
    <s v="FIFA Event Technology"/>
    <m/>
  </r>
  <r>
    <s v="WRDGEN"/>
    <x v="8"/>
    <x v="1"/>
    <s v=""/>
    <s v="General Internet Access"/>
    <s v="Wired Port - Internet"/>
    <s v="WRDGEN - Wired Port - General Internet  (General Internet Access)"/>
    <n v="2"/>
    <n v="2"/>
    <n v="0"/>
    <n v="2"/>
    <n v="2"/>
    <n v="0"/>
    <x v="0"/>
    <s v="Aspire Center - HQ"/>
    <s v="Aspire Dome - level 2"/>
    <s v="FIFA/LOC Offices"/>
    <s v="FIFA Event Technology"/>
    <s v="FIFA Event Technology"/>
    <m/>
  </r>
  <r>
    <s v="DSKMNT"/>
    <x v="0"/>
    <x v="0"/>
    <s v=""/>
    <s v=""/>
    <s v="24&quot; PC Monitor"/>
    <s v="DSKMNT - 24&quot; Monitor - HDMI/DP"/>
    <n v="1"/>
    <n v="0"/>
    <n v="0"/>
    <n v="1"/>
    <n v="0"/>
    <n v="0"/>
    <x v="0"/>
    <s v="Aspire Center - HQ"/>
    <s v="Aspire Dome - level 2"/>
    <s v="FIFA/Venue Technology Office"/>
    <s v="FIFA Event Technology"/>
    <s v="FIFA Event Technology"/>
    <m/>
  </r>
  <r>
    <s v="IS0050"/>
    <x v="23"/>
    <x v="1"/>
    <s v=""/>
    <s v=""/>
    <s v="Internet Service - 50Mbps"/>
    <s v="IS0050 - Internet Service - 50Mbps"/>
    <n v="1"/>
    <n v="1"/>
    <n v="0"/>
    <n v="1"/>
    <n v="1"/>
    <n v="0"/>
    <x v="0"/>
    <s v="Aspire Center - HQ"/>
    <s v="Aspire Dome - level 2"/>
    <s v="FIFA/Venue Technology Office"/>
    <s v="FIFA Event Technology"/>
    <s v="FIFA Event Technology"/>
    <s v="static public IP"/>
  </r>
  <r>
    <s v="ITMON"/>
    <x v="24"/>
    <x v="1"/>
    <s v=""/>
    <s v="Monitoring VLAN"/>
    <s v="FIFA IT Monitoring network port"/>
    <s v="ITMON - IT Monitoring network port (Monitoring VLAN)"/>
    <n v="1"/>
    <n v="1"/>
    <n v="0"/>
    <n v="1"/>
    <n v="1"/>
    <n v="0"/>
    <x v="0"/>
    <s v="Aspire Center - HQ"/>
    <s v="Aspire Dome - level 2"/>
    <s v="FIFA/Venue Technology Office"/>
    <s v="FIFA Event Technology"/>
    <s v="FIFA Event Technology"/>
    <m/>
  </r>
  <r>
    <s v="ITMON"/>
    <x v="24"/>
    <x v="1"/>
    <s v=""/>
    <s v="Monitoring VLAN"/>
    <s v="FIFA IT Monitoring network port"/>
    <s v="ITMON - IT Monitoring network port (Monitoring VLAN)"/>
    <n v="1"/>
    <n v="1"/>
    <n v="0"/>
    <n v="1"/>
    <n v="1"/>
    <n v="0"/>
    <x v="0"/>
    <s v="Khalifa"/>
    <s v="FIFA/LOC Offices"/>
    <s v="FIFA/Venue Technology Office"/>
    <s v="FIFA Event Technology"/>
    <s v="FIFA Event Technology"/>
    <m/>
  </r>
  <r>
    <s v="TVMDSA"/>
    <x v="25"/>
    <x v="4"/>
    <s v=""/>
    <s v=""/>
    <s v="Medium TV - Standalone"/>
    <s v="TVMDSA - TV - Medium - Standalone"/>
    <n v="1"/>
    <n v="0"/>
    <n v="0"/>
    <n v="1"/>
    <n v="0"/>
    <n v="0"/>
    <x v="0"/>
    <s v="Aspire Center - HQ"/>
    <s v="Aspire Dome - level 2"/>
    <s v="FIFA/Venue Technology Office"/>
    <s v="FIFA Event Technology"/>
    <s v="FIFA Event Technology"/>
    <m/>
  </r>
  <r>
    <s v="TVSTND"/>
    <x v="7"/>
    <x v="0"/>
    <s v=""/>
    <s v=""/>
    <s v="TV Stand for medium and large TVs"/>
    <s v="TVSTND - TV Stand - Medium &amp; Large TVs"/>
    <n v="1"/>
    <n v="0"/>
    <n v="0"/>
    <n v="1"/>
    <n v="0"/>
    <n v="0"/>
    <x v="0"/>
    <s v="Aspire Center - HQ"/>
    <s v="Aspire Dome - level 2"/>
    <s v="FIFA/Venue Technology Office"/>
    <s v="FIFA Event Technology"/>
    <s v="FIFA Event Technology"/>
    <m/>
  </r>
  <r>
    <s v="WRDGEN"/>
    <x v="8"/>
    <x v="1"/>
    <s v=""/>
    <s v="General Internet Access"/>
    <s v="Wired Port - Internet"/>
    <s v="WRDGEN - Wired Port - General Internet  (General Internet Access)"/>
    <n v="2"/>
    <n v="2"/>
    <n v="0"/>
    <n v="2"/>
    <n v="2"/>
    <n v="0"/>
    <x v="0"/>
    <s v="Khalifa"/>
    <s v="FIFA/LOC Offices"/>
    <s v="FIFA/Venue Technology Office"/>
    <s v="FIFA Event Technology"/>
    <s v="FIFA Event Technology"/>
    <m/>
  </r>
  <r>
    <s v="WRDGEN"/>
    <x v="8"/>
    <x v="1"/>
    <s v=""/>
    <s v="General Internet Access"/>
    <s v="Wired Port - Internet"/>
    <s v="WRDGEN - Wired Port - General Internet  (General Internet Access)"/>
    <n v="1"/>
    <n v="1"/>
    <n v="0"/>
    <n v="1"/>
    <n v="1"/>
    <n v="0"/>
    <x v="0"/>
    <s v="Aspire Center - HQ"/>
    <s v="Aspire Dome - level 2"/>
    <s v="FIFA/Venue Technology Office"/>
    <s v="FIFA Event Technology"/>
    <s v="FIFA Event Technology"/>
    <m/>
  </r>
  <r>
    <s v="DSKMNT"/>
    <x v="0"/>
    <x v="0"/>
    <s v=""/>
    <s v=""/>
    <s v="24&quot; PC Monitor"/>
    <s v="DSKMNT - 24&quot; Monitor - HDMI/DP"/>
    <n v="2"/>
    <n v="0"/>
    <n v="0"/>
    <n v="2"/>
    <n v="0"/>
    <n v="0"/>
    <x v="0"/>
    <s v="Aspire Center - HQ"/>
    <s v="Broadcast Compound 1"/>
    <s v="Content cabin"/>
    <s v="FIFA Films"/>
    <s v="FIFA Films"/>
    <m/>
  </r>
  <r>
    <s v="IS00WF"/>
    <x v="1"/>
    <x v="1"/>
    <s v=""/>
    <s v="General Internet Access"/>
    <s v="Wireless coverage - Shared Internet Service - FIFA"/>
    <s v="IS00WF - Wireless coverage - Shared Internet Service - Wi-Fi FIFA (General Internet Access)"/>
    <n v="1"/>
    <n v="0"/>
    <n v="0"/>
    <n v="1"/>
    <n v="0"/>
    <n v="0"/>
    <x v="0"/>
    <s v="Aspire Center - HQ"/>
    <s v="Broadcast Compound 1"/>
    <s v="Content cabin"/>
    <s v="FIFA Films"/>
    <s v="FIFA Films"/>
    <m/>
  </r>
  <r>
    <s v="WRDSTU"/>
    <x v="9"/>
    <x v="1"/>
    <s v=""/>
    <s v="FIFA Technical Content"/>
    <s v="Wired Port - Content"/>
    <s v="WRDSTU - Wired Port - Content (FIFA Technical Content)"/>
    <n v="2"/>
    <n v="2"/>
    <n v="0"/>
    <n v="2"/>
    <n v="2"/>
    <n v="0"/>
    <x v="0"/>
    <s v="Aspire Center - HQ"/>
    <s v="Broadcast Compound 1"/>
    <s v="Content cabin"/>
    <s v="FIFA Films"/>
    <s v="FIFA Films"/>
    <m/>
  </r>
  <r>
    <s v="DSK27M"/>
    <x v="26"/>
    <x v="0"/>
    <s v=""/>
    <s v=""/>
    <s v="27&quot; PC Monitor"/>
    <s v="DSK27M - 27&quot; Monitor - HDMI/DP"/>
    <n v="4"/>
    <n v="0"/>
    <n v="0"/>
    <n v="4"/>
    <n v="0"/>
    <n v="0"/>
    <x v="0"/>
    <s v="Aspire Center - HQ"/>
    <s v="TSG - Main room"/>
    <s v="TSG"/>
    <s v="FIFA FTI"/>
    <s v="FIFA FTI"/>
    <m/>
  </r>
  <r>
    <s v="IS00WF"/>
    <x v="1"/>
    <x v="1"/>
    <s v=""/>
    <s v="General Internet Access"/>
    <s v="Wireless coverage - Shared Internet Service - FIFA"/>
    <s v="IS00WF - Wireless coverage - Shared Internet Service - Wi-Fi FIFA (General Internet Access)"/>
    <n v="1"/>
    <n v="0"/>
    <n v="0"/>
    <n v="1"/>
    <n v="0"/>
    <n v="0"/>
    <x v="0"/>
    <s v="Aspire Center - HQ"/>
    <s v="TSG - Main room"/>
    <s v="TSG"/>
    <s v="FIFA FTI"/>
    <s v="FIFA FTI"/>
    <m/>
  </r>
  <r>
    <s v="IS00WF"/>
    <x v="1"/>
    <x v="1"/>
    <s v=""/>
    <s v="General Internet Access"/>
    <s v="Wireless coverage - Shared Internet Service - FIFA"/>
    <s v="IS00WF - Wireless coverage - Shared Internet Service - Wi-Fi FIFA (General Internet Access)"/>
    <n v="1"/>
    <n v="0"/>
    <n v="0"/>
    <n v="1"/>
    <n v="0"/>
    <n v="0"/>
    <x v="0"/>
    <s v="Aspire Center - HQ"/>
    <s v="TSG - Meeting Room"/>
    <s v="TSG"/>
    <s v="FIFA FTI"/>
    <s v="FIFA FTI"/>
    <m/>
  </r>
  <r>
    <s v="IS00WF"/>
    <x v="1"/>
    <x v="1"/>
    <s v=""/>
    <s v="General Internet Access"/>
    <s v="Wireless coverage - Shared Internet Service - FIFA"/>
    <s v="IS00WF - Wireless coverage - Shared Internet Service - Wi-Fi FIFA (General Internet Access)"/>
    <n v="1"/>
    <n v="0"/>
    <n v="0"/>
    <n v="1"/>
    <n v="0"/>
    <n v="0"/>
    <x v="0"/>
    <s v="Aspire Center - HQ"/>
    <s v="Broadcast Compound 1"/>
    <s v="FVS cabin 1"/>
    <s v="FIFA FTI"/>
    <s v="FIFA FTI"/>
    <m/>
  </r>
  <r>
    <s v="IS00WF"/>
    <x v="1"/>
    <x v="1"/>
    <s v=""/>
    <s v="General Internet Access"/>
    <s v="Wireless coverage - Shared Internet Service - FIFA"/>
    <s v="IS00WF - Wireless coverage - Shared Internet Service - Wi-Fi FIFA (General Internet Access)"/>
    <n v="1"/>
    <n v="0"/>
    <n v="0"/>
    <n v="1"/>
    <n v="0"/>
    <n v="0"/>
    <x v="0"/>
    <s v="Aspire Center - HQ"/>
    <s v="Broadcast Compound 2"/>
    <s v="FVS cabin 2"/>
    <s v="FIFA FTI"/>
    <s v="FIFA FTI"/>
    <m/>
  </r>
  <r>
    <s v="PROJ6K"/>
    <x v="27"/>
    <x v="5"/>
    <s v=""/>
    <s v=""/>
    <s v="Office Projector - 6K"/>
    <s v="PROJ6K - Office Projector - 6K"/>
    <n v="1"/>
    <n v="0"/>
    <n v="0"/>
    <n v="1"/>
    <n v="0"/>
    <n v="0"/>
    <x v="0"/>
    <s v="Aspire Center - HQ"/>
    <s v="TSG - Meeting Room"/>
    <s v="TSG"/>
    <s v="FIFA FTI"/>
    <s v="FIFA FTI"/>
    <s v="or a large TV to cover 20 pax"/>
  </r>
  <r>
    <s v="TVLGIP"/>
    <x v="6"/>
    <x v="4"/>
    <s v=""/>
    <s v=""/>
    <s v="Large TV - CATV Feed"/>
    <s v="TVLGIP - TV - Large - IPTV"/>
    <n v="4"/>
    <n v="4"/>
    <n v="0"/>
    <n v="4"/>
    <n v="4"/>
    <n v="0"/>
    <x v="0"/>
    <s v="Aspire Center - HQ"/>
    <s v="TSG - Main room"/>
    <s v="TSG"/>
    <s v="FIFA FTI"/>
    <s v="FIFA FTI"/>
    <s v="if it's possible to provide video signal with different feeds from different angles"/>
  </r>
  <r>
    <s v="TVSTND"/>
    <x v="7"/>
    <x v="0"/>
    <s v=""/>
    <s v=""/>
    <s v="TV Stand for medium and large TVs"/>
    <s v="TVSTND - TV Stand - Medium &amp; Large TVs"/>
    <n v="4"/>
    <n v="0"/>
    <n v="0"/>
    <n v="4"/>
    <n v="0"/>
    <n v="0"/>
    <x v="0"/>
    <s v="Aspire Center - HQ"/>
    <s v="TSG - Main room"/>
    <s v="TSG"/>
    <s v="FIFA FTI"/>
    <s v="FIFA FTI"/>
    <m/>
  </r>
  <r>
    <s v="WRDFTI"/>
    <x v="10"/>
    <x v="1"/>
    <s v=""/>
    <s v="FIFA Technical FTI"/>
    <s v="Wired Port - FTI"/>
    <s v="WRDFTI - Wired Port - FTI (FIFA Technical FTI)"/>
    <n v="7"/>
    <n v="7"/>
    <n v="0"/>
    <n v="7"/>
    <n v="7"/>
    <n v="0"/>
    <x v="0"/>
    <s v="Aspire Center - HQ"/>
    <s v="Broadcast Compound 1"/>
    <s v="FTI cabin BC1"/>
    <s v="FIFA FTI"/>
    <s v="FIFA FTI"/>
    <s v="BC 1 Aspire"/>
  </r>
  <r>
    <s v="WRDFTI"/>
    <x v="10"/>
    <x v="1"/>
    <s v=""/>
    <s v="FIFA Technical FTI"/>
    <s v="Wired Port - FTI"/>
    <s v="WRDFTI - Wired Port - FTI (FIFA Technical FTI)"/>
    <n v="7"/>
    <n v="4"/>
    <n v="0"/>
    <n v="4"/>
    <n v="4"/>
    <n v="0"/>
    <x v="0"/>
    <s v="Aspire Center - HQ"/>
    <s v="Broadcast Compound 2"/>
    <s v="FTI cabin BC2"/>
    <s v="FIFA FTI"/>
    <s v="FIFA FTI"/>
    <s v="BC 2 Aspire"/>
  </r>
  <r>
    <s v="WRDFTI"/>
    <x v="10"/>
    <x v="1"/>
    <s v=""/>
    <s v="FIFA Technical FTI"/>
    <s v="Wired Port - FTI"/>
    <s v="WRDFTI - Wired Port - FTI (FIFA Technical FTI)"/>
    <n v="2"/>
    <n v="2"/>
    <n v="0"/>
    <n v="2"/>
    <n v="2"/>
    <n v="0"/>
    <x v="0"/>
    <s v="Aspire Center - HQ"/>
    <s v="Broadcast Compound 1"/>
    <s v="FVS cabin 2"/>
    <s v="FIFA FTI"/>
    <s v="FIFA FTI"/>
    <m/>
  </r>
  <r>
    <s v="WRDFTI"/>
    <x v="10"/>
    <x v="1"/>
    <s v=""/>
    <s v="FIFA Technical FTI"/>
    <s v="Wired Port - FTI"/>
    <s v="WRDFTI - Wired Port - FTI (FIFA Technical FTI)"/>
    <n v="6"/>
    <n v="6"/>
    <n v="0"/>
    <n v="6"/>
    <n v="6"/>
    <n v="0"/>
    <x v="0"/>
    <s v="Aspire Center - HQ"/>
    <s v="Broadcast Compound 2"/>
    <s v="FVS cabin 1"/>
    <s v="FIFA FTI"/>
    <s v="FIFA FTI"/>
    <m/>
  </r>
  <r>
    <s v="WRDTSG"/>
    <x v="28"/>
    <x v="1"/>
    <s v=""/>
    <s v="FIFA Technical TSG"/>
    <s v="Wired Port - TSG"/>
    <s v="WRDTSG - Wired Port - TSG (FIFA Technical TSG)"/>
    <n v="1"/>
    <n v="1"/>
    <n v="0"/>
    <n v="1"/>
    <n v="1"/>
    <n v="0"/>
    <x v="0"/>
    <s v="Aspire Center - HQ"/>
    <s v="TSG - Main room"/>
    <s v="TSG"/>
    <s v="FIFA FTI"/>
    <s v="FIFA FTI"/>
    <s v="Internet speed 200Mb"/>
  </r>
  <r>
    <s v="IS00WF"/>
    <x v="1"/>
    <x v="1"/>
    <s v=""/>
    <s v="General Internet Access"/>
    <s v="Wireless coverage - Shared Internet Service - FIFA"/>
    <s v="IS00WF - Wireless coverage - Shared Internet Service - Wi-Fi FIFA (General Internet Access)"/>
    <n v="1"/>
    <n v="0"/>
    <n v="0"/>
    <n v="1"/>
    <n v="0"/>
    <n v="0"/>
    <x v="0"/>
    <s v="Khalifa"/>
    <s v="Broadcast Compound"/>
    <s v="FVS Cabin"/>
    <s v="FIFA FTI"/>
    <s v="FIFA FTI"/>
    <s v="at BC in the stdium"/>
  </r>
  <r>
    <s v="WRDFTI"/>
    <x v="10"/>
    <x v="1"/>
    <s v=""/>
    <s v="FIFA Technical FTI"/>
    <s v="Wired Port - FTI"/>
    <s v="WRDFTI - Wired Port - FTI (FIFA Technical FTI)"/>
    <n v="2"/>
    <n v="2"/>
    <n v="0"/>
    <n v="2"/>
    <n v="2"/>
    <n v="0"/>
    <x v="0"/>
    <s v="Khalifa"/>
    <s v="Broadcast Compound"/>
    <s v="FTI equipment cabin"/>
    <s v="FIFA FTI"/>
    <s v="FIFA FTI"/>
    <s v="at BC in the stdium (2 x 50Mb)"/>
  </r>
  <r>
    <s v="WRDFTI"/>
    <x v="10"/>
    <x v="1"/>
    <s v=""/>
    <s v="FIFA Technical FTI"/>
    <s v="Wired Port - FTI"/>
    <s v="WRDFTI - Wired Port - FTI (FIFA Technical FTI)"/>
    <n v="1"/>
    <n v="1"/>
    <n v="0"/>
    <n v="1"/>
    <n v="1"/>
    <n v="0"/>
    <x v="0"/>
    <s v="Khalifa"/>
    <s v="Broadcast Compound"/>
    <s v="FTI equipment cabin"/>
    <s v="FIFA FTI"/>
    <s v="FIFA FTI"/>
    <s v="at BC in the stdium (100 Mb)"/>
  </r>
  <r>
    <s v="WRDFTI"/>
    <x v="10"/>
    <x v="1"/>
    <s v=""/>
    <s v="FIFA Technical FTI"/>
    <s v="Wired Port - FTI"/>
    <s v="WRDFTI - Wired Port - FTI (FIFA Technical FTI)"/>
    <n v="1"/>
    <n v="1"/>
    <n v="0"/>
    <n v="1"/>
    <n v="1"/>
    <n v="0"/>
    <x v="0"/>
    <s v="Khalifa"/>
    <s v="Broadcast Compound"/>
    <s v="FVS Cabin"/>
    <s v="FIFA FTI"/>
    <s v="FIFA FTI"/>
    <s v="at BC in the stdium"/>
  </r>
  <r>
    <s v="WRDTSG"/>
    <x v="28"/>
    <x v="1"/>
    <s v=""/>
    <s v="FIFA Technical TSG"/>
    <s v="Wired Port - TSG"/>
    <s v="WRDTSG - Wired Port - TSG (FIFA Technical TSG)"/>
    <n v="8"/>
    <n v="8"/>
    <n v="0"/>
    <n v="8"/>
    <n v="8"/>
    <n v="0"/>
    <x v="0"/>
    <s v="Khalifa"/>
    <s v="Media Tribunes"/>
    <s v="TSG"/>
    <s v="FIFA FTI"/>
    <s v="FIFA FTI"/>
    <s v="Location TBC: MT"/>
  </r>
  <r>
    <s v="IS00VP"/>
    <x v="29"/>
    <x v="1"/>
    <s v=""/>
    <s v="General Internet Access"/>
    <s v="Wireless coverage - Shared Internet Service - VIP"/>
    <s v="IS00VP - Wireless coverage - Shared Internet Service - Wi-Fi VIP (General Internet Access)"/>
    <n v="1"/>
    <n v="0"/>
    <n v="0"/>
    <n v="1"/>
    <n v="0"/>
    <n v="0"/>
    <x v="0"/>
    <s v="Aspire Center - HQ"/>
    <s v="Super Club"/>
    <s v="VIP Lounge"/>
    <s v="FIFA Guest Operations"/>
    <s v="FIFA Guest Operations"/>
    <m/>
  </r>
  <r>
    <s v="IS00WF"/>
    <x v="1"/>
    <x v="1"/>
    <s v=""/>
    <s v="General Internet Access"/>
    <s v="Wireless coverage - Shared Internet Service - FIFA"/>
    <s v="IS00WF - Wireless coverage - Shared Internet Service - Wi-Fi FIFA (General Internet Access)"/>
    <n v="1"/>
    <n v="0"/>
    <n v="0"/>
    <n v="1"/>
    <n v="0"/>
    <n v="0"/>
    <x v="0"/>
    <s v="Aspire Center - HQ"/>
    <s v="Super Club"/>
    <s v="Protocol Office"/>
    <s v="FIFA Guest Operations"/>
    <s v="FIFA Guest Operations"/>
    <m/>
  </r>
  <r>
    <s v="MFDDNW"/>
    <x v="3"/>
    <x v="3"/>
    <s v=""/>
    <s v="General Internet Access"/>
    <s v="Colour Printer / Scanner (A4)"/>
    <s v="MFDDNW - MFD Desktop - Colour - A4 - Network (General Internet Access)"/>
    <n v="1"/>
    <n v="1"/>
    <n v="0"/>
    <n v="1"/>
    <n v="1"/>
    <n v="0"/>
    <x v="0"/>
    <s v="Aspire Center - HQ"/>
    <s v="Super Club"/>
    <s v="Protocol Office"/>
    <s v="FIFA Guest Operations"/>
    <s v="FIFA Guest Operations"/>
    <m/>
  </r>
  <r>
    <s v="TVLGIP"/>
    <x v="6"/>
    <x v="4"/>
    <s v=""/>
    <s v=""/>
    <s v="Large TV - CATV Feed"/>
    <s v="TVLGIP - TV - Large - IPTV"/>
    <n v="4"/>
    <n v="4"/>
    <n v="0"/>
    <n v="4"/>
    <n v="4"/>
    <n v="0"/>
    <x v="0"/>
    <s v="Aspire Center - HQ"/>
    <s v="Super Club"/>
    <s v="VIP Lounge"/>
    <s v="FIFA Guest Operations"/>
    <s v="FIFA Guest Operations"/>
    <m/>
  </r>
  <r>
    <s v="TVSTND"/>
    <x v="7"/>
    <x v="0"/>
    <s v=""/>
    <s v=""/>
    <s v="TV Stand for medium and large TVs"/>
    <s v="TVSTND - TV Stand - Medium &amp; Large TVs"/>
    <n v="4"/>
    <n v="0"/>
    <n v="0"/>
    <n v="4"/>
    <n v="0"/>
    <n v="0"/>
    <x v="0"/>
    <s v="Aspire Center - HQ"/>
    <s v="Super Club"/>
    <s v="VIP Lounge"/>
    <s v="FIFA Guest Operations"/>
    <s v="FIFA Guest Operations"/>
    <m/>
  </r>
  <r>
    <s v="IS00VP"/>
    <x v="29"/>
    <x v="1"/>
    <s v=""/>
    <s v="General Internet Access"/>
    <s v="Wireless coverage - Shared Internet Service - VIP"/>
    <s v="IS00VP - Wireless coverage - Shared Internet Service - Wi-Fi VIP (General Internet Access)"/>
    <n v="1"/>
    <n v="0"/>
    <n v="0"/>
    <n v="1"/>
    <n v="0"/>
    <n v="0"/>
    <x v="0"/>
    <s v="Khalifa"/>
    <s v="VIP area"/>
    <s v="VIP Lounge"/>
    <s v="FIFA Guest Operations"/>
    <s v="FIFA Guest Operations"/>
    <m/>
  </r>
  <r>
    <s v="IS00WF"/>
    <x v="1"/>
    <x v="1"/>
    <s v=""/>
    <s v="General Internet Access"/>
    <s v="Wireless coverage - Shared Internet Service - FIFA"/>
    <s v="IS00WF - Wireless coverage - Shared Internet Service - Wi-Fi FIFA (General Internet Access)"/>
    <n v="1"/>
    <n v="0"/>
    <n v="0"/>
    <n v="1"/>
    <n v="0"/>
    <n v="0"/>
    <x v="0"/>
    <s v="Khalifa"/>
    <s v="VIP area"/>
    <s v="Protocol Office"/>
    <s v="FIFA Guest Operations"/>
    <s v="FIFA Guest Operations"/>
    <m/>
  </r>
  <r>
    <s v="MFDDNW"/>
    <x v="3"/>
    <x v="3"/>
    <s v=""/>
    <s v="General Internet Access"/>
    <s v="Colour Printer / Scanner (A4)"/>
    <s v="MFDDNW - MFD Desktop - Colour - A4 - Network (General Internet Access)"/>
    <n v="1"/>
    <n v="1"/>
    <n v="0"/>
    <n v="1"/>
    <n v="1"/>
    <n v="0"/>
    <x v="0"/>
    <s v="Khalifa"/>
    <s v="VIP area"/>
    <s v="Protocol Office"/>
    <s v="FIFA Guest Operations"/>
    <s v="FIFA Guest Operations"/>
    <m/>
  </r>
  <r>
    <s v="TVLGIP"/>
    <x v="6"/>
    <x v="4"/>
    <s v=""/>
    <s v=""/>
    <s v="Large TV - CATV Feed"/>
    <s v="TVLGIP - TV - Large - IPTV"/>
    <n v="2"/>
    <n v="2"/>
    <n v="0"/>
    <n v="2"/>
    <n v="2"/>
    <n v="0"/>
    <x v="0"/>
    <s v="Khalifa"/>
    <s v="VIP area"/>
    <s v="VIP Lounge"/>
    <s v="FIFA Guest Operations"/>
    <s v="FIFA Guest Operations"/>
    <m/>
  </r>
  <r>
    <s v="TVSTND"/>
    <x v="7"/>
    <x v="0"/>
    <s v=""/>
    <s v=""/>
    <s v="TV Stand for medium and large TVs"/>
    <s v="TVSTND - TV Stand - Medium &amp; Large TVs"/>
    <n v="2"/>
    <n v="0"/>
    <n v="0"/>
    <n v="2"/>
    <n v="0"/>
    <n v="0"/>
    <x v="0"/>
    <s v="Khalifa"/>
    <s v="VIP area"/>
    <s v="VIP Lounge"/>
    <s v="FIFA Guest Operations"/>
    <s v="FIFA Guest Operations"/>
    <m/>
  </r>
  <r>
    <s v="CABLOK"/>
    <x v="13"/>
    <x v="0"/>
    <s v="Multi"/>
    <s v=""/>
    <s v="Laptop Cable Lock"/>
    <s v="CABLOK - Laptop Cable Lock"/>
    <n v="1"/>
    <n v="0"/>
    <n v="0"/>
    <n v="1"/>
    <n v="0"/>
    <n v="0"/>
    <x v="1"/>
    <s v="Aspire Center - HQ"/>
    <s v="Stadium Media Centre"/>
    <s v="SMC/MEO/WD/Mixed Zone"/>
    <s v="FIFA Media"/>
    <s v="FIFA Media"/>
    <m/>
  </r>
  <r>
    <s v="IS00WM"/>
    <x v="11"/>
    <x v="1"/>
    <s v=""/>
    <s v="Media Internet Access"/>
    <s v="Wireless coverage - Internet Service - Media"/>
    <s v="IS00WM - Wireless coverage - Internet Service - Wi-Fi Media (Media Internet Access)"/>
    <n v="1"/>
    <n v="0"/>
    <n v="0"/>
    <n v="1"/>
    <n v="0"/>
    <n v="0"/>
    <x v="0"/>
    <s v="Aspire Center - HQ"/>
    <s v="Stadium Media Centre"/>
    <s v="SMC/MEO/WD/Mixed Zone"/>
    <s v="FIFA Media"/>
    <s v="FIFA Media"/>
    <s v="for 100pax"/>
  </r>
  <r>
    <s v="IS00WM"/>
    <x v="11"/>
    <x v="1"/>
    <s v=""/>
    <s v="Media Internet Access"/>
    <s v="Wireless coverage - Internet Service - Media"/>
    <s v="IS00WM - Wireless coverage - Internet Service - Wi-Fi Media (Media Internet Access)"/>
    <n v="1"/>
    <n v="0"/>
    <n v="0"/>
    <n v="1"/>
    <n v="0"/>
    <n v="0"/>
    <x v="0"/>
    <s v="Aspire Center - HQ"/>
    <s v="Media Tribunes"/>
    <s v="Media Tribune"/>
    <s v="FIFA Media"/>
    <s v="FIFA Media"/>
    <s v="Local Press"/>
  </r>
  <r>
    <s v="IS00WM"/>
    <x v="11"/>
    <x v="1"/>
    <s v=""/>
    <s v="Media Internet Access"/>
    <s v="Wireless coverage - Internet Service - Media"/>
    <s v="IS00WM - Wireless coverage - Internet Service - Wi-Fi Media (Media Internet Access)"/>
    <n v="1"/>
    <n v="0"/>
    <n v="0"/>
    <n v="1"/>
    <n v="0"/>
    <n v="0"/>
    <x v="0"/>
    <s v="Aspire Center - HQ"/>
    <s v="Field of Play"/>
    <s v="Behind goal remote left"/>
    <s v="FIFA Media"/>
    <s v="FIFA Media"/>
    <m/>
  </r>
  <r>
    <s v="IS00WM"/>
    <x v="11"/>
    <x v="1"/>
    <s v=""/>
    <s v="Media Internet Access"/>
    <s v="Wireless coverage - Internet Service - Media"/>
    <s v="IS00WM - Wireless coverage - Internet Service - Wi-Fi Media (Media Internet Access)"/>
    <n v="1"/>
    <n v="0"/>
    <n v="0"/>
    <n v="1"/>
    <n v="0"/>
    <n v="0"/>
    <x v="0"/>
    <s v="Aspire Center - HQ"/>
    <s v="Field of Play"/>
    <s v="Behind goal remote right"/>
    <s v="FIFA Media"/>
    <s v="FIFA Media"/>
    <m/>
  </r>
  <r>
    <s v="IS00WM"/>
    <x v="11"/>
    <x v="1"/>
    <s v=""/>
    <s v="Media Internet Access"/>
    <s v="Wireless coverage - Internet Service - Media"/>
    <s v="IS00WM - Wireless coverage - Internet Service - Wi-Fi Media (Media Internet Access)"/>
    <n v="1"/>
    <n v="0"/>
    <n v="0"/>
    <n v="1"/>
    <n v="0"/>
    <n v="0"/>
    <x v="0"/>
    <s v="Aspire Center - HQ"/>
    <s v="Pitch 1"/>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1"/>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2"/>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2"/>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3"/>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3"/>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4"/>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4"/>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5"/>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5"/>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7"/>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7"/>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8"/>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8"/>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9"/>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Pitch 9"/>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s v="Aspire Center - HQ"/>
    <s v="Field of Play"/>
    <s v="Photographers Positions - Left side"/>
    <s v="FIFA Media"/>
    <s v="FIFA Media"/>
    <m/>
  </r>
  <r>
    <s v="IS00WM"/>
    <x v="11"/>
    <x v="1"/>
    <s v=""/>
    <s v="Media Internet Access"/>
    <s v="Wireless coverage - Internet Service - Media"/>
    <s v="IS00WM - Wireless coverage - Internet Service - Wi-Fi Media (Media Internet Access)"/>
    <n v="1"/>
    <n v="0"/>
    <n v="0"/>
    <n v="1"/>
    <n v="0"/>
    <n v="0"/>
    <x v="0"/>
    <s v="Aspire Center - HQ"/>
    <s v="Field of Play"/>
    <s v="Photographers Positions - Right side"/>
    <s v="FIFA Media"/>
    <s v="FIFA Media"/>
    <m/>
  </r>
  <r>
    <s v="LAPEVT"/>
    <x v="2"/>
    <x v="2"/>
    <s v="Single"/>
    <s v=""/>
    <s v="FIFA Laptop"/>
    <s v="LAPEVT - Laptop - FIFA Event Build"/>
    <n v="1"/>
    <n v="0"/>
    <n v="0"/>
    <n v="1"/>
    <n v="0"/>
    <n v="0"/>
    <x v="1"/>
    <s v="Aspire Center - HQ"/>
    <s v="Stadium Media Centre"/>
    <s v="SMC/MEO/WD/Mixed Zone"/>
    <s v="FIFA Media"/>
    <s v="FIFA Media"/>
    <m/>
  </r>
  <r>
    <s v="TVLGIP"/>
    <x v="6"/>
    <x v="4"/>
    <s v=""/>
    <s v=""/>
    <s v="Large TV - CATV Feed"/>
    <s v="TVLGIP - TV - Large - IPTV"/>
    <n v="2"/>
    <n v="2"/>
    <n v="0"/>
    <n v="2"/>
    <n v="2"/>
    <n v="0"/>
    <x v="0"/>
    <s v="Aspire Center - HQ"/>
    <s v="Stadium Media Centre"/>
    <s v="SMC/MEO/WD/Mixed Zone"/>
    <s v="FIFA Media"/>
    <s v="FIFA Media"/>
    <m/>
  </r>
  <r>
    <s v="TVSTND"/>
    <x v="7"/>
    <x v="0"/>
    <s v=""/>
    <s v=""/>
    <s v="TV Stand for medium and large TVs"/>
    <s v="TVSTND - TV Stand - Medium &amp; Large TVs"/>
    <n v="2"/>
    <n v="0"/>
    <n v="0"/>
    <n v="2"/>
    <n v="0"/>
    <n v="0"/>
    <x v="0"/>
    <s v="Aspire Center - HQ"/>
    <s v="Stadium Media Centre"/>
    <s v="SMC/MEO/WD/Mixed Zone"/>
    <s v="FIFA Media"/>
    <s v="FIFA Media"/>
    <m/>
  </r>
  <r>
    <s v="WRDMED"/>
    <x v="5"/>
    <x v="1"/>
    <s v=""/>
    <s v="Media Internet Access Media"/>
    <s v="Wired Port - Internet for Media"/>
    <s v="WRDMED - Wired Port - Media Internet (Media Internet Access Media)"/>
    <n v="5"/>
    <n v="5"/>
    <n v="0"/>
    <n v="5"/>
    <n v="5"/>
    <n v="0"/>
    <x v="0"/>
    <s v="Aspire Center - HQ"/>
    <s v="Stadium Media Centre"/>
    <s v="SMC/MEO/WD/Mixed Zone"/>
    <s v="FIFA Media"/>
    <s v="FIFA Media"/>
    <m/>
  </r>
  <r>
    <s v="AUDUSB"/>
    <x v="30"/>
    <x v="8"/>
    <s v=""/>
    <s v=""/>
    <s v="Audio transformer SDI to USB"/>
    <s v="AUDUSB - Audio transformer SDI to USB"/>
    <n v="1"/>
    <n v="0"/>
    <n v="0"/>
    <n v="1"/>
    <n v="0"/>
    <n v="0"/>
    <x v="1"/>
    <s v="Khalifa"/>
    <s v="Press Conference Room"/>
    <s v="Press Conference Room"/>
    <s v="FIFA Media"/>
    <s v="FIFA Media"/>
    <m/>
  </r>
  <r>
    <s v="CABLOK"/>
    <x v="13"/>
    <x v="0"/>
    <s v="Multi"/>
    <s v=""/>
    <s v="Laptop Cable Lock"/>
    <s v="CABLOK - Laptop Cable Lock"/>
    <n v="1"/>
    <n v="0"/>
    <n v="0"/>
    <n v="1"/>
    <n v="0"/>
    <n v="0"/>
    <x v="1"/>
    <s v="Khalifa"/>
    <s v="Stadium Media Centre"/>
    <s v="Media Information / Welcome Desk"/>
    <s v="FIFA Media"/>
    <s v="FIFA Media"/>
    <m/>
  </r>
  <r>
    <s v="CABLOK"/>
    <x v="13"/>
    <x v="0"/>
    <s v="Multi"/>
    <s v=""/>
    <s v="Laptop Cable Lock"/>
    <s v="CABLOK - Laptop Cable Lock"/>
    <n v="2"/>
    <n v="0"/>
    <n v="0"/>
    <n v="2"/>
    <n v="0"/>
    <n v="0"/>
    <x v="1"/>
    <s v="Khalifa"/>
    <s v="Press Conference Room"/>
    <s v="Press Conference Room"/>
    <s v="FIFA Media"/>
    <s v="FIFA Media"/>
    <m/>
  </r>
  <r>
    <s v="CAM001"/>
    <x v="31"/>
    <x v="0"/>
    <s v="Multi"/>
    <s v=""/>
    <s v="Webcam"/>
    <s v="CAM001 - Webcam"/>
    <n v="1"/>
    <n v="0"/>
    <n v="0"/>
    <n v="1"/>
    <n v="0"/>
    <n v="0"/>
    <x v="1"/>
    <s v="Khalifa"/>
    <s v="Press Conference Room"/>
    <s v="Press Conference Room"/>
    <s v="FIFA Media"/>
    <s v="FIFA Media"/>
    <s v="4K"/>
  </r>
  <r>
    <s v="IS00WM"/>
    <x v="11"/>
    <x v="1"/>
    <s v=""/>
    <s v="Media Internet Access"/>
    <s v="Wireless coverage - Internet Service - Media"/>
    <s v="IS00WM - Wireless coverage - Internet Service - Wi-Fi Media (Media Internet Access)"/>
    <n v="1"/>
    <n v="0"/>
    <n v="0"/>
    <n v="1"/>
    <n v="0"/>
    <n v="0"/>
    <x v="0"/>
    <s v="Khalifa"/>
    <s v="Stadium Media Centre"/>
    <s v="MEO office"/>
    <s v="FIFA Media"/>
    <s v="FIFA Media"/>
    <m/>
  </r>
  <r>
    <s v="IS00WM"/>
    <x v="11"/>
    <x v="1"/>
    <s v=""/>
    <s v="Media Internet Access"/>
    <s v="Wireless coverage - Internet Service - Media"/>
    <s v="IS00WM - Wireless coverage - Internet Service - Wi-Fi Media (Media Internet Access)"/>
    <n v="1"/>
    <n v="0"/>
    <n v="0"/>
    <n v="1"/>
    <n v="0"/>
    <n v="0"/>
    <x v="0"/>
    <s v="Khalifa"/>
    <s v="Mixed Zone"/>
    <s v="Mixed Zone"/>
    <s v="FIFA Media"/>
    <s v="FIFA Media"/>
    <m/>
  </r>
  <r>
    <s v="IS00WM"/>
    <x v="11"/>
    <x v="1"/>
    <s v=""/>
    <s v="Media Internet Access"/>
    <s v="Wireless coverage - Internet Service - Media"/>
    <s v="IS00WM - Wireless coverage - Internet Service - Wi-Fi Media (Media Internet Access)"/>
    <n v="1"/>
    <n v="0"/>
    <n v="0"/>
    <n v="1"/>
    <n v="0"/>
    <n v="0"/>
    <x v="0"/>
    <s v="Khalifa"/>
    <s v="Stadium Media Centre"/>
    <s v="Stadium Media Centre"/>
    <s v="FIFA Media"/>
    <s v="FIFA Media"/>
    <m/>
  </r>
  <r>
    <s v="IS00WM"/>
    <x v="11"/>
    <x v="1"/>
    <s v=""/>
    <s v="Media Internet Access"/>
    <s v="Wireless coverage - Internet Service - Media"/>
    <s v="IS00WM - Wireless coverage - Internet Service - Wi-Fi Media (Media Internet Access)"/>
    <n v="1"/>
    <n v="0"/>
    <n v="0"/>
    <n v="1"/>
    <n v="0"/>
    <n v="0"/>
    <x v="0"/>
    <s v="Khalifa"/>
    <s v="Media Tribunes"/>
    <s v="Media Tribune"/>
    <s v="FIFA Media"/>
    <s v="FIFA Media"/>
    <s v="Local Press+International TBC / for 60pax"/>
  </r>
  <r>
    <s v="IS00WM"/>
    <x v="11"/>
    <x v="1"/>
    <s v=""/>
    <s v="Media Internet Access"/>
    <s v="Wireless coverage - Internet Service - Media"/>
    <s v="IS00WM - Wireless coverage - Internet Service - Wi-Fi Media (Media Internet Access)"/>
    <n v="1"/>
    <n v="0"/>
    <n v="0"/>
    <n v="1"/>
    <n v="0"/>
    <n v="0"/>
    <x v="0"/>
    <s v="Khalifa"/>
    <s v="Stadium Media Centre"/>
    <s v="Media Information / Welcome Desk"/>
    <s v="FIFA Media"/>
    <s v="FIFA Media"/>
    <m/>
  </r>
  <r>
    <s v="IS00WM"/>
    <x v="11"/>
    <x v="1"/>
    <s v=""/>
    <s v="Media Internet Access"/>
    <s v="Wireless coverage - Internet Service - Media"/>
    <s v="IS00WM - Wireless coverage - Internet Service - Wi-Fi Media (Media Internet Access)"/>
    <n v="1"/>
    <n v="0"/>
    <n v="0"/>
    <n v="1"/>
    <n v="0"/>
    <n v="0"/>
    <x v="0"/>
    <s v="Khalifa"/>
    <s v="Pitch"/>
    <s v="Behind goal remote left"/>
    <s v="FIFA Media"/>
    <s v="FIFA Media"/>
    <m/>
  </r>
  <r>
    <s v="IS00WM"/>
    <x v="11"/>
    <x v="1"/>
    <s v=""/>
    <s v="Media Internet Access"/>
    <s v="Wireless coverage - Internet Service - Media"/>
    <s v="IS00WM - Wireless coverage - Internet Service - Wi-Fi Media (Media Internet Access)"/>
    <n v="1"/>
    <n v="0"/>
    <n v="0"/>
    <n v="1"/>
    <n v="0"/>
    <n v="0"/>
    <x v="0"/>
    <s v="Khalifa"/>
    <s v="Pitch"/>
    <s v="Behind goal remote right"/>
    <s v="FIFA Media"/>
    <s v="FIFA Media"/>
    <m/>
  </r>
  <r>
    <s v="IS00WM"/>
    <x v="11"/>
    <x v="1"/>
    <s v=""/>
    <s v="Media Internet Access"/>
    <s v="Wireless coverage - Internet Service - Media"/>
    <s v="IS00WM - Wireless coverage - Internet Service - Wi-Fi Media (Media Internet Access)"/>
    <n v="1"/>
    <n v="0"/>
    <n v="0"/>
    <n v="1"/>
    <n v="0"/>
    <n v="0"/>
    <x v="0"/>
    <s v="Khalifa"/>
    <s v="Pitch"/>
    <s v="Photographers Positions - Right side"/>
    <s v="FIFA Media"/>
    <s v="FIFA Media"/>
    <m/>
  </r>
  <r>
    <s v="IS00WM"/>
    <x v="11"/>
    <x v="1"/>
    <s v=""/>
    <s v="Media Internet Access"/>
    <s v="Wireless coverage - Internet Service - Media"/>
    <s v="IS00WM - Wireless coverage - Internet Service - Wi-Fi Media (Media Internet Access)"/>
    <n v="1"/>
    <n v="0"/>
    <n v="0"/>
    <n v="1"/>
    <n v="0"/>
    <n v="0"/>
    <x v="0"/>
    <s v="Khalifa"/>
    <s v="Pitch"/>
    <s v="Photographers Positions - Left side"/>
    <s v="FIFA Media"/>
    <s v="FIFA Media"/>
    <m/>
  </r>
  <r>
    <s v="IS00WM"/>
    <x v="11"/>
    <x v="1"/>
    <s v=""/>
    <s v="Media Internet Access"/>
    <s v="Wireless coverage - Internet Service - Media"/>
    <s v="IS00WM - Wireless coverage - Internet Service - Wi-Fi Media (Media Internet Access)"/>
    <n v="1"/>
    <n v="0"/>
    <n v="0"/>
    <n v="1"/>
    <n v="0"/>
    <n v="0"/>
    <x v="0"/>
    <s v="Khalifa"/>
    <s v="Pitch"/>
    <s v="FIFA Photo Positions - Left - 16m line"/>
    <s v="FIFA Media"/>
    <s v="FIFA Media"/>
    <m/>
  </r>
  <r>
    <s v="IS00WM"/>
    <x v="11"/>
    <x v="1"/>
    <s v=""/>
    <s v="Media Internet Access"/>
    <s v="Wireless coverage - Internet Service - Media"/>
    <s v="IS00WM - Wireless coverage - Internet Service - Wi-Fi Media (Media Internet Access)"/>
    <n v="1"/>
    <n v="0"/>
    <n v="0"/>
    <n v="1"/>
    <n v="0"/>
    <n v="0"/>
    <x v="0"/>
    <s v="Khalifa"/>
    <s v="Pitch"/>
    <s v="FIFA Photo Positions - Right - 16m line"/>
    <s v="FIFA Media"/>
    <s v="FIFA Media"/>
    <m/>
  </r>
  <r>
    <s v="IS00Wm"/>
    <x v="11"/>
    <x v="1"/>
    <s v=""/>
    <s v="Media Internet Access"/>
    <s v="Wireless coverage - Internet Service - Media"/>
    <s v="IS00Wm - Wireless coverage - Internet Service - Wi-Fi Media (Media Internet Access)"/>
    <n v="1"/>
    <n v="0"/>
    <n v="0"/>
    <n v="1"/>
    <n v="0"/>
    <n v="0"/>
    <x v="0"/>
    <s v="Khalifa"/>
    <s v="Press Conference Room"/>
    <s v="Press Conference Room"/>
    <s v="FIFA Media"/>
    <s v="FIFA Media"/>
    <m/>
  </r>
  <r>
    <s v="LAPEVT"/>
    <x v="2"/>
    <x v="2"/>
    <s v="Single"/>
    <s v=""/>
    <s v="FIFA Laptop"/>
    <s v="LAPEVT - Laptop - FIFA Event Build"/>
    <n v="1"/>
    <n v="0"/>
    <n v="0"/>
    <n v="1"/>
    <n v="0"/>
    <n v="0"/>
    <x v="1"/>
    <s v="Khalifa"/>
    <s v="Stadium Media Centre"/>
    <s v="Media Information / Welcome Desk"/>
    <s v="FIFA Media"/>
    <s v="FIFA Media"/>
    <m/>
  </r>
  <r>
    <s v="LAPEVT"/>
    <x v="2"/>
    <x v="2"/>
    <s v="Single"/>
    <s v=""/>
    <s v="FIFA Laptop"/>
    <s v="LAPEVT - Laptop - FIFA Event Build"/>
    <n v="2"/>
    <n v="0"/>
    <n v="0"/>
    <n v="2"/>
    <n v="0"/>
    <n v="0"/>
    <x v="1"/>
    <s v="Khalifa"/>
    <s v="Press Conference Room"/>
    <s v="Press Conference Room"/>
    <s v="FIFA Media"/>
    <s v="FIFA Media"/>
    <m/>
  </r>
  <r>
    <s v="TELMOB"/>
    <x v="22"/>
    <x v="7"/>
    <s v="Single"/>
    <s v=""/>
    <s v="Smart Phone"/>
    <s v="TELMOB - Telephone - Mobile - Smart Phone"/>
    <n v="6"/>
    <n v="0"/>
    <n v="6"/>
    <n v="6"/>
    <n v="0"/>
    <n v="6"/>
    <x v="1"/>
    <s v="Khalifa"/>
    <s v="Press Conference Room"/>
    <s v="Press Conference Room"/>
    <s v="FIFA Media"/>
    <s v="FIFA Media"/>
    <m/>
  </r>
  <r>
    <s v="SIMDAT"/>
    <x v="19"/>
    <x v="7"/>
    <s v=""/>
    <s v=""/>
    <s v="Local SIM Card - Data Only"/>
    <s v="SIMDAT - SIM - Data Only"/>
    <n v="6"/>
    <n v="0"/>
    <n v="6"/>
    <n v="6"/>
    <n v="0"/>
    <n v="6"/>
    <x v="0"/>
    <s v="Khalifa"/>
    <s v="Press Conference Room"/>
    <s v="Press Conference Room"/>
    <s v="FIFA Media"/>
    <s v="FIFA Media"/>
    <m/>
  </r>
  <r>
    <s v="TVLGIP"/>
    <x v="6"/>
    <x v="4"/>
    <s v=""/>
    <s v=""/>
    <s v="Large TV - CATV Feed"/>
    <s v="TVLGIP - TV - Large - IPTV"/>
    <n v="1"/>
    <n v="1"/>
    <n v="0"/>
    <n v="1"/>
    <n v="1"/>
    <n v="0"/>
    <x v="0"/>
    <s v="Khalifa"/>
    <s v="Mixed Zone"/>
    <s v="Mixed Zone"/>
    <s v="FIFA Media"/>
    <s v="FIFA Media"/>
    <m/>
  </r>
  <r>
    <s v="TVLGIP"/>
    <x v="6"/>
    <x v="4"/>
    <s v=""/>
    <s v=""/>
    <s v="Large TV - CATV Feed"/>
    <s v="TVLGIP - TV - Large - IPTV"/>
    <n v="1"/>
    <n v="1"/>
    <n v="0"/>
    <n v="1"/>
    <n v="1"/>
    <n v="0"/>
    <x v="0"/>
    <s v="Khalifa"/>
    <s v="Stadium Media Centre"/>
    <s v="Stadium Media Centre"/>
    <s v="FIFA Media"/>
    <s v="FIFA Media"/>
    <m/>
  </r>
  <r>
    <s v="TVSTND"/>
    <x v="7"/>
    <x v="0"/>
    <s v=""/>
    <s v=""/>
    <s v="TV Stand for medium and large TVs"/>
    <s v="TVSTND - TV Stand - Medium &amp; Large TVs"/>
    <n v="1"/>
    <n v="0"/>
    <n v="0"/>
    <n v="1"/>
    <n v="0"/>
    <n v="0"/>
    <x v="0"/>
    <s v="Khalifa"/>
    <s v="Mixed Zone"/>
    <s v="Mixed Zone"/>
    <s v="FIFA Media"/>
    <s v="FIFA Media"/>
    <m/>
  </r>
  <r>
    <s v="TVSTND"/>
    <x v="7"/>
    <x v="0"/>
    <s v=""/>
    <s v=""/>
    <s v="TV Stand for medium and large TVs"/>
    <s v="TVSTND - TV Stand - Medium &amp; Large TVs"/>
    <n v="1"/>
    <n v="0"/>
    <n v="0"/>
    <n v="1"/>
    <n v="0"/>
    <n v="0"/>
    <x v="0"/>
    <s v="Khalifa"/>
    <s v="Stadium Media Centre"/>
    <s v="Stadium Media Centre"/>
    <s v="FIFA Media"/>
    <s v="FIFA Media"/>
    <m/>
  </r>
  <r>
    <s v="WRDFTI"/>
    <x v="10"/>
    <x v="1"/>
    <s v=""/>
    <s v="FIFA Technical FTI"/>
    <s v="Wired Port - FTI"/>
    <s v="WRDFTI - Wired Port - FTI (FIFA Technical FTI)"/>
    <n v="2"/>
    <n v="2"/>
    <n v="0"/>
    <n v="2"/>
    <n v="2"/>
    <n v="0"/>
    <x v="0"/>
    <s v="Khalifa"/>
    <s v="Press Conference Room"/>
    <s v="Press Conference Room"/>
    <s v="FIFA Media"/>
    <s v="FIFA Media"/>
    <m/>
  </r>
  <r>
    <s v="WRDMED"/>
    <x v="5"/>
    <x v="1"/>
    <s v=""/>
    <s v="Media Internet Access Media"/>
    <s v="Wired Port - Internet for Media"/>
    <s v="WRDMED - Wired Port - Media Internet (Media Internet Access Media)"/>
    <n v="5"/>
    <n v="5"/>
    <n v="0"/>
    <n v="5"/>
    <n v="5"/>
    <n v="0"/>
    <x v="0"/>
    <s v="Khalifa"/>
    <s v="Stadium Media Centre"/>
    <s v="Stadium Media Centre"/>
    <s v="FIFA Media"/>
    <s v="FIFA Media"/>
    <m/>
  </r>
  <r>
    <s v="WRDMED"/>
    <x v="5"/>
    <x v="1"/>
    <s v=""/>
    <s v="Media Internet Access Media"/>
    <s v="Wired Port - Internet for Media"/>
    <s v="WRDMED - Wired Port - Media Internet (Media Internet Access Media)"/>
    <n v="1"/>
    <n v="1"/>
    <n v="0"/>
    <n v="1"/>
    <n v="1"/>
    <n v="0"/>
    <x v="0"/>
    <s v="Khalifa"/>
    <s v="Pitch"/>
    <s v="FIFA Photo Positions - Right - 16m line"/>
    <s v="FIFA Media"/>
    <s v="FIFA Media"/>
    <s v="Request from Paul Murphy / only if existing infrastructure"/>
  </r>
  <r>
    <s v="WRDMED"/>
    <x v="5"/>
    <x v="1"/>
    <s v=""/>
    <s v="Media Internet Access Media"/>
    <s v="Wired Port - Internet for Media"/>
    <s v="WRDMED - Wired Port - Media Internet (Media Internet Access Media)"/>
    <n v="1"/>
    <n v="1"/>
    <n v="0"/>
    <n v="1"/>
    <n v="1"/>
    <n v="0"/>
    <x v="0"/>
    <s v="Khalifa"/>
    <s v="Pitch"/>
    <s v="FIFA Photo Positions - Left - 16m line"/>
    <s v="FIFA Media"/>
    <s v="FIFA Media"/>
    <s v="Request from Paul Murphy / only if existing infrastructure"/>
  </r>
  <r>
    <s v="AVMSYS"/>
    <x v="32"/>
    <x v="8"/>
    <s v=""/>
    <s v=""/>
    <s v="Professional Speakers and Microphones"/>
    <s v="AVMSYS - AV Solution (Mics + Speakers)"/>
    <n v="1"/>
    <n v="0"/>
    <n v="0"/>
    <n v="1"/>
    <n v="0"/>
    <n v="0"/>
    <x v="0"/>
    <s v="Aspire Center - HQ"/>
    <s v="Referees Accommodation"/>
    <s v="Class Room"/>
    <s v="FIFA Referees"/>
    <s v="FIFA Referees"/>
    <m/>
  </r>
  <r>
    <s v="DSKMNT"/>
    <x v="0"/>
    <x v="0"/>
    <s v=""/>
    <s v=""/>
    <s v="24&quot; PC Monitor"/>
    <s v="DSKMNT - 24&quot; Monitor - HDMI/DP"/>
    <n v="4"/>
    <n v="0"/>
    <n v="0"/>
    <n v="4"/>
    <n v="0"/>
    <n v="0"/>
    <x v="0"/>
    <s v="Aspire Center - HQ"/>
    <s v="Referees Accommodation"/>
    <s v="Technical / Match Analysts"/>
    <s v="FIFA Referees"/>
    <s v="FIFA Referees"/>
    <m/>
  </r>
  <r>
    <s v="DSKMNT"/>
    <x v="0"/>
    <x v="0"/>
    <s v=""/>
    <s v=""/>
    <s v="24&quot; PC Monitor"/>
    <s v="DSKMNT - 24&quot; Monitor - HDMI/DP"/>
    <n v="0"/>
    <n v="0"/>
    <n v="0"/>
    <n v="2"/>
    <n v="0"/>
    <n v="0"/>
    <x v="0"/>
    <s v="Aspire Center - HQ"/>
    <s v="Referees Accommodation"/>
    <s v="REF Management"/>
    <s v="FIFA Referees"/>
    <s v="FIFA Referees"/>
    <m/>
  </r>
  <r>
    <s v="DSKMNT"/>
    <x v="0"/>
    <x v="0"/>
    <s v=""/>
    <s v=""/>
    <s v="24&quot; PC Monitor"/>
    <s v="DSKMNT - 24&quot; Monitor - HDMI/DP"/>
    <n v="0"/>
    <n v="0"/>
    <n v="0"/>
    <n v="2"/>
    <n v="0"/>
    <n v="0"/>
    <x v="0"/>
    <s v="Aspire Center - HQ"/>
    <s v="Referees Accommodation"/>
    <s v="REF Administration"/>
    <s v="FIFA Referees"/>
    <s v="FIFA Referees"/>
    <m/>
  </r>
  <r>
    <s v="DSKMNT"/>
    <x v="0"/>
    <x v="0"/>
    <s v=""/>
    <s v=""/>
    <s v="24&quot; PC Monitor"/>
    <s v="DSKMNT - 24&quot; Monitor - HDMI/DP"/>
    <n v="0"/>
    <n v="0"/>
    <n v="0"/>
    <n v="2"/>
    <n v="0"/>
    <n v="0"/>
    <x v="0"/>
    <s v="Aspire Center - HQ"/>
    <s v="Referees Accommodation"/>
    <s v="Fitness Office"/>
    <s v="FIFA Referees"/>
    <s v="FIFA Referees"/>
    <m/>
  </r>
  <r>
    <s v="IS00WR"/>
    <x v="33"/>
    <x v="1"/>
    <s v=""/>
    <s v="General Internet Access"/>
    <s v="Wireless coverage - Internet Service -  Referees"/>
    <s v="IS00WR - Wireless coverage - Internet Service -  Referees (General Internet Access)"/>
    <n v="1"/>
    <n v="0"/>
    <n v="0"/>
    <n v="1"/>
    <n v="0"/>
    <n v="0"/>
    <x v="0"/>
    <s v="Aspire Center - HQ"/>
    <s v="Referees Accommodation"/>
    <s v="Technical / Match Analysts"/>
    <s v="FIFA Referees"/>
    <s v="FIFA Referees"/>
    <m/>
  </r>
  <r>
    <s v="IS00WR"/>
    <x v="33"/>
    <x v="1"/>
    <s v=""/>
    <s v="General Internet Access"/>
    <s v="Wireless coverage - Internet Service -  Referees"/>
    <s v="IS00WR - Wireless coverage - Internet Service -  Referees (General Internet Access)"/>
    <n v="1"/>
    <n v="0"/>
    <n v="0"/>
    <n v="1"/>
    <n v="0"/>
    <n v="0"/>
    <x v="0"/>
    <s v="Aspire Center - HQ"/>
    <s v="Training site pitch 10-11"/>
    <s v="Instant Feedback"/>
    <s v="FIFA Referees"/>
    <s v="FIFA Referees"/>
    <m/>
  </r>
  <r>
    <s v="IS00WR"/>
    <x v="33"/>
    <x v="1"/>
    <s v=""/>
    <s v="General Internet Access"/>
    <s v="Wireless coverage - Internet Service -  Referees"/>
    <s v="IS00WR - Wireless coverage - Internet Service -  Referees (General Internet Access)"/>
    <n v="1"/>
    <n v="0"/>
    <n v="0"/>
    <n v="1"/>
    <n v="0"/>
    <n v="0"/>
    <x v="0"/>
    <s v="Aspire Center - HQ"/>
    <s v="Referees Accommodation"/>
    <s v="REF Management"/>
    <s v="FIFA Referees"/>
    <s v="FIFA Referees"/>
    <m/>
  </r>
  <r>
    <s v="IS00WR"/>
    <x v="33"/>
    <x v="1"/>
    <s v=""/>
    <s v="General Internet Access"/>
    <s v="Wireless coverage - Internet Service -  Referees"/>
    <s v="IS00WR - Wireless coverage - Internet Service -  Referees (General Internet Access)"/>
    <n v="1"/>
    <n v="0"/>
    <n v="0"/>
    <n v="1"/>
    <n v="0"/>
    <n v="0"/>
    <x v="0"/>
    <s v="Aspire Center - HQ"/>
    <s v="Referees Accommodation"/>
    <s v="REF Administration"/>
    <s v="FIFA Referees"/>
    <s v="FIFA Referees"/>
    <m/>
  </r>
  <r>
    <s v="IS00WR"/>
    <x v="33"/>
    <x v="1"/>
    <s v=""/>
    <s v="General Internet Access"/>
    <s v="Wireless coverage - Internet Service -  Referees"/>
    <s v="IS00WR - Wireless coverage - Internet Service -  Referees (General Internet Access)"/>
    <n v="1"/>
    <n v="0"/>
    <n v="0"/>
    <n v="1"/>
    <n v="0"/>
    <n v="0"/>
    <x v="0"/>
    <s v="Aspire Center - HQ"/>
    <s v="Referees Accommodation"/>
    <s v="Fitness Office"/>
    <s v="FIFA Referees"/>
    <s v="FIFA Referees"/>
    <m/>
  </r>
  <r>
    <s v="IS00WR"/>
    <x v="33"/>
    <x v="1"/>
    <s v=""/>
    <s v="General Internet Access"/>
    <s v="Wireless coverage - Internet Service -  Referees"/>
    <s v="IS00WR - Wireless coverage - Internet Service -  Referees (General Internet Access)"/>
    <n v="1"/>
    <n v="0"/>
    <n v="0"/>
    <n v="1"/>
    <n v="0"/>
    <n v="0"/>
    <x v="0"/>
    <s v="Aspire Center - HQ"/>
    <s v="Referees Accommodation"/>
    <s v="Class Room"/>
    <s v="FIFA Referees"/>
    <s v="FIFA Referees"/>
    <m/>
  </r>
  <r>
    <s v="IS00WR"/>
    <x v="33"/>
    <x v="1"/>
    <s v=""/>
    <s v="General Internet Access"/>
    <s v="Wireless coverage - Internet Service -  Referees"/>
    <s v="IS00WR - Wireless coverage - Internet Service -  Referees (General Internet Access)"/>
    <n v="1"/>
    <n v="0"/>
    <n v="0"/>
    <n v="1"/>
    <n v="0"/>
    <n v="0"/>
    <x v="0"/>
    <s v="Aspire Center - HQ"/>
    <s v="Referees Accommodation"/>
    <s v="Referees Accommodation"/>
    <s v="FIFA Referees"/>
    <s v="FIFA Referees"/>
    <m/>
  </r>
  <r>
    <s v="IS00WR"/>
    <x v="33"/>
    <x v="1"/>
    <s v=""/>
    <s v="General Internet Access"/>
    <s v="Wireless coverage - Internet Service -  Referees"/>
    <s v="IS00WR - Wireless coverage - Internet Service -  Referees (General Internet Access)"/>
    <n v="1"/>
    <n v="0"/>
    <n v="0"/>
    <n v="1"/>
    <n v="0"/>
    <n v="0"/>
    <x v="0"/>
    <s v="Aspire Center - HQ"/>
    <s v="Referees Accommodation"/>
    <s v="Physio/ Medical Room"/>
    <s v="FIFA Referees"/>
    <s v="FIFA Referees"/>
    <m/>
  </r>
  <r>
    <s v="ITSIBU"/>
    <x v="18"/>
    <x v="6"/>
    <s v=""/>
    <s v=""/>
    <s v="IT Solution - 4G Internet backup "/>
    <s v="ITSIBU - IT Solution - 4G Internet backup "/>
    <n v="1"/>
    <n v="0"/>
    <n v="1"/>
    <n v="1"/>
    <n v="0"/>
    <n v="1"/>
    <x v="0"/>
    <s v="Aspire Center - HQ"/>
    <s v="Training site pitch 10-11"/>
    <s v="Instant Feedback"/>
    <s v="FIFA Referees"/>
    <s v="FIFA Referees"/>
    <s v="Only if Wireless is not available"/>
  </r>
  <r>
    <s v="LAPPRE"/>
    <x v="14"/>
    <x v="2"/>
    <s v="Single"/>
    <s v=""/>
    <s v="FIFA Presentation Laptop"/>
    <s v="LAPPRE - Laptop - Presentation Build"/>
    <n v="3"/>
    <n v="0"/>
    <n v="0"/>
    <n v="3"/>
    <n v="0"/>
    <n v="0"/>
    <x v="1"/>
    <s v="Aspire Center - HQ"/>
    <s v="Referees Accommodation"/>
    <s v="Referees Accommodation"/>
    <s v="FIFA Referees"/>
    <s v="FIFA Referees"/>
    <s v="3 laptops to connect each to 2 TVs via HDMI - to stream matches via FDP"/>
  </r>
  <r>
    <s v="MFDDNW"/>
    <x v="3"/>
    <x v="3"/>
    <s v=""/>
    <s v="General Internet Access"/>
    <s v="Colour Printer / Scanner (A4)"/>
    <s v="MFDDNW - MFD Desktop - Colour - A4 - Network (General Internet Access)"/>
    <n v="1"/>
    <n v="1"/>
    <n v="0"/>
    <n v="1"/>
    <n v="1"/>
    <n v="0"/>
    <x v="0"/>
    <s v="Aspire Center - HQ"/>
    <s v="Referees Accommodation"/>
    <s v="Technical / Match Analysts"/>
    <s v="FIFA Referees"/>
    <s v="FIFA Referees"/>
    <m/>
  </r>
  <r>
    <s v="MFDDNW"/>
    <x v="3"/>
    <x v="3"/>
    <s v=""/>
    <s v="General Internet Access"/>
    <s v="Colour Printer / Scanner (A4)"/>
    <s v="MFDDNW - MFD Desktop - Colour - A4 - Network (General Internet Access)"/>
    <n v="1"/>
    <n v="1"/>
    <n v="0"/>
    <n v="1"/>
    <n v="1"/>
    <n v="0"/>
    <x v="0"/>
    <s v="Aspire Center - HQ"/>
    <s v="Referees Accommodation"/>
    <s v="Fitness Office"/>
    <s v="FIFA Referees"/>
    <s v="FIFA Referees"/>
    <m/>
  </r>
  <r>
    <s v="MFDLNW"/>
    <x v="34"/>
    <x v="3"/>
    <s v=""/>
    <s v="General Internet Access"/>
    <s v="Large Colour Printer / Scanner (A3)"/>
    <s v="MFDLNW - MFD Large - Colour - A3 - Network (General Internet Access)"/>
    <n v="1"/>
    <n v="1"/>
    <n v="0"/>
    <n v="1"/>
    <n v="1"/>
    <n v="0"/>
    <x v="0"/>
    <s v="Aspire Center - HQ"/>
    <s v="Referees Accommodation"/>
    <s v="REF Management"/>
    <s v="FIFA Referees"/>
    <s v="FIFA Referees"/>
    <m/>
  </r>
  <r>
    <s v="Proj6k"/>
    <x v="27"/>
    <x v="5"/>
    <s v=""/>
    <s v=""/>
    <s v="Office Projector - 6K"/>
    <s v="Proj6k - Office Projector - 6K"/>
    <n v="1"/>
    <n v="0"/>
    <n v="0"/>
    <n v="1"/>
    <n v="0"/>
    <n v="0"/>
    <x v="0"/>
    <s v="Aspire Center - HQ"/>
    <s v="Referees Accommodation"/>
    <s v="Class Room"/>
    <s v="FIFA Referees"/>
    <s v="FIFA Referees"/>
    <m/>
  </r>
  <r>
    <s v="TVLGIP"/>
    <x v="6"/>
    <x v="4"/>
    <s v=""/>
    <s v=""/>
    <s v="Large TV - CATV Feed"/>
    <s v="TVLGIP - TV - Large - IPTV"/>
    <n v="2"/>
    <n v="2"/>
    <n v="0"/>
    <n v="2"/>
    <n v="2"/>
    <n v="0"/>
    <x v="0"/>
    <s v="Aspire Center - HQ"/>
    <s v="Referees Accommodation"/>
    <s v="Technical / Match Analysts"/>
    <s v="FIFA Referees"/>
    <s v="FIFA Referees"/>
    <m/>
  </r>
  <r>
    <s v="TVLGIP"/>
    <x v="6"/>
    <x v="4"/>
    <s v=""/>
    <s v=""/>
    <s v="Large TV - CATV Feed"/>
    <s v="TVLGIP - TV - Large - IPTV"/>
    <n v="2"/>
    <n v="2"/>
    <n v="0"/>
    <n v="2"/>
    <n v="2"/>
    <n v="0"/>
    <x v="0"/>
    <s v="Aspire Center - HQ"/>
    <s v="Referees Accommodation"/>
    <s v="REF Management"/>
    <s v="FIFA Referees"/>
    <s v="FIFA Referees"/>
    <m/>
  </r>
  <r>
    <s v="TVLGIP"/>
    <x v="6"/>
    <x v="4"/>
    <s v=""/>
    <s v=""/>
    <s v="Large TV - CATV Feed"/>
    <s v="TVLGIP - TV - Large - IPTV"/>
    <n v="1"/>
    <n v="1"/>
    <n v="0"/>
    <n v="1"/>
    <n v="1"/>
    <n v="0"/>
    <x v="0"/>
    <s v="Aspire Center - HQ"/>
    <s v="Referees Accommodation"/>
    <s v="REF Administration"/>
    <s v="FIFA Referees"/>
    <s v="FIFA Referees"/>
    <m/>
  </r>
  <r>
    <s v="TVLGIP"/>
    <x v="6"/>
    <x v="4"/>
    <s v=""/>
    <s v=""/>
    <s v="Large TV - CATV Feed"/>
    <s v="TVLGIP - TV - Large - IPTV"/>
    <n v="2"/>
    <n v="2"/>
    <n v="0"/>
    <n v="2"/>
    <n v="2"/>
    <n v="0"/>
    <x v="0"/>
    <s v="Aspire Center - HQ"/>
    <s v="Referees Accommodation"/>
    <s v="Fitness Office"/>
    <s v="FIFA Referees"/>
    <s v="FIFA Referees"/>
    <m/>
  </r>
  <r>
    <s v="TVLGIP"/>
    <x v="6"/>
    <x v="4"/>
    <s v=""/>
    <s v=""/>
    <s v="Large TV - CATV Feed"/>
    <s v="TVLGIP - TV - Large - IPTV"/>
    <n v="1"/>
    <n v="1"/>
    <n v="0"/>
    <n v="1"/>
    <n v="1"/>
    <n v="0"/>
    <x v="0"/>
    <s v="Aspire Center - HQ"/>
    <s v="Referees Accommodation"/>
    <s v="Class Room"/>
    <s v="FIFA Referees"/>
    <s v="FIFA Referees"/>
    <m/>
  </r>
  <r>
    <s v="TVLGIP"/>
    <x v="6"/>
    <x v="4"/>
    <s v=""/>
    <s v=""/>
    <s v="Large TV - CATV Feed"/>
    <s v="TVLGIP - TV - Large - IPTV"/>
    <n v="2"/>
    <n v="2"/>
    <n v="0"/>
    <n v="2"/>
    <n v="2"/>
    <n v="0"/>
    <x v="0"/>
    <s v="Aspire Center - HQ"/>
    <s v="Referees Accommodation"/>
    <s v="Physio/ Medical Room"/>
    <s v="FIFA Referees"/>
    <s v="FIFA Referees"/>
    <m/>
  </r>
  <r>
    <s v="TVLGSA"/>
    <x v="17"/>
    <x v="5"/>
    <s v=""/>
    <s v=""/>
    <s v="Large TV - Standalone"/>
    <s v="TVLGSA - TV - Large - Standalone"/>
    <n v="1"/>
    <n v="0"/>
    <n v="0"/>
    <n v="1"/>
    <n v="0"/>
    <n v="0"/>
    <x v="0"/>
    <s v="Aspire Center - HQ"/>
    <s v="Training site pitch 10-11"/>
    <s v="Instant Feedback"/>
    <s v="FIFA Referees"/>
    <s v="FIFA Referees"/>
    <s v="pitch 11-12"/>
  </r>
  <r>
    <s v="TVSTND"/>
    <x v="7"/>
    <x v="0"/>
    <s v=""/>
    <s v=""/>
    <s v="TV Stand for medium and large TVs"/>
    <s v="TVSTND - TV Stand - Medium &amp; Large TVs"/>
    <n v="2"/>
    <n v="0"/>
    <n v="0"/>
    <n v="2"/>
    <n v="0"/>
    <n v="0"/>
    <x v="0"/>
    <s v="Aspire Center - HQ"/>
    <s v="Referees Accommodation"/>
    <s v="Technical / Match Analysts"/>
    <s v="FIFA Referees"/>
    <s v="FIFA Referees"/>
    <m/>
  </r>
  <r>
    <s v="TVSTND"/>
    <x v="7"/>
    <x v="0"/>
    <s v=""/>
    <s v=""/>
    <s v="TV Stand for medium and large TVs"/>
    <s v="TVSTND - TV Stand - Medium &amp; Large TVs"/>
    <n v="1"/>
    <n v="0"/>
    <n v="0"/>
    <n v="1"/>
    <n v="0"/>
    <n v="0"/>
    <x v="0"/>
    <s v="Aspire Center - HQ"/>
    <s v="Training site pitch 10-11"/>
    <s v="Instant Feedback"/>
    <s v="FIFA Referees"/>
    <s v="FIFA Referees"/>
    <m/>
  </r>
  <r>
    <s v="TVSTND"/>
    <x v="7"/>
    <x v="0"/>
    <s v=""/>
    <s v=""/>
    <s v="TV Stand for medium and large TVs"/>
    <s v="TVSTND - TV Stand - Medium &amp; Large TVs"/>
    <n v="2"/>
    <n v="0"/>
    <n v="0"/>
    <n v="2"/>
    <n v="0"/>
    <n v="0"/>
    <x v="0"/>
    <s v="Aspire Center - HQ"/>
    <s v="Referees Accommodation"/>
    <s v="REF Management"/>
    <s v="FIFA Referees"/>
    <s v="FIFA Referees"/>
    <m/>
  </r>
  <r>
    <s v="TVSTND"/>
    <x v="7"/>
    <x v="0"/>
    <s v=""/>
    <s v=""/>
    <s v="TV Stand for medium and large TVs"/>
    <s v="TVSTND - TV Stand - Medium &amp; Large TVs"/>
    <n v="1"/>
    <n v="0"/>
    <n v="0"/>
    <n v="1"/>
    <n v="0"/>
    <n v="0"/>
    <x v="0"/>
    <s v="Aspire Center - HQ"/>
    <s v="Referees Accommodation"/>
    <s v="REF Administration"/>
    <s v="FIFA Referees"/>
    <s v="FIFA Referees"/>
    <m/>
  </r>
  <r>
    <s v="TVSTND"/>
    <x v="7"/>
    <x v="0"/>
    <s v=""/>
    <s v=""/>
    <s v="TV Stand for medium and large TVs"/>
    <s v="TVSTND - TV Stand - Medium &amp; Large TVs"/>
    <n v="2"/>
    <n v="0"/>
    <n v="0"/>
    <n v="2"/>
    <n v="0"/>
    <n v="0"/>
    <x v="0"/>
    <s v="Aspire Center - HQ"/>
    <s v="Referees Accommodation"/>
    <s v="Fitness Office"/>
    <s v="FIFA Referees"/>
    <s v="FIFA Referees"/>
    <m/>
  </r>
  <r>
    <s v="TVSTND"/>
    <x v="7"/>
    <x v="0"/>
    <s v=""/>
    <s v=""/>
    <s v="TV Stand for medium and large TVs"/>
    <s v="TVSTND - TV Stand - Medium &amp; Large TVs"/>
    <n v="1"/>
    <n v="0"/>
    <n v="0"/>
    <n v="1"/>
    <n v="0"/>
    <n v="0"/>
    <x v="0"/>
    <s v="Aspire Center - HQ"/>
    <s v="Referees Accommodation"/>
    <s v="Class Room"/>
    <s v="FIFA Referees"/>
    <s v="FIFA Referees"/>
    <m/>
  </r>
  <r>
    <s v="TVSTND"/>
    <x v="7"/>
    <x v="0"/>
    <s v=""/>
    <s v=""/>
    <s v="TV Stand for medium and large TVs"/>
    <s v="TVSTND - TV Stand - Medium &amp; Large TVs"/>
    <n v="2"/>
    <n v="0"/>
    <n v="0"/>
    <n v="2"/>
    <n v="0"/>
    <n v="0"/>
    <x v="0"/>
    <s v="Aspire Center - HQ"/>
    <s v="Referees Accommodation"/>
    <s v="Physio/ Medical Room"/>
    <s v="FIFA Referees"/>
    <s v="FIFA Referees"/>
    <m/>
  </r>
  <r>
    <s v="WDF100"/>
    <x v="35"/>
    <x v="1"/>
    <s v=""/>
    <s v="FIFA Technical Internet Access"/>
    <s v="Cabled Internet - 100Mbps"/>
    <s v="WDF100 - Wired Port - 100Mbps - guaranteed (FIFA Technical Internet Access)"/>
    <n v="1"/>
    <n v="1"/>
    <n v="0"/>
    <n v="1"/>
    <n v="1"/>
    <n v="0"/>
    <x v="0"/>
    <s v="Aspire Center - HQ"/>
    <s v="Referees Accommodation"/>
    <s v="Technical / Match Analysts"/>
    <s v="FIFA Referees"/>
    <s v="FIFA Referees"/>
    <s v="LOC: Can we add a switch in the room?"/>
  </r>
  <r>
    <s v="WRDGEN"/>
    <x v="8"/>
    <x v="1"/>
    <s v=""/>
    <s v="General Internet Access"/>
    <s v="Wired Port - Internet"/>
    <s v="WRDGEN - Wired Port - General Internet  (General Internet Access)"/>
    <n v="2"/>
    <n v="2"/>
    <n v="0"/>
    <n v="2"/>
    <n v="2"/>
    <n v="0"/>
    <x v="0"/>
    <s v="Aspire Center - HQ"/>
    <s v="Referees Accommodation"/>
    <s v="Class Room"/>
    <s v="FIFA Referees"/>
    <s v="FIFA Referees"/>
    <m/>
  </r>
  <r>
    <s v="IS00WF"/>
    <x v="1"/>
    <x v="1"/>
    <s v=""/>
    <s v="General Internet Access"/>
    <s v="Wireless coverage - Shared Internet Service - FIFA"/>
    <s v="IS00WF - Wireless coverage - Shared Internet Service - Wi-Fi FIFA (General Internet Access)"/>
    <n v="1"/>
    <n v="0"/>
    <n v="0"/>
    <n v="1"/>
    <n v="0"/>
    <n v="0"/>
    <x v="0"/>
    <s v="Aspire Center - HQ"/>
    <s v="Accelerator Building"/>
    <s v="Security Room (VOC)"/>
    <s v="FIFA Security"/>
    <s v="FIFA Security"/>
    <s v="any other internet availables via Wi-Fi"/>
  </r>
  <r>
    <s v="IS00WF"/>
    <x v="1"/>
    <x v="1"/>
    <s v=""/>
    <s v="General Internet Access"/>
    <s v="Wireless coverage - Shared Internet Service - FIFA"/>
    <s v="IS00WF - Wireless coverage - Shared Internet Service - Wi-Fi FIFA (General Internet Access)"/>
    <n v="1"/>
    <n v="0"/>
    <n v="0"/>
    <n v="1"/>
    <n v="0"/>
    <n v="0"/>
    <x v="0"/>
    <s v="Khalifa"/>
    <s v="Security Room (VOC)"/>
    <s v="Security Room (VOC)"/>
    <s v="FIFA Security"/>
    <s v="FIFA Security"/>
    <m/>
  </r>
  <r>
    <s v="IS00WS"/>
    <x v="36"/>
    <x v="1"/>
    <s v=""/>
    <s v="VIP Internet Access"/>
    <s v="Wireless coverage - Shared Internet Service - FOOTBALL"/>
    <s v="IS00WS - Wireless coverage - Shared Internet Service - Wi-Fi FOOTBALL (VIP Internet Access)"/>
    <n v="1"/>
    <n v="0"/>
    <n v="0"/>
    <n v="1"/>
    <n v="0"/>
    <n v="0"/>
    <x v="0"/>
    <s v="Aspire Center - HQ"/>
    <s v="Competition area"/>
    <s v="Team Dressing Rooms"/>
    <s v="FIFA Team Services"/>
    <s v="FIFA Team Services"/>
    <m/>
  </r>
  <r>
    <s v="IS00WS"/>
    <x v="36"/>
    <x v="1"/>
    <s v=""/>
    <s v="VIP Internet Access"/>
    <s v="Wireless coverage - Shared Internet Service - FOOTBALL"/>
    <s v="IS00WS - Wireless coverage - Shared Internet Service - Wi-Fi FOOTBALL (VIP Internet Access)"/>
    <n v="1"/>
    <n v="0"/>
    <n v="0"/>
    <n v="1"/>
    <n v="0"/>
    <n v="0"/>
    <x v="0"/>
    <s v="Aspire Center - HQ"/>
    <s v="Competition area"/>
    <s v="Players Holding Area (Lounge)"/>
    <s v="FIFA Team Services"/>
    <s v="FIFA Team Services"/>
    <m/>
  </r>
  <r>
    <s v="IS00WS"/>
    <x v="36"/>
    <x v="1"/>
    <s v=""/>
    <s v="VIP Internet Access"/>
    <s v="Wireless coverage - Shared Internet Service - FOOTBALL"/>
    <s v="IS00WS - Wireless coverage - Shared Internet Service - Wi-Fi FOOTBALL (VIP Internet Access)"/>
    <n v="1"/>
    <n v="0"/>
    <n v="0"/>
    <n v="1"/>
    <n v="0"/>
    <n v="0"/>
    <x v="0"/>
    <s v="Khalifa"/>
    <s v="Competition area"/>
    <s v="Team Dressing Rooms"/>
    <s v="FIFA Team Services"/>
    <s v="FIFA Team Services"/>
    <m/>
  </r>
  <r>
    <s v="LAPPRE"/>
    <x v="14"/>
    <x v="2"/>
    <s v="Single"/>
    <s v=""/>
    <s v="FIFA Presentation Laptop"/>
    <s v="LAPPRE - Laptop - Presentation Build"/>
    <n v="1"/>
    <n v="0"/>
    <n v="0"/>
    <n v="1"/>
    <n v="0"/>
    <n v="0"/>
    <x v="1"/>
    <s v="Aspire Center - HQ"/>
    <s v="Aspire Dome - level 2"/>
    <s v="FIFA/LOC Offices"/>
    <s v="FIFA Team Services"/>
    <s v="FIFA Team Services"/>
    <m/>
  </r>
  <r>
    <s v="DSKMNT"/>
    <x v="0"/>
    <x v="0"/>
    <s v=""/>
    <s v=""/>
    <s v="24&quot; PC Monitor"/>
    <s v="DSKMNT - 24&quot; Monitor - HDMI/DP"/>
    <n v="2"/>
    <n v="0"/>
    <n v="0"/>
    <n v="2"/>
    <n v="0"/>
    <n v="0"/>
    <x v="0"/>
    <s v="Aspire Center - HQ"/>
    <s v="Aspire Dome - level 2"/>
    <s v="FIFA/LOC Offices"/>
    <s v="FIFA Transport"/>
    <s v="FIFA Transport"/>
    <m/>
  </r>
  <r>
    <s v="TABLEN"/>
    <x v="4"/>
    <x v="2"/>
    <s v="Single"/>
    <s v=""/>
    <s v="Professional Series Tablet + 4G"/>
    <s v="TABLEN - Tablet - FIFA Professional Tablet + 4G"/>
    <n v="2"/>
    <n v="0"/>
    <n v="2"/>
    <n v="2"/>
    <n v="0"/>
    <n v="2"/>
    <x v="1"/>
    <s v="Aspire Center - HQ"/>
    <s v="Aspire Dome - level 2"/>
    <s v="FIFA/LOC Offices"/>
    <s v="FIFA Transport"/>
    <s v="FIFA Transport"/>
    <m/>
  </r>
  <r>
    <s v="DSKMNT"/>
    <x v="0"/>
    <x v="0"/>
    <s v=""/>
    <s v=""/>
    <s v="24&quot; PC Monitor"/>
    <s v="DSKMNT - 24&quot; Monitor - HDMI/DP"/>
    <n v="2"/>
    <n v="0"/>
    <n v="0"/>
    <n v="2"/>
    <n v="0"/>
    <n v="0"/>
    <x v="0"/>
    <s v="Aspire Center - HQ"/>
    <s v="Aspire Dome - level 2"/>
    <s v="FIFA/LOC Offices"/>
    <s v="FIFA Travel"/>
    <s v="FIFA Travel"/>
    <m/>
  </r>
  <r>
    <s v="IS00WF"/>
    <x v="1"/>
    <x v="1"/>
    <s v=""/>
    <s v="General Internet Access"/>
    <s v="Wireless coverage - Shared Internet Service - FIFA"/>
    <s v="IS00WF - Wireless coverage - Shared Internet Service - Wi-Fi FIFA (General Internet Access)"/>
    <n v="1"/>
    <n v="0"/>
    <n v="0"/>
    <n v="1"/>
    <n v="0"/>
    <n v="0"/>
    <x v="0"/>
    <s v="Aspire Center - HQ"/>
    <s v="Aspire Dome "/>
    <s v="FIFA/LOC Offices"/>
    <s v="FIFA Venue Management"/>
    <s v="FIFA Venue Management"/>
    <m/>
  </r>
  <r>
    <s v="IS00WF"/>
    <x v="1"/>
    <x v="1"/>
    <s v=""/>
    <s v="General Internet Access"/>
    <s v="Wireless coverage - Shared Internet Service - FIFA"/>
    <s v="IS00WF - Wireless coverage - Shared Internet Service - Wi-Fi FIFA (General Internet Access)"/>
    <n v="1"/>
    <n v="0"/>
    <n v="0"/>
    <n v="1"/>
    <n v="0"/>
    <n v="0"/>
    <x v="0"/>
    <s v="Khalifa"/>
    <s v="Stadium Offices"/>
    <s v="Venue Office"/>
    <s v="FIFA Venue Management"/>
    <s v="FIFA Venue Management"/>
    <m/>
  </r>
  <r>
    <s v="MFDLNW"/>
    <x v="34"/>
    <x v="3"/>
    <s v=""/>
    <s v="General Internet Access"/>
    <s v="Large Colour Printer / Scanner (A3)"/>
    <s v="MFDLNW - MFD Large - Colour - A3 - Network (General Internet Access)"/>
    <n v="1"/>
    <n v="1"/>
    <n v="0"/>
    <n v="1"/>
    <n v="1"/>
    <n v="0"/>
    <x v="0"/>
    <s v="Aspire Center - HQ"/>
    <s v="Aspire Dome "/>
    <s v="FIFA/LOC Offices"/>
    <s v="FIFA Venue Management"/>
    <s v="FIFA Venue Management"/>
    <m/>
  </r>
  <r>
    <s v="MFDDNW"/>
    <x v="3"/>
    <x v="3"/>
    <s v=""/>
    <s v="General Internet Access"/>
    <s v="Colour Printer / Scanner (A4)"/>
    <s v="MFDDNW - MFD Desktop - Colour - A4 - Network (General Internet Access)"/>
    <n v="1"/>
    <n v="1"/>
    <n v="0"/>
    <n v="1"/>
    <n v="1"/>
    <n v="0"/>
    <x v="0"/>
    <s v="Khalifa"/>
    <s v="Stadium Offices"/>
    <s v="Venue Office"/>
    <s v="FIFA Venue Management"/>
    <s v="FIFA Venue Management"/>
    <m/>
  </r>
  <r>
    <s v="RADIO"/>
    <x v="37"/>
    <x v="9"/>
    <s v=""/>
    <s v=""/>
    <s v="Radio PMR In Stadium"/>
    <s v="RADIO - Radio PMR In Stadium"/>
    <n v="50"/>
    <n v="0"/>
    <n v="0"/>
    <n v="50"/>
    <n v="0"/>
    <n v="0"/>
    <x v="0"/>
    <s v="Aspire Center - HQ"/>
    <s v="Aspire Dome "/>
    <s v="Radio Distribution Office"/>
    <s v="FIFA Venue Management"/>
    <s v="FIFA Venue Management"/>
    <m/>
  </r>
  <r>
    <s v="ACCBAR"/>
    <x v="38"/>
    <x v="0"/>
    <s v=""/>
    <s v=""/>
    <s v="Barcode scanner"/>
    <s v="ACCBAR - Barcode scanner"/>
    <n v="4"/>
    <n v="0"/>
    <n v="0"/>
    <n v="4"/>
    <n v="0"/>
    <n v="0"/>
    <x v="0"/>
    <s v="Aspire Center - HQ"/>
    <s v="Aspire Dome - level 1"/>
    <s v="VOL Centre"/>
    <s v="FIFA Volunteer"/>
    <s v="FIFA Volunteer"/>
    <s v="2 Wireless + 2 wired"/>
  </r>
  <r>
    <s v="IS00WF"/>
    <x v="1"/>
    <x v="1"/>
    <s v=""/>
    <s v="General Internet Access"/>
    <s v="Wireless coverage - Shared Internet Service - FIFA"/>
    <s v="IS00WF - Wireless coverage - Shared Internet Service - Wi-Fi FIFA (General Internet Access)"/>
    <n v="1"/>
    <n v="0"/>
    <n v="0"/>
    <n v="1"/>
    <n v="0"/>
    <n v="0"/>
    <x v="0"/>
    <s v="Aspire Center - HQ"/>
    <s v="Aspire Dome - level 1"/>
    <s v="VOL Centre"/>
    <s v="FIFA Volunteer"/>
    <s v="FIFA Volunteer"/>
    <m/>
  </r>
  <r>
    <s v="LAPEVT"/>
    <x v="2"/>
    <x v="2"/>
    <s v=""/>
    <s v=""/>
    <s v="FIFA Laptop"/>
    <s v="LAPEVT - Laptop - FIFA Event Build"/>
    <n v="2"/>
    <n v="0"/>
    <n v="0"/>
    <n v="2"/>
    <n v="0"/>
    <n v="0"/>
    <x v="0"/>
    <s v="Aspire Center - HQ"/>
    <s v="Aspire Dome - level 1"/>
    <s v="VOL Centre"/>
    <s v="FIFA Volunteer"/>
    <s v="FIFA Volunteer"/>
    <s v="LOC Laptop if possible"/>
  </r>
  <r>
    <s v="MFDDNW"/>
    <x v="3"/>
    <x v="3"/>
    <s v=""/>
    <s v="General Internet Access"/>
    <s v="Colour Printer / Scanner (A4)"/>
    <s v="MFDDNW - MFD Desktop - Colour - A4 - Network (General Internet Access)"/>
    <n v="1"/>
    <n v="1"/>
    <n v="0"/>
    <n v="1"/>
    <n v="1"/>
    <n v="0"/>
    <x v="0"/>
    <s v="Aspire Center - HQ"/>
    <s v="Aspire Dome - level 1"/>
    <s v="VOL Centre"/>
    <s v="FIFA Volunteer"/>
    <s v="FIFA Volunteer"/>
    <m/>
  </r>
  <r>
    <s v="TABLEN"/>
    <x v="4"/>
    <x v="2"/>
    <s v="Single"/>
    <s v=""/>
    <s v="Professional Series Tablet + 4G"/>
    <s v="TABLEN - Tablet - FIFA Professional Tablet + 4G"/>
    <n v="2"/>
    <n v="0"/>
    <n v="2"/>
    <n v="2"/>
    <n v="0"/>
    <n v="2"/>
    <x v="1"/>
    <s v="Aspire Center - HQ"/>
    <s v="Aspire Dome - level 1"/>
    <s v="VOL Centre"/>
    <s v="FIFA Volunteer"/>
    <s v="FIFA Volunteer"/>
    <m/>
  </r>
  <r>
    <s v="TELMOB"/>
    <x v="22"/>
    <x v="7"/>
    <s v="Single"/>
    <s v=""/>
    <s v="Smart Phone"/>
    <s v="TELMOB - Telephone - Mobile - Smart Phone"/>
    <n v="1"/>
    <n v="0"/>
    <n v="1"/>
    <n v="1"/>
    <n v="0"/>
    <n v="1"/>
    <x v="1"/>
    <s v="Aspire Center - HQ"/>
    <s v="Aspire Dome - level 1"/>
    <s v="VOL Centre"/>
    <s v="FIFA Volunteer"/>
    <s v="FIFA Volunteer"/>
    <s v="Hotline"/>
  </r>
  <r>
    <s v="TELMOB"/>
    <x v="22"/>
    <x v="7"/>
    <s v="Single"/>
    <s v=""/>
    <s v="Smart Phone"/>
    <s v="TELMOB - Telephone - Mobile - Smart Phone"/>
    <n v="1"/>
    <n v="0"/>
    <n v="1"/>
    <n v="1"/>
    <n v="0"/>
    <n v="1"/>
    <x v="1"/>
    <s v="Aspire Center - HQ"/>
    <s v="Aspire Dome - level 1"/>
    <s v="VOL Centre"/>
    <s v="FIFA Volunteer"/>
    <s v="FIFA Volunteer"/>
    <s v="Freelancer"/>
  </r>
  <r>
    <s v="TVLGIP"/>
    <x v="6"/>
    <x v="4"/>
    <s v=""/>
    <s v=""/>
    <s v="Large TV - CATV Feed"/>
    <s v="TVLGIP - TV - Large - IPTV"/>
    <n v="1"/>
    <n v="1"/>
    <n v="0"/>
    <n v="1"/>
    <n v="1"/>
    <n v="0"/>
    <x v="0"/>
    <s v="Aspire Center - HQ"/>
    <s v="Aspire Dome - level 1"/>
    <s v="VOL Centre"/>
    <s v="FIFA Volunteer"/>
    <s v="FIFA Volunteer"/>
    <m/>
  </r>
  <r>
    <s v="TVSTND"/>
    <x v="7"/>
    <x v="0"/>
    <s v=""/>
    <s v=""/>
    <s v="TV Stand for medium and large TVs"/>
    <s v="TVSTND - TV Stand - Medium &amp; Large TVs"/>
    <n v="1"/>
    <n v="0"/>
    <n v="0"/>
    <n v="1"/>
    <n v="0"/>
    <n v="0"/>
    <x v="0"/>
    <s v="Aspire Center - HQ"/>
    <s v="Aspire Dome - level 1"/>
    <s v="VOL Centre"/>
    <s v="FIFA Volunteer"/>
    <s v="FIFA Volunteer"/>
    <m/>
  </r>
  <r>
    <s v="TVLGIP"/>
    <x v="6"/>
    <x v="4"/>
    <s v=""/>
    <s v=""/>
    <s v="Large TV - CATV Feed"/>
    <s v="TVLGIP - TV - Large - IPTV"/>
    <n v="1"/>
    <n v="1"/>
    <n v="0"/>
    <n v="1"/>
    <n v="1"/>
    <n v="0"/>
    <x v="0"/>
    <s v="Khalifa"/>
    <s v="VOL Centre"/>
    <s v="VOL Centre"/>
    <s v="FIFA Volunteer"/>
    <s v="FIFA Volunteer"/>
    <s v="In case is a Vol center for FAC"/>
  </r>
  <r>
    <s v="TVSTND"/>
    <x v="7"/>
    <x v="0"/>
    <s v=""/>
    <s v=""/>
    <s v="TV Stand for medium and large TVs"/>
    <s v="TVSTND - TV Stand - Medium &amp; Large TVs"/>
    <n v="1"/>
    <n v="0"/>
    <n v="0"/>
    <n v="1"/>
    <n v="0"/>
    <n v="0"/>
    <x v="0"/>
    <s v="Khalifa"/>
    <s v="VOL Centre"/>
    <s v="VOL Centre"/>
    <s v="FIFA Volunteer"/>
    <s v="FIFA Volunteer"/>
    <s v="In case is a Vol center for FAC"/>
  </r>
  <r>
    <s v="DSKMNT"/>
    <x v="0"/>
    <x v="0"/>
    <s v=""/>
    <s v=""/>
    <s v="24&quot; PC Monitor"/>
    <s v="DSKMNT - 24&quot; Monitor - HDMI/DP"/>
    <n v="1"/>
    <n v="0"/>
    <n v="0"/>
    <n v="1"/>
    <n v="0"/>
    <n v="0"/>
    <x v="0"/>
    <s v="Aspire Center - HQ"/>
    <s v="Aspire Dome - level 2"/>
    <s v="FIFA/LOC Offices"/>
    <s v="FIFA Workforce"/>
    <s v="FIFA Workforce"/>
    <s v="TBC if they are on site"/>
  </r>
  <r>
    <s v="IS00WF"/>
    <x v="1"/>
    <x v="1"/>
    <s v=""/>
    <s v="General Internet Access"/>
    <s v="Wireless coverage - Shared Internet Service - FIFA"/>
    <s v="IS00WF - Wireless coverage - Shared Internet Service - Wi-Fi FIFA (General Internet Access)"/>
    <n v="1"/>
    <n v="0"/>
    <n v="0"/>
    <n v="1"/>
    <n v="0"/>
    <n v="0"/>
    <x v="0"/>
    <s v="Khalifa"/>
    <s v="FIFA/LOC Offices"/>
    <s v="FIFA/LOC Offices"/>
    <s v="FIFA Workforce"/>
    <s v="FIFA Workforce"/>
    <m/>
  </r>
  <r>
    <s v="IS00WF"/>
    <x v="1"/>
    <x v="1"/>
    <s v=""/>
    <s v="General Internet Access"/>
    <s v="Wireless coverage - Shared Internet Service - FIFA"/>
    <s v="IS00WF - Wireless coverage - Shared Internet Service - Wi-Fi FIFA (General Internet Access)"/>
    <n v="1"/>
    <n v="0"/>
    <n v="0"/>
    <n v="1"/>
    <n v="0"/>
    <n v="0"/>
    <x v="0"/>
    <s v="Aspire Center - HQ"/>
    <s v="Aspire Dome - level 2"/>
    <s v="FIFA/LOC Offices"/>
    <s v="FIFA Workforce"/>
    <s v="FIFA Workforce"/>
    <s v="TBC if they are on site"/>
  </r>
  <r>
    <s v="IS00WF"/>
    <x v="1"/>
    <x v="1"/>
    <s v=""/>
    <s v="General Internet Access"/>
    <s v="Wireless coverage - Shared Internet Service - FIFA"/>
    <s v="IS00WF - Wireless coverage - Shared Internet Service - Wi-Fi FIFA (General Internet Access)"/>
    <n v="1"/>
    <n v="0"/>
    <n v="0"/>
    <n v="1"/>
    <n v="0"/>
    <n v="0"/>
    <x v="0"/>
    <s v="Aspire Center - HQ"/>
    <s v="Aspire Dome - level 2"/>
    <s v="FIFA/LOC Workforce Area"/>
    <s v="FIFA Workforce"/>
    <s v="FIFA Workforce"/>
    <s v="TBC if they are on site"/>
  </r>
  <r>
    <s v="IS00WF"/>
    <x v="1"/>
    <x v="1"/>
    <s v=""/>
    <s v="General Internet Access"/>
    <s v="Wireless coverage - Shared Internet Service - FIFA"/>
    <s v="IS00WF - Wireless coverage - Shared Internet Service - Wi-Fi FIFA (General Internet Access)"/>
    <n v="1"/>
    <n v="0"/>
    <n v="0"/>
    <n v="1"/>
    <n v="0"/>
    <n v="0"/>
    <x v="0"/>
    <s v="Aspire Center - HQ"/>
    <s v="Aspire Dome - level 2"/>
    <s v="FIFA Storage"/>
    <s v="FIFA Workforce"/>
    <s v="FIFA Workforce"/>
    <s v="TBC if they are on site"/>
  </r>
  <r>
    <s v="IS00WF"/>
    <x v="1"/>
    <x v="1"/>
    <s v=""/>
    <s v="General Internet Access"/>
    <s v="Wireless coverage - Shared Internet Service - FIFA"/>
    <s v="IS00WF - Wireless coverage - Shared Internet Service - Wi-Fi FIFA (General Internet Access)"/>
    <n v="1"/>
    <n v="0"/>
    <n v="0"/>
    <n v="1"/>
    <n v="0"/>
    <n v="0"/>
    <x v="0"/>
    <s v="Aspire Center - HQ"/>
    <s v="Aspire Dome - level 2"/>
    <s v="FIFA/LOC Meeting Room"/>
    <s v="FIFA Workforce"/>
    <s v="FIFA Workforce"/>
    <s v="TBC if they are on site"/>
  </r>
  <r>
    <s v="IS00WF"/>
    <x v="1"/>
    <x v="1"/>
    <s v=""/>
    <s v="General Internet Access"/>
    <s v="Wireless coverage - Shared Internet Service - FIFA"/>
    <s v="IS00WF - Wireless coverage - Shared Internet Service - Wi-Fi FIFA (General Internet Access)"/>
    <n v="1"/>
    <n v="0"/>
    <n v="0"/>
    <n v="1"/>
    <n v="0"/>
    <n v="0"/>
    <x v="0"/>
    <s v="Aspire Center - HQ"/>
    <s v="Aspire Dome - level 1"/>
    <s v="LOC Offices/Storage Area"/>
    <s v="FIFA Workforce"/>
    <s v="FIFA Workforce"/>
    <s v="TBC if they are on site"/>
  </r>
  <r>
    <s v="TVLGIP"/>
    <x v="6"/>
    <x v="4"/>
    <s v=""/>
    <s v=""/>
    <s v="Large TV - CATV Feed"/>
    <s v="TVLGIP - TV - Large - IPTV"/>
    <n v="2"/>
    <n v="2"/>
    <n v="0"/>
    <n v="2"/>
    <n v="2"/>
    <n v="0"/>
    <x v="0"/>
    <s v="Aspire Center - HQ"/>
    <s v="Aspire Dome - level 2"/>
    <s v="FIFA/LOC Offices"/>
    <s v="FIFA Workforce"/>
    <s v="FIFA Workforce"/>
    <s v="TBC Location wise"/>
  </r>
  <r>
    <s v="TVLGSA"/>
    <x v="17"/>
    <x v="5"/>
    <s v=""/>
    <s v=""/>
    <s v="Large TV - Standalone"/>
    <s v="TVLGSA - TV - Large - Standalone"/>
    <n v="1"/>
    <n v="0"/>
    <n v="0"/>
    <n v="1"/>
    <n v="0"/>
    <n v="0"/>
    <x v="0"/>
    <s v="Aspire Center - HQ"/>
    <s v="Aspire Dome - level 2"/>
    <s v="FIFA/LOC Offices"/>
    <s v="FIFA Workforce"/>
    <s v="FIFA Workforce"/>
    <s v="TBC Meeting rooms"/>
  </r>
  <r>
    <s v="TVSTND"/>
    <x v="7"/>
    <x v="0"/>
    <s v=""/>
    <s v=""/>
    <s v="TV Stand for medium and large TVs"/>
    <s v="TVSTND - TV Stand - Medium &amp; Large TVs"/>
    <n v="3"/>
    <n v="0"/>
    <n v="0"/>
    <n v="3"/>
    <n v="0"/>
    <n v="0"/>
    <x v="0"/>
    <s v="Aspire Center - HQ"/>
    <s v="Aspire Dome - level 2"/>
    <s v="FIFA/LOC Offices"/>
    <s v="FIFA Workforce"/>
    <s v="FIFA Workforce"/>
    <s v="TBC Location wise"/>
  </r>
  <r>
    <s v="IS00WF"/>
    <x v="1"/>
    <x v="1"/>
    <s v=""/>
    <s v="General Internet Access"/>
    <s v="Wireless coverage - Shared Internet Service - FIFA"/>
    <s v="IS00WF - Wireless coverage - Shared Internet Service - Wi-Fi FIFA (General Internet Access)"/>
    <n v="1"/>
    <n v="0"/>
    <n v="0"/>
    <n v="1"/>
    <n v="0"/>
    <n v="0"/>
    <x v="0"/>
    <s v="Aspire Center - HQ"/>
    <s v="Aspire Dome - level 1"/>
    <s v="Youth Programme Area"/>
    <s v="Partner Rights Delivery"/>
    <s v="Partner Rights Delivery"/>
    <m/>
  </r>
  <r>
    <s v="IS00WF"/>
    <x v="1"/>
    <x v="1"/>
    <s v=""/>
    <s v="General Internet Access"/>
    <s v="Wireless coverage - Shared Internet Service - FIFA"/>
    <s v="IS00WF - Wireless coverage - Shared Internet Service - Wi-Fi FIFA (General Internet Access)"/>
    <n v="1"/>
    <n v="0"/>
    <n v="0"/>
    <n v="1"/>
    <n v="0"/>
    <n v="0"/>
    <x v="0"/>
    <s v="Aspire Center - HQ"/>
    <s v="Stadium Perimeter"/>
    <s v="Brand Activation Area 1"/>
    <s v="Partner Rights Delivery"/>
    <s v="Partner Rights Delivery"/>
    <s v="Can be 4G too. Position 5 on the map"/>
  </r>
  <r>
    <s v="IS00WF"/>
    <x v="1"/>
    <x v="1"/>
    <s v=""/>
    <s v="General Internet Access"/>
    <s v="Wireless coverage - Shared Internet Service - FIFA"/>
    <s v="IS00WF - Wireless coverage - Shared Internet Service - Wi-Fi FIFA (General Internet Access)"/>
    <n v="1"/>
    <n v="0"/>
    <n v="0"/>
    <n v="1"/>
    <n v="0"/>
    <n v="0"/>
    <x v="0"/>
    <s v="Aspire Center - HQ"/>
    <s v="Stadium Perimeter"/>
    <s v="Brand Activation Area 2"/>
    <s v="Partner Rights Delivery"/>
    <s v="Partner Rights Delivery"/>
    <s v="Can be 4G too. Position 5 on the map"/>
  </r>
  <r>
    <s v="IS00WF"/>
    <x v="1"/>
    <x v="1"/>
    <s v=""/>
    <s v="General Internet Access"/>
    <s v="Wireless coverage - Shared Internet Service - FIFA"/>
    <s v="IS00WF - Wireless coverage - Shared Internet Service - Wi-Fi FIFA (General Internet Access)"/>
    <n v="1"/>
    <n v="0"/>
    <n v="0"/>
    <n v="1"/>
    <n v="0"/>
    <n v="0"/>
    <x v="0"/>
    <s v="Aspire Center - HQ"/>
    <s v="Stadium Perimeter"/>
    <s v="Brand Activation Area 3"/>
    <s v="Partner Rights Delivery"/>
    <s v="Partner Rights Delivery"/>
    <s v="Can be 4G too. Position 5 on the map"/>
  </r>
  <r>
    <s v="ITSIBU"/>
    <x v="18"/>
    <x v="6"/>
    <s v=""/>
    <s v=""/>
    <s v="IT Solution - 4G Internet backup "/>
    <s v="ITSIBU - IT Solution - 4G Internet backup "/>
    <n v="4"/>
    <n v="0"/>
    <n v="1"/>
    <n v="1"/>
    <n v="0"/>
    <n v="1"/>
    <x v="0"/>
    <s v="Khalifa"/>
    <s v="Stadium Perimeter"/>
    <s v="Brand Activation Area"/>
    <s v="Partner Rights Delivery"/>
    <s v="Partner Rights Delivery"/>
    <s v="TBC if activated"/>
  </r>
  <r>
    <s v="TVLGIP"/>
    <x v="6"/>
    <x v="4"/>
    <s v=""/>
    <s v=""/>
    <s v="Large TV - CATV Feed"/>
    <s v="TVLGIP - TV - Large - IPTV"/>
    <n v="1"/>
    <n v="1"/>
    <n v="0"/>
    <n v="1"/>
    <n v="1"/>
    <n v="0"/>
    <x v="0"/>
    <s v="Aspire Center - HQ"/>
    <s v="Aspire Dome - level 1"/>
    <s v="Youth Programme Area"/>
    <s v="Partner Rights Delivery"/>
    <s v="Partner Rights Delivery"/>
    <m/>
  </r>
  <r>
    <s v="TVSTND"/>
    <x v="7"/>
    <x v="0"/>
    <s v=""/>
    <s v=""/>
    <s v="TV Stand for medium and large TVs"/>
    <s v="TVSTND - TV Stand - Medium &amp; Large TVs"/>
    <n v="1"/>
    <n v="0"/>
    <n v="0"/>
    <n v="1"/>
    <n v="0"/>
    <n v="0"/>
    <x v="0"/>
    <s v="Aspire Center - HQ"/>
    <s v="Aspire Dome - level 1"/>
    <s v="Youth Programme Area"/>
    <s v="Partner Rights Delivery"/>
    <s v="Partner Rights Delivery"/>
    <m/>
  </r>
  <r>
    <s v="WRDMED"/>
    <x v="5"/>
    <x v="1"/>
    <s v=""/>
    <s v="Media Internet Access Media"/>
    <s v="Wired Port - Internet for Media"/>
    <s v="WRDMED - Wired Port - Media Internet (Media Internet Access Media)"/>
    <n v="1"/>
    <n v="1"/>
    <n v="0"/>
    <n v="1"/>
    <n v="1"/>
    <n v="0"/>
    <x v="0"/>
    <s v="Khalifa"/>
    <s v="Pitch side"/>
    <s v="Field of Play - LED operator"/>
    <s v="Partner Rights Delivery"/>
    <s v="Partner Rights Delivery"/>
    <s v="to be kept for the Arab Cup"/>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4">
  <r>
    <s v="DSKMNT"/>
    <s v="24&quot; Monitor - HDMI/DP"/>
    <s v="Peripherals"/>
    <s v=""/>
    <s v=""/>
    <x v="0"/>
    <s v="DSKMNT - 24&quot; Monitor - HDMI/DP"/>
    <n v="5"/>
    <n v="0"/>
    <n v="0"/>
    <n v="1"/>
    <n v="0"/>
    <n v="0"/>
    <x v="0"/>
    <x v="0"/>
    <x v="0"/>
    <x v="0"/>
    <x v="0"/>
  </r>
  <r>
    <s v="DSKMNT"/>
    <s v="24&quot; Monitor - HDMI/DP"/>
    <s v="Peripherals"/>
    <s v=""/>
    <s v=""/>
    <x v="0"/>
    <s v="DSKMNT - 24&quot; Monitor - HDMI/DP"/>
    <n v="5"/>
    <n v="0"/>
    <n v="0"/>
    <n v="1"/>
    <n v="0"/>
    <n v="0"/>
    <x v="0"/>
    <x v="0"/>
    <x v="1"/>
    <x v="0"/>
    <x v="0"/>
  </r>
  <r>
    <s v="DSKMNT"/>
    <s v="24&quot; Monitor - HDMI/DP"/>
    <s v="Peripherals"/>
    <s v=""/>
    <s v=""/>
    <x v="0"/>
    <s v="DSKMNT - 24&quot; Monitor - HDMI/DP"/>
    <n v="5"/>
    <n v="0"/>
    <n v="0"/>
    <n v="1"/>
    <n v="0"/>
    <n v="0"/>
    <x v="0"/>
    <x v="0"/>
    <x v="2"/>
    <x v="0"/>
    <x v="0"/>
  </r>
  <r>
    <s v="DSKMNT"/>
    <s v="24&quot; Monitor - HDMI/DP"/>
    <s v="Peripherals"/>
    <s v=""/>
    <s v=""/>
    <x v="0"/>
    <s v="DSKMNT - 24&quot; Monitor - HDMI/DP"/>
    <n v="5"/>
    <n v="0"/>
    <n v="0"/>
    <n v="1"/>
    <n v="0"/>
    <n v="0"/>
    <x v="0"/>
    <x v="0"/>
    <x v="3"/>
    <x v="0"/>
    <x v="0"/>
  </r>
  <r>
    <s v="DSKMNT"/>
    <s v="24&quot; Monitor - HDMI/DP"/>
    <s v="Peripherals"/>
    <s v=""/>
    <s v=""/>
    <x v="0"/>
    <s v="DSKMNT - 24&quot; Monitor - HDMI/DP"/>
    <n v="5"/>
    <n v="0"/>
    <n v="0"/>
    <n v="1"/>
    <n v="0"/>
    <n v="0"/>
    <x v="0"/>
    <x v="0"/>
    <x v="4"/>
    <x v="0"/>
    <x v="0"/>
  </r>
  <r>
    <s v="DSKMNT"/>
    <s v="24&quot; Monitor - HDMI/DP"/>
    <s v="Peripherals"/>
    <s v=""/>
    <s v=""/>
    <x v="0"/>
    <s v="DSKMNT - 24&quot; Monitor - HDMI/DP"/>
    <n v="5"/>
    <n v="0"/>
    <n v="0"/>
    <n v="1"/>
    <n v="0"/>
    <n v="0"/>
    <x v="0"/>
    <x v="0"/>
    <x v="5"/>
    <x v="0"/>
    <x v="0"/>
  </r>
  <r>
    <s v="DSKMNT"/>
    <s v="24&quot; Monitor - HDMI/DP"/>
    <s v="Peripherals"/>
    <s v=""/>
    <s v=""/>
    <x v="0"/>
    <s v="DSKMNT - 24&quot; Monitor - HDMI/DP"/>
    <n v="5"/>
    <n v="0"/>
    <n v="0"/>
    <n v="1"/>
    <n v="0"/>
    <n v="0"/>
    <x v="0"/>
    <x v="0"/>
    <x v="6"/>
    <x v="0"/>
    <x v="0"/>
  </r>
  <r>
    <s v="DSKMNT"/>
    <s v="24&quot; Monitor - HDMI/DP"/>
    <s v="Peripherals"/>
    <s v=""/>
    <s v=""/>
    <x v="0"/>
    <s v="DSKMNT - 24&quot; Monitor - HDMI/DP"/>
    <n v="5"/>
    <n v="0"/>
    <n v="0"/>
    <n v="1"/>
    <n v="0"/>
    <n v="0"/>
    <x v="0"/>
    <x v="0"/>
    <x v="7"/>
    <x v="0"/>
    <x v="0"/>
  </r>
  <r>
    <s v="IS00WF"/>
    <s v="Wireless coverage - Shared Internet Service - Wi-Fi FIFA"/>
    <s v="Network &amp; Connectivity"/>
    <s v=""/>
    <s v="General Internet Access"/>
    <x v="1"/>
    <s v="IS00WF - Wireless coverage - Shared Internet Service - Wi-Fi FIFA (General Internet Access)"/>
    <n v="1"/>
    <n v="0"/>
    <n v="0"/>
    <n v="1"/>
    <n v="0"/>
    <n v="0"/>
    <x v="0"/>
    <x v="1"/>
    <x v="8"/>
    <x v="0"/>
    <x v="0"/>
  </r>
  <r>
    <s v="DSKMNT"/>
    <s v="24&quot; Monitor - HDMI/DP"/>
    <s v="Peripherals"/>
    <s v=""/>
    <s v=""/>
    <x v="0"/>
    <s v="DSKMNT - 24&quot; Monitor - HDMI/DP"/>
    <n v="1"/>
    <n v="0"/>
    <n v="0"/>
    <n v="1"/>
    <n v="0"/>
    <n v="0"/>
    <x v="0"/>
    <x v="1"/>
    <x v="8"/>
    <x v="0"/>
    <x v="0"/>
  </r>
  <r>
    <s v="MFDLNW"/>
    <s v="MFD Large - Colour - A3 - Network"/>
    <s v="Reprographics"/>
    <s v=""/>
    <s v="General Internet Access"/>
    <x v="2"/>
    <s v="MFDLNW - MFD Large - Colour - A3 - Network (General Internet Access)"/>
    <n v="0"/>
    <n v="1"/>
    <n v="0"/>
    <n v="1"/>
    <n v="1"/>
    <n v="0"/>
    <x v="0"/>
    <x v="0"/>
    <x v="3"/>
    <x v="0"/>
    <x v="0"/>
  </r>
  <r>
    <s v="MFDLNW"/>
    <s v="MFD Large - Colour - A3 - Network"/>
    <s v="Reprographics"/>
    <s v=""/>
    <s v="General Internet Access"/>
    <x v="2"/>
    <s v="MFDLNW - MFD Large - Colour - A3 - Network (General Internet Access)"/>
    <n v="0"/>
    <n v="1"/>
    <n v="0"/>
    <n v="1"/>
    <n v="1"/>
    <n v="0"/>
    <x v="0"/>
    <x v="0"/>
    <x v="6"/>
    <x v="0"/>
    <x v="0"/>
  </r>
  <r>
    <s v="IS00WF"/>
    <s v="Wireless coverage - Shared Internet Service - Wi-Fi FIFA"/>
    <s v="Network &amp; Connectivity"/>
    <s v=""/>
    <s v="General Internet Access"/>
    <x v="1"/>
    <s v="IS00WF - Wireless coverage - Shared Internet Service - Wi-Fi FIFA (General Internet Access)"/>
    <n v="1"/>
    <n v="0"/>
    <n v="0"/>
    <n v="1"/>
    <n v="0"/>
    <n v="0"/>
    <x v="0"/>
    <x v="0"/>
    <x v="3"/>
    <x v="0"/>
    <x v="0"/>
  </r>
  <r>
    <s v="MFDDNW"/>
    <s v="MFD Desktop - Colour - A4 - Network"/>
    <s v="Reprographics"/>
    <s v=""/>
    <s v="General Internet Access"/>
    <x v="3"/>
    <s v="MFDDNW - MFD Desktop - Colour - A4 - Network (General Internet Access)"/>
    <n v="1"/>
    <n v="1"/>
    <n v="0"/>
    <n v="1"/>
    <n v="1"/>
    <n v="0"/>
    <x v="0"/>
    <x v="1"/>
    <x v="8"/>
    <x v="0"/>
    <x v="0"/>
  </r>
  <r>
    <s v="WRDMED"/>
    <s v="Wired Port - Media Internet"/>
    <s v="Network &amp; Connectivity"/>
    <s v=""/>
    <s v="Media Internet Access Media"/>
    <x v="4"/>
    <s v="WRDMED - Wired Port - Media Internet (Media Internet Access Media)"/>
    <n v="2"/>
    <n v="3"/>
    <n v="0"/>
    <n v="3"/>
    <n v="3"/>
    <n v="0"/>
    <x v="0"/>
    <x v="1"/>
    <x v="8"/>
    <x v="0"/>
    <x v="0"/>
  </r>
  <r>
    <s v="WRDMED"/>
    <s v="Wired Port - Media Internet"/>
    <s v="Network &amp; Connectivity"/>
    <s v=""/>
    <s v="Media Internet Access Media"/>
    <x v="4"/>
    <s v="WRDMED - Wired Port - Media Internet (Media Internet Access Media)"/>
    <n v="5"/>
    <n v="3"/>
    <n v="0"/>
    <n v="3"/>
    <n v="3"/>
    <n v="0"/>
    <x v="0"/>
    <x v="0"/>
    <x v="0"/>
    <x v="0"/>
    <x v="0"/>
  </r>
  <r>
    <s v="WRDMED"/>
    <s v="Wired Port - Media Internet"/>
    <s v="Network &amp; Connectivity"/>
    <s v=""/>
    <s v="Media Internet Access Media"/>
    <x v="4"/>
    <s v="WRDMED - Wired Port - Media Internet (Media Internet Access Media)"/>
    <n v="5"/>
    <n v="3"/>
    <n v="0"/>
    <n v="3"/>
    <n v="3"/>
    <n v="0"/>
    <x v="0"/>
    <x v="0"/>
    <x v="1"/>
    <x v="0"/>
    <x v="0"/>
  </r>
  <r>
    <s v="WRDMED"/>
    <s v="Wired Port - Media Internet"/>
    <s v="Network &amp; Connectivity"/>
    <s v=""/>
    <s v="Media Internet Access Media"/>
    <x v="4"/>
    <s v="WRDMED - Wired Port - Media Internet (Media Internet Access Media)"/>
    <n v="5"/>
    <n v="3"/>
    <n v="0"/>
    <n v="3"/>
    <n v="3"/>
    <n v="0"/>
    <x v="0"/>
    <x v="0"/>
    <x v="2"/>
    <x v="0"/>
    <x v="0"/>
  </r>
  <r>
    <s v="WRDMED"/>
    <s v="Wired Port - Media Internet"/>
    <s v="Network &amp; Connectivity"/>
    <s v=""/>
    <s v="Media Internet Access Media"/>
    <x v="4"/>
    <s v="WRDMED - Wired Port - Media Internet (Media Internet Access Media)"/>
    <n v="5"/>
    <n v="3"/>
    <n v="0"/>
    <n v="3"/>
    <n v="3"/>
    <n v="0"/>
    <x v="0"/>
    <x v="0"/>
    <x v="3"/>
    <x v="0"/>
    <x v="0"/>
  </r>
  <r>
    <s v="WRDMED"/>
    <s v="Wired Port - Media Internet"/>
    <s v="Network &amp; Connectivity"/>
    <s v=""/>
    <s v="Media Internet Access Media"/>
    <x v="4"/>
    <s v="WRDMED - Wired Port - Media Internet (Media Internet Access Media)"/>
    <n v="5"/>
    <n v="3"/>
    <n v="0"/>
    <n v="3"/>
    <n v="3"/>
    <n v="0"/>
    <x v="0"/>
    <x v="0"/>
    <x v="4"/>
    <x v="0"/>
    <x v="0"/>
  </r>
  <r>
    <s v="WRDMED"/>
    <s v="Wired Port - Media Internet"/>
    <s v="Network &amp; Connectivity"/>
    <s v=""/>
    <s v="Media Internet Access Media"/>
    <x v="4"/>
    <s v="WRDMED - Wired Port - Media Internet (Media Internet Access Media)"/>
    <n v="5"/>
    <n v="3"/>
    <n v="0"/>
    <n v="3"/>
    <n v="3"/>
    <n v="0"/>
    <x v="0"/>
    <x v="0"/>
    <x v="5"/>
    <x v="0"/>
    <x v="0"/>
  </r>
  <r>
    <s v="WRDMED"/>
    <s v="Wired Port - Media Internet"/>
    <s v="Network &amp; Connectivity"/>
    <s v=""/>
    <s v="Media Internet Access Media"/>
    <x v="4"/>
    <s v="WRDMED - Wired Port - Media Internet (Media Internet Access Media)"/>
    <n v="5"/>
    <n v="3"/>
    <n v="0"/>
    <n v="3"/>
    <n v="3"/>
    <n v="0"/>
    <x v="0"/>
    <x v="0"/>
    <x v="6"/>
    <x v="0"/>
    <x v="0"/>
  </r>
  <r>
    <s v="WRDMED"/>
    <s v="Wired Port - Media Internet"/>
    <s v="Network &amp; Connectivity"/>
    <s v=""/>
    <s v="Media Internet Access Media"/>
    <x v="4"/>
    <s v="WRDMED - Wired Port - Media Internet (Media Internet Access Media)"/>
    <n v="5"/>
    <n v="3"/>
    <n v="0"/>
    <n v="3"/>
    <n v="3"/>
    <n v="0"/>
    <x v="0"/>
    <x v="0"/>
    <x v="7"/>
    <x v="0"/>
    <x v="0"/>
  </r>
  <r>
    <s v="IS00WF"/>
    <s v="Wireless coverage - Shared Internet Service - Wi-Fi FIFA"/>
    <s v="Network &amp; Connectivity"/>
    <s v=""/>
    <s v="General Internet Access"/>
    <x v="1"/>
    <s v="IS00WF - Wireless coverage - Shared Internet Service - Wi-Fi FIFA (General Internet Access)"/>
    <n v="1"/>
    <n v="0"/>
    <n v="0"/>
    <n v="1"/>
    <n v="0"/>
    <n v="0"/>
    <x v="0"/>
    <x v="1"/>
    <x v="9"/>
    <x v="1"/>
    <x v="1"/>
  </r>
  <r>
    <s v="TVLGIP"/>
    <s v="TV - Large - IPTV"/>
    <s v="CATV"/>
    <s v=""/>
    <s v=""/>
    <x v="5"/>
    <s v="TVLGIP - TV - Large - IPTV"/>
    <n v="1"/>
    <n v="1"/>
    <n v="0"/>
    <n v="1"/>
    <n v="1"/>
    <n v="0"/>
    <x v="0"/>
    <x v="1"/>
    <x v="9"/>
    <x v="1"/>
    <x v="1"/>
  </r>
  <r>
    <s v="TVSTND"/>
    <s v="TV Stand - Medium &amp; Large TVs"/>
    <s v="Peripherals"/>
    <s v=""/>
    <s v=""/>
    <x v="6"/>
    <s v="TVSTND - TV Stand - Medium &amp; Large TVs"/>
    <n v="1"/>
    <n v="0"/>
    <n v="0"/>
    <n v="1"/>
    <n v="0"/>
    <n v="0"/>
    <x v="0"/>
    <x v="1"/>
    <x v="9"/>
    <x v="1"/>
    <x v="1"/>
  </r>
  <r>
    <s v="IS00WF"/>
    <s v="Wireless coverage - Shared Internet Service - Wi-Fi FIFA"/>
    <s v="Network &amp; Connectivity"/>
    <s v=""/>
    <s v="General Internet Access"/>
    <x v="1"/>
    <s v="IS00WF - Wireless coverage - Shared Internet Service - Wi-Fi FIFA (General Internet Access)"/>
    <n v="1"/>
    <n v="0"/>
    <n v="0"/>
    <n v="1"/>
    <n v="0"/>
    <n v="0"/>
    <x v="0"/>
    <x v="0"/>
    <x v="10"/>
    <x v="1"/>
    <x v="1"/>
  </r>
  <r>
    <s v="TABLEN"/>
    <s v="Tablet - FIFA Professional Tablet + 4G"/>
    <s v="FIFA IT Hardware"/>
    <s v="Single"/>
    <s v=""/>
    <x v="7"/>
    <s v="TABLEN - Tablet - FIFA Professional Tablet + 4G"/>
    <n v="4"/>
    <n v="0"/>
    <n v="4"/>
    <n v="4"/>
    <n v="0"/>
    <n v="4"/>
    <x v="1"/>
    <x v="0"/>
    <x v="10"/>
    <x v="1"/>
    <x v="1"/>
  </r>
  <r>
    <s v="TVLGIP"/>
    <s v="TV - Large - IPTV"/>
    <s v="CATV"/>
    <s v=""/>
    <s v=""/>
    <x v="5"/>
    <s v="TVLGIP - TV - Large - IPTV"/>
    <n v="1"/>
    <n v="1"/>
    <n v="0"/>
    <n v="1"/>
    <n v="1"/>
    <n v="0"/>
    <x v="0"/>
    <x v="0"/>
    <x v="10"/>
    <x v="1"/>
    <x v="1"/>
  </r>
  <r>
    <s v="TVSTND"/>
    <s v="TV Stand - Medium &amp; Large TVs"/>
    <s v="Peripherals"/>
    <s v=""/>
    <s v=""/>
    <x v="6"/>
    <s v="TVSTND - TV Stand - Medium &amp; Large TVs"/>
    <n v="1"/>
    <n v="0"/>
    <n v="0"/>
    <n v="1"/>
    <n v="0"/>
    <n v="0"/>
    <x v="0"/>
    <x v="0"/>
    <x v="10"/>
    <x v="1"/>
    <x v="1"/>
  </r>
  <r>
    <s v="IS00WF"/>
    <s v="Wireless coverage - Shared Internet Service - Wi-Fi FIFA"/>
    <s v="Network &amp; Connectivity"/>
    <s v=""/>
    <s v="General Internet Access"/>
    <x v="1"/>
    <s v="IS00WF - Wireless coverage - Shared Internet Service - Wi-Fi FIFA (General Internet Access)"/>
    <n v="1"/>
    <n v="0"/>
    <n v="0"/>
    <n v="1"/>
    <n v="0"/>
    <n v="0"/>
    <x v="0"/>
    <x v="0"/>
    <x v="11"/>
    <x v="2"/>
    <x v="2"/>
  </r>
  <r>
    <s v="MFDDNW"/>
    <s v="MFD Desktop - Colour - A4 - Network"/>
    <s v="Reprographics"/>
    <s v=""/>
    <s v="General Internet Access"/>
    <x v="3"/>
    <s v="MFDDNW - MFD Desktop - Colour - A4 - Network (General Internet Access)"/>
    <n v="1"/>
    <n v="1"/>
    <n v="0"/>
    <n v="1"/>
    <n v="1"/>
    <n v="0"/>
    <x v="0"/>
    <x v="0"/>
    <x v="11"/>
    <x v="2"/>
    <x v="2"/>
  </r>
  <r>
    <s v="WRDGEN"/>
    <s v="Wired Port - General Internet "/>
    <s v="Network &amp; Connectivity"/>
    <s v=""/>
    <s v="General Internet Access"/>
    <x v="8"/>
    <s v="WRDGEN - Wired Port - General Internet  (General Internet Access)"/>
    <n v="6"/>
    <n v="1"/>
    <n v="0"/>
    <n v="1"/>
    <n v="1"/>
    <n v="0"/>
    <x v="0"/>
    <x v="0"/>
    <x v="11"/>
    <x v="2"/>
    <x v="2"/>
  </r>
  <r>
    <s v="WRDSTU"/>
    <s v="Wired Port - Content"/>
    <s v="Network &amp; Connectivity"/>
    <s v=""/>
    <s v="FIFA Technical Content"/>
    <x v="9"/>
    <s v="WRDSTU - Wired Port - Content (FIFA Technical Content)"/>
    <n v="1"/>
    <n v="1"/>
    <n v="0"/>
    <n v="1"/>
    <n v="1"/>
    <n v="0"/>
    <x v="0"/>
    <x v="0"/>
    <x v="11"/>
    <x v="2"/>
    <x v="2"/>
  </r>
  <r>
    <s v="IS00WF"/>
    <s v="Wireless coverage - Shared Internet Service - Wi-Fi FIFA"/>
    <s v="Network &amp; Connectivity"/>
    <s v=""/>
    <s v="General Internet Access"/>
    <x v="1"/>
    <s v="IS00WF - Wireless coverage - Shared Internet Service - Wi-Fi FIFA (General Internet Access)"/>
    <n v="1"/>
    <n v="0"/>
    <n v="0"/>
    <n v="1"/>
    <n v="0"/>
    <n v="0"/>
    <x v="0"/>
    <x v="0"/>
    <x v="12"/>
    <x v="3"/>
    <x v="2"/>
  </r>
  <r>
    <s v="MFDDNW"/>
    <s v="MFD Desktop - Colour - A4 - Network"/>
    <s v="Reprographics"/>
    <s v=""/>
    <s v="General Internet Access"/>
    <x v="3"/>
    <s v="MFDDNW - MFD Desktop - Colour - A4 - Network (General Internet Access)"/>
    <n v="1"/>
    <n v="1"/>
    <n v="0"/>
    <n v="1"/>
    <n v="1"/>
    <n v="0"/>
    <x v="0"/>
    <x v="0"/>
    <x v="12"/>
    <x v="3"/>
    <x v="2"/>
  </r>
  <r>
    <s v="WRDGEN"/>
    <s v="Wired Port - General Internet "/>
    <s v="Network &amp; Connectivity"/>
    <s v=""/>
    <s v="General Internet Access"/>
    <x v="8"/>
    <s v="WRDGEN - Wired Port - General Internet  (General Internet Access)"/>
    <n v="6"/>
    <n v="1"/>
    <n v="0"/>
    <n v="1"/>
    <n v="1"/>
    <n v="0"/>
    <x v="0"/>
    <x v="0"/>
    <x v="12"/>
    <x v="3"/>
    <x v="2"/>
  </r>
  <r>
    <s v="WRDSTU"/>
    <s v="Wired Port - Content"/>
    <s v="Network &amp; Connectivity"/>
    <s v=""/>
    <s v="FIFA Technical Content"/>
    <x v="9"/>
    <s v="WRDSTU - Wired Port - Content (FIFA Technical Content)"/>
    <n v="1"/>
    <n v="1"/>
    <n v="0"/>
    <n v="1"/>
    <n v="1"/>
    <n v="0"/>
    <x v="0"/>
    <x v="0"/>
    <x v="12"/>
    <x v="3"/>
    <x v="2"/>
  </r>
  <r>
    <s v="IS00WF"/>
    <s v="Wireless coverage - Shared Internet Service - Wi-Fi FIFA"/>
    <s v="Network &amp; Connectivity"/>
    <s v=""/>
    <s v="General Internet Access"/>
    <x v="1"/>
    <s v="IS00WF - Wireless coverage - Shared Internet Service - Wi-Fi FIFA (General Internet Access)"/>
    <n v="1"/>
    <n v="0"/>
    <n v="0"/>
    <n v="1"/>
    <n v="0"/>
    <n v="0"/>
    <x v="0"/>
    <x v="0"/>
    <x v="8"/>
    <x v="4"/>
    <x v="2"/>
  </r>
  <r>
    <s v="WRDFTI"/>
    <s v="Wired Port - FTI"/>
    <s v="Network &amp; Connectivity"/>
    <s v=""/>
    <s v="FIFA Technical FTI"/>
    <x v="10"/>
    <s v="WRDFTI - Wired Port - FTI (FIFA Technical FTI)"/>
    <n v="3"/>
    <n v="3"/>
    <n v="0"/>
    <n v="3"/>
    <n v="3"/>
    <n v="0"/>
    <x v="0"/>
    <x v="0"/>
    <x v="8"/>
    <x v="4"/>
    <x v="2"/>
  </r>
  <r>
    <s v="WRDGEN"/>
    <s v="Wired Port - General Internet "/>
    <s v="Network &amp; Connectivity"/>
    <s v=""/>
    <s v="General Internet Access"/>
    <x v="8"/>
    <s v="WRDGEN - Wired Port - General Internet  (General Internet Access)"/>
    <n v="3"/>
    <n v="3"/>
    <n v="0"/>
    <n v="3"/>
    <n v="3"/>
    <n v="0"/>
    <x v="0"/>
    <x v="0"/>
    <x v="8"/>
    <x v="4"/>
    <x v="2"/>
  </r>
  <r>
    <s v="IS00WM"/>
    <s v="Wireless coverage - Internet Service - Wi-Fi Media"/>
    <s v="Network &amp; Connectivity"/>
    <s v=""/>
    <s v="Media Internet Access"/>
    <x v="11"/>
    <s v="IS00WM - Wireless coverage - Internet Service - Wi-Fi Media (Media Internet Access)"/>
    <n v="1"/>
    <n v="0"/>
    <n v="0"/>
    <n v="1"/>
    <n v="0"/>
    <n v="0"/>
    <x v="0"/>
    <x v="0"/>
    <x v="13"/>
    <x v="5"/>
    <x v="2"/>
  </r>
  <r>
    <s v="IS00WM"/>
    <s v="Wireless coverage - Internet Service - Wi-Fi Media"/>
    <s v="Network &amp; Connectivity"/>
    <s v=""/>
    <s v="Media Internet Access"/>
    <x v="11"/>
    <s v="IS00WM - Wireless coverage - Internet Service - Wi-Fi Media (Media Internet Access)"/>
    <n v="1"/>
    <n v="0"/>
    <n v="0"/>
    <n v="1"/>
    <n v="0"/>
    <n v="0"/>
    <x v="0"/>
    <x v="0"/>
    <x v="13"/>
    <x v="6"/>
    <x v="2"/>
  </r>
  <r>
    <s v="IS00WM"/>
    <s v="Wireless coverage - Internet Service - Wi-Fi Media"/>
    <s v="Network &amp; Connectivity"/>
    <s v=""/>
    <s v="Media Internet Access"/>
    <x v="11"/>
    <s v="IS00WM - Wireless coverage - Internet Service - Wi-Fi Media (Media Internet Access)"/>
    <n v="1"/>
    <n v="0"/>
    <n v="0"/>
    <n v="1"/>
    <n v="0"/>
    <n v="0"/>
    <x v="0"/>
    <x v="0"/>
    <x v="13"/>
    <x v="7"/>
    <x v="2"/>
  </r>
  <r>
    <s v="IS00WM"/>
    <s v="Wireless coverage - Internet Service - Wi-Fi Media"/>
    <s v="Network &amp; Connectivity"/>
    <s v=""/>
    <s v="Media Internet Access"/>
    <x v="11"/>
    <s v="IS00WM - Wireless coverage - Internet Service - Wi-Fi Media (Media Internet Access)"/>
    <n v="1"/>
    <n v="0"/>
    <n v="0"/>
    <n v="1"/>
    <n v="0"/>
    <n v="0"/>
    <x v="0"/>
    <x v="0"/>
    <x v="13"/>
    <x v="8"/>
    <x v="2"/>
  </r>
  <r>
    <s v="WRDGEN"/>
    <s v="Wired Port - General Internet "/>
    <s v="Network &amp; Connectivity"/>
    <s v=""/>
    <s v="General Internet Access"/>
    <x v="8"/>
    <s v="WRDGEN - Wired Port - General Internet  (General Internet Access)"/>
    <n v="2"/>
    <n v="2"/>
    <n v="0"/>
    <n v="2"/>
    <n v="2"/>
    <n v="0"/>
    <x v="0"/>
    <x v="0"/>
    <x v="11"/>
    <x v="9"/>
    <x v="2"/>
  </r>
  <r>
    <s v="WRDGEN"/>
    <s v="Wired Port - General Internet "/>
    <s v="Network &amp; Connectivity"/>
    <s v=""/>
    <s v="General Internet Access"/>
    <x v="8"/>
    <s v="WRDGEN - Wired Port - General Internet  (General Internet Access)"/>
    <n v="2"/>
    <n v="2"/>
    <n v="0"/>
    <n v="2"/>
    <n v="2"/>
    <n v="0"/>
    <x v="0"/>
    <x v="0"/>
    <x v="12"/>
    <x v="10"/>
    <x v="2"/>
  </r>
  <r>
    <s v="WRDGEN"/>
    <s v="Wired Port - General Internet "/>
    <s v="Network &amp; Connectivity"/>
    <s v=""/>
    <s v="General Internet Access"/>
    <x v="8"/>
    <s v="WRDGEN - Wired Port - General Internet  (General Internet Access)"/>
    <n v="1"/>
    <n v="1"/>
    <n v="0"/>
    <n v="1"/>
    <n v="1"/>
    <n v="0"/>
    <x v="0"/>
    <x v="0"/>
    <x v="11"/>
    <x v="11"/>
    <x v="2"/>
  </r>
  <r>
    <s v="WRDSTR"/>
    <s v="Wired Port - Stream &amp; World feed"/>
    <s v="Network &amp; Connectivity"/>
    <s v=""/>
    <s v="Stream Fabs &amp; W Feed"/>
    <x v="12"/>
    <s v="WRDSTR - Wired Port - Stream &amp; World feed (Stream Fabs &amp; W Feed)"/>
    <n v="3"/>
    <n v="12"/>
    <n v="0"/>
    <n v="12"/>
    <n v="12"/>
    <n v="0"/>
    <x v="0"/>
    <x v="0"/>
    <x v="11"/>
    <x v="11"/>
    <x v="2"/>
  </r>
  <r>
    <s v="WRDGEN"/>
    <s v="Wired Port - General Internet "/>
    <s v="Network &amp; Connectivity"/>
    <s v=""/>
    <s v="General Internet Access"/>
    <x v="8"/>
    <s v="WRDGEN - Wired Port - General Internet  (General Internet Access)"/>
    <n v="1"/>
    <n v="1"/>
    <n v="0"/>
    <n v="1"/>
    <n v="1"/>
    <n v="0"/>
    <x v="0"/>
    <x v="0"/>
    <x v="12"/>
    <x v="12"/>
    <x v="2"/>
  </r>
  <r>
    <s v="WRDSTR"/>
    <s v="Wired Port - Stream &amp; World feed"/>
    <s v="Network &amp; Connectivity"/>
    <s v=""/>
    <s v="Stream Fabs &amp; W Feed"/>
    <x v="12"/>
    <s v="WRDSTR - Wired Port - Stream &amp; World feed (Stream Fabs &amp; W Feed)"/>
    <n v="3"/>
    <n v="4"/>
    <n v="0"/>
    <n v="4"/>
    <n v="4"/>
    <n v="0"/>
    <x v="0"/>
    <x v="0"/>
    <x v="12"/>
    <x v="12"/>
    <x v="2"/>
  </r>
  <r>
    <s v="WRDMED"/>
    <s v="Wired Port - Media Internet"/>
    <s v="Network &amp; Connectivity"/>
    <s v=""/>
    <s v="Media Internet Access Media"/>
    <x v="4"/>
    <s v="WRDMED - Wired Port - Media Internet (Media Internet Access Media)"/>
    <n v="2"/>
    <n v="2"/>
    <n v="0"/>
    <n v="2"/>
    <n v="2"/>
    <n v="0"/>
    <x v="0"/>
    <x v="0"/>
    <x v="14"/>
    <x v="13"/>
    <x v="2"/>
  </r>
  <r>
    <s v="IS00WF"/>
    <s v="Wireless coverage - Shared Internet Service - Wi-Fi FIFA"/>
    <s v="Network &amp; Connectivity"/>
    <s v=""/>
    <s v="General Internet Access"/>
    <x v="1"/>
    <s v="IS00WF - Wireless coverage - Shared Internet Service - Wi-Fi FIFA (General Internet Access)"/>
    <n v="1"/>
    <n v="0"/>
    <n v="0"/>
    <n v="1"/>
    <n v="0"/>
    <n v="0"/>
    <x v="0"/>
    <x v="1"/>
    <x v="15"/>
    <x v="14"/>
    <x v="2"/>
  </r>
  <r>
    <s v="MFDDNW"/>
    <s v="MFD Desktop - Colour - A4 - Network"/>
    <s v="Reprographics"/>
    <s v=""/>
    <s v="General Internet Access"/>
    <x v="3"/>
    <s v="MFDDNW - MFD Desktop - Colour - A4 - Network (General Internet Access)"/>
    <n v="1"/>
    <n v="1"/>
    <n v="0"/>
    <n v="1"/>
    <n v="1"/>
    <n v="0"/>
    <x v="0"/>
    <x v="1"/>
    <x v="15"/>
    <x v="14"/>
    <x v="2"/>
  </r>
  <r>
    <s v="WRDGEN"/>
    <s v="Wired Port - General Internet "/>
    <s v="Network &amp; Connectivity"/>
    <s v=""/>
    <s v="General Internet Access"/>
    <x v="8"/>
    <s v="WRDGEN - Wired Port - General Internet  (General Internet Access)"/>
    <n v="6"/>
    <n v="1"/>
    <n v="0"/>
    <n v="1"/>
    <n v="1"/>
    <n v="0"/>
    <x v="0"/>
    <x v="1"/>
    <x v="15"/>
    <x v="14"/>
    <x v="2"/>
  </r>
  <r>
    <s v="WRDSTU"/>
    <s v="Wired Port - Content"/>
    <s v="Network &amp; Connectivity"/>
    <s v=""/>
    <s v="FIFA Technical Content"/>
    <x v="9"/>
    <s v="WRDSTU - Wired Port - Content (FIFA Technical Content)"/>
    <n v="1"/>
    <n v="1"/>
    <n v="0"/>
    <n v="1"/>
    <n v="1"/>
    <n v="0"/>
    <x v="0"/>
    <x v="1"/>
    <x v="15"/>
    <x v="14"/>
    <x v="2"/>
  </r>
  <r>
    <s v="CABLOK"/>
    <s v="Laptop Cable Lock"/>
    <s v="Peripherals"/>
    <s v="Multi"/>
    <s v=""/>
    <x v="13"/>
    <s v="CABLOK - Laptop Cable Lock"/>
    <n v="2"/>
    <n v="0"/>
    <n v="0"/>
    <n v="2"/>
    <n v="0"/>
    <n v="0"/>
    <x v="1"/>
    <x v="1"/>
    <x v="16"/>
    <x v="15"/>
    <x v="2"/>
  </r>
  <r>
    <s v="LAPPRE"/>
    <s v="Laptop - Presentation Build"/>
    <s v="FIFA IT Hardware"/>
    <s v="Single"/>
    <s v=""/>
    <x v="14"/>
    <s v="LAPPRE - Laptop - Presentation Build"/>
    <n v="2"/>
    <n v="0"/>
    <n v="0"/>
    <n v="2"/>
    <n v="0"/>
    <n v="0"/>
    <x v="1"/>
    <x v="1"/>
    <x v="16"/>
    <x v="15"/>
    <x v="2"/>
  </r>
  <r>
    <s v="WRDMED"/>
    <s v="Wired Port - Media Internet"/>
    <s v="Network &amp; Connectivity"/>
    <s v=""/>
    <s v="Media Internet Access Media"/>
    <x v="4"/>
    <s v="WRDMED - Wired Port - Media Internet (Media Internet Access Media)"/>
    <n v="4"/>
    <n v="4"/>
    <n v="0"/>
    <n v="4"/>
    <n v="4"/>
    <n v="0"/>
    <x v="0"/>
    <x v="1"/>
    <x v="16"/>
    <x v="15"/>
    <x v="2"/>
  </r>
  <r>
    <s v="WRDSTA"/>
    <s v="Wired Port - ACR-TKT-Ipcodec"/>
    <s v="Network &amp; Connectivity"/>
    <s v=""/>
    <s v="FIFA Standard Internet Access"/>
    <x v="15"/>
    <s v="WRDSTA - Wired Port - ACR-TKT-Ipcodec (FIFA Standard Internet Access)"/>
    <n v="2"/>
    <n v="2"/>
    <n v="0"/>
    <n v="2"/>
    <n v="2"/>
    <n v="0"/>
    <x v="0"/>
    <x v="1"/>
    <x v="16"/>
    <x v="15"/>
    <x v="2"/>
  </r>
  <r>
    <s v="IS00WF"/>
    <s v="Wireless coverage - Shared Internet Service - Wi-Fi FIFA"/>
    <s v="Network &amp; Connectivity"/>
    <s v=""/>
    <s v="General Internet Access"/>
    <x v="1"/>
    <s v="IS00WF - Wireless coverage - Shared Internet Service - Wi-Fi FIFA (General Internet Access)"/>
    <n v="1"/>
    <n v="0"/>
    <n v="0"/>
    <n v="1"/>
    <n v="0"/>
    <n v="0"/>
    <x v="0"/>
    <x v="1"/>
    <x v="8"/>
    <x v="4"/>
    <x v="2"/>
  </r>
  <r>
    <s v="WRDFTI"/>
    <s v="Wired Port - FTI"/>
    <s v="Network &amp; Connectivity"/>
    <s v=""/>
    <s v="FIFA Technical FTI"/>
    <x v="10"/>
    <s v="WRDFTI - Wired Port - FTI (FIFA Technical FTI)"/>
    <n v="1"/>
    <n v="1"/>
    <n v="0"/>
    <n v="1"/>
    <n v="1"/>
    <n v="0"/>
    <x v="0"/>
    <x v="1"/>
    <x v="8"/>
    <x v="4"/>
    <x v="2"/>
  </r>
  <r>
    <s v="WRDGEN"/>
    <s v="Wired Port - General Internet "/>
    <s v="Network &amp; Connectivity"/>
    <s v=""/>
    <s v="General Internet Access"/>
    <x v="8"/>
    <s v="WRDGEN - Wired Port - General Internet  (General Internet Access)"/>
    <n v="1"/>
    <n v="1"/>
    <n v="0"/>
    <n v="1"/>
    <n v="1"/>
    <n v="0"/>
    <x v="0"/>
    <x v="1"/>
    <x v="8"/>
    <x v="4"/>
    <x v="2"/>
  </r>
  <r>
    <s v="WRDMED"/>
    <s v="Wired Port - Media Internet"/>
    <s v="Network &amp; Connectivity"/>
    <s v=""/>
    <s v="Media Internet Access Media"/>
    <x v="4"/>
    <s v="WRDMED - Wired Port - Media Internet (Media Internet Access Media)"/>
    <n v="1"/>
    <n v="1"/>
    <n v="0"/>
    <n v="1"/>
    <n v="1"/>
    <n v="0"/>
    <x v="0"/>
    <x v="1"/>
    <x v="17"/>
    <x v="5"/>
    <x v="2"/>
  </r>
  <r>
    <s v="WRDMED"/>
    <s v="Wired Port - Media Internet"/>
    <s v="Network &amp; Connectivity"/>
    <s v=""/>
    <s v="Media Internet Access Media"/>
    <x v="4"/>
    <s v="WRDMED - Wired Port - Media Internet (Media Internet Access Media)"/>
    <n v="1"/>
    <n v="1"/>
    <n v="0"/>
    <n v="1"/>
    <n v="1"/>
    <n v="0"/>
    <x v="0"/>
    <x v="1"/>
    <x v="17"/>
    <x v="6"/>
    <x v="2"/>
  </r>
  <r>
    <s v="WRDMED"/>
    <s v="Wired Port - Media Internet"/>
    <s v="Network &amp; Connectivity"/>
    <s v=""/>
    <s v="Media Internet Access Media"/>
    <x v="4"/>
    <s v="WRDMED - Wired Port - Media Internet (Media Internet Access Media)"/>
    <n v="1"/>
    <n v="1"/>
    <n v="0"/>
    <n v="1"/>
    <n v="1"/>
    <n v="0"/>
    <x v="0"/>
    <x v="1"/>
    <x v="17"/>
    <x v="7"/>
    <x v="2"/>
  </r>
  <r>
    <s v="WRDMED"/>
    <s v="Wired Port - Media Internet"/>
    <s v="Network &amp; Connectivity"/>
    <s v=""/>
    <s v="Media Internet Access Media"/>
    <x v="4"/>
    <s v="WRDMED - Wired Port - Media Internet (Media Internet Access Media)"/>
    <n v="1"/>
    <n v="1"/>
    <n v="0"/>
    <n v="1"/>
    <n v="1"/>
    <n v="0"/>
    <x v="0"/>
    <x v="1"/>
    <x v="17"/>
    <x v="8"/>
    <x v="2"/>
  </r>
  <r>
    <s v="WRDGEN"/>
    <s v="Wired Port - General Internet "/>
    <s v="Network &amp; Connectivity"/>
    <s v=""/>
    <s v="General Internet Access"/>
    <x v="8"/>
    <s v="WRDGEN - Wired Port - General Internet  (General Internet Access)"/>
    <n v="2"/>
    <n v="2"/>
    <n v="0"/>
    <n v="2"/>
    <n v="2"/>
    <n v="0"/>
    <x v="0"/>
    <x v="1"/>
    <x v="15"/>
    <x v="16"/>
    <x v="2"/>
  </r>
  <r>
    <s v="WRDGEN"/>
    <s v="Wired Port - General Internet "/>
    <s v="Network &amp; Connectivity"/>
    <s v=""/>
    <s v="General Internet Access"/>
    <x v="8"/>
    <s v="WRDGEN - Wired Port - General Internet  (General Internet Access)"/>
    <n v="1"/>
    <n v="1"/>
    <n v="0"/>
    <n v="1"/>
    <n v="1"/>
    <n v="0"/>
    <x v="0"/>
    <x v="1"/>
    <x v="15"/>
    <x v="17"/>
    <x v="2"/>
  </r>
  <r>
    <s v="WRDSTR"/>
    <s v="Wired Port - Stream &amp; World feed"/>
    <s v="Network &amp; Connectivity"/>
    <s v=""/>
    <s v="Stream Fabs &amp; W Feed"/>
    <x v="12"/>
    <s v="WRDSTR - Wired Port - Stream &amp; World feed (Stream Fabs &amp; W Feed)"/>
    <n v="3"/>
    <n v="2"/>
    <n v="0"/>
    <n v="2"/>
    <n v="2"/>
    <n v="0"/>
    <x v="0"/>
    <x v="1"/>
    <x v="15"/>
    <x v="17"/>
    <x v="2"/>
  </r>
  <r>
    <s v="WRDMED"/>
    <s v="Wired Port - Media Internet"/>
    <s v="Network &amp; Connectivity"/>
    <s v=""/>
    <s v="Media Internet Access Media"/>
    <x v="4"/>
    <s v="WRDMED - Wired Port - Media Internet (Media Internet Access Media)"/>
    <n v="2"/>
    <n v="2"/>
    <n v="0"/>
    <n v="2"/>
    <n v="2"/>
    <n v="0"/>
    <x v="0"/>
    <x v="1"/>
    <x v="14"/>
    <x v="18"/>
    <x v="2"/>
  </r>
  <r>
    <s v="DSKMNT"/>
    <s v="24&quot; Monitor - HDMI/DP"/>
    <s v="Peripherals"/>
    <s v=""/>
    <s v=""/>
    <x v="0"/>
    <s v="DSKMNT - 24&quot; Monitor - HDMI/DP"/>
    <n v="2"/>
    <n v="0"/>
    <n v="0"/>
    <n v="2"/>
    <n v="0"/>
    <n v="0"/>
    <x v="0"/>
    <x v="0"/>
    <x v="10"/>
    <x v="19"/>
    <x v="3"/>
  </r>
  <r>
    <s v="IS00WF"/>
    <s v="Wireless coverage - Shared Internet Service - Wi-Fi FIFA"/>
    <s v="Network &amp; Connectivity"/>
    <s v=""/>
    <s v="General Internet Access"/>
    <x v="1"/>
    <s v="IS00WF - Wireless coverage - Shared Internet Service - Wi-Fi FIFA (General Internet Access)"/>
    <n v="1"/>
    <n v="0"/>
    <n v="0"/>
    <n v="1"/>
    <n v="0"/>
    <n v="0"/>
    <x v="0"/>
    <x v="0"/>
    <x v="10"/>
    <x v="19"/>
    <x v="3"/>
  </r>
  <r>
    <s v="MFDDNW"/>
    <s v="MFD Desktop - Colour - A4 - Network"/>
    <s v="Reprographics"/>
    <s v=""/>
    <s v="General Internet Access"/>
    <x v="3"/>
    <s v="MFDDNW - MFD Desktop - Colour - A4 - Network (General Internet Access)"/>
    <n v="1"/>
    <n v="1"/>
    <n v="0"/>
    <n v="1"/>
    <n v="1"/>
    <n v="0"/>
    <x v="0"/>
    <x v="0"/>
    <x v="10"/>
    <x v="19"/>
    <x v="3"/>
  </r>
  <r>
    <s v="MFDDNW"/>
    <s v="MFD Desktop - Colour - A4 - Network"/>
    <s v="Reprographics"/>
    <s v=""/>
    <s v="General Internet Access"/>
    <x v="3"/>
    <s v="MFDDNW - MFD Desktop - Colour - A4 - Network (General Internet Access)"/>
    <n v="1"/>
    <n v="1"/>
    <n v="0"/>
    <n v="1"/>
    <n v="1"/>
    <n v="0"/>
    <x v="0"/>
    <x v="0"/>
    <x v="3"/>
    <x v="20"/>
    <x v="3"/>
  </r>
  <r>
    <s v="MFDDNW"/>
    <s v="MFD Desktop - Colour - A4 - Network"/>
    <s v="Reprographics"/>
    <s v=""/>
    <s v="General Internet Access"/>
    <x v="3"/>
    <s v="MFDDNW - MFD Desktop - Colour - A4 - Network (General Internet Access)"/>
    <n v="1"/>
    <n v="1"/>
    <n v="0"/>
    <n v="1"/>
    <n v="1"/>
    <n v="0"/>
    <x v="0"/>
    <x v="0"/>
    <x v="6"/>
    <x v="21"/>
    <x v="3"/>
  </r>
  <r>
    <s v="PORSPE"/>
    <s v="Portable Speaker"/>
    <s v="Peripherals"/>
    <s v="Single"/>
    <s v=""/>
    <x v="16"/>
    <s v="PORSPE - Portable Speaker"/>
    <n v="1"/>
    <n v="0"/>
    <n v="0"/>
    <n v="1"/>
    <n v="0"/>
    <n v="0"/>
    <x v="1"/>
    <x v="0"/>
    <x v="10"/>
    <x v="19"/>
    <x v="3"/>
  </r>
  <r>
    <s v="TABLEN"/>
    <s v="Tablet - FIFA Professional Tablet + 4G"/>
    <s v="FIFA IT Hardware"/>
    <s v="Single"/>
    <s v=""/>
    <x v="7"/>
    <s v="TABLEN - Tablet - FIFA Professional Tablet + 4G"/>
    <n v="2"/>
    <n v="0"/>
    <n v="8"/>
    <n v="8"/>
    <n v="0"/>
    <n v="0"/>
    <x v="1"/>
    <x v="0"/>
    <x v="10"/>
    <x v="19"/>
    <x v="3"/>
  </r>
  <r>
    <s v="TVLGIP"/>
    <s v="TV - Large - IPTV"/>
    <s v="CATV"/>
    <s v=""/>
    <s v=""/>
    <x v="5"/>
    <s v="TVLGIP - TV - Large - IPTV"/>
    <n v="1"/>
    <n v="1"/>
    <n v="0"/>
    <n v="1"/>
    <n v="1"/>
    <n v="0"/>
    <x v="0"/>
    <x v="0"/>
    <x v="10"/>
    <x v="19"/>
    <x v="3"/>
  </r>
  <r>
    <s v="TVSTND"/>
    <s v="TV Stand - Medium &amp; Large TVs"/>
    <s v="Peripherals"/>
    <s v=""/>
    <s v=""/>
    <x v="6"/>
    <s v="TVSTND - TV Stand - Medium &amp; Large TVs"/>
    <n v="1"/>
    <n v="0"/>
    <n v="0"/>
    <n v="1"/>
    <n v="0"/>
    <n v="0"/>
    <x v="0"/>
    <x v="0"/>
    <x v="10"/>
    <x v="19"/>
    <x v="3"/>
  </r>
  <r>
    <s v="IS00WF"/>
    <s v="Wireless coverage - Shared Internet Service - Wi-Fi FIFA"/>
    <s v="Network &amp; Connectivity"/>
    <s v=""/>
    <s v="General Internet Access"/>
    <x v="1"/>
    <s v="IS00WF - Wireless coverage - Shared Internet Service - Wi-Fi FIFA (General Internet Access)"/>
    <n v="1"/>
    <n v="0"/>
    <n v="0"/>
    <n v="1"/>
    <n v="0"/>
    <n v="0"/>
    <x v="0"/>
    <x v="1"/>
    <x v="9"/>
    <x v="19"/>
    <x v="3"/>
  </r>
  <r>
    <s v="IS00WF"/>
    <s v="Wireless coverage - Shared Internet Service - Wi-Fi FIFA"/>
    <s v="Network &amp; Connectivity"/>
    <s v=""/>
    <s v="General Internet Access"/>
    <x v="1"/>
    <s v="IS00WF - Wireless coverage - Shared Internet Service - Wi-Fi FIFA (General Internet Access)"/>
    <n v="1"/>
    <n v="0"/>
    <n v="0"/>
    <n v="1"/>
    <n v="0"/>
    <n v="0"/>
    <x v="0"/>
    <x v="1"/>
    <x v="9"/>
    <x v="22"/>
    <x v="3"/>
  </r>
  <r>
    <s v="IS00WF"/>
    <s v="Wireless coverage - Shared Internet Service - Wi-Fi FIFA"/>
    <s v="Network &amp; Connectivity"/>
    <s v=""/>
    <s v="General Internet Access"/>
    <x v="1"/>
    <s v="IS00WF - Wireless coverage - Shared Internet Service - Wi-Fi FIFA (General Internet Access)"/>
    <n v="1"/>
    <n v="0"/>
    <n v="0"/>
    <n v="1"/>
    <n v="0"/>
    <n v="0"/>
    <x v="0"/>
    <x v="1"/>
    <x v="18"/>
    <x v="23"/>
    <x v="3"/>
  </r>
  <r>
    <s v="MFDDNW"/>
    <s v="MFD Desktop - Colour - A4 - Network"/>
    <s v="Reprographics"/>
    <s v=""/>
    <s v="General Internet Access"/>
    <x v="3"/>
    <s v="MFDDNW - MFD Desktop - Colour - A4 - Network (General Internet Access)"/>
    <n v="1"/>
    <n v="1"/>
    <n v="0"/>
    <n v="1"/>
    <n v="1"/>
    <n v="0"/>
    <x v="0"/>
    <x v="1"/>
    <x v="9"/>
    <x v="19"/>
    <x v="3"/>
  </r>
  <r>
    <s v="TVLGIP"/>
    <s v="TV - Large - IPTV"/>
    <s v="CATV"/>
    <s v=""/>
    <s v=""/>
    <x v="5"/>
    <s v="TVLGIP - TV - Large - IPTV"/>
    <n v="1"/>
    <n v="1"/>
    <n v="0"/>
    <n v="1"/>
    <n v="1"/>
    <n v="0"/>
    <x v="0"/>
    <x v="1"/>
    <x v="9"/>
    <x v="19"/>
    <x v="3"/>
  </r>
  <r>
    <s v="TVLGSA"/>
    <s v="TV - Large - Standalone"/>
    <s v="Display Devices"/>
    <s v=""/>
    <s v=""/>
    <x v="17"/>
    <s v="TVLGSA - TV - Large - Standalone"/>
    <n v="1"/>
    <n v="0"/>
    <n v="0"/>
    <n v="1"/>
    <n v="0"/>
    <n v="0"/>
    <x v="0"/>
    <x v="1"/>
    <x v="9"/>
    <x v="22"/>
    <x v="3"/>
  </r>
  <r>
    <s v="TVLGSA"/>
    <s v="TV - Large - Standalone"/>
    <s v="Display Devices"/>
    <s v=""/>
    <s v=""/>
    <x v="17"/>
    <s v="TVLGSA - TV - Large - Standalone"/>
    <n v="1"/>
    <n v="0"/>
    <n v="0"/>
    <n v="1"/>
    <n v="0"/>
    <n v="0"/>
    <x v="0"/>
    <x v="1"/>
    <x v="18"/>
    <x v="23"/>
    <x v="3"/>
  </r>
  <r>
    <s v="TVSTND"/>
    <s v="TV Stand - Medium &amp; Large TVs"/>
    <s v="Peripherals"/>
    <s v=""/>
    <s v=""/>
    <x v="6"/>
    <s v="TVSTND - TV Stand - Medium &amp; Large TVs"/>
    <n v="1"/>
    <n v="0"/>
    <n v="0"/>
    <n v="1"/>
    <n v="0"/>
    <n v="0"/>
    <x v="0"/>
    <x v="1"/>
    <x v="9"/>
    <x v="19"/>
    <x v="3"/>
  </r>
  <r>
    <s v="TVSTND"/>
    <s v="TV Stand - Medium &amp; Large TVs"/>
    <s v="Peripherals"/>
    <s v=""/>
    <s v=""/>
    <x v="6"/>
    <s v="TVSTND - TV Stand - Medium &amp; Large TVs"/>
    <n v="1"/>
    <n v="0"/>
    <n v="0"/>
    <n v="1"/>
    <n v="0"/>
    <n v="0"/>
    <x v="0"/>
    <x v="1"/>
    <x v="9"/>
    <x v="22"/>
    <x v="3"/>
  </r>
  <r>
    <s v="TVSTND"/>
    <s v="TV Stand - Medium &amp; Large TVs"/>
    <s v="Peripherals"/>
    <s v=""/>
    <s v=""/>
    <x v="6"/>
    <s v="TVSTND - TV Stand - Medium &amp; Large TVs"/>
    <n v="1"/>
    <n v="0"/>
    <n v="0"/>
    <n v="1"/>
    <n v="0"/>
    <n v="0"/>
    <x v="0"/>
    <x v="1"/>
    <x v="18"/>
    <x v="23"/>
    <x v="3"/>
  </r>
  <r>
    <s v="DSKMNT"/>
    <s v="24&quot; Monitor - HDMI/DP"/>
    <s v="Peripherals"/>
    <s v=""/>
    <s v=""/>
    <x v="0"/>
    <s v="DSKMNT - 24&quot; Monitor - HDMI/DP"/>
    <n v="2"/>
    <n v="0"/>
    <n v="0"/>
    <n v="2"/>
    <n v="0"/>
    <n v="0"/>
    <x v="0"/>
    <x v="0"/>
    <x v="19"/>
    <x v="24"/>
    <x v="4"/>
  </r>
  <r>
    <s v="DSKMNT"/>
    <s v="24&quot; Monitor - HDMI/DP"/>
    <s v="Peripherals"/>
    <s v=""/>
    <s v=""/>
    <x v="0"/>
    <s v="DSKMNT - 24&quot; Monitor - HDMI/DP"/>
    <n v="5"/>
    <n v="0"/>
    <n v="0"/>
    <n v="3"/>
    <n v="0"/>
    <n v="0"/>
    <x v="0"/>
    <x v="0"/>
    <x v="11"/>
    <x v="25"/>
    <x v="5"/>
  </r>
  <r>
    <s v="WRDSTU"/>
    <s v="Wired Port - Content"/>
    <s v="Network &amp; Connectivity"/>
    <s v=""/>
    <s v="FIFA Technical Content"/>
    <x v="9"/>
    <s v="WRDSTU - Wired Port - Content (FIFA Technical Content)"/>
    <n v="5"/>
    <n v="3"/>
    <n v="0"/>
    <n v="3"/>
    <n v="3"/>
    <n v="0"/>
    <x v="0"/>
    <x v="0"/>
    <x v="11"/>
    <x v="25"/>
    <x v="5"/>
  </r>
  <r>
    <s v="ITSIBU"/>
    <s v="IT Solution - 4G Internet backup "/>
    <s v="FIFA IT Network Solutions"/>
    <s v=""/>
    <s v=""/>
    <x v="18"/>
    <s v="ITSIBU - IT Solution - 4G Internet backup "/>
    <n v="10"/>
    <n v="0"/>
    <n v="10"/>
    <n v="10"/>
    <n v="0"/>
    <n v="10"/>
    <x v="0"/>
    <x v="0"/>
    <x v="19"/>
    <x v="24"/>
    <x v="6"/>
  </r>
  <r>
    <s v="LAPEVT"/>
    <s v="Laptop - FIFA Event Build"/>
    <s v="FIFA IT Hardware"/>
    <s v="Single"/>
    <s v=""/>
    <x v="19"/>
    <s v="LAPEVT - Laptop - FIFA Event Build"/>
    <n v="2"/>
    <n v="0"/>
    <n v="0"/>
    <n v="2"/>
    <n v="0"/>
    <n v="0"/>
    <x v="1"/>
    <x v="0"/>
    <x v="19"/>
    <x v="24"/>
    <x v="6"/>
  </r>
  <r>
    <s v="LAPPRE"/>
    <s v="Laptop - Presentation Build"/>
    <s v="FIFA IT Hardware"/>
    <s v="Single"/>
    <s v=""/>
    <x v="14"/>
    <s v="LAPPRE - Laptop - Presentation Build"/>
    <n v="4"/>
    <n v="0"/>
    <n v="0"/>
    <n v="4"/>
    <n v="0"/>
    <n v="0"/>
    <x v="1"/>
    <x v="0"/>
    <x v="19"/>
    <x v="24"/>
    <x v="6"/>
  </r>
  <r>
    <s v="PORSPE"/>
    <s v="Portable Speaker"/>
    <s v="Peripherals"/>
    <s v="Single"/>
    <s v=""/>
    <x v="16"/>
    <s v="PORSPE - Portable Speaker"/>
    <n v="2"/>
    <n v="0"/>
    <n v="0"/>
    <n v="2"/>
    <n v="0"/>
    <n v="0"/>
    <x v="1"/>
    <x v="0"/>
    <x v="19"/>
    <x v="24"/>
    <x v="6"/>
  </r>
  <r>
    <s v="SIMDAT"/>
    <s v="SIM - Data Only"/>
    <s v="Telephony"/>
    <s v=""/>
    <s v=""/>
    <x v="20"/>
    <s v="SIMDAT - SIM - Data Only"/>
    <n v="10"/>
    <n v="0"/>
    <n v="20"/>
    <n v="20"/>
    <n v="0"/>
    <n v="20"/>
    <x v="0"/>
    <x v="0"/>
    <x v="19"/>
    <x v="24"/>
    <x v="6"/>
  </r>
  <r>
    <s v="SIMDOM"/>
    <s v="SIM - Domestic"/>
    <s v="Telephony"/>
    <s v=""/>
    <s v=""/>
    <x v="21"/>
    <s v="SIMDOM - SIM - Domestic"/>
    <n v="80"/>
    <n v="0"/>
    <n v="100"/>
    <n v="100"/>
    <n v="0"/>
    <n v="100"/>
    <x v="0"/>
    <x v="0"/>
    <x v="19"/>
    <x v="24"/>
    <x v="6"/>
  </r>
  <r>
    <s v="SIMINT"/>
    <s v="SIM - International"/>
    <s v="Telephony"/>
    <s v=""/>
    <s v=""/>
    <x v="22"/>
    <s v="SIMINT - SIM - International"/>
    <n v="5"/>
    <n v="0"/>
    <n v="15"/>
    <n v="15"/>
    <n v="0"/>
    <n v="15"/>
    <x v="0"/>
    <x v="0"/>
    <x v="19"/>
    <x v="24"/>
    <x v="6"/>
  </r>
  <r>
    <s v="TELMOB"/>
    <s v="Telephone - Mobile - Smart Phone"/>
    <s v="Telephony"/>
    <s v="Single"/>
    <s v=""/>
    <x v="23"/>
    <s v="TELMOB - Telephone - Mobile - Smart Phone"/>
    <n v="80"/>
    <n v="0"/>
    <n v="100"/>
    <n v="100"/>
    <n v="0"/>
    <n v="0"/>
    <x v="1"/>
    <x v="0"/>
    <x v="19"/>
    <x v="24"/>
    <x v="6"/>
  </r>
  <r>
    <s v="WRDGEN"/>
    <s v="Wired Port - General Internet "/>
    <s v="Network &amp; Connectivity"/>
    <s v=""/>
    <s v="General Internet Access"/>
    <x v="8"/>
    <s v="WRDGEN - Wired Port - General Internet  (General Internet Access)"/>
    <n v="2"/>
    <n v="2"/>
    <n v="0"/>
    <n v="2"/>
    <n v="2"/>
    <n v="0"/>
    <x v="0"/>
    <x v="0"/>
    <x v="19"/>
    <x v="24"/>
    <x v="6"/>
  </r>
  <r>
    <s v="DSKMNT"/>
    <s v="24&quot; Monitor - HDMI/DP"/>
    <s v="Peripherals"/>
    <s v=""/>
    <s v=""/>
    <x v="0"/>
    <s v="DSKMNT - 24&quot; Monitor - HDMI/DP"/>
    <n v="1"/>
    <n v="0"/>
    <n v="0"/>
    <n v="1"/>
    <n v="0"/>
    <n v="0"/>
    <x v="0"/>
    <x v="0"/>
    <x v="19"/>
    <x v="26"/>
    <x v="6"/>
  </r>
  <r>
    <s v="IS0050"/>
    <s v="Internet Service - 50Mbps"/>
    <s v="Network &amp; Connectivity"/>
    <s v=""/>
    <s v=""/>
    <x v="24"/>
    <s v="IS0050 - Internet Service - 50Mbps"/>
    <n v="1"/>
    <n v="1"/>
    <n v="0"/>
    <n v="1"/>
    <n v="1"/>
    <n v="0"/>
    <x v="0"/>
    <x v="0"/>
    <x v="19"/>
    <x v="26"/>
    <x v="6"/>
  </r>
  <r>
    <s v="ITMON"/>
    <s v="IT Monitoring network port"/>
    <s v="Network &amp; Connectivity"/>
    <s v=""/>
    <s v="Monitoring VLAN"/>
    <x v="25"/>
    <s v="ITMON - IT Monitoring network port (Monitoring VLAN)"/>
    <n v="1"/>
    <n v="1"/>
    <n v="0"/>
    <n v="1"/>
    <n v="1"/>
    <n v="0"/>
    <x v="0"/>
    <x v="0"/>
    <x v="19"/>
    <x v="26"/>
    <x v="6"/>
  </r>
  <r>
    <s v="ITMON"/>
    <s v="IT Monitoring network port"/>
    <s v="Network &amp; Connectivity"/>
    <s v=""/>
    <s v="Monitoring VLAN"/>
    <x v="25"/>
    <s v="ITMON - IT Monitoring network port (Monitoring VLAN)"/>
    <n v="1"/>
    <n v="1"/>
    <n v="0"/>
    <n v="1"/>
    <n v="1"/>
    <n v="0"/>
    <x v="0"/>
    <x v="1"/>
    <x v="20"/>
    <x v="26"/>
    <x v="6"/>
  </r>
  <r>
    <s v="TVMDSA"/>
    <s v="TV - Medium - Standalone"/>
    <s v="CATV"/>
    <s v=""/>
    <s v=""/>
    <x v="26"/>
    <s v="TVMDSA - TV - Medium - Standalone"/>
    <n v="1"/>
    <n v="0"/>
    <n v="0"/>
    <n v="1"/>
    <n v="0"/>
    <n v="0"/>
    <x v="0"/>
    <x v="0"/>
    <x v="19"/>
    <x v="26"/>
    <x v="6"/>
  </r>
  <r>
    <s v="TVSTND"/>
    <s v="TV Stand - Medium &amp; Large TVs"/>
    <s v="Peripherals"/>
    <s v=""/>
    <s v=""/>
    <x v="6"/>
    <s v="TVSTND - TV Stand - Medium &amp; Large TVs"/>
    <n v="1"/>
    <n v="0"/>
    <n v="0"/>
    <n v="1"/>
    <n v="0"/>
    <n v="0"/>
    <x v="0"/>
    <x v="0"/>
    <x v="19"/>
    <x v="26"/>
    <x v="6"/>
  </r>
  <r>
    <s v="WRDGEN"/>
    <s v="Wired Port - General Internet "/>
    <s v="Network &amp; Connectivity"/>
    <s v=""/>
    <s v="General Internet Access"/>
    <x v="8"/>
    <s v="WRDGEN - Wired Port - General Internet  (General Internet Access)"/>
    <n v="2"/>
    <n v="2"/>
    <n v="0"/>
    <n v="2"/>
    <n v="2"/>
    <n v="0"/>
    <x v="0"/>
    <x v="1"/>
    <x v="20"/>
    <x v="26"/>
    <x v="6"/>
  </r>
  <r>
    <s v="WRDGEN"/>
    <s v="Wired Port - General Internet "/>
    <s v="Network &amp; Connectivity"/>
    <s v=""/>
    <s v="General Internet Access"/>
    <x v="8"/>
    <s v="WRDGEN - Wired Port - General Internet  (General Internet Access)"/>
    <n v="1"/>
    <n v="1"/>
    <n v="0"/>
    <n v="1"/>
    <n v="1"/>
    <n v="0"/>
    <x v="0"/>
    <x v="0"/>
    <x v="19"/>
    <x v="26"/>
    <x v="6"/>
  </r>
  <r>
    <s v="DSKMNT"/>
    <s v="24&quot; Monitor - HDMI/DP"/>
    <s v="Peripherals"/>
    <s v=""/>
    <s v=""/>
    <x v="0"/>
    <s v="DSKMNT - 24&quot; Monitor - HDMI/DP"/>
    <n v="2"/>
    <n v="0"/>
    <n v="0"/>
    <n v="2"/>
    <n v="0"/>
    <n v="0"/>
    <x v="0"/>
    <x v="0"/>
    <x v="11"/>
    <x v="25"/>
    <x v="7"/>
  </r>
  <r>
    <s v="IS00WF"/>
    <s v="Wireless coverage - Shared Internet Service - Wi-Fi FIFA"/>
    <s v="Network &amp; Connectivity"/>
    <s v=""/>
    <s v="General Internet Access"/>
    <x v="1"/>
    <s v="IS00WF - Wireless coverage - Shared Internet Service - Wi-Fi FIFA (General Internet Access)"/>
    <n v="1"/>
    <n v="0"/>
    <n v="0"/>
    <n v="1"/>
    <n v="0"/>
    <n v="0"/>
    <x v="0"/>
    <x v="0"/>
    <x v="11"/>
    <x v="25"/>
    <x v="7"/>
  </r>
  <r>
    <s v="WRDSTU"/>
    <s v="Wired Port - Content"/>
    <s v="Network &amp; Connectivity"/>
    <s v=""/>
    <s v="FIFA Technical Content"/>
    <x v="9"/>
    <s v="WRDSTU - Wired Port - Content (FIFA Technical Content)"/>
    <n v="2"/>
    <n v="2"/>
    <n v="0"/>
    <n v="2"/>
    <n v="2"/>
    <n v="0"/>
    <x v="0"/>
    <x v="0"/>
    <x v="11"/>
    <x v="25"/>
    <x v="7"/>
  </r>
  <r>
    <s v="DSK27M"/>
    <s v="27&quot; Monitor - HDMI/DP"/>
    <s v="Peripherals"/>
    <s v=""/>
    <s v=""/>
    <x v="27"/>
    <s v="DSK27M - 27&quot; Monitor - HDMI/DP"/>
    <n v="4"/>
    <n v="0"/>
    <n v="0"/>
    <n v="4"/>
    <n v="0"/>
    <n v="0"/>
    <x v="0"/>
    <x v="0"/>
    <x v="21"/>
    <x v="27"/>
    <x v="8"/>
  </r>
  <r>
    <s v="IS00WF"/>
    <s v="Wireless coverage - Shared Internet Service - Wi-Fi FIFA"/>
    <s v="Network &amp; Connectivity"/>
    <s v=""/>
    <s v="General Internet Access"/>
    <x v="1"/>
    <s v="IS00WF - Wireless coverage - Shared Internet Service - Wi-Fi FIFA (General Internet Access)"/>
    <n v="1"/>
    <n v="0"/>
    <n v="0"/>
    <n v="1"/>
    <n v="0"/>
    <n v="0"/>
    <x v="0"/>
    <x v="0"/>
    <x v="21"/>
    <x v="27"/>
    <x v="8"/>
  </r>
  <r>
    <s v="IS00WF"/>
    <s v="Wireless coverage - Shared Internet Service - Wi-Fi FIFA"/>
    <s v="Network &amp; Connectivity"/>
    <s v=""/>
    <s v="General Internet Access"/>
    <x v="1"/>
    <s v="IS00WF - Wireless coverage - Shared Internet Service - Wi-Fi FIFA (General Internet Access)"/>
    <n v="1"/>
    <n v="0"/>
    <n v="0"/>
    <n v="1"/>
    <n v="0"/>
    <n v="0"/>
    <x v="0"/>
    <x v="0"/>
    <x v="22"/>
    <x v="27"/>
    <x v="8"/>
  </r>
  <r>
    <s v="IS00WF"/>
    <s v="Wireless coverage - Shared Internet Service - Wi-Fi FIFA"/>
    <s v="Network &amp; Connectivity"/>
    <s v=""/>
    <s v="General Internet Access"/>
    <x v="1"/>
    <s v="IS00WF - Wireless coverage - Shared Internet Service - Wi-Fi FIFA (General Internet Access)"/>
    <n v="1"/>
    <n v="0"/>
    <n v="0"/>
    <n v="1"/>
    <n v="0"/>
    <n v="0"/>
    <x v="0"/>
    <x v="0"/>
    <x v="11"/>
    <x v="28"/>
    <x v="8"/>
  </r>
  <r>
    <s v="WRDFTI"/>
    <s v="Wired Port - FTI"/>
    <s v="Network &amp; Connectivity"/>
    <s v=""/>
    <s v="FIFA Technical FTI"/>
    <x v="10"/>
    <s v="WRDFTI - Wired Port - FTI (FIFA Technical FTI)"/>
    <n v="1"/>
    <n v="1"/>
    <n v="0"/>
    <n v="1"/>
    <n v="1"/>
    <n v="0"/>
    <x v="0"/>
    <x v="0"/>
    <x v="11"/>
    <x v="28"/>
    <x v="8"/>
  </r>
  <r>
    <s v="WRDFTI"/>
    <s v="Wired Port - FTI"/>
    <s v="Network &amp; Connectivity"/>
    <s v=""/>
    <s v="FIFA Technical FTI"/>
    <x v="10"/>
    <s v="WRDFTI - Wired Port - FTI (FIFA Technical FTI)"/>
    <n v="2"/>
    <n v="2"/>
    <n v="0"/>
    <n v="2"/>
    <n v="2"/>
    <n v="0"/>
    <x v="0"/>
    <x v="0"/>
    <x v="11"/>
    <x v="28"/>
    <x v="8"/>
  </r>
  <r>
    <s v="IS00WF"/>
    <s v="Wireless coverage - Shared Internet Service - Wi-Fi FIFA"/>
    <s v="Network &amp; Connectivity"/>
    <s v=""/>
    <s v="General Internet Access"/>
    <x v="1"/>
    <s v="IS00WF - Wireless coverage - Shared Internet Service - Wi-Fi FIFA (General Internet Access)"/>
    <n v="1"/>
    <n v="0"/>
    <n v="0"/>
    <n v="1"/>
    <n v="0"/>
    <n v="0"/>
    <x v="0"/>
    <x v="0"/>
    <x v="11"/>
    <x v="29"/>
    <x v="8"/>
  </r>
  <r>
    <s v="WRDFTI"/>
    <s v="Wired Port - FTI"/>
    <s v="Network &amp; Connectivity"/>
    <s v=""/>
    <s v="FIFA Technical FTI"/>
    <x v="10"/>
    <s v="WRDFTI - Wired Port - FTI (FIFA Technical FTI)"/>
    <n v="1"/>
    <n v="1"/>
    <n v="0"/>
    <n v="1"/>
    <n v="1"/>
    <n v="0"/>
    <x v="0"/>
    <x v="0"/>
    <x v="11"/>
    <x v="29"/>
    <x v="8"/>
  </r>
  <r>
    <s v="WRDFTI"/>
    <s v="Wired Port - FTI"/>
    <s v="Network &amp; Connectivity"/>
    <s v=""/>
    <s v="FIFA Technical FTI"/>
    <x v="10"/>
    <s v="WRDFTI - Wired Port - FTI (FIFA Technical FTI)"/>
    <n v="2"/>
    <n v="2"/>
    <n v="0"/>
    <n v="2"/>
    <n v="2"/>
    <n v="0"/>
    <x v="0"/>
    <x v="0"/>
    <x v="11"/>
    <x v="29"/>
    <x v="8"/>
  </r>
  <r>
    <s v="IS00WF"/>
    <s v="Wireless coverage - Shared Internet Service - Wi-Fi FIFA"/>
    <s v="Network &amp; Connectivity"/>
    <s v=""/>
    <s v="General Internet Access"/>
    <x v="1"/>
    <s v="IS00WF - Wireless coverage - Shared Internet Service - Wi-Fi FIFA (General Internet Access)"/>
    <n v="1"/>
    <n v="0"/>
    <n v="0"/>
    <n v="1"/>
    <n v="0"/>
    <n v="0"/>
    <x v="0"/>
    <x v="0"/>
    <x v="11"/>
    <x v="30"/>
    <x v="8"/>
  </r>
  <r>
    <s v="WRDFTI"/>
    <s v="Wired Port - FTI"/>
    <s v="Network &amp; Connectivity"/>
    <s v=""/>
    <s v="FIFA Technical FTI"/>
    <x v="10"/>
    <s v="WRDFTI - Wired Port - FTI (FIFA Technical FTI)"/>
    <n v="1"/>
    <n v="1"/>
    <n v="0"/>
    <n v="1"/>
    <n v="1"/>
    <n v="0"/>
    <x v="0"/>
    <x v="0"/>
    <x v="11"/>
    <x v="30"/>
    <x v="8"/>
  </r>
  <r>
    <s v="WRDFTI"/>
    <s v="Wired Port - FTI"/>
    <s v="Network &amp; Connectivity"/>
    <s v=""/>
    <s v="FIFA Technical FTI"/>
    <x v="10"/>
    <s v="WRDFTI - Wired Port - FTI (FIFA Technical FTI)"/>
    <n v="2"/>
    <n v="2"/>
    <n v="0"/>
    <n v="2"/>
    <n v="2"/>
    <n v="0"/>
    <x v="0"/>
    <x v="0"/>
    <x v="11"/>
    <x v="30"/>
    <x v="8"/>
  </r>
  <r>
    <s v="IS00WF"/>
    <s v="Wireless coverage - Shared Internet Service - Wi-Fi FIFA"/>
    <s v="Network &amp; Connectivity"/>
    <s v=""/>
    <s v="General Internet Access"/>
    <x v="1"/>
    <s v="IS00WF - Wireless coverage - Shared Internet Service - Wi-Fi FIFA (General Internet Access)"/>
    <n v="1"/>
    <n v="0"/>
    <n v="0"/>
    <n v="1"/>
    <n v="0"/>
    <n v="0"/>
    <x v="0"/>
    <x v="0"/>
    <x v="12"/>
    <x v="31"/>
    <x v="8"/>
  </r>
  <r>
    <s v="WRDFTI"/>
    <s v="Wired Port - FTI"/>
    <s v="Network &amp; Connectivity"/>
    <s v=""/>
    <s v="FIFA Technical FTI"/>
    <x v="10"/>
    <s v="WRDFTI - Wired Port - FTI (FIFA Technical FTI)"/>
    <n v="1"/>
    <n v="1"/>
    <n v="0"/>
    <n v="1"/>
    <n v="1"/>
    <n v="0"/>
    <x v="0"/>
    <x v="0"/>
    <x v="12"/>
    <x v="31"/>
    <x v="8"/>
  </r>
  <r>
    <s v="WRDFTI"/>
    <s v="Wired Port - FTI"/>
    <s v="Network &amp; Connectivity"/>
    <s v=""/>
    <s v="FIFA Technical FTI"/>
    <x v="10"/>
    <s v="WRDFTI - Wired Port - FTI (FIFA Technical FTI)"/>
    <n v="0"/>
    <n v="2"/>
    <n v="0"/>
    <n v="2"/>
    <n v="2"/>
    <n v="0"/>
    <x v="0"/>
    <x v="0"/>
    <x v="12"/>
    <x v="31"/>
    <x v="8"/>
  </r>
  <r>
    <s v="PROJ6K"/>
    <s v="Office Projector - 6K"/>
    <s v="Display Devices"/>
    <s v=""/>
    <s v=""/>
    <x v="28"/>
    <s v="PROJ6K - Office Projector - 6K"/>
    <n v="1"/>
    <n v="0"/>
    <n v="0"/>
    <n v="1"/>
    <n v="0"/>
    <n v="0"/>
    <x v="0"/>
    <x v="0"/>
    <x v="22"/>
    <x v="27"/>
    <x v="8"/>
  </r>
  <r>
    <s v="TVLGIP"/>
    <s v="TV - Large - IPTV"/>
    <s v="CATV"/>
    <s v=""/>
    <s v=""/>
    <x v="5"/>
    <s v="TVLGIP - TV - Large - IPTV"/>
    <n v="4"/>
    <n v="4"/>
    <n v="0"/>
    <n v="4"/>
    <n v="4"/>
    <n v="0"/>
    <x v="0"/>
    <x v="0"/>
    <x v="21"/>
    <x v="27"/>
    <x v="8"/>
  </r>
  <r>
    <s v="TVSTND"/>
    <s v="TV Stand - Medium &amp; Large TVs"/>
    <s v="Peripherals"/>
    <s v=""/>
    <s v=""/>
    <x v="6"/>
    <s v="TVSTND - TV Stand - Medium &amp; Large TVs"/>
    <n v="4"/>
    <n v="0"/>
    <n v="0"/>
    <n v="4"/>
    <n v="0"/>
    <n v="0"/>
    <x v="0"/>
    <x v="0"/>
    <x v="21"/>
    <x v="27"/>
    <x v="8"/>
  </r>
  <r>
    <s v="WRDFTI"/>
    <s v="Wired Port - FTI"/>
    <s v="Network &amp; Connectivity"/>
    <s v=""/>
    <s v="FIFA Technical FTI"/>
    <x v="10"/>
    <s v="WRDFTI - Wired Port - FTI (FIFA Technical FTI)"/>
    <n v="7"/>
    <n v="6"/>
    <n v="0"/>
    <n v="6"/>
    <n v="6"/>
    <n v="0"/>
    <x v="0"/>
    <x v="0"/>
    <x v="11"/>
    <x v="32"/>
    <x v="8"/>
  </r>
  <r>
    <s v="WRDFTI"/>
    <s v="Wired Port - FTI"/>
    <s v="Network &amp; Connectivity"/>
    <s v=""/>
    <s v="FIFA Technical FTI"/>
    <x v="10"/>
    <s v="WRDFTI - Wired Port - FTI (FIFA Technical FTI)"/>
    <n v="0"/>
    <n v="1"/>
    <n v="0"/>
    <n v="1"/>
    <n v="1"/>
    <n v="0"/>
    <x v="0"/>
    <x v="0"/>
    <x v="11"/>
    <x v="32"/>
    <x v="8"/>
  </r>
  <r>
    <s v="WRDFTI"/>
    <s v="Wired Port - FTI"/>
    <s v="Network &amp; Connectivity"/>
    <s v=""/>
    <s v="FIFA Technical FTI"/>
    <x v="10"/>
    <s v="WRDFTI - Wired Port - FTI (FIFA Technical FTI)"/>
    <n v="4"/>
    <n v="2"/>
    <n v="0"/>
    <n v="2"/>
    <n v="2"/>
    <n v="0"/>
    <x v="0"/>
    <x v="0"/>
    <x v="12"/>
    <x v="33"/>
    <x v="8"/>
  </r>
  <r>
    <s v="WRDFTI"/>
    <s v="Wired Port - FTI"/>
    <s v="Network &amp; Connectivity"/>
    <s v=""/>
    <s v="FIFA Technical FTI"/>
    <x v="10"/>
    <s v="WRDFTI - Wired Port - FTI (FIFA Technical FTI)"/>
    <n v="0"/>
    <n v="1"/>
    <n v="0"/>
    <n v="1"/>
    <n v="1"/>
    <n v="0"/>
    <x v="0"/>
    <x v="0"/>
    <x v="12"/>
    <x v="33"/>
    <x v="8"/>
  </r>
  <r>
    <s v="WRDTSG"/>
    <s v="Wired Port - TSG"/>
    <s v="Network &amp; Connectivity"/>
    <s v=""/>
    <s v="FIFA Technical TSG"/>
    <x v="29"/>
    <s v="WRDTSG - Wired Port - TSG (FIFA Technical TSG)"/>
    <n v="1"/>
    <n v="1"/>
    <n v="0"/>
    <n v="1"/>
    <n v="1"/>
    <n v="0"/>
    <x v="0"/>
    <x v="0"/>
    <x v="21"/>
    <x v="27"/>
    <x v="8"/>
  </r>
  <r>
    <s v="IS00WF"/>
    <s v="Wireless coverage - Shared Internet Service - Wi-Fi FIFA"/>
    <s v="Network &amp; Connectivity"/>
    <s v=""/>
    <s v="General Internet Access"/>
    <x v="1"/>
    <s v="IS00WF - Wireless coverage - Shared Internet Service - Wi-Fi FIFA (General Internet Access)"/>
    <n v="1"/>
    <n v="0"/>
    <n v="0"/>
    <n v="1"/>
    <n v="0"/>
    <n v="0"/>
    <x v="0"/>
    <x v="1"/>
    <x v="15"/>
    <x v="34"/>
    <x v="8"/>
  </r>
  <r>
    <s v="WRDFTI"/>
    <s v="Wired Port - FTI"/>
    <s v="Network &amp; Connectivity"/>
    <s v=""/>
    <s v="FIFA Technical FTI"/>
    <x v="10"/>
    <s v="WRDFTI - Wired Port - FTI (FIFA Technical FTI)"/>
    <n v="2"/>
    <n v="2"/>
    <n v="0"/>
    <n v="2"/>
    <n v="2"/>
    <n v="0"/>
    <x v="0"/>
    <x v="1"/>
    <x v="15"/>
    <x v="35"/>
    <x v="8"/>
  </r>
  <r>
    <s v="WRDFTI"/>
    <s v="Wired Port - FTI"/>
    <s v="Network &amp; Connectivity"/>
    <s v=""/>
    <s v="FIFA Technical FTI"/>
    <x v="10"/>
    <s v="WRDFTI - Wired Port - FTI (FIFA Technical FTI)"/>
    <n v="1"/>
    <n v="1"/>
    <n v="0"/>
    <n v="1"/>
    <n v="1"/>
    <n v="0"/>
    <x v="0"/>
    <x v="1"/>
    <x v="15"/>
    <x v="35"/>
    <x v="8"/>
  </r>
  <r>
    <s v="WRDFTI"/>
    <s v="Wired Port - FTI"/>
    <s v="Network &amp; Connectivity"/>
    <s v=""/>
    <s v="FIFA Technical FTI"/>
    <x v="10"/>
    <s v="WRDFTI - Wired Port - FTI (FIFA Technical FTI)"/>
    <n v="1"/>
    <n v="1"/>
    <n v="0"/>
    <n v="1"/>
    <n v="1"/>
    <n v="0"/>
    <x v="0"/>
    <x v="1"/>
    <x v="15"/>
    <x v="34"/>
    <x v="8"/>
  </r>
  <r>
    <s v="WRDFTI"/>
    <s v="Wired Port - FTI"/>
    <s v="Network &amp; Connectivity"/>
    <s v=""/>
    <s v="FIFA Technical FTI"/>
    <x v="10"/>
    <s v="WRDFTI - Wired Port - FTI (FIFA Technical FTI)"/>
    <n v="1"/>
    <n v="1"/>
    <n v="0"/>
    <n v="1"/>
    <n v="1"/>
    <n v="0"/>
    <x v="0"/>
    <x v="1"/>
    <x v="15"/>
    <x v="34"/>
    <x v="8"/>
  </r>
  <r>
    <s v="WRDTSG"/>
    <s v="Wired Port - TSG"/>
    <s v="Network &amp; Connectivity"/>
    <s v=""/>
    <s v="FIFA Technical TSG"/>
    <x v="29"/>
    <s v="WRDTSG - Wired Port - TSG (FIFA Technical TSG)"/>
    <n v="8"/>
    <n v="8"/>
    <n v="0"/>
    <n v="8"/>
    <n v="8"/>
    <n v="0"/>
    <x v="0"/>
    <x v="1"/>
    <x v="16"/>
    <x v="27"/>
    <x v="8"/>
  </r>
  <r>
    <s v="IS00VP"/>
    <s v="Wireless coverage - Shared Internet Service - Wi-Fi VIP"/>
    <s v="Network &amp; Connectivity"/>
    <s v=""/>
    <s v="General Internet Access"/>
    <x v="30"/>
    <s v="IS00VP - Wireless coverage - Shared Internet Service - Wi-Fi VIP (General Internet Access)"/>
    <n v="1"/>
    <n v="0"/>
    <n v="0"/>
    <n v="1"/>
    <n v="0"/>
    <n v="0"/>
    <x v="0"/>
    <x v="0"/>
    <x v="10"/>
    <x v="36"/>
    <x v="9"/>
  </r>
  <r>
    <s v="IS00WF"/>
    <s v="Wireless coverage - Shared Internet Service - Wi-Fi FIFA"/>
    <s v="Network &amp; Connectivity"/>
    <s v=""/>
    <s v="General Internet Access"/>
    <x v="1"/>
    <s v="IS00WF - Wireless coverage - Shared Internet Service - Wi-Fi FIFA (General Internet Access)"/>
    <n v="1"/>
    <n v="0"/>
    <n v="0"/>
    <n v="1"/>
    <n v="0"/>
    <n v="0"/>
    <x v="0"/>
    <x v="0"/>
    <x v="10"/>
    <x v="37"/>
    <x v="9"/>
  </r>
  <r>
    <s v="MFDDNW"/>
    <s v="MFD Desktop - Colour - A4 - Network"/>
    <s v="Reprographics"/>
    <s v=""/>
    <s v="General Internet Access"/>
    <x v="3"/>
    <s v="MFDDNW - MFD Desktop - Colour - A4 - Network (General Internet Access)"/>
    <n v="1"/>
    <n v="1"/>
    <n v="0"/>
    <n v="1"/>
    <n v="1"/>
    <n v="0"/>
    <x v="0"/>
    <x v="0"/>
    <x v="10"/>
    <x v="37"/>
    <x v="9"/>
  </r>
  <r>
    <s v="TVLGIP"/>
    <s v="TV - Large - IPTV"/>
    <s v="CATV"/>
    <s v=""/>
    <s v=""/>
    <x v="5"/>
    <s v="TVLGIP - TV - Large - IPTV"/>
    <n v="4"/>
    <n v="4"/>
    <n v="0"/>
    <n v="4"/>
    <n v="4"/>
    <n v="0"/>
    <x v="0"/>
    <x v="0"/>
    <x v="10"/>
    <x v="36"/>
    <x v="9"/>
  </r>
  <r>
    <s v="TVSTND"/>
    <s v="TV Stand - Medium &amp; Large TVs"/>
    <s v="Peripherals"/>
    <s v=""/>
    <s v=""/>
    <x v="6"/>
    <s v="TVSTND - TV Stand - Medium &amp; Large TVs"/>
    <n v="4"/>
    <n v="0"/>
    <n v="0"/>
    <n v="4"/>
    <n v="0"/>
    <n v="0"/>
    <x v="0"/>
    <x v="0"/>
    <x v="10"/>
    <x v="36"/>
    <x v="9"/>
  </r>
  <r>
    <s v="IS00VP"/>
    <s v="Wireless coverage - Shared Internet Service - Wi-Fi VIP"/>
    <s v="Network &amp; Connectivity"/>
    <s v=""/>
    <s v="General Internet Access"/>
    <x v="30"/>
    <s v="IS00VP - Wireless coverage - Shared Internet Service - Wi-Fi VIP (General Internet Access)"/>
    <n v="1"/>
    <n v="0"/>
    <n v="0"/>
    <n v="1"/>
    <n v="0"/>
    <n v="0"/>
    <x v="0"/>
    <x v="1"/>
    <x v="23"/>
    <x v="36"/>
    <x v="9"/>
  </r>
  <r>
    <s v="IS00WF"/>
    <s v="Wireless coverage - Shared Internet Service - Wi-Fi FIFA"/>
    <s v="Network &amp; Connectivity"/>
    <s v=""/>
    <s v="General Internet Access"/>
    <x v="1"/>
    <s v="IS00WF - Wireless coverage - Shared Internet Service - Wi-Fi FIFA (General Internet Access)"/>
    <n v="1"/>
    <n v="0"/>
    <n v="0"/>
    <n v="1"/>
    <n v="0"/>
    <n v="0"/>
    <x v="0"/>
    <x v="1"/>
    <x v="23"/>
    <x v="37"/>
    <x v="9"/>
  </r>
  <r>
    <s v="MFDDNW"/>
    <s v="MFD Desktop - Colour - A4 - Network"/>
    <s v="Reprographics"/>
    <s v=""/>
    <s v="General Internet Access"/>
    <x v="3"/>
    <s v="MFDDNW - MFD Desktop - Colour - A4 - Network (General Internet Access)"/>
    <n v="1"/>
    <n v="1"/>
    <n v="0"/>
    <n v="1"/>
    <n v="1"/>
    <n v="0"/>
    <x v="0"/>
    <x v="1"/>
    <x v="23"/>
    <x v="37"/>
    <x v="9"/>
  </r>
  <r>
    <s v="TVLGIP"/>
    <s v="TV - Large - IPTV"/>
    <s v="CATV"/>
    <s v=""/>
    <s v=""/>
    <x v="5"/>
    <s v="TVLGIP - TV - Large - IPTV"/>
    <n v="2"/>
    <n v="2"/>
    <n v="0"/>
    <n v="2"/>
    <n v="2"/>
    <n v="0"/>
    <x v="0"/>
    <x v="1"/>
    <x v="23"/>
    <x v="36"/>
    <x v="9"/>
  </r>
  <r>
    <s v="TVSTND"/>
    <s v="TV Stand - Medium &amp; Large TVs"/>
    <s v="Peripherals"/>
    <s v=""/>
    <s v=""/>
    <x v="6"/>
    <s v="TVSTND - TV Stand - Medium &amp; Large TVs"/>
    <n v="2"/>
    <n v="0"/>
    <n v="0"/>
    <n v="2"/>
    <n v="0"/>
    <n v="0"/>
    <x v="0"/>
    <x v="1"/>
    <x v="23"/>
    <x v="36"/>
    <x v="9"/>
  </r>
  <r>
    <s v="CABLOK"/>
    <s v="Laptop Cable Lock"/>
    <s v="Peripherals"/>
    <s v="Multi"/>
    <s v=""/>
    <x v="13"/>
    <s v="CABLOK - Laptop Cable Lock"/>
    <n v="1"/>
    <n v="0"/>
    <n v="0"/>
    <n v="1"/>
    <n v="0"/>
    <n v="0"/>
    <x v="1"/>
    <x v="0"/>
    <x v="24"/>
    <x v="13"/>
    <x v="10"/>
  </r>
  <r>
    <s v="IS00WM"/>
    <s v="Wireless coverage - Internet Service - Wi-Fi Media"/>
    <s v="Network &amp; Connectivity"/>
    <s v=""/>
    <s v="Media Internet Access"/>
    <x v="11"/>
    <s v="IS00WM - Wireless coverage - Internet Service - Wi-Fi Media (Media Internet Access)"/>
    <n v="1"/>
    <n v="0"/>
    <n v="0"/>
    <n v="1"/>
    <n v="0"/>
    <n v="0"/>
    <x v="0"/>
    <x v="0"/>
    <x v="24"/>
    <x v="13"/>
    <x v="10"/>
  </r>
  <r>
    <s v="IS00WM"/>
    <s v="Wireless coverage - Internet Service - Wi-Fi Media"/>
    <s v="Network &amp; Connectivity"/>
    <s v=""/>
    <s v="Media Internet Access"/>
    <x v="11"/>
    <s v="IS00WM - Wireless coverage - Internet Service - Wi-Fi Media (Media Internet Access)"/>
    <n v="1"/>
    <n v="0"/>
    <n v="0"/>
    <n v="1"/>
    <n v="0"/>
    <n v="0"/>
    <x v="0"/>
    <x v="0"/>
    <x v="16"/>
    <x v="38"/>
    <x v="10"/>
  </r>
  <r>
    <s v="IS00WM"/>
    <s v="Wireless coverage - Internet Service - Wi-Fi Media"/>
    <s v="Network &amp; Connectivity"/>
    <s v=""/>
    <s v="Media Internet Access"/>
    <x v="11"/>
    <s v="IS00WM - Wireless coverage - Internet Service - Wi-Fi Media (Media Internet Access)"/>
    <n v="1"/>
    <n v="0"/>
    <n v="0"/>
    <n v="1"/>
    <n v="0"/>
    <n v="0"/>
    <x v="0"/>
    <x v="0"/>
    <x v="25"/>
    <x v="39"/>
    <x v="10"/>
  </r>
  <r>
    <s v="IS00WM"/>
    <s v="Wireless coverage - Internet Service - Wi-Fi Media"/>
    <s v="Network &amp; Connectivity"/>
    <s v=""/>
    <s v="Media Internet Access"/>
    <x v="11"/>
    <s v="IS00WM - Wireless coverage - Internet Service - Wi-Fi Media (Media Internet Access)"/>
    <n v="1"/>
    <n v="0"/>
    <n v="0"/>
    <n v="1"/>
    <n v="0"/>
    <n v="0"/>
    <x v="0"/>
    <x v="0"/>
    <x v="25"/>
    <x v="40"/>
    <x v="10"/>
  </r>
  <r>
    <s v="IS00WM"/>
    <s v="Wireless coverage - Internet Service - Wi-Fi Media"/>
    <s v="Network &amp; Connectivity"/>
    <s v=""/>
    <s v="Media Internet Access"/>
    <x v="11"/>
    <s v="IS00WM - Wireless coverage - Internet Service - Wi-Fi Media (Media Internet Access)"/>
    <n v="1"/>
    <n v="0"/>
    <n v="0"/>
    <n v="1"/>
    <n v="0"/>
    <n v="0"/>
    <x v="0"/>
    <x v="0"/>
    <x v="0"/>
    <x v="41"/>
    <x v="10"/>
  </r>
  <r>
    <s v="IS00WM"/>
    <s v="Wireless coverage - Internet Service - Wi-Fi Media"/>
    <s v="Network &amp; Connectivity"/>
    <s v=""/>
    <s v="Media Internet Access"/>
    <x v="11"/>
    <s v="IS00WM - Wireless coverage - Internet Service - Wi-Fi Media (Media Internet Access)"/>
    <n v="1"/>
    <n v="0"/>
    <n v="0"/>
    <n v="1"/>
    <n v="0"/>
    <n v="0"/>
    <x v="0"/>
    <x v="0"/>
    <x v="0"/>
    <x v="42"/>
    <x v="10"/>
  </r>
  <r>
    <s v="IS00WM"/>
    <s v="Wireless coverage - Internet Service - Wi-Fi Media"/>
    <s v="Network &amp; Connectivity"/>
    <s v=""/>
    <s v="Media Internet Access"/>
    <x v="11"/>
    <s v="IS00WM - Wireless coverage - Internet Service - Wi-Fi Media (Media Internet Access)"/>
    <n v="1"/>
    <n v="0"/>
    <n v="0"/>
    <n v="1"/>
    <n v="0"/>
    <n v="0"/>
    <x v="0"/>
    <x v="0"/>
    <x v="1"/>
    <x v="41"/>
    <x v="10"/>
  </r>
  <r>
    <s v="IS00WM"/>
    <s v="Wireless coverage - Internet Service - Wi-Fi Media"/>
    <s v="Network &amp; Connectivity"/>
    <s v=""/>
    <s v="Media Internet Access"/>
    <x v="11"/>
    <s v="IS00WM - Wireless coverage - Internet Service - Wi-Fi Media (Media Internet Access)"/>
    <n v="1"/>
    <n v="0"/>
    <n v="0"/>
    <n v="1"/>
    <n v="0"/>
    <n v="0"/>
    <x v="0"/>
    <x v="0"/>
    <x v="1"/>
    <x v="42"/>
    <x v="10"/>
  </r>
  <r>
    <s v="IS00WM"/>
    <s v="Wireless coverage - Internet Service - Wi-Fi Media"/>
    <s v="Network &amp; Connectivity"/>
    <s v=""/>
    <s v="Media Internet Access"/>
    <x v="11"/>
    <s v="IS00WM - Wireless coverage - Internet Service - Wi-Fi Media (Media Internet Access)"/>
    <n v="1"/>
    <n v="0"/>
    <n v="0"/>
    <n v="1"/>
    <n v="0"/>
    <n v="0"/>
    <x v="0"/>
    <x v="0"/>
    <x v="2"/>
    <x v="41"/>
    <x v="10"/>
  </r>
  <r>
    <s v="IS00WM"/>
    <s v="Wireless coverage - Internet Service - Wi-Fi Media"/>
    <s v="Network &amp; Connectivity"/>
    <s v=""/>
    <s v="Media Internet Access"/>
    <x v="11"/>
    <s v="IS00WM - Wireless coverage - Internet Service - Wi-Fi Media (Media Internet Access)"/>
    <n v="1"/>
    <n v="0"/>
    <n v="0"/>
    <n v="1"/>
    <n v="0"/>
    <n v="0"/>
    <x v="0"/>
    <x v="0"/>
    <x v="2"/>
    <x v="42"/>
    <x v="10"/>
  </r>
  <r>
    <s v="IS00WM"/>
    <s v="Wireless coverage - Internet Service - Wi-Fi Media"/>
    <s v="Network &amp; Connectivity"/>
    <s v=""/>
    <s v="Media Internet Access"/>
    <x v="11"/>
    <s v="IS00WM - Wireless coverage - Internet Service - Wi-Fi Media (Media Internet Access)"/>
    <n v="1"/>
    <n v="0"/>
    <n v="0"/>
    <n v="1"/>
    <n v="0"/>
    <n v="0"/>
    <x v="0"/>
    <x v="0"/>
    <x v="3"/>
    <x v="41"/>
    <x v="10"/>
  </r>
  <r>
    <s v="IS00WM"/>
    <s v="Wireless coverage - Internet Service - Wi-Fi Media"/>
    <s v="Network &amp; Connectivity"/>
    <s v=""/>
    <s v="Media Internet Access"/>
    <x v="11"/>
    <s v="IS00WM - Wireless coverage - Internet Service - Wi-Fi Media (Media Internet Access)"/>
    <n v="1"/>
    <n v="0"/>
    <n v="0"/>
    <n v="1"/>
    <n v="0"/>
    <n v="0"/>
    <x v="0"/>
    <x v="0"/>
    <x v="3"/>
    <x v="42"/>
    <x v="10"/>
  </r>
  <r>
    <s v="IS00WM"/>
    <s v="Wireless coverage - Internet Service - Wi-Fi Media"/>
    <s v="Network &amp; Connectivity"/>
    <s v=""/>
    <s v="Media Internet Access"/>
    <x v="11"/>
    <s v="IS00WM - Wireless coverage - Internet Service - Wi-Fi Media (Media Internet Access)"/>
    <n v="1"/>
    <n v="0"/>
    <n v="0"/>
    <n v="1"/>
    <n v="0"/>
    <n v="0"/>
    <x v="0"/>
    <x v="0"/>
    <x v="4"/>
    <x v="41"/>
    <x v="10"/>
  </r>
  <r>
    <s v="IS00WM"/>
    <s v="Wireless coverage - Internet Service - Wi-Fi Media"/>
    <s v="Network &amp; Connectivity"/>
    <s v=""/>
    <s v="Media Internet Access"/>
    <x v="11"/>
    <s v="IS00WM - Wireless coverage - Internet Service - Wi-Fi Media (Media Internet Access)"/>
    <n v="1"/>
    <n v="0"/>
    <n v="0"/>
    <n v="1"/>
    <n v="0"/>
    <n v="0"/>
    <x v="0"/>
    <x v="0"/>
    <x v="4"/>
    <x v="42"/>
    <x v="10"/>
  </r>
  <r>
    <s v="IS00WM"/>
    <s v="Wireless coverage - Internet Service - Wi-Fi Media"/>
    <s v="Network &amp; Connectivity"/>
    <s v=""/>
    <s v="Media Internet Access"/>
    <x v="11"/>
    <s v="IS00WM - Wireless coverage - Internet Service - Wi-Fi Media (Media Internet Access)"/>
    <n v="1"/>
    <n v="0"/>
    <n v="0"/>
    <n v="1"/>
    <n v="0"/>
    <n v="0"/>
    <x v="0"/>
    <x v="0"/>
    <x v="5"/>
    <x v="41"/>
    <x v="10"/>
  </r>
  <r>
    <s v="IS00WM"/>
    <s v="Wireless coverage - Internet Service - Wi-Fi Media"/>
    <s v="Network &amp; Connectivity"/>
    <s v=""/>
    <s v="Media Internet Access"/>
    <x v="11"/>
    <s v="IS00WM - Wireless coverage - Internet Service - Wi-Fi Media (Media Internet Access)"/>
    <n v="1"/>
    <n v="0"/>
    <n v="0"/>
    <n v="1"/>
    <n v="0"/>
    <n v="0"/>
    <x v="0"/>
    <x v="0"/>
    <x v="5"/>
    <x v="42"/>
    <x v="10"/>
  </r>
  <r>
    <s v="IS00WM"/>
    <s v="Wireless coverage - Internet Service - Wi-Fi Media"/>
    <s v="Network &amp; Connectivity"/>
    <s v=""/>
    <s v="Media Internet Access"/>
    <x v="11"/>
    <s v="IS00WM - Wireless coverage - Internet Service - Wi-Fi Media (Media Internet Access)"/>
    <n v="1"/>
    <n v="0"/>
    <n v="0"/>
    <n v="1"/>
    <n v="0"/>
    <n v="0"/>
    <x v="0"/>
    <x v="0"/>
    <x v="6"/>
    <x v="41"/>
    <x v="10"/>
  </r>
  <r>
    <s v="IS00WM"/>
    <s v="Wireless coverage - Internet Service - Wi-Fi Media"/>
    <s v="Network &amp; Connectivity"/>
    <s v=""/>
    <s v="Media Internet Access"/>
    <x v="11"/>
    <s v="IS00WM - Wireless coverage - Internet Service - Wi-Fi Media (Media Internet Access)"/>
    <n v="1"/>
    <n v="0"/>
    <n v="0"/>
    <n v="1"/>
    <n v="0"/>
    <n v="0"/>
    <x v="0"/>
    <x v="0"/>
    <x v="6"/>
    <x v="42"/>
    <x v="10"/>
  </r>
  <r>
    <s v="IS00WM"/>
    <s v="Wireless coverage - Internet Service - Wi-Fi Media"/>
    <s v="Network &amp; Connectivity"/>
    <s v=""/>
    <s v="Media Internet Access"/>
    <x v="11"/>
    <s v="IS00WM - Wireless coverage - Internet Service - Wi-Fi Media (Media Internet Access)"/>
    <n v="1"/>
    <n v="0"/>
    <n v="0"/>
    <n v="1"/>
    <n v="0"/>
    <n v="0"/>
    <x v="0"/>
    <x v="0"/>
    <x v="7"/>
    <x v="41"/>
    <x v="10"/>
  </r>
  <r>
    <s v="IS00WM"/>
    <s v="Wireless coverage - Internet Service - Wi-Fi Media"/>
    <s v="Network &amp; Connectivity"/>
    <s v=""/>
    <s v="Media Internet Access"/>
    <x v="11"/>
    <s v="IS00WM - Wireless coverage - Internet Service - Wi-Fi Media (Media Internet Access)"/>
    <n v="1"/>
    <n v="0"/>
    <n v="0"/>
    <n v="1"/>
    <n v="0"/>
    <n v="0"/>
    <x v="0"/>
    <x v="0"/>
    <x v="7"/>
    <x v="42"/>
    <x v="10"/>
  </r>
  <r>
    <s v="IS00WM"/>
    <s v="Wireless coverage - Internet Service - Wi-Fi Media"/>
    <s v="Network &amp; Connectivity"/>
    <s v=""/>
    <s v="Media Internet Access"/>
    <x v="11"/>
    <s v="IS00WM - Wireless coverage - Internet Service - Wi-Fi Media (Media Internet Access)"/>
    <n v="1"/>
    <n v="0"/>
    <n v="0"/>
    <n v="1"/>
    <n v="0"/>
    <n v="0"/>
    <x v="0"/>
    <x v="0"/>
    <x v="17"/>
    <x v="43"/>
    <x v="10"/>
  </r>
  <r>
    <s v="IS00WM"/>
    <s v="Wireless coverage - Internet Service - Wi-Fi Media"/>
    <s v="Network &amp; Connectivity"/>
    <s v=""/>
    <s v="Media Internet Access"/>
    <x v="11"/>
    <s v="IS00WM - Wireless coverage - Internet Service - Wi-Fi Media (Media Internet Access)"/>
    <n v="1"/>
    <n v="0"/>
    <n v="0"/>
    <n v="1"/>
    <n v="0"/>
    <n v="0"/>
    <x v="0"/>
    <x v="0"/>
    <x v="17"/>
    <x v="44"/>
    <x v="10"/>
  </r>
  <r>
    <s v="LAPEVT"/>
    <s v="Laptop - FIFA Event Build"/>
    <s v="FIFA IT Hardware"/>
    <s v="Single"/>
    <s v=""/>
    <x v="19"/>
    <s v="LAPEVT - Laptop - FIFA Event Build"/>
    <n v="1"/>
    <n v="0"/>
    <n v="0"/>
    <n v="1"/>
    <n v="0"/>
    <n v="0"/>
    <x v="1"/>
    <x v="0"/>
    <x v="24"/>
    <x v="13"/>
    <x v="10"/>
  </r>
  <r>
    <s v="TVLGIP"/>
    <s v="TV - Large - IPTV"/>
    <s v="CATV"/>
    <s v=""/>
    <s v=""/>
    <x v="5"/>
    <s v="TVLGIP - TV - Large - IPTV"/>
    <n v="2"/>
    <n v="2"/>
    <n v="0"/>
    <n v="2"/>
    <n v="2"/>
    <n v="0"/>
    <x v="0"/>
    <x v="0"/>
    <x v="24"/>
    <x v="13"/>
    <x v="10"/>
  </r>
  <r>
    <s v="TVSTND"/>
    <s v="TV Stand - Medium &amp; Large TVs"/>
    <s v="Peripherals"/>
    <s v=""/>
    <s v=""/>
    <x v="6"/>
    <s v="TVSTND - TV Stand - Medium &amp; Large TVs"/>
    <n v="2"/>
    <n v="0"/>
    <n v="0"/>
    <n v="2"/>
    <n v="0"/>
    <n v="0"/>
    <x v="0"/>
    <x v="0"/>
    <x v="24"/>
    <x v="13"/>
    <x v="10"/>
  </r>
  <r>
    <s v="WRDMED"/>
    <s v="Wired Port - Media Internet"/>
    <s v="Network &amp; Connectivity"/>
    <s v=""/>
    <s v="Media Internet Access Media"/>
    <x v="4"/>
    <s v="WRDMED - Wired Port - Media Internet (Media Internet Access Media)"/>
    <n v="5"/>
    <n v="5"/>
    <n v="0"/>
    <n v="5"/>
    <n v="5"/>
    <n v="0"/>
    <x v="0"/>
    <x v="0"/>
    <x v="24"/>
    <x v="13"/>
    <x v="10"/>
  </r>
  <r>
    <s v="AUDUSB"/>
    <s v="Audio transformer SDI to USB"/>
    <s v="Audio"/>
    <s v=""/>
    <s v=""/>
    <x v="31"/>
    <s v="AUDUSB - Audio transformer SDI to USB"/>
    <n v="1"/>
    <n v="0"/>
    <n v="0"/>
    <n v="1"/>
    <n v="0"/>
    <n v="0"/>
    <x v="1"/>
    <x v="1"/>
    <x v="18"/>
    <x v="23"/>
    <x v="10"/>
  </r>
  <r>
    <s v="CABLOK"/>
    <s v="Laptop Cable Lock"/>
    <s v="Peripherals"/>
    <s v="Multi"/>
    <s v=""/>
    <x v="13"/>
    <s v="CABLOK - Laptop Cable Lock"/>
    <n v="1"/>
    <n v="0"/>
    <n v="0"/>
    <n v="1"/>
    <n v="0"/>
    <n v="0"/>
    <x v="1"/>
    <x v="1"/>
    <x v="24"/>
    <x v="45"/>
    <x v="10"/>
  </r>
  <r>
    <s v="CABLOK"/>
    <s v="Laptop Cable Lock"/>
    <s v="Peripherals"/>
    <s v="Multi"/>
    <s v=""/>
    <x v="13"/>
    <s v="CABLOK - Laptop Cable Lock"/>
    <n v="2"/>
    <n v="0"/>
    <n v="0"/>
    <n v="2"/>
    <n v="0"/>
    <n v="0"/>
    <x v="1"/>
    <x v="1"/>
    <x v="18"/>
    <x v="23"/>
    <x v="10"/>
  </r>
  <r>
    <s v="CAM001"/>
    <s v="Webcam"/>
    <s v="Peripherals"/>
    <s v="Multi"/>
    <s v=""/>
    <x v="32"/>
    <s v="CAM001 - Webcam"/>
    <n v="1"/>
    <n v="0"/>
    <n v="0"/>
    <n v="1"/>
    <n v="0"/>
    <n v="0"/>
    <x v="1"/>
    <x v="1"/>
    <x v="18"/>
    <x v="23"/>
    <x v="10"/>
  </r>
  <r>
    <s v="IS00WM"/>
    <s v="Wireless coverage - Internet Service - Wi-Fi Media"/>
    <s v="Network &amp; Connectivity"/>
    <s v=""/>
    <s v="Media Internet Access"/>
    <x v="11"/>
    <s v="IS00WM - Wireless coverage - Internet Service - Wi-Fi Media (Media Internet Access)"/>
    <n v="1"/>
    <n v="0"/>
    <n v="0"/>
    <n v="1"/>
    <n v="0"/>
    <n v="0"/>
    <x v="0"/>
    <x v="1"/>
    <x v="24"/>
    <x v="46"/>
    <x v="10"/>
  </r>
  <r>
    <s v="IS00WM"/>
    <s v="Wireless coverage - Internet Service - Wi-Fi Media"/>
    <s v="Network &amp; Connectivity"/>
    <s v=""/>
    <s v="Media Internet Access"/>
    <x v="11"/>
    <s v="IS00WM - Wireless coverage - Internet Service - Wi-Fi Media (Media Internet Access)"/>
    <n v="1"/>
    <n v="0"/>
    <n v="0"/>
    <n v="1"/>
    <n v="0"/>
    <n v="0"/>
    <x v="0"/>
    <x v="1"/>
    <x v="26"/>
    <x v="47"/>
    <x v="10"/>
  </r>
  <r>
    <s v="IS00WM"/>
    <s v="Wireless coverage - Internet Service - Wi-Fi Media"/>
    <s v="Network &amp; Connectivity"/>
    <s v=""/>
    <s v="Media Internet Access"/>
    <x v="11"/>
    <s v="IS00WM - Wireless coverage - Internet Service - Wi-Fi Media (Media Internet Access)"/>
    <n v="1"/>
    <n v="0"/>
    <n v="0"/>
    <n v="1"/>
    <n v="0"/>
    <n v="0"/>
    <x v="0"/>
    <x v="1"/>
    <x v="24"/>
    <x v="48"/>
    <x v="10"/>
  </r>
  <r>
    <s v="IS00WM"/>
    <s v="Wireless coverage - Internet Service - Wi-Fi Media"/>
    <s v="Network &amp; Connectivity"/>
    <s v=""/>
    <s v="Media Internet Access"/>
    <x v="11"/>
    <s v="IS00WM - Wireless coverage - Internet Service - Wi-Fi Media (Media Internet Access)"/>
    <n v="1"/>
    <n v="0"/>
    <n v="0"/>
    <n v="1"/>
    <n v="0"/>
    <n v="0"/>
    <x v="0"/>
    <x v="1"/>
    <x v="16"/>
    <x v="38"/>
    <x v="10"/>
  </r>
  <r>
    <s v="IS00WM"/>
    <s v="Wireless coverage - Internet Service - Wi-Fi Media"/>
    <s v="Network &amp; Connectivity"/>
    <s v=""/>
    <s v="Media Internet Access"/>
    <x v="11"/>
    <s v="IS00WM - Wireless coverage - Internet Service - Wi-Fi Media (Media Internet Access)"/>
    <n v="1"/>
    <n v="0"/>
    <n v="0"/>
    <n v="1"/>
    <n v="0"/>
    <n v="0"/>
    <x v="0"/>
    <x v="1"/>
    <x v="24"/>
    <x v="45"/>
    <x v="10"/>
  </r>
  <r>
    <s v="IS00WM"/>
    <s v="Wireless coverage - Internet Service - Wi-Fi Media"/>
    <s v="Network &amp; Connectivity"/>
    <s v=""/>
    <s v="Media Internet Access"/>
    <x v="11"/>
    <s v="IS00WM - Wireless coverage - Internet Service - Wi-Fi Media (Media Internet Access)"/>
    <n v="1"/>
    <n v="0"/>
    <n v="0"/>
    <n v="1"/>
    <n v="0"/>
    <n v="0"/>
    <x v="0"/>
    <x v="1"/>
    <x v="17"/>
    <x v="39"/>
    <x v="10"/>
  </r>
  <r>
    <s v="IS00WM"/>
    <s v="Wireless coverage - Internet Service - Wi-Fi Media"/>
    <s v="Network &amp; Connectivity"/>
    <s v=""/>
    <s v="Media Internet Access"/>
    <x v="11"/>
    <s v="IS00WM - Wireless coverage - Internet Service - Wi-Fi Media (Media Internet Access)"/>
    <n v="1"/>
    <n v="0"/>
    <n v="0"/>
    <n v="1"/>
    <n v="0"/>
    <n v="0"/>
    <x v="0"/>
    <x v="1"/>
    <x v="17"/>
    <x v="40"/>
    <x v="10"/>
  </r>
  <r>
    <s v="IS00WM"/>
    <s v="Wireless coverage - Internet Service - Wi-Fi Media"/>
    <s v="Network &amp; Connectivity"/>
    <s v=""/>
    <s v="Media Internet Access"/>
    <x v="11"/>
    <s v="IS00WM - Wireless coverage - Internet Service - Wi-Fi Media (Media Internet Access)"/>
    <n v="1"/>
    <n v="0"/>
    <n v="0"/>
    <n v="1"/>
    <n v="0"/>
    <n v="0"/>
    <x v="0"/>
    <x v="1"/>
    <x v="17"/>
    <x v="44"/>
    <x v="10"/>
  </r>
  <r>
    <s v="IS00WM"/>
    <s v="Wireless coverage - Internet Service - Wi-Fi Media"/>
    <s v="Network &amp; Connectivity"/>
    <s v=""/>
    <s v="Media Internet Access"/>
    <x v="11"/>
    <s v="IS00WM - Wireless coverage - Internet Service - Wi-Fi Media (Media Internet Access)"/>
    <n v="1"/>
    <n v="0"/>
    <n v="0"/>
    <n v="1"/>
    <n v="0"/>
    <n v="0"/>
    <x v="0"/>
    <x v="1"/>
    <x v="17"/>
    <x v="43"/>
    <x v="10"/>
  </r>
  <r>
    <s v="IS00WM"/>
    <s v="Wireless coverage - Internet Service - Wi-Fi Media"/>
    <s v="Network &amp; Connectivity"/>
    <s v=""/>
    <s v="Media Internet Access"/>
    <x v="11"/>
    <s v="IS00WM - Wireless coverage - Internet Service - Wi-Fi Media (Media Internet Access)"/>
    <n v="1"/>
    <n v="0"/>
    <n v="0"/>
    <n v="1"/>
    <n v="0"/>
    <n v="0"/>
    <x v="0"/>
    <x v="1"/>
    <x v="17"/>
    <x v="41"/>
    <x v="10"/>
  </r>
  <r>
    <s v="IS00WM"/>
    <s v="Wireless coverage - Internet Service - Wi-Fi Media"/>
    <s v="Network &amp; Connectivity"/>
    <s v=""/>
    <s v="Media Internet Access"/>
    <x v="11"/>
    <s v="IS00WM - Wireless coverage - Internet Service - Wi-Fi Media (Media Internet Access)"/>
    <n v="1"/>
    <n v="0"/>
    <n v="0"/>
    <n v="1"/>
    <n v="0"/>
    <n v="0"/>
    <x v="0"/>
    <x v="1"/>
    <x v="17"/>
    <x v="42"/>
    <x v="10"/>
  </r>
  <r>
    <s v="IS00Wm"/>
    <s v="Wireless coverage - Internet Service - Wi-Fi Media"/>
    <s v="Network &amp; Connectivity"/>
    <s v=""/>
    <s v="Media Internet Access"/>
    <x v="11"/>
    <s v="IS00Wm - Wireless coverage - Internet Service - Wi-Fi Media (Media Internet Access)"/>
    <n v="1"/>
    <n v="0"/>
    <n v="0"/>
    <n v="1"/>
    <n v="0"/>
    <n v="0"/>
    <x v="0"/>
    <x v="1"/>
    <x v="18"/>
    <x v="23"/>
    <x v="10"/>
  </r>
  <r>
    <s v="LAPEVT"/>
    <s v="Laptop - FIFA Event Build"/>
    <s v="FIFA IT Hardware"/>
    <s v="Single"/>
    <s v=""/>
    <x v="19"/>
    <s v="LAPEVT - Laptop - FIFA Event Build"/>
    <n v="1"/>
    <n v="0"/>
    <n v="0"/>
    <n v="1"/>
    <n v="0"/>
    <n v="0"/>
    <x v="1"/>
    <x v="1"/>
    <x v="24"/>
    <x v="45"/>
    <x v="10"/>
  </r>
  <r>
    <s v="LAPEVT"/>
    <s v="Laptop - FIFA Event Build"/>
    <s v="FIFA IT Hardware"/>
    <s v="Single"/>
    <s v=""/>
    <x v="19"/>
    <s v="LAPEVT - Laptop - FIFA Event Build"/>
    <n v="2"/>
    <n v="0"/>
    <n v="0"/>
    <n v="2"/>
    <n v="0"/>
    <n v="0"/>
    <x v="1"/>
    <x v="1"/>
    <x v="18"/>
    <x v="23"/>
    <x v="10"/>
  </r>
  <r>
    <s v="TELMOB"/>
    <s v="Telephone - Mobile - Smart Phone"/>
    <s v="Telephony"/>
    <s v="Single"/>
    <s v=""/>
    <x v="23"/>
    <s v="TELMOB - Telephone - Mobile - Smart Phone"/>
    <n v="6"/>
    <n v="0"/>
    <n v="6"/>
    <n v="6"/>
    <n v="0"/>
    <n v="6"/>
    <x v="1"/>
    <x v="1"/>
    <x v="18"/>
    <x v="23"/>
    <x v="10"/>
  </r>
  <r>
    <s v="SIMDAT"/>
    <s v="SIM - Data Only"/>
    <s v="Telephony"/>
    <s v=""/>
    <s v=""/>
    <x v="20"/>
    <s v="SIMDAT - SIM - Data Only"/>
    <n v="6"/>
    <n v="0"/>
    <n v="6"/>
    <n v="6"/>
    <n v="0"/>
    <n v="6"/>
    <x v="0"/>
    <x v="1"/>
    <x v="18"/>
    <x v="23"/>
    <x v="10"/>
  </r>
  <r>
    <s v="TVLGIP"/>
    <s v="TV - Large - IPTV"/>
    <s v="CATV"/>
    <s v=""/>
    <s v=""/>
    <x v="5"/>
    <s v="TVLGIP - TV - Large - IPTV"/>
    <n v="1"/>
    <n v="1"/>
    <n v="0"/>
    <n v="1"/>
    <n v="1"/>
    <n v="0"/>
    <x v="0"/>
    <x v="1"/>
    <x v="26"/>
    <x v="47"/>
    <x v="10"/>
  </r>
  <r>
    <s v="TVLGIP"/>
    <s v="TV - Large - IPTV"/>
    <s v="CATV"/>
    <s v=""/>
    <s v=""/>
    <x v="5"/>
    <s v="TVLGIP - TV - Large - IPTV"/>
    <n v="1"/>
    <n v="1"/>
    <n v="0"/>
    <n v="1"/>
    <n v="1"/>
    <n v="0"/>
    <x v="0"/>
    <x v="1"/>
    <x v="24"/>
    <x v="48"/>
    <x v="10"/>
  </r>
  <r>
    <s v="TVSTND"/>
    <s v="TV Stand - Medium &amp; Large TVs"/>
    <s v="Peripherals"/>
    <s v=""/>
    <s v=""/>
    <x v="6"/>
    <s v="TVSTND - TV Stand - Medium &amp; Large TVs"/>
    <n v="1"/>
    <n v="0"/>
    <n v="0"/>
    <n v="1"/>
    <n v="0"/>
    <n v="0"/>
    <x v="0"/>
    <x v="1"/>
    <x v="26"/>
    <x v="47"/>
    <x v="10"/>
  </r>
  <r>
    <s v="TVSTND"/>
    <s v="TV Stand - Medium &amp; Large TVs"/>
    <s v="Peripherals"/>
    <s v=""/>
    <s v=""/>
    <x v="6"/>
    <s v="TVSTND - TV Stand - Medium &amp; Large TVs"/>
    <n v="1"/>
    <n v="0"/>
    <n v="0"/>
    <n v="1"/>
    <n v="0"/>
    <n v="0"/>
    <x v="0"/>
    <x v="1"/>
    <x v="24"/>
    <x v="48"/>
    <x v="10"/>
  </r>
  <r>
    <s v="WRDFTI"/>
    <s v="Wired Port - FTI"/>
    <s v="Network &amp; Connectivity"/>
    <s v=""/>
    <s v="FIFA Technical FTI"/>
    <x v="10"/>
    <s v="WRDFTI - Wired Port - FTI (FIFA Technical FTI)"/>
    <n v="2"/>
    <n v="2"/>
    <n v="0"/>
    <n v="2"/>
    <n v="2"/>
    <n v="0"/>
    <x v="0"/>
    <x v="1"/>
    <x v="18"/>
    <x v="23"/>
    <x v="10"/>
  </r>
  <r>
    <s v="WRDMED"/>
    <s v="Wired Port - Media Internet"/>
    <s v="Network &amp; Connectivity"/>
    <s v=""/>
    <s v="Media Internet Access Media"/>
    <x v="4"/>
    <s v="WRDMED - Wired Port - Media Internet (Media Internet Access Media)"/>
    <n v="5"/>
    <n v="5"/>
    <n v="0"/>
    <n v="5"/>
    <n v="5"/>
    <n v="0"/>
    <x v="0"/>
    <x v="1"/>
    <x v="24"/>
    <x v="48"/>
    <x v="10"/>
  </r>
  <r>
    <s v="WRDMED"/>
    <s v="Wired Port - Media Internet"/>
    <s v="Network &amp; Connectivity"/>
    <s v=""/>
    <s v="Media Internet Access Media"/>
    <x v="4"/>
    <s v="WRDMED - Wired Port - Media Internet (Media Internet Access Media)"/>
    <n v="1"/>
    <n v="1"/>
    <n v="0"/>
    <n v="1"/>
    <n v="1"/>
    <n v="0"/>
    <x v="0"/>
    <x v="1"/>
    <x v="17"/>
    <x v="42"/>
    <x v="10"/>
  </r>
  <r>
    <s v="WRDMED"/>
    <s v="Wired Port - Media Internet"/>
    <s v="Network &amp; Connectivity"/>
    <s v=""/>
    <s v="Media Internet Access Media"/>
    <x v="4"/>
    <s v="WRDMED - Wired Port - Media Internet (Media Internet Access Media)"/>
    <n v="1"/>
    <n v="1"/>
    <n v="0"/>
    <n v="1"/>
    <n v="1"/>
    <n v="0"/>
    <x v="0"/>
    <x v="1"/>
    <x v="17"/>
    <x v="41"/>
    <x v="10"/>
  </r>
  <r>
    <s v="AVMSYS"/>
    <s v="AV Solution (Mics + Speakers)"/>
    <s v="Audio"/>
    <s v=""/>
    <s v=""/>
    <x v="33"/>
    <s v="AVMSYS - AV Solution (Mics + Speakers)"/>
    <n v="1"/>
    <n v="0"/>
    <n v="0"/>
    <n v="1"/>
    <n v="0"/>
    <n v="0"/>
    <x v="0"/>
    <x v="0"/>
    <x v="27"/>
    <x v="49"/>
    <x v="11"/>
  </r>
  <r>
    <s v="DSKMNT"/>
    <s v="24&quot; Monitor - HDMI/DP"/>
    <s v="Peripherals"/>
    <s v=""/>
    <s v=""/>
    <x v="0"/>
    <s v="DSKMNT - 24&quot; Monitor - HDMI/DP"/>
    <n v="4"/>
    <n v="0"/>
    <n v="0"/>
    <n v="4"/>
    <n v="0"/>
    <n v="0"/>
    <x v="0"/>
    <x v="0"/>
    <x v="27"/>
    <x v="50"/>
    <x v="11"/>
  </r>
  <r>
    <s v="DSKMNT"/>
    <s v="24&quot; Monitor - HDMI/DP"/>
    <s v="Peripherals"/>
    <s v=""/>
    <s v=""/>
    <x v="0"/>
    <s v="DSKMNT - 24&quot; Monitor - HDMI/DP"/>
    <n v="0"/>
    <n v="0"/>
    <n v="0"/>
    <n v="2"/>
    <n v="0"/>
    <n v="0"/>
    <x v="0"/>
    <x v="0"/>
    <x v="27"/>
    <x v="51"/>
    <x v="11"/>
  </r>
  <r>
    <s v="DSKMNT"/>
    <s v="24&quot; Monitor - HDMI/DP"/>
    <s v="Peripherals"/>
    <s v=""/>
    <s v=""/>
    <x v="0"/>
    <s v="DSKMNT - 24&quot; Monitor - HDMI/DP"/>
    <n v="0"/>
    <n v="0"/>
    <n v="0"/>
    <n v="2"/>
    <n v="0"/>
    <n v="0"/>
    <x v="0"/>
    <x v="0"/>
    <x v="27"/>
    <x v="52"/>
    <x v="11"/>
  </r>
  <r>
    <s v="DSKMNT"/>
    <s v="24&quot; Monitor - HDMI/DP"/>
    <s v="Peripherals"/>
    <s v=""/>
    <s v=""/>
    <x v="0"/>
    <s v="DSKMNT - 24&quot; Monitor - HDMI/DP"/>
    <n v="0"/>
    <n v="0"/>
    <n v="0"/>
    <n v="2"/>
    <n v="0"/>
    <n v="0"/>
    <x v="0"/>
    <x v="0"/>
    <x v="27"/>
    <x v="53"/>
    <x v="11"/>
  </r>
  <r>
    <s v="IS00WR"/>
    <s v="Wireless coverage - Internet Service -  Referees"/>
    <s v="Network &amp; Connectivity"/>
    <s v=""/>
    <s v="General Internet Access"/>
    <x v="34"/>
    <s v="IS00WR - Wireless coverage - Internet Service -  Referees (General Internet Access)"/>
    <n v="1"/>
    <n v="0"/>
    <n v="0"/>
    <n v="1"/>
    <n v="0"/>
    <n v="0"/>
    <x v="0"/>
    <x v="0"/>
    <x v="27"/>
    <x v="50"/>
    <x v="11"/>
  </r>
  <r>
    <s v="IS00WR"/>
    <s v="Wireless coverage - Internet Service -  Referees"/>
    <s v="Network &amp; Connectivity"/>
    <s v=""/>
    <s v="General Internet Access"/>
    <x v="34"/>
    <s v="IS00WR - Wireless coverage - Internet Service -  Referees (General Internet Access)"/>
    <n v="1"/>
    <n v="0"/>
    <n v="0"/>
    <n v="1"/>
    <n v="0"/>
    <n v="0"/>
    <x v="0"/>
    <x v="0"/>
    <x v="28"/>
    <x v="54"/>
    <x v="11"/>
  </r>
  <r>
    <s v="IS00WR"/>
    <s v="Wireless coverage - Internet Service -  Referees"/>
    <s v="Network &amp; Connectivity"/>
    <s v=""/>
    <s v="General Internet Access"/>
    <x v="34"/>
    <s v="IS00WR - Wireless coverage - Internet Service -  Referees (General Internet Access)"/>
    <n v="1"/>
    <n v="0"/>
    <n v="0"/>
    <n v="1"/>
    <n v="0"/>
    <n v="0"/>
    <x v="0"/>
    <x v="0"/>
    <x v="27"/>
    <x v="51"/>
    <x v="11"/>
  </r>
  <r>
    <s v="IS00WR"/>
    <s v="Wireless coverage - Internet Service -  Referees"/>
    <s v="Network &amp; Connectivity"/>
    <s v=""/>
    <s v="General Internet Access"/>
    <x v="34"/>
    <s v="IS00WR - Wireless coverage - Internet Service -  Referees (General Internet Access)"/>
    <n v="1"/>
    <n v="0"/>
    <n v="0"/>
    <n v="1"/>
    <n v="0"/>
    <n v="0"/>
    <x v="0"/>
    <x v="0"/>
    <x v="27"/>
    <x v="52"/>
    <x v="11"/>
  </r>
  <r>
    <s v="IS00WR"/>
    <s v="Wireless coverage - Internet Service -  Referees"/>
    <s v="Network &amp; Connectivity"/>
    <s v=""/>
    <s v="General Internet Access"/>
    <x v="34"/>
    <s v="IS00WR - Wireless coverage - Internet Service -  Referees (General Internet Access)"/>
    <n v="1"/>
    <n v="0"/>
    <n v="0"/>
    <n v="1"/>
    <n v="0"/>
    <n v="0"/>
    <x v="0"/>
    <x v="0"/>
    <x v="27"/>
    <x v="53"/>
    <x v="11"/>
  </r>
  <r>
    <s v="IS00WR"/>
    <s v="Wireless coverage - Internet Service -  Referees"/>
    <s v="Network &amp; Connectivity"/>
    <s v=""/>
    <s v="General Internet Access"/>
    <x v="34"/>
    <s v="IS00WR - Wireless coverage - Internet Service -  Referees (General Internet Access)"/>
    <n v="1"/>
    <n v="0"/>
    <n v="0"/>
    <n v="1"/>
    <n v="0"/>
    <n v="0"/>
    <x v="0"/>
    <x v="0"/>
    <x v="27"/>
    <x v="49"/>
    <x v="11"/>
  </r>
  <r>
    <s v="IS00WR"/>
    <s v="Wireless coverage - Internet Service -  Referees"/>
    <s v="Network &amp; Connectivity"/>
    <s v=""/>
    <s v="General Internet Access"/>
    <x v="34"/>
    <s v="IS00WR - Wireless coverage - Internet Service -  Referees (General Internet Access)"/>
    <n v="1"/>
    <n v="0"/>
    <n v="0"/>
    <n v="1"/>
    <n v="0"/>
    <n v="0"/>
    <x v="0"/>
    <x v="0"/>
    <x v="27"/>
    <x v="55"/>
    <x v="11"/>
  </r>
  <r>
    <s v="IS00WR"/>
    <s v="Wireless coverage - Internet Service -  Referees"/>
    <s v="Network &amp; Connectivity"/>
    <s v=""/>
    <s v="General Internet Access"/>
    <x v="34"/>
    <s v="IS00WR - Wireless coverage - Internet Service -  Referees (General Internet Access)"/>
    <n v="1"/>
    <n v="0"/>
    <n v="0"/>
    <n v="1"/>
    <n v="0"/>
    <n v="0"/>
    <x v="0"/>
    <x v="0"/>
    <x v="27"/>
    <x v="56"/>
    <x v="11"/>
  </r>
  <r>
    <s v="ITSIBU"/>
    <s v="IT Solution - 4G Internet backup "/>
    <s v="FIFA IT Network Solutions"/>
    <s v=""/>
    <s v=""/>
    <x v="18"/>
    <s v="ITSIBU - IT Solution - 4G Internet backup "/>
    <n v="1"/>
    <n v="0"/>
    <n v="1"/>
    <n v="1"/>
    <n v="0"/>
    <n v="1"/>
    <x v="0"/>
    <x v="0"/>
    <x v="28"/>
    <x v="54"/>
    <x v="11"/>
  </r>
  <r>
    <s v="LAPPRE"/>
    <s v="Laptop - Presentation Build"/>
    <s v="FIFA IT Hardware"/>
    <s v="Single"/>
    <s v=""/>
    <x v="14"/>
    <s v="LAPPRE - Laptop - Presentation Build"/>
    <n v="3"/>
    <n v="0"/>
    <n v="0"/>
    <n v="3"/>
    <n v="0"/>
    <n v="0"/>
    <x v="1"/>
    <x v="0"/>
    <x v="27"/>
    <x v="55"/>
    <x v="11"/>
  </r>
  <r>
    <s v="TELMOB"/>
    <s v="Telephone - Mobile - Smart Phone"/>
    <s v="Telephony"/>
    <s v="Single"/>
    <s v=""/>
    <x v="23"/>
    <s v="TELMOB - Telephone - Mobile - Smart Phone"/>
    <n v="0"/>
    <n v="0"/>
    <n v="10"/>
    <n v="10"/>
    <n v="0"/>
    <n v="10"/>
    <x v="1"/>
    <x v="0"/>
    <x v="27"/>
    <x v="55"/>
    <x v="11"/>
  </r>
  <r>
    <s v="MFDDNW"/>
    <s v="MFD Desktop - Colour - A4 - Network"/>
    <s v="Reprographics"/>
    <s v=""/>
    <s v="General Internet Access"/>
    <x v="3"/>
    <s v="MFDDNW - MFD Desktop - Colour - A4 - Network (General Internet Access)"/>
    <n v="1"/>
    <n v="1"/>
    <n v="0"/>
    <n v="1"/>
    <n v="1"/>
    <n v="0"/>
    <x v="0"/>
    <x v="0"/>
    <x v="27"/>
    <x v="50"/>
    <x v="11"/>
  </r>
  <r>
    <s v="SIMDOM"/>
    <s v="SIM - Domestic"/>
    <s v="Telephony"/>
    <s v=""/>
    <s v=""/>
    <x v="21"/>
    <s v="SIMDOM - SIM - Domestic"/>
    <n v="0"/>
    <n v="0"/>
    <n v="20"/>
    <n v="20"/>
    <n v="0"/>
    <n v="20"/>
    <x v="0"/>
    <x v="0"/>
    <x v="27"/>
    <x v="50"/>
    <x v="11"/>
  </r>
  <r>
    <s v="MFDDNW"/>
    <s v="MFD Desktop - Colour - A4 - Network"/>
    <s v="Reprographics"/>
    <s v=""/>
    <s v="General Internet Access"/>
    <x v="3"/>
    <s v="MFDDNW - MFD Desktop - Colour - A4 - Network (General Internet Access)"/>
    <n v="1"/>
    <n v="1"/>
    <n v="0"/>
    <n v="1"/>
    <n v="1"/>
    <n v="0"/>
    <x v="0"/>
    <x v="0"/>
    <x v="27"/>
    <x v="53"/>
    <x v="11"/>
  </r>
  <r>
    <s v="MFDLNW"/>
    <s v="MFD Large - Colour - A3 - Network"/>
    <s v="Reprographics"/>
    <s v=""/>
    <s v="General Internet Access"/>
    <x v="2"/>
    <s v="MFDLNW - MFD Large - Colour - A3 - Network (General Internet Access)"/>
    <n v="1"/>
    <n v="1"/>
    <n v="0"/>
    <n v="1"/>
    <n v="1"/>
    <n v="0"/>
    <x v="0"/>
    <x v="0"/>
    <x v="27"/>
    <x v="51"/>
    <x v="11"/>
  </r>
  <r>
    <s v="Proj6k"/>
    <s v="Office Projector - 6K"/>
    <s v="Display Devices"/>
    <s v=""/>
    <s v=""/>
    <x v="28"/>
    <s v="Proj6k - Office Projector - 6K"/>
    <n v="1"/>
    <n v="0"/>
    <n v="0"/>
    <n v="1"/>
    <n v="0"/>
    <n v="0"/>
    <x v="0"/>
    <x v="0"/>
    <x v="27"/>
    <x v="49"/>
    <x v="11"/>
  </r>
  <r>
    <s v="TVLGIP"/>
    <s v="TV - Large - IPTV"/>
    <s v="CATV"/>
    <s v=""/>
    <s v=""/>
    <x v="5"/>
    <s v="TVLGIP - TV - Large - IPTV"/>
    <n v="2"/>
    <n v="2"/>
    <n v="0"/>
    <n v="2"/>
    <n v="2"/>
    <n v="0"/>
    <x v="0"/>
    <x v="0"/>
    <x v="27"/>
    <x v="50"/>
    <x v="11"/>
  </r>
  <r>
    <s v="TVLGIP"/>
    <s v="TV - Large - IPTV"/>
    <s v="CATV"/>
    <s v=""/>
    <s v=""/>
    <x v="5"/>
    <s v="TVLGIP - TV - Large - IPTV"/>
    <n v="2"/>
    <n v="2"/>
    <n v="0"/>
    <n v="2"/>
    <n v="2"/>
    <n v="0"/>
    <x v="0"/>
    <x v="0"/>
    <x v="27"/>
    <x v="51"/>
    <x v="11"/>
  </r>
  <r>
    <s v="TVLGIP"/>
    <s v="TV - Large - IPTV"/>
    <s v="CATV"/>
    <s v=""/>
    <s v=""/>
    <x v="5"/>
    <s v="TVLGIP - TV - Large - IPTV"/>
    <n v="1"/>
    <n v="1"/>
    <n v="0"/>
    <n v="1"/>
    <n v="1"/>
    <n v="0"/>
    <x v="0"/>
    <x v="0"/>
    <x v="27"/>
    <x v="52"/>
    <x v="11"/>
  </r>
  <r>
    <s v="TVLGIP"/>
    <s v="TV - Large - IPTV"/>
    <s v="CATV"/>
    <s v=""/>
    <s v=""/>
    <x v="5"/>
    <s v="TVLGIP - TV - Large - IPTV"/>
    <n v="2"/>
    <n v="2"/>
    <n v="0"/>
    <n v="2"/>
    <n v="2"/>
    <n v="0"/>
    <x v="0"/>
    <x v="0"/>
    <x v="27"/>
    <x v="53"/>
    <x v="11"/>
  </r>
  <r>
    <s v="TVLGIP"/>
    <s v="TV - Large - IPTV"/>
    <s v="CATV"/>
    <s v=""/>
    <s v=""/>
    <x v="5"/>
    <s v="TVLGIP - TV - Large - IPTV"/>
    <n v="1"/>
    <n v="1"/>
    <n v="0"/>
    <n v="1"/>
    <n v="1"/>
    <n v="0"/>
    <x v="0"/>
    <x v="0"/>
    <x v="27"/>
    <x v="49"/>
    <x v="11"/>
  </r>
  <r>
    <s v="TVLGIP"/>
    <s v="TV - Large - IPTV"/>
    <s v="CATV"/>
    <s v=""/>
    <s v=""/>
    <x v="5"/>
    <s v="TVLGIP - TV - Large - IPTV"/>
    <n v="2"/>
    <n v="2"/>
    <n v="0"/>
    <n v="2"/>
    <n v="2"/>
    <n v="0"/>
    <x v="0"/>
    <x v="0"/>
    <x v="27"/>
    <x v="56"/>
    <x v="11"/>
  </r>
  <r>
    <s v="TVLGSA"/>
    <s v="TV - Large - Standalone"/>
    <s v="Display Devices"/>
    <s v=""/>
    <s v=""/>
    <x v="17"/>
    <s v="TVLGSA - TV - Large - Standalone"/>
    <n v="1"/>
    <n v="0"/>
    <n v="0"/>
    <n v="1"/>
    <n v="0"/>
    <n v="0"/>
    <x v="0"/>
    <x v="0"/>
    <x v="28"/>
    <x v="54"/>
    <x v="11"/>
  </r>
  <r>
    <s v="TVSTND"/>
    <s v="TV Stand - Medium &amp; Large TVs"/>
    <s v="Peripherals"/>
    <s v=""/>
    <s v=""/>
    <x v="6"/>
    <s v="TVSTND - TV Stand - Medium &amp; Large TVs"/>
    <n v="2"/>
    <n v="0"/>
    <n v="0"/>
    <n v="2"/>
    <n v="0"/>
    <n v="0"/>
    <x v="0"/>
    <x v="0"/>
    <x v="27"/>
    <x v="50"/>
    <x v="11"/>
  </r>
  <r>
    <s v="TVSTND"/>
    <s v="TV Stand - Medium &amp; Large TVs"/>
    <s v="Peripherals"/>
    <s v=""/>
    <s v=""/>
    <x v="6"/>
    <s v="TVSTND - TV Stand - Medium &amp; Large TVs"/>
    <n v="1"/>
    <n v="0"/>
    <n v="0"/>
    <n v="1"/>
    <n v="0"/>
    <n v="0"/>
    <x v="0"/>
    <x v="0"/>
    <x v="28"/>
    <x v="54"/>
    <x v="11"/>
  </r>
  <r>
    <s v="TVSTND"/>
    <s v="TV Stand - Medium &amp; Large TVs"/>
    <s v="Peripherals"/>
    <s v=""/>
    <s v=""/>
    <x v="6"/>
    <s v="TVSTND - TV Stand - Medium &amp; Large TVs"/>
    <n v="2"/>
    <n v="0"/>
    <n v="0"/>
    <n v="2"/>
    <n v="0"/>
    <n v="0"/>
    <x v="0"/>
    <x v="0"/>
    <x v="27"/>
    <x v="51"/>
    <x v="11"/>
  </r>
  <r>
    <s v="TVSTND"/>
    <s v="TV Stand - Medium &amp; Large TVs"/>
    <s v="Peripherals"/>
    <s v=""/>
    <s v=""/>
    <x v="6"/>
    <s v="TVSTND - TV Stand - Medium &amp; Large TVs"/>
    <n v="1"/>
    <n v="0"/>
    <n v="0"/>
    <n v="1"/>
    <n v="0"/>
    <n v="0"/>
    <x v="0"/>
    <x v="0"/>
    <x v="27"/>
    <x v="52"/>
    <x v="11"/>
  </r>
  <r>
    <s v="TVSTND"/>
    <s v="TV Stand - Medium &amp; Large TVs"/>
    <s v="Peripherals"/>
    <s v=""/>
    <s v=""/>
    <x v="6"/>
    <s v="TVSTND - TV Stand - Medium &amp; Large TVs"/>
    <n v="2"/>
    <n v="0"/>
    <n v="0"/>
    <n v="2"/>
    <n v="0"/>
    <n v="0"/>
    <x v="0"/>
    <x v="0"/>
    <x v="27"/>
    <x v="53"/>
    <x v="11"/>
  </r>
  <r>
    <s v="TVSTND"/>
    <s v="TV Stand - Medium &amp; Large TVs"/>
    <s v="Peripherals"/>
    <s v=""/>
    <s v=""/>
    <x v="6"/>
    <s v="TVSTND - TV Stand - Medium &amp; Large TVs"/>
    <n v="1"/>
    <n v="0"/>
    <n v="0"/>
    <n v="1"/>
    <n v="0"/>
    <n v="0"/>
    <x v="0"/>
    <x v="0"/>
    <x v="27"/>
    <x v="49"/>
    <x v="11"/>
  </r>
  <r>
    <s v="TVSTND"/>
    <s v="TV Stand - Medium &amp; Large TVs"/>
    <s v="Peripherals"/>
    <s v=""/>
    <s v=""/>
    <x v="6"/>
    <s v="TVSTND - TV Stand - Medium &amp; Large TVs"/>
    <n v="2"/>
    <n v="0"/>
    <n v="0"/>
    <n v="2"/>
    <n v="0"/>
    <n v="0"/>
    <x v="0"/>
    <x v="0"/>
    <x v="27"/>
    <x v="56"/>
    <x v="11"/>
  </r>
  <r>
    <s v="WDF100"/>
    <s v="Wired Port - 100Mbps - guaranteed"/>
    <s v="Network &amp; Connectivity"/>
    <s v=""/>
    <s v="FIFA Technical Internet Access"/>
    <x v="35"/>
    <s v="WDF100 - Wired Port - 100Mbps - guaranteed (FIFA Technical Internet Access)"/>
    <n v="1"/>
    <n v="1"/>
    <n v="0"/>
    <n v="1"/>
    <n v="1"/>
    <n v="0"/>
    <x v="0"/>
    <x v="0"/>
    <x v="27"/>
    <x v="50"/>
    <x v="11"/>
  </r>
  <r>
    <s v="WRDGEN"/>
    <s v="Wired Port - General Internet "/>
    <s v="Network &amp; Connectivity"/>
    <s v=""/>
    <s v="General Internet Access"/>
    <x v="8"/>
    <s v="WRDGEN - Wired Port - General Internet  (General Internet Access)"/>
    <n v="2"/>
    <n v="2"/>
    <n v="0"/>
    <n v="2"/>
    <n v="2"/>
    <n v="0"/>
    <x v="0"/>
    <x v="0"/>
    <x v="27"/>
    <x v="49"/>
    <x v="11"/>
  </r>
  <r>
    <s v="IS00WF"/>
    <s v="Wireless coverage - Shared Internet Service - Wi-Fi FIFA"/>
    <s v="Network &amp; Connectivity"/>
    <s v=""/>
    <s v="General Internet Access"/>
    <x v="1"/>
    <s v="IS00WF - Wireless coverage - Shared Internet Service - Wi-Fi FIFA (General Internet Access)"/>
    <n v="1"/>
    <n v="0"/>
    <n v="0"/>
    <n v="1"/>
    <n v="0"/>
    <n v="0"/>
    <x v="0"/>
    <x v="0"/>
    <x v="29"/>
    <x v="57"/>
    <x v="12"/>
  </r>
  <r>
    <s v="IS00WF"/>
    <s v="Wireless coverage - Shared Internet Service - Wi-Fi FIFA"/>
    <s v="Network &amp; Connectivity"/>
    <s v=""/>
    <s v="General Internet Access"/>
    <x v="1"/>
    <s v="IS00WF - Wireless coverage - Shared Internet Service - Wi-Fi FIFA (General Internet Access)"/>
    <n v="1"/>
    <n v="0"/>
    <n v="0"/>
    <n v="1"/>
    <n v="0"/>
    <n v="0"/>
    <x v="0"/>
    <x v="1"/>
    <x v="30"/>
    <x v="57"/>
    <x v="12"/>
  </r>
  <r>
    <s v="IS00WS"/>
    <s v="Wireless coverage - Shared Internet Service - Wi-Fi FOOTBALL"/>
    <s v="Network &amp; Connectivity"/>
    <s v=""/>
    <s v="VIP Internet Access"/>
    <x v="36"/>
    <s v="IS00WS - Wireless coverage - Shared Internet Service - Wi-Fi FOOTBALL (VIP Internet Access)"/>
    <n v="1"/>
    <n v="0"/>
    <n v="0"/>
    <n v="1"/>
    <n v="0"/>
    <n v="0"/>
    <x v="0"/>
    <x v="0"/>
    <x v="9"/>
    <x v="58"/>
    <x v="13"/>
  </r>
  <r>
    <s v="IS00WS"/>
    <s v="Wireless coverage - Shared Internet Service - Wi-Fi FOOTBALL"/>
    <s v="Network &amp; Connectivity"/>
    <s v=""/>
    <s v="VIP Internet Access"/>
    <x v="36"/>
    <s v="IS00WS - Wireless coverage - Shared Internet Service - Wi-Fi FOOTBALL (VIP Internet Access)"/>
    <n v="1"/>
    <n v="0"/>
    <n v="0"/>
    <n v="1"/>
    <n v="0"/>
    <n v="0"/>
    <x v="0"/>
    <x v="0"/>
    <x v="9"/>
    <x v="59"/>
    <x v="13"/>
  </r>
  <r>
    <s v="IS00WS"/>
    <s v="Wireless coverage - Shared Internet Service - Wi-Fi FOOTBALL"/>
    <s v="Network &amp; Connectivity"/>
    <s v=""/>
    <s v="VIP Internet Access"/>
    <x v="36"/>
    <s v="IS00WS - Wireless coverage - Shared Internet Service - Wi-Fi FOOTBALL (VIP Internet Access)"/>
    <n v="1"/>
    <n v="0"/>
    <n v="0"/>
    <n v="1"/>
    <n v="0"/>
    <n v="0"/>
    <x v="0"/>
    <x v="1"/>
    <x v="9"/>
    <x v="58"/>
    <x v="13"/>
  </r>
  <r>
    <s v="LAPPRE"/>
    <s v="Laptop - Presentation Build"/>
    <s v="FIFA IT Hardware"/>
    <s v="Single"/>
    <s v=""/>
    <x v="14"/>
    <s v="LAPPRE - Laptop - Presentation Build"/>
    <n v="1"/>
    <n v="0"/>
    <n v="0"/>
    <n v="1"/>
    <n v="0"/>
    <n v="0"/>
    <x v="1"/>
    <x v="0"/>
    <x v="19"/>
    <x v="24"/>
    <x v="13"/>
  </r>
  <r>
    <s v="DSKMNT"/>
    <s v="24&quot; Monitor - HDMI/DP"/>
    <s v="Peripherals"/>
    <s v=""/>
    <s v=""/>
    <x v="0"/>
    <s v="DSKMNT - 24&quot; Monitor - HDMI/DP"/>
    <n v="2"/>
    <n v="0"/>
    <n v="0"/>
    <n v="2"/>
    <n v="0"/>
    <n v="0"/>
    <x v="0"/>
    <x v="0"/>
    <x v="19"/>
    <x v="24"/>
    <x v="14"/>
  </r>
  <r>
    <s v="TABLEN"/>
    <s v="Tablet - FIFA Professional Tablet + 4G"/>
    <s v="FIFA IT Hardware"/>
    <s v="Single"/>
    <s v=""/>
    <x v="7"/>
    <s v="TABLEN - Tablet - FIFA Professional Tablet + 4G"/>
    <n v="2"/>
    <n v="0"/>
    <n v="2"/>
    <n v="2"/>
    <n v="0"/>
    <n v="2"/>
    <x v="1"/>
    <x v="0"/>
    <x v="19"/>
    <x v="24"/>
    <x v="14"/>
  </r>
  <r>
    <s v="DSKMNT"/>
    <s v="24&quot; Monitor - HDMI/DP"/>
    <s v="Peripherals"/>
    <s v=""/>
    <s v=""/>
    <x v="0"/>
    <s v="DSKMNT - 24&quot; Monitor - HDMI/DP"/>
    <n v="2"/>
    <n v="0"/>
    <n v="0"/>
    <n v="2"/>
    <n v="0"/>
    <n v="0"/>
    <x v="0"/>
    <x v="0"/>
    <x v="19"/>
    <x v="24"/>
    <x v="15"/>
  </r>
  <r>
    <s v="IS00WF"/>
    <s v="Wireless coverage - Shared Internet Service - Wi-Fi FIFA"/>
    <s v="Network &amp; Connectivity"/>
    <s v=""/>
    <s v="General Internet Access"/>
    <x v="1"/>
    <s v="IS00WF - Wireless coverage - Shared Internet Service - Wi-Fi FIFA (General Internet Access)"/>
    <n v="1"/>
    <n v="0"/>
    <n v="0"/>
    <n v="1"/>
    <n v="0"/>
    <n v="0"/>
    <x v="0"/>
    <x v="0"/>
    <x v="31"/>
    <x v="24"/>
    <x v="16"/>
  </r>
  <r>
    <s v="IS00WF"/>
    <s v="Wireless coverage - Shared Internet Service - Wi-Fi FIFA"/>
    <s v="Network &amp; Connectivity"/>
    <s v=""/>
    <s v="General Internet Access"/>
    <x v="1"/>
    <s v="IS00WF - Wireless coverage - Shared Internet Service - Wi-Fi FIFA (General Internet Access)"/>
    <n v="1"/>
    <n v="0"/>
    <n v="0"/>
    <n v="1"/>
    <n v="0"/>
    <n v="0"/>
    <x v="0"/>
    <x v="1"/>
    <x v="8"/>
    <x v="60"/>
    <x v="16"/>
  </r>
  <r>
    <s v="MFDLNW"/>
    <s v="MFD Large - Colour - A3 - Network"/>
    <s v="Reprographics"/>
    <s v=""/>
    <s v="General Internet Access"/>
    <x v="2"/>
    <s v="MFDLNW - MFD Large - Colour - A3 - Network (General Internet Access)"/>
    <n v="1"/>
    <n v="1"/>
    <n v="0"/>
    <n v="1"/>
    <n v="1"/>
    <n v="0"/>
    <x v="0"/>
    <x v="0"/>
    <x v="31"/>
    <x v="24"/>
    <x v="16"/>
  </r>
  <r>
    <s v="MFDDNW"/>
    <s v="MFD Desktop - Colour - A4 - Network"/>
    <s v="Reprographics"/>
    <s v=""/>
    <s v="General Internet Access"/>
    <x v="3"/>
    <s v="MFDDNW - MFD Desktop - Colour - A4 - Network (General Internet Access)"/>
    <n v="1"/>
    <n v="1"/>
    <n v="0"/>
    <n v="1"/>
    <n v="1"/>
    <n v="0"/>
    <x v="0"/>
    <x v="1"/>
    <x v="8"/>
    <x v="60"/>
    <x v="16"/>
  </r>
  <r>
    <s v="RADIO"/>
    <s v="Radio PMR In Stadium"/>
    <s v="Radio"/>
    <s v=""/>
    <s v=""/>
    <x v="37"/>
    <s v="RADIO - Radio PMR In Stadium"/>
    <n v="50"/>
    <n v="0"/>
    <n v="0"/>
    <n v="50"/>
    <n v="0"/>
    <n v="0"/>
    <x v="0"/>
    <x v="0"/>
    <x v="31"/>
    <x v="61"/>
    <x v="16"/>
  </r>
  <r>
    <s v="IS00WF"/>
    <s v="Wireless coverage - Shared Internet Service - Wi-Fi FIFA"/>
    <s v="Network &amp; Connectivity"/>
    <s v=""/>
    <s v="General Internet Access"/>
    <x v="1"/>
    <s v="IS00WF - Wireless coverage - Shared Internet Service - Wi-Fi FIFA (General Internet Access)"/>
    <n v="1"/>
    <n v="0"/>
    <n v="0"/>
    <n v="1"/>
    <n v="0"/>
    <n v="0"/>
    <x v="0"/>
    <x v="0"/>
    <x v="32"/>
    <x v="62"/>
    <x v="17"/>
  </r>
  <r>
    <s v="LAPEVT"/>
    <s v="Laptop - FIFA Event Build"/>
    <s v="FIFA IT Hardware"/>
    <s v=""/>
    <s v=""/>
    <x v="19"/>
    <s v="LAPEVT - Laptop - FIFA Event Build"/>
    <n v="2"/>
    <n v="0"/>
    <n v="0"/>
    <n v="2"/>
    <n v="0"/>
    <n v="0"/>
    <x v="0"/>
    <x v="0"/>
    <x v="32"/>
    <x v="62"/>
    <x v="17"/>
  </r>
  <r>
    <s v="MFDDNW"/>
    <s v="MFD Desktop - Colour - A4 - Network"/>
    <s v="Reprographics"/>
    <s v=""/>
    <s v="General Internet Access"/>
    <x v="3"/>
    <s v="MFDDNW - MFD Desktop - Colour - A4 - Network (General Internet Access)"/>
    <n v="1"/>
    <n v="1"/>
    <n v="0"/>
    <n v="1"/>
    <n v="1"/>
    <n v="0"/>
    <x v="0"/>
    <x v="0"/>
    <x v="32"/>
    <x v="62"/>
    <x v="17"/>
  </r>
  <r>
    <s v="TABLEN"/>
    <s v="Tablet - FIFA Professional Tablet + 4G"/>
    <s v="FIFA IT Hardware"/>
    <s v="Single"/>
    <s v=""/>
    <x v="7"/>
    <s v="TABLEN - Tablet - FIFA Professional Tablet + 4G"/>
    <n v="2"/>
    <n v="0"/>
    <n v="2"/>
    <n v="2"/>
    <n v="0"/>
    <n v="2"/>
    <x v="1"/>
    <x v="0"/>
    <x v="32"/>
    <x v="62"/>
    <x v="17"/>
  </r>
  <r>
    <s v="TELMOB"/>
    <s v="Telephone - Mobile - Smart Phone"/>
    <s v="Telephony"/>
    <s v="Single"/>
    <s v=""/>
    <x v="23"/>
    <s v="TELMOB - Telephone - Mobile - Smart Phone"/>
    <n v="1"/>
    <n v="0"/>
    <n v="1"/>
    <n v="1"/>
    <n v="0"/>
    <n v="1"/>
    <x v="1"/>
    <x v="0"/>
    <x v="32"/>
    <x v="62"/>
    <x v="17"/>
  </r>
  <r>
    <s v="TELMOB"/>
    <s v="Telephone - Mobile - Smart Phone"/>
    <s v="Telephony"/>
    <s v="Single"/>
    <s v=""/>
    <x v="23"/>
    <s v="TELMOB - Telephone - Mobile - Smart Phone"/>
    <n v="1"/>
    <n v="0"/>
    <n v="1"/>
    <n v="1"/>
    <n v="0"/>
    <n v="1"/>
    <x v="1"/>
    <x v="0"/>
    <x v="32"/>
    <x v="62"/>
    <x v="17"/>
  </r>
  <r>
    <s v="TVLGIP"/>
    <s v="TV - Large - IPTV"/>
    <s v="CATV"/>
    <s v=""/>
    <s v=""/>
    <x v="5"/>
    <s v="TVLGIP - TV - Large - IPTV"/>
    <n v="1"/>
    <n v="1"/>
    <n v="0"/>
    <n v="1"/>
    <n v="1"/>
    <n v="0"/>
    <x v="0"/>
    <x v="0"/>
    <x v="32"/>
    <x v="62"/>
    <x v="17"/>
  </r>
  <r>
    <s v="TVSTND"/>
    <s v="TV Stand - Medium &amp; Large TVs"/>
    <s v="Peripherals"/>
    <s v=""/>
    <s v=""/>
    <x v="6"/>
    <s v="TVSTND - TV Stand - Medium &amp; Large TVs"/>
    <n v="1"/>
    <n v="0"/>
    <n v="0"/>
    <n v="1"/>
    <n v="0"/>
    <n v="0"/>
    <x v="0"/>
    <x v="0"/>
    <x v="32"/>
    <x v="62"/>
    <x v="17"/>
  </r>
  <r>
    <s v="DSKMNT"/>
    <s v="24&quot; Monitor - HDMI/DP"/>
    <s v="Peripherals"/>
    <s v=""/>
    <s v=""/>
    <x v="0"/>
    <s v="DSKMNT - 24&quot; Monitor - HDMI/DP"/>
    <n v="1"/>
    <n v="0"/>
    <n v="0"/>
    <n v="1"/>
    <n v="0"/>
    <n v="0"/>
    <x v="0"/>
    <x v="0"/>
    <x v="19"/>
    <x v="24"/>
    <x v="18"/>
  </r>
  <r>
    <s v="IS00WF"/>
    <s v="Wireless coverage - Shared Internet Service - Wi-Fi FIFA"/>
    <s v="Network &amp; Connectivity"/>
    <s v=""/>
    <s v="General Internet Access"/>
    <x v="1"/>
    <s v="IS00WF - Wireless coverage - Shared Internet Service - Wi-Fi FIFA (General Internet Access)"/>
    <n v="1"/>
    <n v="0"/>
    <n v="0"/>
    <n v="1"/>
    <n v="0"/>
    <n v="0"/>
    <x v="0"/>
    <x v="1"/>
    <x v="20"/>
    <x v="24"/>
    <x v="18"/>
  </r>
  <r>
    <s v="IS00WF"/>
    <s v="Wireless coverage - Shared Internet Service - Wi-Fi FIFA"/>
    <s v="Network &amp; Connectivity"/>
    <s v=""/>
    <s v="General Internet Access"/>
    <x v="1"/>
    <s v="IS00WF - Wireless coverage - Shared Internet Service - Wi-Fi FIFA (General Internet Access)"/>
    <n v="1"/>
    <n v="0"/>
    <n v="0"/>
    <n v="1"/>
    <n v="0"/>
    <n v="0"/>
    <x v="0"/>
    <x v="0"/>
    <x v="19"/>
    <x v="24"/>
    <x v="18"/>
  </r>
  <r>
    <s v="IS00WF"/>
    <s v="Wireless coverage - Shared Internet Service - Wi-Fi FIFA"/>
    <s v="Network &amp; Connectivity"/>
    <s v=""/>
    <s v="General Internet Access"/>
    <x v="1"/>
    <s v="IS00WF - Wireless coverage - Shared Internet Service - Wi-Fi FIFA (General Internet Access)"/>
    <n v="1"/>
    <n v="0"/>
    <n v="0"/>
    <n v="1"/>
    <n v="0"/>
    <n v="0"/>
    <x v="0"/>
    <x v="0"/>
    <x v="19"/>
    <x v="63"/>
    <x v="18"/>
  </r>
  <r>
    <s v="IS00WF"/>
    <s v="Wireless coverage - Shared Internet Service - Wi-Fi FIFA"/>
    <s v="Network &amp; Connectivity"/>
    <s v=""/>
    <s v="General Internet Access"/>
    <x v="1"/>
    <s v="IS00WF - Wireless coverage - Shared Internet Service - Wi-Fi FIFA (General Internet Access)"/>
    <n v="1"/>
    <n v="0"/>
    <n v="0"/>
    <n v="1"/>
    <n v="0"/>
    <n v="0"/>
    <x v="0"/>
    <x v="0"/>
    <x v="19"/>
    <x v="64"/>
    <x v="18"/>
  </r>
  <r>
    <s v="IS00WF"/>
    <s v="Wireless coverage - Shared Internet Service - Wi-Fi FIFA"/>
    <s v="Network &amp; Connectivity"/>
    <s v=""/>
    <s v="General Internet Access"/>
    <x v="1"/>
    <s v="IS00WF - Wireless coverage - Shared Internet Service - Wi-Fi FIFA (General Internet Access)"/>
    <n v="1"/>
    <n v="0"/>
    <n v="0"/>
    <n v="1"/>
    <n v="0"/>
    <n v="0"/>
    <x v="0"/>
    <x v="0"/>
    <x v="19"/>
    <x v="65"/>
    <x v="18"/>
  </r>
  <r>
    <s v="IS00WF"/>
    <s v="Wireless coverage - Shared Internet Service - Wi-Fi FIFA"/>
    <s v="Network &amp; Connectivity"/>
    <s v=""/>
    <s v="General Internet Access"/>
    <x v="1"/>
    <s v="IS00WF - Wireless coverage - Shared Internet Service - Wi-Fi FIFA (General Internet Access)"/>
    <n v="1"/>
    <n v="0"/>
    <n v="0"/>
    <n v="1"/>
    <n v="0"/>
    <n v="0"/>
    <x v="0"/>
    <x v="0"/>
    <x v="32"/>
    <x v="66"/>
    <x v="18"/>
  </r>
  <r>
    <s v="TVLGIP"/>
    <s v="TV - Large - IPTV"/>
    <s v="CATV"/>
    <s v=""/>
    <s v=""/>
    <x v="5"/>
    <s v="TVLGIP - TV - Large - IPTV"/>
    <n v="2"/>
    <n v="2"/>
    <n v="0"/>
    <n v="2"/>
    <n v="2"/>
    <n v="0"/>
    <x v="0"/>
    <x v="0"/>
    <x v="19"/>
    <x v="24"/>
    <x v="18"/>
  </r>
  <r>
    <s v="TVLGSA"/>
    <s v="TV - Large - Standalone"/>
    <s v="Display Devices"/>
    <s v=""/>
    <s v=""/>
    <x v="17"/>
    <s v="TVLGSA - TV - Large - Standalone"/>
    <n v="1"/>
    <n v="0"/>
    <n v="0"/>
    <n v="1"/>
    <n v="0"/>
    <n v="0"/>
    <x v="0"/>
    <x v="0"/>
    <x v="19"/>
    <x v="24"/>
    <x v="18"/>
  </r>
  <r>
    <s v="TVSTND"/>
    <s v="TV Stand - Medium &amp; Large TVs"/>
    <s v="Peripherals"/>
    <s v=""/>
    <s v=""/>
    <x v="6"/>
    <s v="TVSTND - TV Stand - Medium &amp; Large TVs"/>
    <n v="3"/>
    <n v="0"/>
    <n v="0"/>
    <n v="3"/>
    <n v="0"/>
    <n v="0"/>
    <x v="0"/>
    <x v="0"/>
    <x v="19"/>
    <x v="24"/>
    <x v="18"/>
  </r>
  <r>
    <s v="IS00WF"/>
    <s v="Wireless coverage - Shared Internet Service - Wi-Fi FIFA"/>
    <s v="Network &amp; Connectivity"/>
    <s v=""/>
    <s v="General Internet Access"/>
    <x v="1"/>
    <s v="IS00WF - Wireless coverage - Shared Internet Service - Wi-Fi FIFA (General Internet Access)"/>
    <n v="1"/>
    <n v="0"/>
    <n v="0"/>
    <n v="1"/>
    <n v="0"/>
    <n v="0"/>
    <x v="0"/>
    <x v="0"/>
    <x v="32"/>
    <x v="67"/>
    <x v="19"/>
  </r>
  <r>
    <s v="IS00WF"/>
    <s v="Wireless coverage - Shared Internet Service - Wi-Fi FIFA"/>
    <s v="Network &amp; Connectivity"/>
    <s v=""/>
    <s v="General Internet Access"/>
    <x v="1"/>
    <s v="IS00WF - Wireless coverage - Shared Internet Service - Wi-Fi FIFA (General Internet Access)"/>
    <n v="1"/>
    <n v="0"/>
    <n v="0"/>
    <n v="1"/>
    <n v="0"/>
    <n v="0"/>
    <x v="0"/>
    <x v="0"/>
    <x v="33"/>
    <x v="68"/>
    <x v="19"/>
  </r>
  <r>
    <s v="IS00WF"/>
    <s v="Wireless coverage - Shared Internet Service - Wi-Fi FIFA"/>
    <s v="Network &amp; Connectivity"/>
    <s v=""/>
    <s v="General Internet Access"/>
    <x v="1"/>
    <s v="IS00WF - Wireless coverage - Shared Internet Service - Wi-Fi FIFA (General Internet Access)"/>
    <n v="1"/>
    <n v="0"/>
    <n v="0"/>
    <n v="1"/>
    <n v="0"/>
    <n v="0"/>
    <x v="0"/>
    <x v="0"/>
    <x v="33"/>
    <x v="69"/>
    <x v="19"/>
  </r>
  <r>
    <s v="IS00WF"/>
    <s v="Wireless coverage - Shared Internet Service - Wi-Fi FIFA"/>
    <s v="Network &amp; Connectivity"/>
    <s v=""/>
    <s v="General Internet Access"/>
    <x v="1"/>
    <s v="IS00WF - Wireless coverage - Shared Internet Service - Wi-Fi FIFA (General Internet Access)"/>
    <n v="1"/>
    <n v="0"/>
    <n v="0"/>
    <n v="1"/>
    <n v="0"/>
    <n v="0"/>
    <x v="0"/>
    <x v="0"/>
    <x v="33"/>
    <x v="70"/>
    <x v="19"/>
  </r>
  <r>
    <s v="ITSIBU"/>
    <s v="IT Solution - 4G Internet backup "/>
    <s v="FIFA IT Network Solutions"/>
    <s v=""/>
    <s v=""/>
    <x v="18"/>
    <s v="ITSIBU - IT Solution - 4G Internet backup "/>
    <n v="4"/>
    <n v="0"/>
    <n v="1"/>
    <n v="1"/>
    <n v="0"/>
    <n v="1"/>
    <x v="0"/>
    <x v="1"/>
    <x v="33"/>
    <x v="71"/>
    <x v="19"/>
  </r>
  <r>
    <s v="TVLGIP"/>
    <s v="TV - Large - IPTV"/>
    <s v="CATV"/>
    <s v=""/>
    <s v=""/>
    <x v="5"/>
    <s v="TVLGIP - TV - Large - IPTV"/>
    <n v="1"/>
    <n v="1"/>
    <n v="0"/>
    <n v="1"/>
    <n v="1"/>
    <n v="0"/>
    <x v="0"/>
    <x v="0"/>
    <x v="32"/>
    <x v="67"/>
    <x v="19"/>
  </r>
  <r>
    <s v="TVSTND"/>
    <s v="TV Stand - Medium &amp; Large TVs"/>
    <s v="Peripherals"/>
    <s v=""/>
    <s v=""/>
    <x v="6"/>
    <s v="TVSTND - TV Stand - Medium &amp; Large TVs"/>
    <n v="1"/>
    <n v="0"/>
    <n v="0"/>
    <n v="1"/>
    <n v="0"/>
    <n v="0"/>
    <x v="0"/>
    <x v="0"/>
    <x v="32"/>
    <x v="67"/>
    <x v="19"/>
  </r>
  <r>
    <s v="WRDMED"/>
    <s v="Wired Port - Media Internet"/>
    <s v="Network &amp; Connectivity"/>
    <s v=""/>
    <s v="Media Internet Access Media"/>
    <x v="4"/>
    <s v="WRDMED - Wired Port - Media Internet (Media Internet Access Media)"/>
    <n v="1"/>
    <n v="1"/>
    <n v="0"/>
    <n v="1"/>
    <n v="1"/>
    <n v="0"/>
    <x v="0"/>
    <x v="1"/>
    <x v="17"/>
    <x v="72"/>
    <x v="19"/>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0">
  <r>
    <s v="DSKMNT"/>
    <s v="24&quot; Monitor - HDMI/DP"/>
    <s v="Peripherals"/>
    <s v=""/>
    <s v=""/>
    <x v="0"/>
    <s v="DSKMNT - 24&quot; Monitor - HDMI/DP"/>
    <n v="5"/>
    <n v="0"/>
    <n v="0"/>
    <n v="1"/>
    <n v="0"/>
    <n v="0"/>
    <s v="LOC IT"/>
    <x v="0"/>
    <s v="Pitch 1"/>
    <x v="0"/>
    <x v="0"/>
  </r>
  <r>
    <s v="DSKMNT"/>
    <s v="24&quot; Monitor - HDMI/DP"/>
    <s v="Peripherals"/>
    <s v=""/>
    <s v=""/>
    <x v="0"/>
    <s v="DSKMNT - 24&quot; Monitor - HDMI/DP"/>
    <n v="5"/>
    <n v="0"/>
    <n v="0"/>
    <n v="1"/>
    <n v="0"/>
    <n v="0"/>
    <s v="LOC IT"/>
    <x v="0"/>
    <s v="Pitch 2"/>
    <x v="0"/>
    <x v="0"/>
  </r>
  <r>
    <s v="DSKMNT"/>
    <s v="24&quot; Monitor - HDMI/DP"/>
    <s v="Peripherals"/>
    <s v=""/>
    <s v=""/>
    <x v="0"/>
    <s v="DSKMNT - 24&quot; Monitor - HDMI/DP"/>
    <n v="5"/>
    <n v="0"/>
    <n v="0"/>
    <n v="1"/>
    <n v="0"/>
    <n v="0"/>
    <s v="LOC IT"/>
    <x v="0"/>
    <s v="Pitch 3"/>
    <x v="0"/>
    <x v="0"/>
  </r>
  <r>
    <s v="DSKMNT"/>
    <s v="24&quot; Monitor - HDMI/DP"/>
    <s v="Peripherals"/>
    <s v=""/>
    <s v=""/>
    <x v="0"/>
    <s v="DSKMNT - 24&quot; Monitor - HDMI/DP"/>
    <n v="5"/>
    <n v="0"/>
    <n v="0"/>
    <n v="1"/>
    <n v="0"/>
    <n v="0"/>
    <s v="LOC IT"/>
    <x v="0"/>
    <s v="Pitch 4"/>
    <x v="0"/>
    <x v="0"/>
  </r>
  <r>
    <s v="DSKMNT"/>
    <s v="24&quot; Monitor - HDMI/DP"/>
    <s v="Peripherals"/>
    <s v=""/>
    <s v=""/>
    <x v="0"/>
    <s v="DSKMNT - 24&quot; Monitor - HDMI/DP"/>
    <n v="5"/>
    <n v="0"/>
    <n v="0"/>
    <n v="1"/>
    <n v="0"/>
    <n v="0"/>
    <s v="LOC IT"/>
    <x v="0"/>
    <s v="Pitch 5"/>
    <x v="0"/>
    <x v="0"/>
  </r>
  <r>
    <s v="DSKMNT"/>
    <s v="24&quot; Monitor - HDMI/DP"/>
    <s v="Peripherals"/>
    <s v=""/>
    <s v=""/>
    <x v="0"/>
    <s v="DSKMNT - 24&quot; Monitor - HDMI/DP"/>
    <n v="5"/>
    <n v="0"/>
    <n v="0"/>
    <n v="1"/>
    <n v="0"/>
    <n v="0"/>
    <s v="LOC IT"/>
    <x v="0"/>
    <s v="Pitch 7"/>
    <x v="0"/>
    <x v="0"/>
  </r>
  <r>
    <s v="DSKMNT"/>
    <s v="24&quot; Monitor - HDMI/DP"/>
    <s v="Peripherals"/>
    <s v=""/>
    <s v=""/>
    <x v="0"/>
    <s v="DSKMNT - 24&quot; Monitor - HDMI/DP"/>
    <n v="5"/>
    <n v="0"/>
    <n v="0"/>
    <n v="1"/>
    <n v="0"/>
    <n v="0"/>
    <s v="LOC IT"/>
    <x v="0"/>
    <s v="Pitch 8"/>
    <x v="0"/>
    <x v="0"/>
  </r>
  <r>
    <s v="DSKMNT"/>
    <s v="24&quot; Monitor - HDMI/DP"/>
    <s v="Peripherals"/>
    <s v=""/>
    <s v=""/>
    <x v="0"/>
    <s v="DSKMNT - 24&quot; Monitor - HDMI/DP"/>
    <n v="5"/>
    <n v="0"/>
    <n v="0"/>
    <n v="1"/>
    <n v="0"/>
    <n v="0"/>
    <s v="LOC IT"/>
    <x v="0"/>
    <s v="Pitch 9"/>
    <x v="0"/>
    <x v="0"/>
  </r>
  <r>
    <s v="IS00WF"/>
    <s v="Wireless coverage - Shared Internet Service - Wi-Fi FIFA"/>
    <s v="Network &amp; Connectivity"/>
    <s v=""/>
    <s v="General Internet Access"/>
    <x v="1"/>
    <s v="IS00WF - Wireless coverage - Shared Internet Service - Wi-Fi FIFA (General Internet Access)"/>
    <n v="1"/>
    <n v="0"/>
    <n v="0"/>
    <n v="1"/>
    <n v="0"/>
    <n v="0"/>
    <s v="LOC IT"/>
    <x v="1"/>
    <s v="Stadium Offices"/>
    <x v="0"/>
    <x v="0"/>
  </r>
  <r>
    <s v="DSKMNT"/>
    <s v="24&quot; Monitor - HDMI/DP"/>
    <s v="Peripherals"/>
    <s v=""/>
    <s v=""/>
    <x v="0"/>
    <s v="DSKMNT - 24&quot; Monitor - HDMI/DP"/>
    <n v="1"/>
    <n v="0"/>
    <n v="0"/>
    <n v="1"/>
    <n v="0"/>
    <n v="0"/>
    <s v="LOC IT"/>
    <x v="1"/>
    <s v="Stadium Offices"/>
    <x v="0"/>
    <x v="0"/>
  </r>
  <r>
    <s v="IS00WF"/>
    <s v="Wireless coverage - Shared Internet Service - Wi-Fi FIFA"/>
    <s v="Network &amp; Connectivity"/>
    <s v=""/>
    <s v="General Internet Access"/>
    <x v="1"/>
    <s v="IS00WF - Wireless coverage - Shared Internet Service - Wi-Fi FIFA (General Internet Access)"/>
    <n v="1"/>
    <n v="0"/>
    <n v="0"/>
    <n v="1"/>
    <n v="0"/>
    <n v="0"/>
    <s v="LOC IT"/>
    <x v="0"/>
    <s v="Pitch 1-9"/>
    <x v="0"/>
    <x v="0"/>
  </r>
  <r>
    <s v="MFDDNW"/>
    <s v="MFD Desktop - Colour - A4 - Network"/>
    <s v="Reprographics"/>
    <s v=""/>
    <s v="General Internet Access"/>
    <x v="2"/>
    <s v="MFDDNW - MFD Desktop - Colour - A4 - Network (General Internet Access)"/>
    <n v="1"/>
    <n v="1"/>
    <n v="0"/>
    <n v="1"/>
    <n v="1"/>
    <n v="0"/>
    <s v="LOC IT"/>
    <x v="1"/>
    <s v="Stadium Offices"/>
    <x v="0"/>
    <x v="0"/>
  </r>
  <r>
    <s v="WRDMED"/>
    <s v="Wired Port - Media Internet"/>
    <s v="Network &amp; Connectivity"/>
    <s v=""/>
    <s v="Media Internet Access Media"/>
    <x v="3"/>
    <s v="WRDMED - Wired Port - Media Internet (Media Internet Access Media)"/>
    <n v="2"/>
    <n v="3"/>
    <n v="0"/>
    <n v="3"/>
    <n v="3"/>
    <n v="0"/>
    <s v="LOC IT"/>
    <x v="1"/>
    <s v="Stadium Offices"/>
    <x v="0"/>
    <x v="0"/>
  </r>
  <r>
    <s v="WRDMED"/>
    <s v="Wired Port - Media Internet"/>
    <s v="Network &amp; Connectivity"/>
    <s v=""/>
    <s v="Media Internet Access Media"/>
    <x v="3"/>
    <s v="WRDMED - Wired Port - Media Internet (Media Internet Access Media)"/>
    <n v="5"/>
    <n v="3"/>
    <n v="0"/>
    <n v="3"/>
    <n v="3"/>
    <n v="0"/>
    <s v="LOC IT"/>
    <x v="0"/>
    <s v="Pitch 1"/>
    <x v="0"/>
    <x v="0"/>
  </r>
  <r>
    <s v="WRDMED"/>
    <s v="Wired Port - Media Internet"/>
    <s v="Network &amp; Connectivity"/>
    <s v=""/>
    <s v="Media Internet Access Media"/>
    <x v="3"/>
    <s v="WRDMED - Wired Port - Media Internet (Media Internet Access Media)"/>
    <n v="5"/>
    <n v="3"/>
    <n v="0"/>
    <n v="3"/>
    <n v="3"/>
    <n v="0"/>
    <s v="LOC IT"/>
    <x v="0"/>
    <s v="Pitch 2"/>
    <x v="0"/>
    <x v="0"/>
  </r>
  <r>
    <s v="WRDMED"/>
    <s v="Wired Port - Media Internet"/>
    <s v="Network &amp; Connectivity"/>
    <s v=""/>
    <s v="Media Internet Access Media"/>
    <x v="3"/>
    <s v="WRDMED - Wired Port - Media Internet (Media Internet Access Media)"/>
    <n v="5"/>
    <n v="3"/>
    <n v="0"/>
    <n v="3"/>
    <n v="3"/>
    <n v="0"/>
    <s v="LOC IT"/>
    <x v="0"/>
    <s v="Pitch 3"/>
    <x v="0"/>
    <x v="0"/>
  </r>
  <r>
    <s v="WRDMED"/>
    <s v="Wired Port - Media Internet"/>
    <s v="Network &amp; Connectivity"/>
    <s v=""/>
    <s v="Media Internet Access Media"/>
    <x v="3"/>
    <s v="WRDMED - Wired Port - Media Internet (Media Internet Access Media)"/>
    <n v="5"/>
    <n v="3"/>
    <n v="0"/>
    <n v="3"/>
    <n v="3"/>
    <n v="0"/>
    <s v="LOC IT"/>
    <x v="0"/>
    <s v="Pitch 4"/>
    <x v="0"/>
    <x v="0"/>
  </r>
  <r>
    <s v="WRDMED"/>
    <s v="Wired Port - Media Internet"/>
    <s v="Network &amp; Connectivity"/>
    <s v=""/>
    <s v="Media Internet Access Media"/>
    <x v="3"/>
    <s v="WRDMED - Wired Port - Media Internet (Media Internet Access Media)"/>
    <n v="5"/>
    <n v="3"/>
    <n v="0"/>
    <n v="3"/>
    <n v="3"/>
    <n v="0"/>
    <s v="LOC IT"/>
    <x v="0"/>
    <s v="Pitch 5"/>
    <x v="0"/>
    <x v="0"/>
  </r>
  <r>
    <s v="WRDMED"/>
    <s v="Wired Port - Media Internet"/>
    <s v="Network &amp; Connectivity"/>
    <s v=""/>
    <s v="Media Internet Access Media"/>
    <x v="3"/>
    <s v="WRDMED - Wired Port - Media Internet (Media Internet Access Media)"/>
    <n v="5"/>
    <n v="3"/>
    <n v="0"/>
    <n v="3"/>
    <n v="3"/>
    <n v="0"/>
    <s v="LOC IT"/>
    <x v="0"/>
    <s v="Pitch 7"/>
    <x v="0"/>
    <x v="0"/>
  </r>
  <r>
    <s v="WRDMED"/>
    <s v="Wired Port - Media Internet"/>
    <s v="Network &amp; Connectivity"/>
    <s v=""/>
    <s v="Media Internet Access Media"/>
    <x v="3"/>
    <s v="WRDMED - Wired Port - Media Internet (Media Internet Access Media)"/>
    <n v="5"/>
    <n v="3"/>
    <n v="0"/>
    <n v="3"/>
    <n v="3"/>
    <n v="0"/>
    <s v="LOC IT"/>
    <x v="0"/>
    <s v="Pitch 8"/>
    <x v="0"/>
    <x v="0"/>
  </r>
  <r>
    <s v="WRDMED"/>
    <s v="Wired Port - Media Internet"/>
    <s v="Network &amp; Connectivity"/>
    <s v=""/>
    <s v="Media Internet Access Media"/>
    <x v="3"/>
    <s v="WRDMED - Wired Port - Media Internet (Media Internet Access Media)"/>
    <n v="5"/>
    <n v="3"/>
    <n v="0"/>
    <n v="3"/>
    <n v="3"/>
    <n v="0"/>
    <s v="LOC IT"/>
    <x v="0"/>
    <s v="Pitch 9"/>
    <x v="0"/>
    <x v="0"/>
  </r>
  <r>
    <s v="WRDSTU"/>
    <s v="Wired Port - Content"/>
    <s v="Network &amp; Connectivity"/>
    <s v=""/>
    <s v="FIFA Technical Content"/>
    <x v="4"/>
    <s v="WRDSTU - Wired Port - Content (FIFA Technical Content)"/>
    <n v="0"/>
    <n v="3"/>
    <n v="0"/>
    <n v="3"/>
    <n v="3"/>
    <n v="0"/>
    <s v="LOC IT"/>
    <x v="0"/>
    <s v="Aspire Dome - level 2"/>
    <x v="1"/>
    <x v="1"/>
  </r>
  <r>
    <s v="DSKMNT"/>
    <s v="24&quot; Monitor - HDMI/DP"/>
    <s v="Peripherals"/>
    <s v=""/>
    <s v=""/>
    <x v="0"/>
    <s v="DSKMNT - 24&quot; Monitor - HDMI/DP"/>
    <n v="0"/>
    <n v="0"/>
    <n v="0"/>
    <n v="3"/>
    <n v="0"/>
    <n v="0"/>
    <s v="LOC IT"/>
    <x v="0"/>
    <s v="Aspire Dome - level 2"/>
    <x v="1"/>
    <x v="1"/>
  </r>
  <r>
    <s v="WRDSTU"/>
    <s v="Wired Port - Content"/>
    <s v="Network &amp; Connectivity"/>
    <s v=""/>
    <s v="FIFA Technical Content"/>
    <x v="4"/>
    <s v="WRDSTU - Wired Port - Content (FIFA Technical Content)"/>
    <n v="0"/>
    <n v="3"/>
    <n v="0"/>
    <n v="3"/>
    <n v="3"/>
    <n v="0"/>
    <s v="LOC IT"/>
    <x v="1"/>
    <s v="Broadcast Compound"/>
    <x v="2"/>
    <x v="1"/>
  </r>
  <r>
    <s v="DSKMNT"/>
    <s v="24&quot; Monitor - HDMI/DP"/>
    <s v="Peripherals"/>
    <s v=""/>
    <s v=""/>
    <x v="0"/>
    <s v="DSKMNT - 24&quot; Monitor - HDMI/DP"/>
    <n v="0"/>
    <n v="0"/>
    <n v="0"/>
    <n v="3"/>
    <n v="0"/>
    <n v="0"/>
    <s v="LOC IT"/>
    <x v="1"/>
    <s v="Broadcast Compound"/>
    <x v="2"/>
    <x v="1"/>
  </r>
  <r>
    <s v="IS00WF"/>
    <s v="Wireless coverage - Shared Internet Service - Wi-Fi FIFA"/>
    <s v="Network &amp; Connectivity"/>
    <s v=""/>
    <s v="General Internet Access"/>
    <x v="1"/>
    <s v="IS00WF - Wireless coverage - Shared Internet Service - Wi-Fi FIFA (General Internet Access)"/>
    <n v="1"/>
    <n v="0"/>
    <n v="0"/>
    <n v="1"/>
    <n v="0"/>
    <n v="0"/>
    <s v="LOC IT"/>
    <x v="1"/>
    <s v="Competition area"/>
    <x v="3"/>
    <x v="2"/>
  </r>
  <r>
    <s v="TVLGIP"/>
    <s v="TV - Large - IPTV"/>
    <s v="CATV"/>
    <s v=""/>
    <s v=""/>
    <x v="5"/>
    <s v="TVLGIP - TV - Large - IPTV"/>
    <n v="1"/>
    <n v="1"/>
    <n v="0"/>
    <n v="1"/>
    <n v="1"/>
    <n v="0"/>
    <s v="LOC IT"/>
    <x v="1"/>
    <s v="Competition area"/>
    <x v="3"/>
    <x v="2"/>
  </r>
  <r>
    <s v="TVSTND"/>
    <s v="TV Stand - Medium &amp; Large TVs"/>
    <s v="Peripherals"/>
    <s v=""/>
    <s v=""/>
    <x v="6"/>
    <s v="TVSTND - TV Stand - Medium &amp; Large TVs"/>
    <n v="1"/>
    <n v="0"/>
    <n v="0"/>
    <n v="1"/>
    <n v="0"/>
    <n v="0"/>
    <s v="LOC IT"/>
    <x v="1"/>
    <s v="Competition area"/>
    <x v="3"/>
    <x v="2"/>
  </r>
  <r>
    <s v="IS00WF"/>
    <s v="Wireless coverage - Shared Internet Service - Wi-Fi FIFA"/>
    <s v="Network &amp; Connectivity"/>
    <s v=""/>
    <s v="General Internet Access"/>
    <x v="1"/>
    <s v="IS00WF - Wireless coverage - Shared Internet Service - Wi-Fi FIFA (General Internet Access)"/>
    <n v="1"/>
    <n v="0"/>
    <n v="0"/>
    <n v="1"/>
    <n v="0"/>
    <n v="0"/>
    <s v="LOC IT"/>
    <x v="0"/>
    <s v="Super Club"/>
    <x v="3"/>
    <x v="2"/>
  </r>
  <r>
    <s v="TABLEN"/>
    <s v="Tablet - FIFA Professional Tablet + 4G"/>
    <s v="FIFA IT Hardware"/>
    <s v="Single"/>
    <s v=""/>
    <x v="7"/>
    <s v="TABLEN - Tablet - FIFA Professional Tablet + 4G"/>
    <n v="4"/>
    <n v="0"/>
    <n v="4"/>
    <n v="4"/>
    <n v="0"/>
    <n v="4"/>
    <s v="FIFA Event Technology"/>
    <x v="0"/>
    <s v="Super Club"/>
    <x v="3"/>
    <x v="2"/>
  </r>
  <r>
    <s v="TVLGIP"/>
    <s v="TV - Large - IPTV"/>
    <s v="CATV"/>
    <s v=""/>
    <s v=""/>
    <x v="5"/>
    <s v="TVLGIP - TV - Large - IPTV"/>
    <n v="1"/>
    <n v="1"/>
    <n v="0"/>
    <n v="1"/>
    <n v="1"/>
    <n v="0"/>
    <s v="LOC IT"/>
    <x v="0"/>
    <s v="Super Club"/>
    <x v="3"/>
    <x v="2"/>
  </r>
  <r>
    <s v="TVSTND"/>
    <s v="TV Stand - Medium &amp; Large TVs"/>
    <s v="Peripherals"/>
    <s v=""/>
    <s v=""/>
    <x v="6"/>
    <s v="TVSTND - TV Stand - Medium &amp; Large TVs"/>
    <n v="1"/>
    <n v="0"/>
    <n v="0"/>
    <n v="1"/>
    <n v="0"/>
    <n v="0"/>
    <s v="LOC IT"/>
    <x v="0"/>
    <s v="Super Club"/>
    <x v="3"/>
    <x v="2"/>
  </r>
  <r>
    <s v="IS00WF"/>
    <s v="Wireless coverage - Shared Internet Service - Wi-Fi FIFA"/>
    <s v="Network &amp; Connectivity"/>
    <s v=""/>
    <s v="General Internet Access"/>
    <x v="1"/>
    <s v="IS00WF - Wireless coverage - Shared Internet Service - Wi-Fi FIFA (General Internet Access)"/>
    <n v="1"/>
    <n v="0"/>
    <n v="0"/>
    <n v="1"/>
    <n v="0"/>
    <n v="0"/>
    <s v="LOC IT"/>
    <x v="0"/>
    <s v="Broadcast Compound 1"/>
    <x v="4"/>
    <x v="3"/>
  </r>
  <r>
    <s v="MFDDNW"/>
    <s v="MFD Desktop - Colour - A4 - Network"/>
    <s v="Reprographics"/>
    <s v=""/>
    <s v="General Internet Access"/>
    <x v="2"/>
    <s v="MFDDNW - MFD Desktop - Colour - A4 - Network (General Internet Access)"/>
    <n v="1"/>
    <n v="1"/>
    <n v="0"/>
    <n v="1"/>
    <n v="1"/>
    <n v="0"/>
    <s v="LOC IT"/>
    <x v="0"/>
    <s v="Broadcast Compound 1"/>
    <x v="4"/>
    <x v="3"/>
  </r>
  <r>
    <s v="WRDGEN"/>
    <s v="Wired Port - General Internet "/>
    <s v="Network &amp; Connectivity"/>
    <s v=""/>
    <s v="General Internet Access"/>
    <x v="8"/>
    <s v="WRDGEN - Wired Port - General Internet  (General Internet Access)"/>
    <n v="6"/>
    <n v="1"/>
    <n v="0"/>
    <n v="1"/>
    <n v="1"/>
    <n v="0"/>
    <s v="LOC IT"/>
    <x v="0"/>
    <s v="Broadcast Compound 1"/>
    <x v="4"/>
    <x v="3"/>
  </r>
  <r>
    <s v="WRDSTU"/>
    <s v="Wired Port - Content"/>
    <s v="Network &amp; Connectivity"/>
    <s v=""/>
    <s v="FIFA Technical Content"/>
    <x v="4"/>
    <s v="WRDSTU - Wired Port - Content (FIFA Technical Content)"/>
    <n v="1"/>
    <n v="1"/>
    <n v="0"/>
    <n v="1"/>
    <n v="1"/>
    <n v="0"/>
    <s v="LOC IT"/>
    <x v="0"/>
    <s v="Broadcast Compound 1"/>
    <x v="4"/>
    <x v="3"/>
  </r>
  <r>
    <s v="IS00WF"/>
    <s v="Wireless coverage - Shared Internet Service - Wi-Fi FIFA"/>
    <s v="Network &amp; Connectivity"/>
    <s v=""/>
    <s v="General Internet Access"/>
    <x v="1"/>
    <s v="IS00WF - Wireless coverage - Shared Internet Service - Wi-Fi FIFA (General Internet Access)"/>
    <n v="1"/>
    <n v="0"/>
    <n v="0"/>
    <n v="1"/>
    <n v="0"/>
    <n v="0"/>
    <s v="LOC IT"/>
    <x v="0"/>
    <s v="Broadcast Compound 2"/>
    <x v="5"/>
    <x v="3"/>
  </r>
  <r>
    <s v="MFDDNW"/>
    <s v="MFD Desktop - Colour - A4 - Network"/>
    <s v="Reprographics"/>
    <s v=""/>
    <s v="General Internet Access"/>
    <x v="2"/>
    <s v="MFDDNW - MFD Desktop - Colour - A4 - Network (General Internet Access)"/>
    <n v="1"/>
    <n v="1"/>
    <n v="0"/>
    <n v="1"/>
    <n v="1"/>
    <n v="0"/>
    <s v="LOC IT"/>
    <x v="0"/>
    <s v="Broadcast Compound 2"/>
    <x v="5"/>
    <x v="3"/>
  </r>
  <r>
    <s v="WRDGEN"/>
    <s v="Wired Port - General Internet "/>
    <s v="Network &amp; Connectivity"/>
    <s v=""/>
    <s v="General Internet Access"/>
    <x v="8"/>
    <s v="WRDGEN - Wired Port - General Internet  (General Internet Access)"/>
    <n v="6"/>
    <n v="1"/>
    <n v="0"/>
    <n v="1"/>
    <n v="1"/>
    <n v="0"/>
    <s v="LOC IT"/>
    <x v="0"/>
    <s v="Broadcast Compound 2"/>
    <x v="5"/>
    <x v="3"/>
  </r>
  <r>
    <s v="WRDSTU"/>
    <s v="Wired Port - Content"/>
    <s v="Network &amp; Connectivity"/>
    <s v=""/>
    <s v="FIFA Technical Content"/>
    <x v="4"/>
    <s v="WRDSTU - Wired Port - Content (FIFA Technical Content)"/>
    <n v="1"/>
    <n v="1"/>
    <n v="0"/>
    <n v="1"/>
    <n v="1"/>
    <n v="0"/>
    <s v="LOC IT"/>
    <x v="0"/>
    <s v="Broadcast Compound 2"/>
    <x v="5"/>
    <x v="3"/>
  </r>
  <r>
    <s v="WRDSTR"/>
    <s v="Wired Port - Stream &amp; World feed"/>
    <s v="Network &amp; Connectivity"/>
    <s v=""/>
    <s v="Stream Fabs &amp; W Feed"/>
    <x v="9"/>
    <s v="WRDSTR - Wired Port - Stream &amp; World feed (Stream Fabs &amp; W Feed)"/>
    <n v="1"/>
    <n v="1"/>
    <n v="0"/>
    <n v="1"/>
    <n v="1"/>
    <n v="0"/>
    <s v="LOC IT"/>
    <x v="0"/>
    <s v="Pitch 7"/>
    <x v="6"/>
    <x v="3"/>
  </r>
  <r>
    <s v="WRDSTR"/>
    <s v="Wired Port - Stream &amp; World feed"/>
    <s v="Network &amp; Connectivity"/>
    <s v=""/>
    <s v="Stream Fabs &amp; W Feed"/>
    <x v="9"/>
    <s v="WRDSTR - Wired Port - Stream &amp; World feed (Stream Fabs &amp; W Feed)"/>
    <n v="1"/>
    <n v="1"/>
    <n v="0"/>
    <n v="1"/>
    <n v="1"/>
    <n v="0"/>
    <s v="LOC IT"/>
    <x v="0"/>
    <s v="Pitch 7"/>
    <x v="7"/>
    <x v="3"/>
  </r>
  <r>
    <s v="WRDSTR"/>
    <s v="Wired Port - Stream &amp; World feed"/>
    <s v="Network &amp; Connectivity"/>
    <s v=""/>
    <s v="Stream Fabs &amp; W Feed"/>
    <x v="9"/>
    <s v="WRDSTR - Wired Port - Stream &amp; World feed (Stream Fabs &amp; W Feed)"/>
    <n v="1"/>
    <n v="1"/>
    <n v="0"/>
    <n v="1"/>
    <n v="1"/>
    <n v="0"/>
    <s v="LOC IT"/>
    <x v="0"/>
    <s v="Pitch 7"/>
    <x v="8"/>
    <x v="3"/>
  </r>
  <r>
    <s v="WRDSTR"/>
    <s v="Wired Port - Stream &amp; World feed"/>
    <s v="Network &amp; Connectivity"/>
    <s v=""/>
    <s v="Stream Fabs &amp; W Feed"/>
    <x v="9"/>
    <s v="WRDSTR - Wired Port - Stream &amp; World feed (Stream Fabs &amp; W Feed)"/>
    <n v="1"/>
    <n v="1"/>
    <n v="0"/>
    <n v="1"/>
    <n v="1"/>
    <n v="0"/>
    <s v="LOC IT"/>
    <x v="0"/>
    <s v="Pitch 7"/>
    <x v="9"/>
    <x v="3"/>
  </r>
  <r>
    <s v="WRDSTR"/>
    <s v="Wired Port - Stream &amp; World feed"/>
    <s v="Network &amp; Connectivity"/>
    <s v=""/>
    <s v="Stream Fabs &amp; W Feed"/>
    <x v="9"/>
    <s v="WRDSTR - Wired Port - Stream &amp; World feed (Stream Fabs &amp; W Feed)"/>
    <n v="1"/>
    <n v="1"/>
    <n v="0"/>
    <n v="1"/>
    <n v="1"/>
    <n v="0"/>
    <s v="LOC IT"/>
    <x v="0"/>
    <s v="Pitch 5"/>
    <x v="6"/>
    <x v="3"/>
  </r>
  <r>
    <s v="WRDSTR"/>
    <s v="Wired Port - Stream &amp; World feed"/>
    <s v="Network &amp; Connectivity"/>
    <s v=""/>
    <s v="Stream Fabs &amp; W Feed"/>
    <x v="9"/>
    <s v="WRDSTR - Wired Port - Stream &amp; World feed (Stream Fabs &amp; W Feed)"/>
    <n v="1"/>
    <n v="1"/>
    <n v="0"/>
    <n v="1"/>
    <n v="1"/>
    <n v="0"/>
    <s v="LOC IT"/>
    <x v="0"/>
    <s v="Pitch 5"/>
    <x v="7"/>
    <x v="3"/>
  </r>
  <r>
    <s v="WRDSTR"/>
    <s v="Wired Port - Stream &amp; World feed"/>
    <s v="Network &amp; Connectivity"/>
    <s v=""/>
    <s v="Stream Fabs &amp; W Feed"/>
    <x v="9"/>
    <s v="WRDSTR - Wired Port - Stream &amp; World feed (Stream Fabs &amp; W Feed)"/>
    <n v="1"/>
    <n v="1"/>
    <n v="0"/>
    <n v="1"/>
    <n v="1"/>
    <n v="0"/>
    <s v="LOC IT"/>
    <x v="0"/>
    <s v="Pitch 5"/>
    <x v="8"/>
    <x v="3"/>
  </r>
  <r>
    <s v="WRDSTR"/>
    <s v="Wired Port - Stream &amp; World feed"/>
    <s v="Network &amp; Connectivity"/>
    <s v=""/>
    <s v="Stream Fabs &amp; W Feed"/>
    <x v="9"/>
    <s v="WRDSTR - Wired Port - Stream &amp; World feed (Stream Fabs &amp; W Feed)"/>
    <n v="1"/>
    <n v="1"/>
    <n v="0"/>
    <n v="1"/>
    <n v="1"/>
    <n v="0"/>
    <s v="LOC IT"/>
    <x v="0"/>
    <s v="Pitch 5"/>
    <x v="9"/>
    <x v="3"/>
  </r>
  <r>
    <s v="WRDGEN"/>
    <s v="Wired Port - General Internet "/>
    <s v="Network &amp; Connectivity"/>
    <s v=""/>
    <s v="General Internet Access"/>
    <x v="8"/>
    <s v="WRDGEN - Wired Port - General Internet  (General Internet Access)"/>
    <n v="2"/>
    <n v="2"/>
    <n v="0"/>
    <n v="2"/>
    <n v="2"/>
    <n v="0"/>
    <s v="LOC IT"/>
    <x v="0"/>
    <s v="Broadcast Compound 1"/>
    <x v="10"/>
    <x v="3"/>
  </r>
  <r>
    <s v="WRDGEN"/>
    <s v="Wired Port - General Internet "/>
    <s v="Network &amp; Connectivity"/>
    <s v=""/>
    <s v="General Internet Access"/>
    <x v="8"/>
    <s v="WRDGEN - Wired Port - General Internet  (General Internet Access)"/>
    <n v="2"/>
    <n v="2"/>
    <n v="0"/>
    <n v="2"/>
    <n v="2"/>
    <n v="0"/>
    <s v="LOC IT"/>
    <x v="0"/>
    <s v="Broadcast Compound 2"/>
    <x v="11"/>
    <x v="3"/>
  </r>
  <r>
    <s v="WRDGEN"/>
    <s v="Wired Port - General Internet "/>
    <s v="Network &amp; Connectivity"/>
    <s v=""/>
    <s v="General Internet Access"/>
    <x v="8"/>
    <s v="WRDGEN - Wired Port - General Internet  (General Internet Access)"/>
    <n v="1"/>
    <n v="1"/>
    <n v="0"/>
    <n v="1"/>
    <n v="1"/>
    <n v="0"/>
    <s v="LOC IT"/>
    <x v="0"/>
    <s v="Broadcast Compound 1"/>
    <x v="12"/>
    <x v="3"/>
  </r>
  <r>
    <s v="WRDSTR"/>
    <s v="Wired Port - Stream &amp; World feed"/>
    <s v="Network &amp; Connectivity"/>
    <s v=""/>
    <s v="Stream Fabs &amp; W Feed"/>
    <x v="9"/>
    <s v="WRDSTR - Wired Port - Stream &amp; World feed (Stream Fabs &amp; W Feed)"/>
    <n v="3"/>
    <n v="12"/>
    <n v="0"/>
    <n v="12"/>
    <n v="12"/>
    <n v="0"/>
    <s v="LOC IT"/>
    <x v="0"/>
    <s v="Broadcast Compound 1"/>
    <x v="12"/>
    <x v="3"/>
  </r>
  <r>
    <s v="WRDGEN"/>
    <s v="Wired Port - General Internet "/>
    <s v="Network &amp; Connectivity"/>
    <s v=""/>
    <s v="General Internet Access"/>
    <x v="8"/>
    <s v="WRDGEN - Wired Port - General Internet  (General Internet Access)"/>
    <n v="1"/>
    <n v="1"/>
    <n v="0"/>
    <n v="1"/>
    <n v="1"/>
    <n v="0"/>
    <s v="LOC IT"/>
    <x v="0"/>
    <s v="Broadcast Compound 2"/>
    <x v="13"/>
    <x v="3"/>
  </r>
  <r>
    <s v="WRDSTR"/>
    <s v="Wired Port - Stream &amp; World feed"/>
    <s v="Network &amp; Connectivity"/>
    <s v=""/>
    <s v="Stream Fabs &amp; W Feed"/>
    <x v="9"/>
    <s v="WRDSTR - Wired Port - Stream &amp; World feed (Stream Fabs &amp; W Feed)"/>
    <n v="3"/>
    <n v="4"/>
    <n v="0"/>
    <n v="4"/>
    <n v="4"/>
    <n v="0"/>
    <s v="LOC IT"/>
    <x v="0"/>
    <s v="Broadcast Compound 2"/>
    <x v="13"/>
    <x v="3"/>
  </r>
  <r>
    <s v="WRDMED"/>
    <s v="Wired Port - Media Internet"/>
    <s v="Network &amp; Connectivity"/>
    <s v=""/>
    <s v="Media Internet Access Media"/>
    <x v="3"/>
    <s v="WRDMED - Wired Port - Media Internet (Media Internet Access Media)"/>
    <n v="2"/>
    <n v="2"/>
    <n v="0"/>
    <n v="2"/>
    <n v="2"/>
    <n v="0"/>
    <s v="LOC IT"/>
    <x v="0"/>
    <s v="Flash Interview"/>
    <x v="14"/>
    <x v="3"/>
  </r>
  <r>
    <s v="IS00WF"/>
    <s v="Wireless coverage - Shared Internet Service - Wi-Fi FIFA"/>
    <s v="Network &amp; Connectivity"/>
    <s v=""/>
    <s v="General Internet Access"/>
    <x v="1"/>
    <s v="IS00WF - Wireless coverage - Shared Internet Service - Wi-Fi FIFA (General Internet Access)"/>
    <n v="1"/>
    <n v="0"/>
    <n v="0"/>
    <n v="1"/>
    <n v="0"/>
    <n v="0"/>
    <s v="LOC IT"/>
    <x v="1"/>
    <s v="Broadcast Compound"/>
    <x v="2"/>
    <x v="3"/>
  </r>
  <r>
    <s v="MFDDNW"/>
    <s v="MFD Desktop - Colour - A4 - Network"/>
    <s v="Reprographics"/>
    <s v=""/>
    <s v="General Internet Access"/>
    <x v="2"/>
    <s v="MFDDNW - MFD Desktop - Colour - A4 - Network (General Internet Access)"/>
    <n v="1"/>
    <n v="1"/>
    <n v="0"/>
    <n v="1"/>
    <n v="1"/>
    <n v="0"/>
    <s v="LOC IT"/>
    <x v="1"/>
    <s v="Broadcast Compound"/>
    <x v="2"/>
    <x v="3"/>
  </r>
  <r>
    <s v="WRDGEN"/>
    <s v="Wired Port - General Internet "/>
    <s v="Network &amp; Connectivity"/>
    <s v=""/>
    <s v="General Internet Access"/>
    <x v="8"/>
    <s v="WRDGEN - Wired Port - General Internet  (General Internet Access)"/>
    <n v="6"/>
    <n v="1"/>
    <n v="0"/>
    <n v="1"/>
    <n v="1"/>
    <n v="0"/>
    <s v="LOC IT"/>
    <x v="1"/>
    <s v="Broadcast Compound"/>
    <x v="2"/>
    <x v="3"/>
  </r>
  <r>
    <s v="WRDSTU"/>
    <s v="Wired Port - Content"/>
    <s v="Network &amp; Connectivity"/>
    <s v=""/>
    <s v="FIFA Technical Content"/>
    <x v="4"/>
    <s v="WRDSTU - Wired Port - Content (FIFA Technical Content)"/>
    <n v="1"/>
    <n v="1"/>
    <n v="0"/>
    <n v="1"/>
    <n v="1"/>
    <n v="0"/>
    <s v="LOC IT"/>
    <x v="1"/>
    <s v="Broadcast Compound"/>
    <x v="2"/>
    <x v="3"/>
  </r>
  <r>
    <s v="CABLOK"/>
    <s v="Laptop Cable Lock"/>
    <s v="Peripherals"/>
    <s v="Multi"/>
    <s v=""/>
    <x v="10"/>
    <s v="CABLOK - Laptop Cable Lock"/>
    <n v="2"/>
    <n v="0"/>
    <n v="0"/>
    <n v="2"/>
    <n v="0"/>
    <n v="0"/>
    <s v="FIFA Event Technology"/>
    <x v="1"/>
    <s v="Media Tribunes"/>
    <x v="15"/>
    <x v="3"/>
  </r>
  <r>
    <s v="LAPPRE"/>
    <s v="Laptop - Presentation Build"/>
    <s v="FIFA IT Hardware"/>
    <s v="Single"/>
    <s v=""/>
    <x v="11"/>
    <s v="LAPPRE - Laptop - Presentation Build"/>
    <n v="2"/>
    <n v="0"/>
    <n v="0"/>
    <n v="2"/>
    <n v="0"/>
    <n v="0"/>
    <s v="FIFA Event Technology"/>
    <x v="1"/>
    <s v="Media Tribunes"/>
    <x v="15"/>
    <x v="3"/>
  </r>
  <r>
    <s v="WRDMED"/>
    <s v="Wired Port - Media Internet"/>
    <s v="Network &amp; Connectivity"/>
    <s v=""/>
    <s v="Media Internet Access Media"/>
    <x v="3"/>
    <s v="WRDMED - Wired Port - Media Internet (Media Internet Access Media)"/>
    <n v="4"/>
    <n v="4"/>
    <n v="0"/>
    <n v="4"/>
    <n v="4"/>
    <n v="0"/>
    <s v="LOC IT"/>
    <x v="1"/>
    <s v="Media Tribunes"/>
    <x v="15"/>
    <x v="3"/>
  </r>
  <r>
    <s v="WRDSTA"/>
    <s v="Wired Port - ACR-TKT-Ipcodec"/>
    <s v="Network &amp; Connectivity"/>
    <s v=""/>
    <s v="FIFA Standard Internet Access"/>
    <x v="12"/>
    <s v="WRDSTA - Wired Port - ACR-TKT-Ipcodec (FIFA Standard Internet Access)"/>
    <n v="2"/>
    <n v="2"/>
    <n v="0"/>
    <n v="2"/>
    <n v="2"/>
    <n v="0"/>
    <s v="LOC IT"/>
    <x v="1"/>
    <s v="Media Tribunes"/>
    <x v="15"/>
    <x v="3"/>
  </r>
  <r>
    <s v="IS00WF"/>
    <s v="Wireless coverage - Shared Internet Service - Wi-Fi FIFA"/>
    <s v="Network &amp; Connectivity"/>
    <s v=""/>
    <s v="General Internet Access"/>
    <x v="1"/>
    <s v="IS00WF - Wireless coverage - Shared Internet Service - Wi-Fi FIFA (General Internet Access)"/>
    <n v="1"/>
    <n v="0"/>
    <n v="0"/>
    <n v="1"/>
    <n v="0"/>
    <n v="0"/>
    <s v="LOC IT"/>
    <x v="1"/>
    <s v="Stadium Offices"/>
    <x v="0"/>
    <x v="3"/>
  </r>
  <r>
    <s v="WRDFTI"/>
    <s v="Wired Port - FTI"/>
    <s v="Network &amp; Connectivity"/>
    <s v=""/>
    <s v="FIFA Technical FTI"/>
    <x v="13"/>
    <s v="WRDFTI - Wired Port - FTI (FIFA Technical FTI)"/>
    <n v="1"/>
    <n v="1"/>
    <n v="0"/>
    <n v="1"/>
    <n v="1"/>
    <n v="0"/>
    <s v="LOC IT"/>
    <x v="1"/>
    <s v="Stadium Offices"/>
    <x v="0"/>
    <x v="3"/>
  </r>
  <r>
    <s v="WRDGEN"/>
    <s v="Wired Port - General Internet "/>
    <s v="Network &amp; Connectivity"/>
    <s v=""/>
    <s v="General Internet Access"/>
    <x v="8"/>
    <s v="WRDGEN - Wired Port - General Internet  (General Internet Access)"/>
    <n v="1"/>
    <n v="1"/>
    <n v="0"/>
    <n v="1"/>
    <n v="1"/>
    <n v="0"/>
    <s v="LOC IT"/>
    <x v="1"/>
    <s v="Stadium Offices"/>
    <x v="0"/>
    <x v="3"/>
  </r>
  <r>
    <s v="WRDMED"/>
    <s v="Wired Port - Media Internet"/>
    <s v="Network &amp; Connectivity"/>
    <s v=""/>
    <s v="Media Internet Access Media"/>
    <x v="3"/>
    <s v="WRDMED - Wired Port - Media Internet (Media Internet Access Media)"/>
    <n v="1"/>
    <n v="1"/>
    <n v="0"/>
    <n v="1"/>
    <n v="1"/>
    <n v="0"/>
    <s v="LOC IT"/>
    <x v="1"/>
    <s v="Field of Play"/>
    <x v="6"/>
    <x v="3"/>
  </r>
  <r>
    <s v="WRDMED"/>
    <s v="Wired Port - Media Internet"/>
    <s v="Network &amp; Connectivity"/>
    <s v=""/>
    <s v="Media Internet Access Media"/>
    <x v="3"/>
    <s v="WRDMED - Wired Port - Media Internet (Media Internet Access Media)"/>
    <n v="1"/>
    <n v="1"/>
    <n v="0"/>
    <n v="1"/>
    <n v="1"/>
    <n v="0"/>
    <s v="LOC IT"/>
    <x v="1"/>
    <s v="Field of Play"/>
    <x v="7"/>
    <x v="3"/>
  </r>
  <r>
    <s v="WRDMED"/>
    <s v="Wired Port - Media Internet"/>
    <s v="Network &amp; Connectivity"/>
    <s v=""/>
    <s v="Media Internet Access Media"/>
    <x v="3"/>
    <s v="WRDMED - Wired Port - Media Internet (Media Internet Access Media)"/>
    <n v="1"/>
    <n v="1"/>
    <n v="0"/>
    <n v="1"/>
    <n v="1"/>
    <n v="0"/>
    <s v="LOC IT"/>
    <x v="1"/>
    <s v="Field of Play"/>
    <x v="8"/>
    <x v="3"/>
  </r>
  <r>
    <s v="WRDMED"/>
    <s v="Wired Port - Media Internet"/>
    <s v="Network &amp; Connectivity"/>
    <s v=""/>
    <s v="Media Internet Access Media"/>
    <x v="3"/>
    <s v="WRDMED - Wired Port - Media Internet (Media Internet Access Media)"/>
    <n v="1"/>
    <n v="1"/>
    <n v="0"/>
    <n v="1"/>
    <n v="1"/>
    <n v="0"/>
    <s v="LOC IT"/>
    <x v="1"/>
    <s v="Field of Play"/>
    <x v="9"/>
    <x v="3"/>
  </r>
  <r>
    <s v="WRDGEN"/>
    <s v="Wired Port - General Internet "/>
    <s v="Network &amp; Connectivity"/>
    <s v=""/>
    <s v="General Internet Access"/>
    <x v="8"/>
    <s v="WRDGEN - Wired Port - General Internet  (General Internet Access)"/>
    <n v="2"/>
    <n v="2"/>
    <n v="0"/>
    <n v="2"/>
    <n v="2"/>
    <n v="0"/>
    <s v="LOC IT"/>
    <x v="1"/>
    <s v="Broadcast Compound"/>
    <x v="16"/>
    <x v="3"/>
  </r>
  <r>
    <s v="WRDGEN"/>
    <s v="Wired Port - General Internet "/>
    <s v="Network &amp; Connectivity"/>
    <s v=""/>
    <s v="General Internet Access"/>
    <x v="8"/>
    <s v="WRDGEN - Wired Port - General Internet  (General Internet Access)"/>
    <n v="1"/>
    <n v="1"/>
    <n v="0"/>
    <n v="1"/>
    <n v="1"/>
    <n v="0"/>
    <s v="LOC IT"/>
    <x v="1"/>
    <s v="Broadcast Compound"/>
    <x v="17"/>
    <x v="3"/>
  </r>
  <r>
    <s v="WRDSTR"/>
    <s v="Wired Port - Stream &amp; World feed"/>
    <s v="Network &amp; Connectivity"/>
    <s v=""/>
    <s v="Stream Fabs &amp; W Feed"/>
    <x v="9"/>
    <s v="WRDSTR - Wired Port - Stream &amp; World feed (Stream Fabs &amp; W Feed)"/>
    <n v="3"/>
    <n v="2"/>
    <n v="0"/>
    <n v="2"/>
    <n v="2"/>
    <n v="0"/>
    <s v="LOC IT"/>
    <x v="1"/>
    <s v="Broadcast Compound"/>
    <x v="17"/>
    <x v="3"/>
  </r>
  <r>
    <s v="WRDMED"/>
    <s v="Wired Port - Media Internet"/>
    <s v="Network &amp; Connectivity"/>
    <s v=""/>
    <s v="Media Internet Access Media"/>
    <x v="3"/>
    <s v="WRDMED - Wired Port - Media Internet (Media Internet Access Media)"/>
    <n v="2"/>
    <n v="2"/>
    <n v="0"/>
    <n v="2"/>
    <n v="2"/>
    <n v="0"/>
    <s v="LOC IT"/>
    <x v="1"/>
    <s v="Flash Interview"/>
    <x v="18"/>
    <x v="3"/>
  </r>
  <r>
    <s v="DSKMNT"/>
    <s v="24&quot; Monitor - HDMI/DP"/>
    <s v="Peripherals"/>
    <s v=""/>
    <s v=""/>
    <x v="0"/>
    <s v="DSKMNT - 24&quot; Monitor - HDMI/DP"/>
    <n v="2"/>
    <n v="0"/>
    <n v="0"/>
    <n v="2"/>
    <n v="0"/>
    <n v="0"/>
    <s v="LOC IT"/>
    <x v="0"/>
    <s v="Super Club"/>
    <x v="19"/>
    <x v="4"/>
  </r>
  <r>
    <s v="IS00WF"/>
    <s v="Wireless coverage - Shared Internet Service - Wi-Fi FIFA"/>
    <s v="Network &amp; Connectivity"/>
    <s v=""/>
    <s v="General Internet Access"/>
    <x v="1"/>
    <s v="IS00WF - Wireless coverage - Shared Internet Service - Wi-Fi FIFA (General Internet Access)"/>
    <n v="1"/>
    <n v="0"/>
    <n v="0"/>
    <n v="1"/>
    <n v="0"/>
    <n v="0"/>
    <s v="LOC IT"/>
    <x v="0"/>
    <s v="Super Club"/>
    <x v="19"/>
    <x v="4"/>
  </r>
  <r>
    <s v="MFDDNW"/>
    <s v="MFD Desktop - Colour - A4 - Network"/>
    <s v="Reprographics"/>
    <s v=""/>
    <s v="General Internet Access"/>
    <x v="2"/>
    <s v="MFDDNW - MFD Desktop - Colour - A4 - Network (General Internet Access)"/>
    <n v="1"/>
    <n v="1"/>
    <n v="0"/>
    <n v="1"/>
    <n v="1"/>
    <n v="0"/>
    <s v="LOC IT"/>
    <x v="0"/>
    <s v="Super Club"/>
    <x v="19"/>
    <x v="4"/>
  </r>
  <r>
    <s v="MFDDNW"/>
    <s v="MFD Desktop - Colour - A4 - Network"/>
    <s v="Reprographics"/>
    <s v=""/>
    <s v="General Internet Access"/>
    <x v="2"/>
    <s v="MFDDNW - MFD Desktop - Colour - A4 - Network (General Internet Access)"/>
    <n v="1"/>
    <n v="1"/>
    <n v="0"/>
    <n v="1"/>
    <n v="1"/>
    <n v="0"/>
    <s v="LOC IT"/>
    <x v="0"/>
    <s v="Pitch 8"/>
    <x v="20"/>
    <x v="4"/>
  </r>
  <r>
    <s v="MFDDNW"/>
    <s v="MFD Desktop - Colour - A4 - Network"/>
    <s v="Reprographics"/>
    <s v=""/>
    <s v="General Internet Access"/>
    <x v="2"/>
    <s v="MFDDNW - MFD Desktop - Colour - A4 - Network (General Internet Access)"/>
    <n v="1"/>
    <n v="1"/>
    <n v="0"/>
    <n v="1"/>
    <n v="1"/>
    <n v="0"/>
    <s v="LOC IT"/>
    <x v="0"/>
    <s v="Pitch 9"/>
    <x v="20"/>
    <x v="4"/>
  </r>
  <r>
    <s v="MFDDNW"/>
    <s v="MFD Desktop - Colour - A4 - Network"/>
    <s v="Reprographics"/>
    <s v=""/>
    <s v="General Internet Access"/>
    <x v="2"/>
    <s v="MFDDNW - MFD Desktop - Colour - A4 - Network (General Internet Access)"/>
    <n v="1"/>
    <n v="1"/>
    <n v="0"/>
    <n v="1"/>
    <n v="1"/>
    <n v="0"/>
    <s v="LOC IT"/>
    <x v="0"/>
    <s v="Pitch 5"/>
    <x v="20"/>
    <x v="4"/>
  </r>
  <r>
    <s v="MFDDNW"/>
    <s v="MFD Desktop - Colour - A4 - Network"/>
    <s v="Reprographics"/>
    <s v=""/>
    <s v="General Internet Access"/>
    <x v="2"/>
    <s v="MFDDNW - MFD Desktop - Colour - A4 - Network (General Internet Access)"/>
    <n v="1"/>
    <n v="1"/>
    <n v="0"/>
    <n v="1"/>
    <n v="1"/>
    <n v="0"/>
    <s v="LOC IT"/>
    <x v="0"/>
    <s v="Pitch 3"/>
    <x v="20"/>
    <x v="4"/>
  </r>
  <r>
    <s v="PORSPE"/>
    <s v="Portable Speaker"/>
    <s v="Peripherals"/>
    <s v="Single"/>
    <s v=""/>
    <x v="14"/>
    <s v="PORSPE - Portable Speaker"/>
    <n v="1"/>
    <n v="0"/>
    <n v="0"/>
    <n v="1"/>
    <n v="0"/>
    <n v="0"/>
    <s v="FIFA Event Technology"/>
    <x v="0"/>
    <s v="Super Club"/>
    <x v="19"/>
    <x v="4"/>
  </r>
  <r>
    <s v="TABLEN"/>
    <s v="Tablet - FIFA Professional Tablet + 4G"/>
    <s v="FIFA IT Hardware"/>
    <s v="Single"/>
    <s v=""/>
    <x v="7"/>
    <s v="TABLEN - Tablet - FIFA Professional Tablet + 4G"/>
    <n v="2"/>
    <n v="0"/>
    <n v="8"/>
    <n v="8"/>
    <n v="0"/>
    <n v="0"/>
    <s v="FIFA Event Technology"/>
    <x v="0"/>
    <s v="Super Club"/>
    <x v="19"/>
    <x v="4"/>
  </r>
  <r>
    <s v="TVLGIP"/>
    <s v="TV - Large - IPTV"/>
    <s v="CATV"/>
    <s v=""/>
    <s v=""/>
    <x v="5"/>
    <s v="TVLGIP - TV - Large - IPTV"/>
    <n v="1"/>
    <n v="1"/>
    <n v="0"/>
    <n v="1"/>
    <n v="1"/>
    <n v="0"/>
    <s v="LOC IT"/>
    <x v="0"/>
    <s v="Super Club"/>
    <x v="19"/>
    <x v="4"/>
  </r>
  <r>
    <s v="TVSTND"/>
    <s v="TV Stand - Medium &amp; Large TVs"/>
    <s v="Peripherals"/>
    <s v=""/>
    <s v=""/>
    <x v="6"/>
    <s v="TVSTND - TV Stand - Medium &amp; Large TVs"/>
    <n v="1"/>
    <n v="0"/>
    <n v="0"/>
    <n v="1"/>
    <n v="0"/>
    <n v="0"/>
    <s v="LOC IT"/>
    <x v="0"/>
    <s v="Super Club"/>
    <x v="19"/>
    <x v="4"/>
  </r>
  <r>
    <s v="IS00WF"/>
    <s v="Wireless coverage - Shared Internet Service - Wi-Fi FIFA"/>
    <s v="Network &amp; Connectivity"/>
    <s v=""/>
    <s v="General Internet Access"/>
    <x v="1"/>
    <s v="IS00WF - Wireless coverage - Shared Internet Service - Wi-Fi FIFA (General Internet Access)"/>
    <n v="1"/>
    <n v="0"/>
    <n v="0"/>
    <n v="1"/>
    <n v="0"/>
    <n v="0"/>
    <s v="LOC IT"/>
    <x v="1"/>
    <s v="Competition area"/>
    <x v="19"/>
    <x v="4"/>
  </r>
  <r>
    <s v="IS00WF"/>
    <s v="Wireless coverage - Shared Internet Service - Wi-Fi FIFA"/>
    <s v="Network &amp; Connectivity"/>
    <s v=""/>
    <s v="General Internet Access"/>
    <x v="1"/>
    <s v="IS00WF - Wireless coverage - Shared Internet Service - Wi-Fi FIFA (General Internet Access)"/>
    <n v="1"/>
    <n v="0"/>
    <n v="0"/>
    <n v="1"/>
    <n v="0"/>
    <n v="0"/>
    <s v="LOC IT"/>
    <x v="1"/>
    <s v="Competition area"/>
    <x v="21"/>
    <x v="4"/>
  </r>
  <r>
    <s v="IS00WF"/>
    <s v="Wireless coverage - Shared Internet Service - Wi-Fi FIFA"/>
    <s v="Network &amp; Connectivity"/>
    <s v=""/>
    <s v="General Internet Access"/>
    <x v="1"/>
    <s v="IS00WF - Wireless coverage - Shared Internet Service - Wi-Fi FIFA (General Internet Access)"/>
    <n v="1"/>
    <n v="0"/>
    <n v="0"/>
    <n v="1"/>
    <n v="0"/>
    <n v="0"/>
    <s v="LOC IT"/>
    <x v="1"/>
    <s v="Press Conference Room"/>
    <x v="22"/>
    <x v="4"/>
  </r>
  <r>
    <s v="MFDDNW"/>
    <s v="MFD Desktop - Colour - A4 - Network"/>
    <s v="Reprographics"/>
    <s v=""/>
    <s v="General Internet Access"/>
    <x v="2"/>
    <s v="MFDDNW - MFD Desktop - Colour - A4 - Network (General Internet Access)"/>
    <n v="1"/>
    <n v="1"/>
    <n v="0"/>
    <n v="1"/>
    <n v="1"/>
    <n v="0"/>
    <s v="LOC IT"/>
    <x v="1"/>
    <s v="Competition area"/>
    <x v="19"/>
    <x v="4"/>
  </r>
  <r>
    <s v="TVLGIP"/>
    <s v="TV - Large - IPTV"/>
    <s v="CATV"/>
    <s v=""/>
    <s v=""/>
    <x v="5"/>
    <s v="TVLGIP - TV - Large - IPTV"/>
    <n v="1"/>
    <n v="1"/>
    <n v="0"/>
    <n v="1"/>
    <n v="1"/>
    <n v="0"/>
    <s v="LOC IT"/>
    <x v="1"/>
    <s v="Competition area"/>
    <x v="19"/>
    <x v="4"/>
  </r>
  <r>
    <s v="TVLGSA"/>
    <s v="TV - Large - Standalone"/>
    <s v="Display Devices"/>
    <s v=""/>
    <s v=""/>
    <x v="15"/>
    <s v="TVLGSA - TV - Large - Standalone"/>
    <n v="1"/>
    <n v="0"/>
    <n v="0"/>
    <n v="1"/>
    <n v="0"/>
    <n v="0"/>
    <s v="LOC IT"/>
    <x v="1"/>
    <s v="Competition area"/>
    <x v="21"/>
    <x v="4"/>
  </r>
  <r>
    <s v="TVLGSA"/>
    <s v="TV - Large - Standalone"/>
    <s v="Display Devices"/>
    <s v=""/>
    <s v=""/>
    <x v="15"/>
    <s v="TVLGSA - TV - Large - Standalone"/>
    <n v="1"/>
    <n v="0"/>
    <n v="0"/>
    <n v="1"/>
    <n v="0"/>
    <n v="0"/>
    <s v="LOC IT"/>
    <x v="1"/>
    <s v="Press Conference Room"/>
    <x v="22"/>
    <x v="4"/>
  </r>
  <r>
    <s v="TVSTND"/>
    <s v="TV Stand - Medium &amp; Large TVs"/>
    <s v="Peripherals"/>
    <s v=""/>
    <s v=""/>
    <x v="6"/>
    <s v="TVSTND - TV Stand - Medium &amp; Large TVs"/>
    <n v="1"/>
    <n v="0"/>
    <n v="0"/>
    <n v="1"/>
    <n v="0"/>
    <n v="0"/>
    <s v="LOC IT"/>
    <x v="1"/>
    <s v="Competition area"/>
    <x v="19"/>
    <x v="4"/>
  </r>
  <r>
    <s v="TVSTND"/>
    <s v="TV Stand - Medium &amp; Large TVs"/>
    <s v="Peripherals"/>
    <s v=""/>
    <s v=""/>
    <x v="6"/>
    <s v="TVSTND - TV Stand - Medium &amp; Large TVs"/>
    <n v="1"/>
    <n v="0"/>
    <n v="0"/>
    <n v="1"/>
    <n v="0"/>
    <n v="0"/>
    <s v="LOC IT"/>
    <x v="1"/>
    <s v="Competition area"/>
    <x v="21"/>
    <x v="4"/>
  </r>
  <r>
    <s v="TVSTND"/>
    <s v="TV Stand - Medium &amp; Large TVs"/>
    <s v="Peripherals"/>
    <s v=""/>
    <s v=""/>
    <x v="6"/>
    <s v="TVSTND - TV Stand - Medium &amp; Large TVs"/>
    <n v="1"/>
    <n v="0"/>
    <n v="0"/>
    <n v="1"/>
    <n v="0"/>
    <n v="0"/>
    <s v="LOC IT"/>
    <x v="1"/>
    <s v="Press Conference Room"/>
    <x v="22"/>
    <x v="4"/>
  </r>
  <r>
    <s v="DSKMNT"/>
    <s v="24&quot; Monitor - HDMI/DP"/>
    <s v="Peripherals"/>
    <s v=""/>
    <s v=""/>
    <x v="0"/>
    <s v="DSKMNT - 24&quot; Monitor - HDMI/DP"/>
    <n v="2"/>
    <n v="0"/>
    <n v="0"/>
    <n v="2"/>
    <n v="0"/>
    <n v="0"/>
    <s v="LOC IT"/>
    <x v="0"/>
    <s v="Aspire Dome - level 2"/>
    <x v="1"/>
    <x v="5"/>
  </r>
  <r>
    <s v="DSKMNT"/>
    <s v="24&quot; Monitor - HDMI/DP"/>
    <s v="Peripherals"/>
    <s v=""/>
    <s v=""/>
    <x v="0"/>
    <s v="DSKMNT - 24&quot; Monitor - HDMI/DP"/>
    <n v="5"/>
    <n v="0"/>
    <n v="0"/>
    <n v="3"/>
    <n v="0"/>
    <n v="0"/>
    <s v="LOC IT"/>
    <x v="0"/>
    <s v="Aspire Dome - level 2"/>
    <x v="1"/>
    <x v="6"/>
  </r>
  <r>
    <s v="WRDSTU"/>
    <s v="Wired Port - Content"/>
    <s v="Network &amp; Connectivity"/>
    <s v=""/>
    <s v="FIFA Technical Content"/>
    <x v="4"/>
    <s v="WRDSTU - Wired Port - Content (FIFA Technical Content)"/>
    <n v="5"/>
    <n v="3"/>
    <n v="0"/>
    <n v="3"/>
    <n v="3"/>
    <n v="0"/>
    <s v="LOC IT"/>
    <x v="0"/>
    <s v="Aspire Dome - level 2"/>
    <x v="1"/>
    <x v="6"/>
  </r>
  <r>
    <s v="ITSIBU"/>
    <s v="IT Solution - 4G Internet backup "/>
    <s v="FIFA IT Network Solutions"/>
    <s v=""/>
    <s v=""/>
    <x v="16"/>
    <s v="ITSIBU - IT Solution - 4G Internet backup "/>
    <n v="10"/>
    <n v="0"/>
    <n v="10"/>
    <n v="10"/>
    <n v="0"/>
    <n v="10"/>
    <s v="LOC IT"/>
    <x v="0"/>
    <s v="Aspire Dome - level 2"/>
    <x v="1"/>
    <x v="7"/>
  </r>
  <r>
    <s v="LAPEVT"/>
    <s v="Laptop - FIFA Event Build"/>
    <s v="FIFA IT Hardware"/>
    <s v="Single"/>
    <s v=""/>
    <x v="17"/>
    <s v="LAPEVT - Laptop - FIFA Event Build"/>
    <n v="2"/>
    <n v="0"/>
    <n v="0"/>
    <n v="2"/>
    <n v="0"/>
    <n v="0"/>
    <s v="FIFA Event Technology"/>
    <x v="0"/>
    <s v="Aspire Dome - level 2"/>
    <x v="1"/>
    <x v="7"/>
  </r>
  <r>
    <s v="LAPPRE"/>
    <s v="Laptop - Presentation Build"/>
    <s v="FIFA IT Hardware"/>
    <s v="Single"/>
    <s v=""/>
    <x v="11"/>
    <s v="LAPPRE - Laptop - Presentation Build"/>
    <n v="4"/>
    <n v="0"/>
    <n v="0"/>
    <n v="4"/>
    <n v="0"/>
    <n v="0"/>
    <s v="FIFA Event Technology"/>
    <x v="0"/>
    <s v="Aspire Dome - level 2"/>
    <x v="1"/>
    <x v="7"/>
  </r>
  <r>
    <s v="PORSPE"/>
    <s v="Portable Speaker"/>
    <s v="Peripherals"/>
    <s v="Single"/>
    <s v=""/>
    <x v="14"/>
    <s v="PORSPE - Portable Speaker"/>
    <n v="2"/>
    <n v="0"/>
    <n v="0"/>
    <n v="2"/>
    <n v="0"/>
    <n v="0"/>
    <s v="FIFA Event Technology"/>
    <x v="0"/>
    <s v="Aspire Dome - level 2"/>
    <x v="1"/>
    <x v="7"/>
  </r>
  <r>
    <s v="SIMDAT"/>
    <s v="SIM - Data Only"/>
    <s v="Telephony"/>
    <s v=""/>
    <s v=""/>
    <x v="18"/>
    <s v="SIMDAT - SIM - Data Only"/>
    <n v="10"/>
    <n v="0"/>
    <n v="20"/>
    <n v="20"/>
    <n v="0"/>
    <n v="20"/>
    <s v="LOC IT"/>
    <x v="0"/>
    <s v="Aspire Dome - level 2"/>
    <x v="1"/>
    <x v="7"/>
  </r>
  <r>
    <s v="SIMDOM"/>
    <s v="SIM - Domestic"/>
    <s v="Telephony"/>
    <s v=""/>
    <s v=""/>
    <x v="19"/>
    <s v="SIMDOM - SIM - Domestic"/>
    <n v="80"/>
    <n v="0"/>
    <n v="100"/>
    <n v="100"/>
    <n v="0"/>
    <n v="100"/>
    <s v="LOC IT"/>
    <x v="0"/>
    <s v="Aspire Dome - level 2"/>
    <x v="1"/>
    <x v="7"/>
  </r>
  <r>
    <s v="SIMINT"/>
    <s v="SIM - International"/>
    <s v="Telephony"/>
    <s v=""/>
    <s v=""/>
    <x v="20"/>
    <s v="SIMINT - SIM - International"/>
    <n v="5"/>
    <n v="0"/>
    <n v="15"/>
    <n v="15"/>
    <n v="0"/>
    <n v="15"/>
    <s v="LOC IT"/>
    <x v="0"/>
    <s v="Aspire Dome - level 2"/>
    <x v="1"/>
    <x v="7"/>
  </r>
  <r>
    <s v="TELMOB"/>
    <s v="Telephone - Mobile - Smart Phone"/>
    <s v="Telephony"/>
    <s v="Single"/>
    <s v=""/>
    <x v="21"/>
    <s v="TELMOB - Telephone - Mobile - Smart Phone"/>
    <n v="80"/>
    <n v="0"/>
    <n v="100"/>
    <n v="100"/>
    <n v="0"/>
    <n v="0"/>
    <s v="FIFA Event Technology"/>
    <x v="0"/>
    <s v="Aspire Dome - level 2"/>
    <x v="1"/>
    <x v="7"/>
  </r>
  <r>
    <s v="WRDGEN"/>
    <s v="Wired Port - General Internet "/>
    <s v="Network &amp; Connectivity"/>
    <s v=""/>
    <s v="General Internet Access"/>
    <x v="8"/>
    <s v="WRDGEN - Wired Port - General Internet  (General Internet Access)"/>
    <n v="2"/>
    <n v="2"/>
    <n v="0"/>
    <n v="2"/>
    <n v="2"/>
    <n v="0"/>
    <s v="LOC IT"/>
    <x v="0"/>
    <s v="Aspire Dome - level 2"/>
    <x v="1"/>
    <x v="7"/>
  </r>
  <r>
    <s v="DSKMNT"/>
    <s v="24&quot; Monitor - HDMI/DP"/>
    <s v="Peripherals"/>
    <s v=""/>
    <s v=""/>
    <x v="0"/>
    <s v="DSKMNT - 24&quot; Monitor - HDMI/DP"/>
    <n v="1"/>
    <n v="0"/>
    <n v="0"/>
    <n v="1"/>
    <n v="0"/>
    <n v="0"/>
    <s v="LOC IT"/>
    <x v="0"/>
    <s v="Aspire Dome - level 2"/>
    <x v="23"/>
    <x v="7"/>
  </r>
  <r>
    <s v="IS0050"/>
    <s v="Internet Service - 50Mbps"/>
    <s v="Network &amp; Connectivity"/>
    <s v=""/>
    <s v=""/>
    <x v="22"/>
    <s v="IS0050 - Internet Service - 50Mbps"/>
    <n v="1"/>
    <n v="1"/>
    <n v="0"/>
    <n v="1"/>
    <n v="1"/>
    <n v="0"/>
    <s v="LOC IT"/>
    <x v="0"/>
    <s v="Aspire Dome - level 2"/>
    <x v="23"/>
    <x v="7"/>
  </r>
  <r>
    <s v="ITMON"/>
    <s v="IT Monitoring network port"/>
    <s v="Network &amp; Connectivity"/>
    <s v=""/>
    <s v="Monitoring VLAN"/>
    <x v="23"/>
    <s v="ITMON - IT Monitoring network port (Monitoring VLAN)"/>
    <n v="1"/>
    <n v="1"/>
    <n v="0"/>
    <n v="1"/>
    <n v="1"/>
    <n v="0"/>
    <s v="LOC IT"/>
    <x v="0"/>
    <s v="Aspire Dome - level 2"/>
    <x v="23"/>
    <x v="7"/>
  </r>
  <r>
    <s v="ITMON"/>
    <s v="IT Monitoring network port"/>
    <s v="Network &amp; Connectivity"/>
    <s v=""/>
    <s v="Monitoring VLAN"/>
    <x v="23"/>
    <s v="ITMON - IT Monitoring network port (Monitoring VLAN)"/>
    <n v="1"/>
    <n v="1"/>
    <n v="0"/>
    <n v="1"/>
    <n v="1"/>
    <n v="0"/>
    <s v="LOC IT"/>
    <x v="1"/>
    <s v="Stadium Offices"/>
    <x v="23"/>
    <x v="7"/>
  </r>
  <r>
    <s v="TVMDSA"/>
    <s v="TV - Medium - Standalone"/>
    <s v="CATV"/>
    <s v=""/>
    <s v=""/>
    <x v="24"/>
    <s v="TVMDSA - TV - Medium - Standalone"/>
    <n v="1"/>
    <n v="0"/>
    <n v="0"/>
    <n v="1"/>
    <n v="0"/>
    <n v="0"/>
    <s v="LOC IT"/>
    <x v="0"/>
    <s v="Aspire Dome - level 2"/>
    <x v="23"/>
    <x v="7"/>
  </r>
  <r>
    <s v="TVSTND"/>
    <s v="TV Stand - Medium &amp; Large TVs"/>
    <s v="Peripherals"/>
    <s v=""/>
    <s v=""/>
    <x v="6"/>
    <s v="TVSTND - TV Stand - Medium &amp; Large TVs"/>
    <n v="1"/>
    <n v="0"/>
    <n v="0"/>
    <n v="1"/>
    <n v="0"/>
    <n v="0"/>
    <s v="LOC IT"/>
    <x v="0"/>
    <s v="Aspire Dome - level 2"/>
    <x v="23"/>
    <x v="7"/>
  </r>
  <r>
    <s v="WRDGEN"/>
    <s v="Wired Port - General Internet "/>
    <s v="Network &amp; Connectivity"/>
    <s v=""/>
    <s v="General Internet Access"/>
    <x v="8"/>
    <s v="WRDGEN - Wired Port - General Internet  (General Internet Access)"/>
    <n v="2"/>
    <n v="2"/>
    <n v="0"/>
    <n v="2"/>
    <n v="2"/>
    <n v="0"/>
    <s v="LOC IT"/>
    <x v="1"/>
    <s v="Stadium Offices"/>
    <x v="23"/>
    <x v="7"/>
  </r>
  <r>
    <s v="WRDGEN"/>
    <s v="Wired Port - General Internet "/>
    <s v="Network &amp; Connectivity"/>
    <s v=""/>
    <s v="General Internet Access"/>
    <x v="8"/>
    <s v="WRDGEN - Wired Port - General Internet  (General Internet Access)"/>
    <n v="1"/>
    <n v="1"/>
    <n v="0"/>
    <n v="1"/>
    <n v="1"/>
    <n v="0"/>
    <s v="LOC IT"/>
    <x v="0"/>
    <s v="Aspire Dome - level 2"/>
    <x v="23"/>
    <x v="7"/>
  </r>
  <r>
    <s v="DSKMNT"/>
    <s v="24&quot; Monitor - HDMI/DP"/>
    <s v="Peripherals"/>
    <s v=""/>
    <s v=""/>
    <x v="0"/>
    <s v="DSKMNT - 24&quot; Monitor - HDMI/DP"/>
    <n v="2"/>
    <n v="0"/>
    <n v="0"/>
    <n v="2"/>
    <n v="0"/>
    <n v="0"/>
    <s v="LOC IT"/>
    <x v="0"/>
    <s v="Aspire Dome - level 2"/>
    <x v="1"/>
    <x v="8"/>
  </r>
  <r>
    <s v="IS00WF"/>
    <s v="Wireless coverage - Shared Internet Service - Wi-Fi FIFA"/>
    <s v="Network &amp; Connectivity"/>
    <s v=""/>
    <s v="General Internet Access"/>
    <x v="1"/>
    <s v="IS00WF - Wireless coverage - Shared Internet Service - Wi-Fi FIFA (General Internet Access)"/>
    <n v="1"/>
    <n v="0"/>
    <n v="0"/>
    <n v="1"/>
    <n v="0"/>
    <n v="0"/>
    <s v="LOC IT"/>
    <x v="0"/>
    <s v="Aspire Dome - level 2"/>
    <x v="1"/>
    <x v="8"/>
  </r>
  <r>
    <s v="WRDSTU"/>
    <s v="Wired Port - Content"/>
    <s v="Network &amp; Connectivity"/>
    <s v=""/>
    <s v="FIFA Technical Content"/>
    <x v="4"/>
    <s v="WRDSTU - Wired Port - Content (FIFA Technical Content)"/>
    <n v="2"/>
    <n v="2"/>
    <n v="0"/>
    <n v="2"/>
    <n v="2"/>
    <n v="0"/>
    <s v="LOC IT"/>
    <x v="0"/>
    <s v="Aspire Dome - level 2"/>
    <x v="1"/>
    <x v="8"/>
  </r>
  <r>
    <s v="DSK27M"/>
    <s v="27&quot; Monitor - HDMI/DP"/>
    <s v="Peripherals"/>
    <s v=""/>
    <s v=""/>
    <x v="25"/>
    <s v="DSK27M - 27&quot; Monitor - HDMI/DP"/>
    <n v="4"/>
    <n v="0"/>
    <n v="0"/>
    <n v="4"/>
    <n v="0"/>
    <n v="0"/>
    <s v="LOC IT"/>
    <x v="0"/>
    <s v="TSG - Main room"/>
    <x v="24"/>
    <x v="9"/>
  </r>
  <r>
    <s v="IS00WF"/>
    <s v="Wireless coverage - Shared Internet Service - Wi-Fi FIFA"/>
    <s v="Network &amp; Connectivity"/>
    <s v=""/>
    <s v="General Internet Access"/>
    <x v="1"/>
    <s v="IS00WF - Wireless coverage - Shared Internet Service - Wi-Fi FIFA (General Internet Access)"/>
    <n v="1"/>
    <n v="0"/>
    <n v="0"/>
    <n v="1"/>
    <n v="0"/>
    <n v="0"/>
    <s v="LOC IT"/>
    <x v="0"/>
    <s v="TSG - Main room"/>
    <x v="24"/>
    <x v="9"/>
  </r>
  <r>
    <s v="IS00WF"/>
    <s v="Wireless coverage - Shared Internet Service - Wi-Fi FIFA"/>
    <s v="Network &amp; Connectivity"/>
    <s v=""/>
    <s v="General Internet Access"/>
    <x v="1"/>
    <s v="IS00WF - Wireless coverage - Shared Internet Service - Wi-Fi FIFA (General Internet Access)"/>
    <n v="1"/>
    <n v="0"/>
    <n v="0"/>
    <n v="1"/>
    <n v="0"/>
    <n v="0"/>
    <s v="LOC IT"/>
    <x v="0"/>
    <s v="TSG - Meeting Room"/>
    <x v="24"/>
    <x v="9"/>
  </r>
  <r>
    <s v="IS00WF"/>
    <s v="Wireless coverage - Shared Internet Service - Wi-Fi FIFA"/>
    <s v="Network &amp; Connectivity"/>
    <s v=""/>
    <s v="General Internet Access"/>
    <x v="1"/>
    <s v="IS00WF - Wireless coverage - Shared Internet Service - Wi-Fi FIFA (General Internet Access)"/>
    <n v="1"/>
    <n v="0"/>
    <n v="0"/>
    <n v="1"/>
    <n v="0"/>
    <n v="0"/>
    <s v="LOC IT"/>
    <x v="0"/>
    <s v="Broadcast Compound 1"/>
    <x v="25"/>
    <x v="9"/>
  </r>
  <r>
    <s v="WRDFTI"/>
    <s v="Wired Port - FTI"/>
    <s v="Network &amp; Connectivity"/>
    <s v=""/>
    <s v="FIFA Technical FTI"/>
    <x v="13"/>
    <s v="WRDFTI - Wired Port - FTI (FIFA Technical FTI)"/>
    <n v="1"/>
    <n v="1"/>
    <n v="0"/>
    <n v="1"/>
    <n v="1"/>
    <n v="0"/>
    <s v="LOC IT"/>
    <x v="0"/>
    <s v="Broadcast Compound 1"/>
    <x v="25"/>
    <x v="9"/>
  </r>
  <r>
    <s v="WRDFTI"/>
    <s v="Wired Port - FTI"/>
    <s v="Network &amp; Connectivity"/>
    <s v=""/>
    <s v="FIFA Technical FTI"/>
    <x v="13"/>
    <s v="WRDFTI - Wired Port - FTI (FIFA Technical FTI)"/>
    <n v="2"/>
    <n v="2"/>
    <n v="0"/>
    <n v="2"/>
    <n v="2"/>
    <n v="0"/>
    <s v="LOC IT"/>
    <x v="0"/>
    <s v="Broadcast Compound 1"/>
    <x v="25"/>
    <x v="9"/>
  </r>
  <r>
    <s v="IS00WF"/>
    <s v="Wireless coverage - Shared Internet Service - Wi-Fi FIFA"/>
    <s v="Network &amp; Connectivity"/>
    <s v=""/>
    <s v="General Internet Access"/>
    <x v="1"/>
    <s v="IS00WF - Wireless coverage - Shared Internet Service - Wi-Fi FIFA (General Internet Access)"/>
    <n v="1"/>
    <n v="0"/>
    <n v="0"/>
    <n v="1"/>
    <n v="0"/>
    <n v="0"/>
    <s v="LOC IT"/>
    <x v="0"/>
    <s v="Broadcast Compound 1"/>
    <x v="26"/>
    <x v="9"/>
  </r>
  <r>
    <s v="WRDFTI"/>
    <s v="Wired Port - FTI"/>
    <s v="Network &amp; Connectivity"/>
    <s v=""/>
    <s v="FIFA Technical FTI"/>
    <x v="13"/>
    <s v="WRDFTI - Wired Port - FTI (FIFA Technical FTI)"/>
    <n v="1"/>
    <n v="1"/>
    <n v="0"/>
    <n v="1"/>
    <n v="1"/>
    <n v="0"/>
    <s v="LOC IT"/>
    <x v="0"/>
    <s v="Broadcast Compound 1"/>
    <x v="26"/>
    <x v="9"/>
  </r>
  <r>
    <s v="WRDFTI"/>
    <s v="Wired Port - FTI"/>
    <s v="Network &amp; Connectivity"/>
    <s v=""/>
    <s v="FIFA Technical FTI"/>
    <x v="13"/>
    <s v="WRDFTI - Wired Port - FTI (FIFA Technical FTI)"/>
    <n v="2"/>
    <n v="2"/>
    <n v="0"/>
    <n v="2"/>
    <n v="2"/>
    <n v="0"/>
    <s v="LOC IT"/>
    <x v="0"/>
    <s v="Broadcast Compound 1"/>
    <x v="26"/>
    <x v="9"/>
  </r>
  <r>
    <s v="IS00WF"/>
    <s v="Wireless coverage - Shared Internet Service - Wi-Fi FIFA"/>
    <s v="Network &amp; Connectivity"/>
    <s v=""/>
    <s v="General Internet Access"/>
    <x v="1"/>
    <s v="IS00WF - Wireless coverage - Shared Internet Service - Wi-Fi FIFA (General Internet Access)"/>
    <n v="1"/>
    <n v="0"/>
    <n v="0"/>
    <n v="1"/>
    <n v="0"/>
    <n v="0"/>
    <s v="LOC IT"/>
    <x v="0"/>
    <s v="Broadcast Compound 1"/>
    <x v="27"/>
    <x v="9"/>
  </r>
  <r>
    <s v="WRDFTI"/>
    <s v="Wired Port - FTI"/>
    <s v="Network &amp; Connectivity"/>
    <s v=""/>
    <s v="FIFA Technical FTI"/>
    <x v="13"/>
    <s v="WRDFTI - Wired Port - FTI (FIFA Technical FTI)"/>
    <n v="1"/>
    <n v="1"/>
    <n v="0"/>
    <n v="1"/>
    <n v="1"/>
    <n v="0"/>
    <s v="LOC IT"/>
    <x v="0"/>
    <s v="Broadcast Compound 1"/>
    <x v="27"/>
    <x v="9"/>
  </r>
  <r>
    <s v="WRDFTI"/>
    <s v="Wired Port - FTI"/>
    <s v="Network &amp; Connectivity"/>
    <s v=""/>
    <s v="FIFA Technical FTI"/>
    <x v="13"/>
    <s v="WRDFTI - Wired Port - FTI (FIFA Technical FTI)"/>
    <n v="2"/>
    <n v="2"/>
    <n v="0"/>
    <n v="2"/>
    <n v="2"/>
    <n v="0"/>
    <s v="LOC IT"/>
    <x v="0"/>
    <s v="Broadcast Compound 1"/>
    <x v="27"/>
    <x v="9"/>
  </r>
  <r>
    <s v="IS00WF"/>
    <s v="Wireless coverage - Shared Internet Service - Wi-Fi FIFA"/>
    <s v="Network &amp; Connectivity"/>
    <s v=""/>
    <s v="General Internet Access"/>
    <x v="1"/>
    <s v="IS00WF - Wireless coverage - Shared Internet Service - Wi-Fi FIFA (General Internet Access)"/>
    <n v="1"/>
    <n v="0"/>
    <n v="0"/>
    <n v="1"/>
    <n v="0"/>
    <n v="0"/>
    <s v="LOC IT"/>
    <x v="0"/>
    <s v="Broadcast Compound 2"/>
    <x v="28"/>
    <x v="9"/>
  </r>
  <r>
    <s v="WRDFTI"/>
    <s v="Wired Port - FTI"/>
    <s v="Network &amp; Connectivity"/>
    <s v=""/>
    <s v="FIFA Technical FTI"/>
    <x v="13"/>
    <s v="WRDFTI - Wired Port - FTI (FIFA Technical FTI)"/>
    <n v="1"/>
    <n v="1"/>
    <n v="0"/>
    <n v="1"/>
    <n v="1"/>
    <n v="0"/>
    <s v="LOC IT"/>
    <x v="0"/>
    <s v="Broadcast Compound 2"/>
    <x v="28"/>
    <x v="9"/>
  </r>
  <r>
    <s v="WRDFTI"/>
    <s v="Wired Port - FTI"/>
    <s v="Network &amp; Connectivity"/>
    <s v=""/>
    <s v="FIFA Technical FTI"/>
    <x v="13"/>
    <s v="WRDFTI - Wired Port - FTI (FIFA Technical FTI)"/>
    <n v="0"/>
    <n v="2"/>
    <n v="0"/>
    <n v="2"/>
    <n v="2"/>
    <n v="0"/>
    <s v="LOC IT"/>
    <x v="0"/>
    <s v="Broadcast Compound 2"/>
    <x v="28"/>
    <x v="9"/>
  </r>
  <r>
    <s v="PROJ6K"/>
    <s v="Office Projector - 6K"/>
    <s v="Display Devices"/>
    <s v=""/>
    <s v=""/>
    <x v="26"/>
    <s v="PROJ6K - Office Projector - 6K"/>
    <n v="1"/>
    <n v="0"/>
    <n v="0"/>
    <n v="1"/>
    <n v="0"/>
    <n v="0"/>
    <s v="LOC IT"/>
    <x v="0"/>
    <s v="TSG - Meeting Room"/>
    <x v="24"/>
    <x v="9"/>
  </r>
  <r>
    <s v="TVLGIP"/>
    <s v="TV - Large - IPTV"/>
    <s v="CATV"/>
    <s v=""/>
    <s v=""/>
    <x v="5"/>
    <s v="TVLGIP - TV - Large - IPTV"/>
    <n v="4"/>
    <n v="4"/>
    <n v="0"/>
    <n v="4"/>
    <n v="4"/>
    <n v="0"/>
    <s v="LOC IT"/>
    <x v="0"/>
    <s v="TSG - Main room"/>
    <x v="24"/>
    <x v="9"/>
  </r>
  <r>
    <s v="TVSTND"/>
    <s v="TV Stand - Medium &amp; Large TVs"/>
    <s v="Peripherals"/>
    <s v=""/>
    <s v=""/>
    <x v="6"/>
    <s v="TVSTND - TV Stand - Medium &amp; Large TVs"/>
    <n v="4"/>
    <n v="0"/>
    <n v="0"/>
    <n v="4"/>
    <n v="0"/>
    <n v="0"/>
    <s v="LOC IT"/>
    <x v="0"/>
    <s v="TSG - Main room"/>
    <x v="24"/>
    <x v="9"/>
  </r>
  <r>
    <s v="WRDFTI"/>
    <s v="Wired Port - FTI"/>
    <s v="Network &amp; Connectivity"/>
    <s v=""/>
    <s v="FIFA Technical FTI"/>
    <x v="13"/>
    <s v="WRDFTI - Wired Port - FTI (FIFA Technical FTI)"/>
    <n v="7"/>
    <n v="6"/>
    <n v="0"/>
    <n v="6"/>
    <n v="6"/>
    <n v="0"/>
    <s v="LOC IT"/>
    <x v="0"/>
    <s v="Broadcast Compound 1"/>
    <x v="29"/>
    <x v="9"/>
  </r>
  <r>
    <s v="WRDFTI"/>
    <s v="Wired Port - FTI"/>
    <s v="Network &amp; Connectivity"/>
    <s v=""/>
    <s v="FIFA Technical FTI"/>
    <x v="13"/>
    <s v="WRDFTI - Wired Port - FTI (FIFA Technical FTI)"/>
    <n v="0"/>
    <n v="1"/>
    <n v="0"/>
    <n v="1"/>
    <n v="1"/>
    <n v="0"/>
    <s v="LOC IT"/>
    <x v="0"/>
    <s v="Broadcast Compound 1"/>
    <x v="29"/>
    <x v="9"/>
  </r>
  <r>
    <s v="WRDFTI"/>
    <s v="Wired Port - FTI"/>
    <s v="Network &amp; Connectivity"/>
    <s v=""/>
    <s v="FIFA Technical FTI"/>
    <x v="13"/>
    <s v="WRDFTI - Wired Port - FTI (FIFA Technical FTI)"/>
    <n v="4"/>
    <n v="2"/>
    <n v="0"/>
    <n v="2"/>
    <n v="2"/>
    <n v="0"/>
    <s v="LOC IT"/>
    <x v="0"/>
    <s v="Broadcast Compound 2"/>
    <x v="30"/>
    <x v="9"/>
  </r>
  <r>
    <s v="WRDFTI"/>
    <s v="Wired Port - FTI"/>
    <s v="Network &amp; Connectivity"/>
    <s v=""/>
    <s v="FIFA Technical FTI"/>
    <x v="13"/>
    <s v="WRDFTI - Wired Port - FTI (FIFA Technical FTI)"/>
    <n v="0"/>
    <n v="1"/>
    <n v="0"/>
    <n v="1"/>
    <n v="1"/>
    <n v="0"/>
    <s v="LOC IT"/>
    <x v="0"/>
    <s v="Broadcast Compound 2"/>
    <x v="30"/>
    <x v="9"/>
  </r>
  <r>
    <s v="WRDTSG"/>
    <s v="Wired Port - TSG"/>
    <s v="Network &amp; Connectivity"/>
    <s v=""/>
    <s v="FIFA Technical TSG"/>
    <x v="27"/>
    <s v="WRDTSG - Wired Port - TSG (FIFA Technical TSG)"/>
    <n v="1"/>
    <n v="1"/>
    <n v="0"/>
    <n v="1"/>
    <n v="1"/>
    <n v="0"/>
    <s v="LOC IT"/>
    <x v="0"/>
    <s v="TSG - Main room"/>
    <x v="24"/>
    <x v="9"/>
  </r>
  <r>
    <s v="IS00WF"/>
    <s v="Wireless coverage - Shared Internet Service - Wi-Fi FIFA"/>
    <s v="Network &amp; Connectivity"/>
    <s v=""/>
    <s v="General Internet Access"/>
    <x v="1"/>
    <s v="IS00WF - Wireless coverage - Shared Internet Service - Wi-Fi FIFA (General Internet Access)"/>
    <n v="1"/>
    <n v="0"/>
    <n v="0"/>
    <n v="1"/>
    <n v="0"/>
    <n v="0"/>
    <s v="LOC IT"/>
    <x v="1"/>
    <s v="Broadcast Compound"/>
    <x v="31"/>
    <x v="9"/>
  </r>
  <r>
    <s v="WRDFTI"/>
    <s v="Wired Port - FTI"/>
    <s v="Network &amp; Connectivity"/>
    <s v=""/>
    <s v="FIFA Technical FTI"/>
    <x v="13"/>
    <s v="WRDFTI - Wired Port - FTI (FIFA Technical FTI)"/>
    <n v="2"/>
    <n v="2"/>
    <n v="0"/>
    <n v="2"/>
    <n v="2"/>
    <n v="0"/>
    <s v="LOC IT"/>
    <x v="1"/>
    <s v="Broadcast Compound"/>
    <x v="32"/>
    <x v="9"/>
  </r>
  <r>
    <s v="WRDFTI"/>
    <s v="Wired Port - FTI"/>
    <s v="Network &amp; Connectivity"/>
    <s v=""/>
    <s v="FIFA Technical FTI"/>
    <x v="13"/>
    <s v="WRDFTI - Wired Port - FTI (FIFA Technical FTI)"/>
    <n v="1"/>
    <n v="1"/>
    <n v="0"/>
    <n v="1"/>
    <n v="1"/>
    <n v="0"/>
    <s v="LOC IT"/>
    <x v="1"/>
    <s v="Broadcast Compound"/>
    <x v="32"/>
    <x v="9"/>
  </r>
  <r>
    <s v="WRDFTI"/>
    <s v="Wired Port - FTI"/>
    <s v="Network &amp; Connectivity"/>
    <s v=""/>
    <s v="FIFA Technical FTI"/>
    <x v="13"/>
    <s v="WRDFTI - Wired Port - FTI (FIFA Technical FTI)"/>
    <n v="1"/>
    <n v="1"/>
    <n v="0"/>
    <n v="1"/>
    <n v="1"/>
    <n v="0"/>
    <s v="LOC IT"/>
    <x v="1"/>
    <s v="Broadcast Compound"/>
    <x v="31"/>
    <x v="9"/>
  </r>
  <r>
    <s v="WRDFTI"/>
    <s v="Wired Port - FTI"/>
    <s v="Network &amp; Connectivity"/>
    <s v=""/>
    <s v="FIFA Technical FTI"/>
    <x v="13"/>
    <s v="WRDFTI - Wired Port - FTI (FIFA Technical FTI)"/>
    <n v="1"/>
    <n v="1"/>
    <n v="0"/>
    <n v="1"/>
    <n v="1"/>
    <n v="0"/>
    <s v="LOC IT"/>
    <x v="1"/>
    <s v="Broadcast Compound"/>
    <x v="31"/>
    <x v="9"/>
  </r>
  <r>
    <s v="WRDTSG"/>
    <s v="Wired Port - TSG"/>
    <s v="Network &amp; Connectivity"/>
    <s v=""/>
    <s v="FIFA Technical TSG"/>
    <x v="27"/>
    <s v="WRDTSG - Wired Port - TSG (FIFA Technical TSG)"/>
    <n v="8"/>
    <n v="8"/>
    <n v="0"/>
    <n v="8"/>
    <n v="8"/>
    <n v="0"/>
    <s v="LOC IT"/>
    <x v="1"/>
    <s v="Media Tribunes"/>
    <x v="24"/>
    <x v="9"/>
  </r>
  <r>
    <s v="IS00VP"/>
    <s v="Wireless coverage - Shared Internet Service - Wi-Fi VIP"/>
    <s v="Network &amp; Connectivity"/>
    <s v=""/>
    <s v="General Internet Access"/>
    <x v="28"/>
    <s v="IS00VP - Wireless coverage - Shared Internet Service - Wi-Fi VIP (General Internet Access)"/>
    <n v="1"/>
    <n v="0"/>
    <n v="0"/>
    <n v="1"/>
    <n v="0"/>
    <n v="0"/>
    <s v="LOC IT"/>
    <x v="0"/>
    <s v="Super Club"/>
    <x v="33"/>
    <x v="10"/>
  </r>
  <r>
    <s v="IS00WF"/>
    <s v="Wireless coverage - Shared Internet Service - Wi-Fi FIFA"/>
    <s v="Network &amp; Connectivity"/>
    <s v=""/>
    <s v="General Internet Access"/>
    <x v="1"/>
    <s v="IS00WF - Wireless coverage - Shared Internet Service - Wi-Fi FIFA (General Internet Access)"/>
    <n v="1"/>
    <n v="0"/>
    <n v="0"/>
    <n v="1"/>
    <n v="0"/>
    <n v="0"/>
    <s v="LOC IT"/>
    <x v="0"/>
    <s v="Super Club"/>
    <x v="34"/>
    <x v="10"/>
  </r>
  <r>
    <s v="MFDDNW"/>
    <s v="MFD Desktop - Colour - A4 - Network"/>
    <s v="Reprographics"/>
    <s v=""/>
    <s v="General Internet Access"/>
    <x v="2"/>
    <s v="MFDDNW - MFD Desktop - Colour - A4 - Network (General Internet Access)"/>
    <n v="1"/>
    <n v="1"/>
    <n v="0"/>
    <n v="1"/>
    <n v="1"/>
    <n v="0"/>
    <s v="LOC IT"/>
    <x v="0"/>
    <s v="Super Club"/>
    <x v="34"/>
    <x v="10"/>
  </r>
  <r>
    <s v="TVLGIP"/>
    <s v="TV - Large - IPTV"/>
    <s v="CATV"/>
    <s v=""/>
    <s v=""/>
    <x v="5"/>
    <s v="TVLGIP - TV - Large - IPTV"/>
    <n v="4"/>
    <n v="4"/>
    <n v="0"/>
    <n v="4"/>
    <n v="4"/>
    <n v="0"/>
    <s v="LOC IT"/>
    <x v="0"/>
    <s v="Super Club"/>
    <x v="33"/>
    <x v="10"/>
  </r>
  <r>
    <s v="TVSTND"/>
    <s v="TV Stand - Medium &amp; Large TVs"/>
    <s v="Peripherals"/>
    <s v=""/>
    <s v=""/>
    <x v="6"/>
    <s v="TVSTND - TV Stand - Medium &amp; Large TVs"/>
    <n v="4"/>
    <n v="0"/>
    <n v="0"/>
    <n v="4"/>
    <n v="0"/>
    <n v="0"/>
    <s v="LOC IT"/>
    <x v="0"/>
    <s v="Super Club"/>
    <x v="33"/>
    <x v="10"/>
  </r>
  <r>
    <s v="IS00VP"/>
    <s v="Wireless coverage - Shared Internet Service - Wi-Fi VIP"/>
    <s v="Network &amp; Connectivity"/>
    <s v=""/>
    <s v="General Internet Access"/>
    <x v="28"/>
    <s v="IS00VP - Wireless coverage - Shared Internet Service - Wi-Fi VIP (General Internet Access)"/>
    <n v="1"/>
    <n v="0"/>
    <n v="0"/>
    <n v="1"/>
    <n v="0"/>
    <n v="0"/>
    <s v="LOC IT"/>
    <x v="1"/>
    <s v="VIP area"/>
    <x v="33"/>
    <x v="10"/>
  </r>
  <r>
    <s v="IS00WF"/>
    <s v="Wireless coverage - Shared Internet Service - Wi-Fi FIFA"/>
    <s v="Network &amp; Connectivity"/>
    <s v=""/>
    <s v="General Internet Access"/>
    <x v="1"/>
    <s v="IS00WF - Wireless coverage - Shared Internet Service - Wi-Fi FIFA (General Internet Access)"/>
    <n v="1"/>
    <n v="0"/>
    <n v="0"/>
    <n v="1"/>
    <n v="0"/>
    <n v="0"/>
    <s v="LOC IT"/>
    <x v="1"/>
    <s v="VIP area"/>
    <x v="34"/>
    <x v="10"/>
  </r>
  <r>
    <s v="MFDDNW"/>
    <s v="MFD Desktop - Colour - A4 - Network"/>
    <s v="Reprographics"/>
    <s v=""/>
    <s v="General Internet Access"/>
    <x v="2"/>
    <s v="MFDDNW - MFD Desktop - Colour - A4 - Network (General Internet Access)"/>
    <n v="1"/>
    <n v="1"/>
    <n v="0"/>
    <n v="1"/>
    <n v="1"/>
    <n v="0"/>
    <s v="LOC IT"/>
    <x v="1"/>
    <s v="VIP area"/>
    <x v="34"/>
    <x v="10"/>
  </r>
  <r>
    <s v="TVLGIP"/>
    <s v="TV - Large - IPTV"/>
    <s v="CATV"/>
    <s v=""/>
    <s v=""/>
    <x v="5"/>
    <s v="TVLGIP - TV - Large - IPTV"/>
    <n v="2"/>
    <n v="2"/>
    <n v="0"/>
    <n v="2"/>
    <n v="2"/>
    <n v="0"/>
    <s v="LOC IT"/>
    <x v="1"/>
    <s v="VIP area"/>
    <x v="33"/>
    <x v="10"/>
  </r>
  <r>
    <s v="TVSTND"/>
    <s v="TV Stand - Medium &amp; Large TVs"/>
    <s v="Peripherals"/>
    <s v=""/>
    <s v=""/>
    <x v="6"/>
    <s v="TVSTND - TV Stand - Medium &amp; Large TVs"/>
    <n v="2"/>
    <n v="0"/>
    <n v="0"/>
    <n v="2"/>
    <n v="0"/>
    <n v="0"/>
    <s v="LOC IT"/>
    <x v="1"/>
    <s v="VIP area"/>
    <x v="33"/>
    <x v="10"/>
  </r>
  <r>
    <s v="CABLOK"/>
    <s v="Laptop Cable Lock"/>
    <s v="Peripherals"/>
    <s v="Multi"/>
    <s v=""/>
    <x v="10"/>
    <s v="CABLOK - Laptop Cable Lock"/>
    <n v="1"/>
    <n v="0"/>
    <n v="0"/>
    <n v="1"/>
    <n v="0"/>
    <n v="0"/>
    <s v="FIFA Event Technology"/>
    <x v="0"/>
    <s v="Stadium Media Centre"/>
    <x v="14"/>
    <x v="11"/>
  </r>
  <r>
    <s v="IS00WM"/>
    <s v="Wireless coverage - Internet Service - Wi-Fi Media"/>
    <s v="Network &amp; Connectivity"/>
    <s v=""/>
    <s v="Media Internet Access"/>
    <x v="29"/>
    <s v="IS00WM - Wireless coverage - Internet Service - Wi-Fi Media (Media Internet Access)"/>
    <n v="1"/>
    <n v="0"/>
    <n v="0"/>
    <n v="1"/>
    <n v="0"/>
    <n v="0"/>
    <s v="LOC IT"/>
    <x v="0"/>
    <s v="Stadium Media Centre"/>
    <x v="14"/>
    <x v="11"/>
  </r>
  <r>
    <s v="IS00WM"/>
    <s v="Wireless coverage - Internet Service - Wi-Fi Media"/>
    <s v="Network &amp; Connectivity"/>
    <s v=""/>
    <s v="Media Internet Access"/>
    <x v="29"/>
    <s v="IS00WM - Wireless coverage - Internet Service - Wi-Fi Media (Media Internet Access)"/>
    <n v="1"/>
    <n v="0"/>
    <n v="0"/>
    <n v="1"/>
    <n v="0"/>
    <n v="0"/>
    <s v="LOC IT"/>
    <x v="0"/>
    <s v="Media Tribunes"/>
    <x v="35"/>
    <x v="11"/>
  </r>
  <r>
    <s v="IS00WM"/>
    <s v="Wireless coverage - Internet Service - Wi-Fi Media"/>
    <s v="Network &amp; Connectivity"/>
    <s v=""/>
    <s v="Media Internet Access"/>
    <x v="29"/>
    <s v="IS00WM - Wireless coverage - Internet Service - Wi-Fi Media (Media Internet Access)"/>
    <n v="1"/>
    <n v="0"/>
    <n v="0"/>
    <n v="1"/>
    <n v="0"/>
    <n v="0"/>
    <s v="LOC IT"/>
    <x v="0"/>
    <s v="Pitch 1-9"/>
    <x v="36"/>
    <x v="11"/>
  </r>
  <r>
    <s v="IS00WM"/>
    <s v="Wireless coverage - Internet Service - Wi-Fi Media"/>
    <s v="Network &amp; Connectivity"/>
    <s v=""/>
    <s v="Media Internet Access"/>
    <x v="29"/>
    <s v="IS00WM - Wireless coverage - Internet Service - Wi-Fi Media (Media Internet Access)"/>
    <n v="1"/>
    <n v="0"/>
    <n v="0"/>
    <n v="1"/>
    <n v="0"/>
    <n v="0"/>
    <s v="LOC IT"/>
    <x v="0"/>
    <s v="Pitch 1-9"/>
    <x v="37"/>
    <x v="11"/>
  </r>
  <r>
    <s v="IS00WM"/>
    <s v="Wireless coverage - Internet Service - Wi-Fi Media"/>
    <s v="Network &amp; Connectivity"/>
    <s v=""/>
    <s v="Media Internet Access"/>
    <x v="29"/>
    <s v="IS00WM - Wireless coverage - Internet Service - Wi-Fi Media (Media Internet Access)"/>
    <n v="1"/>
    <n v="0"/>
    <n v="0"/>
    <n v="1"/>
    <n v="0"/>
    <n v="0"/>
    <s v="LOC IT"/>
    <x v="0"/>
    <s v="Pitch 1"/>
    <x v="38"/>
    <x v="11"/>
  </r>
  <r>
    <s v="IS00WM"/>
    <s v="Wireless coverage - Internet Service - Wi-Fi Media"/>
    <s v="Network &amp; Connectivity"/>
    <s v=""/>
    <s v="Media Internet Access"/>
    <x v="29"/>
    <s v="IS00WM - Wireless coverage - Internet Service - Wi-Fi Media (Media Internet Access)"/>
    <n v="1"/>
    <n v="0"/>
    <n v="0"/>
    <n v="1"/>
    <n v="0"/>
    <n v="0"/>
    <s v="LOC IT"/>
    <x v="0"/>
    <s v="Pitch 1"/>
    <x v="39"/>
    <x v="11"/>
  </r>
  <r>
    <s v="IS00WM"/>
    <s v="Wireless coverage - Internet Service - Wi-Fi Media"/>
    <s v="Network &amp; Connectivity"/>
    <s v=""/>
    <s v="Media Internet Access"/>
    <x v="29"/>
    <s v="IS00WM - Wireless coverage - Internet Service - Wi-Fi Media (Media Internet Access)"/>
    <n v="1"/>
    <n v="0"/>
    <n v="0"/>
    <n v="1"/>
    <n v="0"/>
    <n v="0"/>
    <s v="LOC IT"/>
    <x v="0"/>
    <s v="Pitch 2"/>
    <x v="38"/>
    <x v="11"/>
  </r>
  <r>
    <s v="IS00WM"/>
    <s v="Wireless coverage - Internet Service - Wi-Fi Media"/>
    <s v="Network &amp; Connectivity"/>
    <s v=""/>
    <s v="Media Internet Access"/>
    <x v="29"/>
    <s v="IS00WM - Wireless coverage - Internet Service - Wi-Fi Media (Media Internet Access)"/>
    <n v="1"/>
    <n v="0"/>
    <n v="0"/>
    <n v="1"/>
    <n v="0"/>
    <n v="0"/>
    <s v="LOC IT"/>
    <x v="0"/>
    <s v="Pitch 2"/>
    <x v="39"/>
    <x v="11"/>
  </r>
  <r>
    <s v="IS00WM"/>
    <s v="Wireless coverage - Internet Service - Wi-Fi Media"/>
    <s v="Network &amp; Connectivity"/>
    <s v=""/>
    <s v="Media Internet Access"/>
    <x v="29"/>
    <s v="IS00WM - Wireless coverage - Internet Service - Wi-Fi Media (Media Internet Access)"/>
    <n v="1"/>
    <n v="0"/>
    <n v="0"/>
    <n v="1"/>
    <n v="0"/>
    <n v="0"/>
    <s v="LOC IT"/>
    <x v="0"/>
    <s v="Pitch 3"/>
    <x v="38"/>
    <x v="11"/>
  </r>
  <r>
    <s v="IS00WM"/>
    <s v="Wireless coverage - Internet Service - Wi-Fi Media"/>
    <s v="Network &amp; Connectivity"/>
    <s v=""/>
    <s v="Media Internet Access"/>
    <x v="29"/>
    <s v="IS00WM - Wireless coverage - Internet Service - Wi-Fi Media (Media Internet Access)"/>
    <n v="1"/>
    <n v="0"/>
    <n v="0"/>
    <n v="1"/>
    <n v="0"/>
    <n v="0"/>
    <s v="LOC IT"/>
    <x v="0"/>
    <s v="Pitch 3"/>
    <x v="39"/>
    <x v="11"/>
  </r>
  <r>
    <s v="IS00WM"/>
    <s v="Wireless coverage - Internet Service - Wi-Fi Media"/>
    <s v="Network &amp; Connectivity"/>
    <s v=""/>
    <s v="Media Internet Access"/>
    <x v="29"/>
    <s v="IS00WM - Wireless coverage - Internet Service - Wi-Fi Media (Media Internet Access)"/>
    <n v="1"/>
    <n v="0"/>
    <n v="0"/>
    <n v="1"/>
    <n v="0"/>
    <n v="0"/>
    <s v="LOC IT"/>
    <x v="0"/>
    <s v="Pitch 4"/>
    <x v="38"/>
    <x v="11"/>
  </r>
  <r>
    <s v="IS00WM"/>
    <s v="Wireless coverage - Internet Service - Wi-Fi Media"/>
    <s v="Network &amp; Connectivity"/>
    <s v=""/>
    <s v="Media Internet Access"/>
    <x v="29"/>
    <s v="IS00WM - Wireless coverage - Internet Service - Wi-Fi Media (Media Internet Access)"/>
    <n v="1"/>
    <n v="0"/>
    <n v="0"/>
    <n v="1"/>
    <n v="0"/>
    <n v="0"/>
    <s v="LOC IT"/>
    <x v="0"/>
    <s v="Pitch 4"/>
    <x v="39"/>
    <x v="11"/>
  </r>
  <r>
    <s v="IS00WM"/>
    <s v="Wireless coverage - Internet Service - Wi-Fi Media"/>
    <s v="Network &amp; Connectivity"/>
    <s v=""/>
    <s v="Media Internet Access"/>
    <x v="29"/>
    <s v="IS00WM - Wireless coverage - Internet Service - Wi-Fi Media (Media Internet Access)"/>
    <n v="1"/>
    <n v="0"/>
    <n v="0"/>
    <n v="1"/>
    <n v="0"/>
    <n v="0"/>
    <s v="LOC IT"/>
    <x v="0"/>
    <s v="Pitch 5"/>
    <x v="38"/>
    <x v="11"/>
  </r>
  <r>
    <s v="IS00WM"/>
    <s v="Wireless coverage - Internet Service - Wi-Fi Media"/>
    <s v="Network &amp; Connectivity"/>
    <s v=""/>
    <s v="Media Internet Access"/>
    <x v="29"/>
    <s v="IS00WM - Wireless coverage - Internet Service - Wi-Fi Media (Media Internet Access)"/>
    <n v="1"/>
    <n v="0"/>
    <n v="0"/>
    <n v="1"/>
    <n v="0"/>
    <n v="0"/>
    <s v="LOC IT"/>
    <x v="0"/>
    <s v="Pitch 5"/>
    <x v="39"/>
    <x v="11"/>
  </r>
  <r>
    <s v="IS00WM"/>
    <s v="Wireless coverage - Internet Service - Wi-Fi Media"/>
    <s v="Network &amp; Connectivity"/>
    <s v=""/>
    <s v="Media Internet Access"/>
    <x v="29"/>
    <s v="IS00WM - Wireless coverage - Internet Service - Wi-Fi Media (Media Internet Access)"/>
    <n v="1"/>
    <n v="0"/>
    <n v="0"/>
    <n v="1"/>
    <n v="0"/>
    <n v="0"/>
    <s v="LOC IT"/>
    <x v="0"/>
    <s v="Pitch 7"/>
    <x v="38"/>
    <x v="11"/>
  </r>
  <r>
    <s v="IS00WM"/>
    <s v="Wireless coverage - Internet Service - Wi-Fi Media"/>
    <s v="Network &amp; Connectivity"/>
    <s v=""/>
    <s v="Media Internet Access"/>
    <x v="29"/>
    <s v="IS00WM - Wireless coverage - Internet Service - Wi-Fi Media (Media Internet Access)"/>
    <n v="1"/>
    <n v="0"/>
    <n v="0"/>
    <n v="1"/>
    <n v="0"/>
    <n v="0"/>
    <s v="LOC IT"/>
    <x v="0"/>
    <s v="Pitch 7"/>
    <x v="39"/>
    <x v="11"/>
  </r>
  <r>
    <s v="IS00WM"/>
    <s v="Wireless coverage - Internet Service - Wi-Fi Media"/>
    <s v="Network &amp; Connectivity"/>
    <s v=""/>
    <s v="Media Internet Access"/>
    <x v="29"/>
    <s v="IS00WM - Wireless coverage - Internet Service - Wi-Fi Media (Media Internet Access)"/>
    <n v="1"/>
    <n v="0"/>
    <n v="0"/>
    <n v="1"/>
    <n v="0"/>
    <n v="0"/>
    <s v="LOC IT"/>
    <x v="0"/>
    <s v="Pitch 8"/>
    <x v="38"/>
    <x v="11"/>
  </r>
  <r>
    <s v="IS00WM"/>
    <s v="Wireless coverage - Internet Service - Wi-Fi Media"/>
    <s v="Network &amp; Connectivity"/>
    <s v=""/>
    <s v="Media Internet Access"/>
    <x v="29"/>
    <s v="IS00WM - Wireless coverage - Internet Service - Wi-Fi Media (Media Internet Access)"/>
    <n v="1"/>
    <n v="0"/>
    <n v="0"/>
    <n v="1"/>
    <n v="0"/>
    <n v="0"/>
    <s v="LOC IT"/>
    <x v="0"/>
    <s v="Pitch 8"/>
    <x v="39"/>
    <x v="11"/>
  </r>
  <r>
    <s v="IS00WM"/>
    <s v="Wireless coverage - Internet Service - Wi-Fi Media"/>
    <s v="Network &amp; Connectivity"/>
    <s v=""/>
    <s v="Media Internet Access"/>
    <x v="29"/>
    <s v="IS00WM - Wireless coverage - Internet Service - Wi-Fi Media (Media Internet Access)"/>
    <n v="1"/>
    <n v="0"/>
    <n v="0"/>
    <n v="1"/>
    <n v="0"/>
    <n v="0"/>
    <s v="LOC IT"/>
    <x v="0"/>
    <s v="Pitch 9"/>
    <x v="38"/>
    <x v="11"/>
  </r>
  <r>
    <s v="IS00WM"/>
    <s v="Wireless coverage - Internet Service - Wi-Fi Media"/>
    <s v="Network &amp; Connectivity"/>
    <s v=""/>
    <s v="Media Internet Access"/>
    <x v="29"/>
    <s v="IS00WM - Wireless coverage - Internet Service - Wi-Fi Media (Media Internet Access)"/>
    <n v="1"/>
    <n v="0"/>
    <n v="0"/>
    <n v="1"/>
    <n v="0"/>
    <n v="0"/>
    <s v="LOC IT"/>
    <x v="0"/>
    <s v="Pitch 9"/>
    <x v="39"/>
    <x v="11"/>
  </r>
  <r>
    <s v="IS00WM"/>
    <s v="Wireless coverage - Internet Service - Wi-Fi Media"/>
    <s v="Network &amp; Connectivity"/>
    <s v=""/>
    <s v="Media Internet Access"/>
    <x v="29"/>
    <s v="IS00WM - Wireless coverage - Internet Service - Wi-Fi Media (Media Internet Access)"/>
    <n v="1"/>
    <n v="0"/>
    <n v="0"/>
    <n v="1"/>
    <n v="0"/>
    <n v="0"/>
    <s v="LOC IT"/>
    <x v="0"/>
    <s v="Field of Play"/>
    <x v="40"/>
    <x v="11"/>
  </r>
  <r>
    <s v="IS00WM"/>
    <s v="Wireless coverage - Internet Service - Wi-Fi Media"/>
    <s v="Network &amp; Connectivity"/>
    <s v=""/>
    <s v="Media Internet Access"/>
    <x v="29"/>
    <s v="IS00WM - Wireless coverage - Internet Service - Wi-Fi Media (Media Internet Access)"/>
    <n v="1"/>
    <n v="0"/>
    <n v="0"/>
    <n v="1"/>
    <n v="0"/>
    <n v="0"/>
    <s v="LOC IT"/>
    <x v="0"/>
    <s v="Field of Play"/>
    <x v="41"/>
    <x v="11"/>
  </r>
  <r>
    <s v="LAPEVT"/>
    <s v="Laptop - FIFA Event Build"/>
    <s v="FIFA IT Hardware"/>
    <s v="Single"/>
    <s v=""/>
    <x v="17"/>
    <s v="LAPEVT - Laptop - FIFA Event Build"/>
    <n v="1"/>
    <n v="0"/>
    <n v="0"/>
    <n v="1"/>
    <n v="0"/>
    <n v="0"/>
    <s v="FIFA Event Technology"/>
    <x v="0"/>
    <s v="Stadium Media Centre"/>
    <x v="14"/>
    <x v="11"/>
  </r>
  <r>
    <s v="TVLGIP"/>
    <s v="TV - Large - IPTV"/>
    <s v="CATV"/>
    <s v=""/>
    <s v=""/>
    <x v="5"/>
    <s v="TVLGIP - TV - Large - IPTV"/>
    <n v="2"/>
    <n v="2"/>
    <n v="0"/>
    <n v="2"/>
    <n v="2"/>
    <n v="0"/>
    <s v="LOC IT"/>
    <x v="0"/>
    <s v="Stadium Media Centre"/>
    <x v="14"/>
    <x v="11"/>
  </r>
  <r>
    <s v="TVSTND"/>
    <s v="TV Stand - Medium &amp; Large TVs"/>
    <s v="Peripherals"/>
    <s v=""/>
    <s v=""/>
    <x v="6"/>
    <s v="TVSTND - TV Stand - Medium &amp; Large TVs"/>
    <n v="2"/>
    <n v="0"/>
    <n v="0"/>
    <n v="2"/>
    <n v="0"/>
    <n v="0"/>
    <s v="LOC IT"/>
    <x v="0"/>
    <s v="Stadium Media Centre"/>
    <x v="14"/>
    <x v="11"/>
  </r>
  <r>
    <s v="WRDMED"/>
    <s v="Wired Port - Media Internet"/>
    <s v="Network &amp; Connectivity"/>
    <s v=""/>
    <s v="Media Internet Access Media"/>
    <x v="3"/>
    <s v="WRDMED - Wired Port - Media Internet (Media Internet Access Media)"/>
    <n v="5"/>
    <n v="5"/>
    <n v="0"/>
    <n v="5"/>
    <n v="5"/>
    <n v="0"/>
    <s v="LOC IT"/>
    <x v="0"/>
    <s v="Stadium Media Centre"/>
    <x v="14"/>
    <x v="11"/>
  </r>
  <r>
    <s v="AUDUSB"/>
    <s v="Audio transformer SDI to USB"/>
    <s v="Audio"/>
    <s v=""/>
    <s v=""/>
    <x v="30"/>
    <s v="AUDUSB - Audio transformer SDI to USB"/>
    <n v="1"/>
    <n v="0"/>
    <n v="0"/>
    <n v="1"/>
    <n v="0"/>
    <n v="0"/>
    <s v="FIFA Event Technology"/>
    <x v="1"/>
    <s v="Press Conference Room"/>
    <x v="22"/>
    <x v="11"/>
  </r>
  <r>
    <s v="CABLOK"/>
    <s v="Laptop Cable Lock"/>
    <s v="Peripherals"/>
    <s v="Multi"/>
    <s v=""/>
    <x v="10"/>
    <s v="CABLOK - Laptop Cable Lock"/>
    <n v="1"/>
    <n v="0"/>
    <n v="0"/>
    <n v="1"/>
    <n v="0"/>
    <n v="0"/>
    <s v="FIFA Event Technology"/>
    <x v="1"/>
    <s v="Stadium Media Centre"/>
    <x v="42"/>
    <x v="11"/>
  </r>
  <r>
    <s v="CABLOK"/>
    <s v="Laptop Cable Lock"/>
    <s v="Peripherals"/>
    <s v="Multi"/>
    <s v=""/>
    <x v="10"/>
    <s v="CABLOK - Laptop Cable Lock"/>
    <n v="2"/>
    <n v="0"/>
    <n v="0"/>
    <n v="2"/>
    <n v="0"/>
    <n v="0"/>
    <s v="FIFA Event Technology"/>
    <x v="1"/>
    <s v="Press Conference Room"/>
    <x v="22"/>
    <x v="11"/>
  </r>
  <r>
    <s v="CAM001"/>
    <s v="Webcam"/>
    <s v="Peripherals"/>
    <s v="Multi"/>
    <s v=""/>
    <x v="31"/>
    <s v="CAM001 - Webcam"/>
    <n v="1"/>
    <n v="0"/>
    <n v="0"/>
    <n v="1"/>
    <n v="0"/>
    <n v="0"/>
    <s v="FIFA Event Technology"/>
    <x v="1"/>
    <s v="Press Conference Room"/>
    <x v="22"/>
    <x v="11"/>
  </r>
  <r>
    <s v="IS00WM"/>
    <s v="Wireless coverage - Internet Service - Wi-Fi Media"/>
    <s v="Network &amp; Connectivity"/>
    <s v=""/>
    <s v="Media Internet Access"/>
    <x v="29"/>
    <s v="IS00WM - Wireless coverage - Internet Service - Wi-Fi Media (Media Internet Access)"/>
    <n v="1"/>
    <n v="0"/>
    <n v="0"/>
    <n v="1"/>
    <n v="0"/>
    <n v="0"/>
    <s v="LOC IT"/>
    <x v="1"/>
    <s v="Stadium Media Centre"/>
    <x v="43"/>
    <x v="11"/>
  </r>
  <r>
    <s v="IS00WM"/>
    <s v="Wireless coverage - Internet Service - Wi-Fi Media"/>
    <s v="Network &amp; Connectivity"/>
    <s v=""/>
    <s v="Media Internet Access"/>
    <x v="29"/>
    <s v="IS00WM - Wireless coverage - Internet Service - Wi-Fi Media (Media Internet Access)"/>
    <n v="1"/>
    <n v="0"/>
    <n v="0"/>
    <n v="1"/>
    <n v="0"/>
    <n v="0"/>
    <s v="LOC IT"/>
    <x v="1"/>
    <s v="Mixed Zone"/>
    <x v="44"/>
    <x v="11"/>
  </r>
  <r>
    <s v="IS00WM"/>
    <s v="Wireless coverage - Internet Service - Wi-Fi Media"/>
    <s v="Network &amp; Connectivity"/>
    <s v=""/>
    <s v="Media Internet Access"/>
    <x v="29"/>
    <s v="IS00WM - Wireless coverage - Internet Service - Wi-Fi Media (Media Internet Access)"/>
    <n v="1"/>
    <n v="0"/>
    <n v="0"/>
    <n v="1"/>
    <n v="0"/>
    <n v="0"/>
    <s v="LOC IT"/>
    <x v="1"/>
    <s v="Stadium Media Centre"/>
    <x v="45"/>
    <x v="11"/>
  </r>
  <r>
    <s v="IS00WM"/>
    <s v="Wireless coverage - Internet Service - Wi-Fi Media"/>
    <s v="Network &amp; Connectivity"/>
    <s v=""/>
    <s v="Media Internet Access"/>
    <x v="29"/>
    <s v="IS00WM - Wireless coverage - Internet Service - Wi-Fi Media (Media Internet Access)"/>
    <n v="1"/>
    <n v="0"/>
    <n v="0"/>
    <n v="1"/>
    <n v="0"/>
    <n v="0"/>
    <s v="LOC IT"/>
    <x v="1"/>
    <s v="Media Tribunes"/>
    <x v="35"/>
    <x v="11"/>
  </r>
  <r>
    <s v="IS00WM"/>
    <s v="Wireless coverage - Internet Service - Wi-Fi Media"/>
    <s v="Network &amp; Connectivity"/>
    <s v=""/>
    <s v="Media Internet Access"/>
    <x v="29"/>
    <s v="IS00WM - Wireless coverage - Internet Service - Wi-Fi Media (Media Internet Access)"/>
    <n v="1"/>
    <n v="0"/>
    <n v="0"/>
    <n v="1"/>
    <n v="0"/>
    <n v="0"/>
    <s v="LOC IT"/>
    <x v="1"/>
    <s v="Stadium Media Centre"/>
    <x v="42"/>
    <x v="11"/>
  </r>
  <r>
    <s v="IS00WM"/>
    <s v="Wireless coverage - Internet Service - Wi-Fi Media"/>
    <s v="Network &amp; Connectivity"/>
    <s v=""/>
    <s v="Media Internet Access"/>
    <x v="29"/>
    <s v="IS00WM - Wireless coverage - Internet Service - Wi-Fi Media (Media Internet Access)"/>
    <n v="1"/>
    <n v="0"/>
    <n v="0"/>
    <n v="1"/>
    <n v="0"/>
    <n v="0"/>
    <s v="LOC IT"/>
    <x v="1"/>
    <s v="Field of Play"/>
    <x v="36"/>
    <x v="11"/>
  </r>
  <r>
    <s v="IS00WM"/>
    <s v="Wireless coverage - Internet Service - Wi-Fi Media"/>
    <s v="Network &amp; Connectivity"/>
    <s v=""/>
    <s v="Media Internet Access"/>
    <x v="29"/>
    <s v="IS00WM - Wireless coverage - Internet Service - Wi-Fi Media (Media Internet Access)"/>
    <n v="1"/>
    <n v="0"/>
    <n v="0"/>
    <n v="1"/>
    <n v="0"/>
    <n v="0"/>
    <s v="LOC IT"/>
    <x v="1"/>
    <s v="Field of Play"/>
    <x v="37"/>
    <x v="11"/>
  </r>
  <r>
    <s v="IS00WM"/>
    <s v="Wireless coverage - Internet Service - Wi-Fi Media"/>
    <s v="Network &amp; Connectivity"/>
    <s v=""/>
    <s v="Media Internet Access"/>
    <x v="29"/>
    <s v="IS00WM - Wireless coverage - Internet Service - Wi-Fi Media (Media Internet Access)"/>
    <n v="1"/>
    <n v="0"/>
    <n v="0"/>
    <n v="1"/>
    <n v="0"/>
    <n v="0"/>
    <s v="LOC IT"/>
    <x v="1"/>
    <s v="Field of Play"/>
    <x v="41"/>
    <x v="11"/>
  </r>
  <r>
    <s v="IS00WM"/>
    <s v="Wireless coverage - Internet Service - Wi-Fi Media"/>
    <s v="Network &amp; Connectivity"/>
    <s v=""/>
    <s v="Media Internet Access"/>
    <x v="29"/>
    <s v="IS00WM - Wireless coverage - Internet Service - Wi-Fi Media (Media Internet Access)"/>
    <n v="1"/>
    <n v="0"/>
    <n v="0"/>
    <n v="1"/>
    <n v="0"/>
    <n v="0"/>
    <s v="LOC IT"/>
    <x v="1"/>
    <s v="Field of Play"/>
    <x v="40"/>
    <x v="11"/>
  </r>
  <r>
    <s v="IS00WM"/>
    <s v="Wireless coverage - Internet Service - Wi-Fi Media"/>
    <s v="Network &amp; Connectivity"/>
    <s v=""/>
    <s v="Media Internet Access"/>
    <x v="29"/>
    <s v="IS00WM - Wireless coverage - Internet Service - Wi-Fi Media (Media Internet Access)"/>
    <n v="1"/>
    <n v="0"/>
    <n v="0"/>
    <n v="1"/>
    <n v="0"/>
    <n v="0"/>
    <s v="LOC IT"/>
    <x v="1"/>
    <s v="Field of Play"/>
    <x v="38"/>
    <x v="11"/>
  </r>
  <r>
    <s v="IS00WM"/>
    <s v="Wireless coverage - Internet Service - Wi-Fi Media"/>
    <s v="Network &amp; Connectivity"/>
    <s v=""/>
    <s v="Media Internet Access"/>
    <x v="29"/>
    <s v="IS00WM - Wireless coverage - Internet Service - Wi-Fi Media (Media Internet Access)"/>
    <n v="1"/>
    <n v="0"/>
    <n v="0"/>
    <n v="1"/>
    <n v="0"/>
    <n v="0"/>
    <s v="LOC IT"/>
    <x v="1"/>
    <s v="Field of Play"/>
    <x v="39"/>
    <x v="11"/>
  </r>
  <r>
    <s v="IS00Wm"/>
    <s v="Wireless coverage - Internet Service - Wi-Fi Media"/>
    <s v="Network &amp; Connectivity"/>
    <s v=""/>
    <s v="Media Internet Access"/>
    <x v="29"/>
    <s v="IS00Wm - Wireless coverage - Internet Service - Wi-Fi Media (Media Internet Access)"/>
    <n v="1"/>
    <n v="0"/>
    <n v="0"/>
    <n v="1"/>
    <n v="0"/>
    <n v="0"/>
    <s v="LOC IT"/>
    <x v="1"/>
    <s v="Press Conference Room"/>
    <x v="22"/>
    <x v="11"/>
  </r>
  <r>
    <s v="LAPEVT"/>
    <s v="Laptop - FIFA Event Build"/>
    <s v="FIFA IT Hardware"/>
    <s v="Single"/>
    <s v=""/>
    <x v="17"/>
    <s v="LAPEVT - Laptop - FIFA Event Build"/>
    <n v="1"/>
    <n v="0"/>
    <n v="0"/>
    <n v="1"/>
    <n v="0"/>
    <n v="0"/>
    <s v="FIFA Event Technology"/>
    <x v="1"/>
    <s v="Stadium Media Centre"/>
    <x v="42"/>
    <x v="11"/>
  </r>
  <r>
    <s v="LAPEVT"/>
    <s v="Laptop - FIFA Event Build"/>
    <s v="FIFA IT Hardware"/>
    <s v="Single"/>
    <s v=""/>
    <x v="17"/>
    <s v="LAPEVT - Laptop - FIFA Event Build"/>
    <n v="2"/>
    <n v="0"/>
    <n v="0"/>
    <n v="2"/>
    <n v="0"/>
    <n v="0"/>
    <s v="FIFA Event Technology"/>
    <x v="1"/>
    <s v="Press Conference Room"/>
    <x v="22"/>
    <x v="11"/>
  </r>
  <r>
    <s v="TELMOB"/>
    <s v="Telephone - Mobile - Smart Phone"/>
    <s v="Telephony"/>
    <s v="Single"/>
    <s v=""/>
    <x v="21"/>
    <s v="TELMOB - Telephone - Mobile - Smart Phone"/>
    <n v="6"/>
    <n v="0"/>
    <n v="6"/>
    <n v="6"/>
    <n v="0"/>
    <n v="6"/>
    <s v="FIFA Event Technology"/>
    <x v="1"/>
    <s v="Press Conference Room"/>
    <x v="22"/>
    <x v="11"/>
  </r>
  <r>
    <s v="SIMDAT"/>
    <s v="SIM - Data Only"/>
    <s v="Telephony"/>
    <s v=""/>
    <s v=""/>
    <x v="18"/>
    <s v="SIMDAT - SIM - Data Only"/>
    <n v="6"/>
    <n v="0"/>
    <n v="6"/>
    <n v="6"/>
    <n v="0"/>
    <n v="6"/>
    <s v="LOC IT"/>
    <x v="1"/>
    <s v="Press Conference Room"/>
    <x v="22"/>
    <x v="11"/>
  </r>
  <r>
    <s v="TVLGIP"/>
    <s v="TV - Large - IPTV"/>
    <s v="CATV"/>
    <s v=""/>
    <s v=""/>
    <x v="5"/>
    <s v="TVLGIP - TV - Large - IPTV"/>
    <n v="1"/>
    <n v="1"/>
    <n v="0"/>
    <n v="1"/>
    <n v="1"/>
    <n v="0"/>
    <s v="LOC IT"/>
    <x v="1"/>
    <s v="Mixed Zone"/>
    <x v="44"/>
    <x v="11"/>
  </r>
  <r>
    <s v="TVLGIP"/>
    <s v="TV - Large - IPTV"/>
    <s v="CATV"/>
    <s v=""/>
    <s v=""/>
    <x v="5"/>
    <s v="TVLGIP - TV - Large - IPTV"/>
    <n v="1"/>
    <n v="1"/>
    <n v="0"/>
    <n v="1"/>
    <n v="1"/>
    <n v="0"/>
    <s v="LOC IT"/>
    <x v="1"/>
    <s v="Stadium Media Centre"/>
    <x v="45"/>
    <x v="11"/>
  </r>
  <r>
    <s v="TVSTND"/>
    <s v="TV Stand - Medium &amp; Large TVs"/>
    <s v="Peripherals"/>
    <s v=""/>
    <s v=""/>
    <x v="6"/>
    <s v="TVSTND - TV Stand - Medium &amp; Large TVs"/>
    <n v="1"/>
    <n v="0"/>
    <n v="0"/>
    <n v="1"/>
    <n v="0"/>
    <n v="0"/>
    <s v="LOC IT"/>
    <x v="1"/>
    <s v="Mixed Zone"/>
    <x v="44"/>
    <x v="11"/>
  </r>
  <r>
    <s v="TVSTND"/>
    <s v="TV Stand - Medium &amp; Large TVs"/>
    <s v="Peripherals"/>
    <s v=""/>
    <s v=""/>
    <x v="6"/>
    <s v="TVSTND - TV Stand - Medium &amp; Large TVs"/>
    <n v="1"/>
    <n v="0"/>
    <n v="0"/>
    <n v="1"/>
    <n v="0"/>
    <n v="0"/>
    <s v="LOC IT"/>
    <x v="1"/>
    <s v="Stadium Media Centre"/>
    <x v="45"/>
    <x v="11"/>
  </r>
  <r>
    <s v="WRDFTI"/>
    <s v="Wired Port - FTI"/>
    <s v="Network &amp; Connectivity"/>
    <s v=""/>
    <s v="FIFA Technical FTI"/>
    <x v="13"/>
    <s v="WRDFTI - Wired Port - FTI (FIFA Technical FTI)"/>
    <n v="2"/>
    <n v="2"/>
    <n v="0"/>
    <n v="2"/>
    <n v="2"/>
    <n v="0"/>
    <s v="LOC IT"/>
    <x v="1"/>
    <s v="Press Conference Room"/>
    <x v="22"/>
    <x v="11"/>
  </r>
  <r>
    <s v="WRDMED"/>
    <s v="Wired Port - Media Internet"/>
    <s v="Network &amp; Connectivity"/>
    <s v=""/>
    <s v="Media Internet Access Media"/>
    <x v="3"/>
    <s v="WRDMED - Wired Port - Media Internet (Media Internet Access Media)"/>
    <n v="5"/>
    <n v="5"/>
    <n v="0"/>
    <n v="5"/>
    <n v="5"/>
    <n v="0"/>
    <s v="LOC IT"/>
    <x v="1"/>
    <s v="Stadium Media Centre"/>
    <x v="45"/>
    <x v="11"/>
  </r>
  <r>
    <s v="WRDMED"/>
    <s v="Wired Port - Media Internet"/>
    <s v="Network &amp; Connectivity"/>
    <s v=""/>
    <s v="Media Internet Access Media"/>
    <x v="3"/>
    <s v="WRDMED - Wired Port - Media Internet (Media Internet Access Media)"/>
    <n v="1"/>
    <n v="1"/>
    <n v="0"/>
    <n v="1"/>
    <n v="1"/>
    <n v="0"/>
    <s v="LOC IT"/>
    <x v="1"/>
    <s v="Field of Play"/>
    <x v="39"/>
    <x v="11"/>
  </r>
  <r>
    <s v="WRDMED"/>
    <s v="Wired Port - Media Internet"/>
    <s v="Network &amp; Connectivity"/>
    <s v=""/>
    <s v="Media Internet Access Media"/>
    <x v="3"/>
    <s v="WRDMED - Wired Port - Media Internet (Media Internet Access Media)"/>
    <n v="1"/>
    <n v="1"/>
    <n v="0"/>
    <n v="1"/>
    <n v="1"/>
    <n v="0"/>
    <s v="LOC IT"/>
    <x v="1"/>
    <s v="Field of Play"/>
    <x v="38"/>
    <x v="11"/>
  </r>
  <r>
    <s v="AVMSYS"/>
    <s v="AV Solution (Mics + Speakers)"/>
    <s v="Audio"/>
    <s v=""/>
    <s v=""/>
    <x v="32"/>
    <s v="AVMSYS - AV Solution (Mics + Speakers)"/>
    <n v="1"/>
    <n v="0"/>
    <n v="0"/>
    <n v="1"/>
    <n v="0"/>
    <n v="0"/>
    <s v="LOC IT"/>
    <x v="0"/>
    <s v="Referees Accommodation"/>
    <x v="46"/>
    <x v="12"/>
  </r>
  <r>
    <s v="DSKMNT"/>
    <s v="24&quot; Monitor - HDMI/DP"/>
    <s v="Peripherals"/>
    <s v=""/>
    <s v=""/>
    <x v="0"/>
    <s v="DSKMNT - 24&quot; Monitor - HDMI/DP"/>
    <n v="4"/>
    <n v="0"/>
    <n v="0"/>
    <n v="4"/>
    <n v="0"/>
    <n v="0"/>
    <s v="LOC IT"/>
    <x v="0"/>
    <s v="Referees Accommodation"/>
    <x v="47"/>
    <x v="12"/>
  </r>
  <r>
    <s v="DSKMNT"/>
    <s v="24&quot; Monitor - HDMI/DP"/>
    <s v="Peripherals"/>
    <s v=""/>
    <s v=""/>
    <x v="0"/>
    <s v="DSKMNT - 24&quot; Monitor - HDMI/DP"/>
    <n v="0"/>
    <n v="0"/>
    <n v="0"/>
    <n v="2"/>
    <n v="0"/>
    <n v="0"/>
    <s v="LOC IT"/>
    <x v="0"/>
    <s v="Referees Accommodation"/>
    <x v="48"/>
    <x v="12"/>
  </r>
  <r>
    <s v="DSKMNT"/>
    <s v="24&quot; Monitor - HDMI/DP"/>
    <s v="Peripherals"/>
    <s v=""/>
    <s v=""/>
    <x v="0"/>
    <s v="DSKMNT - 24&quot; Monitor - HDMI/DP"/>
    <n v="0"/>
    <n v="0"/>
    <n v="0"/>
    <n v="2"/>
    <n v="0"/>
    <n v="0"/>
    <s v="LOC IT"/>
    <x v="0"/>
    <s v="Referees Accommodation"/>
    <x v="49"/>
    <x v="12"/>
  </r>
  <r>
    <s v="DSKMNT"/>
    <s v="24&quot; Monitor - HDMI/DP"/>
    <s v="Peripherals"/>
    <s v=""/>
    <s v=""/>
    <x v="0"/>
    <s v="DSKMNT - 24&quot; Monitor - HDMI/DP"/>
    <n v="0"/>
    <n v="0"/>
    <n v="0"/>
    <n v="2"/>
    <n v="0"/>
    <n v="0"/>
    <s v="LOC IT"/>
    <x v="0"/>
    <s v="Referees Accommodation"/>
    <x v="50"/>
    <x v="12"/>
  </r>
  <r>
    <s v="IS00WR"/>
    <s v="Wireless coverage - Internet Service -  Referees"/>
    <s v="Network &amp; Connectivity"/>
    <s v=""/>
    <s v="General Internet Access"/>
    <x v="33"/>
    <s v="IS00WR - Wireless coverage - Internet Service -  Referees (General Internet Access)"/>
    <n v="1"/>
    <n v="0"/>
    <n v="0"/>
    <n v="1"/>
    <n v="0"/>
    <n v="0"/>
    <s v="LOC IT"/>
    <x v="0"/>
    <s v="Referees Accommodation"/>
    <x v="47"/>
    <x v="12"/>
  </r>
  <r>
    <s v="IS00WR"/>
    <s v="Wireless coverage - Internet Service -  Referees"/>
    <s v="Network &amp; Connectivity"/>
    <s v=""/>
    <s v="General Internet Access"/>
    <x v="33"/>
    <s v="IS00WR - Wireless coverage - Internet Service -  Referees (General Internet Access)"/>
    <n v="1"/>
    <n v="0"/>
    <n v="0"/>
    <n v="1"/>
    <n v="0"/>
    <n v="0"/>
    <s v="LOC IT"/>
    <x v="0"/>
    <s v="Training site pitch 10-11"/>
    <x v="51"/>
    <x v="12"/>
  </r>
  <r>
    <s v="IS00WR"/>
    <s v="Wireless coverage - Internet Service -  Referees"/>
    <s v="Network &amp; Connectivity"/>
    <s v=""/>
    <s v="General Internet Access"/>
    <x v="33"/>
    <s v="IS00WR - Wireless coverage - Internet Service -  Referees (General Internet Access)"/>
    <n v="1"/>
    <n v="0"/>
    <n v="0"/>
    <n v="1"/>
    <n v="0"/>
    <n v="0"/>
    <s v="LOC IT"/>
    <x v="0"/>
    <s v="Referees Accommodation"/>
    <x v="48"/>
    <x v="12"/>
  </r>
  <r>
    <s v="IS00WR"/>
    <s v="Wireless coverage - Internet Service -  Referees"/>
    <s v="Network &amp; Connectivity"/>
    <s v=""/>
    <s v="General Internet Access"/>
    <x v="33"/>
    <s v="IS00WR - Wireless coverage - Internet Service -  Referees (General Internet Access)"/>
    <n v="1"/>
    <n v="0"/>
    <n v="0"/>
    <n v="1"/>
    <n v="0"/>
    <n v="0"/>
    <s v="LOC IT"/>
    <x v="0"/>
    <s v="Referees Accommodation"/>
    <x v="49"/>
    <x v="12"/>
  </r>
  <r>
    <s v="IS00WR"/>
    <s v="Wireless coverage - Internet Service -  Referees"/>
    <s v="Network &amp; Connectivity"/>
    <s v=""/>
    <s v="General Internet Access"/>
    <x v="33"/>
    <s v="IS00WR - Wireless coverage - Internet Service -  Referees (General Internet Access)"/>
    <n v="1"/>
    <n v="0"/>
    <n v="0"/>
    <n v="1"/>
    <n v="0"/>
    <n v="0"/>
    <s v="LOC IT"/>
    <x v="0"/>
    <s v="Referees Accommodation"/>
    <x v="50"/>
    <x v="12"/>
  </r>
  <r>
    <s v="IS00WR"/>
    <s v="Wireless coverage - Internet Service -  Referees"/>
    <s v="Network &amp; Connectivity"/>
    <s v=""/>
    <s v="General Internet Access"/>
    <x v="33"/>
    <s v="IS00WR - Wireless coverage - Internet Service -  Referees (General Internet Access)"/>
    <n v="1"/>
    <n v="0"/>
    <n v="0"/>
    <n v="1"/>
    <n v="0"/>
    <n v="0"/>
    <s v="LOC IT"/>
    <x v="0"/>
    <s v="Referees Accommodation"/>
    <x v="46"/>
    <x v="12"/>
  </r>
  <r>
    <s v="IS00WR"/>
    <s v="Wireless coverage - Internet Service -  Referees"/>
    <s v="Network &amp; Connectivity"/>
    <s v=""/>
    <s v="General Internet Access"/>
    <x v="33"/>
    <s v="IS00WR - Wireless coverage - Internet Service -  Referees (General Internet Access)"/>
    <n v="1"/>
    <n v="0"/>
    <n v="0"/>
    <n v="1"/>
    <n v="0"/>
    <n v="0"/>
    <s v="LOC IT"/>
    <x v="0"/>
    <s v="Referees Accommodation"/>
    <x v="52"/>
    <x v="12"/>
  </r>
  <r>
    <s v="IS00WR"/>
    <s v="Wireless coverage - Internet Service -  Referees"/>
    <s v="Network &amp; Connectivity"/>
    <s v=""/>
    <s v="General Internet Access"/>
    <x v="33"/>
    <s v="IS00WR - Wireless coverage - Internet Service -  Referees (General Internet Access)"/>
    <n v="1"/>
    <n v="0"/>
    <n v="0"/>
    <n v="1"/>
    <n v="0"/>
    <n v="0"/>
    <s v="LOC IT"/>
    <x v="0"/>
    <s v="Referees Accommodation"/>
    <x v="53"/>
    <x v="12"/>
  </r>
  <r>
    <s v="ITSIBU"/>
    <s v="IT Solution - 4G Internet backup "/>
    <s v="FIFA IT Network Solutions"/>
    <s v=""/>
    <s v=""/>
    <x v="16"/>
    <s v="ITSIBU - IT Solution - 4G Internet backup "/>
    <n v="1"/>
    <n v="0"/>
    <n v="1"/>
    <n v="1"/>
    <n v="0"/>
    <n v="1"/>
    <s v="LOC IT"/>
    <x v="0"/>
    <s v="Training site pitch 10-11"/>
    <x v="51"/>
    <x v="12"/>
  </r>
  <r>
    <s v="LAPPRE"/>
    <s v="Laptop - Presentation Build"/>
    <s v="FIFA IT Hardware"/>
    <s v="Single"/>
    <s v=""/>
    <x v="11"/>
    <s v="LAPPRE - Laptop - Presentation Build"/>
    <n v="3"/>
    <n v="0"/>
    <n v="0"/>
    <n v="3"/>
    <n v="0"/>
    <n v="0"/>
    <s v="FIFA Event Technology"/>
    <x v="0"/>
    <s v="Referees Accommodation"/>
    <x v="52"/>
    <x v="12"/>
  </r>
  <r>
    <s v="TELMOB"/>
    <s v="Telephone - Mobile - Smart Phone"/>
    <s v="Telephony"/>
    <s v="Single"/>
    <s v=""/>
    <x v="21"/>
    <s v="TELMOB - Telephone - Mobile - Smart Phone"/>
    <n v="0"/>
    <n v="0"/>
    <n v="10"/>
    <n v="10"/>
    <n v="0"/>
    <n v="10"/>
    <s v="FIFA Event Technology"/>
    <x v="0"/>
    <s v="Referees Accommodation"/>
    <x v="52"/>
    <x v="12"/>
  </r>
  <r>
    <s v="MFDDNW"/>
    <s v="MFD Desktop - Colour - A4 - Network"/>
    <s v="Reprographics"/>
    <s v=""/>
    <s v="General Internet Access"/>
    <x v="2"/>
    <s v="MFDDNW - MFD Desktop - Colour - A4 - Network (General Internet Access)"/>
    <n v="1"/>
    <n v="1"/>
    <n v="0"/>
    <n v="1"/>
    <n v="1"/>
    <n v="0"/>
    <s v="LOC IT"/>
    <x v="0"/>
    <s v="Referees Accommodation"/>
    <x v="47"/>
    <x v="12"/>
  </r>
  <r>
    <s v="SIMDOM"/>
    <s v="SIM - Domestic"/>
    <s v="Telephony"/>
    <s v=""/>
    <s v=""/>
    <x v="19"/>
    <s v="SIMDOM - SIM - Domestic"/>
    <n v="0"/>
    <n v="0"/>
    <n v="20"/>
    <n v="20"/>
    <n v="0"/>
    <n v="20"/>
    <s v="LOC IT"/>
    <x v="0"/>
    <s v="Referees Accommodation"/>
    <x v="47"/>
    <x v="12"/>
  </r>
  <r>
    <s v="MFDDNW"/>
    <s v="MFD Desktop - Colour - A4 - Network"/>
    <s v="Reprographics"/>
    <s v=""/>
    <s v="General Internet Access"/>
    <x v="2"/>
    <s v="MFDDNW - MFD Desktop - Colour - A4 - Network (General Internet Access)"/>
    <n v="1"/>
    <n v="1"/>
    <n v="0"/>
    <n v="1"/>
    <n v="1"/>
    <n v="0"/>
    <s v="LOC IT"/>
    <x v="0"/>
    <s v="Referees Accommodation"/>
    <x v="50"/>
    <x v="12"/>
  </r>
  <r>
    <s v="MFDLNW"/>
    <s v="MFD Large - Colour - A3 - Network"/>
    <s v="Reprographics"/>
    <s v=""/>
    <s v="General Internet Access"/>
    <x v="34"/>
    <s v="MFDLNW - MFD Large - Colour - A3 - Network (General Internet Access)"/>
    <n v="1"/>
    <n v="1"/>
    <n v="0"/>
    <n v="1"/>
    <n v="1"/>
    <n v="0"/>
    <s v="LOC IT"/>
    <x v="0"/>
    <s v="Referees Accommodation"/>
    <x v="48"/>
    <x v="12"/>
  </r>
  <r>
    <s v="Proj6k"/>
    <s v="Office Projector - 6K"/>
    <s v="Display Devices"/>
    <s v=""/>
    <s v=""/>
    <x v="26"/>
    <s v="Proj6k - Office Projector - 6K"/>
    <n v="1"/>
    <n v="0"/>
    <n v="0"/>
    <n v="1"/>
    <n v="0"/>
    <n v="0"/>
    <s v="LOC IT"/>
    <x v="0"/>
    <s v="Referees Accommodation"/>
    <x v="46"/>
    <x v="12"/>
  </r>
  <r>
    <s v="TVLGIP"/>
    <s v="TV - Large - IPTV"/>
    <s v="CATV"/>
    <s v=""/>
    <s v=""/>
    <x v="5"/>
    <s v="TVLGIP - TV - Large - IPTV"/>
    <n v="2"/>
    <n v="2"/>
    <n v="0"/>
    <n v="2"/>
    <n v="2"/>
    <n v="0"/>
    <s v="LOC IT"/>
    <x v="0"/>
    <s v="Referees Accommodation"/>
    <x v="47"/>
    <x v="12"/>
  </r>
  <r>
    <s v="TVLGIP"/>
    <s v="TV - Large - IPTV"/>
    <s v="CATV"/>
    <s v=""/>
    <s v=""/>
    <x v="5"/>
    <s v="TVLGIP - TV - Large - IPTV"/>
    <n v="2"/>
    <n v="2"/>
    <n v="0"/>
    <n v="2"/>
    <n v="2"/>
    <n v="0"/>
    <s v="LOC IT"/>
    <x v="0"/>
    <s v="Referees Accommodation"/>
    <x v="48"/>
    <x v="12"/>
  </r>
  <r>
    <s v="TVLGIP"/>
    <s v="TV - Large - IPTV"/>
    <s v="CATV"/>
    <s v=""/>
    <s v=""/>
    <x v="5"/>
    <s v="TVLGIP - TV - Large - IPTV"/>
    <n v="1"/>
    <n v="1"/>
    <n v="0"/>
    <n v="1"/>
    <n v="1"/>
    <n v="0"/>
    <s v="LOC IT"/>
    <x v="0"/>
    <s v="Referees Accommodation"/>
    <x v="49"/>
    <x v="12"/>
  </r>
  <r>
    <s v="TVLGIP"/>
    <s v="TV - Large - IPTV"/>
    <s v="CATV"/>
    <s v=""/>
    <s v=""/>
    <x v="5"/>
    <s v="TVLGIP - TV - Large - IPTV"/>
    <n v="2"/>
    <n v="2"/>
    <n v="0"/>
    <n v="2"/>
    <n v="2"/>
    <n v="0"/>
    <s v="LOC IT"/>
    <x v="0"/>
    <s v="Referees Accommodation"/>
    <x v="50"/>
    <x v="12"/>
  </r>
  <r>
    <s v="TVLGIP"/>
    <s v="TV - Large - IPTV"/>
    <s v="CATV"/>
    <s v=""/>
    <s v=""/>
    <x v="5"/>
    <s v="TVLGIP - TV - Large - IPTV"/>
    <n v="1"/>
    <n v="1"/>
    <n v="0"/>
    <n v="1"/>
    <n v="1"/>
    <n v="0"/>
    <s v="LOC IT"/>
    <x v="0"/>
    <s v="Referees Accommodation"/>
    <x v="46"/>
    <x v="12"/>
  </r>
  <r>
    <s v="TVLGIP"/>
    <s v="TV - Large - IPTV"/>
    <s v="CATV"/>
    <s v=""/>
    <s v=""/>
    <x v="5"/>
    <s v="TVLGIP - TV - Large - IPTV"/>
    <n v="2"/>
    <n v="2"/>
    <n v="0"/>
    <n v="2"/>
    <n v="2"/>
    <n v="0"/>
    <s v="LOC IT"/>
    <x v="0"/>
    <s v="Referees Accommodation"/>
    <x v="53"/>
    <x v="12"/>
  </r>
  <r>
    <s v="TVLGSA"/>
    <s v="TV - Large - Standalone"/>
    <s v="Display Devices"/>
    <s v=""/>
    <s v=""/>
    <x v="15"/>
    <s v="TVLGSA - TV - Large - Standalone"/>
    <n v="1"/>
    <n v="0"/>
    <n v="0"/>
    <n v="1"/>
    <n v="0"/>
    <n v="0"/>
    <s v="LOC IT"/>
    <x v="0"/>
    <s v="Training site pitch 10-11"/>
    <x v="51"/>
    <x v="12"/>
  </r>
  <r>
    <s v="TVSTND"/>
    <s v="TV Stand - Medium &amp; Large TVs"/>
    <s v="Peripherals"/>
    <s v=""/>
    <s v=""/>
    <x v="6"/>
    <s v="TVSTND - TV Stand - Medium &amp; Large TVs"/>
    <n v="2"/>
    <n v="0"/>
    <n v="0"/>
    <n v="2"/>
    <n v="0"/>
    <n v="0"/>
    <s v="LOC IT"/>
    <x v="0"/>
    <s v="Referees Accommodation"/>
    <x v="47"/>
    <x v="12"/>
  </r>
  <r>
    <s v="TVSTND"/>
    <s v="TV Stand - Medium &amp; Large TVs"/>
    <s v="Peripherals"/>
    <s v=""/>
    <s v=""/>
    <x v="6"/>
    <s v="TVSTND - TV Stand - Medium &amp; Large TVs"/>
    <n v="1"/>
    <n v="0"/>
    <n v="0"/>
    <n v="1"/>
    <n v="0"/>
    <n v="0"/>
    <s v="LOC IT"/>
    <x v="0"/>
    <s v="Training site pitch 10-11"/>
    <x v="51"/>
    <x v="12"/>
  </r>
  <r>
    <s v="TVSTND"/>
    <s v="TV Stand - Medium &amp; Large TVs"/>
    <s v="Peripherals"/>
    <s v=""/>
    <s v=""/>
    <x v="6"/>
    <s v="TVSTND - TV Stand - Medium &amp; Large TVs"/>
    <n v="2"/>
    <n v="0"/>
    <n v="0"/>
    <n v="2"/>
    <n v="0"/>
    <n v="0"/>
    <s v="LOC IT"/>
    <x v="0"/>
    <s v="Referees Accommodation"/>
    <x v="48"/>
    <x v="12"/>
  </r>
  <r>
    <s v="TVSTND"/>
    <s v="TV Stand - Medium &amp; Large TVs"/>
    <s v="Peripherals"/>
    <s v=""/>
    <s v=""/>
    <x v="6"/>
    <s v="TVSTND - TV Stand - Medium &amp; Large TVs"/>
    <n v="1"/>
    <n v="0"/>
    <n v="0"/>
    <n v="1"/>
    <n v="0"/>
    <n v="0"/>
    <s v="LOC IT"/>
    <x v="0"/>
    <s v="Referees Accommodation"/>
    <x v="49"/>
    <x v="12"/>
  </r>
  <r>
    <s v="TVSTND"/>
    <s v="TV Stand - Medium &amp; Large TVs"/>
    <s v="Peripherals"/>
    <s v=""/>
    <s v=""/>
    <x v="6"/>
    <s v="TVSTND - TV Stand - Medium &amp; Large TVs"/>
    <n v="2"/>
    <n v="0"/>
    <n v="0"/>
    <n v="2"/>
    <n v="0"/>
    <n v="0"/>
    <s v="LOC IT"/>
    <x v="0"/>
    <s v="Referees Accommodation"/>
    <x v="50"/>
    <x v="12"/>
  </r>
  <r>
    <s v="TVSTND"/>
    <s v="TV Stand - Medium &amp; Large TVs"/>
    <s v="Peripherals"/>
    <s v=""/>
    <s v=""/>
    <x v="6"/>
    <s v="TVSTND - TV Stand - Medium &amp; Large TVs"/>
    <n v="1"/>
    <n v="0"/>
    <n v="0"/>
    <n v="1"/>
    <n v="0"/>
    <n v="0"/>
    <s v="LOC IT"/>
    <x v="0"/>
    <s v="Referees Accommodation"/>
    <x v="46"/>
    <x v="12"/>
  </r>
  <r>
    <s v="TVSTND"/>
    <s v="TV Stand - Medium &amp; Large TVs"/>
    <s v="Peripherals"/>
    <s v=""/>
    <s v=""/>
    <x v="6"/>
    <s v="TVSTND - TV Stand - Medium &amp; Large TVs"/>
    <n v="2"/>
    <n v="0"/>
    <n v="0"/>
    <n v="2"/>
    <n v="0"/>
    <n v="0"/>
    <s v="LOC IT"/>
    <x v="0"/>
    <s v="Referees Accommodation"/>
    <x v="53"/>
    <x v="12"/>
  </r>
  <r>
    <s v="WDF100"/>
    <s v="Wired Port - 100Mbps - guaranteed"/>
    <s v="Network &amp; Connectivity"/>
    <s v=""/>
    <s v="FIFA Technical Internet Access"/>
    <x v="35"/>
    <s v="WDF100 - Wired Port - 100Mbps - guaranteed (FIFA Technical Internet Access)"/>
    <n v="1"/>
    <n v="1"/>
    <n v="0"/>
    <n v="1"/>
    <n v="1"/>
    <n v="0"/>
    <s v="LOC IT"/>
    <x v="0"/>
    <s v="Referees Accommodation"/>
    <x v="47"/>
    <x v="12"/>
  </r>
  <r>
    <s v="WRDGEN"/>
    <s v="Wired Port - General Internet "/>
    <s v="Network &amp; Connectivity"/>
    <s v=""/>
    <s v="General Internet Access"/>
    <x v="8"/>
    <s v="WRDGEN - Wired Port - General Internet  (General Internet Access)"/>
    <n v="2"/>
    <n v="2"/>
    <n v="0"/>
    <n v="2"/>
    <n v="2"/>
    <n v="0"/>
    <s v="LOC IT"/>
    <x v="0"/>
    <s v="Referees Accommodation"/>
    <x v="46"/>
    <x v="12"/>
  </r>
  <r>
    <s v="IS00WF"/>
    <s v="Wireless coverage - Shared Internet Service - Wi-Fi FIFA"/>
    <s v="Network &amp; Connectivity"/>
    <s v=""/>
    <s v="General Internet Access"/>
    <x v="1"/>
    <s v="IS00WF - Wireless coverage - Shared Internet Service - Wi-Fi FIFA (General Internet Access)"/>
    <n v="1"/>
    <n v="0"/>
    <n v="0"/>
    <n v="1"/>
    <n v="0"/>
    <n v="0"/>
    <s v="LOC IT"/>
    <x v="0"/>
    <s v="Accelerator Building"/>
    <x v="54"/>
    <x v="13"/>
  </r>
  <r>
    <s v="IS00WF"/>
    <s v="Wireless coverage - Shared Internet Service - Wi-Fi FIFA"/>
    <s v="Network &amp; Connectivity"/>
    <s v=""/>
    <s v="General Internet Access"/>
    <x v="1"/>
    <s v="IS00WF - Wireless coverage - Shared Internet Service - Wi-Fi FIFA (General Internet Access)"/>
    <n v="1"/>
    <n v="0"/>
    <n v="0"/>
    <n v="1"/>
    <n v="0"/>
    <n v="0"/>
    <s v="LOC IT"/>
    <x v="1"/>
    <s v="Security Room (VOC)"/>
    <x v="54"/>
    <x v="13"/>
  </r>
  <r>
    <s v="IS00WS"/>
    <s v="Wireless coverage - Shared Internet Service - Wi-Fi FOOTBALL"/>
    <s v="Network &amp; Connectivity"/>
    <s v=""/>
    <s v="VIP Internet Access"/>
    <x v="36"/>
    <s v="IS00WS - Wireless coverage - Shared Internet Service - Wi-Fi FOOTBALL (VIP Internet Access)"/>
    <n v="1"/>
    <n v="0"/>
    <n v="0"/>
    <n v="8"/>
    <n v="0"/>
    <n v="0"/>
    <s v="LOC IT"/>
    <x v="0"/>
    <s v="Competition area"/>
    <x v="55"/>
    <x v="14"/>
  </r>
  <r>
    <s v="IS00WS"/>
    <s v="Wireless coverage - Shared Internet Service - Wi-Fi FOOTBALL"/>
    <s v="Network &amp; Connectivity"/>
    <s v=""/>
    <s v="VIP Internet Access"/>
    <x v="36"/>
    <s v="IS00WS - Wireless coverage - Shared Internet Service - Wi-Fi FOOTBALL (VIP Internet Access)"/>
    <n v="1"/>
    <n v="0"/>
    <n v="0"/>
    <n v="1"/>
    <n v="0"/>
    <n v="0"/>
    <s v="LOC IT"/>
    <x v="0"/>
    <s v="Competition area"/>
    <x v="56"/>
    <x v="14"/>
  </r>
  <r>
    <s v="IS00WS"/>
    <s v="Wireless coverage - Shared Internet Service - Wi-Fi FOOTBALL"/>
    <s v="Network &amp; Connectivity"/>
    <s v=""/>
    <s v="VIP Internet Access"/>
    <x v="36"/>
    <s v="IS00WS - Wireless coverage - Shared Internet Service - Wi-Fi FOOTBALL (VIP Internet Access)"/>
    <n v="1"/>
    <n v="0"/>
    <n v="0"/>
    <n v="1"/>
    <n v="0"/>
    <n v="0"/>
    <s v="LOC IT"/>
    <x v="1"/>
    <s v="Competition area"/>
    <x v="55"/>
    <x v="14"/>
  </r>
  <r>
    <s v="LAPPRE"/>
    <s v="Laptop - Presentation Build"/>
    <s v="FIFA IT Hardware"/>
    <s v="Single"/>
    <s v=""/>
    <x v="11"/>
    <s v="LAPPRE - Laptop - Presentation Build"/>
    <n v="1"/>
    <n v="0"/>
    <n v="0"/>
    <n v="1"/>
    <n v="0"/>
    <n v="0"/>
    <s v="FIFA Event Technology"/>
    <x v="0"/>
    <s v="Aspire Dome - level 2"/>
    <x v="1"/>
    <x v="14"/>
  </r>
  <r>
    <s v="DSKMNT"/>
    <s v="24&quot; Monitor - HDMI/DP"/>
    <s v="Peripherals"/>
    <s v=""/>
    <s v=""/>
    <x v="0"/>
    <s v="DSKMNT - 24&quot; Monitor - HDMI/DP"/>
    <n v="2"/>
    <n v="0"/>
    <n v="0"/>
    <n v="2"/>
    <n v="0"/>
    <n v="0"/>
    <s v="LOC IT"/>
    <x v="0"/>
    <s v="Aspire Dome - level 2"/>
    <x v="1"/>
    <x v="15"/>
  </r>
  <r>
    <s v="TABLEN"/>
    <s v="Tablet - FIFA Professional Tablet + 4G"/>
    <s v="FIFA IT Hardware"/>
    <s v="Single"/>
    <s v=""/>
    <x v="7"/>
    <s v="TABLEN - Tablet - FIFA Professional Tablet + 4G"/>
    <n v="2"/>
    <n v="0"/>
    <n v="2"/>
    <n v="2"/>
    <n v="0"/>
    <n v="2"/>
    <s v="FIFA Event Technology"/>
    <x v="0"/>
    <s v="Aspire Dome - level 2"/>
    <x v="1"/>
    <x v="15"/>
  </r>
  <r>
    <s v="DSKMNT"/>
    <s v="24&quot; Monitor - HDMI/DP"/>
    <s v="Peripherals"/>
    <s v=""/>
    <s v=""/>
    <x v="0"/>
    <s v="DSKMNT - 24&quot; Monitor - HDMI/DP"/>
    <n v="2"/>
    <n v="0"/>
    <n v="0"/>
    <n v="2"/>
    <n v="0"/>
    <n v="0"/>
    <s v="LOC IT"/>
    <x v="0"/>
    <s v="Aspire Dome - level 2"/>
    <x v="1"/>
    <x v="16"/>
  </r>
  <r>
    <s v="IS00WF"/>
    <s v="Wireless coverage - Shared Internet Service - Wi-Fi FIFA"/>
    <s v="Network &amp; Connectivity"/>
    <s v=""/>
    <s v="General Internet Access"/>
    <x v="1"/>
    <s v="IS00WF - Wireless coverage - Shared Internet Service - Wi-Fi FIFA (General Internet Access)"/>
    <n v="1"/>
    <n v="0"/>
    <n v="0"/>
    <n v="1"/>
    <n v="0"/>
    <n v="0"/>
    <s v="LOC IT"/>
    <x v="0"/>
    <s v="Aspire Dome - level 2"/>
    <x v="1"/>
    <x v="17"/>
  </r>
  <r>
    <s v="IS00WF"/>
    <s v="Wireless coverage - Shared Internet Service - Wi-Fi FIFA"/>
    <s v="Network &amp; Connectivity"/>
    <s v=""/>
    <s v="General Internet Access"/>
    <x v="1"/>
    <s v="IS00WF - Wireless coverage - Shared Internet Service - Wi-Fi FIFA (General Internet Access)"/>
    <n v="1"/>
    <n v="0"/>
    <n v="0"/>
    <n v="1"/>
    <n v="0"/>
    <n v="0"/>
    <s v="LOC IT"/>
    <x v="1"/>
    <s v="Stadium Offices"/>
    <x v="57"/>
    <x v="17"/>
  </r>
  <r>
    <s v="MFDLNW"/>
    <s v="MFD Large - Colour - A3 - Network"/>
    <s v="Reprographics"/>
    <s v=""/>
    <s v="General Internet Access"/>
    <x v="34"/>
    <s v="MFDLNW - MFD Large - Colour - A3 - Network (General Internet Access)"/>
    <n v="1"/>
    <n v="1"/>
    <n v="0"/>
    <n v="1"/>
    <n v="1"/>
    <n v="0"/>
    <s v="LOC IT"/>
    <x v="0"/>
    <s v="Aspire Dome - level 2"/>
    <x v="1"/>
    <x v="17"/>
  </r>
  <r>
    <s v="MFDDNW"/>
    <s v="MFD Desktop - Colour - A4 - Network"/>
    <s v="Reprographics"/>
    <s v=""/>
    <s v="General Internet Access"/>
    <x v="2"/>
    <s v="MFDDNW - MFD Desktop - Colour - A4 - Network (General Internet Access)"/>
    <n v="1"/>
    <n v="1"/>
    <n v="0"/>
    <n v="1"/>
    <n v="1"/>
    <n v="0"/>
    <s v="LOC IT"/>
    <x v="1"/>
    <s v="Stadium Offices"/>
    <x v="57"/>
    <x v="17"/>
  </r>
  <r>
    <s v="RADIO"/>
    <s v="Radio PMR In Stadium"/>
    <s v="Radio"/>
    <s v=""/>
    <s v=""/>
    <x v="37"/>
    <s v="RADIO - Radio PMR In Stadium"/>
    <n v="50"/>
    <n v="0"/>
    <n v="0"/>
    <n v="50"/>
    <n v="0"/>
    <n v="0"/>
    <s v="LOC IT"/>
    <x v="0"/>
    <s v="Aspire Dome "/>
    <x v="58"/>
    <x v="17"/>
  </r>
  <r>
    <s v="IS00WF"/>
    <s v="Wireless coverage - Shared Internet Service - Wi-Fi FIFA"/>
    <s v="Network &amp; Connectivity"/>
    <s v=""/>
    <s v="General Internet Access"/>
    <x v="1"/>
    <s v="IS00WF - Wireless coverage - Shared Internet Service - Wi-Fi FIFA (General Internet Access)"/>
    <n v="1"/>
    <n v="0"/>
    <n v="0"/>
    <n v="1"/>
    <n v="0"/>
    <n v="0"/>
    <s v="LOC IT"/>
    <x v="0"/>
    <s v="Aspire Dome - level 1"/>
    <x v="59"/>
    <x v="18"/>
  </r>
  <r>
    <s v="LAPEVT"/>
    <s v="Laptop - FIFA Event Build"/>
    <s v="FIFA IT Hardware"/>
    <s v="Single"/>
    <s v=""/>
    <x v="17"/>
    <s v="LAPEVT - Laptop - FIFA Event Build"/>
    <n v="2"/>
    <n v="0"/>
    <n v="0"/>
    <n v="3"/>
    <n v="0"/>
    <n v="0"/>
    <s v="FIFA Event Technology"/>
    <x v="0"/>
    <s v="Aspire Dome - level 1"/>
    <x v="59"/>
    <x v="18"/>
  </r>
  <r>
    <s v="MFDDNW"/>
    <s v="MFD Desktop - Colour - A4 - Network"/>
    <s v="Reprographics"/>
    <s v=""/>
    <s v="General Internet Access"/>
    <x v="2"/>
    <s v="MFDDNW - MFD Desktop - Colour - A4 - Network (General Internet Access)"/>
    <n v="1"/>
    <n v="1"/>
    <n v="0"/>
    <n v="1"/>
    <n v="1"/>
    <n v="0"/>
    <s v="LOC IT"/>
    <x v="0"/>
    <s v="Aspire Dome - level 1"/>
    <x v="59"/>
    <x v="18"/>
  </r>
  <r>
    <s v="TABLEN"/>
    <s v="Tablet - FIFA Professional Tablet + 4G"/>
    <s v="FIFA IT Hardware"/>
    <s v="Single"/>
    <s v=""/>
    <x v="7"/>
    <s v="TABLEN - Tablet - FIFA Professional Tablet + 4G"/>
    <n v="2"/>
    <n v="0"/>
    <n v="2"/>
    <n v="2"/>
    <n v="0"/>
    <n v="2"/>
    <s v="FIFA Event Technology"/>
    <x v="0"/>
    <s v="Aspire Dome - level 1"/>
    <x v="59"/>
    <x v="18"/>
  </r>
  <r>
    <s v="TELMOB"/>
    <s v="Telephone - Mobile - Smart Phone"/>
    <s v="Telephony"/>
    <s v="Single"/>
    <s v=""/>
    <x v="21"/>
    <s v="TELMOB - Telephone - Mobile - Smart Phone"/>
    <n v="1"/>
    <n v="0"/>
    <n v="1"/>
    <n v="1"/>
    <n v="0"/>
    <n v="1"/>
    <s v="FIFA Event Technology"/>
    <x v="0"/>
    <s v="Aspire Dome - level 1"/>
    <x v="59"/>
    <x v="18"/>
  </r>
  <r>
    <s v="TELMOB"/>
    <s v="Telephone - Mobile - Smart Phone"/>
    <s v="Telephony"/>
    <s v="Single"/>
    <s v=""/>
    <x v="21"/>
    <s v="TELMOB - Telephone - Mobile - Smart Phone"/>
    <n v="1"/>
    <n v="0"/>
    <n v="1"/>
    <n v="1"/>
    <n v="0"/>
    <n v="1"/>
    <s v="FIFA Event Technology"/>
    <x v="0"/>
    <s v="Aspire Dome - level 1"/>
    <x v="59"/>
    <x v="18"/>
  </r>
  <r>
    <s v="TVLGIP"/>
    <s v="TV - Large - IPTV"/>
    <s v="CATV"/>
    <s v=""/>
    <s v=""/>
    <x v="5"/>
    <s v="TVLGIP - TV - Large - IPTV"/>
    <n v="1"/>
    <n v="1"/>
    <n v="0"/>
    <n v="1"/>
    <n v="1"/>
    <n v="0"/>
    <s v="LOC IT"/>
    <x v="0"/>
    <s v="Aspire Dome - level 1"/>
    <x v="59"/>
    <x v="18"/>
  </r>
  <r>
    <s v="TVSTND"/>
    <s v="TV Stand - Medium &amp; Large TVs"/>
    <s v="Peripherals"/>
    <s v=""/>
    <s v=""/>
    <x v="6"/>
    <s v="TVSTND - TV Stand - Medium &amp; Large TVs"/>
    <n v="1"/>
    <n v="0"/>
    <n v="0"/>
    <n v="1"/>
    <n v="0"/>
    <n v="0"/>
    <s v="LOC IT"/>
    <x v="0"/>
    <s v="Aspire Dome - level 1"/>
    <x v="59"/>
    <x v="18"/>
  </r>
  <r>
    <s v="DSKMNT"/>
    <s v="24&quot; Monitor - HDMI/DP"/>
    <s v="Peripherals"/>
    <s v=""/>
    <s v=""/>
    <x v="0"/>
    <s v="DSKMNT - 24&quot; Monitor - HDMI/DP"/>
    <n v="1"/>
    <n v="0"/>
    <n v="0"/>
    <n v="1"/>
    <n v="0"/>
    <n v="0"/>
    <s v="LOC IT"/>
    <x v="0"/>
    <s v="Aspire Dome - level 2"/>
    <x v="1"/>
    <x v="19"/>
  </r>
  <r>
    <s v="IS00WF"/>
    <s v="Wireless coverage - Shared Internet Service - Wi-Fi FIFA"/>
    <s v="Network &amp; Connectivity"/>
    <s v=""/>
    <s v="General Internet Access"/>
    <x v="1"/>
    <s v="IS00WF - Wireless coverage - Shared Internet Service - Wi-Fi FIFA (General Internet Access)"/>
    <n v="1"/>
    <n v="0"/>
    <n v="0"/>
    <n v="1"/>
    <n v="0"/>
    <n v="0"/>
    <s v="LOC IT"/>
    <x v="1"/>
    <s v="FIFA/LOC Offices"/>
    <x v="1"/>
    <x v="19"/>
  </r>
  <r>
    <s v="IS00WF"/>
    <s v="Wireless coverage - Shared Internet Service - Wi-Fi FIFA"/>
    <s v="Network &amp; Connectivity"/>
    <s v=""/>
    <s v="General Internet Access"/>
    <x v="1"/>
    <s v="IS00WF - Wireless coverage - Shared Internet Service - Wi-Fi FIFA (General Internet Access)"/>
    <n v="1"/>
    <n v="0"/>
    <n v="0"/>
    <n v="1"/>
    <n v="0"/>
    <n v="0"/>
    <s v="LOC IT"/>
    <x v="0"/>
    <s v="Aspire Dome - level 2"/>
    <x v="1"/>
    <x v="19"/>
  </r>
  <r>
    <s v="IS00WF"/>
    <s v="Wireless coverage - Shared Internet Service - Wi-Fi FIFA"/>
    <s v="Network &amp; Connectivity"/>
    <s v=""/>
    <s v="General Internet Access"/>
    <x v="1"/>
    <s v="IS00WF - Wireless coverage - Shared Internet Service - Wi-Fi FIFA (General Internet Access)"/>
    <n v="1"/>
    <n v="0"/>
    <n v="0"/>
    <n v="1"/>
    <n v="0"/>
    <n v="0"/>
    <s v="LOC IT"/>
    <x v="0"/>
    <s v="Aspire Dome - level 1"/>
    <x v="60"/>
    <x v="19"/>
  </r>
  <r>
    <s v="IS00WF"/>
    <s v="Wireless coverage - Shared Internet Service - Wi-Fi FIFA"/>
    <s v="Network &amp; Connectivity"/>
    <s v=""/>
    <s v="General Internet Access"/>
    <x v="1"/>
    <s v="IS00WF - Wireless coverage - Shared Internet Service - Wi-Fi FIFA (General Internet Access)"/>
    <n v="1"/>
    <n v="0"/>
    <n v="0"/>
    <n v="1"/>
    <n v="0"/>
    <n v="0"/>
    <s v="LOC IT"/>
    <x v="0"/>
    <s v="Aspire Dome - level 2"/>
    <x v="61"/>
    <x v="19"/>
  </r>
  <r>
    <s v="IS00WF"/>
    <s v="Wireless coverage - Shared Internet Service - Wi-Fi FIFA"/>
    <s v="Network &amp; Connectivity"/>
    <s v=""/>
    <s v="General Internet Access"/>
    <x v="1"/>
    <s v="IS00WF - Wireless coverage - Shared Internet Service - Wi-Fi FIFA (General Internet Access)"/>
    <n v="1"/>
    <n v="0"/>
    <n v="0"/>
    <n v="1"/>
    <n v="0"/>
    <n v="0"/>
    <s v="LOC IT"/>
    <x v="0"/>
    <s v="Aspire Dome - level 2"/>
    <x v="62"/>
    <x v="19"/>
  </r>
  <r>
    <s v="IS00WF"/>
    <s v="Wireless coverage - Shared Internet Service - Wi-Fi FIFA"/>
    <s v="Network &amp; Connectivity"/>
    <s v=""/>
    <s v="General Internet Access"/>
    <x v="1"/>
    <s v="IS00WF - Wireless coverage - Shared Internet Service - Wi-Fi FIFA (General Internet Access)"/>
    <n v="1"/>
    <n v="0"/>
    <n v="0"/>
    <n v="1"/>
    <n v="0"/>
    <n v="0"/>
    <s v="LOC IT"/>
    <x v="0"/>
    <s v="Aspire Dome - level 1"/>
    <x v="63"/>
    <x v="19"/>
  </r>
  <r>
    <s v="TVLGIP"/>
    <s v="TV - Large - IPTV"/>
    <s v="CATV"/>
    <s v=""/>
    <s v=""/>
    <x v="5"/>
    <s v="TVLGIP - TV - Large - IPTV"/>
    <n v="2"/>
    <n v="4"/>
    <n v="0"/>
    <n v="4"/>
    <n v="4"/>
    <n v="0"/>
    <s v="LOC IT"/>
    <x v="0"/>
    <s v="Aspire Dome - level 2"/>
    <x v="1"/>
    <x v="19"/>
  </r>
  <r>
    <s v="TVLGSA"/>
    <s v="TV - Large - Standalone"/>
    <s v="Display Devices"/>
    <s v=""/>
    <s v=""/>
    <x v="15"/>
    <s v="TVLGSA - TV - Large - Standalone"/>
    <n v="1"/>
    <n v="0"/>
    <n v="0"/>
    <n v="1"/>
    <n v="0"/>
    <n v="0"/>
    <s v="LOC IT"/>
    <x v="0"/>
    <s v="Aspire Dome - level 2"/>
    <x v="1"/>
    <x v="19"/>
  </r>
  <r>
    <s v="TVSTND"/>
    <s v="TV Stand - Medium &amp; Large TVs"/>
    <s v="Peripherals"/>
    <s v=""/>
    <s v=""/>
    <x v="6"/>
    <s v="TVSTND - TV Stand - Medium &amp; Large TVs"/>
    <n v="3"/>
    <n v="0"/>
    <n v="0"/>
    <n v="5"/>
    <n v="0"/>
    <n v="0"/>
    <s v="LOC IT"/>
    <x v="0"/>
    <s v="Aspire Dome - level 2"/>
    <x v="1"/>
    <x v="19"/>
  </r>
  <r>
    <s v="IS00WF"/>
    <s v="Wireless coverage - Shared Internet Service - Wi-Fi FIFA"/>
    <s v="Network &amp; Connectivity"/>
    <s v=""/>
    <s v="General Internet Access"/>
    <x v="1"/>
    <s v="IS00WF - Wireless coverage - Shared Internet Service - Wi-Fi FIFA (General Internet Access)"/>
    <n v="1"/>
    <n v="0"/>
    <n v="0"/>
    <n v="1"/>
    <n v="0"/>
    <n v="0"/>
    <s v="LOC IT"/>
    <x v="0"/>
    <s v="Aspire Dome - level 1"/>
    <x v="64"/>
    <x v="20"/>
  </r>
  <r>
    <s v="IS00WF"/>
    <s v="Wireless coverage - Shared Internet Service - Wi-Fi FIFA"/>
    <s v="Network &amp; Connectivity"/>
    <s v=""/>
    <s v="General Internet Access"/>
    <x v="1"/>
    <s v="IS00WF - Wireless coverage - Shared Internet Service - Wi-Fi FIFA (General Internet Access)"/>
    <n v="1"/>
    <n v="0"/>
    <n v="0"/>
    <n v="1"/>
    <n v="0"/>
    <n v="0"/>
    <s v="LOC IT"/>
    <x v="0"/>
    <s v="Stadium Perimeter"/>
    <x v="65"/>
    <x v="20"/>
  </r>
  <r>
    <s v="IS00WF"/>
    <s v="Wireless coverage - Shared Internet Service - Wi-Fi FIFA"/>
    <s v="Network &amp; Connectivity"/>
    <s v=""/>
    <s v="General Internet Access"/>
    <x v="1"/>
    <s v="IS00WF - Wireless coverage - Shared Internet Service - Wi-Fi FIFA (General Internet Access)"/>
    <n v="1"/>
    <n v="0"/>
    <n v="0"/>
    <n v="1"/>
    <n v="0"/>
    <n v="0"/>
    <s v="LOC IT"/>
    <x v="0"/>
    <s v="Stadium Perimeter"/>
    <x v="66"/>
    <x v="20"/>
  </r>
  <r>
    <s v="IS00WF"/>
    <s v="Wireless coverage - Shared Internet Service - Wi-Fi FIFA"/>
    <s v="Network &amp; Connectivity"/>
    <s v=""/>
    <s v="General Internet Access"/>
    <x v="1"/>
    <s v="IS00WF - Wireless coverage - Shared Internet Service - Wi-Fi FIFA (General Internet Access)"/>
    <n v="1"/>
    <n v="0"/>
    <n v="0"/>
    <n v="1"/>
    <n v="0"/>
    <n v="0"/>
    <s v="LOC IT"/>
    <x v="0"/>
    <s v="Stadium Perimeter"/>
    <x v="67"/>
    <x v="20"/>
  </r>
  <r>
    <s v="ITSIBU"/>
    <s v="IT Solution - 4G Internet backup "/>
    <s v="FIFA IT Network Solutions"/>
    <s v=""/>
    <s v=""/>
    <x v="16"/>
    <s v="ITSIBU - IT Solution - 4G Internet backup "/>
    <n v="4"/>
    <n v="0"/>
    <n v="1"/>
    <n v="1"/>
    <n v="0"/>
    <n v="1"/>
    <s v="LOC IT"/>
    <x v="1"/>
    <s v="Stadium Perimeter"/>
    <x v="68"/>
    <x v="20"/>
  </r>
  <r>
    <s v="TVLGIP"/>
    <s v="TV - Large - IPTV"/>
    <s v="CATV"/>
    <s v=""/>
    <s v=""/>
    <x v="5"/>
    <s v="TVLGIP - TV - Large - IPTV"/>
    <n v="1"/>
    <n v="1"/>
    <n v="0"/>
    <n v="1"/>
    <n v="1"/>
    <n v="0"/>
    <s v="LOC IT"/>
    <x v="0"/>
    <s v="Aspire Dome - level 1"/>
    <x v="64"/>
    <x v="20"/>
  </r>
  <r>
    <s v="TVSTND"/>
    <s v="TV Stand - Medium &amp; Large TVs"/>
    <s v="Peripherals"/>
    <s v=""/>
    <s v=""/>
    <x v="6"/>
    <s v="TVSTND - TV Stand - Medium &amp; Large TVs"/>
    <n v="1"/>
    <n v="0"/>
    <n v="0"/>
    <n v="1"/>
    <n v="0"/>
    <n v="0"/>
    <s v="LOC IT"/>
    <x v="0"/>
    <s v="Aspire Dome - level 1"/>
    <x v="64"/>
    <x v="20"/>
  </r>
  <r>
    <s v="WRDMED"/>
    <s v="Wired Port - Media Internet"/>
    <s v="Network &amp; Connectivity"/>
    <s v=""/>
    <s v="Media Internet Access Media"/>
    <x v="3"/>
    <s v="WRDMED - Wired Port - Media Internet (Media Internet Access Media)"/>
    <n v="1"/>
    <n v="1"/>
    <n v="0"/>
    <n v="1"/>
    <n v="1"/>
    <n v="0"/>
    <s v="LOC IT"/>
    <x v="1"/>
    <s v="Field of Play"/>
    <x v="69"/>
    <x v="20"/>
  </r>
  <r>
    <s v="TABLEN"/>
    <s v="Tablet - FIFA Professional Tablet + 4G"/>
    <s v="FIFA IT Hardware"/>
    <s v="Single"/>
    <s v=""/>
    <x v="7"/>
    <s v="TABLEN - Tablet - FIFA Professional Tablet + 4G"/>
    <n v="1"/>
    <n v="0"/>
    <n v="1"/>
    <n v="1"/>
    <n v="0"/>
    <n v="1"/>
    <s v="FIFA Event Technology"/>
    <x v="0"/>
    <s v="Aspire Dome - level 2"/>
    <x v="1"/>
    <x v="2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6">
  <r>
    <s v="DSKMNT"/>
    <x v="0"/>
    <x v="0"/>
    <s v=""/>
    <s v=""/>
    <s v="24&quot; PC Monitor"/>
    <s v="DSKMNT - 24&quot; Monitor - HDMI/DP"/>
    <n v="5"/>
    <n v="0"/>
    <n v="0"/>
    <n v="1"/>
    <n v="0"/>
    <n v="0"/>
    <x v="0"/>
    <x v="0"/>
    <x v="0"/>
    <x v="0"/>
    <x v="0"/>
    <s v="Entertainment"/>
    <m/>
  </r>
  <r>
    <s v="DSKMNT"/>
    <x v="0"/>
    <x v="0"/>
    <s v=""/>
    <s v=""/>
    <s v="24&quot; PC Monitor"/>
    <s v="DSKMNT - 24&quot; Monitor - HDMI/DP"/>
    <n v="5"/>
    <n v="0"/>
    <n v="0"/>
    <n v="1"/>
    <n v="0"/>
    <n v="0"/>
    <x v="0"/>
    <x v="0"/>
    <x v="1"/>
    <x v="0"/>
    <x v="0"/>
    <s v="Entertainment"/>
    <m/>
  </r>
  <r>
    <s v="DSKMNT"/>
    <x v="0"/>
    <x v="0"/>
    <s v=""/>
    <s v=""/>
    <s v="24&quot; PC Monitor"/>
    <s v="DSKMNT - 24&quot; Monitor - HDMI/DP"/>
    <n v="5"/>
    <n v="0"/>
    <n v="0"/>
    <n v="1"/>
    <n v="0"/>
    <n v="0"/>
    <x v="0"/>
    <x v="0"/>
    <x v="2"/>
    <x v="0"/>
    <x v="0"/>
    <s v="Entertainment"/>
    <m/>
  </r>
  <r>
    <s v="DSKMNT"/>
    <x v="0"/>
    <x v="0"/>
    <s v=""/>
    <s v=""/>
    <s v="24&quot; PC Monitor"/>
    <s v="DSKMNT - 24&quot; Monitor - HDMI/DP"/>
    <n v="5"/>
    <n v="0"/>
    <n v="0"/>
    <n v="1"/>
    <n v="0"/>
    <n v="0"/>
    <x v="0"/>
    <x v="0"/>
    <x v="3"/>
    <x v="0"/>
    <x v="0"/>
    <s v="Entertainment"/>
    <m/>
  </r>
  <r>
    <s v="DSKMNT"/>
    <x v="0"/>
    <x v="0"/>
    <s v=""/>
    <s v=""/>
    <s v="24&quot; PC Monitor"/>
    <s v="DSKMNT - 24&quot; Monitor - HDMI/DP"/>
    <n v="5"/>
    <n v="0"/>
    <n v="0"/>
    <n v="1"/>
    <n v="0"/>
    <n v="0"/>
    <x v="0"/>
    <x v="0"/>
    <x v="4"/>
    <x v="0"/>
    <x v="0"/>
    <s v="Entertainment"/>
    <m/>
  </r>
  <r>
    <s v="DSKMNT"/>
    <x v="0"/>
    <x v="0"/>
    <s v=""/>
    <s v=""/>
    <s v="24&quot; PC Monitor"/>
    <s v="DSKMNT - 24&quot; Monitor - HDMI/DP"/>
    <n v="5"/>
    <n v="0"/>
    <n v="0"/>
    <n v="1"/>
    <n v="0"/>
    <n v="0"/>
    <x v="0"/>
    <x v="0"/>
    <x v="5"/>
    <x v="0"/>
    <x v="0"/>
    <s v="Entertainment"/>
    <m/>
  </r>
  <r>
    <s v="DSKMNT"/>
    <x v="0"/>
    <x v="0"/>
    <s v=""/>
    <s v=""/>
    <s v="24&quot; PC Monitor"/>
    <s v="DSKMNT - 24&quot; Monitor - HDMI/DP"/>
    <n v="5"/>
    <n v="0"/>
    <n v="0"/>
    <n v="1"/>
    <n v="0"/>
    <n v="0"/>
    <x v="0"/>
    <x v="0"/>
    <x v="6"/>
    <x v="0"/>
    <x v="0"/>
    <s v="Entertainment"/>
    <m/>
  </r>
  <r>
    <s v="DSKMNT"/>
    <x v="0"/>
    <x v="0"/>
    <s v=""/>
    <s v=""/>
    <s v="24&quot; PC Monitor"/>
    <s v="DSKMNT - 24&quot; Monitor - HDMI/DP"/>
    <n v="5"/>
    <n v="0"/>
    <n v="0"/>
    <n v="1"/>
    <n v="0"/>
    <n v="0"/>
    <x v="0"/>
    <x v="0"/>
    <x v="7"/>
    <x v="0"/>
    <x v="0"/>
    <s v="Entertainment"/>
    <m/>
  </r>
  <r>
    <s v="IS00WF"/>
    <x v="1"/>
    <x v="1"/>
    <s v=""/>
    <s v="General Internet Access"/>
    <s v="Wireless coverage - Shared Internet Service - FIFA"/>
    <s v="IS00WF - Wireless coverage - Shared Internet Service - Wi-Fi FIFA (General Internet Access)"/>
    <n v="1"/>
    <n v="0"/>
    <n v="0"/>
    <n v="1"/>
    <n v="0"/>
    <n v="0"/>
    <x v="0"/>
    <x v="1"/>
    <x v="8"/>
    <x v="0"/>
    <x v="0"/>
    <s v="Entertainment"/>
    <m/>
  </r>
  <r>
    <s v="DSKMNT"/>
    <x v="0"/>
    <x v="0"/>
    <s v=""/>
    <s v=""/>
    <s v="24&quot; PC Monitor"/>
    <s v="DSKMNT - 24&quot; Monitor - HDMI/DP"/>
    <n v="1"/>
    <n v="0"/>
    <n v="0"/>
    <n v="1"/>
    <n v="0"/>
    <n v="0"/>
    <x v="0"/>
    <x v="1"/>
    <x v="8"/>
    <x v="0"/>
    <x v="0"/>
    <s v="Entertainment"/>
    <m/>
  </r>
  <r>
    <s v="IS00WF"/>
    <x v="1"/>
    <x v="1"/>
    <s v=""/>
    <s v="General Internet Access"/>
    <s v="Wireless coverage - Shared Internet Service - FIFA"/>
    <s v="IS00WF - Wireless coverage - Shared Internet Service - Wi-Fi FIFA (General Internet Access)"/>
    <n v="1"/>
    <n v="0"/>
    <n v="0"/>
    <n v="1"/>
    <n v="0"/>
    <n v="0"/>
    <x v="0"/>
    <x v="0"/>
    <x v="9"/>
    <x v="0"/>
    <x v="0"/>
    <s v="Entertainment"/>
    <s v="around CR/each pitch"/>
  </r>
  <r>
    <s v="MFDDNW"/>
    <x v="2"/>
    <x v="2"/>
    <s v=""/>
    <s v="General Internet Access"/>
    <s v="Colour Printer / Scanner (A4)"/>
    <s v="MFDDNW - MFD Desktop - Colour - A4 - Network (General Internet Access)"/>
    <n v="1"/>
    <n v="1"/>
    <n v="0"/>
    <n v="1"/>
    <n v="1"/>
    <n v="0"/>
    <x v="0"/>
    <x v="1"/>
    <x v="8"/>
    <x v="0"/>
    <x v="0"/>
    <s v="Entertainment"/>
    <m/>
  </r>
  <r>
    <s v="WRDMED"/>
    <x v="3"/>
    <x v="1"/>
    <s v=""/>
    <s v="Media Internet Access Media"/>
    <s v="Wired Port - Internet for Media"/>
    <s v="WRDMED - Wired Port - Media Internet (Media Internet Access Media)"/>
    <n v="2"/>
    <n v="3"/>
    <n v="0"/>
    <n v="3"/>
    <n v="3"/>
    <n v="0"/>
    <x v="0"/>
    <x v="1"/>
    <x v="8"/>
    <x v="0"/>
    <x v="0"/>
    <s v="Entertainment"/>
    <s v="100Mb/Cable"/>
  </r>
  <r>
    <s v="WRDMED"/>
    <x v="3"/>
    <x v="1"/>
    <s v=""/>
    <s v="Media Internet Access Media"/>
    <s v="Wired Port - Internet for Media"/>
    <s v="WRDMED - Wired Port - Media Internet (Media Internet Access Media)"/>
    <n v="5"/>
    <n v="3"/>
    <n v="0"/>
    <n v="3"/>
    <n v="3"/>
    <n v="0"/>
    <x v="0"/>
    <x v="0"/>
    <x v="0"/>
    <x v="0"/>
    <x v="0"/>
    <s v="Entertainment"/>
    <s v="1 Control Rooms/pitch (100Mb x LAN)"/>
  </r>
  <r>
    <s v="WRDMED"/>
    <x v="3"/>
    <x v="1"/>
    <s v=""/>
    <s v="Media Internet Access Media"/>
    <s v="Wired Port - Internet for Media"/>
    <s v="WRDMED - Wired Port - Media Internet (Media Internet Access Media)"/>
    <n v="5"/>
    <n v="3"/>
    <n v="0"/>
    <n v="3"/>
    <n v="3"/>
    <n v="0"/>
    <x v="0"/>
    <x v="0"/>
    <x v="1"/>
    <x v="0"/>
    <x v="0"/>
    <s v="Entertainment"/>
    <s v="1 Control Rooms/pitch (100Mb x LAN)"/>
  </r>
  <r>
    <s v="WRDMED"/>
    <x v="3"/>
    <x v="1"/>
    <s v=""/>
    <s v="Media Internet Access Media"/>
    <s v="Wired Port - Internet for Media"/>
    <s v="WRDMED - Wired Port - Media Internet (Media Internet Access Media)"/>
    <n v="5"/>
    <n v="3"/>
    <n v="0"/>
    <n v="3"/>
    <n v="3"/>
    <n v="0"/>
    <x v="0"/>
    <x v="0"/>
    <x v="2"/>
    <x v="0"/>
    <x v="0"/>
    <s v="Entertainment"/>
    <s v="1 Control Rooms/pitch (100Mb x LAN)"/>
  </r>
  <r>
    <s v="WRDMED"/>
    <x v="3"/>
    <x v="1"/>
    <s v=""/>
    <s v="Media Internet Access Media"/>
    <s v="Wired Port - Internet for Media"/>
    <s v="WRDMED - Wired Port - Media Internet (Media Internet Access Media)"/>
    <n v="5"/>
    <n v="3"/>
    <n v="0"/>
    <n v="3"/>
    <n v="3"/>
    <n v="0"/>
    <x v="0"/>
    <x v="0"/>
    <x v="3"/>
    <x v="0"/>
    <x v="0"/>
    <s v="Entertainment"/>
    <s v="1 Control Rooms/pitch (100Mb x LAN)"/>
  </r>
  <r>
    <s v="WRDMED"/>
    <x v="3"/>
    <x v="1"/>
    <s v=""/>
    <s v="Media Internet Access Media"/>
    <s v="Wired Port - Internet for Media"/>
    <s v="WRDMED - Wired Port - Media Internet (Media Internet Access Media)"/>
    <n v="5"/>
    <n v="3"/>
    <n v="0"/>
    <n v="3"/>
    <n v="3"/>
    <n v="0"/>
    <x v="0"/>
    <x v="0"/>
    <x v="4"/>
    <x v="0"/>
    <x v="0"/>
    <s v="Entertainment"/>
    <s v="1 Control Rooms/pitch (100Mb x LAN)"/>
  </r>
  <r>
    <s v="WRDMED"/>
    <x v="3"/>
    <x v="1"/>
    <s v=""/>
    <s v="Media Internet Access Media"/>
    <s v="Wired Port - Internet for Media"/>
    <s v="WRDMED - Wired Port - Media Internet (Media Internet Access Media)"/>
    <n v="5"/>
    <n v="3"/>
    <n v="0"/>
    <n v="3"/>
    <n v="3"/>
    <n v="0"/>
    <x v="0"/>
    <x v="0"/>
    <x v="5"/>
    <x v="0"/>
    <x v="0"/>
    <s v="Entertainment"/>
    <s v="1 Control Rooms/pitch (100Mb x LAN)"/>
  </r>
  <r>
    <s v="WRDMED"/>
    <x v="3"/>
    <x v="1"/>
    <s v=""/>
    <s v="Media Internet Access Media"/>
    <s v="Wired Port - Internet for Media"/>
    <s v="WRDMED - Wired Port - Media Internet (Media Internet Access Media)"/>
    <n v="5"/>
    <n v="3"/>
    <n v="0"/>
    <n v="3"/>
    <n v="3"/>
    <n v="0"/>
    <x v="0"/>
    <x v="0"/>
    <x v="6"/>
    <x v="0"/>
    <x v="0"/>
    <s v="Entertainment"/>
    <s v="1 Control Rooms/pitch (100Mb x LAN)"/>
  </r>
  <r>
    <s v="WRDMED"/>
    <x v="3"/>
    <x v="1"/>
    <s v=""/>
    <s v="Media Internet Access Media"/>
    <s v="Wired Port - Internet for Media"/>
    <s v="WRDMED - Wired Port - Media Internet (Media Internet Access Media)"/>
    <n v="5"/>
    <n v="3"/>
    <n v="0"/>
    <n v="3"/>
    <n v="3"/>
    <n v="0"/>
    <x v="0"/>
    <x v="0"/>
    <x v="7"/>
    <x v="0"/>
    <x v="0"/>
    <s v="Entertainment"/>
    <s v="1 Control Rooms/pitch (100Mb x LAN)"/>
  </r>
  <r>
    <s v="WRDSTU"/>
    <x v="4"/>
    <x v="1"/>
    <s v=""/>
    <s v="FIFA Technical Content"/>
    <s v="Wired Port - Content"/>
    <s v="WRDSTU - Wired Port - Content (FIFA Technical Content)"/>
    <n v="0"/>
    <n v="3"/>
    <n v="0"/>
    <n v="3"/>
    <n v="3"/>
    <n v="0"/>
    <x v="0"/>
    <x v="0"/>
    <x v="10"/>
    <x v="1"/>
    <x v="1"/>
    <s v="FIFA Content"/>
    <s v="50Mb/cable, Location TBC"/>
  </r>
  <r>
    <s v="DSKMNT"/>
    <x v="0"/>
    <x v="0"/>
    <s v=""/>
    <s v=""/>
    <s v="24&quot; PC Monitor"/>
    <s v="DSKMNT - 24&quot; Monitor - HDMI/DP"/>
    <n v="0"/>
    <n v="0"/>
    <n v="0"/>
    <n v="3"/>
    <n v="0"/>
    <n v="0"/>
    <x v="0"/>
    <x v="0"/>
    <x v="10"/>
    <x v="1"/>
    <x v="1"/>
    <s v="FIFA Content"/>
    <s v="50Mb/cable, Location TBC"/>
  </r>
  <r>
    <s v="WRDSTU"/>
    <x v="4"/>
    <x v="1"/>
    <s v=""/>
    <s v="FIFA Technical Content"/>
    <s v="Wired Port - Content"/>
    <s v="WRDSTU - Wired Port - Content (FIFA Technical Content)"/>
    <n v="0"/>
    <n v="3"/>
    <n v="0"/>
    <n v="3"/>
    <n v="3"/>
    <n v="0"/>
    <x v="0"/>
    <x v="1"/>
    <x v="11"/>
    <x v="2"/>
    <x v="1"/>
    <s v="FIFA Content"/>
    <s v="Location TBC"/>
  </r>
  <r>
    <s v="DSKMNT"/>
    <x v="0"/>
    <x v="0"/>
    <s v=""/>
    <s v=""/>
    <s v="24&quot; PC Monitor"/>
    <s v="DSKMNT - 24&quot; Monitor - HDMI/DP"/>
    <n v="0"/>
    <n v="0"/>
    <n v="0"/>
    <n v="3"/>
    <n v="0"/>
    <n v="0"/>
    <x v="0"/>
    <x v="1"/>
    <x v="11"/>
    <x v="2"/>
    <x v="1"/>
    <s v="FIFA Content"/>
    <s v="Location TBC"/>
  </r>
  <r>
    <s v="IS00WF"/>
    <x v="1"/>
    <x v="1"/>
    <s v=""/>
    <s v="General Internet Access"/>
    <s v="Wireless coverage - Shared Internet Service - FIFA"/>
    <s v="IS00WF - Wireless coverage - Shared Internet Service - Wi-Fi FIFA (General Internet Access)"/>
    <n v="1"/>
    <n v="0"/>
    <n v="0"/>
    <n v="1"/>
    <n v="0"/>
    <n v="0"/>
    <x v="0"/>
    <x v="1"/>
    <x v="12"/>
    <x v="3"/>
    <x v="2"/>
    <s v="FIFA Anti Doping"/>
    <m/>
  </r>
  <r>
    <s v="TVLGIP"/>
    <x v="5"/>
    <x v="3"/>
    <s v=""/>
    <s v=""/>
    <s v="Large TV - CATV Feed"/>
    <s v="TVLGIP - TV - Large - IPTV"/>
    <n v="1"/>
    <n v="1"/>
    <n v="0"/>
    <n v="1"/>
    <n v="1"/>
    <n v="0"/>
    <x v="0"/>
    <x v="1"/>
    <x v="12"/>
    <x v="3"/>
    <x v="2"/>
    <s v="FIFA Anti Doping"/>
    <m/>
  </r>
  <r>
    <s v="TVSTND"/>
    <x v="6"/>
    <x v="0"/>
    <s v=""/>
    <s v=""/>
    <s v="TV Stand for medium and large TVs"/>
    <s v="TVSTND - TV Stand - Medium &amp; Large TVs"/>
    <n v="1"/>
    <n v="0"/>
    <n v="0"/>
    <n v="1"/>
    <n v="0"/>
    <n v="0"/>
    <x v="0"/>
    <x v="1"/>
    <x v="12"/>
    <x v="3"/>
    <x v="2"/>
    <s v="FIFA Anti Doping"/>
    <m/>
  </r>
  <r>
    <s v="IS00WF"/>
    <x v="1"/>
    <x v="1"/>
    <s v=""/>
    <s v="General Internet Access"/>
    <s v="Wireless coverage - Shared Internet Service - FIFA"/>
    <s v="IS00WF - Wireless coverage - Shared Internet Service - Wi-Fi FIFA (General Internet Access)"/>
    <n v="1"/>
    <n v="0"/>
    <n v="0"/>
    <n v="1"/>
    <n v="0"/>
    <n v="0"/>
    <x v="0"/>
    <x v="0"/>
    <x v="13"/>
    <x v="3"/>
    <x v="2"/>
    <s v="FIFA Anti Doping"/>
    <m/>
  </r>
  <r>
    <s v="TABLEN"/>
    <x v="7"/>
    <x v="4"/>
    <s v="Single"/>
    <s v=""/>
    <s v="Professional Series Tablet + 4G"/>
    <s v="TABLEN - Tablet - FIFA Professional Tablet + 4G"/>
    <n v="4"/>
    <n v="0"/>
    <n v="4"/>
    <n v="4"/>
    <n v="0"/>
    <n v="4"/>
    <x v="1"/>
    <x v="0"/>
    <x v="13"/>
    <x v="3"/>
    <x v="2"/>
    <s v="FIFA Anti Doping"/>
    <s v="MODOC app to be installed/available in Play Store"/>
  </r>
  <r>
    <s v="TVLGIP"/>
    <x v="5"/>
    <x v="3"/>
    <s v=""/>
    <s v=""/>
    <s v="Large TV - CATV Feed"/>
    <s v="TVLGIP - TV - Large - IPTV"/>
    <n v="1"/>
    <n v="1"/>
    <n v="0"/>
    <n v="1"/>
    <n v="1"/>
    <n v="0"/>
    <x v="0"/>
    <x v="0"/>
    <x v="13"/>
    <x v="3"/>
    <x v="2"/>
    <s v="FIFA Anti Doping"/>
    <m/>
  </r>
  <r>
    <s v="TVSTND"/>
    <x v="6"/>
    <x v="0"/>
    <s v=""/>
    <s v=""/>
    <s v="TV Stand for medium and large TVs"/>
    <s v="TVSTND - TV Stand - Medium &amp; Large TVs"/>
    <n v="1"/>
    <n v="0"/>
    <n v="0"/>
    <n v="1"/>
    <n v="0"/>
    <n v="0"/>
    <x v="0"/>
    <x v="0"/>
    <x v="13"/>
    <x v="3"/>
    <x v="2"/>
    <s v="FIFA Anti Doping"/>
    <m/>
  </r>
  <r>
    <s v="IS00WF"/>
    <x v="1"/>
    <x v="1"/>
    <s v=""/>
    <s v="General Internet Access"/>
    <s v="Wireless coverage - Shared Internet Service - FIFA"/>
    <s v="IS00WF - Wireless coverage - Shared Internet Service - Wi-Fi FIFA (General Internet Access)"/>
    <n v="1"/>
    <n v="0"/>
    <n v="0"/>
    <n v="1"/>
    <n v="0"/>
    <n v="0"/>
    <x v="0"/>
    <x v="0"/>
    <x v="14"/>
    <x v="4"/>
    <x v="3"/>
    <s v="FIFA Broadcast"/>
    <m/>
  </r>
  <r>
    <s v="MFDDNW"/>
    <x v="2"/>
    <x v="2"/>
    <s v=""/>
    <s v="General Internet Access"/>
    <s v="Colour Printer / Scanner (A4)"/>
    <s v="MFDDNW - MFD Desktop - Colour - A4 - Network (General Internet Access)"/>
    <n v="1"/>
    <n v="1"/>
    <n v="0"/>
    <n v="1"/>
    <n v="1"/>
    <n v="0"/>
    <x v="0"/>
    <x v="0"/>
    <x v="14"/>
    <x v="4"/>
    <x v="3"/>
    <s v="FIFA Broadcast"/>
    <m/>
  </r>
  <r>
    <s v="WRDGEN"/>
    <x v="8"/>
    <x v="1"/>
    <s v=""/>
    <s v="General Internet Access"/>
    <s v="Wired Port - Internet"/>
    <s v="WRDGEN - Wired Port - General Internet  (General Internet Access)"/>
    <n v="6"/>
    <n v="1"/>
    <n v="0"/>
    <n v="1"/>
    <n v="1"/>
    <n v="0"/>
    <x v="0"/>
    <x v="0"/>
    <x v="14"/>
    <x v="4"/>
    <x v="3"/>
    <s v="FIFA Broadcast"/>
    <m/>
  </r>
  <r>
    <s v="WRDSTU"/>
    <x v="4"/>
    <x v="1"/>
    <s v=""/>
    <s v="FIFA Technical Content"/>
    <s v="Wired Port - Content"/>
    <s v="WRDSTU - Wired Port - Content (FIFA Technical Content)"/>
    <n v="1"/>
    <n v="1"/>
    <n v="0"/>
    <n v="1"/>
    <n v="1"/>
    <n v="0"/>
    <x v="0"/>
    <x v="0"/>
    <x v="14"/>
    <x v="4"/>
    <x v="3"/>
    <s v="FIFA Broadcast"/>
    <m/>
  </r>
  <r>
    <s v="IS00WF"/>
    <x v="1"/>
    <x v="1"/>
    <s v=""/>
    <s v="General Internet Access"/>
    <s v="Wireless coverage - Shared Internet Service - FIFA"/>
    <s v="IS00WF - Wireless coverage - Shared Internet Service - Wi-Fi FIFA (General Internet Access)"/>
    <n v="1"/>
    <n v="0"/>
    <n v="0"/>
    <n v="1"/>
    <n v="0"/>
    <n v="0"/>
    <x v="0"/>
    <x v="0"/>
    <x v="15"/>
    <x v="5"/>
    <x v="3"/>
    <s v="FIFA Broadcast"/>
    <m/>
  </r>
  <r>
    <s v="MFDDNW"/>
    <x v="2"/>
    <x v="2"/>
    <s v=""/>
    <s v="General Internet Access"/>
    <s v="Colour Printer / Scanner (A4)"/>
    <s v="MFDDNW - MFD Desktop - Colour - A4 - Network (General Internet Access)"/>
    <n v="1"/>
    <n v="1"/>
    <n v="0"/>
    <n v="1"/>
    <n v="1"/>
    <n v="0"/>
    <x v="0"/>
    <x v="0"/>
    <x v="15"/>
    <x v="5"/>
    <x v="3"/>
    <s v="FIFA Broadcast"/>
    <m/>
  </r>
  <r>
    <s v="WRDGEN"/>
    <x v="8"/>
    <x v="1"/>
    <s v=""/>
    <s v="General Internet Access"/>
    <s v="Wired Port - Internet"/>
    <s v="WRDGEN - Wired Port - General Internet  (General Internet Access)"/>
    <n v="6"/>
    <n v="1"/>
    <n v="0"/>
    <n v="1"/>
    <n v="1"/>
    <n v="0"/>
    <x v="0"/>
    <x v="0"/>
    <x v="15"/>
    <x v="5"/>
    <x v="3"/>
    <s v="FIFA Broadcast"/>
    <m/>
  </r>
  <r>
    <s v="WRDSTU"/>
    <x v="4"/>
    <x v="1"/>
    <s v=""/>
    <s v="FIFA Technical Content"/>
    <s v="Wired Port - Content"/>
    <s v="WRDSTU - Wired Port - Content (FIFA Technical Content)"/>
    <n v="1"/>
    <n v="1"/>
    <n v="0"/>
    <n v="1"/>
    <n v="1"/>
    <n v="0"/>
    <x v="0"/>
    <x v="0"/>
    <x v="15"/>
    <x v="5"/>
    <x v="3"/>
    <s v="FIFA Broadcast"/>
    <m/>
  </r>
  <r>
    <s v="WRDSTR"/>
    <x v="9"/>
    <x v="1"/>
    <s v=""/>
    <s v="Stream Fabs &amp; W Feed"/>
    <s v="Wired Port - Stream &amp; World feed"/>
    <s v="WRDSTR - Wired Port - Stream &amp; World feed (Stream Fabs &amp; W Feed)"/>
    <n v="1"/>
    <n v="1"/>
    <n v="0"/>
    <n v="1"/>
    <n v="1"/>
    <n v="0"/>
    <x v="0"/>
    <x v="0"/>
    <x v="5"/>
    <x v="6"/>
    <x v="3"/>
    <s v="FIFA Broadcast"/>
    <s v="LOC TBC if Wired"/>
  </r>
  <r>
    <s v="WRDSTR"/>
    <x v="9"/>
    <x v="1"/>
    <s v=""/>
    <s v="Stream Fabs &amp; W Feed"/>
    <s v="Wired Port - Stream &amp; World feed"/>
    <s v="WRDSTR - Wired Port - Stream &amp; World feed (Stream Fabs &amp; W Feed)"/>
    <n v="1"/>
    <n v="1"/>
    <n v="0"/>
    <n v="1"/>
    <n v="1"/>
    <n v="0"/>
    <x v="0"/>
    <x v="0"/>
    <x v="5"/>
    <x v="7"/>
    <x v="3"/>
    <s v="FIFA Broadcast"/>
    <s v="LOC TBC if Wired"/>
  </r>
  <r>
    <s v="WRDSTR"/>
    <x v="9"/>
    <x v="1"/>
    <s v=""/>
    <s v="Stream Fabs &amp; W Feed"/>
    <s v="Wired Port - Stream &amp; World feed"/>
    <s v="WRDSTR - Wired Port - Stream &amp; World feed (Stream Fabs &amp; W Feed)"/>
    <n v="1"/>
    <n v="1"/>
    <n v="0"/>
    <n v="1"/>
    <n v="1"/>
    <n v="0"/>
    <x v="0"/>
    <x v="0"/>
    <x v="5"/>
    <x v="8"/>
    <x v="3"/>
    <s v="FIFA Broadcast"/>
    <s v="LOC TBC if Wired"/>
  </r>
  <r>
    <s v="WRDSTR"/>
    <x v="9"/>
    <x v="1"/>
    <s v=""/>
    <s v="Stream Fabs &amp; W Feed"/>
    <s v="Wired Port - Stream &amp; World feed"/>
    <s v="WRDSTR - Wired Port - Stream &amp; World feed (Stream Fabs &amp; W Feed)"/>
    <n v="1"/>
    <n v="1"/>
    <n v="0"/>
    <n v="1"/>
    <n v="1"/>
    <n v="0"/>
    <x v="0"/>
    <x v="0"/>
    <x v="5"/>
    <x v="9"/>
    <x v="3"/>
    <s v="FIFA Broadcast"/>
    <s v="LOC TBC if Wired"/>
  </r>
  <r>
    <s v="WRDSTR"/>
    <x v="9"/>
    <x v="1"/>
    <s v=""/>
    <s v="Stream Fabs &amp; W Feed"/>
    <s v="Wired Port - Stream &amp; World feed"/>
    <s v="WRDSTR - Wired Port - Stream &amp; World feed (Stream Fabs &amp; W Feed)"/>
    <n v="1"/>
    <n v="1"/>
    <n v="0"/>
    <n v="1"/>
    <n v="1"/>
    <n v="0"/>
    <x v="0"/>
    <x v="0"/>
    <x v="4"/>
    <x v="6"/>
    <x v="3"/>
    <s v="FIFA Broadcast"/>
    <s v="LOC TBC if Wired"/>
  </r>
  <r>
    <s v="WRDSTR"/>
    <x v="9"/>
    <x v="1"/>
    <s v=""/>
    <s v="Stream Fabs &amp; W Feed"/>
    <s v="Wired Port - Stream &amp; World feed"/>
    <s v="WRDSTR - Wired Port - Stream &amp; World feed (Stream Fabs &amp; W Feed)"/>
    <n v="1"/>
    <n v="1"/>
    <n v="0"/>
    <n v="1"/>
    <n v="1"/>
    <n v="0"/>
    <x v="0"/>
    <x v="0"/>
    <x v="4"/>
    <x v="7"/>
    <x v="3"/>
    <s v="FIFA Broadcast"/>
    <s v="LOC TBC if Wired"/>
  </r>
  <r>
    <s v="WRDSTR"/>
    <x v="9"/>
    <x v="1"/>
    <s v=""/>
    <s v="Stream Fabs &amp; W Feed"/>
    <s v="Wired Port - Stream &amp; World feed"/>
    <s v="WRDSTR - Wired Port - Stream &amp; World feed (Stream Fabs &amp; W Feed)"/>
    <n v="1"/>
    <n v="1"/>
    <n v="0"/>
    <n v="1"/>
    <n v="1"/>
    <n v="0"/>
    <x v="0"/>
    <x v="0"/>
    <x v="4"/>
    <x v="8"/>
    <x v="3"/>
    <s v="FIFA Broadcast"/>
    <s v="LOC TBC if Wired"/>
  </r>
  <r>
    <s v="WRDSTR"/>
    <x v="9"/>
    <x v="1"/>
    <s v=""/>
    <s v="Stream Fabs &amp; W Feed"/>
    <s v="Wired Port - Stream &amp; World feed"/>
    <s v="WRDSTR - Wired Port - Stream &amp; World feed (Stream Fabs &amp; W Feed)"/>
    <n v="1"/>
    <n v="1"/>
    <n v="0"/>
    <n v="1"/>
    <n v="1"/>
    <n v="0"/>
    <x v="0"/>
    <x v="0"/>
    <x v="4"/>
    <x v="9"/>
    <x v="3"/>
    <s v="FIFA Broadcast"/>
    <s v="LOC TBC if Wired"/>
  </r>
  <r>
    <s v="WRDGEN"/>
    <x v="8"/>
    <x v="1"/>
    <s v=""/>
    <s v="General Internet Access"/>
    <s v="Wired Port - Internet"/>
    <s v="WRDGEN - Wired Port - General Internet  (General Internet Access)"/>
    <n v="2"/>
    <n v="2"/>
    <n v="0"/>
    <n v="2"/>
    <n v="2"/>
    <n v="0"/>
    <x v="0"/>
    <x v="0"/>
    <x v="14"/>
    <x v="10"/>
    <x v="3"/>
    <s v="FIFA Broadcast"/>
    <s v="1 general 1 backup (50Mb)"/>
  </r>
  <r>
    <s v="WRDGEN"/>
    <x v="8"/>
    <x v="1"/>
    <s v=""/>
    <s v="General Internet Access"/>
    <s v="Wired Port - Internet"/>
    <s v="WRDGEN - Wired Port - General Internet  (General Internet Access)"/>
    <n v="2"/>
    <n v="2"/>
    <n v="0"/>
    <n v="2"/>
    <n v="2"/>
    <n v="0"/>
    <x v="0"/>
    <x v="0"/>
    <x v="15"/>
    <x v="11"/>
    <x v="3"/>
    <s v="FIFA Broadcast"/>
    <s v="1 general 1 backup (50Mb)"/>
  </r>
  <r>
    <s v="WRDGEN"/>
    <x v="8"/>
    <x v="1"/>
    <s v=""/>
    <s v="General Internet Access"/>
    <s v="Wired Port - Internet"/>
    <s v="WRDGEN - Wired Port - General Internet  (General Internet Access)"/>
    <n v="1"/>
    <n v="1"/>
    <n v="0"/>
    <n v="1"/>
    <n v="1"/>
    <n v="0"/>
    <x v="0"/>
    <x v="0"/>
    <x v="14"/>
    <x v="12"/>
    <x v="3"/>
    <s v="FIFA Broadcast"/>
    <m/>
  </r>
  <r>
    <s v="WRDSTR"/>
    <x v="9"/>
    <x v="1"/>
    <s v=""/>
    <s v="Stream Fabs &amp; W Feed"/>
    <s v="Wired Port - Stream &amp; World feed"/>
    <s v="WRDSTR - Wired Port - Stream &amp; World feed (Stream Fabs &amp; W Feed)"/>
    <n v="3"/>
    <n v="12"/>
    <n v="0"/>
    <n v="12"/>
    <n v="12"/>
    <n v="0"/>
    <x v="0"/>
    <x v="0"/>
    <x v="14"/>
    <x v="12"/>
    <x v="3"/>
    <s v="FIFA Broadcast"/>
    <s v="high speed 50Mb 4 games"/>
  </r>
  <r>
    <s v="WRDGEN"/>
    <x v="8"/>
    <x v="1"/>
    <s v=""/>
    <s v="General Internet Access"/>
    <s v="Wired Port - Internet"/>
    <s v="WRDGEN - Wired Port - General Internet  (General Internet Access)"/>
    <n v="1"/>
    <n v="1"/>
    <n v="0"/>
    <n v="1"/>
    <n v="1"/>
    <n v="0"/>
    <x v="0"/>
    <x v="0"/>
    <x v="15"/>
    <x v="13"/>
    <x v="3"/>
    <s v="FIFA Broadcast"/>
    <m/>
  </r>
  <r>
    <s v="WRDSTR"/>
    <x v="9"/>
    <x v="1"/>
    <s v=""/>
    <s v="Stream Fabs &amp; W Feed"/>
    <s v="Wired Port - Stream &amp; World feed"/>
    <s v="WRDSTR - Wired Port - Stream &amp; World feed (Stream Fabs &amp; W Feed)"/>
    <n v="3"/>
    <n v="4"/>
    <n v="0"/>
    <n v="4"/>
    <n v="4"/>
    <n v="0"/>
    <x v="0"/>
    <x v="0"/>
    <x v="15"/>
    <x v="13"/>
    <x v="3"/>
    <s v="FIFA Broadcast"/>
    <s v="high speed 50Mb 4 games"/>
  </r>
  <r>
    <s v="WRDMED"/>
    <x v="3"/>
    <x v="1"/>
    <s v=""/>
    <s v="Media Internet Access Media"/>
    <s v="Wired Port - Internet for Media"/>
    <s v="WRDMED - Wired Port - Media Internet (Media Internet Access Media)"/>
    <n v="2"/>
    <n v="2"/>
    <n v="0"/>
    <n v="2"/>
    <n v="2"/>
    <n v="0"/>
    <x v="0"/>
    <x v="0"/>
    <x v="16"/>
    <x v="14"/>
    <x v="3"/>
    <s v="FIFA Broadcast"/>
    <m/>
  </r>
  <r>
    <s v="IS00WF"/>
    <x v="1"/>
    <x v="1"/>
    <s v=""/>
    <s v="General Internet Access"/>
    <s v="Wireless coverage - Shared Internet Service - FIFA"/>
    <s v="IS00WF - Wireless coverage - Shared Internet Service - Wi-Fi FIFA (General Internet Access)"/>
    <n v="1"/>
    <n v="0"/>
    <n v="0"/>
    <n v="1"/>
    <n v="0"/>
    <n v="0"/>
    <x v="0"/>
    <x v="1"/>
    <x v="11"/>
    <x v="2"/>
    <x v="3"/>
    <s v="FIFA Broadcast"/>
    <m/>
  </r>
  <r>
    <s v="MFDDNW"/>
    <x v="2"/>
    <x v="2"/>
    <s v=""/>
    <s v="General Internet Access"/>
    <s v="Colour Printer / Scanner (A4)"/>
    <s v="MFDDNW - MFD Desktop - Colour - A4 - Network (General Internet Access)"/>
    <n v="1"/>
    <n v="1"/>
    <n v="0"/>
    <n v="1"/>
    <n v="1"/>
    <n v="0"/>
    <x v="0"/>
    <x v="1"/>
    <x v="11"/>
    <x v="2"/>
    <x v="3"/>
    <s v="FIFA Broadcast"/>
    <m/>
  </r>
  <r>
    <s v="WRDGEN"/>
    <x v="8"/>
    <x v="1"/>
    <s v=""/>
    <s v="General Internet Access"/>
    <s v="Wired Port - Internet"/>
    <s v="WRDGEN - Wired Port - General Internet  (General Internet Access)"/>
    <n v="6"/>
    <n v="1"/>
    <n v="0"/>
    <n v="1"/>
    <n v="1"/>
    <n v="0"/>
    <x v="0"/>
    <x v="1"/>
    <x v="11"/>
    <x v="2"/>
    <x v="3"/>
    <s v="FIFA Broadcast"/>
    <m/>
  </r>
  <r>
    <s v="WRDSTU"/>
    <x v="4"/>
    <x v="1"/>
    <s v=""/>
    <s v="FIFA Technical Content"/>
    <s v="Wired Port - Content"/>
    <s v="WRDSTU - Wired Port - Content (FIFA Technical Content)"/>
    <n v="1"/>
    <n v="1"/>
    <n v="0"/>
    <n v="1"/>
    <n v="1"/>
    <n v="0"/>
    <x v="0"/>
    <x v="1"/>
    <x v="11"/>
    <x v="2"/>
    <x v="3"/>
    <s v="FIFA Broadcast"/>
    <m/>
  </r>
  <r>
    <s v="CABLOK"/>
    <x v="10"/>
    <x v="0"/>
    <s v="Multi"/>
    <s v=""/>
    <s v="Laptop Cable Lock"/>
    <s v="CABLOK - Laptop Cable Lock"/>
    <n v="2"/>
    <n v="0"/>
    <n v="0"/>
    <n v="2"/>
    <n v="0"/>
    <n v="0"/>
    <x v="1"/>
    <x v="1"/>
    <x v="17"/>
    <x v="15"/>
    <x v="3"/>
    <s v="FIFA Broadcast"/>
    <m/>
  </r>
  <r>
    <s v="LAPPRE"/>
    <x v="11"/>
    <x v="4"/>
    <s v="Single"/>
    <s v=""/>
    <s v="FIFA Presentation Laptop"/>
    <s v="LAPPRE - Laptop - Presentation Build"/>
    <n v="2"/>
    <n v="0"/>
    <n v="0"/>
    <n v="2"/>
    <n v="0"/>
    <n v="0"/>
    <x v="1"/>
    <x v="1"/>
    <x v="17"/>
    <x v="15"/>
    <x v="3"/>
    <s v="FIFA Broadcast"/>
    <m/>
  </r>
  <r>
    <s v="WRDMED"/>
    <x v="3"/>
    <x v="1"/>
    <s v=""/>
    <s v="Media Internet Access Media"/>
    <s v="Wired Port - Internet for Media"/>
    <s v="WRDMED - Wired Port - Media Internet (Media Internet Access Media)"/>
    <n v="4"/>
    <n v="4"/>
    <n v="0"/>
    <n v="4"/>
    <n v="4"/>
    <n v="0"/>
    <x v="0"/>
    <x v="1"/>
    <x v="17"/>
    <x v="15"/>
    <x v="3"/>
    <s v="FIFA Broadcast"/>
    <s v="1 port for user, 1 port for PRT per position"/>
  </r>
  <r>
    <s v="WRDSTA"/>
    <x v="12"/>
    <x v="1"/>
    <s v=""/>
    <s v="FIFA Standard Internet Access"/>
    <s v="Wired Port - ACR-TKT-Ipcodec"/>
    <s v="WRDSTA - Wired Port - ACR-TKT-Ipcodec (FIFA Standard Internet Access)"/>
    <n v="2"/>
    <n v="2"/>
    <n v="0"/>
    <n v="2"/>
    <n v="2"/>
    <n v="0"/>
    <x v="0"/>
    <x v="1"/>
    <x v="17"/>
    <x v="15"/>
    <x v="3"/>
    <s v="FIFA Broadcast"/>
    <m/>
  </r>
  <r>
    <s v="IS00WF"/>
    <x v="1"/>
    <x v="1"/>
    <s v=""/>
    <s v="General Internet Access"/>
    <s v="Wireless coverage - Shared Internet Service - FIFA"/>
    <s v="IS00WF - Wireless coverage - Shared Internet Service - Wi-Fi FIFA (General Internet Access)"/>
    <n v="1"/>
    <n v="0"/>
    <n v="0"/>
    <n v="1"/>
    <n v="0"/>
    <n v="0"/>
    <x v="0"/>
    <x v="1"/>
    <x v="8"/>
    <x v="0"/>
    <x v="3"/>
    <s v="FIFA Broadcast"/>
    <m/>
  </r>
  <r>
    <s v="WRDFTI"/>
    <x v="13"/>
    <x v="1"/>
    <s v=""/>
    <s v="FIFA Technical FTI"/>
    <s v="Wired Port - FTI"/>
    <s v="WRDFTI - Wired Port - FTI (FIFA Technical FTI)"/>
    <n v="1"/>
    <n v="1"/>
    <n v="0"/>
    <n v="1"/>
    <n v="1"/>
    <n v="0"/>
    <x v="0"/>
    <x v="1"/>
    <x v="8"/>
    <x v="0"/>
    <x v="3"/>
    <s v="FIFA Broadcast"/>
    <m/>
  </r>
  <r>
    <s v="WRDGEN"/>
    <x v="8"/>
    <x v="1"/>
    <s v=""/>
    <s v="General Internet Access"/>
    <s v="Wired Port - Internet"/>
    <s v="WRDGEN - Wired Port - General Internet  (General Internet Access)"/>
    <n v="1"/>
    <n v="1"/>
    <n v="0"/>
    <n v="1"/>
    <n v="1"/>
    <n v="0"/>
    <x v="0"/>
    <x v="1"/>
    <x v="8"/>
    <x v="0"/>
    <x v="3"/>
    <s v="FIFA Broadcast"/>
    <m/>
  </r>
  <r>
    <s v="WRDMED"/>
    <x v="3"/>
    <x v="1"/>
    <s v=""/>
    <s v="Media Internet Access Media"/>
    <s v="Wired Port - Internet for Media"/>
    <s v="WRDMED - Wired Port - Media Internet (Media Internet Access Media)"/>
    <n v="1"/>
    <n v="1"/>
    <n v="0"/>
    <n v="1"/>
    <n v="1"/>
    <n v="0"/>
    <x v="0"/>
    <x v="1"/>
    <x v="18"/>
    <x v="6"/>
    <x v="3"/>
    <s v="FIFA Broadcast"/>
    <s v="Only if existing infrastructure"/>
  </r>
  <r>
    <s v="WRDMED"/>
    <x v="3"/>
    <x v="1"/>
    <s v=""/>
    <s v="Media Internet Access Media"/>
    <s v="Wired Port - Internet for Media"/>
    <s v="WRDMED - Wired Port - Media Internet (Media Internet Access Media)"/>
    <n v="1"/>
    <n v="1"/>
    <n v="0"/>
    <n v="1"/>
    <n v="1"/>
    <n v="0"/>
    <x v="0"/>
    <x v="1"/>
    <x v="18"/>
    <x v="7"/>
    <x v="3"/>
    <s v="FIFA Broadcast"/>
    <s v="Only if existing infrastructure"/>
  </r>
  <r>
    <s v="WRDMED"/>
    <x v="3"/>
    <x v="1"/>
    <s v=""/>
    <s v="Media Internet Access Media"/>
    <s v="Wired Port - Internet for Media"/>
    <s v="WRDMED - Wired Port - Media Internet (Media Internet Access Media)"/>
    <n v="1"/>
    <n v="1"/>
    <n v="0"/>
    <n v="1"/>
    <n v="1"/>
    <n v="0"/>
    <x v="0"/>
    <x v="1"/>
    <x v="18"/>
    <x v="8"/>
    <x v="3"/>
    <s v="FIFA Broadcast"/>
    <s v="Only if existing infrastructure"/>
  </r>
  <r>
    <s v="WRDMED"/>
    <x v="3"/>
    <x v="1"/>
    <s v=""/>
    <s v="Media Internet Access Media"/>
    <s v="Wired Port - Internet for Media"/>
    <s v="WRDMED - Wired Port - Media Internet (Media Internet Access Media)"/>
    <n v="1"/>
    <n v="1"/>
    <n v="0"/>
    <n v="1"/>
    <n v="1"/>
    <n v="0"/>
    <x v="0"/>
    <x v="1"/>
    <x v="18"/>
    <x v="9"/>
    <x v="3"/>
    <s v="FIFA Broadcast"/>
    <s v="Only if existing infrastructure"/>
  </r>
  <r>
    <s v="WRDGEN"/>
    <x v="8"/>
    <x v="1"/>
    <s v=""/>
    <s v="General Internet Access"/>
    <s v="Wired Port - Internet"/>
    <s v="WRDGEN - Wired Port - General Internet  (General Internet Access)"/>
    <n v="2"/>
    <n v="2"/>
    <n v="0"/>
    <n v="2"/>
    <n v="2"/>
    <n v="0"/>
    <x v="0"/>
    <x v="1"/>
    <x v="11"/>
    <x v="16"/>
    <x v="3"/>
    <s v="FIFA Broadcast"/>
    <s v="1 backup and 1 general"/>
  </r>
  <r>
    <s v="WRDGEN"/>
    <x v="8"/>
    <x v="1"/>
    <s v=""/>
    <s v="General Internet Access"/>
    <s v="Wired Port - Internet"/>
    <s v="WRDGEN - Wired Port - General Internet  (General Internet Access)"/>
    <n v="1"/>
    <n v="1"/>
    <n v="0"/>
    <n v="1"/>
    <n v="1"/>
    <n v="0"/>
    <x v="0"/>
    <x v="1"/>
    <x v="11"/>
    <x v="17"/>
    <x v="3"/>
    <s v="FIFA Broadcast"/>
    <m/>
  </r>
  <r>
    <s v="WRDSTR"/>
    <x v="9"/>
    <x v="1"/>
    <s v=""/>
    <s v="Stream Fabs &amp; W Feed"/>
    <s v="Wired Port - Stream &amp; World feed"/>
    <s v="WRDSTR - Wired Port - Stream &amp; World feed (Stream Fabs &amp; W Feed)"/>
    <n v="3"/>
    <n v="2"/>
    <n v="0"/>
    <n v="2"/>
    <n v="2"/>
    <n v="0"/>
    <x v="0"/>
    <x v="1"/>
    <x v="11"/>
    <x v="17"/>
    <x v="3"/>
    <s v="FIFA Broadcast"/>
    <s v="high speed"/>
  </r>
  <r>
    <s v="WRDMED"/>
    <x v="3"/>
    <x v="1"/>
    <s v=""/>
    <s v="Media Internet Access Media"/>
    <s v="Wired Port - Internet for Media"/>
    <s v="WRDMED - Wired Port - Media Internet (Media Internet Access Media)"/>
    <n v="2"/>
    <n v="2"/>
    <n v="0"/>
    <n v="2"/>
    <n v="2"/>
    <n v="0"/>
    <x v="0"/>
    <x v="1"/>
    <x v="16"/>
    <x v="18"/>
    <x v="3"/>
    <s v="FIFA Broadcast"/>
    <m/>
  </r>
  <r>
    <s v="DSKMNT"/>
    <x v="0"/>
    <x v="0"/>
    <s v=""/>
    <s v=""/>
    <s v="24&quot; PC Monitor"/>
    <s v="DSKMNT - 24&quot; Monitor - HDMI/DP"/>
    <n v="2"/>
    <n v="0"/>
    <n v="0"/>
    <n v="2"/>
    <n v="0"/>
    <n v="0"/>
    <x v="0"/>
    <x v="0"/>
    <x v="13"/>
    <x v="19"/>
    <x v="4"/>
    <s v="FIFA Competitions"/>
    <s v="to be moved to Khalifa"/>
  </r>
  <r>
    <s v="IS00WF"/>
    <x v="1"/>
    <x v="1"/>
    <s v=""/>
    <s v="General Internet Access"/>
    <s v="Wireless coverage - Shared Internet Service - FIFA"/>
    <s v="IS00WF - Wireless coverage - Shared Internet Service - Wi-Fi FIFA (General Internet Access)"/>
    <n v="1"/>
    <n v="0"/>
    <n v="0"/>
    <n v="1"/>
    <n v="0"/>
    <n v="0"/>
    <x v="0"/>
    <x v="0"/>
    <x v="13"/>
    <x v="19"/>
    <x v="4"/>
    <s v="FIFA Competitions"/>
    <m/>
  </r>
  <r>
    <s v="MFDDNW"/>
    <x v="2"/>
    <x v="2"/>
    <s v=""/>
    <s v="General Internet Access"/>
    <s v="Colour Printer / Scanner (A4)"/>
    <s v="MFDDNW - MFD Desktop - Colour - A4 - Network (General Internet Access)"/>
    <n v="1"/>
    <n v="1"/>
    <n v="0"/>
    <n v="1"/>
    <n v="1"/>
    <n v="0"/>
    <x v="0"/>
    <x v="0"/>
    <x v="13"/>
    <x v="19"/>
    <x v="4"/>
    <s v="FIFA Competitions"/>
    <m/>
  </r>
  <r>
    <s v="MFDDNW"/>
    <x v="2"/>
    <x v="2"/>
    <s v=""/>
    <s v="General Internet Access"/>
    <s v="Colour Printer / Scanner (A4)"/>
    <s v="MFDDNW - MFD Desktop - Colour - A4 - Network (General Internet Access)"/>
    <n v="1"/>
    <n v="1"/>
    <n v="0"/>
    <n v="1"/>
    <n v="1"/>
    <n v="0"/>
    <x v="0"/>
    <x v="0"/>
    <x v="6"/>
    <x v="20"/>
    <x v="4"/>
    <s v="FIFA Competitions"/>
    <s v="Printer to be shared between 2 pitches for CPM &amp; ENT"/>
  </r>
  <r>
    <s v="MFDDNW"/>
    <x v="2"/>
    <x v="2"/>
    <s v=""/>
    <s v="General Internet Access"/>
    <s v="Colour Printer / Scanner (A4)"/>
    <s v="MFDDNW - MFD Desktop - Colour - A4 - Network (General Internet Access)"/>
    <n v="1"/>
    <n v="1"/>
    <n v="0"/>
    <n v="1"/>
    <n v="1"/>
    <n v="0"/>
    <x v="0"/>
    <x v="0"/>
    <x v="7"/>
    <x v="20"/>
    <x v="4"/>
    <s v="FIFA Competitions"/>
    <s v="Printer to be shared between 2 pitches for CPM &amp; ENT"/>
  </r>
  <r>
    <s v="MFDDNW"/>
    <x v="2"/>
    <x v="2"/>
    <s v=""/>
    <s v="General Internet Access"/>
    <s v="Colour Printer / Scanner (A4)"/>
    <s v="MFDDNW - MFD Desktop - Colour - A4 - Network (General Internet Access)"/>
    <n v="1"/>
    <n v="1"/>
    <n v="0"/>
    <n v="1"/>
    <n v="1"/>
    <n v="0"/>
    <x v="0"/>
    <x v="0"/>
    <x v="4"/>
    <x v="20"/>
    <x v="4"/>
    <s v="FIFA Competitions"/>
    <s v="Printer to be shared between 2 pitches for CPM &amp; ENT"/>
  </r>
  <r>
    <s v="MFDDNW"/>
    <x v="2"/>
    <x v="2"/>
    <s v=""/>
    <s v="General Internet Access"/>
    <s v="Colour Printer / Scanner (A4)"/>
    <s v="MFDDNW - MFD Desktop - Colour - A4 - Network (General Internet Access)"/>
    <n v="1"/>
    <n v="1"/>
    <n v="0"/>
    <n v="1"/>
    <n v="1"/>
    <n v="0"/>
    <x v="0"/>
    <x v="0"/>
    <x v="2"/>
    <x v="20"/>
    <x v="4"/>
    <s v="FIFA Competitions"/>
    <s v="Printer to be shared between 2 pitches for CPM &amp; ENT"/>
  </r>
  <r>
    <s v="PORSPE"/>
    <x v="14"/>
    <x v="0"/>
    <s v="Single"/>
    <s v=""/>
    <s v="Portable Speaker"/>
    <s v="PORSPE - Portable Speaker"/>
    <n v="1"/>
    <n v="0"/>
    <n v="0"/>
    <n v="1"/>
    <n v="0"/>
    <n v="0"/>
    <x v="1"/>
    <x v="0"/>
    <x v="13"/>
    <x v="19"/>
    <x v="4"/>
    <s v="FIFA Competitions"/>
    <m/>
  </r>
  <r>
    <s v="TABLEN"/>
    <x v="7"/>
    <x v="4"/>
    <s v="Single"/>
    <s v=""/>
    <s v="Professional Series Tablet + 4G"/>
    <s v="TABLEN - Tablet - FIFA Professional Tablet + 4G"/>
    <n v="2"/>
    <n v="0"/>
    <n v="8"/>
    <n v="8"/>
    <n v="0"/>
    <n v="0"/>
    <x v="1"/>
    <x v="0"/>
    <x v="13"/>
    <x v="19"/>
    <x v="4"/>
    <s v="FIFA Competitions"/>
    <m/>
  </r>
  <r>
    <s v="TVLGIP"/>
    <x v="5"/>
    <x v="3"/>
    <s v=""/>
    <s v=""/>
    <s v="Large TV - CATV Feed"/>
    <s v="TVLGIP - TV - Large - IPTV"/>
    <n v="1"/>
    <n v="1"/>
    <n v="0"/>
    <n v="1"/>
    <n v="1"/>
    <n v="0"/>
    <x v="0"/>
    <x v="0"/>
    <x v="13"/>
    <x v="19"/>
    <x v="4"/>
    <s v="FIFA Competitions"/>
    <s v="Including HDMI cables"/>
  </r>
  <r>
    <s v="TVSTND"/>
    <x v="6"/>
    <x v="0"/>
    <s v=""/>
    <s v=""/>
    <s v="TV Stand for medium and large TVs"/>
    <s v="TVSTND - TV Stand - Medium &amp; Large TVs"/>
    <n v="1"/>
    <n v="0"/>
    <n v="0"/>
    <n v="1"/>
    <n v="0"/>
    <n v="0"/>
    <x v="0"/>
    <x v="0"/>
    <x v="13"/>
    <x v="19"/>
    <x v="4"/>
    <s v="FIFA Competitions"/>
    <m/>
  </r>
  <r>
    <s v="IS00WF"/>
    <x v="1"/>
    <x v="1"/>
    <s v=""/>
    <s v="General Internet Access"/>
    <s v="Wireless coverage - Shared Internet Service - FIFA"/>
    <s v="IS00WF - Wireless coverage - Shared Internet Service - Wi-Fi FIFA (General Internet Access)"/>
    <n v="1"/>
    <n v="0"/>
    <n v="0"/>
    <n v="1"/>
    <n v="0"/>
    <n v="0"/>
    <x v="0"/>
    <x v="1"/>
    <x v="12"/>
    <x v="19"/>
    <x v="4"/>
    <s v="FIFA Competitions"/>
    <m/>
  </r>
  <r>
    <s v="IS00WF"/>
    <x v="1"/>
    <x v="1"/>
    <s v=""/>
    <s v="General Internet Access"/>
    <s v="Wireless coverage - Shared Internet Service - FIFA"/>
    <s v="IS00WF - Wireless coverage - Shared Internet Service - Wi-Fi FIFA (General Internet Access)"/>
    <n v="1"/>
    <n v="0"/>
    <n v="0"/>
    <n v="1"/>
    <n v="0"/>
    <n v="0"/>
    <x v="0"/>
    <x v="1"/>
    <x v="12"/>
    <x v="21"/>
    <x v="4"/>
    <s v="FIFA Competitions"/>
    <m/>
  </r>
  <r>
    <s v="IS00WF"/>
    <x v="1"/>
    <x v="1"/>
    <s v=""/>
    <s v="General Internet Access"/>
    <s v="Wireless coverage - Shared Internet Service - FIFA"/>
    <s v="IS00WF - Wireless coverage - Shared Internet Service - Wi-Fi FIFA (General Internet Access)"/>
    <n v="1"/>
    <n v="0"/>
    <n v="0"/>
    <n v="1"/>
    <n v="0"/>
    <n v="0"/>
    <x v="0"/>
    <x v="1"/>
    <x v="19"/>
    <x v="22"/>
    <x v="4"/>
    <s v="FIFA Competitions"/>
    <m/>
  </r>
  <r>
    <s v="MFDDNW"/>
    <x v="2"/>
    <x v="2"/>
    <s v=""/>
    <s v="General Internet Access"/>
    <s v="Colour Printer / Scanner (A4)"/>
    <s v="MFDDNW - MFD Desktop - Colour - A4 - Network (General Internet Access)"/>
    <n v="1"/>
    <n v="1"/>
    <n v="0"/>
    <n v="1"/>
    <n v="1"/>
    <n v="0"/>
    <x v="0"/>
    <x v="1"/>
    <x v="12"/>
    <x v="19"/>
    <x v="4"/>
    <s v="FIFA Competitions"/>
    <m/>
  </r>
  <r>
    <s v="TVLGIP"/>
    <x v="5"/>
    <x v="3"/>
    <s v=""/>
    <s v=""/>
    <s v="Large TV - CATV Feed"/>
    <s v="TVLGIP - TV - Large - IPTV"/>
    <n v="1"/>
    <n v="1"/>
    <n v="0"/>
    <n v="1"/>
    <n v="1"/>
    <n v="0"/>
    <x v="0"/>
    <x v="1"/>
    <x v="12"/>
    <x v="19"/>
    <x v="4"/>
    <s v="FIFA Competitions"/>
    <m/>
  </r>
  <r>
    <s v="TVLGSA"/>
    <x v="15"/>
    <x v="5"/>
    <s v=""/>
    <s v=""/>
    <s v="Large TV - Standalone"/>
    <s v="TVLGSA - TV - Large - Standalone"/>
    <n v="1"/>
    <n v="0"/>
    <n v="0"/>
    <n v="1"/>
    <n v="0"/>
    <n v="0"/>
    <x v="0"/>
    <x v="1"/>
    <x v="12"/>
    <x v="21"/>
    <x v="4"/>
    <s v="FIFA Competitions"/>
    <m/>
  </r>
  <r>
    <s v="TVLGSA"/>
    <x v="15"/>
    <x v="5"/>
    <s v=""/>
    <s v=""/>
    <s v="Large TV - Standalone"/>
    <s v="TVLGSA - TV - Large - Standalone"/>
    <n v="1"/>
    <n v="0"/>
    <n v="0"/>
    <n v="1"/>
    <n v="0"/>
    <n v="0"/>
    <x v="0"/>
    <x v="1"/>
    <x v="19"/>
    <x v="22"/>
    <x v="4"/>
    <s v="FIFA Competitions"/>
    <s v="1 x large TV 75-85&quot; or 2 x TV placed on the side; &quot;PC needs to be ready by MD-3_x000a_group stage coordination meeting 2 days prior to the tournamnet&quot; cover 150 pax"/>
  </r>
  <r>
    <s v="TVSTND"/>
    <x v="6"/>
    <x v="0"/>
    <s v=""/>
    <s v=""/>
    <s v="TV Stand for medium and large TVs"/>
    <s v="TVSTND - TV Stand - Medium &amp; Large TVs"/>
    <n v="1"/>
    <n v="0"/>
    <n v="0"/>
    <n v="1"/>
    <n v="0"/>
    <n v="0"/>
    <x v="0"/>
    <x v="1"/>
    <x v="12"/>
    <x v="19"/>
    <x v="4"/>
    <s v="FIFA Competitions"/>
    <m/>
  </r>
  <r>
    <s v="TVSTND"/>
    <x v="6"/>
    <x v="0"/>
    <s v=""/>
    <s v=""/>
    <s v="TV Stand for medium and large TVs"/>
    <s v="TVSTND - TV Stand - Medium &amp; Large TVs"/>
    <n v="1"/>
    <n v="0"/>
    <n v="0"/>
    <n v="1"/>
    <n v="0"/>
    <n v="0"/>
    <x v="0"/>
    <x v="1"/>
    <x v="12"/>
    <x v="21"/>
    <x v="4"/>
    <s v="FIFA Competitions"/>
    <m/>
  </r>
  <r>
    <s v="TVSTND"/>
    <x v="6"/>
    <x v="0"/>
    <s v=""/>
    <s v=""/>
    <s v="TV Stand for medium and large TVs"/>
    <s v="TVSTND - TV Stand - Medium &amp; Large TVs"/>
    <n v="1"/>
    <n v="0"/>
    <n v="0"/>
    <n v="1"/>
    <n v="0"/>
    <n v="0"/>
    <x v="0"/>
    <x v="1"/>
    <x v="19"/>
    <x v="22"/>
    <x v="4"/>
    <s v="FIFA Competitions"/>
    <m/>
  </r>
  <r>
    <s v="DSKMNT"/>
    <x v="0"/>
    <x v="0"/>
    <s v=""/>
    <s v=""/>
    <s v="24&quot; PC Monitor"/>
    <s v="DSKMNT - 24&quot; Monitor - HDMI/DP"/>
    <n v="2"/>
    <n v="0"/>
    <n v="0"/>
    <n v="2"/>
    <n v="0"/>
    <n v="0"/>
    <x v="0"/>
    <x v="0"/>
    <x v="10"/>
    <x v="1"/>
    <x v="5"/>
    <s v="FIFA Data Management"/>
    <m/>
  </r>
  <r>
    <s v="DSKMNT"/>
    <x v="0"/>
    <x v="0"/>
    <s v=""/>
    <s v=""/>
    <s v="24&quot; PC Monitor"/>
    <s v="DSKMNT - 24&quot; Monitor - HDMI/DP"/>
    <n v="5"/>
    <n v="0"/>
    <n v="0"/>
    <n v="3"/>
    <n v="0"/>
    <n v="0"/>
    <x v="0"/>
    <x v="0"/>
    <x v="10"/>
    <x v="1"/>
    <x v="6"/>
    <s v="FIFA Digital Marketing"/>
    <s v="Location TBC"/>
  </r>
  <r>
    <s v="WRDSTU"/>
    <x v="4"/>
    <x v="1"/>
    <s v=""/>
    <s v="FIFA Technical Content"/>
    <s v="Wired Port - Content"/>
    <s v="WRDSTU - Wired Port - Content (FIFA Technical Content)"/>
    <n v="5"/>
    <n v="3"/>
    <n v="0"/>
    <n v="3"/>
    <n v="3"/>
    <n v="0"/>
    <x v="0"/>
    <x v="0"/>
    <x v="10"/>
    <x v="1"/>
    <x v="6"/>
    <s v="FIFA Digital Marketing"/>
    <s v="Location TBC"/>
  </r>
  <r>
    <s v="ITSIBU"/>
    <x v="16"/>
    <x v="6"/>
    <s v=""/>
    <s v=""/>
    <s v="IT Solution - 4G Internet backup "/>
    <s v="ITSIBU - IT Solution - 4G Internet backup "/>
    <n v="10"/>
    <n v="0"/>
    <n v="10"/>
    <n v="10"/>
    <n v="0"/>
    <n v="10"/>
    <x v="0"/>
    <x v="0"/>
    <x v="10"/>
    <x v="1"/>
    <x v="7"/>
    <s v="FIFA Event Technology"/>
    <m/>
  </r>
  <r>
    <s v="LAPEVT"/>
    <x v="17"/>
    <x v="4"/>
    <s v="Single"/>
    <s v=""/>
    <s v="FIFA Laptop"/>
    <s v="LAPEVT - Laptop - FIFA Event Build"/>
    <n v="2"/>
    <n v="0"/>
    <n v="0"/>
    <n v="2"/>
    <n v="0"/>
    <n v="0"/>
    <x v="1"/>
    <x v="0"/>
    <x v="10"/>
    <x v="1"/>
    <x v="7"/>
    <s v="FIFA Event Technology"/>
    <s v="spare laptop"/>
  </r>
  <r>
    <s v="LAPPRE"/>
    <x v="11"/>
    <x v="4"/>
    <s v="Single"/>
    <s v=""/>
    <s v="FIFA Presentation Laptop"/>
    <s v="LAPPRE - Laptop - Presentation Build"/>
    <n v="4"/>
    <n v="0"/>
    <n v="0"/>
    <n v="4"/>
    <n v="0"/>
    <n v="0"/>
    <x v="1"/>
    <x v="0"/>
    <x v="10"/>
    <x v="1"/>
    <x v="7"/>
    <s v="FIFA Event Technology"/>
    <s v="spare laptop"/>
  </r>
  <r>
    <s v="PORSPE"/>
    <x v="14"/>
    <x v="0"/>
    <s v="Single"/>
    <s v=""/>
    <s v="Portable Speaker"/>
    <s v="PORSPE - Portable Speaker"/>
    <n v="2"/>
    <n v="0"/>
    <n v="0"/>
    <n v="2"/>
    <n v="0"/>
    <n v="0"/>
    <x v="1"/>
    <x v="0"/>
    <x v="10"/>
    <x v="1"/>
    <x v="7"/>
    <s v="FIFA Event Technology"/>
    <m/>
  </r>
  <r>
    <s v="SIMDAT"/>
    <x v="18"/>
    <x v="7"/>
    <s v=""/>
    <s v=""/>
    <s v="Local SIM Card - Data Only"/>
    <s v="SIMDAT - SIM - Data Only"/>
    <n v="10"/>
    <n v="0"/>
    <n v="20"/>
    <n v="20"/>
    <n v="0"/>
    <n v="20"/>
    <x v="0"/>
    <x v="0"/>
    <x v="10"/>
    <x v="1"/>
    <x v="7"/>
    <s v="FIFA Event Technology"/>
    <s v="valid between 22 Oct - 20 Dec"/>
  </r>
  <r>
    <s v="SIMDOM"/>
    <x v="19"/>
    <x v="7"/>
    <s v=""/>
    <s v=""/>
    <s v="Local SIM Card"/>
    <s v="SIMDOM - SIM - Domestic"/>
    <n v="80"/>
    <n v="0"/>
    <n v="100"/>
    <n v="100"/>
    <n v="0"/>
    <n v="100"/>
    <x v="0"/>
    <x v="0"/>
    <x v="10"/>
    <x v="1"/>
    <x v="7"/>
    <s v="FIFA Event Technology"/>
    <s v="valid between 22 Oct - 20 Dec"/>
  </r>
  <r>
    <s v="SIMINT"/>
    <x v="20"/>
    <x v="7"/>
    <s v=""/>
    <s v=""/>
    <s v="Local SIM Card + International"/>
    <s v="SIMINT - SIM - International"/>
    <n v="5"/>
    <n v="0"/>
    <n v="15"/>
    <n v="15"/>
    <n v="0"/>
    <n v="15"/>
    <x v="0"/>
    <x v="0"/>
    <x v="10"/>
    <x v="1"/>
    <x v="7"/>
    <s v="FIFA Event Technology"/>
    <s v="valid between 22 Oct - 20 Dec"/>
  </r>
  <r>
    <s v="TELMOB"/>
    <x v="21"/>
    <x v="7"/>
    <s v="Single"/>
    <s v=""/>
    <s v="Smart Phone"/>
    <s v="TELMOB - Telephone - Mobile - Smart Phone"/>
    <n v="80"/>
    <n v="0"/>
    <n v="100"/>
    <n v="100"/>
    <n v="0"/>
    <n v="0"/>
    <x v="1"/>
    <x v="0"/>
    <x v="10"/>
    <x v="1"/>
    <x v="7"/>
    <s v="FIFA Event Technology"/>
    <m/>
  </r>
  <r>
    <s v="WRDGEN"/>
    <x v="8"/>
    <x v="1"/>
    <s v=""/>
    <s v="General Internet Access"/>
    <s v="Wired Port - Internet"/>
    <s v="WRDGEN - Wired Port - General Internet  (General Internet Access)"/>
    <n v="2"/>
    <n v="2"/>
    <n v="0"/>
    <n v="2"/>
    <n v="2"/>
    <n v="0"/>
    <x v="0"/>
    <x v="0"/>
    <x v="10"/>
    <x v="1"/>
    <x v="7"/>
    <s v="FIFA Event Technology"/>
    <m/>
  </r>
  <r>
    <s v="DSKMNT"/>
    <x v="0"/>
    <x v="0"/>
    <s v=""/>
    <s v=""/>
    <s v="24&quot; PC Monitor"/>
    <s v="DSKMNT - 24&quot; Monitor - HDMI/DP"/>
    <n v="1"/>
    <n v="0"/>
    <n v="0"/>
    <n v="1"/>
    <n v="0"/>
    <n v="0"/>
    <x v="0"/>
    <x v="0"/>
    <x v="10"/>
    <x v="23"/>
    <x v="7"/>
    <s v="FIFA Event Technology"/>
    <m/>
  </r>
  <r>
    <s v="IS0050"/>
    <x v="22"/>
    <x v="1"/>
    <s v=""/>
    <s v=""/>
    <s v="Internet Service - 50Mbps"/>
    <s v="IS0050 - Internet Service - 50Mbps"/>
    <n v="1"/>
    <n v="1"/>
    <n v="0"/>
    <n v="1"/>
    <n v="1"/>
    <n v="0"/>
    <x v="0"/>
    <x v="0"/>
    <x v="10"/>
    <x v="23"/>
    <x v="7"/>
    <s v="FIFA Event Technology"/>
    <s v="static public IP"/>
  </r>
  <r>
    <s v="ITMON"/>
    <x v="23"/>
    <x v="1"/>
    <s v=""/>
    <s v="Monitoring VLAN"/>
    <s v="FIFA IT Monitoring network port"/>
    <s v="ITMON - IT Monitoring network port (Monitoring VLAN)"/>
    <n v="1"/>
    <n v="1"/>
    <n v="0"/>
    <n v="1"/>
    <n v="1"/>
    <n v="0"/>
    <x v="0"/>
    <x v="0"/>
    <x v="10"/>
    <x v="23"/>
    <x v="7"/>
    <s v="FIFA Event Technology"/>
    <m/>
  </r>
  <r>
    <s v="ITMON"/>
    <x v="23"/>
    <x v="1"/>
    <s v=""/>
    <s v="Monitoring VLAN"/>
    <s v="FIFA IT Monitoring network port"/>
    <s v="ITMON - IT Monitoring network port (Monitoring VLAN)"/>
    <n v="1"/>
    <n v="1"/>
    <n v="0"/>
    <n v="1"/>
    <n v="1"/>
    <n v="0"/>
    <x v="0"/>
    <x v="1"/>
    <x v="8"/>
    <x v="23"/>
    <x v="7"/>
    <s v="FIFA Event Technology"/>
    <m/>
  </r>
  <r>
    <s v="TVMDSA"/>
    <x v="24"/>
    <x v="3"/>
    <s v=""/>
    <s v=""/>
    <s v="Medium TV - Standalone"/>
    <s v="TVMDSA - TV - Medium - Standalone"/>
    <n v="1"/>
    <n v="0"/>
    <n v="0"/>
    <n v="1"/>
    <n v="0"/>
    <n v="0"/>
    <x v="0"/>
    <x v="0"/>
    <x v="10"/>
    <x v="23"/>
    <x v="7"/>
    <s v="FIFA Event Technology"/>
    <m/>
  </r>
  <r>
    <s v="TVSTND"/>
    <x v="6"/>
    <x v="0"/>
    <s v=""/>
    <s v=""/>
    <s v="TV Stand for medium and large TVs"/>
    <s v="TVSTND - TV Stand - Medium &amp; Large TVs"/>
    <n v="1"/>
    <n v="0"/>
    <n v="0"/>
    <n v="1"/>
    <n v="0"/>
    <n v="0"/>
    <x v="0"/>
    <x v="0"/>
    <x v="10"/>
    <x v="23"/>
    <x v="7"/>
    <s v="FIFA Event Technology"/>
    <m/>
  </r>
  <r>
    <s v="WRDGEN"/>
    <x v="8"/>
    <x v="1"/>
    <s v=""/>
    <s v="General Internet Access"/>
    <s v="Wired Port - Internet"/>
    <s v="WRDGEN - Wired Port - General Internet  (General Internet Access)"/>
    <n v="2"/>
    <n v="2"/>
    <n v="0"/>
    <n v="2"/>
    <n v="2"/>
    <n v="0"/>
    <x v="0"/>
    <x v="1"/>
    <x v="8"/>
    <x v="23"/>
    <x v="7"/>
    <s v="FIFA Event Technology"/>
    <m/>
  </r>
  <r>
    <s v="WRDGEN"/>
    <x v="8"/>
    <x v="1"/>
    <s v=""/>
    <s v="General Internet Access"/>
    <s v="Wired Port - Internet"/>
    <s v="WRDGEN - Wired Port - General Internet  (General Internet Access)"/>
    <n v="1"/>
    <n v="1"/>
    <n v="0"/>
    <n v="1"/>
    <n v="1"/>
    <n v="0"/>
    <x v="0"/>
    <x v="0"/>
    <x v="10"/>
    <x v="23"/>
    <x v="7"/>
    <s v="FIFA Event Technology"/>
    <m/>
  </r>
  <r>
    <s v="DSKMNT"/>
    <x v="0"/>
    <x v="0"/>
    <s v=""/>
    <s v=""/>
    <s v="24&quot; PC Monitor"/>
    <s v="DSKMNT - 24&quot; Monitor - HDMI/DP"/>
    <n v="2"/>
    <n v="0"/>
    <n v="0"/>
    <n v="2"/>
    <n v="0"/>
    <n v="0"/>
    <x v="0"/>
    <x v="0"/>
    <x v="10"/>
    <x v="1"/>
    <x v="8"/>
    <s v="FIFA Films"/>
    <s v="Location TBC"/>
  </r>
  <r>
    <s v="IS00WF"/>
    <x v="1"/>
    <x v="1"/>
    <s v=""/>
    <s v="General Internet Access"/>
    <s v="Wireless coverage - Shared Internet Service - FIFA"/>
    <s v="IS00WF - Wireless coverage - Shared Internet Service - Wi-Fi FIFA (General Internet Access)"/>
    <n v="1"/>
    <n v="0"/>
    <n v="0"/>
    <n v="1"/>
    <n v="0"/>
    <n v="0"/>
    <x v="0"/>
    <x v="0"/>
    <x v="10"/>
    <x v="1"/>
    <x v="8"/>
    <s v="FIFA Films"/>
    <s v="Location TBC"/>
  </r>
  <r>
    <s v="WRDSTU"/>
    <x v="4"/>
    <x v="1"/>
    <s v=""/>
    <s v="FIFA Technical Content"/>
    <s v="Wired Port - Content"/>
    <s v="WRDSTU - Wired Port - Content (FIFA Technical Content)"/>
    <n v="2"/>
    <n v="2"/>
    <n v="0"/>
    <n v="2"/>
    <n v="2"/>
    <n v="0"/>
    <x v="0"/>
    <x v="0"/>
    <x v="10"/>
    <x v="1"/>
    <x v="8"/>
    <s v="FIFA Films"/>
    <s v="Location TBC"/>
  </r>
  <r>
    <s v="DSK27M"/>
    <x v="25"/>
    <x v="0"/>
    <s v=""/>
    <s v=""/>
    <s v="27&quot; PC Monitor"/>
    <s v="DSK27M - 27&quot; Monitor - HDMI/DP"/>
    <n v="4"/>
    <n v="0"/>
    <n v="0"/>
    <n v="4"/>
    <n v="0"/>
    <n v="0"/>
    <x v="0"/>
    <x v="0"/>
    <x v="20"/>
    <x v="24"/>
    <x v="9"/>
    <s v="FIFA FTI"/>
    <m/>
  </r>
  <r>
    <s v="IS00WF"/>
    <x v="1"/>
    <x v="1"/>
    <s v=""/>
    <s v="General Internet Access"/>
    <s v="Wireless coverage - Shared Internet Service - FIFA"/>
    <s v="IS00WF - Wireless coverage - Shared Internet Service - Wi-Fi FIFA (General Internet Access)"/>
    <n v="1"/>
    <n v="0"/>
    <n v="0"/>
    <n v="1"/>
    <n v="0"/>
    <n v="0"/>
    <x v="0"/>
    <x v="0"/>
    <x v="20"/>
    <x v="24"/>
    <x v="9"/>
    <s v="FIFA FTI"/>
    <m/>
  </r>
  <r>
    <s v="IS00WF"/>
    <x v="1"/>
    <x v="1"/>
    <s v=""/>
    <s v="General Internet Access"/>
    <s v="Wireless coverage - Shared Internet Service - FIFA"/>
    <s v="IS00WF - Wireless coverage - Shared Internet Service - Wi-Fi FIFA (General Internet Access)"/>
    <n v="1"/>
    <n v="0"/>
    <n v="0"/>
    <n v="1"/>
    <n v="0"/>
    <n v="0"/>
    <x v="0"/>
    <x v="0"/>
    <x v="21"/>
    <x v="24"/>
    <x v="9"/>
    <s v="FIFA FTI"/>
    <m/>
  </r>
  <r>
    <s v="IS00WF"/>
    <x v="1"/>
    <x v="1"/>
    <s v=""/>
    <s v="General Internet Access"/>
    <s v="Wireless coverage - Shared Internet Service - FIFA"/>
    <s v="IS00WF - Wireless coverage - Shared Internet Service - Wi-Fi FIFA (General Internet Access)"/>
    <n v="1"/>
    <n v="0"/>
    <n v="0"/>
    <n v="1"/>
    <n v="0"/>
    <n v="0"/>
    <x v="0"/>
    <x v="0"/>
    <x v="14"/>
    <x v="25"/>
    <x v="9"/>
    <s v="FIFA FTI"/>
    <s v="20 Mbps – FTI"/>
  </r>
  <r>
    <s v="WRDFTI"/>
    <x v="13"/>
    <x v="1"/>
    <s v=""/>
    <s v="FIFA Technical FTI"/>
    <s v="Wired Port - FTI"/>
    <s v="WRDFTI - Wired Port - FTI (FIFA Technical FTI)"/>
    <n v="1"/>
    <n v="1"/>
    <n v="0"/>
    <n v="1"/>
    <n v="1"/>
    <n v="0"/>
    <x v="0"/>
    <x v="0"/>
    <x v="14"/>
    <x v="25"/>
    <x v="9"/>
    <s v="FIFA FTI"/>
    <s v="50 Mbps – FTI"/>
  </r>
  <r>
    <s v="WRDFTI"/>
    <x v="13"/>
    <x v="1"/>
    <s v=""/>
    <s v="FIFA Technical FTI"/>
    <s v="Wired Port - FTI"/>
    <s v="WRDFTI - Wired Port - FTI (FIFA Technical FTI)"/>
    <n v="2"/>
    <n v="2"/>
    <n v="0"/>
    <n v="2"/>
    <n v="2"/>
    <n v="0"/>
    <x v="0"/>
    <x v="0"/>
    <x v="14"/>
    <x v="25"/>
    <x v="9"/>
    <s v="FIFA FTI"/>
    <s v="20 Mbps - Refereeing"/>
  </r>
  <r>
    <s v="IS00WF"/>
    <x v="1"/>
    <x v="1"/>
    <s v=""/>
    <s v="General Internet Access"/>
    <s v="Wireless coverage - Shared Internet Service - FIFA"/>
    <s v="IS00WF - Wireless coverage - Shared Internet Service - Wi-Fi FIFA (General Internet Access)"/>
    <n v="1"/>
    <n v="0"/>
    <n v="0"/>
    <n v="1"/>
    <n v="0"/>
    <n v="0"/>
    <x v="0"/>
    <x v="0"/>
    <x v="14"/>
    <x v="26"/>
    <x v="9"/>
    <s v="FIFA FTI"/>
    <s v="20 Mbps – FTI"/>
  </r>
  <r>
    <s v="WRDFTI"/>
    <x v="13"/>
    <x v="1"/>
    <s v=""/>
    <s v="FIFA Technical FTI"/>
    <s v="Wired Port - FTI"/>
    <s v="WRDFTI - Wired Port - FTI (FIFA Technical FTI)"/>
    <n v="1"/>
    <n v="1"/>
    <n v="0"/>
    <n v="1"/>
    <n v="1"/>
    <n v="0"/>
    <x v="0"/>
    <x v="0"/>
    <x v="14"/>
    <x v="26"/>
    <x v="9"/>
    <s v="FIFA FTI"/>
    <s v="50 Mbps – FTI"/>
  </r>
  <r>
    <s v="WRDFTI"/>
    <x v="13"/>
    <x v="1"/>
    <s v=""/>
    <s v="FIFA Technical FTI"/>
    <s v="Wired Port - FTI"/>
    <s v="WRDFTI - Wired Port - FTI (FIFA Technical FTI)"/>
    <n v="2"/>
    <n v="2"/>
    <n v="0"/>
    <n v="2"/>
    <n v="2"/>
    <n v="0"/>
    <x v="0"/>
    <x v="0"/>
    <x v="14"/>
    <x v="26"/>
    <x v="9"/>
    <s v="FIFA FTI"/>
    <s v="20 Mbps - Refereeing"/>
  </r>
  <r>
    <s v="IS00WF"/>
    <x v="1"/>
    <x v="1"/>
    <s v=""/>
    <s v="General Internet Access"/>
    <s v="Wireless coverage - Shared Internet Service - FIFA"/>
    <s v="IS00WF - Wireless coverage - Shared Internet Service - Wi-Fi FIFA (General Internet Access)"/>
    <n v="1"/>
    <n v="0"/>
    <n v="0"/>
    <n v="1"/>
    <n v="0"/>
    <n v="0"/>
    <x v="0"/>
    <x v="0"/>
    <x v="14"/>
    <x v="27"/>
    <x v="9"/>
    <s v="FIFA FTI"/>
    <s v="20 Mbps – FTI"/>
  </r>
  <r>
    <s v="WRDFTI"/>
    <x v="13"/>
    <x v="1"/>
    <s v=""/>
    <s v="FIFA Technical FTI"/>
    <s v="Wired Port - FTI"/>
    <s v="WRDFTI - Wired Port - FTI (FIFA Technical FTI)"/>
    <n v="1"/>
    <n v="1"/>
    <n v="0"/>
    <n v="1"/>
    <n v="1"/>
    <n v="0"/>
    <x v="0"/>
    <x v="0"/>
    <x v="14"/>
    <x v="27"/>
    <x v="9"/>
    <s v="FIFA FTI"/>
    <s v="50 Mbps – FTI"/>
  </r>
  <r>
    <s v="WRDFTI"/>
    <x v="13"/>
    <x v="1"/>
    <s v=""/>
    <s v="FIFA Technical FTI"/>
    <s v="Wired Port - FTI"/>
    <s v="WRDFTI - Wired Port - FTI (FIFA Technical FTI)"/>
    <n v="2"/>
    <n v="2"/>
    <n v="0"/>
    <n v="2"/>
    <n v="2"/>
    <n v="0"/>
    <x v="0"/>
    <x v="0"/>
    <x v="14"/>
    <x v="27"/>
    <x v="9"/>
    <s v="FIFA FTI"/>
    <s v="20 Mbps - Refereeing"/>
  </r>
  <r>
    <s v="IS00WF"/>
    <x v="1"/>
    <x v="1"/>
    <s v=""/>
    <s v="General Internet Access"/>
    <s v="Wireless coverage - Shared Internet Service - FIFA"/>
    <s v="IS00WF - Wireless coverage - Shared Internet Service - Wi-Fi FIFA (General Internet Access)"/>
    <n v="1"/>
    <n v="0"/>
    <n v="0"/>
    <n v="1"/>
    <n v="0"/>
    <n v="0"/>
    <x v="0"/>
    <x v="0"/>
    <x v="15"/>
    <x v="28"/>
    <x v="9"/>
    <s v="FIFA FTI"/>
    <s v="20 Mbps – FTI"/>
  </r>
  <r>
    <s v="WRDFTI"/>
    <x v="13"/>
    <x v="1"/>
    <s v=""/>
    <s v="FIFA Technical FTI"/>
    <s v="Wired Port - FTI"/>
    <s v="WRDFTI - Wired Port - FTI (FIFA Technical FTI)"/>
    <n v="1"/>
    <n v="1"/>
    <n v="0"/>
    <n v="1"/>
    <n v="1"/>
    <n v="0"/>
    <x v="0"/>
    <x v="0"/>
    <x v="15"/>
    <x v="28"/>
    <x v="9"/>
    <s v="FIFA FTI"/>
    <s v="50 Mbps – FTI"/>
  </r>
  <r>
    <s v="WRDFTI"/>
    <x v="13"/>
    <x v="1"/>
    <s v=""/>
    <s v="FIFA Technical FTI"/>
    <s v="Wired Port - FTI"/>
    <s v="WRDFTI - Wired Port - FTI (FIFA Technical FTI)"/>
    <n v="0"/>
    <n v="2"/>
    <n v="0"/>
    <n v="2"/>
    <n v="2"/>
    <n v="0"/>
    <x v="0"/>
    <x v="0"/>
    <x v="15"/>
    <x v="28"/>
    <x v="9"/>
    <s v="FIFA FTI"/>
    <s v="20 Mbps - Refereeing"/>
  </r>
  <r>
    <s v="PROJ6K"/>
    <x v="26"/>
    <x v="5"/>
    <s v=""/>
    <s v=""/>
    <s v="Office Projector - 6K"/>
    <s v="PROJ6K - Office Projector - 6K"/>
    <n v="1"/>
    <n v="0"/>
    <n v="0"/>
    <n v="1"/>
    <n v="0"/>
    <n v="0"/>
    <x v="0"/>
    <x v="0"/>
    <x v="21"/>
    <x v="24"/>
    <x v="9"/>
    <s v="FIFA FTI"/>
    <s v="or a large TV to cover 20 pax"/>
  </r>
  <r>
    <s v="TVLGIP"/>
    <x v="5"/>
    <x v="3"/>
    <s v=""/>
    <s v=""/>
    <s v="Large TV - CATV Feed"/>
    <s v="TVLGIP - TV - Large - IPTV"/>
    <n v="4"/>
    <n v="4"/>
    <n v="0"/>
    <n v="4"/>
    <n v="4"/>
    <n v="0"/>
    <x v="0"/>
    <x v="0"/>
    <x v="20"/>
    <x v="24"/>
    <x v="9"/>
    <s v="FIFA FTI"/>
    <s v="if it's possible to provide video signal with different feeds from different angles"/>
  </r>
  <r>
    <s v="TVSTND"/>
    <x v="6"/>
    <x v="0"/>
    <s v=""/>
    <s v=""/>
    <s v="TV Stand for medium and large TVs"/>
    <s v="TVSTND - TV Stand - Medium &amp; Large TVs"/>
    <n v="4"/>
    <n v="0"/>
    <n v="0"/>
    <n v="4"/>
    <n v="0"/>
    <n v="0"/>
    <x v="0"/>
    <x v="0"/>
    <x v="20"/>
    <x v="24"/>
    <x v="9"/>
    <s v="FIFA FTI"/>
    <m/>
  </r>
  <r>
    <s v="WRDFTI"/>
    <x v="13"/>
    <x v="1"/>
    <s v=""/>
    <s v="FIFA Technical FTI"/>
    <s v="Wired Port - FTI"/>
    <s v="WRDFTI - Wired Port - FTI (FIFA Technical FTI)"/>
    <n v="7"/>
    <n v="6"/>
    <n v="0"/>
    <n v="6"/>
    <n v="6"/>
    <n v="0"/>
    <x v="0"/>
    <x v="0"/>
    <x v="14"/>
    <x v="29"/>
    <x v="9"/>
    <s v="FIFA FTI"/>
    <s v="50 Mbps – Streaming provider_x000a_3 Main_x000a_3 Backup_x000a_2 different ISPs"/>
  </r>
  <r>
    <s v="WRDFTI"/>
    <x v="13"/>
    <x v="1"/>
    <s v=""/>
    <s v="FIFA Technical FTI"/>
    <s v="Wired Port - FTI"/>
    <s v="WRDFTI - Wired Port - FTI (FIFA Technical FTI)"/>
    <n v="0"/>
    <n v="1"/>
    <n v="0"/>
    <n v="1"/>
    <n v="1"/>
    <n v="0"/>
    <x v="0"/>
    <x v="0"/>
    <x v="14"/>
    <x v="29"/>
    <x v="9"/>
    <s v="FIFA FTI"/>
    <s v="100 Mbps – FVS provider"/>
  </r>
  <r>
    <s v="WRDFTI"/>
    <x v="13"/>
    <x v="1"/>
    <s v=""/>
    <s v="FIFA Technical FTI"/>
    <s v="Wired Port - FTI"/>
    <s v="WRDFTI - Wired Port - FTI (FIFA Technical FTI)"/>
    <n v="4"/>
    <n v="2"/>
    <n v="0"/>
    <n v="2"/>
    <n v="2"/>
    <n v="0"/>
    <x v="0"/>
    <x v="0"/>
    <x v="15"/>
    <x v="30"/>
    <x v="9"/>
    <s v="FIFA FTI"/>
    <s v="50 Mbps – Streaming provider_x000a_3 Main_x000a_3 Backup_x000a_2 different ISPs"/>
  </r>
  <r>
    <s v="WRDFTI"/>
    <x v="13"/>
    <x v="1"/>
    <s v=""/>
    <s v="FIFA Technical FTI"/>
    <s v="Wired Port - FTI"/>
    <s v="WRDFTI - Wired Port - FTI (FIFA Technical FTI)"/>
    <n v="0"/>
    <n v="1"/>
    <n v="0"/>
    <n v="1"/>
    <n v="1"/>
    <n v="0"/>
    <x v="0"/>
    <x v="0"/>
    <x v="15"/>
    <x v="30"/>
    <x v="9"/>
    <s v="FIFA FTI"/>
    <s v="100 Mbps – FVS provider"/>
  </r>
  <r>
    <s v="WRDTSG"/>
    <x v="27"/>
    <x v="1"/>
    <s v=""/>
    <s v="FIFA Technical TSG"/>
    <s v="Wired Port - TSG"/>
    <s v="WRDTSG - Wired Port - TSG (FIFA Technical TSG)"/>
    <n v="1"/>
    <n v="1"/>
    <n v="0"/>
    <n v="1"/>
    <n v="1"/>
    <n v="0"/>
    <x v="0"/>
    <x v="0"/>
    <x v="20"/>
    <x v="24"/>
    <x v="9"/>
    <s v="FIFA FTI"/>
    <s v="Internet speed 350Mb"/>
  </r>
  <r>
    <s v="IS00WF"/>
    <x v="1"/>
    <x v="1"/>
    <s v=""/>
    <s v="General Internet Access"/>
    <s v="Wireless coverage - Shared Internet Service - FIFA"/>
    <s v="IS00WF - Wireless coverage - Shared Internet Service - Wi-Fi FIFA (General Internet Access)"/>
    <n v="1"/>
    <n v="0"/>
    <n v="0"/>
    <n v="1"/>
    <n v="0"/>
    <n v="0"/>
    <x v="0"/>
    <x v="1"/>
    <x v="11"/>
    <x v="31"/>
    <x v="9"/>
    <s v="FIFA FTI"/>
    <s v="at BC in the stadium"/>
  </r>
  <r>
    <s v="WRDFTI"/>
    <x v="13"/>
    <x v="1"/>
    <s v=""/>
    <s v="FIFA Technical FTI"/>
    <s v="Wired Port - FTI"/>
    <s v="WRDFTI - Wired Port - FTI (FIFA Technical FTI)"/>
    <n v="2"/>
    <n v="2"/>
    <n v="0"/>
    <n v="2"/>
    <n v="2"/>
    <n v="0"/>
    <x v="0"/>
    <x v="1"/>
    <x v="11"/>
    <x v="32"/>
    <x v="9"/>
    <s v="FIFA FTI"/>
    <s v="at BC in the stadium (2 x 25Mb) _x000a_1 Main_x000a_1 Backup_x000a_2 different ISPs"/>
  </r>
  <r>
    <s v="WRDFTI"/>
    <x v="13"/>
    <x v="1"/>
    <s v=""/>
    <s v="FIFA Technical FTI"/>
    <s v="Wired Port - FTI"/>
    <s v="WRDFTI - Wired Port - FTI (FIFA Technical FTI)"/>
    <n v="1"/>
    <n v="1"/>
    <n v="0"/>
    <n v="1"/>
    <n v="1"/>
    <n v="0"/>
    <x v="0"/>
    <x v="1"/>
    <x v="11"/>
    <x v="32"/>
    <x v="9"/>
    <s v="FIFA FTI"/>
    <s v="at BC in the stadium (100 Mb)"/>
  </r>
  <r>
    <s v="WRDFTI"/>
    <x v="13"/>
    <x v="1"/>
    <s v=""/>
    <s v="FIFA Technical FTI"/>
    <s v="Wired Port - FTI"/>
    <s v="WRDFTI - Wired Port - FTI (FIFA Technical FTI)"/>
    <n v="1"/>
    <n v="1"/>
    <n v="0"/>
    <n v="1"/>
    <n v="1"/>
    <n v="0"/>
    <x v="0"/>
    <x v="1"/>
    <x v="11"/>
    <x v="31"/>
    <x v="9"/>
    <s v="FIFA FTI"/>
    <s v="at BC in the stadium 50 Mbps – FTI"/>
  </r>
  <r>
    <s v="WRDFTI"/>
    <x v="13"/>
    <x v="1"/>
    <s v=""/>
    <s v="FIFA Technical FTI"/>
    <s v="Wired Port - FTI"/>
    <s v="WRDFTI - Wired Port - FTI (FIFA Technical FTI)"/>
    <n v="1"/>
    <n v="1"/>
    <n v="0"/>
    <n v="1"/>
    <n v="1"/>
    <n v="0"/>
    <x v="0"/>
    <x v="1"/>
    <x v="11"/>
    <x v="31"/>
    <x v="9"/>
    <s v="FIFA FTI"/>
    <s v="at BC in the stadium 20 Mbps - Refereeing"/>
  </r>
  <r>
    <s v="WRDTSG"/>
    <x v="27"/>
    <x v="1"/>
    <s v=""/>
    <s v="FIFA Technical TSG"/>
    <s v="Wired Port - TSG"/>
    <s v="WRDTSG - Wired Port - TSG (FIFA Technical TSG)"/>
    <n v="8"/>
    <n v="8"/>
    <n v="0"/>
    <n v="8"/>
    <n v="8"/>
    <n v="0"/>
    <x v="0"/>
    <x v="1"/>
    <x v="17"/>
    <x v="24"/>
    <x v="9"/>
    <s v="FIFA FTI"/>
    <s v="Location TBC: MT"/>
  </r>
  <r>
    <s v="IS00VP"/>
    <x v="28"/>
    <x v="1"/>
    <s v=""/>
    <s v="General Internet Access"/>
    <s v="Wireless coverage - Shared Internet Service - VIP"/>
    <s v="IS00VP - Wireless coverage - Shared Internet Service - Wi-Fi VIP (General Internet Access)"/>
    <n v="1"/>
    <n v="0"/>
    <n v="0"/>
    <n v="1"/>
    <n v="0"/>
    <n v="0"/>
    <x v="0"/>
    <x v="0"/>
    <x v="13"/>
    <x v="33"/>
    <x v="10"/>
    <s v="FIFA Guest Operations"/>
    <m/>
  </r>
  <r>
    <s v="IS00WF"/>
    <x v="1"/>
    <x v="1"/>
    <s v=""/>
    <s v="General Internet Access"/>
    <s v="Wireless coverage - Shared Internet Service - FIFA"/>
    <s v="IS00WF - Wireless coverage - Shared Internet Service - Wi-Fi FIFA (General Internet Access)"/>
    <n v="1"/>
    <n v="0"/>
    <n v="0"/>
    <n v="1"/>
    <n v="0"/>
    <n v="0"/>
    <x v="0"/>
    <x v="0"/>
    <x v="13"/>
    <x v="34"/>
    <x v="10"/>
    <s v="FIFA Guest Operations"/>
    <m/>
  </r>
  <r>
    <s v="MFDDNW"/>
    <x v="2"/>
    <x v="2"/>
    <s v=""/>
    <s v="General Internet Access"/>
    <s v="Colour Printer / Scanner (A4)"/>
    <s v="MFDDNW - MFD Desktop - Colour - A4 - Network (General Internet Access)"/>
    <n v="1"/>
    <n v="1"/>
    <n v="0"/>
    <n v="1"/>
    <n v="1"/>
    <n v="0"/>
    <x v="0"/>
    <x v="0"/>
    <x v="13"/>
    <x v="34"/>
    <x v="10"/>
    <s v="FIFA Guest Operations"/>
    <m/>
  </r>
  <r>
    <s v="TVLGIP"/>
    <x v="5"/>
    <x v="3"/>
    <s v=""/>
    <s v=""/>
    <s v="Large TV - CATV Feed"/>
    <s v="TVLGIP - TV - Large - IPTV"/>
    <n v="4"/>
    <n v="4"/>
    <n v="0"/>
    <n v="4"/>
    <n v="4"/>
    <n v="0"/>
    <x v="0"/>
    <x v="0"/>
    <x v="13"/>
    <x v="33"/>
    <x v="10"/>
    <s v="FIFA Guest Operations"/>
    <m/>
  </r>
  <r>
    <s v="TVSTND"/>
    <x v="6"/>
    <x v="0"/>
    <s v=""/>
    <s v=""/>
    <s v="TV Stand for medium and large TVs"/>
    <s v="TVSTND - TV Stand - Medium &amp; Large TVs"/>
    <n v="4"/>
    <n v="0"/>
    <n v="0"/>
    <n v="4"/>
    <n v="0"/>
    <n v="0"/>
    <x v="0"/>
    <x v="0"/>
    <x v="13"/>
    <x v="33"/>
    <x v="10"/>
    <s v="FIFA Guest Operations"/>
    <m/>
  </r>
  <r>
    <s v="IS00VP"/>
    <x v="28"/>
    <x v="1"/>
    <s v=""/>
    <s v="General Internet Access"/>
    <s v="Wireless coverage - Shared Internet Service - VIP"/>
    <s v="IS00VP - Wireless coverage - Shared Internet Service - Wi-Fi VIP (General Internet Access)"/>
    <n v="1"/>
    <n v="0"/>
    <n v="0"/>
    <n v="1"/>
    <n v="0"/>
    <n v="0"/>
    <x v="0"/>
    <x v="1"/>
    <x v="22"/>
    <x v="33"/>
    <x v="10"/>
    <s v="FIFA Guest Operations"/>
    <m/>
  </r>
  <r>
    <s v="IS00WF"/>
    <x v="1"/>
    <x v="1"/>
    <s v=""/>
    <s v="General Internet Access"/>
    <s v="Wireless coverage - Shared Internet Service - FIFA"/>
    <s v="IS00WF - Wireless coverage - Shared Internet Service - Wi-Fi FIFA (General Internet Access)"/>
    <n v="1"/>
    <n v="0"/>
    <n v="0"/>
    <n v="1"/>
    <n v="0"/>
    <n v="0"/>
    <x v="0"/>
    <x v="1"/>
    <x v="22"/>
    <x v="34"/>
    <x v="10"/>
    <s v="FIFA Guest Operations"/>
    <m/>
  </r>
  <r>
    <s v="MFDDNW"/>
    <x v="2"/>
    <x v="2"/>
    <s v=""/>
    <s v="General Internet Access"/>
    <s v="Colour Printer / Scanner (A4)"/>
    <s v="MFDDNW - MFD Desktop - Colour - A4 - Network (General Internet Access)"/>
    <n v="1"/>
    <n v="1"/>
    <n v="0"/>
    <n v="1"/>
    <n v="1"/>
    <n v="0"/>
    <x v="0"/>
    <x v="1"/>
    <x v="22"/>
    <x v="34"/>
    <x v="10"/>
    <s v="FIFA Guest Operations"/>
    <m/>
  </r>
  <r>
    <s v="TVLGIP"/>
    <x v="5"/>
    <x v="3"/>
    <s v=""/>
    <s v=""/>
    <s v="Large TV - CATV Feed"/>
    <s v="TVLGIP - TV - Large - IPTV"/>
    <n v="2"/>
    <n v="2"/>
    <n v="0"/>
    <n v="2"/>
    <n v="2"/>
    <n v="0"/>
    <x v="0"/>
    <x v="1"/>
    <x v="22"/>
    <x v="33"/>
    <x v="10"/>
    <s v="FIFA Guest Operations"/>
    <m/>
  </r>
  <r>
    <s v="TVSTND"/>
    <x v="6"/>
    <x v="0"/>
    <s v=""/>
    <s v=""/>
    <s v="TV Stand for medium and large TVs"/>
    <s v="TVSTND - TV Stand - Medium &amp; Large TVs"/>
    <n v="2"/>
    <n v="0"/>
    <n v="0"/>
    <n v="2"/>
    <n v="0"/>
    <n v="0"/>
    <x v="0"/>
    <x v="1"/>
    <x v="22"/>
    <x v="33"/>
    <x v="10"/>
    <s v="FIFA Guest Operations"/>
    <m/>
  </r>
  <r>
    <s v="CABLOK"/>
    <x v="10"/>
    <x v="0"/>
    <s v="Multi"/>
    <s v=""/>
    <s v="Laptop Cable Lock"/>
    <s v="CABLOK - Laptop Cable Lock"/>
    <n v="1"/>
    <n v="0"/>
    <n v="0"/>
    <n v="1"/>
    <n v="0"/>
    <n v="0"/>
    <x v="1"/>
    <x v="0"/>
    <x v="23"/>
    <x v="14"/>
    <x v="11"/>
    <s v="FIFA Media"/>
    <m/>
  </r>
  <r>
    <s v="IS00WM"/>
    <x v="29"/>
    <x v="1"/>
    <s v=""/>
    <s v="Media Internet Access"/>
    <s v="Wireless coverage - Internet Service - Media"/>
    <s v="IS00WM - Wireless coverage - Internet Service - Wi-Fi Media (Media Internet Access)"/>
    <n v="1"/>
    <n v="0"/>
    <n v="0"/>
    <n v="1"/>
    <n v="0"/>
    <n v="0"/>
    <x v="0"/>
    <x v="0"/>
    <x v="23"/>
    <x v="14"/>
    <x v="11"/>
    <s v="FIFA Media"/>
    <s v="for 100pax"/>
  </r>
  <r>
    <s v="IS00WM"/>
    <x v="29"/>
    <x v="1"/>
    <s v=""/>
    <s v="Media Internet Access"/>
    <s v="Wireless coverage - Internet Service - Media"/>
    <s v="IS00WM - Wireless coverage - Internet Service - Wi-Fi Media (Media Internet Access)"/>
    <n v="1"/>
    <n v="0"/>
    <n v="0"/>
    <n v="1"/>
    <n v="0"/>
    <n v="0"/>
    <x v="0"/>
    <x v="0"/>
    <x v="17"/>
    <x v="35"/>
    <x v="11"/>
    <s v="FIFA Media"/>
    <s v="Local Press"/>
  </r>
  <r>
    <s v="IS00WM"/>
    <x v="29"/>
    <x v="1"/>
    <s v=""/>
    <s v="Media Internet Access"/>
    <s v="Wireless coverage - Internet Service - Media"/>
    <s v="IS00WM - Wireless coverage - Internet Service - Wi-Fi Media (Media Internet Access)"/>
    <n v="1"/>
    <n v="0"/>
    <n v="0"/>
    <n v="1"/>
    <n v="0"/>
    <n v="0"/>
    <x v="0"/>
    <x v="0"/>
    <x v="9"/>
    <x v="36"/>
    <x v="11"/>
    <s v="FIFA Media"/>
    <m/>
  </r>
  <r>
    <s v="IS00WM"/>
    <x v="29"/>
    <x v="1"/>
    <s v=""/>
    <s v="Media Internet Access"/>
    <s v="Wireless coverage - Internet Service - Media"/>
    <s v="IS00WM - Wireless coverage - Internet Service - Wi-Fi Media (Media Internet Access)"/>
    <n v="1"/>
    <n v="0"/>
    <n v="0"/>
    <n v="1"/>
    <n v="0"/>
    <n v="0"/>
    <x v="0"/>
    <x v="0"/>
    <x v="9"/>
    <x v="37"/>
    <x v="11"/>
    <s v="FIFA Media"/>
    <m/>
  </r>
  <r>
    <s v="IS00WM"/>
    <x v="29"/>
    <x v="1"/>
    <s v=""/>
    <s v="Media Internet Access"/>
    <s v="Wireless coverage - Internet Service - Media"/>
    <s v="IS00WM - Wireless coverage - Internet Service - Wi-Fi Media (Media Internet Access)"/>
    <n v="1"/>
    <n v="0"/>
    <n v="0"/>
    <n v="1"/>
    <n v="0"/>
    <n v="0"/>
    <x v="0"/>
    <x v="0"/>
    <x v="0"/>
    <x v="38"/>
    <x v="11"/>
    <s v="FIFA Media"/>
    <m/>
  </r>
  <r>
    <s v="IS00WM"/>
    <x v="29"/>
    <x v="1"/>
    <s v=""/>
    <s v="Media Internet Access"/>
    <s v="Wireless coverage - Internet Service - Media"/>
    <s v="IS00WM - Wireless coverage - Internet Service - Wi-Fi Media (Media Internet Access)"/>
    <n v="1"/>
    <n v="0"/>
    <n v="0"/>
    <n v="1"/>
    <n v="0"/>
    <n v="0"/>
    <x v="0"/>
    <x v="0"/>
    <x v="0"/>
    <x v="39"/>
    <x v="11"/>
    <s v="FIFA Media"/>
    <m/>
  </r>
  <r>
    <s v="IS00WM"/>
    <x v="29"/>
    <x v="1"/>
    <s v=""/>
    <s v="Media Internet Access"/>
    <s v="Wireless coverage - Internet Service - Media"/>
    <s v="IS00WM - Wireless coverage - Internet Service - Wi-Fi Media (Media Internet Access)"/>
    <n v="1"/>
    <n v="0"/>
    <n v="0"/>
    <n v="1"/>
    <n v="0"/>
    <n v="0"/>
    <x v="0"/>
    <x v="0"/>
    <x v="1"/>
    <x v="38"/>
    <x v="11"/>
    <s v="FIFA Media"/>
    <m/>
  </r>
  <r>
    <s v="IS00WM"/>
    <x v="29"/>
    <x v="1"/>
    <s v=""/>
    <s v="Media Internet Access"/>
    <s v="Wireless coverage - Internet Service - Media"/>
    <s v="IS00WM - Wireless coverage - Internet Service - Wi-Fi Media (Media Internet Access)"/>
    <n v="1"/>
    <n v="0"/>
    <n v="0"/>
    <n v="1"/>
    <n v="0"/>
    <n v="0"/>
    <x v="0"/>
    <x v="0"/>
    <x v="1"/>
    <x v="39"/>
    <x v="11"/>
    <s v="FIFA Media"/>
    <m/>
  </r>
  <r>
    <s v="IS00WM"/>
    <x v="29"/>
    <x v="1"/>
    <s v=""/>
    <s v="Media Internet Access"/>
    <s v="Wireless coverage - Internet Service - Media"/>
    <s v="IS00WM - Wireless coverage - Internet Service - Wi-Fi Media (Media Internet Access)"/>
    <n v="1"/>
    <n v="0"/>
    <n v="0"/>
    <n v="1"/>
    <n v="0"/>
    <n v="0"/>
    <x v="0"/>
    <x v="0"/>
    <x v="2"/>
    <x v="38"/>
    <x v="11"/>
    <s v="FIFA Media"/>
    <m/>
  </r>
  <r>
    <s v="IS00WM"/>
    <x v="29"/>
    <x v="1"/>
    <s v=""/>
    <s v="Media Internet Access"/>
    <s v="Wireless coverage - Internet Service - Media"/>
    <s v="IS00WM - Wireless coverage - Internet Service - Wi-Fi Media (Media Internet Access)"/>
    <n v="1"/>
    <n v="0"/>
    <n v="0"/>
    <n v="1"/>
    <n v="0"/>
    <n v="0"/>
    <x v="0"/>
    <x v="0"/>
    <x v="2"/>
    <x v="39"/>
    <x v="11"/>
    <s v="FIFA Media"/>
    <m/>
  </r>
  <r>
    <s v="IS00WM"/>
    <x v="29"/>
    <x v="1"/>
    <s v=""/>
    <s v="Media Internet Access"/>
    <s v="Wireless coverage - Internet Service - Media"/>
    <s v="IS00WM - Wireless coverage - Internet Service - Wi-Fi Media (Media Internet Access)"/>
    <n v="1"/>
    <n v="0"/>
    <n v="0"/>
    <n v="1"/>
    <n v="0"/>
    <n v="0"/>
    <x v="0"/>
    <x v="0"/>
    <x v="3"/>
    <x v="38"/>
    <x v="11"/>
    <s v="FIFA Media"/>
    <m/>
  </r>
  <r>
    <s v="IS00WM"/>
    <x v="29"/>
    <x v="1"/>
    <s v=""/>
    <s v="Media Internet Access"/>
    <s v="Wireless coverage - Internet Service - Media"/>
    <s v="IS00WM - Wireless coverage - Internet Service - Wi-Fi Media (Media Internet Access)"/>
    <n v="1"/>
    <n v="0"/>
    <n v="0"/>
    <n v="1"/>
    <n v="0"/>
    <n v="0"/>
    <x v="0"/>
    <x v="0"/>
    <x v="3"/>
    <x v="39"/>
    <x v="11"/>
    <s v="FIFA Media"/>
    <m/>
  </r>
  <r>
    <s v="IS00WM"/>
    <x v="29"/>
    <x v="1"/>
    <s v=""/>
    <s v="Media Internet Access"/>
    <s v="Wireless coverage - Internet Service - Media"/>
    <s v="IS00WM - Wireless coverage - Internet Service - Wi-Fi Media (Media Internet Access)"/>
    <n v="1"/>
    <n v="0"/>
    <n v="0"/>
    <n v="1"/>
    <n v="0"/>
    <n v="0"/>
    <x v="0"/>
    <x v="0"/>
    <x v="4"/>
    <x v="38"/>
    <x v="11"/>
    <s v="FIFA Media"/>
    <m/>
  </r>
  <r>
    <s v="IS00WM"/>
    <x v="29"/>
    <x v="1"/>
    <s v=""/>
    <s v="Media Internet Access"/>
    <s v="Wireless coverage - Internet Service - Media"/>
    <s v="IS00WM - Wireless coverage - Internet Service - Wi-Fi Media (Media Internet Access)"/>
    <n v="1"/>
    <n v="0"/>
    <n v="0"/>
    <n v="1"/>
    <n v="0"/>
    <n v="0"/>
    <x v="0"/>
    <x v="0"/>
    <x v="4"/>
    <x v="39"/>
    <x v="11"/>
    <s v="FIFA Media"/>
    <m/>
  </r>
  <r>
    <s v="IS00WM"/>
    <x v="29"/>
    <x v="1"/>
    <s v=""/>
    <s v="Media Internet Access"/>
    <s v="Wireless coverage - Internet Service - Media"/>
    <s v="IS00WM - Wireless coverage - Internet Service - Wi-Fi Media (Media Internet Access)"/>
    <n v="1"/>
    <n v="0"/>
    <n v="0"/>
    <n v="1"/>
    <n v="0"/>
    <n v="0"/>
    <x v="0"/>
    <x v="0"/>
    <x v="5"/>
    <x v="38"/>
    <x v="11"/>
    <s v="FIFA Media"/>
    <m/>
  </r>
  <r>
    <s v="IS00WM"/>
    <x v="29"/>
    <x v="1"/>
    <s v=""/>
    <s v="Media Internet Access"/>
    <s v="Wireless coverage - Internet Service - Media"/>
    <s v="IS00WM - Wireless coverage - Internet Service - Wi-Fi Media (Media Internet Access)"/>
    <n v="1"/>
    <n v="0"/>
    <n v="0"/>
    <n v="1"/>
    <n v="0"/>
    <n v="0"/>
    <x v="0"/>
    <x v="0"/>
    <x v="5"/>
    <x v="39"/>
    <x v="11"/>
    <s v="FIFA Media"/>
    <m/>
  </r>
  <r>
    <s v="IS00WM"/>
    <x v="29"/>
    <x v="1"/>
    <s v=""/>
    <s v="Media Internet Access"/>
    <s v="Wireless coverage - Internet Service - Media"/>
    <s v="IS00WM - Wireless coverage - Internet Service - Wi-Fi Media (Media Internet Access)"/>
    <n v="1"/>
    <n v="0"/>
    <n v="0"/>
    <n v="1"/>
    <n v="0"/>
    <n v="0"/>
    <x v="0"/>
    <x v="0"/>
    <x v="6"/>
    <x v="38"/>
    <x v="11"/>
    <s v="FIFA Media"/>
    <m/>
  </r>
  <r>
    <s v="IS00WM"/>
    <x v="29"/>
    <x v="1"/>
    <s v=""/>
    <s v="Media Internet Access"/>
    <s v="Wireless coverage - Internet Service - Media"/>
    <s v="IS00WM - Wireless coverage - Internet Service - Wi-Fi Media (Media Internet Access)"/>
    <n v="1"/>
    <n v="0"/>
    <n v="0"/>
    <n v="1"/>
    <n v="0"/>
    <n v="0"/>
    <x v="0"/>
    <x v="0"/>
    <x v="6"/>
    <x v="39"/>
    <x v="11"/>
    <s v="FIFA Media"/>
    <m/>
  </r>
  <r>
    <s v="IS00WM"/>
    <x v="29"/>
    <x v="1"/>
    <s v=""/>
    <s v="Media Internet Access"/>
    <s v="Wireless coverage - Internet Service - Media"/>
    <s v="IS00WM - Wireless coverage - Internet Service - Wi-Fi Media (Media Internet Access)"/>
    <n v="1"/>
    <n v="0"/>
    <n v="0"/>
    <n v="1"/>
    <n v="0"/>
    <n v="0"/>
    <x v="0"/>
    <x v="0"/>
    <x v="7"/>
    <x v="38"/>
    <x v="11"/>
    <s v="FIFA Media"/>
    <m/>
  </r>
  <r>
    <s v="IS00WM"/>
    <x v="29"/>
    <x v="1"/>
    <s v=""/>
    <s v="Media Internet Access"/>
    <s v="Wireless coverage - Internet Service - Media"/>
    <s v="IS00WM - Wireless coverage - Internet Service - Wi-Fi Media (Media Internet Access)"/>
    <n v="1"/>
    <n v="0"/>
    <n v="0"/>
    <n v="1"/>
    <n v="0"/>
    <n v="0"/>
    <x v="0"/>
    <x v="0"/>
    <x v="7"/>
    <x v="39"/>
    <x v="11"/>
    <s v="FIFA Media"/>
    <m/>
  </r>
  <r>
    <s v="IS00WM"/>
    <x v="29"/>
    <x v="1"/>
    <s v=""/>
    <s v="Media Internet Access"/>
    <s v="Wireless coverage - Internet Service - Media"/>
    <s v="IS00WM - Wireless coverage - Internet Service - Wi-Fi Media (Media Internet Access)"/>
    <n v="1"/>
    <n v="0"/>
    <n v="0"/>
    <n v="1"/>
    <n v="0"/>
    <n v="0"/>
    <x v="0"/>
    <x v="0"/>
    <x v="18"/>
    <x v="40"/>
    <x v="11"/>
    <s v="FIFA Media"/>
    <m/>
  </r>
  <r>
    <s v="IS00WM"/>
    <x v="29"/>
    <x v="1"/>
    <s v=""/>
    <s v="Media Internet Access"/>
    <s v="Wireless coverage - Internet Service - Media"/>
    <s v="IS00WM - Wireless coverage - Internet Service - Wi-Fi Media (Media Internet Access)"/>
    <n v="1"/>
    <n v="0"/>
    <n v="0"/>
    <n v="1"/>
    <n v="0"/>
    <n v="0"/>
    <x v="0"/>
    <x v="0"/>
    <x v="18"/>
    <x v="41"/>
    <x v="11"/>
    <s v="FIFA Media"/>
    <m/>
  </r>
  <r>
    <s v="LAPEVT"/>
    <x v="17"/>
    <x v="4"/>
    <s v="Single"/>
    <s v=""/>
    <s v="FIFA Laptop"/>
    <s v="LAPEVT - Laptop - FIFA Event Build"/>
    <n v="1"/>
    <n v="0"/>
    <n v="0"/>
    <n v="1"/>
    <n v="0"/>
    <n v="0"/>
    <x v="1"/>
    <x v="0"/>
    <x v="23"/>
    <x v="14"/>
    <x v="11"/>
    <s v="FIFA Media"/>
    <m/>
  </r>
  <r>
    <s v="TVLGIP"/>
    <x v="5"/>
    <x v="3"/>
    <s v=""/>
    <s v=""/>
    <s v="Large TV - CATV Feed"/>
    <s v="TVLGIP - TV - Large - IPTV"/>
    <n v="2"/>
    <n v="2"/>
    <n v="0"/>
    <n v="2"/>
    <n v="2"/>
    <n v="0"/>
    <x v="0"/>
    <x v="0"/>
    <x v="23"/>
    <x v="14"/>
    <x v="11"/>
    <s v="FIFA Media"/>
    <m/>
  </r>
  <r>
    <s v="TVSTND"/>
    <x v="6"/>
    <x v="0"/>
    <s v=""/>
    <s v=""/>
    <s v="TV Stand for medium and large TVs"/>
    <s v="TVSTND - TV Stand - Medium &amp; Large TVs"/>
    <n v="2"/>
    <n v="0"/>
    <n v="0"/>
    <n v="2"/>
    <n v="0"/>
    <n v="0"/>
    <x v="0"/>
    <x v="0"/>
    <x v="23"/>
    <x v="14"/>
    <x v="11"/>
    <s v="FIFA Media"/>
    <m/>
  </r>
  <r>
    <s v="WRDMED"/>
    <x v="3"/>
    <x v="1"/>
    <s v=""/>
    <s v="Media Internet Access Media"/>
    <s v="Wired Port - Internet for Media"/>
    <s v="WRDMED - Wired Port - Media Internet (Media Internet Access Media)"/>
    <n v="5"/>
    <n v="5"/>
    <n v="0"/>
    <n v="5"/>
    <n v="5"/>
    <n v="0"/>
    <x v="0"/>
    <x v="0"/>
    <x v="23"/>
    <x v="14"/>
    <x v="11"/>
    <s v="FIFA Media"/>
    <m/>
  </r>
  <r>
    <s v="AUDUSB"/>
    <x v="30"/>
    <x v="8"/>
    <s v=""/>
    <s v=""/>
    <s v="Audio transformer SDI to USB"/>
    <s v="AUDUSB - Audio transformer SDI to USB"/>
    <n v="1"/>
    <n v="0"/>
    <n v="0"/>
    <n v="1"/>
    <n v="0"/>
    <n v="0"/>
    <x v="1"/>
    <x v="1"/>
    <x v="19"/>
    <x v="22"/>
    <x v="11"/>
    <s v="FIFA Media"/>
    <m/>
  </r>
  <r>
    <s v="CABLOK"/>
    <x v="10"/>
    <x v="0"/>
    <s v="Multi"/>
    <s v=""/>
    <s v="Laptop Cable Lock"/>
    <s v="CABLOK - Laptop Cable Lock"/>
    <n v="1"/>
    <n v="0"/>
    <n v="0"/>
    <n v="1"/>
    <n v="0"/>
    <n v="0"/>
    <x v="1"/>
    <x v="1"/>
    <x v="23"/>
    <x v="42"/>
    <x v="11"/>
    <s v="FIFA Media"/>
    <m/>
  </r>
  <r>
    <s v="CABLOK"/>
    <x v="10"/>
    <x v="0"/>
    <s v="Multi"/>
    <s v=""/>
    <s v="Laptop Cable Lock"/>
    <s v="CABLOK - Laptop Cable Lock"/>
    <n v="2"/>
    <n v="0"/>
    <n v="0"/>
    <n v="2"/>
    <n v="0"/>
    <n v="0"/>
    <x v="1"/>
    <x v="1"/>
    <x v="19"/>
    <x v="22"/>
    <x v="11"/>
    <s v="FIFA Media"/>
    <m/>
  </r>
  <r>
    <s v="CAM001"/>
    <x v="31"/>
    <x v="0"/>
    <s v="Multi"/>
    <s v=""/>
    <s v="Webcam"/>
    <s v="CAM001 - Webcam"/>
    <n v="1"/>
    <n v="0"/>
    <n v="0"/>
    <n v="1"/>
    <n v="0"/>
    <n v="0"/>
    <x v="1"/>
    <x v="1"/>
    <x v="19"/>
    <x v="22"/>
    <x v="11"/>
    <s v="FIFA Media"/>
    <s v="4K"/>
  </r>
  <r>
    <s v="IS00WM"/>
    <x v="29"/>
    <x v="1"/>
    <s v=""/>
    <s v="Media Internet Access"/>
    <s v="Wireless coverage - Internet Service - Media"/>
    <s v="IS00WM - Wireless coverage - Internet Service - Wi-Fi Media (Media Internet Access)"/>
    <n v="1"/>
    <n v="0"/>
    <n v="0"/>
    <n v="1"/>
    <n v="0"/>
    <n v="0"/>
    <x v="0"/>
    <x v="1"/>
    <x v="23"/>
    <x v="43"/>
    <x v="11"/>
    <s v="FIFA Media"/>
    <m/>
  </r>
  <r>
    <s v="IS00WM"/>
    <x v="29"/>
    <x v="1"/>
    <s v=""/>
    <s v="Media Internet Access"/>
    <s v="Wireless coverage - Internet Service - Media"/>
    <s v="IS00WM - Wireless coverage - Internet Service - Wi-Fi Media (Media Internet Access)"/>
    <n v="1"/>
    <n v="0"/>
    <n v="0"/>
    <n v="1"/>
    <n v="0"/>
    <n v="0"/>
    <x v="0"/>
    <x v="1"/>
    <x v="24"/>
    <x v="44"/>
    <x v="11"/>
    <s v="FIFA Media"/>
    <m/>
  </r>
  <r>
    <s v="IS00WM"/>
    <x v="29"/>
    <x v="1"/>
    <s v=""/>
    <s v="Media Internet Access"/>
    <s v="Wireless coverage - Internet Service - Media"/>
    <s v="IS00WM - Wireless coverage - Internet Service - Wi-Fi Media (Media Internet Access)"/>
    <n v="1"/>
    <n v="0"/>
    <n v="0"/>
    <n v="1"/>
    <n v="0"/>
    <n v="0"/>
    <x v="0"/>
    <x v="1"/>
    <x v="23"/>
    <x v="45"/>
    <x v="11"/>
    <s v="FIFA Media"/>
    <m/>
  </r>
  <r>
    <s v="IS00WM"/>
    <x v="29"/>
    <x v="1"/>
    <s v=""/>
    <s v="Media Internet Access"/>
    <s v="Wireless coverage - Internet Service - Media"/>
    <s v="IS00WM - Wireless coverage - Internet Service - Wi-Fi Media (Media Internet Access)"/>
    <n v="1"/>
    <n v="0"/>
    <n v="0"/>
    <n v="1"/>
    <n v="0"/>
    <n v="0"/>
    <x v="0"/>
    <x v="1"/>
    <x v="17"/>
    <x v="35"/>
    <x v="11"/>
    <s v="FIFA Media"/>
    <s v="Local Press+International TBC / for 60pax"/>
  </r>
  <r>
    <s v="IS00WM"/>
    <x v="29"/>
    <x v="1"/>
    <s v=""/>
    <s v="Media Internet Access"/>
    <s v="Wireless coverage - Internet Service - Media"/>
    <s v="IS00WM - Wireless coverage - Internet Service - Wi-Fi Media (Media Internet Access)"/>
    <n v="1"/>
    <n v="0"/>
    <n v="0"/>
    <n v="1"/>
    <n v="0"/>
    <n v="0"/>
    <x v="0"/>
    <x v="1"/>
    <x v="23"/>
    <x v="42"/>
    <x v="11"/>
    <s v="FIFA Media"/>
    <m/>
  </r>
  <r>
    <s v="IS00WM"/>
    <x v="29"/>
    <x v="1"/>
    <s v=""/>
    <s v="Media Internet Access"/>
    <s v="Wireless coverage - Internet Service - Media"/>
    <s v="IS00WM - Wireless coverage - Internet Service - Wi-Fi Media (Media Internet Access)"/>
    <n v="1"/>
    <n v="0"/>
    <n v="0"/>
    <n v="1"/>
    <n v="0"/>
    <n v="0"/>
    <x v="0"/>
    <x v="1"/>
    <x v="18"/>
    <x v="36"/>
    <x v="11"/>
    <s v="FIFA Media"/>
    <m/>
  </r>
  <r>
    <s v="IS00WM"/>
    <x v="29"/>
    <x v="1"/>
    <s v=""/>
    <s v="Media Internet Access"/>
    <s v="Wireless coverage - Internet Service - Media"/>
    <s v="IS00WM - Wireless coverage - Internet Service - Wi-Fi Media (Media Internet Access)"/>
    <n v="1"/>
    <n v="0"/>
    <n v="0"/>
    <n v="1"/>
    <n v="0"/>
    <n v="0"/>
    <x v="0"/>
    <x v="1"/>
    <x v="18"/>
    <x v="37"/>
    <x v="11"/>
    <s v="FIFA Media"/>
    <m/>
  </r>
  <r>
    <s v="IS00WM"/>
    <x v="29"/>
    <x v="1"/>
    <s v=""/>
    <s v="Media Internet Access"/>
    <s v="Wireless coverage - Internet Service - Media"/>
    <s v="IS00WM - Wireless coverage - Internet Service - Wi-Fi Media (Media Internet Access)"/>
    <n v="1"/>
    <n v="0"/>
    <n v="0"/>
    <n v="1"/>
    <n v="0"/>
    <n v="0"/>
    <x v="0"/>
    <x v="1"/>
    <x v="18"/>
    <x v="41"/>
    <x v="11"/>
    <s v="FIFA Media"/>
    <m/>
  </r>
  <r>
    <s v="IS00WM"/>
    <x v="29"/>
    <x v="1"/>
    <s v=""/>
    <s v="Media Internet Access"/>
    <s v="Wireless coverage - Internet Service - Media"/>
    <s v="IS00WM - Wireless coverage - Internet Service - Wi-Fi Media (Media Internet Access)"/>
    <n v="1"/>
    <n v="0"/>
    <n v="0"/>
    <n v="1"/>
    <n v="0"/>
    <n v="0"/>
    <x v="0"/>
    <x v="1"/>
    <x v="18"/>
    <x v="40"/>
    <x v="11"/>
    <s v="FIFA Media"/>
    <m/>
  </r>
  <r>
    <s v="IS00WM"/>
    <x v="29"/>
    <x v="1"/>
    <s v=""/>
    <s v="Media Internet Access"/>
    <s v="Wireless coverage - Internet Service - Media"/>
    <s v="IS00WM - Wireless coverage - Internet Service - Wi-Fi Media (Media Internet Access)"/>
    <n v="1"/>
    <n v="0"/>
    <n v="0"/>
    <n v="1"/>
    <n v="0"/>
    <n v="0"/>
    <x v="0"/>
    <x v="1"/>
    <x v="18"/>
    <x v="38"/>
    <x v="11"/>
    <s v="FIFA Media"/>
    <m/>
  </r>
  <r>
    <s v="IS00WM"/>
    <x v="29"/>
    <x v="1"/>
    <s v=""/>
    <s v="Media Internet Access"/>
    <s v="Wireless coverage - Internet Service - Media"/>
    <s v="IS00WM - Wireless coverage - Internet Service - Wi-Fi Media (Media Internet Access)"/>
    <n v="1"/>
    <n v="0"/>
    <n v="0"/>
    <n v="1"/>
    <n v="0"/>
    <n v="0"/>
    <x v="0"/>
    <x v="1"/>
    <x v="18"/>
    <x v="39"/>
    <x v="11"/>
    <s v="FIFA Media"/>
    <m/>
  </r>
  <r>
    <s v="IS00Wm"/>
    <x v="29"/>
    <x v="1"/>
    <s v=""/>
    <s v="Media Internet Access"/>
    <s v="Wireless coverage - Internet Service - Media"/>
    <s v="IS00Wm - Wireless coverage - Internet Service - Wi-Fi Media (Media Internet Access)"/>
    <n v="1"/>
    <n v="0"/>
    <n v="0"/>
    <n v="1"/>
    <n v="0"/>
    <n v="0"/>
    <x v="0"/>
    <x v="1"/>
    <x v="19"/>
    <x v="22"/>
    <x v="11"/>
    <s v="FIFA Media"/>
    <m/>
  </r>
  <r>
    <s v="LAPEVT"/>
    <x v="17"/>
    <x v="4"/>
    <s v="Single"/>
    <s v=""/>
    <s v="FIFA Laptop"/>
    <s v="LAPEVT - Laptop - FIFA Event Build"/>
    <n v="1"/>
    <n v="0"/>
    <n v="0"/>
    <n v="1"/>
    <n v="0"/>
    <n v="0"/>
    <x v="1"/>
    <x v="1"/>
    <x v="23"/>
    <x v="42"/>
    <x v="11"/>
    <s v="FIFA Media"/>
    <m/>
  </r>
  <r>
    <s v="LAPEVT"/>
    <x v="17"/>
    <x v="4"/>
    <s v="Single"/>
    <s v=""/>
    <s v="FIFA Laptop"/>
    <s v="LAPEVT - Laptop - FIFA Event Build"/>
    <n v="2"/>
    <n v="0"/>
    <n v="0"/>
    <n v="2"/>
    <n v="0"/>
    <n v="0"/>
    <x v="1"/>
    <x v="1"/>
    <x v="19"/>
    <x v="22"/>
    <x v="11"/>
    <s v="FIFA Media"/>
    <m/>
  </r>
  <r>
    <s v="TELMOB"/>
    <x v="21"/>
    <x v="7"/>
    <s v="Single"/>
    <s v=""/>
    <s v="Smart Phone"/>
    <s v="TELMOB - Telephone - Mobile - Smart Phone"/>
    <n v="6"/>
    <n v="0"/>
    <n v="6"/>
    <n v="6"/>
    <n v="0"/>
    <n v="6"/>
    <x v="1"/>
    <x v="1"/>
    <x v="19"/>
    <x v="22"/>
    <x v="11"/>
    <s v="FIFA Media"/>
    <m/>
  </r>
  <r>
    <s v="SIMDAT"/>
    <x v="18"/>
    <x v="7"/>
    <s v=""/>
    <s v=""/>
    <s v="Local SIM Card - Data Only"/>
    <s v="SIMDAT - SIM - Data Only"/>
    <n v="6"/>
    <n v="0"/>
    <n v="6"/>
    <n v="6"/>
    <n v="0"/>
    <n v="6"/>
    <x v="0"/>
    <x v="1"/>
    <x v="19"/>
    <x v="22"/>
    <x v="11"/>
    <s v="FIFA Media"/>
    <m/>
  </r>
  <r>
    <s v="TVLGIP"/>
    <x v="5"/>
    <x v="3"/>
    <s v=""/>
    <s v=""/>
    <s v="Large TV - CATV Feed"/>
    <s v="TVLGIP - TV - Large - IPTV"/>
    <n v="1"/>
    <n v="1"/>
    <n v="0"/>
    <n v="1"/>
    <n v="1"/>
    <n v="0"/>
    <x v="0"/>
    <x v="1"/>
    <x v="24"/>
    <x v="44"/>
    <x v="11"/>
    <s v="FIFA Media"/>
    <m/>
  </r>
  <r>
    <s v="TVLGIP"/>
    <x v="5"/>
    <x v="3"/>
    <s v=""/>
    <s v=""/>
    <s v="Large TV - CATV Feed"/>
    <s v="TVLGIP - TV - Large - IPTV"/>
    <n v="1"/>
    <n v="1"/>
    <n v="0"/>
    <n v="1"/>
    <n v="1"/>
    <n v="0"/>
    <x v="0"/>
    <x v="1"/>
    <x v="23"/>
    <x v="45"/>
    <x v="11"/>
    <s v="FIFA Media"/>
    <m/>
  </r>
  <r>
    <s v="TVSTND"/>
    <x v="6"/>
    <x v="0"/>
    <s v=""/>
    <s v=""/>
    <s v="TV Stand for medium and large TVs"/>
    <s v="TVSTND - TV Stand - Medium &amp; Large TVs"/>
    <n v="1"/>
    <n v="0"/>
    <n v="0"/>
    <n v="1"/>
    <n v="0"/>
    <n v="0"/>
    <x v="0"/>
    <x v="1"/>
    <x v="24"/>
    <x v="44"/>
    <x v="11"/>
    <s v="FIFA Media"/>
    <m/>
  </r>
  <r>
    <s v="TVSTND"/>
    <x v="6"/>
    <x v="0"/>
    <s v=""/>
    <s v=""/>
    <s v="TV Stand for medium and large TVs"/>
    <s v="TVSTND - TV Stand - Medium &amp; Large TVs"/>
    <n v="1"/>
    <n v="0"/>
    <n v="0"/>
    <n v="1"/>
    <n v="0"/>
    <n v="0"/>
    <x v="0"/>
    <x v="1"/>
    <x v="23"/>
    <x v="45"/>
    <x v="11"/>
    <s v="FIFA Media"/>
    <m/>
  </r>
  <r>
    <s v="WRDFTI"/>
    <x v="13"/>
    <x v="1"/>
    <s v=""/>
    <s v="FIFA Technical FTI"/>
    <s v="Wired Port - FTI"/>
    <s v="WRDFTI - Wired Port - FTI (FIFA Technical FTI)"/>
    <n v="2"/>
    <n v="2"/>
    <n v="0"/>
    <n v="2"/>
    <n v="2"/>
    <n v="0"/>
    <x v="0"/>
    <x v="1"/>
    <x v="19"/>
    <x v="22"/>
    <x v="11"/>
    <s v="FIFA Media"/>
    <m/>
  </r>
  <r>
    <s v="WRDMED"/>
    <x v="3"/>
    <x v="1"/>
    <s v=""/>
    <s v="Media Internet Access Media"/>
    <s v="Wired Port - Internet for Media"/>
    <s v="WRDMED - Wired Port - Media Internet (Media Internet Access Media)"/>
    <n v="5"/>
    <n v="5"/>
    <n v="0"/>
    <n v="5"/>
    <n v="5"/>
    <n v="0"/>
    <x v="0"/>
    <x v="1"/>
    <x v="23"/>
    <x v="45"/>
    <x v="11"/>
    <s v="FIFA Media"/>
    <m/>
  </r>
  <r>
    <s v="WRDMED"/>
    <x v="3"/>
    <x v="1"/>
    <s v=""/>
    <s v="Media Internet Access Media"/>
    <s v="Wired Port - Internet for Media"/>
    <s v="WRDMED - Wired Port - Media Internet (Media Internet Access Media)"/>
    <n v="1"/>
    <n v="1"/>
    <n v="0"/>
    <n v="1"/>
    <n v="1"/>
    <n v="0"/>
    <x v="0"/>
    <x v="1"/>
    <x v="18"/>
    <x v="39"/>
    <x v="11"/>
    <s v="FIFA Media"/>
    <s v="Request from Paul Murphy / only if existing infrastructure"/>
  </r>
  <r>
    <s v="WRDMED"/>
    <x v="3"/>
    <x v="1"/>
    <s v=""/>
    <s v="Media Internet Access Media"/>
    <s v="Wired Port - Internet for Media"/>
    <s v="WRDMED - Wired Port - Media Internet (Media Internet Access Media)"/>
    <n v="1"/>
    <n v="1"/>
    <n v="0"/>
    <n v="1"/>
    <n v="1"/>
    <n v="0"/>
    <x v="0"/>
    <x v="1"/>
    <x v="18"/>
    <x v="38"/>
    <x v="11"/>
    <s v="FIFA Media"/>
    <s v="Request from Paul Murphy / only if existing infrastructure"/>
  </r>
  <r>
    <s v="AVMSYS"/>
    <x v="32"/>
    <x v="8"/>
    <s v=""/>
    <s v=""/>
    <s v="Professional Speakers and Microphones"/>
    <s v="AVMSYS - AV Solution (Mics + Speakers)"/>
    <n v="1"/>
    <n v="0"/>
    <n v="0"/>
    <n v="1"/>
    <n v="0"/>
    <n v="0"/>
    <x v="0"/>
    <x v="0"/>
    <x v="25"/>
    <x v="46"/>
    <x v="12"/>
    <s v="FIFA Referees"/>
    <m/>
  </r>
  <r>
    <s v="DSKMNT"/>
    <x v="0"/>
    <x v="0"/>
    <s v=""/>
    <s v=""/>
    <s v="24&quot; PC Monitor"/>
    <s v="DSKMNT - 24&quot; Monitor - HDMI/DP"/>
    <n v="4"/>
    <n v="0"/>
    <n v="0"/>
    <n v="4"/>
    <n v="0"/>
    <n v="0"/>
    <x v="0"/>
    <x v="0"/>
    <x v="25"/>
    <x v="47"/>
    <x v="12"/>
    <s v="FIFA Referees"/>
    <m/>
  </r>
  <r>
    <s v="DSKMNT"/>
    <x v="0"/>
    <x v="0"/>
    <s v=""/>
    <s v=""/>
    <s v="24&quot; PC Monitor"/>
    <s v="DSKMNT - 24&quot; Monitor - HDMI/DP"/>
    <n v="0"/>
    <n v="0"/>
    <n v="0"/>
    <n v="2"/>
    <n v="0"/>
    <n v="0"/>
    <x v="0"/>
    <x v="0"/>
    <x v="25"/>
    <x v="48"/>
    <x v="12"/>
    <s v="FIFA Referees"/>
    <m/>
  </r>
  <r>
    <s v="DSKMNT"/>
    <x v="0"/>
    <x v="0"/>
    <s v=""/>
    <s v=""/>
    <s v="24&quot; PC Monitor"/>
    <s v="DSKMNT - 24&quot; Monitor - HDMI/DP"/>
    <n v="0"/>
    <n v="0"/>
    <n v="0"/>
    <n v="2"/>
    <n v="0"/>
    <n v="0"/>
    <x v="0"/>
    <x v="0"/>
    <x v="25"/>
    <x v="49"/>
    <x v="12"/>
    <s v="FIFA Referees"/>
    <m/>
  </r>
  <r>
    <s v="DSKMNT"/>
    <x v="0"/>
    <x v="0"/>
    <s v=""/>
    <s v=""/>
    <s v="24&quot; PC Monitor"/>
    <s v="DSKMNT - 24&quot; Monitor - HDMI/DP"/>
    <n v="0"/>
    <n v="0"/>
    <n v="0"/>
    <n v="2"/>
    <n v="0"/>
    <n v="0"/>
    <x v="0"/>
    <x v="0"/>
    <x v="25"/>
    <x v="50"/>
    <x v="12"/>
    <s v="FIFA Referees"/>
    <m/>
  </r>
  <r>
    <s v="IS00WR"/>
    <x v="33"/>
    <x v="1"/>
    <s v=""/>
    <s v="General Internet Access"/>
    <s v="Wireless coverage - Internet Service -  Referees"/>
    <s v="IS00WR - Wireless coverage - Internet Service -  Referees (General Internet Access)"/>
    <n v="1"/>
    <n v="0"/>
    <n v="0"/>
    <n v="1"/>
    <n v="0"/>
    <n v="0"/>
    <x v="0"/>
    <x v="0"/>
    <x v="25"/>
    <x v="47"/>
    <x v="12"/>
    <s v="FIFA Referees"/>
    <m/>
  </r>
  <r>
    <s v="IS00WR"/>
    <x v="33"/>
    <x v="1"/>
    <s v=""/>
    <s v="General Internet Access"/>
    <s v="Wireless coverage - Internet Service -  Referees"/>
    <s v="IS00WR - Wireless coverage - Internet Service -  Referees (General Internet Access)"/>
    <n v="1"/>
    <n v="0"/>
    <n v="0"/>
    <n v="1"/>
    <n v="0"/>
    <n v="0"/>
    <x v="0"/>
    <x v="0"/>
    <x v="26"/>
    <x v="51"/>
    <x v="12"/>
    <s v="FIFA Referees"/>
    <m/>
  </r>
  <r>
    <s v="IS00WR"/>
    <x v="33"/>
    <x v="1"/>
    <s v=""/>
    <s v="General Internet Access"/>
    <s v="Wireless coverage - Internet Service -  Referees"/>
    <s v="IS00WR - Wireless coverage - Internet Service -  Referees (General Internet Access)"/>
    <n v="1"/>
    <n v="0"/>
    <n v="0"/>
    <n v="1"/>
    <n v="0"/>
    <n v="0"/>
    <x v="0"/>
    <x v="0"/>
    <x v="25"/>
    <x v="48"/>
    <x v="12"/>
    <s v="FIFA Referees"/>
    <m/>
  </r>
  <r>
    <s v="IS00WR"/>
    <x v="33"/>
    <x v="1"/>
    <s v=""/>
    <s v="General Internet Access"/>
    <s v="Wireless coverage - Internet Service -  Referees"/>
    <s v="IS00WR - Wireless coverage - Internet Service -  Referees (General Internet Access)"/>
    <n v="1"/>
    <n v="0"/>
    <n v="0"/>
    <n v="1"/>
    <n v="0"/>
    <n v="0"/>
    <x v="0"/>
    <x v="0"/>
    <x v="25"/>
    <x v="49"/>
    <x v="12"/>
    <s v="FIFA Referees"/>
    <m/>
  </r>
  <r>
    <s v="IS00WR"/>
    <x v="33"/>
    <x v="1"/>
    <s v=""/>
    <s v="General Internet Access"/>
    <s v="Wireless coverage - Internet Service -  Referees"/>
    <s v="IS00WR - Wireless coverage - Internet Service -  Referees (General Internet Access)"/>
    <n v="1"/>
    <n v="0"/>
    <n v="0"/>
    <n v="1"/>
    <n v="0"/>
    <n v="0"/>
    <x v="0"/>
    <x v="0"/>
    <x v="25"/>
    <x v="50"/>
    <x v="12"/>
    <s v="FIFA Referees"/>
    <m/>
  </r>
  <r>
    <s v="IS00WR"/>
    <x v="33"/>
    <x v="1"/>
    <s v=""/>
    <s v="General Internet Access"/>
    <s v="Wireless coverage - Internet Service -  Referees"/>
    <s v="IS00WR - Wireless coverage - Internet Service -  Referees (General Internet Access)"/>
    <n v="1"/>
    <n v="0"/>
    <n v="0"/>
    <n v="1"/>
    <n v="0"/>
    <n v="0"/>
    <x v="0"/>
    <x v="0"/>
    <x v="25"/>
    <x v="46"/>
    <x v="12"/>
    <s v="FIFA Referees"/>
    <m/>
  </r>
  <r>
    <s v="IS00WR"/>
    <x v="33"/>
    <x v="1"/>
    <s v=""/>
    <s v="General Internet Access"/>
    <s v="Wireless coverage - Internet Service -  Referees"/>
    <s v="IS00WR - Wireless coverage - Internet Service -  Referees (General Internet Access)"/>
    <n v="1"/>
    <n v="0"/>
    <n v="0"/>
    <n v="1"/>
    <n v="0"/>
    <n v="0"/>
    <x v="0"/>
    <x v="0"/>
    <x v="25"/>
    <x v="52"/>
    <x v="12"/>
    <s v="FIFA Referees"/>
    <m/>
  </r>
  <r>
    <s v="IS00WR"/>
    <x v="33"/>
    <x v="1"/>
    <s v=""/>
    <s v="General Internet Access"/>
    <s v="Wireless coverage - Internet Service -  Referees"/>
    <s v="IS00WR - Wireless coverage - Internet Service -  Referees (General Internet Access)"/>
    <n v="1"/>
    <n v="0"/>
    <n v="0"/>
    <n v="1"/>
    <n v="0"/>
    <n v="0"/>
    <x v="0"/>
    <x v="0"/>
    <x v="25"/>
    <x v="53"/>
    <x v="12"/>
    <s v="FIFA Referees"/>
    <m/>
  </r>
  <r>
    <s v="ITSIBU"/>
    <x v="16"/>
    <x v="6"/>
    <s v=""/>
    <s v=""/>
    <s v="IT Solution - 4G Internet backup "/>
    <s v="ITSIBU - IT Solution - 4G Internet backup "/>
    <n v="1"/>
    <n v="0"/>
    <n v="1"/>
    <n v="1"/>
    <n v="0"/>
    <n v="1"/>
    <x v="0"/>
    <x v="0"/>
    <x v="26"/>
    <x v="51"/>
    <x v="12"/>
    <s v="FIFA Referees"/>
    <s v="Only if Wireless is not available"/>
  </r>
  <r>
    <s v="LAPPRE"/>
    <x v="11"/>
    <x v="4"/>
    <s v="Single"/>
    <s v=""/>
    <s v="FIFA Presentation Laptop"/>
    <s v="LAPPRE - Laptop - Presentation Build"/>
    <n v="3"/>
    <n v="0"/>
    <n v="0"/>
    <n v="3"/>
    <n v="0"/>
    <n v="0"/>
    <x v="1"/>
    <x v="0"/>
    <x v="25"/>
    <x v="52"/>
    <x v="12"/>
    <s v="FIFA Referees"/>
    <s v="3 laptops to connect each to 2 TVs via HDMI - to stream matches via FDP"/>
  </r>
  <r>
    <s v="TELMOB"/>
    <x v="21"/>
    <x v="7"/>
    <s v="Single"/>
    <s v=""/>
    <s v="Smart Phone"/>
    <s v="TELMOB - Telephone - Mobile - Smart Phone"/>
    <n v="0"/>
    <n v="0"/>
    <n v="10"/>
    <n v="10"/>
    <n v="0"/>
    <n v="10"/>
    <x v="1"/>
    <x v="0"/>
    <x v="25"/>
    <x v="52"/>
    <x v="12"/>
    <s v="FIFA Referees"/>
    <s v="3 laptops to connect each to 2 TVs via HDMI - to stream matches via FDP"/>
  </r>
  <r>
    <s v="MFDDNW"/>
    <x v="2"/>
    <x v="2"/>
    <s v=""/>
    <s v="General Internet Access"/>
    <s v="Colour Printer / Scanner (A4)"/>
    <s v="MFDDNW - MFD Desktop - Colour - A4 - Network (General Internet Access)"/>
    <n v="1"/>
    <n v="1"/>
    <n v="0"/>
    <n v="1"/>
    <n v="1"/>
    <n v="0"/>
    <x v="0"/>
    <x v="0"/>
    <x v="25"/>
    <x v="47"/>
    <x v="12"/>
    <s v="FIFA Referees"/>
    <m/>
  </r>
  <r>
    <s v="SIMDOM"/>
    <x v="19"/>
    <x v="7"/>
    <s v=""/>
    <s v=""/>
    <s v="Local SIM Card"/>
    <s v="SIMDOM - SIM - Domestic"/>
    <n v="0"/>
    <n v="0"/>
    <n v="20"/>
    <n v="20"/>
    <n v="0"/>
    <n v="20"/>
    <x v="0"/>
    <x v="0"/>
    <x v="25"/>
    <x v="47"/>
    <x v="12"/>
    <s v="FIFA Referees"/>
    <m/>
  </r>
  <r>
    <s v="MFDDNW"/>
    <x v="2"/>
    <x v="2"/>
    <s v=""/>
    <s v="General Internet Access"/>
    <s v="Colour Printer / Scanner (A4)"/>
    <s v="MFDDNW - MFD Desktop - Colour - A4 - Network (General Internet Access)"/>
    <n v="1"/>
    <n v="1"/>
    <n v="0"/>
    <n v="1"/>
    <n v="1"/>
    <n v="0"/>
    <x v="0"/>
    <x v="0"/>
    <x v="25"/>
    <x v="50"/>
    <x v="12"/>
    <s v="FIFA Referees"/>
    <m/>
  </r>
  <r>
    <s v="MFDLNW"/>
    <x v="34"/>
    <x v="2"/>
    <s v=""/>
    <s v="General Internet Access"/>
    <s v="Large Colour Printer / Scanner (A3)"/>
    <s v="MFDLNW - MFD Large - Colour - A3 - Network (General Internet Access)"/>
    <n v="1"/>
    <n v="1"/>
    <n v="0"/>
    <n v="1"/>
    <n v="1"/>
    <n v="0"/>
    <x v="0"/>
    <x v="0"/>
    <x v="25"/>
    <x v="48"/>
    <x v="12"/>
    <s v="FIFA Referees"/>
    <m/>
  </r>
  <r>
    <s v="Proj6k"/>
    <x v="26"/>
    <x v="5"/>
    <s v=""/>
    <s v=""/>
    <s v="Office Projector - 6K"/>
    <s v="Proj6k - Office Projector - 6K"/>
    <n v="1"/>
    <n v="0"/>
    <n v="0"/>
    <n v="1"/>
    <n v="0"/>
    <n v="0"/>
    <x v="0"/>
    <x v="0"/>
    <x v="25"/>
    <x v="46"/>
    <x v="12"/>
    <s v="FIFA Referees"/>
    <m/>
  </r>
  <r>
    <s v="TVLGIP"/>
    <x v="5"/>
    <x v="3"/>
    <s v=""/>
    <s v=""/>
    <s v="Large TV - CATV Feed"/>
    <s v="TVLGIP - TV - Large - IPTV"/>
    <n v="2"/>
    <n v="2"/>
    <n v="0"/>
    <n v="2"/>
    <n v="2"/>
    <n v="0"/>
    <x v="0"/>
    <x v="0"/>
    <x v="25"/>
    <x v="47"/>
    <x v="12"/>
    <s v="FIFA Referees"/>
    <m/>
  </r>
  <r>
    <s v="TVLGIP"/>
    <x v="5"/>
    <x v="3"/>
    <s v=""/>
    <s v=""/>
    <s v="Large TV - CATV Feed"/>
    <s v="TVLGIP - TV - Large - IPTV"/>
    <n v="2"/>
    <n v="2"/>
    <n v="0"/>
    <n v="2"/>
    <n v="2"/>
    <n v="0"/>
    <x v="0"/>
    <x v="0"/>
    <x v="25"/>
    <x v="48"/>
    <x v="12"/>
    <s v="FIFA Referees"/>
    <m/>
  </r>
  <r>
    <s v="TVLGIP"/>
    <x v="5"/>
    <x v="3"/>
    <s v=""/>
    <s v=""/>
    <s v="Large TV - CATV Feed"/>
    <s v="TVLGIP - TV - Large - IPTV"/>
    <n v="1"/>
    <n v="1"/>
    <n v="0"/>
    <n v="1"/>
    <n v="1"/>
    <n v="0"/>
    <x v="0"/>
    <x v="0"/>
    <x v="25"/>
    <x v="49"/>
    <x v="12"/>
    <s v="FIFA Referees"/>
    <m/>
  </r>
  <r>
    <s v="TVLGIP"/>
    <x v="5"/>
    <x v="3"/>
    <s v=""/>
    <s v=""/>
    <s v="Large TV - CATV Feed"/>
    <s v="TVLGIP - TV - Large - IPTV"/>
    <n v="2"/>
    <n v="2"/>
    <n v="0"/>
    <n v="2"/>
    <n v="2"/>
    <n v="0"/>
    <x v="0"/>
    <x v="0"/>
    <x v="25"/>
    <x v="50"/>
    <x v="12"/>
    <s v="FIFA Referees"/>
    <m/>
  </r>
  <r>
    <s v="TVLGIP"/>
    <x v="5"/>
    <x v="3"/>
    <s v=""/>
    <s v=""/>
    <s v="Large TV - CATV Feed"/>
    <s v="TVLGIP - TV - Large - IPTV"/>
    <n v="1"/>
    <n v="1"/>
    <n v="0"/>
    <n v="1"/>
    <n v="1"/>
    <n v="0"/>
    <x v="0"/>
    <x v="0"/>
    <x v="25"/>
    <x v="46"/>
    <x v="12"/>
    <s v="FIFA Referees"/>
    <m/>
  </r>
  <r>
    <s v="TVLGIP"/>
    <x v="5"/>
    <x v="3"/>
    <s v=""/>
    <s v=""/>
    <s v="Large TV - CATV Feed"/>
    <s v="TVLGIP - TV - Large - IPTV"/>
    <n v="2"/>
    <n v="2"/>
    <n v="0"/>
    <n v="2"/>
    <n v="2"/>
    <n v="0"/>
    <x v="0"/>
    <x v="0"/>
    <x v="25"/>
    <x v="53"/>
    <x v="12"/>
    <s v="FIFA Referees"/>
    <m/>
  </r>
  <r>
    <s v="TVLGSA"/>
    <x v="15"/>
    <x v="5"/>
    <s v=""/>
    <s v=""/>
    <s v="Large TV - Standalone"/>
    <s v="TVLGSA - TV - Large - Standalone"/>
    <n v="1"/>
    <n v="0"/>
    <n v="0"/>
    <n v="1"/>
    <n v="0"/>
    <n v="0"/>
    <x v="0"/>
    <x v="0"/>
    <x v="26"/>
    <x v="51"/>
    <x v="12"/>
    <s v="FIFA Referees"/>
    <s v="pitch 11-12"/>
  </r>
  <r>
    <s v="TVSTND"/>
    <x v="6"/>
    <x v="0"/>
    <s v=""/>
    <s v=""/>
    <s v="TV Stand for medium and large TVs"/>
    <s v="TVSTND - TV Stand - Medium &amp; Large TVs"/>
    <n v="2"/>
    <n v="0"/>
    <n v="0"/>
    <n v="2"/>
    <n v="0"/>
    <n v="0"/>
    <x v="0"/>
    <x v="0"/>
    <x v="25"/>
    <x v="47"/>
    <x v="12"/>
    <s v="FIFA Referees"/>
    <m/>
  </r>
  <r>
    <s v="TVSTND"/>
    <x v="6"/>
    <x v="0"/>
    <s v=""/>
    <s v=""/>
    <s v="TV Stand for medium and large TVs"/>
    <s v="TVSTND - TV Stand - Medium &amp; Large TVs"/>
    <n v="1"/>
    <n v="0"/>
    <n v="0"/>
    <n v="1"/>
    <n v="0"/>
    <n v="0"/>
    <x v="0"/>
    <x v="0"/>
    <x v="26"/>
    <x v="51"/>
    <x v="12"/>
    <s v="FIFA Referees"/>
    <m/>
  </r>
  <r>
    <s v="TVSTND"/>
    <x v="6"/>
    <x v="0"/>
    <s v=""/>
    <s v=""/>
    <s v="TV Stand for medium and large TVs"/>
    <s v="TVSTND - TV Stand - Medium &amp; Large TVs"/>
    <n v="2"/>
    <n v="0"/>
    <n v="0"/>
    <n v="2"/>
    <n v="0"/>
    <n v="0"/>
    <x v="0"/>
    <x v="0"/>
    <x v="25"/>
    <x v="48"/>
    <x v="12"/>
    <s v="FIFA Referees"/>
    <m/>
  </r>
  <r>
    <s v="TVSTND"/>
    <x v="6"/>
    <x v="0"/>
    <s v=""/>
    <s v=""/>
    <s v="TV Stand for medium and large TVs"/>
    <s v="TVSTND - TV Stand - Medium &amp; Large TVs"/>
    <n v="1"/>
    <n v="0"/>
    <n v="0"/>
    <n v="1"/>
    <n v="0"/>
    <n v="0"/>
    <x v="0"/>
    <x v="0"/>
    <x v="25"/>
    <x v="49"/>
    <x v="12"/>
    <s v="FIFA Referees"/>
    <m/>
  </r>
  <r>
    <s v="TVSTND"/>
    <x v="6"/>
    <x v="0"/>
    <s v=""/>
    <s v=""/>
    <s v="TV Stand for medium and large TVs"/>
    <s v="TVSTND - TV Stand - Medium &amp; Large TVs"/>
    <n v="2"/>
    <n v="0"/>
    <n v="0"/>
    <n v="2"/>
    <n v="0"/>
    <n v="0"/>
    <x v="0"/>
    <x v="0"/>
    <x v="25"/>
    <x v="50"/>
    <x v="12"/>
    <s v="FIFA Referees"/>
    <m/>
  </r>
  <r>
    <s v="TVSTND"/>
    <x v="6"/>
    <x v="0"/>
    <s v=""/>
    <s v=""/>
    <s v="TV Stand for medium and large TVs"/>
    <s v="TVSTND - TV Stand - Medium &amp; Large TVs"/>
    <n v="1"/>
    <n v="0"/>
    <n v="0"/>
    <n v="1"/>
    <n v="0"/>
    <n v="0"/>
    <x v="0"/>
    <x v="0"/>
    <x v="25"/>
    <x v="46"/>
    <x v="12"/>
    <s v="FIFA Referees"/>
    <m/>
  </r>
  <r>
    <s v="TVSTND"/>
    <x v="6"/>
    <x v="0"/>
    <s v=""/>
    <s v=""/>
    <s v="TV Stand for medium and large TVs"/>
    <s v="TVSTND - TV Stand - Medium &amp; Large TVs"/>
    <n v="2"/>
    <n v="0"/>
    <n v="0"/>
    <n v="2"/>
    <n v="0"/>
    <n v="0"/>
    <x v="0"/>
    <x v="0"/>
    <x v="25"/>
    <x v="53"/>
    <x v="12"/>
    <s v="FIFA Referees"/>
    <m/>
  </r>
  <r>
    <s v="WDF100"/>
    <x v="35"/>
    <x v="1"/>
    <s v=""/>
    <s v="FIFA Technical Internet Access"/>
    <s v="Cabled Internet - 100Mbps"/>
    <s v="WDF100 - Wired Port - 100Mbps - guaranteed (FIFA Technical Internet Access)"/>
    <n v="1"/>
    <n v="1"/>
    <n v="0"/>
    <n v="1"/>
    <n v="1"/>
    <n v="0"/>
    <x v="0"/>
    <x v="0"/>
    <x v="25"/>
    <x v="47"/>
    <x v="12"/>
    <s v="FIFA Referees"/>
    <s v="LOC: Can we add a switch in the room?"/>
  </r>
  <r>
    <s v="WRDGEN"/>
    <x v="8"/>
    <x v="1"/>
    <s v=""/>
    <s v="General Internet Access"/>
    <s v="Wired Port - Internet"/>
    <s v="WRDGEN - Wired Port - General Internet  (General Internet Access)"/>
    <n v="2"/>
    <n v="2"/>
    <n v="0"/>
    <n v="2"/>
    <n v="2"/>
    <n v="0"/>
    <x v="0"/>
    <x v="0"/>
    <x v="25"/>
    <x v="46"/>
    <x v="12"/>
    <s v="FIFA Referees"/>
    <m/>
  </r>
  <r>
    <s v="IS00WF"/>
    <x v="1"/>
    <x v="1"/>
    <s v=""/>
    <s v="General Internet Access"/>
    <s v="Wireless coverage - Shared Internet Service - FIFA"/>
    <s v="IS00WF - Wireless coverage - Shared Internet Service - Wi-Fi FIFA (General Internet Access)"/>
    <n v="1"/>
    <n v="0"/>
    <n v="0"/>
    <n v="1"/>
    <n v="0"/>
    <n v="0"/>
    <x v="0"/>
    <x v="0"/>
    <x v="27"/>
    <x v="54"/>
    <x v="13"/>
    <s v="FIFA Security"/>
    <s v="any other internet availables via Wi-Fi"/>
  </r>
  <r>
    <s v="IS00WF"/>
    <x v="1"/>
    <x v="1"/>
    <s v=""/>
    <s v="General Internet Access"/>
    <s v="Wireless coverage - Shared Internet Service - FIFA"/>
    <s v="IS00WF - Wireless coverage - Shared Internet Service - Wi-Fi FIFA (General Internet Access)"/>
    <n v="1"/>
    <n v="0"/>
    <n v="0"/>
    <n v="1"/>
    <n v="0"/>
    <n v="0"/>
    <x v="0"/>
    <x v="1"/>
    <x v="28"/>
    <x v="54"/>
    <x v="13"/>
    <s v="FIFA Security"/>
    <m/>
  </r>
  <r>
    <s v="IS00WS"/>
    <x v="36"/>
    <x v="1"/>
    <s v=""/>
    <s v="VIP Internet Access"/>
    <s v="Wireless coverage - Shared Internet Service - FOOTBALL"/>
    <s v="IS00WS - Wireless coverage - Shared Internet Service - Wi-Fi FOOTBALL (VIP Internet Access)"/>
    <n v="1"/>
    <n v="0"/>
    <n v="0"/>
    <n v="8"/>
    <n v="0"/>
    <n v="0"/>
    <x v="0"/>
    <x v="0"/>
    <x v="12"/>
    <x v="55"/>
    <x v="14"/>
    <s v="FIFA Team Services"/>
    <s v="Wi-Fi for each dressing room / pitch"/>
  </r>
  <r>
    <s v="IS00WS"/>
    <x v="36"/>
    <x v="1"/>
    <s v=""/>
    <s v="VIP Internet Access"/>
    <s v="Wireless coverage - Shared Internet Service - FOOTBALL"/>
    <s v="IS00WS - Wireless coverage - Shared Internet Service - Wi-Fi FOOTBALL (VIP Internet Access)"/>
    <n v="1"/>
    <n v="0"/>
    <n v="0"/>
    <n v="1"/>
    <n v="0"/>
    <n v="0"/>
    <x v="0"/>
    <x v="0"/>
    <x v="12"/>
    <x v="56"/>
    <x v="14"/>
    <s v="FIFA Team Services"/>
    <m/>
  </r>
  <r>
    <s v="IS00WS"/>
    <x v="36"/>
    <x v="1"/>
    <s v=""/>
    <s v="VIP Internet Access"/>
    <s v="Wireless coverage - Shared Internet Service - FOOTBALL"/>
    <s v="IS00WS - Wireless coverage - Shared Internet Service - Wi-Fi FOOTBALL (VIP Internet Access)"/>
    <n v="1"/>
    <n v="0"/>
    <n v="0"/>
    <n v="1"/>
    <n v="0"/>
    <n v="0"/>
    <x v="0"/>
    <x v="1"/>
    <x v="12"/>
    <x v="55"/>
    <x v="14"/>
    <s v="FIFA Team Services"/>
    <m/>
  </r>
  <r>
    <s v="LAPPRE"/>
    <x v="11"/>
    <x v="4"/>
    <s v="Single"/>
    <s v=""/>
    <s v="FIFA Presentation Laptop"/>
    <s v="LAPPRE - Laptop - Presentation Build"/>
    <n v="1"/>
    <n v="0"/>
    <n v="0"/>
    <n v="1"/>
    <n v="0"/>
    <n v="0"/>
    <x v="1"/>
    <x v="0"/>
    <x v="10"/>
    <x v="1"/>
    <x v="14"/>
    <s v="FIFA Team Services"/>
    <m/>
  </r>
  <r>
    <s v="DSKMNT"/>
    <x v="0"/>
    <x v="0"/>
    <s v=""/>
    <s v=""/>
    <s v="24&quot; PC Monitor"/>
    <s v="DSKMNT - 24&quot; Monitor - HDMI/DP"/>
    <n v="2"/>
    <n v="0"/>
    <n v="0"/>
    <n v="2"/>
    <n v="0"/>
    <n v="0"/>
    <x v="0"/>
    <x v="0"/>
    <x v="10"/>
    <x v="1"/>
    <x v="15"/>
    <s v="FIFA Transport"/>
    <m/>
  </r>
  <r>
    <s v="TABLEN"/>
    <x v="7"/>
    <x v="4"/>
    <s v="Single"/>
    <s v=""/>
    <s v="Professional Series Tablet + 4G"/>
    <s v="TABLEN - Tablet - FIFA Professional Tablet + 4G"/>
    <n v="2"/>
    <n v="0"/>
    <n v="2"/>
    <n v="2"/>
    <n v="0"/>
    <n v="2"/>
    <x v="1"/>
    <x v="0"/>
    <x v="10"/>
    <x v="1"/>
    <x v="15"/>
    <s v="FIFA Transport"/>
    <m/>
  </r>
  <r>
    <s v="DSKMNT"/>
    <x v="0"/>
    <x v="0"/>
    <s v=""/>
    <s v=""/>
    <s v="24&quot; PC Monitor"/>
    <s v="DSKMNT - 24&quot; Monitor - HDMI/DP"/>
    <n v="2"/>
    <n v="0"/>
    <n v="0"/>
    <n v="2"/>
    <n v="0"/>
    <n v="0"/>
    <x v="0"/>
    <x v="0"/>
    <x v="10"/>
    <x v="1"/>
    <x v="16"/>
    <s v="FIFA Travel"/>
    <m/>
  </r>
  <r>
    <s v="IS00WF"/>
    <x v="1"/>
    <x v="1"/>
    <s v=""/>
    <s v="General Internet Access"/>
    <s v="Wireless coverage - Shared Internet Service - FIFA"/>
    <s v="IS00WF - Wireless coverage - Shared Internet Service - Wi-Fi FIFA (General Internet Access)"/>
    <n v="1"/>
    <n v="0"/>
    <n v="0"/>
    <n v="1"/>
    <n v="0"/>
    <n v="0"/>
    <x v="0"/>
    <x v="0"/>
    <x v="10"/>
    <x v="1"/>
    <x v="17"/>
    <s v="FIFA Venue Management"/>
    <m/>
  </r>
  <r>
    <s v="IS00WF"/>
    <x v="1"/>
    <x v="1"/>
    <s v=""/>
    <s v="General Internet Access"/>
    <s v="Wireless coverage - Shared Internet Service - FIFA"/>
    <s v="IS00WF - Wireless coverage - Shared Internet Service - Wi-Fi FIFA (General Internet Access)"/>
    <n v="1"/>
    <n v="0"/>
    <n v="0"/>
    <n v="1"/>
    <n v="0"/>
    <n v="0"/>
    <x v="0"/>
    <x v="1"/>
    <x v="8"/>
    <x v="57"/>
    <x v="17"/>
    <s v="FIFA Venue Management"/>
    <m/>
  </r>
  <r>
    <s v="MFDLNW"/>
    <x v="34"/>
    <x v="2"/>
    <s v=""/>
    <s v="General Internet Access"/>
    <s v="Large Colour Printer / Scanner (A3)"/>
    <s v="MFDLNW - MFD Large - Colour - A3 - Network (General Internet Access)"/>
    <n v="1"/>
    <n v="1"/>
    <n v="0"/>
    <n v="1"/>
    <n v="1"/>
    <n v="0"/>
    <x v="0"/>
    <x v="0"/>
    <x v="10"/>
    <x v="1"/>
    <x v="17"/>
    <s v="FIFA Venue Management"/>
    <m/>
  </r>
  <r>
    <s v="MFDDNW"/>
    <x v="2"/>
    <x v="2"/>
    <s v=""/>
    <s v="General Internet Access"/>
    <s v="Colour Printer / Scanner (A4)"/>
    <s v="MFDDNW - MFD Desktop - Colour - A4 - Network (General Internet Access)"/>
    <n v="1"/>
    <n v="1"/>
    <n v="0"/>
    <n v="1"/>
    <n v="1"/>
    <n v="0"/>
    <x v="0"/>
    <x v="1"/>
    <x v="8"/>
    <x v="57"/>
    <x v="17"/>
    <s v="FIFA Venue Management"/>
    <m/>
  </r>
  <r>
    <s v="RADIO"/>
    <x v="37"/>
    <x v="9"/>
    <s v=""/>
    <s v=""/>
    <s v="Radio PMR In Stadium"/>
    <s v="RADIO - Radio PMR In Stadium"/>
    <n v="50"/>
    <n v="0"/>
    <n v="0"/>
    <n v="50"/>
    <n v="0"/>
    <n v="0"/>
    <x v="0"/>
    <x v="0"/>
    <x v="29"/>
    <x v="58"/>
    <x v="17"/>
    <s v="FIFA Venue Management"/>
    <m/>
  </r>
  <r>
    <s v="IS00WF"/>
    <x v="1"/>
    <x v="1"/>
    <s v=""/>
    <s v="General Internet Access"/>
    <s v="Wireless coverage - Shared Internet Service - FIFA"/>
    <s v="IS00WF - Wireless coverage - Shared Internet Service - Wi-Fi FIFA (General Internet Access)"/>
    <n v="1"/>
    <n v="0"/>
    <n v="0"/>
    <n v="1"/>
    <n v="0"/>
    <n v="0"/>
    <x v="0"/>
    <x v="0"/>
    <x v="30"/>
    <x v="59"/>
    <x v="18"/>
    <s v="FIFA Volunteer"/>
    <m/>
  </r>
  <r>
    <s v="LAPEVT"/>
    <x v="17"/>
    <x v="4"/>
    <s v="Single"/>
    <s v=""/>
    <s v="FIFA Laptop"/>
    <s v="LAPEVT - Laptop - FIFA Event Build"/>
    <n v="2"/>
    <n v="0"/>
    <n v="0"/>
    <n v="3"/>
    <n v="0"/>
    <n v="0"/>
    <x v="1"/>
    <x v="0"/>
    <x v="30"/>
    <x v="59"/>
    <x v="18"/>
    <s v="FIFA Volunteer"/>
    <m/>
  </r>
  <r>
    <s v="MFDDNW"/>
    <x v="2"/>
    <x v="2"/>
    <s v=""/>
    <s v="General Internet Access"/>
    <s v="Colour Printer / Scanner (A4)"/>
    <s v="MFDDNW - MFD Desktop - Colour - A4 - Network (General Internet Access)"/>
    <n v="1"/>
    <n v="1"/>
    <n v="0"/>
    <n v="1"/>
    <n v="1"/>
    <n v="0"/>
    <x v="0"/>
    <x v="0"/>
    <x v="30"/>
    <x v="59"/>
    <x v="18"/>
    <s v="FIFA Volunteer"/>
    <m/>
  </r>
  <r>
    <s v="TABLEN"/>
    <x v="7"/>
    <x v="4"/>
    <s v="Single"/>
    <s v=""/>
    <s v="Professional Series Tablet + 4G"/>
    <s v="TABLEN - Tablet - FIFA Professional Tablet + 4G"/>
    <n v="2"/>
    <n v="0"/>
    <n v="2"/>
    <n v="2"/>
    <n v="0"/>
    <n v="2"/>
    <x v="1"/>
    <x v="0"/>
    <x v="30"/>
    <x v="59"/>
    <x v="18"/>
    <s v="FIFA Volunteer"/>
    <m/>
  </r>
  <r>
    <s v="TELMOB"/>
    <x v="21"/>
    <x v="7"/>
    <s v="Single"/>
    <s v=""/>
    <s v="Smart Phone"/>
    <s v="TELMOB - Telephone - Mobile - Smart Phone"/>
    <n v="1"/>
    <n v="0"/>
    <n v="1"/>
    <n v="1"/>
    <n v="0"/>
    <n v="1"/>
    <x v="1"/>
    <x v="0"/>
    <x v="30"/>
    <x v="59"/>
    <x v="18"/>
    <s v="FIFA Volunteer"/>
    <s v="Hotline"/>
  </r>
  <r>
    <s v="TELMOB"/>
    <x v="21"/>
    <x v="7"/>
    <s v="Single"/>
    <s v=""/>
    <s v="Smart Phone"/>
    <s v="TELMOB - Telephone - Mobile - Smart Phone"/>
    <n v="1"/>
    <n v="0"/>
    <n v="1"/>
    <n v="1"/>
    <n v="0"/>
    <n v="1"/>
    <x v="1"/>
    <x v="0"/>
    <x v="30"/>
    <x v="59"/>
    <x v="18"/>
    <s v="FIFA Volunteer"/>
    <s v="Freelancer"/>
  </r>
  <r>
    <s v="TVLGIP"/>
    <x v="5"/>
    <x v="3"/>
    <s v=""/>
    <s v=""/>
    <s v="Large TV - CATV Feed"/>
    <s v="TVLGIP - TV - Large - IPTV"/>
    <n v="1"/>
    <n v="1"/>
    <n v="0"/>
    <n v="1"/>
    <n v="1"/>
    <n v="0"/>
    <x v="0"/>
    <x v="0"/>
    <x v="30"/>
    <x v="59"/>
    <x v="18"/>
    <s v="FIFA Volunteer"/>
    <m/>
  </r>
  <r>
    <s v="TVSTND"/>
    <x v="6"/>
    <x v="0"/>
    <s v=""/>
    <s v=""/>
    <s v="TV Stand for medium and large TVs"/>
    <s v="TVSTND - TV Stand - Medium &amp; Large TVs"/>
    <n v="1"/>
    <n v="0"/>
    <n v="0"/>
    <n v="1"/>
    <n v="0"/>
    <n v="0"/>
    <x v="0"/>
    <x v="0"/>
    <x v="30"/>
    <x v="59"/>
    <x v="18"/>
    <s v="FIFA Volunteer"/>
    <m/>
  </r>
  <r>
    <s v="DSKMNT"/>
    <x v="0"/>
    <x v="0"/>
    <s v=""/>
    <s v=""/>
    <s v="24&quot; PC Monitor"/>
    <s v="DSKMNT - 24&quot; Monitor - HDMI/DP"/>
    <n v="1"/>
    <n v="0"/>
    <n v="0"/>
    <n v="1"/>
    <n v="0"/>
    <n v="0"/>
    <x v="0"/>
    <x v="0"/>
    <x v="10"/>
    <x v="1"/>
    <x v="19"/>
    <s v="FIFA Workforce"/>
    <m/>
  </r>
  <r>
    <s v="IS00WF"/>
    <x v="1"/>
    <x v="1"/>
    <s v=""/>
    <s v="General Internet Access"/>
    <s v="Wireless coverage - Shared Internet Service - FIFA"/>
    <s v="IS00WF - Wireless coverage - Shared Internet Service - Wi-Fi FIFA (General Internet Access)"/>
    <n v="1"/>
    <n v="0"/>
    <n v="0"/>
    <n v="1"/>
    <n v="0"/>
    <n v="0"/>
    <x v="0"/>
    <x v="1"/>
    <x v="31"/>
    <x v="1"/>
    <x v="19"/>
    <s v="FIFA Workforce"/>
    <m/>
  </r>
  <r>
    <s v="IS00WF"/>
    <x v="1"/>
    <x v="1"/>
    <s v=""/>
    <s v="General Internet Access"/>
    <s v="Wireless coverage - Shared Internet Service - FIFA"/>
    <s v="IS00WF - Wireless coverage - Shared Internet Service - Wi-Fi FIFA (General Internet Access)"/>
    <n v="1"/>
    <n v="0"/>
    <n v="0"/>
    <n v="1"/>
    <n v="0"/>
    <n v="0"/>
    <x v="0"/>
    <x v="0"/>
    <x v="10"/>
    <x v="1"/>
    <x v="19"/>
    <s v="FIFA Workforce"/>
    <m/>
  </r>
  <r>
    <s v="IS00WF"/>
    <x v="1"/>
    <x v="1"/>
    <s v=""/>
    <s v="General Internet Access"/>
    <s v="Wireless coverage - Shared Internet Service - FIFA"/>
    <s v="IS00WF - Wireless coverage - Shared Internet Service - Wi-Fi FIFA (General Internet Access)"/>
    <n v="1"/>
    <n v="0"/>
    <n v="0"/>
    <n v="1"/>
    <n v="0"/>
    <n v="0"/>
    <x v="0"/>
    <x v="0"/>
    <x v="30"/>
    <x v="60"/>
    <x v="19"/>
    <s v="FIFA Workforce"/>
    <m/>
  </r>
  <r>
    <s v="IS00WF"/>
    <x v="1"/>
    <x v="1"/>
    <s v=""/>
    <s v="General Internet Access"/>
    <s v="Wireless coverage - Shared Internet Service - FIFA"/>
    <s v="IS00WF - Wireless coverage - Shared Internet Service - Wi-Fi FIFA (General Internet Access)"/>
    <n v="1"/>
    <n v="0"/>
    <n v="0"/>
    <n v="1"/>
    <n v="0"/>
    <n v="0"/>
    <x v="0"/>
    <x v="0"/>
    <x v="10"/>
    <x v="61"/>
    <x v="19"/>
    <s v="FIFA Workforce"/>
    <s v="if possible"/>
  </r>
  <r>
    <s v="IS00WF"/>
    <x v="1"/>
    <x v="1"/>
    <s v=""/>
    <s v="General Internet Access"/>
    <s v="Wireless coverage - Shared Internet Service - FIFA"/>
    <s v="IS00WF - Wireless coverage - Shared Internet Service - Wi-Fi FIFA (General Internet Access)"/>
    <n v="1"/>
    <n v="0"/>
    <n v="0"/>
    <n v="1"/>
    <n v="0"/>
    <n v="0"/>
    <x v="0"/>
    <x v="0"/>
    <x v="10"/>
    <x v="62"/>
    <x v="19"/>
    <s v="FIFA Workforce"/>
    <m/>
  </r>
  <r>
    <s v="IS00WF"/>
    <x v="1"/>
    <x v="1"/>
    <s v=""/>
    <s v="General Internet Access"/>
    <s v="Wireless coverage - Shared Internet Service - FIFA"/>
    <s v="IS00WF - Wireless coverage - Shared Internet Service - Wi-Fi FIFA (General Internet Access)"/>
    <n v="1"/>
    <n v="0"/>
    <n v="0"/>
    <n v="1"/>
    <n v="0"/>
    <n v="0"/>
    <x v="0"/>
    <x v="0"/>
    <x v="30"/>
    <x v="63"/>
    <x v="19"/>
    <s v="FIFA Workforce"/>
    <s v="if possible"/>
  </r>
  <r>
    <s v="TVLGIP"/>
    <x v="5"/>
    <x v="3"/>
    <s v=""/>
    <s v=""/>
    <s v="Large TV - CATV Feed"/>
    <s v="TVLGIP - TV - Large - IPTV"/>
    <n v="2"/>
    <n v="4"/>
    <n v="0"/>
    <n v="4"/>
    <n v="4"/>
    <n v="0"/>
    <x v="0"/>
    <x v="0"/>
    <x v="10"/>
    <x v="1"/>
    <x v="19"/>
    <s v="FIFA Workforce"/>
    <s v="4 games simultaneous"/>
  </r>
  <r>
    <s v="TVLGSA"/>
    <x v="15"/>
    <x v="5"/>
    <s v=""/>
    <s v=""/>
    <s v="Large TV - Standalone"/>
    <s v="TVLGSA - TV - Large - Standalone"/>
    <n v="1"/>
    <n v="0"/>
    <n v="0"/>
    <n v="1"/>
    <n v="0"/>
    <n v="0"/>
    <x v="0"/>
    <x v="0"/>
    <x v="10"/>
    <x v="1"/>
    <x v="19"/>
    <s v="FIFA Workforce"/>
    <s v="TBC Meeting rooms"/>
  </r>
  <r>
    <s v="TVSTND"/>
    <x v="6"/>
    <x v="0"/>
    <s v=""/>
    <s v=""/>
    <s v="TV Stand for medium and large TVs"/>
    <s v="TVSTND - TV Stand - Medium &amp; Large TVs"/>
    <n v="3"/>
    <n v="0"/>
    <n v="0"/>
    <n v="5"/>
    <n v="0"/>
    <n v="0"/>
    <x v="0"/>
    <x v="0"/>
    <x v="10"/>
    <x v="1"/>
    <x v="19"/>
    <s v="FIFA Workforce"/>
    <m/>
  </r>
  <r>
    <s v="IS00WF"/>
    <x v="1"/>
    <x v="1"/>
    <s v=""/>
    <s v="General Internet Access"/>
    <s v="Wireless coverage - Shared Internet Service - FIFA"/>
    <s v="IS00WF - Wireless coverage - Shared Internet Service - Wi-Fi FIFA (General Internet Access)"/>
    <n v="1"/>
    <n v="0"/>
    <n v="0"/>
    <n v="1"/>
    <n v="0"/>
    <n v="0"/>
    <x v="0"/>
    <x v="0"/>
    <x v="30"/>
    <x v="64"/>
    <x v="20"/>
    <s v="Partner Rights Delivery"/>
    <m/>
  </r>
  <r>
    <s v="IS00WF"/>
    <x v="1"/>
    <x v="1"/>
    <s v=""/>
    <s v="General Internet Access"/>
    <s v="Wireless coverage - Shared Internet Service - FIFA"/>
    <s v="IS00WF - Wireless coverage - Shared Internet Service - Wi-Fi FIFA (General Internet Access)"/>
    <n v="1"/>
    <n v="0"/>
    <n v="0"/>
    <n v="1"/>
    <n v="0"/>
    <n v="0"/>
    <x v="0"/>
    <x v="0"/>
    <x v="32"/>
    <x v="65"/>
    <x v="20"/>
    <s v="Partner Rights Delivery"/>
    <s v="Can be 4G too. Position 5 on the map"/>
  </r>
  <r>
    <s v="IS00WF"/>
    <x v="1"/>
    <x v="1"/>
    <s v=""/>
    <s v="General Internet Access"/>
    <s v="Wireless coverage - Shared Internet Service - FIFA"/>
    <s v="IS00WF - Wireless coverage - Shared Internet Service - Wi-Fi FIFA (General Internet Access)"/>
    <n v="1"/>
    <n v="0"/>
    <n v="0"/>
    <n v="1"/>
    <n v="0"/>
    <n v="0"/>
    <x v="0"/>
    <x v="0"/>
    <x v="32"/>
    <x v="66"/>
    <x v="20"/>
    <s v="Partner Rights Delivery"/>
    <s v="Can be 4G too. Position 5 on the map"/>
  </r>
  <r>
    <s v="IS00WF"/>
    <x v="1"/>
    <x v="1"/>
    <s v=""/>
    <s v="General Internet Access"/>
    <s v="Wireless coverage - Shared Internet Service - FIFA"/>
    <s v="IS00WF - Wireless coverage - Shared Internet Service - Wi-Fi FIFA (General Internet Access)"/>
    <n v="1"/>
    <n v="0"/>
    <n v="0"/>
    <n v="1"/>
    <n v="0"/>
    <n v="0"/>
    <x v="0"/>
    <x v="0"/>
    <x v="32"/>
    <x v="67"/>
    <x v="20"/>
    <s v="Partner Rights Delivery"/>
    <s v="Can be 4G too. Position 5 on the map"/>
  </r>
  <r>
    <s v="ITSIBU"/>
    <x v="16"/>
    <x v="6"/>
    <s v=""/>
    <s v=""/>
    <s v="IT Solution - 4G Internet backup "/>
    <s v="ITSIBU - IT Solution - 4G Internet backup "/>
    <n v="4"/>
    <n v="0"/>
    <n v="1"/>
    <n v="1"/>
    <n v="0"/>
    <n v="1"/>
    <x v="0"/>
    <x v="1"/>
    <x v="32"/>
    <x v="68"/>
    <x v="20"/>
    <s v="Partner Rights Delivery"/>
    <s v="TBC if activated"/>
  </r>
  <r>
    <s v="TVLGIP"/>
    <x v="5"/>
    <x v="3"/>
    <s v=""/>
    <s v=""/>
    <s v="Large TV - CATV Feed"/>
    <s v="TVLGIP - TV - Large - IPTV"/>
    <n v="1"/>
    <n v="1"/>
    <n v="0"/>
    <n v="1"/>
    <n v="1"/>
    <n v="0"/>
    <x v="0"/>
    <x v="0"/>
    <x v="30"/>
    <x v="64"/>
    <x v="20"/>
    <s v="Partner Rights Delivery"/>
    <m/>
  </r>
  <r>
    <s v="TVSTND"/>
    <x v="6"/>
    <x v="0"/>
    <s v=""/>
    <s v=""/>
    <s v="TV Stand for medium and large TVs"/>
    <s v="TVSTND - TV Stand - Medium &amp; Large TVs"/>
    <n v="1"/>
    <n v="0"/>
    <n v="0"/>
    <n v="1"/>
    <n v="0"/>
    <n v="0"/>
    <x v="0"/>
    <x v="0"/>
    <x v="30"/>
    <x v="64"/>
    <x v="20"/>
    <s v="Partner Rights Delivery"/>
    <m/>
  </r>
  <r>
    <s v="WRDMED"/>
    <x v="3"/>
    <x v="1"/>
    <s v=""/>
    <s v="Media Internet Access Media"/>
    <s v="Wired Port - Internet for Media"/>
    <s v="WRDMED - Wired Port - Media Internet (Media Internet Access Media)"/>
    <n v="1"/>
    <n v="1"/>
    <n v="0"/>
    <n v="1"/>
    <n v="1"/>
    <n v="0"/>
    <x v="0"/>
    <x v="1"/>
    <x v="18"/>
    <x v="69"/>
    <x v="20"/>
    <s v="Partner Rights Delivery"/>
    <s v="to be kept for the Arab Cup"/>
  </r>
  <r>
    <s v="TABLEN"/>
    <x v="7"/>
    <x v="4"/>
    <s v="Single"/>
    <s v=""/>
    <s v="Professional Series Tablet + 4G"/>
    <s v="TABLEN - Tablet - FIFA Professional Tablet + 4G"/>
    <n v="1"/>
    <n v="0"/>
    <n v="1"/>
    <n v="1"/>
    <n v="0"/>
    <n v="1"/>
    <x v="1"/>
    <x v="0"/>
    <x v="10"/>
    <x v="70"/>
    <x v="21"/>
    <s v="Safeguarding"/>
    <m/>
  </r>
  <r>
    <s v="SIMDAT"/>
    <x v="18"/>
    <x v="7"/>
    <s v=""/>
    <s v=""/>
    <s v="Local SIM Card - Data Only"/>
    <s v="SIMDAT - SIM - Data Only"/>
    <m/>
    <n v="0"/>
    <n v="37"/>
    <n v="37"/>
    <n v="0"/>
    <n v="37"/>
    <x v="0"/>
    <x v="0"/>
    <x v="33"/>
    <x v="70"/>
    <x v="22"/>
    <s v="LOC Access Management "/>
    <m/>
  </r>
  <r>
    <s v="ITSR4G"/>
    <x v="38"/>
    <x v="6"/>
    <s v=""/>
    <s v=""/>
    <s v="IT Solution - Router + 4G"/>
    <s v="ITSR4G - IT Solution - Router + 4G"/>
    <m/>
    <n v="0"/>
    <n v="2"/>
    <n v="2"/>
    <n v="0"/>
    <n v="2"/>
    <x v="0"/>
    <x v="0"/>
    <x v="33"/>
    <x v="70"/>
    <x v="22"/>
    <s v="LOC Access Management "/>
    <m/>
  </r>
  <r>
    <s v="SIMDAT"/>
    <x v="18"/>
    <x v="7"/>
    <s v=""/>
    <s v=""/>
    <s v="Local SIM Card - Data Only"/>
    <s v="SIMDAT - SIM - Data Only"/>
    <m/>
    <n v="0"/>
    <n v="90"/>
    <n v="90"/>
    <n v="0"/>
    <n v="90"/>
    <x v="0"/>
    <x v="1"/>
    <x v="33"/>
    <x v="70"/>
    <x v="22"/>
    <s v="LOC Access Management "/>
    <m/>
  </r>
  <r>
    <s v="ITSR4G"/>
    <x v="38"/>
    <x v="6"/>
    <s v=""/>
    <s v=""/>
    <s v="IT Solution - Router + 4G"/>
    <s v="ITSR4G - IT Solution - Router + 4G"/>
    <m/>
    <n v="0"/>
    <n v="2"/>
    <n v="2"/>
    <n v="0"/>
    <n v="2"/>
    <x v="0"/>
    <x v="1"/>
    <x v="33"/>
    <x v="70"/>
    <x v="22"/>
    <s v="LOC Access Management "/>
    <m/>
  </r>
  <r>
    <s v="MFDDNW"/>
    <x v="2"/>
    <x v="2"/>
    <s v=""/>
    <s v="General Internet Access"/>
    <s v="Colour Printer / Scanner (A4)"/>
    <s v="MFDDNW - MFD Desktop - Colour - A4 - Network (General Internet Access)"/>
    <m/>
    <n v="24"/>
    <n v="0"/>
    <n v="24"/>
    <n v="24"/>
    <n v="0"/>
    <x v="0"/>
    <x v="2"/>
    <x v="34"/>
    <x v="71"/>
    <x v="23"/>
    <s v="LOC Accreditation"/>
    <m/>
  </r>
  <r>
    <s v="MFDLNW"/>
    <x v="34"/>
    <x v="2"/>
    <s v=""/>
    <s v="General Internet Access"/>
    <s v="Large Colour Printer / Scanner (A3)"/>
    <s v="MFDLNW - MFD Large - Colour - A3 - Network (General Internet Access)"/>
    <m/>
    <n v="1"/>
    <n v="0"/>
    <n v="1"/>
    <n v="1"/>
    <n v="0"/>
    <x v="0"/>
    <x v="2"/>
    <x v="34"/>
    <x v="72"/>
    <x v="23"/>
    <s v="LOC Accreditation"/>
    <m/>
  </r>
  <r>
    <s v="LAPEVT"/>
    <x v="17"/>
    <x v="4"/>
    <s v=""/>
    <s v=""/>
    <s v="FIFA Laptop"/>
    <s v="LAPEVT - Laptop - FIFA Event Build"/>
    <m/>
    <n v="0"/>
    <n v="0"/>
    <n v="32"/>
    <n v="0"/>
    <n v="0"/>
    <x v="0"/>
    <x v="2"/>
    <x v="34"/>
    <x v="71"/>
    <x v="23"/>
    <s v="LOC Accreditation"/>
    <m/>
  </r>
  <r>
    <s v="ACCBAR"/>
    <x v="39"/>
    <x v="0"/>
    <s v=""/>
    <s v=""/>
    <s v="Barcode scanner"/>
    <s v="ACCBAR - Barcode scanner"/>
    <m/>
    <n v="0"/>
    <n v="0"/>
    <n v="30"/>
    <n v="0"/>
    <n v="0"/>
    <x v="0"/>
    <x v="2"/>
    <x v="34"/>
    <x v="71"/>
    <x v="23"/>
    <s v="LOC Accreditation"/>
    <m/>
  </r>
  <r>
    <s v="WRDGEN"/>
    <x v="8"/>
    <x v="1"/>
    <s v=""/>
    <s v="General Internet Access"/>
    <s v="Wired Port - Internet"/>
    <s v="WRDGEN - Wired Port - General Internet  (General Internet Access)"/>
    <m/>
    <n v="55"/>
    <n v="0"/>
    <n v="55"/>
    <n v="55"/>
    <n v="0"/>
    <x v="0"/>
    <x v="2"/>
    <x v="34"/>
    <x v="71"/>
    <x v="23"/>
    <s v="LOC Accreditation"/>
    <m/>
  </r>
  <r>
    <s v="IS00WF"/>
    <x v="1"/>
    <x v="1"/>
    <s v=""/>
    <s v="General Internet Access"/>
    <s v="Wireless coverage - Shared Internet Service - FIFA"/>
    <s v="IS00WF - Wireless coverage - Shared Internet Service - Wi-Fi FIFA (General Internet Access)"/>
    <m/>
    <n v="0"/>
    <n v="0"/>
    <n v="1"/>
    <n v="0"/>
    <n v="0"/>
    <x v="0"/>
    <x v="2"/>
    <x v="34"/>
    <x v="73"/>
    <x v="23"/>
    <s v="LOC Accreditation"/>
    <m/>
  </r>
  <r>
    <s v="TVLGIP"/>
    <x v="5"/>
    <x v="3"/>
    <s v=""/>
    <s v=""/>
    <s v="Large TV - CATV Feed"/>
    <s v="TVLGIP - TV - Large - IPTV"/>
    <m/>
    <n v="2"/>
    <n v="0"/>
    <n v="2"/>
    <n v="2"/>
    <n v="0"/>
    <x v="0"/>
    <x v="2"/>
    <x v="34"/>
    <x v="74"/>
    <x v="23"/>
    <s v="LOC Accreditation"/>
    <m/>
  </r>
  <r>
    <s v="LAPEVT"/>
    <x v="17"/>
    <x v="4"/>
    <s v=""/>
    <s v=""/>
    <s v="FIFA Laptop"/>
    <s v="LAPEVT - Laptop - FIFA Event Build"/>
    <m/>
    <n v="0"/>
    <n v="0"/>
    <n v="2"/>
    <n v="0"/>
    <n v="0"/>
    <x v="0"/>
    <x v="0"/>
    <x v="35"/>
    <x v="75"/>
    <x v="24"/>
    <s v="LOC Catering"/>
    <m/>
  </r>
  <r>
    <s v="LAPEVT"/>
    <x v="17"/>
    <x v="4"/>
    <s v=""/>
    <s v=""/>
    <s v="FIFA Laptop"/>
    <s v="LAPEVT - Laptop - FIFA Event Build"/>
    <m/>
    <n v="0"/>
    <n v="0"/>
    <n v="2"/>
    <n v="0"/>
    <n v="0"/>
    <x v="0"/>
    <x v="1"/>
    <x v="33"/>
    <x v="75"/>
    <x v="24"/>
    <s v="LOC Catering"/>
    <m/>
  </r>
  <r>
    <s v="ACCBAR"/>
    <x v="39"/>
    <x v="0"/>
    <s v=""/>
    <s v=""/>
    <s v="Barcode scanner"/>
    <s v="ACCBAR - Barcode scanner"/>
    <m/>
    <n v="0"/>
    <n v="0"/>
    <n v="2"/>
    <n v="0"/>
    <n v="0"/>
    <x v="0"/>
    <x v="0"/>
    <x v="35"/>
    <x v="75"/>
    <x v="24"/>
    <s v="LOC Catering"/>
    <m/>
  </r>
  <r>
    <s v="ACCBAR"/>
    <x v="39"/>
    <x v="0"/>
    <s v=""/>
    <s v=""/>
    <s v="Barcode scanner"/>
    <s v="ACCBAR - Barcode scanner"/>
    <m/>
    <n v="0"/>
    <n v="0"/>
    <n v="2"/>
    <n v="0"/>
    <n v="0"/>
    <x v="0"/>
    <x v="1"/>
    <x v="33"/>
    <x v="75"/>
    <x v="24"/>
    <s v="LOC Catering"/>
    <m/>
  </r>
  <r>
    <s v="TVLGSA"/>
    <x v="15"/>
    <x v="5"/>
    <s v=""/>
    <s v=""/>
    <s v="Large TV - Standalone"/>
    <s v="TVLGSA - TV - Large - Standalone"/>
    <m/>
    <n v="0"/>
    <n v="0"/>
    <n v="1"/>
    <n v="0"/>
    <n v="0"/>
    <x v="0"/>
    <x v="0"/>
    <x v="36"/>
    <x v="76"/>
    <x v="25"/>
    <s v="LOC Events and Community Relations "/>
    <s v=" "/>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7">
  <r>
    <s v="DSKMNT"/>
    <s v="24&quot; Monitor - HDMI/DP"/>
    <x v="0"/>
    <s v=""/>
    <s v=""/>
    <x v="0"/>
    <x v="0"/>
    <n v="5"/>
    <n v="0"/>
    <n v="0"/>
    <n v="1"/>
    <n v="0"/>
    <n v="0"/>
    <s v="LOC IT"/>
    <x v="0"/>
    <x v="0"/>
    <x v="0"/>
    <x v="0"/>
    <s v="Entertainment"/>
    <m/>
    <s v="EU"/>
  </r>
  <r>
    <s v="DSKMNT"/>
    <s v="24&quot; Monitor - HDMI/DP"/>
    <x v="0"/>
    <s v=""/>
    <s v=""/>
    <x v="0"/>
    <x v="0"/>
    <n v="5"/>
    <n v="0"/>
    <n v="0"/>
    <n v="1"/>
    <n v="0"/>
    <n v="0"/>
    <s v="LOC IT"/>
    <x v="0"/>
    <x v="1"/>
    <x v="0"/>
    <x v="0"/>
    <s v="Entertainment"/>
    <m/>
    <s v="EU"/>
  </r>
  <r>
    <s v="DSKMNT"/>
    <s v="24&quot; Monitor - HDMI/DP"/>
    <x v="0"/>
    <s v=""/>
    <s v=""/>
    <x v="0"/>
    <x v="0"/>
    <n v="5"/>
    <n v="0"/>
    <n v="0"/>
    <n v="1"/>
    <n v="0"/>
    <n v="0"/>
    <s v="LOC IT"/>
    <x v="0"/>
    <x v="2"/>
    <x v="0"/>
    <x v="0"/>
    <s v="Entertainment"/>
    <m/>
    <s v="EU"/>
  </r>
  <r>
    <s v="DSKMNT"/>
    <s v="24&quot; Monitor - HDMI/DP"/>
    <x v="0"/>
    <s v=""/>
    <s v=""/>
    <x v="0"/>
    <x v="0"/>
    <n v="5"/>
    <n v="0"/>
    <n v="0"/>
    <n v="1"/>
    <n v="0"/>
    <n v="0"/>
    <s v="LOC IT"/>
    <x v="0"/>
    <x v="3"/>
    <x v="0"/>
    <x v="0"/>
    <s v="Entertainment"/>
    <m/>
    <s v="EU"/>
  </r>
  <r>
    <s v="DSKMNT"/>
    <s v="24&quot; Monitor - HDMI/DP"/>
    <x v="0"/>
    <s v=""/>
    <s v=""/>
    <x v="0"/>
    <x v="0"/>
    <n v="5"/>
    <n v="0"/>
    <n v="0"/>
    <n v="1"/>
    <n v="0"/>
    <n v="0"/>
    <s v="LOC IT"/>
    <x v="0"/>
    <x v="4"/>
    <x v="0"/>
    <x v="0"/>
    <s v="Entertainment"/>
    <m/>
    <s v="EU"/>
  </r>
  <r>
    <s v="DSKMNT"/>
    <s v="24&quot; Monitor - HDMI/DP"/>
    <x v="0"/>
    <s v=""/>
    <s v=""/>
    <x v="0"/>
    <x v="0"/>
    <n v="5"/>
    <n v="0"/>
    <n v="0"/>
    <n v="1"/>
    <n v="0"/>
    <n v="0"/>
    <s v="LOC IT"/>
    <x v="0"/>
    <x v="5"/>
    <x v="0"/>
    <x v="0"/>
    <s v="Entertainment"/>
    <m/>
    <s v="EU"/>
  </r>
  <r>
    <s v="DSKMNT"/>
    <s v="24&quot; Monitor - HDMI/DP"/>
    <x v="0"/>
    <s v=""/>
    <s v=""/>
    <x v="0"/>
    <x v="0"/>
    <n v="5"/>
    <n v="0"/>
    <n v="0"/>
    <n v="1"/>
    <n v="0"/>
    <n v="0"/>
    <s v="LOC IT"/>
    <x v="0"/>
    <x v="6"/>
    <x v="0"/>
    <x v="0"/>
    <s v="Entertainment"/>
    <m/>
    <s v="EU"/>
  </r>
  <r>
    <s v="DSKMNT"/>
    <s v="24&quot; Monitor - HDMI/DP"/>
    <x v="0"/>
    <s v=""/>
    <s v=""/>
    <x v="0"/>
    <x v="0"/>
    <n v="5"/>
    <n v="0"/>
    <n v="0"/>
    <n v="1"/>
    <n v="0"/>
    <n v="0"/>
    <s v="LOC IT"/>
    <x v="0"/>
    <x v="7"/>
    <x v="0"/>
    <x v="0"/>
    <s v="Entertainment"/>
    <m/>
    <s v="EU"/>
  </r>
  <r>
    <s v="IS00WF"/>
    <s v="Wireless coverage - Shared Internet Service - Wi-Fi FIFA"/>
    <x v="1"/>
    <s v=""/>
    <s v="General Internet Access"/>
    <x v="1"/>
    <x v="1"/>
    <n v="1"/>
    <n v="0"/>
    <n v="0"/>
    <n v="1"/>
    <n v="0"/>
    <n v="0"/>
    <s v="LOC IT"/>
    <x v="1"/>
    <x v="8"/>
    <x v="0"/>
    <x v="0"/>
    <s v="Entertainment"/>
    <m/>
    <s v="NW"/>
  </r>
  <r>
    <s v="DSKMNT"/>
    <s v="24&quot; Monitor - HDMI/DP"/>
    <x v="0"/>
    <s v=""/>
    <s v=""/>
    <x v="0"/>
    <x v="0"/>
    <n v="1"/>
    <n v="0"/>
    <n v="0"/>
    <n v="1"/>
    <n v="0"/>
    <n v="0"/>
    <s v="LOC IT"/>
    <x v="1"/>
    <x v="8"/>
    <x v="0"/>
    <x v="0"/>
    <s v="Entertainment"/>
    <m/>
    <s v="EU"/>
  </r>
  <r>
    <s v="IS00WF"/>
    <s v="Wireless coverage - Shared Internet Service - Wi-Fi FIFA"/>
    <x v="1"/>
    <s v=""/>
    <s v="General Internet Access"/>
    <x v="1"/>
    <x v="1"/>
    <n v="1"/>
    <n v="0"/>
    <n v="0"/>
    <n v="1"/>
    <n v="0"/>
    <n v="0"/>
    <s v="LOC IT"/>
    <x v="0"/>
    <x v="9"/>
    <x v="0"/>
    <x v="0"/>
    <s v="Entertainment"/>
    <s v="around CR/each pitch"/>
    <s v="NW"/>
  </r>
  <r>
    <s v="MFDDNW"/>
    <s v="MFD Desktop - Colour - A4 - Network"/>
    <x v="2"/>
    <s v=""/>
    <s v="General Internet Access"/>
    <x v="2"/>
    <x v="2"/>
    <n v="1"/>
    <n v="1"/>
    <n v="0"/>
    <n v="1"/>
    <n v="1"/>
    <n v="0"/>
    <s v="LOC IT"/>
    <x v="1"/>
    <x v="8"/>
    <x v="0"/>
    <x v="0"/>
    <s v="Entertainment"/>
    <m/>
    <s v="EU"/>
  </r>
  <r>
    <s v="WRDMED"/>
    <s v="Wired Port - Media Internet"/>
    <x v="1"/>
    <s v=""/>
    <s v="Media Internet Access Media"/>
    <x v="3"/>
    <x v="3"/>
    <n v="2"/>
    <n v="3"/>
    <n v="0"/>
    <n v="3"/>
    <n v="3"/>
    <n v="0"/>
    <s v="LOC IT"/>
    <x v="1"/>
    <x v="8"/>
    <x v="0"/>
    <x v="0"/>
    <s v="Entertainment"/>
    <s v="100Mb/Cable"/>
    <s v="NW"/>
  </r>
  <r>
    <s v="WRDMED"/>
    <s v="Wired Port - Media Internet"/>
    <x v="1"/>
    <s v=""/>
    <s v="Media Internet Access Media"/>
    <x v="3"/>
    <x v="3"/>
    <n v="5"/>
    <n v="3"/>
    <n v="0"/>
    <n v="3"/>
    <n v="3"/>
    <n v="0"/>
    <s v="LOC IT"/>
    <x v="0"/>
    <x v="0"/>
    <x v="0"/>
    <x v="0"/>
    <s v="Entertainment"/>
    <s v="1 Control Rooms/pitch (100Mb x LAN)"/>
    <s v="NW"/>
  </r>
  <r>
    <s v="WRDMED"/>
    <s v="Wired Port - Media Internet"/>
    <x v="1"/>
    <s v=""/>
    <s v="Media Internet Access Media"/>
    <x v="3"/>
    <x v="3"/>
    <n v="5"/>
    <n v="3"/>
    <n v="0"/>
    <n v="3"/>
    <n v="3"/>
    <n v="0"/>
    <s v="LOC IT"/>
    <x v="0"/>
    <x v="1"/>
    <x v="0"/>
    <x v="0"/>
    <s v="Entertainment"/>
    <s v="1 Control Rooms/pitch (100Mb x LAN)"/>
    <s v="NW"/>
  </r>
  <r>
    <s v="WRDMED"/>
    <s v="Wired Port - Media Internet"/>
    <x v="1"/>
    <s v=""/>
    <s v="Media Internet Access Media"/>
    <x v="3"/>
    <x v="3"/>
    <n v="5"/>
    <n v="3"/>
    <n v="0"/>
    <n v="3"/>
    <n v="3"/>
    <n v="0"/>
    <s v="LOC IT"/>
    <x v="0"/>
    <x v="2"/>
    <x v="0"/>
    <x v="0"/>
    <s v="Entertainment"/>
    <s v="1 Control Rooms/pitch (100Mb x LAN)"/>
    <s v="NW"/>
  </r>
  <r>
    <s v="WRDMED"/>
    <s v="Wired Port - Media Internet"/>
    <x v="1"/>
    <s v=""/>
    <s v="Media Internet Access Media"/>
    <x v="3"/>
    <x v="3"/>
    <n v="5"/>
    <n v="3"/>
    <n v="0"/>
    <n v="3"/>
    <n v="3"/>
    <n v="0"/>
    <s v="LOC IT"/>
    <x v="0"/>
    <x v="3"/>
    <x v="0"/>
    <x v="0"/>
    <s v="Entertainment"/>
    <s v="1 Control Rooms/pitch (100Mb x LAN)"/>
    <s v="NW"/>
  </r>
  <r>
    <s v="WRDMED"/>
    <s v="Wired Port - Media Internet"/>
    <x v="1"/>
    <s v=""/>
    <s v="Media Internet Access Media"/>
    <x v="3"/>
    <x v="3"/>
    <n v="5"/>
    <n v="3"/>
    <n v="0"/>
    <n v="3"/>
    <n v="3"/>
    <n v="0"/>
    <s v="LOC IT"/>
    <x v="0"/>
    <x v="4"/>
    <x v="0"/>
    <x v="0"/>
    <s v="Entertainment"/>
    <s v="1 Control Rooms/pitch (100Mb x LAN)"/>
    <s v="NW"/>
  </r>
  <r>
    <s v="WRDMED"/>
    <s v="Wired Port - Media Internet"/>
    <x v="1"/>
    <s v=""/>
    <s v="Media Internet Access Media"/>
    <x v="3"/>
    <x v="3"/>
    <n v="5"/>
    <n v="3"/>
    <n v="0"/>
    <n v="3"/>
    <n v="3"/>
    <n v="0"/>
    <s v="LOC IT"/>
    <x v="0"/>
    <x v="5"/>
    <x v="0"/>
    <x v="0"/>
    <s v="Entertainment"/>
    <s v="1 Control Rooms/pitch (100Mb x LAN)"/>
    <s v="NW"/>
  </r>
  <r>
    <s v="WRDMED"/>
    <s v="Wired Port - Media Internet"/>
    <x v="1"/>
    <s v=""/>
    <s v="Media Internet Access Media"/>
    <x v="3"/>
    <x v="3"/>
    <n v="5"/>
    <n v="3"/>
    <n v="0"/>
    <n v="3"/>
    <n v="3"/>
    <n v="0"/>
    <s v="LOC IT"/>
    <x v="0"/>
    <x v="6"/>
    <x v="0"/>
    <x v="0"/>
    <s v="Entertainment"/>
    <s v="1 Control Rooms/pitch (100Mb x LAN)"/>
    <s v="NW"/>
  </r>
  <r>
    <s v="WRDMED"/>
    <s v="Wired Port - Media Internet"/>
    <x v="1"/>
    <s v=""/>
    <s v="Media Internet Access Media"/>
    <x v="3"/>
    <x v="3"/>
    <n v="5"/>
    <n v="3"/>
    <n v="0"/>
    <n v="3"/>
    <n v="3"/>
    <n v="0"/>
    <s v="LOC IT"/>
    <x v="0"/>
    <x v="7"/>
    <x v="0"/>
    <x v="0"/>
    <s v="Entertainment"/>
    <s v="1 Control Rooms/pitch (100Mb x LAN)"/>
    <s v="NW"/>
  </r>
  <r>
    <s v="WRDSTU"/>
    <s v="Wired Port - Content"/>
    <x v="1"/>
    <s v=""/>
    <s v="FIFA Technical Content"/>
    <x v="4"/>
    <x v="4"/>
    <n v="0"/>
    <n v="3"/>
    <n v="0"/>
    <n v="3"/>
    <n v="3"/>
    <n v="0"/>
    <s v="LOC IT"/>
    <x v="0"/>
    <x v="10"/>
    <x v="1"/>
    <x v="1"/>
    <s v="FIFA Content"/>
    <s v="50Mb/cable, Location TBC"/>
    <s v="NW"/>
  </r>
  <r>
    <s v="DSKMNT"/>
    <s v="24&quot; Monitor - HDMI/DP"/>
    <x v="0"/>
    <s v=""/>
    <s v=""/>
    <x v="0"/>
    <x v="0"/>
    <n v="0"/>
    <n v="0"/>
    <n v="0"/>
    <n v="3"/>
    <n v="0"/>
    <n v="0"/>
    <s v="LOC IT"/>
    <x v="0"/>
    <x v="10"/>
    <x v="1"/>
    <x v="1"/>
    <s v="FIFA Content"/>
    <s v="50Mb/cable, Location TBC"/>
    <s v="EU"/>
  </r>
  <r>
    <s v="WRDSTU"/>
    <s v="Wired Port - Content"/>
    <x v="1"/>
    <s v=""/>
    <s v="FIFA Technical Content"/>
    <x v="4"/>
    <x v="4"/>
    <n v="0"/>
    <n v="3"/>
    <n v="0"/>
    <n v="3"/>
    <n v="3"/>
    <n v="0"/>
    <s v="LOC IT"/>
    <x v="1"/>
    <x v="11"/>
    <x v="2"/>
    <x v="1"/>
    <s v="FIFA Content"/>
    <s v="Location TBC"/>
    <s v="NW"/>
  </r>
  <r>
    <s v="DSKMNT"/>
    <s v="24&quot; Monitor - HDMI/DP"/>
    <x v="0"/>
    <s v=""/>
    <s v=""/>
    <x v="0"/>
    <x v="0"/>
    <n v="0"/>
    <n v="0"/>
    <n v="0"/>
    <n v="3"/>
    <n v="0"/>
    <n v="0"/>
    <s v="LOC IT"/>
    <x v="1"/>
    <x v="11"/>
    <x v="2"/>
    <x v="1"/>
    <s v="FIFA Content"/>
    <s v="Location TBC"/>
    <s v="EU"/>
  </r>
  <r>
    <s v="IS00WF"/>
    <s v="Wireless coverage - Shared Internet Service - Wi-Fi FIFA"/>
    <x v="1"/>
    <s v=""/>
    <s v="General Internet Access"/>
    <x v="1"/>
    <x v="1"/>
    <n v="1"/>
    <n v="0"/>
    <n v="0"/>
    <n v="1"/>
    <n v="0"/>
    <n v="0"/>
    <s v="LOC IT"/>
    <x v="1"/>
    <x v="12"/>
    <x v="3"/>
    <x v="2"/>
    <s v="FIFA Anti Doping"/>
    <m/>
    <s v="NW"/>
  </r>
  <r>
    <s v="TVLGIP"/>
    <s v="TV - Large - IPTV"/>
    <x v="3"/>
    <s v=""/>
    <s v=""/>
    <x v="5"/>
    <x v="5"/>
    <n v="1"/>
    <n v="1"/>
    <n v="0"/>
    <n v="1"/>
    <n v="1"/>
    <n v="0"/>
    <s v="LOC IT"/>
    <x v="1"/>
    <x v="12"/>
    <x v="3"/>
    <x v="2"/>
    <s v="FIFA Anti Doping"/>
    <m/>
    <s v="AV"/>
  </r>
  <r>
    <s v="TVSTND"/>
    <s v="TV Stand - Medium &amp; Large TVs"/>
    <x v="0"/>
    <s v=""/>
    <s v=""/>
    <x v="6"/>
    <x v="6"/>
    <n v="1"/>
    <n v="0"/>
    <n v="0"/>
    <n v="1"/>
    <n v="0"/>
    <n v="0"/>
    <s v="LOC IT"/>
    <x v="1"/>
    <x v="12"/>
    <x v="3"/>
    <x v="2"/>
    <s v="FIFA Anti Doping"/>
    <m/>
    <s v="AV"/>
  </r>
  <r>
    <s v="IS00WF"/>
    <s v="Wireless coverage - Shared Internet Service - Wi-Fi FIFA"/>
    <x v="1"/>
    <s v=""/>
    <s v="General Internet Access"/>
    <x v="1"/>
    <x v="1"/>
    <n v="1"/>
    <n v="0"/>
    <n v="0"/>
    <n v="1"/>
    <n v="0"/>
    <n v="0"/>
    <s v="LOC IT"/>
    <x v="0"/>
    <x v="13"/>
    <x v="3"/>
    <x v="2"/>
    <s v="FIFA Anti Doping"/>
    <m/>
    <s v="NW"/>
  </r>
  <r>
    <s v="TABLEN"/>
    <s v="Tablet - FIFA Professional Tablet + 4G"/>
    <x v="4"/>
    <s v="Single"/>
    <s v=""/>
    <x v="7"/>
    <x v="7"/>
    <n v="4"/>
    <n v="0"/>
    <n v="4"/>
    <n v="4"/>
    <n v="0"/>
    <n v="4"/>
    <s v="FIFA Event Technology"/>
    <x v="0"/>
    <x v="13"/>
    <x v="3"/>
    <x v="2"/>
    <s v="FIFA Anti Doping"/>
    <s v="MODOC app to be installed/available in Play Store"/>
    <s v="EU"/>
  </r>
  <r>
    <s v="TVLGIP"/>
    <s v="TV - Large - IPTV"/>
    <x v="3"/>
    <s v=""/>
    <s v=""/>
    <x v="5"/>
    <x v="5"/>
    <n v="1"/>
    <n v="1"/>
    <n v="0"/>
    <n v="1"/>
    <n v="1"/>
    <n v="0"/>
    <s v="LOC IT"/>
    <x v="0"/>
    <x v="13"/>
    <x v="3"/>
    <x v="2"/>
    <s v="FIFA Anti Doping"/>
    <m/>
    <s v="AV"/>
  </r>
  <r>
    <s v="TVSTND"/>
    <s v="TV Stand - Medium &amp; Large TVs"/>
    <x v="0"/>
    <s v=""/>
    <s v=""/>
    <x v="6"/>
    <x v="6"/>
    <n v="1"/>
    <n v="0"/>
    <n v="0"/>
    <n v="1"/>
    <n v="0"/>
    <n v="0"/>
    <s v="LOC IT"/>
    <x v="0"/>
    <x v="13"/>
    <x v="3"/>
    <x v="2"/>
    <s v="FIFA Anti Doping"/>
    <m/>
    <s v="AV"/>
  </r>
  <r>
    <s v="IS00WF"/>
    <s v="Wireless coverage - Shared Internet Service - Wi-Fi FIFA"/>
    <x v="1"/>
    <s v=""/>
    <s v="General Internet Access"/>
    <x v="1"/>
    <x v="1"/>
    <n v="1"/>
    <n v="0"/>
    <n v="0"/>
    <n v="1"/>
    <n v="0"/>
    <n v="0"/>
    <s v="LOC IT"/>
    <x v="0"/>
    <x v="14"/>
    <x v="4"/>
    <x v="3"/>
    <s v="FIFA Broadcast"/>
    <m/>
    <s v="NW"/>
  </r>
  <r>
    <s v="MFDDNW"/>
    <s v="MFD Desktop - Colour - A4 - Network"/>
    <x v="2"/>
    <s v=""/>
    <s v="General Internet Access"/>
    <x v="2"/>
    <x v="2"/>
    <n v="1"/>
    <n v="1"/>
    <n v="0"/>
    <n v="1"/>
    <n v="1"/>
    <n v="0"/>
    <s v="LOC IT"/>
    <x v="0"/>
    <x v="14"/>
    <x v="4"/>
    <x v="3"/>
    <s v="FIFA Broadcast"/>
    <m/>
    <s v="EU"/>
  </r>
  <r>
    <s v="WRDGEN"/>
    <s v="Wired Port - General Internet "/>
    <x v="1"/>
    <s v=""/>
    <s v="General Internet Access"/>
    <x v="8"/>
    <x v="8"/>
    <n v="6"/>
    <n v="1"/>
    <n v="0"/>
    <n v="1"/>
    <n v="1"/>
    <n v="0"/>
    <s v="LOC IT"/>
    <x v="0"/>
    <x v="14"/>
    <x v="4"/>
    <x v="3"/>
    <s v="FIFA Broadcast"/>
    <m/>
    <s v="NW"/>
  </r>
  <r>
    <s v="WRDSTU"/>
    <s v="Wired Port - Content"/>
    <x v="1"/>
    <s v=""/>
    <s v="FIFA Technical Content"/>
    <x v="4"/>
    <x v="4"/>
    <n v="1"/>
    <n v="1"/>
    <n v="0"/>
    <n v="1"/>
    <n v="1"/>
    <n v="0"/>
    <s v="LOC IT"/>
    <x v="0"/>
    <x v="14"/>
    <x v="4"/>
    <x v="3"/>
    <s v="FIFA Broadcast"/>
    <m/>
    <s v="NW"/>
  </r>
  <r>
    <s v="IS00WF"/>
    <s v="Wireless coverage - Shared Internet Service - Wi-Fi FIFA"/>
    <x v="1"/>
    <s v=""/>
    <s v="General Internet Access"/>
    <x v="1"/>
    <x v="1"/>
    <n v="1"/>
    <n v="0"/>
    <n v="0"/>
    <n v="1"/>
    <n v="0"/>
    <n v="0"/>
    <s v="LOC IT"/>
    <x v="0"/>
    <x v="15"/>
    <x v="5"/>
    <x v="3"/>
    <s v="FIFA Broadcast"/>
    <m/>
    <s v="NW"/>
  </r>
  <r>
    <s v="MFDDNW"/>
    <s v="MFD Desktop - Colour - A4 - Network"/>
    <x v="2"/>
    <s v=""/>
    <s v="General Internet Access"/>
    <x v="2"/>
    <x v="2"/>
    <n v="1"/>
    <n v="1"/>
    <n v="0"/>
    <n v="1"/>
    <n v="1"/>
    <n v="0"/>
    <s v="LOC IT"/>
    <x v="0"/>
    <x v="15"/>
    <x v="5"/>
    <x v="3"/>
    <s v="FIFA Broadcast"/>
    <m/>
    <s v="EU"/>
  </r>
  <r>
    <s v="WRDGEN"/>
    <s v="Wired Port - General Internet "/>
    <x v="1"/>
    <s v=""/>
    <s v="General Internet Access"/>
    <x v="8"/>
    <x v="8"/>
    <n v="6"/>
    <n v="1"/>
    <n v="0"/>
    <n v="1"/>
    <n v="1"/>
    <n v="0"/>
    <s v="LOC IT"/>
    <x v="0"/>
    <x v="15"/>
    <x v="5"/>
    <x v="3"/>
    <s v="FIFA Broadcast"/>
    <m/>
    <s v="NW"/>
  </r>
  <r>
    <s v="WRDSTU"/>
    <s v="Wired Port - Content"/>
    <x v="1"/>
    <s v=""/>
    <s v="FIFA Technical Content"/>
    <x v="4"/>
    <x v="4"/>
    <n v="1"/>
    <n v="1"/>
    <n v="0"/>
    <n v="1"/>
    <n v="1"/>
    <n v="0"/>
    <s v="LOC IT"/>
    <x v="0"/>
    <x v="15"/>
    <x v="5"/>
    <x v="3"/>
    <s v="FIFA Broadcast"/>
    <m/>
    <s v="NW"/>
  </r>
  <r>
    <s v="WRDSTR"/>
    <s v="Wired Port - Stream &amp; World feed"/>
    <x v="1"/>
    <s v=""/>
    <s v="Stream Fabs &amp; W Feed"/>
    <x v="9"/>
    <x v="9"/>
    <n v="1"/>
    <n v="1"/>
    <n v="0"/>
    <n v="1"/>
    <n v="1"/>
    <n v="0"/>
    <s v="LOC IT"/>
    <x v="0"/>
    <x v="5"/>
    <x v="6"/>
    <x v="3"/>
    <s v="FIFA Broadcast"/>
    <s v="LOC TBC if Wired"/>
    <s v="NW"/>
  </r>
  <r>
    <s v="WRDSTR"/>
    <s v="Wired Port - Stream &amp; World feed"/>
    <x v="1"/>
    <s v=""/>
    <s v="Stream Fabs &amp; W Feed"/>
    <x v="9"/>
    <x v="9"/>
    <n v="1"/>
    <n v="1"/>
    <n v="0"/>
    <n v="1"/>
    <n v="1"/>
    <n v="0"/>
    <s v="LOC IT"/>
    <x v="0"/>
    <x v="5"/>
    <x v="7"/>
    <x v="3"/>
    <s v="FIFA Broadcast"/>
    <s v="LOC TBC if Wired"/>
    <s v="NW"/>
  </r>
  <r>
    <s v="WRDSTR"/>
    <s v="Wired Port - Stream &amp; World feed"/>
    <x v="1"/>
    <s v=""/>
    <s v="Stream Fabs &amp; W Feed"/>
    <x v="9"/>
    <x v="9"/>
    <n v="1"/>
    <n v="1"/>
    <n v="0"/>
    <n v="1"/>
    <n v="1"/>
    <n v="0"/>
    <s v="LOC IT"/>
    <x v="0"/>
    <x v="5"/>
    <x v="8"/>
    <x v="3"/>
    <s v="FIFA Broadcast"/>
    <s v="LOC TBC if Wired"/>
    <s v="NW"/>
  </r>
  <r>
    <s v="WRDSTR"/>
    <s v="Wired Port - Stream &amp; World feed"/>
    <x v="1"/>
    <s v=""/>
    <s v="Stream Fabs &amp; W Feed"/>
    <x v="9"/>
    <x v="9"/>
    <n v="1"/>
    <n v="1"/>
    <n v="0"/>
    <n v="1"/>
    <n v="1"/>
    <n v="0"/>
    <s v="LOC IT"/>
    <x v="0"/>
    <x v="5"/>
    <x v="9"/>
    <x v="3"/>
    <s v="FIFA Broadcast"/>
    <s v="LOC TBC if Wired"/>
    <s v="NW"/>
  </r>
  <r>
    <s v="WRDSTR"/>
    <s v="Wired Port - Stream &amp; World feed"/>
    <x v="1"/>
    <s v=""/>
    <s v="Stream Fabs &amp; W Feed"/>
    <x v="9"/>
    <x v="9"/>
    <n v="1"/>
    <n v="1"/>
    <n v="0"/>
    <n v="1"/>
    <n v="1"/>
    <n v="0"/>
    <s v="LOC IT"/>
    <x v="0"/>
    <x v="4"/>
    <x v="6"/>
    <x v="3"/>
    <s v="FIFA Broadcast"/>
    <s v="LOC TBC if Wired"/>
    <s v="NW"/>
  </r>
  <r>
    <s v="WRDSTR"/>
    <s v="Wired Port - Stream &amp; World feed"/>
    <x v="1"/>
    <s v=""/>
    <s v="Stream Fabs &amp; W Feed"/>
    <x v="9"/>
    <x v="9"/>
    <n v="1"/>
    <n v="1"/>
    <n v="0"/>
    <n v="1"/>
    <n v="1"/>
    <n v="0"/>
    <s v="LOC IT"/>
    <x v="0"/>
    <x v="4"/>
    <x v="7"/>
    <x v="3"/>
    <s v="FIFA Broadcast"/>
    <s v="LOC TBC if Wired"/>
    <s v="NW"/>
  </r>
  <r>
    <s v="WRDSTR"/>
    <s v="Wired Port - Stream &amp; World feed"/>
    <x v="1"/>
    <s v=""/>
    <s v="Stream Fabs &amp; W Feed"/>
    <x v="9"/>
    <x v="9"/>
    <n v="1"/>
    <n v="1"/>
    <n v="0"/>
    <n v="1"/>
    <n v="1"/>
    <n v="0"/>
    <s v="LOC IT"/>
    <x v="0"/>
    <x v="4"/>
    <x v="8"/>
    <x v="3"/>
    <s v="FIFA Broadcast"/>
    <s v="LOC TBC if Wired"/>
    <s v="NW"/>
  </r>
  <r>
    <s v="WRDSTR"/>
    <s v="Wired Port - Stream &amp; World feed"/>
    <x v="1"/>
    <s v=""/>
    <s v="Stream Fabs &amp; W Feed"/>
    <x v="9"/>
    <x v="9"/>
    <n v="1"/>
    <n v="1"/>
    <n v="0"/>
    <n v="1"/>
    <n v="1"/>
    <n v="0"/>
    <s v="LOC IT"/>
    <x v="0"/>
    <x v="4"/>
    <x v="9"/>
    <x v="3"/>
    <s v="FIFA Broadcast"/>
    <s v="LOC TBC if Wired"/>
    <s v="NW"/>
  </r>
  <r>
    <s v="WRDGEN"/>
    <s v="Wired Port - General Internet "/>
    <x v="1"/>
    <s v=""/>
    <s v="General Internet Access"/>
    <x v="8"/>
    <x v="8"/>
    <n v="2"/>
    <n v="2"/>
    <n v="0"/>
    <n v="2"/>
    <n v="2"/>
    <n v="0"/>
    <s v="LOC IT"/>
    <x v="0"/>
    <x v="14"/>
    <x v="10"/>
    <x v="3"/>
    <s v="FIFA Broadcast"/>
    <s v="1 general 1 backup (50Mb)"/>
    <s v="NW"/>
  </r>
  <r>
    <s v="WRDGEN"/>
    <s v="Wired Port - General Internet "/>
    <x v="1"/>
    <s v=""/>
    <s v="General Internet Access"/>
    <x v="8"/>
    <x v="8"/>
    <n v="2"/>
    <n v="2"/>
    <n v="0"/>
    <n v="2"/>
    <n v="2"/>
    <n v="0"/>
    <s v="LOC IT"/>
    <x v="0"/>
    <x v="15"/>
    <x v="11"/>
    <x v="3"/>
    <s v="FIFA Broadcast"/>
    <s v="1 general 1 backup (50Mb)"/>
    <s v="NW"/>
  </r>
  <r>
    <s v="WRDGEN"/>
    <s v="Wired Port - General Internet "/>
    <x v="1"/>
    <s v=""/>
    <s v="General Internet Access"/>
    <x v="8"/>
    <x v="8"/>
    <n v="1"/>
    <n v="1"/>
    <n v="0"/>
    <n v="1"/>
    <n v="1"/>
    <n v="0"/>
    <s v="LOC IT"/>
    <x v="0"/>
    <x v="14"/>
    <x v="12"/>
    <x v="3"/>
    <s v="FIFA Broadcast"/>
    <m/>
    <s v="NW"/>
  </r>
  <r>
    <s v="WRDSTR"/>
    <s v="Wired Port - Stream &amp; World feed"/>
    <x v="1"/>
    <s v=""/>
    <s v="Stream Fabs &amp; W Feed"/>
    <x v="9"/>
    <x v="9"/>
    <n v="3"/>
    <n v="12"/>
    <n v="0"/>
    <n v="12"/>
    <n v="12"/>
    <n v="0"/>
    <s v="LOC IT"/>
    <x v="0"/>
    <x v="14"/>
    <x v="12"/>
    <x v="3"/>
    <s v="FIFA Broadcast"/>
    <s v="high speed 50Mb 4 games"/>
    <s v="NW"/>
  </r>
  <r>
    <s v="WRDGEN"/>
    <s v="Wired Port - General Internet "/>
    <x v="1"/>
    <s v=""/>
    <s v="General Internet Access"/>
    <x v="8"/>
    <x v="8"/>
    <n v="1"/>
    <n v="1"/>
    <n v="0"/>
    <n v="1"/>
    <n v="1"/>
    <n v="0"/>
    <s v="LOC IT"/>
    <x v="0"/>
    <x v="15"/>
    <x v="13"/>
    <x v="3"/>
    <s v="FIFA Broadcast"/>
    <m/>
    <s v="NW"/>
  </r>
  <r>
    <s v="WRDSTR"/>
    <s v="Wired Port - Stream &amp; World feed"/>
    <x v="1"/>
    <s v=""/>
    <s v="Stream Fabs &amp; W Feed"/>
    <x v="9"/>
    <x v="9"/>
    <n v="3"/>
    <n v="4"/>
    <n v="0"/>
    <n v="4"/>
    <n v="4"/>
    <n v="0"/>
    <s v="LOC IT"/>
    <x v="0"/>
    <x v="15"/>
    <x v="13"/>
    <x v="3"/>
    <s v="FIFA Broadcast"/>
    <s v="high speed 50Mb 4 games"/>
    <s v="NW"/>
  </r>
  <r>
    <s v="WRDMED"/>
    <s v="Wired Port - Media Internet"/>
    <x v="1"/>
    <s v=""/>
    <s v="Media Internet Access Media"/>
    <x v="3"/>
    <x v="3"/>
    <n v="2"/>
    <n v="2"/>
    <n v="0"/>
    <n v="2"/>
    <n v="2"/>
    <n v="0"/>
    <s v="LOC IT"/>
    <x v="0"/>
    <x v="16"/>
    <x v="14"/>
    <x v="3"/>
    <s v="FIFA Broadcast"/>
    <m/>
    <s v="NW"/>
  </r>
  <r>
    <s v="IS00WF"/>
    <s v="Wireless coverage - Shared Internet Service - Wi-Fi FIFA"/>
    <x v="1"/>
    <s v=""/>
    <s v="General Internet Access"/>
    <x v="1"/>
    <x v="1"/>
    <n v="1"/>
    <n v="0"/>
    <n v="0"/>
    <n v="1"/>
    <n v="0"/>
    <n v="0"/>
    <s v="LOC IT"/>
    <x v="1"/>
    <x v="11"/>
    <x v="2"/>
    <x v="3"/>
    <s v="FIFA Broadcast"/>
    <m/>
    <s v="NW"/>
  </r>
  <r>
    <s v="MFDDNW"/>
    <s v="MFD Desktop - Colour - A4 - Network"/>
    <x v="2"/>
    <s v=""/>
    <s v="General Internet Access"/>
    <x v="2"/>
    <x v="2"/>
    <n v="1"/>
    <n v="1"/>
    <n v="0"/>
    <n v="1"/>
    <n v="1"/>
    <n v="0"/>
    <s v="LOC IT"/>
    <x v="1"/>
    <x v="11"/>
    <x v="2"/>
    <x v="3"/>
    <s v="FIFA Broadcast"/>
    <m/>
    <s v="EU"/>
  </r>
  <r>
    <s v="WRDGEN"/>
    <s v="Wired Port - General Internet "/>
    <x v="1"/>
    <s v=""/>
    <s v="General Internet Access"/>
    <x v="8"/>
    <x v="8"/>
    <n v="6"/>
    <n v="1"/>
    <n v="0"/>
    <n v="1"/>
    <n v="1"/>
    <n v="0"/>
    <s v="LOC IT"/>
    <x v="1"/>
    <x v="11"/>
    <x v="2"/>
    <x v="3"/>
    <s v="FIFA Broadcast"/>
    <m/>
    <s v="NW"/>
  </r>
  <r>
    <s v="WRDSTU"/>
    <s v="Wired Port - Content"/>
    <x v="1"/>
    <s v=""/>
    <s v="FIFA Technical Content"/>
    <x v="4"/>
    <x v="4"/>
    <n v="1"/>
    <n v="1"/>
    <n v="0"/>
    <n v="1"/>
    <n v="1"/>
    <n v="0"/>
    <s v="LOC IT"/>
    <x v="1"/>
    <x v="11"/>
    <x v="2"/>
    <x v="3"/>
    <s v="FIFA Broadcast"/>
    <m/>
    <s v="NW"/>
  </r>
  <r>
    <s v="CABLOK"/>
    <s v="Laptop Cable Lock"/>
    <x v="0"/>
    <s v="Multi"/>
    <s v=""/>
    <x v="10"/>
    <x v="10"/>
    <n v="2"/>
    <n v="0"/>
    <n v="0"/>
    <n v="2"/>
    <n v="0"/>
    <n v="0"/>
    <s v="FIFA Event Technology"/>
    <x v="1"/>
    <x v="17"/>
    <x v="15"/>
    <x v="3"/>
    <s v="FIFA Broadcast"/>
    <m/>
    <s v="EU"/>
  </r>
  <r>
    <s v="LAPPRE"/>
    <s v="Laptop - Presentation Build"/>
    <x v="4"/>
    <s v="Single"/>
    <s v=""/>
    <x v="11"/>
    <x v="11"/>
    <n v="2"/>
    <n v="0"/>
    <n v="0"/>
    <n v="2"/>
    <n v="0"/>
    <n v="0"/>
    <s v="FIFA Event Technology"/>
    <x v="1"/>
    <x v="17"/>
    <x v="15"/>
    <x v="3"/>
    <s v="FIFA Broadcast"/>
    <m/>
    <s v="EU"/>
  </r>
  <r>
    <s v="WRDMED"/>
    <s v="Wired Port - Media Internet"/>
    <x v="1"/>
    <s v=""/>
    <s v="Media Internet Access Media"/>
    <x v="3"/>
    <x v="3"/>
    <n v="4"/>
    <n v="4"/>
    <n v="0"/>
    <n v="4"/>
    <n v="4"/>
    <n v="0"/>
    <s v="LOC IT"/>
    <x v="1"/>
    <x v="17"/>
    <x v="15"/>
    <x v="3"/>
    <s v="FIFA Broadcast"/>
    <s v="1 port for user, 1 port for PRT per position"/>
    <s v="NW"/>
  </r>
  <r>
    <s v="WRDSTA"/>
    <s v="Wired Port - ACR-TKT-Ipcodec"/>
    <x v="1"/>
    <s v=""/>
    <s v="FIFA Standard Internet Access"/>
    <x v="12"/>
    <x v="12"/>
    <n v="2"/>
    <n v="2"/>
    <n v="0"/>
    <n v="2"/>
    <n v="2"/>
    <n v="0"/>
    <s v="LOC IT"/>
    <x v="1"/>
    <x v="17"/>
    <x v="15"/>
    <x v="3"/>
    <s v="FIFA Broadcast"/>
    <m/>
    <s v="NW"/>
  </r>
  <r>
    <s v="IS00WF"/>
    <s v="Wireless coverage - Shared Internet Service - Wi-Fi FIFA"/>
    <x v="1"/>
    <s v=""/>
    <s v="General Internet Access"/>
    <x v="1"/>
    <x v="1"/>
    <n v="1"/>
    <n v="0"/>
    <n v="0"/>
    <n v="1"/>
    <n v="0"/>
    <n v="0"/>
    <s v="LOC IT"/>
    <x v="1"/>
    <x v="8"/>
    <x v="0"/>
    <x v="3"/>
    <s v="FIFA Broadcast"/>
    <m/>
    <s v="NW"/>
  </r>
  <r>
    <s v="WRDFTI"/>
    <s v="Wired Port - FTI"/>
    <x v="1"/>
    <s v=""/>
    <s v="FIFA Technical FTI"/>
    <x v="13"/>
    <x v="13"/>
    <n v="1"/>
    <n v="1"/>
    <n v="0"/>
    <n v="1"/>
    <n v="1"/>
    <n v="0"/>
    <s v="LOC IT"/>
    <x v="1"/>
    <x v="8"/>
    <x v="0"/>
    <x v="3"/>
    <s v="FIFA Broadcast"/>
    <m/>
    <s v="NW"/>
  </r>
  <r>
    <s v="WRDGEN"/>
    <s v="Wired Port - General Internet "/>
    <x v="1"/>
    <s v=""/>
    <s v="General Internet Access"/>
    <x v="8"/>
    <x v="8"/>
    <n v="1"/>
    <n v="1"/>
    <n v="0"/>
    <n v="1"/>
    <n v="1"/>
    <n v="0"/>
    <s v="LOC IT"/>
    <x v="1"/>
    <x v="8"/>
    <x v="0"/>
    <x v="3"/>
    <s v="FIFA Broadcast"/>
    <m/>
    <s v="NW"/>
  </r>
  <r>
    <s v="WRDMED"/>
    <s v="Wired Port - Media Internet"/>
    <x v="1"/>
    <s v=""/>
    <s v="Media Internet Access Media"/>
    <x v="3"/>
    <x v="3"/>
    <n v="1"/>
    <n v="1"/>
    <n v="0"/>
    <n v="1"/>
    <n v="1"/>
    <n v="0"/>
    <s v="LOC IT"/>
    <x v="1"/>
    <x v="18"/>
    <x v="6"/>
    <x v="3"/>
    <s v="FIFA Broadcast"/>
    <s v="Only if existing infrastructure"/>
    <s v="NW"/>
  </r>
  <r>
    <s v="WRDMED"/>
    <s v="Wired Port - Media Internet"/>
    <x v="1"/>
    <s v=""/>
    <s v="Media Internet Access Media"/>
    <x v="3"/>
    <x v="3"/>
    <n v="1"/>
    <n v="1"/>
    <n v="0"/>
    <n v="1"/>
    <n v="1"/>
    <n v="0"/>
    <s v="LOC IT"/>
    <x v="1"/>
    <x v="18"/>
    <x v="7"/>
    <x v="3"/>
    <s v="FIFA Broadcast"/>
    <s v="Only if existing infrastructure"/>
    <s v="NW"/>
  </r>
  <r>
    <s v="WRDMED"/>
    <s v="Wired Port - Media Internet"/>
    <x v="1"/>
    <s v=""/>
    <s v="Media Internet Access Media"/>
    <x v="3"/>
    <x v="3"/>
    <n v="1"/>
    <n v="1"/>
    <n v="0"/>
    <n v="1"/>
    <n v="1"/>
    <n v="0"/>
    <s v="LOC IT"/>
    <x v="1"/>
    <x v="18"/>
    <x v="8"/>
    <x v="3"/>
    <s v="FIFA Broadcast"/>
    <s v="Only if existing infrastructure"/>
    <s v="NW"/>
  </r>
  <r>
    <s v="WRDMED"/>
    <s v="Wired Port - Media Internet"/>
    <x v="1"/>
    <s v=""/>
    <s v="Media Internet Access Media"/>
    <x v="3"/>
    <x v="3"/>
    <n v="1"/>
    <n v="1"/>
    <n v="0"/>
    <n v="1"/>
    <n v="1"/>
    <n v="0"/>
    <s v="LOC IT"/>
    <x v="1"/>
    <x v="18"/>
    <x v="9"/>
    <x v="3"/>
    <s v="FIFA Broadcast"/>
    <s v="Only if existing infrastructure"/>
    <s v="NW"/>
  </r>
  <r>
    <s v="WRDGEN"/>
    <s v="Wired Port - General Internet "/>
    <x v="1"/>
    <s v=""/>
    <s v="General Internet Access"/>
    <x v="8"/>
    <x v="8"/>
    <n v="2"/>
    <n v="2"/>
    <n v="0"/>
    <n v="2"/>
    <n v="2"/>
    <n v="0"/>
    <s v="LOC IT"/>
    <x v="1"/>
    <x v="11"/>
    <x v="16"/>
    <x v="3"/>
    <s v="FIFA Broadcast"/>
    <s v="1 backup and 1 general"/>
    <s v="NW"/>
  </r>
  <r>
    <s v="WRDGEN"/>
    <s v="Wired Port - General Internet "/>
    <x v="1"/>
    <s v=""/>
    <s v="General Internet Access"/>
    <x v="8"/>
    <x v="8"/>
    <n v="1"/>
    <n v="1"/>
    <n v="0"/>
    <n v="1"/>
    <n v="1"/>
    <n v="0"/>
    <s v="LOC IT"/>
    <x v="1"/>
    <x v="11"/>
    <x v="17"/>
    <x v="3"/>
    <s v="FIFA Broadcast"/>
    <m/>
    <s v="NW"/>
  </r>
  <r>
    <s v="WRDSTR"/>
    <s v="Wired Port - Stream &amp; World feed"/>
    <x v="1"/>
    <s v=""/>
    <s v="Stream Fabs &amp; W Feed"/>
    <x v="9"/>
    <x v="9"/>
    <n v="3"/>
    <n v="2"/>
    <n v="0"/>
    <n v="2"/>
    <n v="2"/>
    <n v="0"/>
    <s v="LOC IT"/>
    <x v="1"/>
    <x v="11"/>
    <x v="17"/>
    <x v="3"/>
    <s v="FIFA Broadcast"/>
    <s v="high speed"/>
    <s v="NW"/>
  </r>
  <r>
    <s v="WRDMED"/>
    <s v="Wired Port - Media Internet"/>
    <x v="1"/>
    <s v=""/>
    <s v="Media Internet Access Media"/>
    <x v="3"/>
    <x v="3"/>
    <n v="2"/>
    <n v="2"/>
    <n v="0"/>
    <n v="2"/>
    <n v="2"/>
    <n v="0"/>
    <s v="LOC IT"/>
    <x v="1"/>
    <x v="16"/>
    <x v="18"/>
    <x v="3"/>
    <s v="FIFA Broadcast"/>
    <m/>
    <s v="NW"/>
  </r>
  <r>
    <s v="DSKMNT"/>
    <s v="24&quot; Monitor - HDMI/DP"/>
    <x v="0"/>
    <s v=""/>
    <s v=""/>
    <x v="0"/>
    <x v="0"/>
    <n v="2"/>
    <n v="0"/>
    <n v="0"/>
    <n v="2"/>
    <n v="0"/>
    <n v="0"/>
    <s v="LOC IT"/>
    <x v="0"/>
    <x v="13"/>
    <x v="19"/>
    <x v="4"/>
    <s v="FIFA Competitions"/>
    <s v="to be moved to Khalifa"/>
    <s v="EU"/>
  </r>
  <r>
    <s v="IS00WF"/>
    <s v="Wireless coverage - Shared Internet Service - Wi-Fi FIFA"/>
    <x v="1"/>
    <s v=""/>
    <s v="General Internet Access"/>
    <x v="1"/>
    <x v="1"/>
    <n v="1"/>
    <n v="0"/>
    <n v="0"/>
    <n v="1"/>
    <n v="0"/>
    <n v="0"/>
    <s v="LOC IT"/>
    <x v="0"/>
    <x v="13"/>
    <x v="19"/>
    <x v="4"/>
    <s v="FIFA Competitions"/>
    <m/>
    <s v="NW"/>
  </r>
  <r>
    <s v="MFDDNW"/>
    <s v="MFD Desktop - Colour - A4 - Network"/>
    <x v="2"/>
    <s v=""/>
    <s v="General Internet Access"/>
    <x v="2"/>
    <x v="2"/>
    <n v="1"/>
    <n v="1"/>
    <n v="0"/>
    <n v="1"/>
    <n v="1"/>
    <n v="0"/>
    <s v="LOC IT"/>
    <x v="0"/>
    <x v="13"/>
    <x v="19"/>
    <x v="4"/>
    <s v="FIFA Competitions"/>
    <m/>
    <s v="EU"/>
  </r>
  <r>
    <s v="MFDDNW"/>
    <s v="MFD Desktop - Colour - A4 - Network"/>
    <x v="2"/>
    <s v=""/>
    <s v="General Internet Access"/>
    <x v="2"/>
    <x v="2"/>
    <n v="1"/>
    <n v="1"/>
    <n v="0"/>
    <n v="1"/>
    <n v="1"/>
    <n v="0"/>
    <s v="LOC IT"/>
    <x v="0"/>
    <x v="6"/>
    <x v="20"/>
    <x v="4"/>
    <s v="FIFA Competitions"/>
    <s v="Printer to be shared between 2 pitches for CPM &amp; ENT"/>
    <s v="EU"/>
  </r>
  <r>
    <s v="MFDDNW"/>
    <s v="MFD Desktop - Colour - A4 - Network"/>
    <x v="2"/>
    <s v=""/>
    <s v="General Internet Access"/>
    <x v="2"/>
    <x v="2"/>
    <n v="1"/>
    <n v="1"/>
    <n v="0"/>
    <n v="1"/>
    <n v="1"/>
    <n v="0"/>
    <s v="LOC IT"/>
    <x v="0"/>
    <x v="7"/>
    <x v="20"/>
    <x v="4"/>
    <s v="FIFA Competitions"/>
    <s v="Printer to be shared between 2 pitches for CPM &amp; ENT"/>
    <s v="EU"/>
  </r>
  <r>
    <s v="MFDDNW"/>
    <s v="MFD Desktop - Colour - A4 - Network"/>
    <x v="2"/>
    <s v=""/>
    <s v="General Internet Access"/>
    <x v="2"/>
    <x v="2"/>
    <n v="1"/>
    <n v="1"/>
    <n v="0"/>
    <n v="1"/>
    <n v="1"/>
    <n v="0"/>
    <s v="LOC IT"/>
    <x v="0"/>
    <x v="4"/>
    <x v="20"/>
    <x v="4"/>
    <s v="FIFA Competitions"/>
    <s v="Printer to be shared between 2 pitches for CPM &amp; ENT"/>
    <s v="EU"/>
  </r>
  <r>
    <s v="MFDDNW"/>
    <s v="MFD Desktop - Colour - A4 - Network"/>
    <x v="2"/>
    <s v=""/>
    <s v="General Internet Access"/>
    <x v="2"/>
    <x v="2"/>
    <n v="1"/>
    <n v="1"/>
    <n v="0"/>
    <n v="1"/>
    <n v="1"/>
    <n v="0"/>
    <s v="LOC IT"/>
    <x v="0"/>
    <x v="2"/>
    <x v="20"/>
    <x v="4"/>
    <s v="FIFA Competitions"/>
    <s v="Printer to be shared between 2 pitches for CPM &amp; ENT"/>
    <s v="EU"/>
  </r>
  <r>
    <s v="PORSPE"/>
    <s v="Portable Speaker"/>
    <x v="0"/>
    <s v="Single"/>
    <s v=""/>
    <x v="14"/>
    <x v="14"/>
    <n v="1"/>
    <n v="0"/>
    <n v="0"/>
    <n v="1"/>
    <n v="0"/>
    <n v="0"/>
    <s v="FIFA Event Technology"/>
    <x v="0"/>
    <x v="13"/>
    <x v="19"/>
    <x v="4"/>
    <s v="FIFA Competitions"/>
    <m/>
    <s v="EU"/>
  </r>
  <r>
    <s v="TABLEN"/>
    <s v="Tablet - FIFA Professional Tablet + 4G"/>
    <x v="4"/>
    <s v="Single"/>
    <s v=""/>
    <x v="7"/>
    <x v="7"/>
    <n v="2"/>
    <n v="0"/>
    <n v="8"/>
    <n v="8"/>
    <n v="0"/>
    <n v="0"/>
    <s v="FIFA Event Technology"/>
    <x v="0"/>
    <x v="13"/>
    <x v="19"/>
    <x v="4"/>
    <s v="FIFA Competitions"/>
    <m/>
    <s v="EU"/>
  </r>
  <r>
    <s v="TVLGIP"/>
    <s v="TV - Large - IPTV"/>
    <x v="3"/>
    <s v=""/>
    <s v=""/>
    <x v="5"/>
    <x v="5"/>
    <n v="1"/>
    <n v="1"/>
    <n v="0"/>
    <n v="1"/>
    <n v="1"/>
    <n v="0"/>
    <s v="LOC IT"/>
    <x v="0"/>
    <x v="13"/>
    <x v="19"/>
    <x v="4"/>
    <s v="FIFA Competitions"/>
    <s v="Including HDMI cables"/>
    <s v="AV"/>
  </r>
  <r>
    <s v="TVSTND"/>
    <s v="TV Stand - Medium &amp; Large TVs"/>
    <x v="0"/>
    <s v=""/>
    <s v=""/>
    <x v="6"/>
    <x v="6"/>
    <n v="1"/>
    <n v="0"/>
    <n v="0"/>
    <n v="1"/>
    <n v="0"/>
    <n v="0"/>
    <s v="LOC IT"/>
    <x v="0"/>
    <x v="13"/>
    <x v="19"/>
    <x v="4"/>
    <s v="FIFA Competitions"/>
    <m/>
    <s v="AV"/>
  </r>
  <r>
    <s v="IS00WF"/>
    <s v="Wireless coverage - Shared Internet Service - Wi-Fi FIFA"/>
    <x v="1"/>
    <s v=""/>
    <s v="General Internet Access"/>
    <x v="1"/>
    <x v="1"/>
    <n v="1"/>
    <n v="0"/>
    <n v="0"/>
    <n v="1"/>
    <n v="0"/>
    <n v="0"/>
    <s v="LOC IT"/>
    <x v="1"/>
    <x v="12"/>
    <x v="19"/>
    <x v="4"/>
    <s v="FIFA Competitions"/>
    <m/>
    <s v="NW"/>
  </r>
  <r>
    <s v="IS00WF"/>
    <s v="Wireless coverage - Shared Internet Service - Wi-Fi FIFA"/>
    <x v="1"/>
    <s v=""/>
    <s v="General Internet Access"/>
    <x v="1"/>
    <x v="1"/>
    <n v="1"/>
    <n v="0"/>
    <n v="0"/>
    <n v="1"/>
    <n v="0"/>
    <n v="0"/>
    <s v="LOC IT"/>
    <x v="1"/>
    <x v="12"/>
    <x v="21"/>
    <x v="4"/>
    <s v="FIFA Competitions"/>
    <m/>
    <s v="NW"/>
  </r>
  <r>
    <s v="IS00WF"/>
    <s v="Wireless coverage - Shared Internet Service - Wi-Fi FIFA"/>
    <x v="1"/>
    <s v=""/>
    <s v="General Internet Access"/>
    <x v="1"/>
    <x v="1"/>
    <n v="1"/>
    <n v="0"/>
    <n v="0"/>
    <n v="1"/>
    <n v="0"/>
    <n v="0"/>
    <s v="LOC IT"/>
    <x v="1"/>
    <x v="19"/>
    <x v="22"/>
    <x v="4"/>
    <s v="FIFA Competitions"/>
    <m/>
    <s v="NW"/>
  </r>
  <r>
    <s v="MFDDNW"/>
    <s v="MFD Desktop - Colour - A4 - Network"/>
    <x v="2"/>
    <s v=""/>
    <s v="General Internet Access"/>
    <x v="2"/>
    <x v="2"/>
    <n v="1"/>
    <n v="1"/>
    <n v="0"/>
    <n v="1"/>
    <n v="1"/>
    <n v="0"/>
    <s v="LOC IT"/>
    <x v="1"/>
    <x v="12"/>
    <x v="19"/>
    <x v="4"/>
    <s v="FIFA Competitions"/>
    <m/>
    <s v="EU"/>
  </r>
  <r>
    <s v="TVLGIP"/>
    <s v="TV - Large - IPTV"/>
    <x v="3"/>
    <s v=""/>
    <s v=""/>
    <x v="5"/>
    <x v="5"/>
    <n v="1"/>
    <n v="1"/>
    <n v="0"/>
    <n v="1"/>
    <n v="1"/>
    <n v="0"/>
    <s v="LOC IT"/>
    <x v="1"/>
    <x v="12"/>
    <x v="19"/>
    <x v="4"/>
    <s v="FIFA Competitions"/>
    <m/>
    <s v="AV"/>
  </r>
  <r>
    <s v="TVLGSA"/>
    <s v="TV - Large - Standalone"/>
    <x v="5"/>
    <s v=""/>
    <s v=""/>
    <x v="15"/>
    <x v="15"/>
    <n v="1"/>
    <n v="0"/>
    <n v="0"/>
    <n v="1"/>
    <n v="0"/>
    <n v="0"/>
    <s v="LOC IT"/>
    <x v="1"/>
    <x v="12"/>
    <x v="21"/>
    <x v="4"/>
    <s v="FIFA Competitions"/>
    <m/>
    <s v="AV"/>
  </r>
  <r>
    <s v="TVLGSA"/>
    <s v="TV - Large - Standalone"/>
    <x v="5"/>
    <s v=""/>
    <s v=""/>
    <x v="15"/>
    <x v="15"/>
    <n v="1"/>
    <n v="0"/>
    <n v="0"/>
    <n v="1"/>
    <n v="0"/>
    <n v="0"/>
    <s v="LOC IT"/>
    <x v="1"/>
    <x v="19"/>
    <x v="22"/>
    <x v="4"/>
    <s v="FIFA Competitions"/>
    <s v="1 x large TV 75-85&quot; or 2 x TV placed on the side; &quot;PC needs to be ready by MD-3_x000a_group stage coordination meeting 2 days prior to the tournamnet&quot; cover 150 pax"/>
    <s v="AV"/>
  </r>
  <r>
    <s v="TVSTND"/>
    <s v="TV Stand - Medium &amp; Large TVs"/>
    <x v="0"/>
    <s v=""/>
    <s v=""/>
    <x v="6"/>
    <x v="6"/>
    <n v="1"/>
    <n v="0"/>
    <n v="0"/>
    <n v="1"/>
    <n v="0"/>
    <n v="0"/>
    <s v="LOC IT"/>
    <x v="1"/>
    <x v="12"/>
    <x v="19"/>
    <x v="4"/>
    <s v="FIFA Competitions"/>
    <m/>
    <s v="AV"/>
  </r>
  <r>
    <s v="TVSTND"/>
    <s v="TV Stand - Medium &amp; Large TVs"/>
    <x v="0"/>
    <s v=""/>
    <s v=""/>
    <x v="6"/>
    <x v="6"/>
    <n v="1"/>
    <n v="0"/>
    <n v="0"/>
    <n v="1"/>
    <n v="0"/>
    <n v="0"/>
    <s v="LOC IT"/>
    <x v="1"/>
    <x v="12"/>
    <x v="21"/>
    <x v="4"/>
    <s v="FIFA Competitions"/>
    <m/>
    <s v="AV"/>
  </r>
  <r>
    <s v="TVSTND"/>
    <s v="TV Stand - Medium &amp; Large TVs"/>
    <x v="0"/>
    <s v=""/>
    <s v=""/>
    <x v="6"/>
    <x v="6"/>
    <n v="1"/>
    <n v="0"/>
    <n v="0"/>
    <n v="1"/>
    <n v="0"/>
    <n v="0"/>
    <s v="LOC IT"/>
    <x v="1"/>
    <x v="19"/>
    <x v="22"/>
    <x v="4"/>
    <s v="FIFA Competitions"/>
    <m/>
    <s v="AV"/>
  </r>
  <r>
    <s v="DSKMNT"/>
    <s v="24&quot; Monitor - HDMI/DP"/>
    <x v="0"/>
    <s v=""/>
    <s v=""/>
    <x v="0"/>
    <x v="0"/>
    <n v="2"/>
    <n v="0"/>
    <n v="0"/>
    <n v="2"/>
    <n v="0"/>
    <n v="0"/>
    <s v="LOC IT"/>
    <x v="0"/>
    <x v="10"/>
    <x v="1"/>
    <x v="5"/>
    <s v="FIFA Data Management"/>
    <m/>
    <s v="EU"/>
  </r>
  <r>
    <s v="DSKMNT"/>
    <s v="24&quot; Monitor - HDMI/DP"/>
    <x v="0"/>
    <s v=""/>
    <s v=""/>
    <x v="0"/>
    <x v="0"/>
    <n v="5"/>
    <n v="0"/>
    <n v="0"/>
    <n v="3"/>
    <n v="0"/>
    <n v="0"/>
    <s v="LOC IT"/>
    <x v="0"/>
    <x v="10"/>
    <x v="1"/>
    <x v="6"/>
    <s v="FIFA Digital Marketing"/>
    <s v="Location TBC"/>
    <s v="EU"/>
  </r>
  <r>
    <s v="WRDSTU"/>
    <s v="Wired Port - Content"/>
    <x v="1"/>
    <s v=""/>
    <s v="FIFA Technical Content"/>
    <x v="4"/>
    <x v="4"/>
    <n v="5"/>
    <n v="3"/>
    <n v="0"/>
    <n v="3"/>
    <n v="3"/>
    <n v="0"/>
    <s v="LOC IT"/>
    <x v="0"/>
    <x v="10"/>
    <x v="1"/>
    <x v="6"/>
    <s v="FIFA Digital Marketing"/>
    <s v="Location TBC"/>
    <s v="NW"/>
  </r>
  <r>
    <s v="ITSIBU"/>
    <s v="IT Solution - 4G Internet backup "/>
    <x v="6"/>
    <s v=""/>
    <s v=""/>
    <x v="16"/>
    <x v="16"/>
    <n v="10"/>
    <n v="0"/>
    <n v="10"/>
    <n v="10"/>
    <n v="0"/>
    <n v="10"/>
    <s v="LOC IT"/>
    <x v="0"/>
    <x v="10"/>
    <x v="1"/>
    <x v="7"/>
    <s v="FIFA Event Technology"/>
    <m/>
    <s v="NW"/>
  </r>
  <r>
    <s v="LAPEVT"/>
    <s v="Laptop - FIFA Event Build"/>
    <x v="4"/>
    <s v="Single"/>
    <s v=""/>
    <x v="17"/>
    <x v="17"/>
    <n v="2"/>
    <n v="0"/>
    <n v="0"/>
    <n v="2"/>
    <n v="0"/>
    <n v="0"/>
    <s v="FIFA Event Technology"/>
    <x v="0"/>
    <x v="10"/>
    <x v="1"/>
    <x v="7"/>
    <s v="FIFA Event Technology"/>
    <s v="spare laptop"/>
    <s v="EU"/>
  </r>
  <r>
    <s v="LAPPRE"/>
    <s v="Laptop - Presentation Build"/>
    <x v="4"/>
    <s v="Single"/>
    <s v=""/>
    <x v="11"/>
    <x v="11"/>
    <n v="4"/>
    <n v="0"/>
    <n v="0"/>
    <n v="4"/>
    <n v="0"/>
    <n v="0"/>
    <s v="FIFA Event Technology"/>
    <x v="0"/>
    <x v="10"/>
    <x v="1"/>
    <x v="7"/>
    <s v="FIFA Event Technology"/>
    <s v="spare laptop"/>
    <s v="EU"/>
  </r>
  <r>
    <s v="PORSPE"/>
    <s v="Portable Speaker"/>
    <x v="0"/>
    <s v="Single"/>
    <s v=""/>
    <x v="14"/>
    <x v="14"/>
    <n v="2"/>
    <n v="0"/>
    <n v="0"/>
    <n v="2"/>
    <n v="0"/>
    <n v="0"/>
    <s v="FIFA Event Technology"/>
    <x v="0"/>
    <x v="10"/>
    <x v="1"/>
    <x v="7"/>
    <s v="FIFA Event Technology"/>
    <m/>
    <s v="EU"/>
  </r>
  <r>
    <s v="SIMDAT"/>
    <s v="SIM - Data Only"/>
    <x v="7"/>
    <s v=""/>
    <s v=""/>
    <x v="18"/>
    <x v="18"/>
    <n v="10"/>
    <n v="0"/>
    <n v="20"/>
    <n v="20"/>
    <n v="0"/>
    <n v="20"/>
    <s v="LOC IT"/>
    <x v="0"/>
    <x v="10"/>
    <x v="1"/>
    <x v="7"/>
    <s v="FIFA Event Technology"/>
    <s v="valid between 22 Oct - 20 Dec"/>
    <s v="Telco/SIM"/>
  </r>
  <r>
    <s v="SIMDOM"/>
    <s v="SIM - Domestic"/>
    <x v="7"/>
    <s v=""/>
    <s v=""/>
    <x v="19"/>
    <x v="19"/>
    <n v="80"/>
    <n v="0"/>
    <n v="100"/>
    <n v="100"/>
    <n v="0"/>
    <n v="100"/>
    <s v="LOC IT"/>
    <x v="0"/>
    <x v="10"/>
    <x v="1"/>
    <x v="7"/>
    <s v="FIFA Event Technology"/>
    <s v="valid between 22 Oct - 20 Dec"/>
    <s v="Telco/SIM"/>
  </r>
  <r>
    <s v="SIMINT"/>
    <s v="SIM - International"/>
    <x v="7"/>
    <s v=""/>
    <s v=""/>
    <x v="20"/>
    <x v="20"/>
    <n v="5"/>
    <n v="0"/>
    <n v="15"/>
    <n v="15"/>
    <n v="0"/>
    <n v="15"/>
    <s v="LOC IT"/>
    <x v="0"/>
    <x v="10"/>
    <x v="1"/>
    <x v="7"/>
    <s v="FIFA Event Technology"/>
    <s v="valid between 22 Oct - 20 Dec"/>
    <s v="Telco/SIM"/>
  </r>
  <r>
    <s v="TELMOB"/>
    <s v="Telephone - Mobile - Smart Phone"/>
    <x v="7"/>
    <s v="Single"/>
    <s v=""/>
    <x v="21"/>
    <x v="21"/>
    <n v="80"/>
    <n v="0"/>
    <n v="100"/>
    <n v="100"/>
    <n v="0"/>
    <n v="0"/>
    <s v="FIFA Event Technology"/>
    <x v="0"/>
    <x v="10"/>
    <x v="1"/>
    <x v="7"/>
    <s v="FIFA Event Technology"/>
    <m/>
    <s v="Telco/SIM"/>
  </r>
  <r>
    <s v="WRDGEN"/>
    <s v="Wired Port - General Internet "/>
    <x v="1"/>
    <s v=""/>
    <s v="General Internet Access"/>
    <x v="8"/>
    <x v="8"/>
    <n v="2"/>
    <n v="2"/>
    <n v="0"/>
    <n v="2"/>
    <n v="2"/>
    <n v="0"/>
    <s v="LOC IT"/>
    <x v="0"/>
    <x v="10"/>
    <x v="1"/>
    <x v="7"/>
    <s v="FIFA Event Technology"/>
    <m/>
    <s v="NW"/>
  </r>
  <r>
    <s v="DSKMNT"/>
    <s v="24&quot; Monitor - HDMI/DP"/>
    <x v="0"/>
    <s v=""/>
    <s v=""/>
    <x v="0"/>
    <x v="0"/>
    <n v="1"/>
    <n v="0"/>
    <n v="0"/>
    <n v="1"/>
    <n v="0"/>
    <n v="0"/>
    <s v="LOC IT"/>
    <x v="0"/>
    <x v="10"/>
    <x v="23"/>
    <x v="7"/>
    <s v="FIFA Event Technology"/>
    <m/>
    <s v="EU"/>
  </r>
  <r>
    <s v="IS0050"/>
    <s v="Internet Service - 50Mbps"/>
    <x v="1"/>
    <s v=""/>
    <s v=""/>
    <x v="22"/>
    <x v="22"/>
    <n v="1"/>
    <n v="1"/>
    <n v="0"/>
    <n v="1"/>
    <n v="1"/>
    <n v="0"/>
    <s v="LOC IT"/>
    <x v="0"/>
    <x v="10"/>
    <x v="23"/>
    <x v="7"/>
    <s v="FIFA Event Technology"/>
    <s v="static public IP"/>
    <s v="NW"/>
  </r>
  <r>
    <s v="ITMON"/>
    <s v="IT Monitoring network port"/>
    <x v="1"/>
    <s v=""/>
    <s v="Monitoring VLAN"/>
    <x v="23"/>
    <x v="23"/>
    <n v="1"/>
    <n v="1"/>
    <n v="0"/>
    <n v="1"/>
    <n v="1"/>
    <n v="0"/>
    <s v="LOC IT"/>
    <x v="0"/>
    <x v="10"/>
    <x v="23"/>
    <x v="7"/>
    <s v="FIFA Event Technology"/>
    <m/>
    <s v="NW"/>
  </r>
  <r>
    <s v="ITMON"/>
    <s v="IT Monitoring network port"/>
    <x v="1"/>
    <s v=""/>
    <s v="Monitoring VLAN"/>
    <x v="23"/>
    <x v="23"/>
    <n v="1"/>
    <n v="1"/>
    <n v="0"/>
    <n v="1"/>
    <n v="1"/>
    <n v="0"/>
    <s v="LOC IT"/>
    <x v="1"/>
    <x v="8"/>
    <x v="23"/>
    <x v="7"/>
    <s v="FIFA Event Technology"/>
    <m/>
    <s v="NW"/>
  </r>
  <r>
    <s v="TVMDSA"/>
    <s v="TV - Medium - Standalone"/>
    <x v="3"/>
    <s v=""/>
    <s v=""/>
    <x v="24"/>
    <x v="24"/>
    <n v="1"/>
    <n v="0"/>
    <n v="0"/>
    <n v="1"/>
    <n v="0"/>
    <n v="0"/>
    <s v="LOC IT"/>
    <x v="0"/>
    <x v="10"/>
    <x v="23"/>
    <x v="7"/>
    <s v="FIFA Event Technology"/>
    <m/>
    <s v="AV"/>
  </r>
  <r>
    <s v="TVSTND"/>
    <s v="TV Stand - Medium &amp; Large TVs"/>
    <x v="0"/>
    <s v=""/>
    <s v=""/>
    <x v="6"/>
    <x v="6"/>
    <n v="1"/>
    <n v="0"/>
    <n v="0"/>
    <n v="1"/>
    <n v="0"/>
    <n v="0"/>
    <s v="LOC IT"/>
    <x v="0"/>
    <x v="10"/>
    <x v="23"/>
    <x v="7"/>
    <s v="FIFA Event Technology"/>
    <m/>
    <s v="AV"/>
  </r>
  <r>
    <s v="WRDGEN"/>
    <s v="Wired Port - General Internet "/>
    <x v="1"/>
    <s v=""/>
    <s v="General Internet Access"/>
    <x v="8"/>
    <x v="8"/>
    <n v="2"/>
    <n v="2"/>
    <n v="0"/>
    <n v="2"/>
    <n v="2"/>
    <n v="0"/>
    <s v="LOC IT"/>
    <x v="1"/>
    <x v="8"/>
    <x v="23"/>
    <x v="7"/>
    <s v="FIFA Event Technology"/>
    <m/>
    <s v="NW"/>
  </r>
  <r>
    <s v="WRDGEN"/>
    <s v="Wired Port - General Internet "/>
    <x v="1"/>
    <s v=""/>
    <s v="General Internet Access"/>
    <x v="8"/>
    <x v="8"/>
    <n v="1"/>
    <n v="1"/>
    <n v="0"/>
    <n v="1"/>
    <n v="1"/>
    <n v="0"/>
    <s v="LOC IT"/>
    <x v="0"/>
    <x v="10"/>
    <x v="23"/>
    <x v="7"/>
    <s v="FIFA Event Technology"/>
    <m/>
    <s v="NW"/>
  </r>
  <r>
    <s v="DSKMNT"/>
    <s v="24&quot; Monitor - HDMI/DP"/>
    <x v="0"/>
    <s v=""/>
    <s v=""/>
    <x v="0"/>
    <x v="0"/>
    <n v="2"/>
    <n v="0"/>
    <n v="0"/>
    <n v="2"/>
    <n v="0"/>
    <n v="0"/>
    <s v="LOC IT"/>
    <x v="0"/>
    <x v="10"/>
    <x v="1"/>
    <x v="8"/>
    <s v="FIFA Films"/>
    <s v="Location TBC"/>
    <s v="EU"/>
  </r>
  <r>
    <s v="IS00WF"/>
    <s v="Wireless coverage - Shared Internet Service - Wi-Fi FIFA"/>
    <x v="1"/>
    <s v=""/>
    <s v="General Internet Access"/>
    <x v="1"/>
    <x v="1"/>
    <n v="1"/>
    <n v="0"/>
    <n v="0"/>
    <n v="1"/>
    <n v="0"/>
    <n v="0"/>
    <s v="LOC IT"/>
    <x v="0"/>
    <x v="10"/>
    <x v="1"/>
    <x v="8"/>
    <s v="FIFA Films"/>
    <s v="Location TBC"/>
    <s v="NW"/>
  </r>
  <r>
    <s v="WRDSTU"/>
    <s v="Wired Port - Content"/>
    <x v="1"/>
    <s v=""/>
    <s v="FIFA Technical Content"/>
    <x v="4"/>
    <x v="4"/>
    <n v="2"/>
    <n v="2"/>
    <n v="0"/>
    <n v="2"/>
    <n v="2"/>
    <n v="0"/>
    <s v="LOC IT"/>
    <x v="0"/>
    <x v="10"/>
    <x v="1"/>
    <x v="8"/>
    <s v="FIFA Films"/>
    <s v="Location TBC"/>
    <s v="NW"/>
  </r>
  <r>
    <s v="DSK27M"/>
    <s v="27&quot; Monitor - HDMI/DP"/>
    <x v="0"/>
    <s v=""/>
    <s v=""/>
    <x v="25"/>
    <x v="25"/>
    <n v="4"/>
    <n v="0"/>
    <n v="0"/>
    <n v="4"/>
    <n v="0"/>
    <n v="0"/>
    <s v="LOC IT"/>
    <x v="0"/>
    <x v="20"/>
    <x v="24"/>
    <x v="9"/>
    <s v="FIFA FTI"/>
    <m/>
    <s v="EU"/>
  </r>
  <r>
    <s v="IS00WF"/>
    <s v="Wireless coverage - Shared Internet Service - Wi-Fi FIFA"/>
    <x v="1"/>
    <s v=""/>
    <s v="General Internet Access"/>
    <x v="1"/>
    <x v="1"/>
    <n v="1"/>
    <n v="0"/>
    <n v="0"/>
    <n v="1"/>
    <n v="0"/>
    <n v="0"/>
    <s v="LOC IT"/>
    <x v="0"/>
    <x v="20"/>
    <x v="24"/>
    <x v="9"/>
    <s v="FIFA FTI"/>
    <m/>
    <s v="NW"/>
  </r>
  <r>
    <s v="IS00WF"/>
    <s v="Wireless coverage - Shared Internet Service - Wi-Fi FIFA"/>
    <x v="1"/>
    <s v=""/>
    <s v="General Internet Access"/>
    <x v="1"/>
    <x v="1"/>
    <n v="1"/>
    <n v="0"/>
    <n v="0"/>
    <n v="1"/>
    <n v="0"/>
    <n v="0"/>
    <s v="LOC IT"/>
    <x v="0"/>
    <x v="21"/>
    <x v="24"/>
    <x v="9"/>
    <s v="FIFA FTI"/>
    <m/>
    <s v="NW"/>
  </r>
  <r>
    <s v="IS00WF"/>
    <s v="Wireless coverage - Shared Internet Service - Wi-Fi FIFA"/>
    <x v="1"/>
    <s v=""/>
    <s v="General Internet Access"/>
    <x v="1"/>
    <x v="1"/>
    <n v="1"/>
    <n v="0"/>
    <n v="0"/>
    <n v="1"/>
    <n v="0"/>
    <n v="0"/>
    <s v="LOC IT"/>
    <x v="0"/>
    <x v="14"/>
    <x v="25"/>
    <x v="9"/>
    <s v="FIFA FTI"/>
    <s v="20 Mbps – FTI"/>
    <s v="NW"/>
  </r>
  <r>
    <s v="WRDFTI"/>
    <s v="Wired Port - FTI"/>
    <x v="1"/>
    <s v=""/>
    <s v="FIFA Technical FTI"/>
    <x v="13"/>
    <x v="13"/>
    <n v="1"/>
    <n v="1"/>
    <n v="0"/>
    <n v="1"/>
    <n v="1"/>
    <n v="0"/>
    <s v="LOC IT"/>
    <x v="0"/>
    <x v="14"/>
    <x v="25"/>
    <x v="9"/>
    <s v="FIFA FTI"/>
    <s v="50 Mbps – FTI"/>
    <s v="NW"/>
  </r>
  <r>
    <s v="WRDFTI"/>
    <s v="Wired Port - FTI"/>
    <x v="1"/>
    <s v=""/>
    <s v="FIFA Technical FTI"/>
    <x v="13"/>
    <x v="13"/>
    <n v="2"/>
    <n v="2"/>
    <n v="0"/>
    <n v="2"/>
    <n v="2"/>
    <n v="0"/>
    <s v="LOC IT"/>
    <x v="0"/>
    <x v="14"/>
    <x v="25"/>
    <x v="9"/>
    <s v="FIFA FTI"/>
    <s v="20 Mbps - Refereeing"/>
    <s v="NW"/>
  </r>
  <r>
    <s v="IS00WF"/>
    <s v="Wireless coverage - Shared Internet Service - Wi-Fi FIFA"/>
    <x v="1"/>
    <s v=""/>
    <s v="General Internet Access"/>
    <x v="1"/>
    <x v="1"/>
    <n v="1"/>
    <n v="0"/>
    <n v="0"/>
    <n v="1"/>
    <n v="0"/>
    <n v="0"/>
    <s v="LOC IT"/>
    <x v="0"/>
    <x v="14"/>
    <x v="26"/>
    <x v="9"/>
    <s v="FIFA FTI"/>
    <s v="20 Mbps – FTI"/>
    <s v="NW"/>
  </r>
  <r>
    <s v="WRDFTI"/>
    <s v="Wired Port - FTI"/>
    <x v="1"/>
    <s v=""/>
    <s v="FIFA Technical FTI"/>
    <x v="13"/>
    <x v="13"/>
    <n v="1"/>
    <n v="1"/>
    <n v="0"/>
    <n v="1"/>
    <n v="1"/>
    <n v="0"/>
    <s v="LOC IT"/>
    <x v="0"/>
    <x v="14"/>
    <x v="26"/>
    <x v="9"/>
    <s v="FIFA FTI"/>
    <s v="50 Mbps – FTI"/>
    <s v="NW"/>
  </r>
  <r>
    <s v="WRDFTI"/>
    <s v="Wired Port - FTI"/>
    <x v="1"/>
    <s v=""/>
    <s v="FIFA Technical FTI"/>
    <x v="13"/>
    <x v="13"/>
    <n v="2"/>
    <n v="2"/>
    <n v="0"/>
    <n v="2"/>
    <n v="2"/>
    <n v="0"/>
    <s v="LOC IT"/>
    <x v="0"/>
    <x v="14"/>
    <x v="26"/>
    <x v="9"/>
    <s v="FIFA FTI"/>
    <s v="20 Mbps - Refereeing"/>
    <s v="NW"/>
  </r>
  <r>
    <s v="IS00WF"/>
    <s v="Wireless coverage - Shared Internet Service - Wi-Fi FIFA"/>
    <x v="1"/>
    <s v=""/>
    <s v="General Internet Access"/>
    <x v="1"/>
    <x v="1"/>
    <n v="1"/>
    <n v="0"/>
    <n v="0"/>
    <n v="1"/>
    <n v="0"/>
    <n v="0"/>
    <s v="LOC IT"/>
    <x v="0"/>
    <x v="14"/>
    <x v="27"/>
    <x v="9"/>
    <s v="FIFA FTI"/>
    <s v="20 Mbps – FTI"/>
    <s v="NW"/>
  </r>
  <r>
    <s v="WRDFTI"/>
    <s v="Wired Port - FTI"/>
    <x v="1"/>
    <s v=""/>
    <s v="FIFA Technical FTI"/>
    <x v="13"/>
    <x v="13"/>
    <n v="1"/>
    <n v="1"/>
    <n v="0"/>
    <n v="1"/>
    <n v="1"/>
    <n v="0"/>
    <s v="LOC IT"/>
    <x v="0"/>
    <x v="14"/>
    <x v="27"/>
    <x v="9"/>
    <s v="FIFA FTI"/>
    <s v="50 Mbps – FTI"/>
    <s v="NW"/>
  </r>
  <r>
    <s v="WRDFTI"/>
    <s v="Wired Port - FTI"/>
    <x v="1"/>
    <s v=""/>
    <s v="FIFA Technical FTI"/>
    <x v="13"/>
    <x v="13"/>
    <n v="2"/>
    <n v="2"/>
    <n v="0"/>
    <n v="2"/>
    <n v="2"/>
    <n v="0"/>
    <s v="LOC IT"/>
    <x v="0"/>
    <x v="14"/>
    <x v="27"/>
    <x v="9"/>
    <s v="FIFA FTI"/>
    <s v="20 Mbps - Refereeing"/>
    <s v="NW"/>
  </r>
  <r>
    <s v="IS00WF"/>
    <s v="Wireless coverage - Shared Internet Service - Wi-Fi FIFA"/>
    <x v="1"/>
    <s v=""/>
    <s v="General Internet Access"/>
    <x v="1"/>
    <x v="1"/>
    <n v="1"/>
    <n v="0"/>
    <n v="0"/>
    <n v="1"/>
    <n v="0"/>
    <n v="0"/>
    <s v="LOC IT"/>
    <x v="0"/>
    <x v="15"/>
    <x v="28"/>
    <x v="9"/>
    <s v="FIFA FTI"/>
    <s v="20 Mbps – FTI"/>
    <s v="NW"/>
  </r>
  <r>
    <s v="WRDFTI"/>
    <s v="Wired Port - FTI"/>
    <x v="1"/>
    <s v=""/>
    <s v="FIFA Technical FTI"/>
    <x v="13"/>
    <x v="13"/>
    <n v="1"/>
    <n v="1"/>
    <n v="0"/>
    <n v="1"/>
    <n v="1"/>
    <n v="0"/>
    <s v="LOC IT"/>
    <x v="0"/>
    <x v="15"/>
    <x v="28"/>
    <x v="9"/>
    <s v="FIFA FTI"/>
    <s v="50 Mbps – FTI"/>
    <s v="NW"/>
  </r>
  <r>
    <s v="WRDFTI"/>
    <s v="Wired Port - FTI"/>
    <x v="1"/>
    <s v=""/>
    <s v="FIFA Technical FTI"/>
    <x v="13"/>
    <x v="13"/>
    <n v="0"/>
    <n v="2"/>
    <n v="0"/>
    <n v="2"/>
    <n v="2"/>
    <n v="0"/>
    <s v="LOC IT"/>
    <x v="0"/>
    <x v="15"/>
    <x v="28"/>
    <x v="9"/>
    <s v="FIFA FTI"/>
    <s v="20 Mbps - Refereeing"/>
    <s v="NW"/>
  </r>
  <r>
    <s v="PROJ6K"/>
    <s v="Office Projector - 6K"/>
    <x v="5"/>
    <s v=""/>
    <s v=""/>
    <x v="26"/>
    <x v="26"/>
    <n v="1"/>
    <n v="0"/>
    <n v="0"/>
    <n v="1"/>
    <n v="0"/>
    <n v="0"/>
    <s v="LOC IT"/>
    <x v="0"/>
    <x v="21"/>
    <x v="24"/>
    <x v="9"/>
    <s v="FIFA FTI"/>
    <s v="or a large TV to cover 20 pax"/>
    <s v="EU"/>
  </r>
  <r>
    <s v="TVLGIP"/>
    <s v="TV - Large - IPTV"/>
    <x v="3"/>
    <s v=""/>
    <s v=""/>
    <x v="5"/>
    <x v="5"/>
    <n v="4"/>
    <n v="4"/>
    <n v="0"/>
    <n v="4"/>
    <n v="4"/>
    <n v="0"/>
    <s v="LOC IT"/>
    <x v="0"/>
    <x v="20"/>
    <x v="24"/>
    <x v="9"/>
    <s v="FIFA FTI"/>
    <s v="if it's possible to provide video signal with different feeds from different angles"/>
    <s v="AV"/>
  </r>
  <r>
    <s v="TVSTND"/>
    <s v="TV Stand - Medium &amp; Large TVs"/>
    <x v="0"/>
    <s v=""/>
    <s v=""/>
    <x v="6"/>
    <x v="6"/>
    <n v="4"/>
    <n v="0"/>
    <n v="0"/>
    <n v="4"/>
    <n v="0"/>
    <n v="0"/>
    <s v="LOC IT"/>
    <x v="0"/>
    <x v="20"/>
    <x v="24"/>
    <x v="9"/>
    <s v="FIFA FTI"/>
    <m/>
    <s v="AV"/>
  </r>
  <r>
    <s v="WRDFTI"/>
    <s v="Wired Port - FTI"/>
    <x v="1"/>
    <s v=""/>
    <s v="FIFA Technical FTI"/>
    <x v="13"/>
    <x v="13"/>
    <n v="7"/>
    <n v="6"/>
    <n v="0"/>
    <n v="6"/>
    <n v="6"/>
    <n v="0"/>
    <s v="LOC IT"/>
    <x v="0"/>
    <x v="14"/>
    <x v="29"/>
    <x v="9"/>
    <s v="FIFA FTI"/>
    <s v="50 Mbps – Streaming provider_x000a_3 Main_x000a_3 Backup_x000a_2 different ISPs"/>
    <s v="NW"/>
  </r>
  <r>
    <s v="WRDFTI"/>
    <s v="Wired Port - FTI"/>
    <x v="1"/>
    <s v=""/>
    <s v="FIFA Technical FTI"/>
    <x v="13"/>
    <x v="13"/>
    <n v="0"/>
    <n v="1"/>
    <n v="0"/>
    <n v="1"/>
    <n v="1"/>
    <n v="0"/>
    <s v="LOC IT"/>
    <x v="0"/>
    <x v="14"/>
    <x v="29"/>
    <x v="9"/>
    <s v="FIFA FTI"/>
    <s v="100 Mbps – FVS provider"/>
    <s v="NW"/>
  </r>
  <r>
    <s v="WRDFTI"/>
    <s v="Wired Port - FTI"/>
    <x v="1"/>
    <s v=""/>
    <s v="FIFA Technical FTI"/>
    <x v="13"/>
    <x v="13"/>
    <n v="4"/>
    <n v="2"/>
    <n v="0"/>
    <n v="2"/>
    <n v="2"/>
    <n v="0"/>
    <s v="LOC IT"/>
    <x v="0"/>
    <x v="15"/>
    <x v="30"/>
    <x v="9"/>
    <s v="FIFA FTI"/>
    <s v="50 Mbps – Streaming provider_x000a_3 Main_x000a_3 Backup_x000a_2 different ISPs"/>
    <s v="NW"/>
  </r>
  <r>
    <s v="WRDFTI"/>
    <s v="Wired Port - FTI"/>
    <x v="1"/>
    <s v=""/>
    <s v="FIFA Technical FTI"/>
    <x v="13"/>
    <x v="13"/>
    <n v="0"/>
    <n v="1"/>
    <n v="0"/>
    <n v="1"/>
    <n v="1"/>
    <n v="0"/>
    <s v="LOC IT"/>
    <x v="0"/>
    <x v="15"/>
    <x v="30"/>
    <x v="9"/>
    <s v="FIFA FTI"/>
    <s v="100 Mbps – FVS provider"/>
    <s v="NW"/>
  </r>
  <r>
    <s v="WRDTSG"/>
    <s v="Wired Port - TSG"/>
    <x v="1"/>
    <s v=""/>
    <s v="FIFA Technical TSG"/>
    <x v="27"/>
    <x v="27"/>
    <n v="1"/>
    <n v="1"/>
    <n v="0"/>
    <n v="1"/>
    <n v="1"/>
    <n v="0"/>
    <s v="LOC IT"/>
    <x v="0"/>
    <x v="20"/>
    <x v="24"/>
    <x v="9"/>
    <s v="FIFA FTI"/>
    <s v="Internet speed 350Mb"/>
    <s v="NW"/>
  </r>
  <r>
    <s v="IS00WF"/>
    <s v="Wireless coverage - Shared Internet Service - Wi-Fi FIFA"/>
    <x v="1"/>
    <s v=""/>
    <s v="General Internet Access"/>
    <x v="1"/>
    <x v="1"/>
    <n v="1"/>
    <n v="0"/>
    <n v="0"/>
    <n v="1"/>
    <n v="0"/>
    <n v="0"/>
    <s v="LOC IT"/>
    <x v="1"/>
    <x v="11"/>
    <x v="31"/>
    <x v="9"/>
    <s v="FIFA FTI"/>
    <s v="at BC in the stadium"/>
    <s v="NW"/>
  </r>
  <r>
    <s v="WRDFTI"/>
    <s v="Wired Port - FTI"/>
    <x v="1"/>
    <s v=""/>
    <s v="FIFA Technical FTI"/>
    <x v="13"/>
    <x v="13"/>
    <n v="2"/>
    <n v="2"/>
    <n v="0"/>
    <n v="2"/>
    <n v="2"/>
    <n v="0"/>
    <s v="LOC IT"/>
    <x v="1"/>
    <x v="11"/>
    <x v="32"/>
    <x v="9"/>
    <s v="FIFA FTI"/>
    <s v="at BC in the stadium (2 x 25Mb) _x000a_1 Main_x000a_1 Backup_x000a_2 different ISPs"/>
    <s v="NW"/>
  </r>
  <r>
    <s v="WRDFTI"/>
    <s v="Wired Port - FTI"/>
    <x v="1"/>
    <s v=""/>
    <s v="FIFA Technical FTI"/>
    <x v="13"/>
    <x v="13"/>
    <n v="1"/>
    <n v="1"/>
    <n v="0"/>
    <n v="1"/>
    <n v="1"/>
    <n v="0"/>
    <s v="LOC IT"/>
    <x v="1"/>
    <x v="11"/>
    <x v="32"/>
    <x v="9"/>
    <s v="FIFA FTI"/>
    <s v="at BC in the stadium (100 Mb)"/>
    <s v="NW"/>
  </r>
  <r>
    <s v="WRDFTI"/>
    <s v="Wired Port - FTI"/>
    <x v="1"/>
    <s v=""/>
    <s v="FIFA Technical FTI"/>
    <x v="13"/>
    <x v="13"/>
    <n v="1"/>
    <n v="1"/>
    <n v="0"/>
    <n v="1"/>
    <n v="1"/>
    <n v="0"/>
    <s v="LOC IT"/>
    <x v="1"/>
    <x v="11"/>
    <x v="31"/>
    <x v="9"/>
    <s v="FIFA FTI"/>
    <s v="at BC in the stadium 50 Mbps – FTI"/>
    <s v="NW"/>
  </r>
  <r>
    <s v="WRDFTI"/>
    <s v="Wired Port - FTI"/>
    <x v="1"/>
    <s v=""/>
    <s v="FIFA Technical FTI"/>
    <x v="13"/>
    <x v="13"/>
    <n v="1"/>
    <n v="1"/>
    <n v="0"/>
    <n v="1"/>
    <n v="1"/>
    <n v="0"/>
    <s v="LOC IT"/>
    <x v="1"/>
    <x v="11"/>
    <x v="31"/>
    <x v="9"/>
    <s v="FIFA FTI"/>
    <s v="at BC in the stadium 20 Mbps - Refereeing"/>
    <s v="NW"/>
  </r>
  <r>
    <s v="WRDTSG"/>
    <s v="Wired Port - TSG"/>
    <x v="1"/>
    <s v=""/>
    <s v="FIFA Technical TSG"/>
    <x v="27"/>
    <x v="27"/>
    <n v="8"/>
    <n v="8"/>
    <n v="0"/>
    <n v="8"/>
    <n v="8"/>
    <n v="0"/>
    <s v="LOC IT"/>
    <x v="1"/>
    <x v="17"/>
    <x v="24"/>
    <x v="9"/>
    <s v="FIFA FTI"/>
    <s v="Location TBC: MT"/>
    <s v="NW"/>
  </r>
  <r>
    <s v="IS00VP"/>
    <s v="Wireless coverage - Shared Internet Service - Wi-Fi VIP"/>
    <x v="1"/>
    <s v=""/>
    <s v="General Internet Access"/>
    <x v="28"/>
    <x v="28"/>
    <n v="1"/>
    <n v="0"/>
    <n v="0"/>
    <n v="1"/>
    <n v="0"/>
    <n v="0"/>
    <s v="LOC IT"/>
    <x v="0"/>
    <x v="13"/>
    <x v="33"/>
    <x v="10"/>
    <s v="FIFA Guest Operations"/>
    <m/>
    <s v="NW"/>
  </r>
  <r>
    <s v="IS00WF"/>
    <s v="Wireless coverage - Shared Internet Service - Wi-Fi FIFA"/>
    <x v="1"/>
    <s v=""/>
    <s v="General Internet Access"/>
    <x v="1"/>
    <x v="1"/>
    <n v="1"/>
    <n v="0"/>
    <n v="0"/>
    <n v="1"/>
    <n v="0"/>
    <n v="0"/>
    <s v="LOC IT"/>
    <x v="0"/>
    <x v="13"/>
    <x v="34"/>
    <x v="10"/>
    <s v="FIFA Guest Operations"/>
    <m/>
    <s v="NW"/>
  </r>
  <r>
    <s v="MFDDNW"/>
    <s v="MFD Desktop - Colour - A4 - Network"/>
    <x v="2"/>
    <s v=""/>
    <s v="General Internet Access"/>
    <x v="2"/>
    <x v="2"/>
    <n v="1"/>
    <n v="1"/>
    <n v="0"/>
    <n v="1"/>
    <n v="1"/>
    <n v="0"/>
    <s v="LOC IT"/>
    <x v="0"/>
    <x v="13"/>
    <x v="34"/>
    <x v="10"/>
    <s v="FIFA Guest Operations"/>
    <m/>
    <s v="EU"/>
  </r>
  <r>
    <s v="TVLGIP"/>
    <s v="TV - Large - IPTV"/>
    <x v="3"/>
    <s v=""/>
    <s v=""/>
    <x v="5"/>
    <x v="5"/>
    <n v="4"/>
    <n v="4"/>
    <n v="0"/>
    <n v="4"/>
    <n v="4"/>
    <n v="0"/>
    <s v="LOC IT"/>
    <x v="0"/>
    <x v="13"/>
    <x v="33"/>
    <x v="10"/>
    <s v="FIFA Guest Operations"/>
    <m/>
    <s v="AV"/>
  </r>
  <r>
    <s v="TVSTND"/>
    <s v="TV Stand - Medium &amp; Large TVs"/>
    <x v="0"/>
    <s v=""/>
    <s v=""/>
    <x v="6"/>
    <x v="6"/>
    <n v="4"/>
    <n v="0"/>
    <n v="0"/>
    <n v="4"/>
    <n v="0"/>
    <n v="0"/>
    <s v="LOC IT"/>
    <x v="0"/>
    <x v="13"/>
    <x v="33"/>
    <x v="10"/>
    <s v="FIFA Guest Operations"/>
    <m/>
    <s v="AV"/>
  </r>
  <r>
    <s v="IS00VP"/>
    <s v="Wireless coverage - Shared Internet Service - Wi-Fi VIP"/>
    <x v="1"/>
    <s v=""/>
    <s v="General Internet Access"/>
    <x v="28"/>
    <x v="28"/>
    <n v="1"/>
    <n v="0"/>
    <n v="0"/>
    <n v="1"/>
    <n v="0"/>
    <n v="0"/>
    <s v="LOC IT"/>
    <x v="1"/>
    <x v="22"/>
    <x v="33"/>
    <x v="10"/>
    <s v="FIFA Guest Operations"/>
    <m/>
    <s v="NW"/>
  </r>
  <r>
    <s v="IS00WF"/>
    <s v="Wireless coverage - Shared Internet Service - Wi-Fi FIFA"/>
    <x v="1"/>
    <s v=""/>
    <s v="General Internet Access"/>
    <x v="1"/>
    <x v="1"/>
    <n v="1"/>
    <n v="0"/>
    <n v="0"/>
    <n v="1"/>
    <n v="0"/>
    <n v="0"/>
    <s v="LOC IT"/>
    <x v="1"/>
    <x v="22"/>
    <x v="34"/>
    <x v="10"/>
    <s v="FIFA Guest Operations"/>
    <m/>
    <s v="NW"/>
  </r>
  <r>
    <s v="MFDDNW"/>
    <s v="MFD Desktop - Colour - A4 - Network"/>
    <x v="2"/>
    <s v=""/>
    <s v="General Internet Access"/>
    <x v="2"/>
    <x v="2"/>
    <n v="1"/>
    <n v="1"/>
    <n v="0"/>
    <n v="1"/>
    <n v="1"/>
    <n v="0"/>
    <s v="LOC IT"/>
    <x v="1"/>
    <x v="22"/>
    <x v="34"/>
    <x v="10"/>
    <s v="FIFA Guest Operations"/>
    <m/>
    <s v="EU"/>
  </r>
  <r>
    <s v="TVLGIP"/>
    <s v="TV - Large - IPTV"/>
    <x v="3"/>
    <s v=""/>
    <s v=""/>
    <x v="5"/>
    <x v="5"/>
    <n v="2"/>
    <n v="2"/>
    <n v="0"/>
    <n v="2"/>
    <n v="2"/>
    <n v="0"/>
    <s v="LOC IT"/>
    <x v="1"/>
    <x v="22"/>
    <x v="33"/>
    <x v="10"/>
    <s v="FIFA Guest Operations"/>
    <m/>
    <s v="AV"/>
  </r>
  <r>
    <s v="TVSTND"/>
    <s v="TV Stand - Medium &amp; Large TVs"/>
    <x v="0"/>
    <s v=""/>
    <s v=""/>
    <x v="6"/>
    <x v="6"/>
    <n v="2"/>
    <n v="0"/>
    <n v="0"/>
    <n v="2"/>
    <n v="0"/>
    <n v="0"/>
    <s v="LOC IT"/>
    <x v="1"/>
    <x v="22"/>
    <x v="33"/>
    <x v="10"/>
    <s v="FIFA Guest Operations"/>
    <m/>
    <s v="AV"/>
  </r>
  <r>
    <s v="CABLOK"/>
    <s v="Laptop Cable Lock"/>
    <x v="0"/>
    <s v="Multi"/>
    <s v=""/>
    <x v="10"/>
    <x v="10"/>
    <n v="1"/>
    <n v="0"/>
    <n v="0"/>
    <n v="1"/>
    <n v="0"/>
    <n v="0"/>
    <s v="FIFA Event Technology"/>
    <x v="0"/>
    <x v="23"/>
    <x v="14"/>
    <x v="11"/>
    <s v="FIFA Media"/>
    <m/>
    <s v="EU"/>
  </r>
  <r>
    <s v="IS00WM"/>
    <s v="Wireless coverage - Internet Service - Wi-Fi Media"/>
    <x v="1"/>
    <s v=""/>
    <s v="Media Internet Access"/>
    <x v="29"/>
    <x v="29"/>
    <n v="1"/>
    <n v="0"/>
    <n v="0"/>
    <n v="1"/>
    <n v="0"/>
    <n v="0"/>
    <s v="LOC IT"/>
    <x v="0"/>
    <x v="23"/>
    <x v="14"/>
    <x v="11"/>
    <s v="FIFA Media"/>
    <s v="for 100pax"/>
    <s v="NW"/>
  </r>
  <r>
    <s v="IS00WM"/>
    <s v="Wireless coverage - Internet Service - Wi-Fi Media"/>
    <x v="1"/>
    <s v=""/>
    <s v="Media Internet Access"/>
    <x v="29"/>
    <x v="29"/>
    <n v="1"/>
    <n v="0"/>
    <n v="0"/>
    <n v="1"/>
    <n v="0"/>
    <n v="0"/>
    <s v="LOC IT"/>
    <x v="0"/>
    <x v="17"/>
    <x v="35"/>
    <x v="11"/>
    <s v="FIFA Media"/>
    <s v="Local Press"/>
    <s v="NW"/>
  </r>
  <r>
    <s v="IS00WM"/>
    <s v="Wireless coverage - Internet Service - Wi-Fi Media"/>
    <x v="1"/>
    <s v=""/>
    <s v="Media Internet Access"/>
    <x v="29"/>
    <x v="29"/>
    <n v="1"/>
    <n v="0"/>
    <n v="0"/>
    <n v="1"/>
    <n v="0"/>
    <n v="0"/>
    <s v="LOC IT"/>
    <x v="0"/>
    <x v="9"/>
    <x v="36"/>
    <x v="11"/>
    <s v="FIFA Media"/>
    <m/>
    <s v="NW"/>
  </r>
  <r>
    <s v="IS00WM"/>
    <s v="Wireless coverage - Internet Service - Wi-Fi Media"/>
    <x v="1"/>
    <s v=""/>
    <s v="Media Internet Access"/>
    <x v="29"/>
    <x v="29"/>
    <n v="1"/>
    <n v="0"/>
    <n v="0"/>
    <n v="1"/>
    <n v="0"/>
    <n v="0"/>
    <s v="LOC IT"/>
    <x v="0"/>
    <x v="9"/>
    <x v="37"/>
    <x v="11"/>
    <s v="FIFA Media"/>
    <m/>
    <s v="NW"/>
  </r>
  <r>
    <s v="IS00WM"/>
    <s v="Wireless coverage - Internet Service - Wi-Fi Media"/>
    <x v="1"/>
    <s v=""/>
    <s v="Media Internet Access"/>
    <x v="29"/>
    <x v="29"/>
    <n v="1"/>
    <n v="0"/>
    <n v="0"/>
    <n v="1"/>
    <n v="0"/>
    <n v="0"/>
    <s v="LOC IT"/>
    <x v="0"/>
    <x v="0"/>
    <x v="38"/>
    <x v="11"/>
    <s v="FIFA Media"/>
    <m/>
    <s v="NW"/>
  </r>
  <r>
    <s v="IS00WM"/>
    <s v="Wireless coverage - Internet Service - Wi-Fi Media"/>
    <x v="1"/>
    <s v=""/>
    <s v="Media Internet Access"/>
    <x v="29"/>
    <x v="29"/>
    <n v="1"/>
    <n v="0"/>
    <n v="0"/>
    <n v="1"/>
    <n v="0"/>
    <n v="0"/>
    <s v="LOC IT"/>
    <x v="0"/>
    <x v="0"/>
    <x v="39"/>
    <x v="11"/>
    <s v="FIFA Media"/>
    <m/>
    <s v="NW"/>
  </r>
  <r>
    <s v="IS00WM"/>
    <s v="Wireless coverage - Internet Service - Wi-Fi Media"/>
    <x v="1"/>
    <s v=""/>
    <s v="Media Internet Access"/>
    <x v="29"/>
    <x v="29"/>
    <n v="1"/>
    <n v="0"/>
    <n v="0"/>
    <n v="1"/>
    <n v="0"/>
    <n v="0"/>
    <s v="LOC IT"/>
    <x v="0"/>
    <x v="1"/>
    <x v="38"/>
    <x v="11"/>
    <s v="FIFA Media"/>
    <m/>
    <s v="NW"/>
  </r>
  <r>
    <s v="IS00WM"/>
    <s v="Wireless coverage - Internet Service - Wi-Fi Media"/>
    <x v="1"/>
    <s v=""/>
    <s v="Media Internet Access"/>
    <x v="29"/>
    <x v="29"/>
    <n v="1"/>
    <n v="0"/>
    <n v="0"/>
    <n v="1"/>
    <n v="0"/>
    <n v="0"/>
    <s v="LOC IT"/>
    <x v="0"/>
    <x v="1"/>
    <x v="39"/>
    <x v="11"/>
    <s v="FIFA Media"/>
    <m/>
    <s v="NW"/>
  </r>
  <r>
    <s v="IS00WM"/>
    <s v="Wireless coverage - Internet Service - Wi-Fi Media"/>
    <x v="1"/>
    <s v=""/>
    <s v="Media Internet Access"/>
    <x v="29"/>
    <x v="29"/>
    <n v="1"/>
    <n v="0"/>
    <n v="0"/>
    <n v="1"/>
    <n v="0"/>
    <n v="0"/>
    <s v="LOC IT"/>
    <x v="0"/>
    <x v="2"/>
    <x v="38"/>
    <x v="11"/>
    <s v="FIFA Media"/>
    <m/>
    <s v="NW"/>
  </r>
  <r>
    <s v="IS00WM"/>
    <s v="Wireless coverage - Internet Service - Wi-Fi Media"/>
    <x v="1"/>
    <s v=""/>
    <s v="Media Internet Access"/>
    <x v="29"/>
    <x v="29"/>
    <n v="1"/>
    <n v="0"/>
    <n v="0"/>
    <n v="1"/>
    <n v="0"/>
    <n v="0"/>
    <s v="LOC IT"/>
    <x v="0"/>
    <x v="2"/>
    <x v="39"/>
    <x v="11"/>
    <s v="FIFA Media"/>
    <m/>
    <s v="NW"/>
  </r>
  <r>
    <s v="IS00WM"/>
    <s v="Wireless coverage - Internet Service - Wi-Fi Media"/>
    <x v="1"/>
    <s v=""/>
    <s v="Media Internet Access"/>
    <x v="29"/>
    <x v="29"/>
    <n v="1"/>
    <n v="0"/>
    <n v="0"/>
    <n v="1"/>
    <n v="0"/>
    <n v="0"/>
    <s v="LOC IT"/>
    <x v="0"/>
    <x v="3"/>
    <x v="38"/>
    <x v="11"/>
    <s v="FIFA Media"/>
    <m/>
    <s v="NW"/>
  </r>
  <r>
    <s v="IS00WM"/>
    <s v="Wireless coverage - Internet Service - Wi-Fi Media"/>
    <x v="1"/>
    <s v=""/>
    <s v="Media Internet Access"/>
    <x v="29"/>
    <x v="29"/>
    <n v="1"/>
    <n v="0"/>
    <n v="0"/>
    <n v="1"/>
    <n v="0"/>
    <n v="0"/>
    <s v="LOC IT"/>
    <x v="0"/>
    <x v="3"/>
    <x v="39"/>
    <x v="11"/>
    <s v="FIFA Media"/>
    <m/>
    <s v="NW"/>
  </r>
  <r>
    <s v="IS00WM"/>
    <s v="Wireless coverage - Internet Service - Wi-Fi Media"/>
    <x v="1"/>
    <s v=""/>
    <s v="Media Internet Access"/>
    <x v="29"/>
    <x v="29"/>
    <n v="1"/>
    <n v="0"/>
    <n v="0"/>
    <n v="1"/>
    <n v="0"/>
    <n v="0"/>
    <s v="LOC IT"/>
    <x v="0"/>
    <x v="4"/>
    <x v="38"/>
    <x v="11"/>
    <s v="FIFA Media"/>
    <m/>
    <s v="NW"/>
  </r>
  <r>
    <s v="IS00WM"/>
    <s v="Wireless coverage - Internet Service - Wi-Fi Media"/>
    <x v="1"/>
    <s v=""/>
    <s v="Media Internet Access"/>
    <x v="29"/>
    <x v="29"/>
    <n v="1"/>
    <n v="0"/>
    <n v="0"/>
    <n v="1"/>
    <n v="0"/>
    <n v="0"/>
    <s v="LOC IT"/>
    <x v="0"/>
    <x v="4"/>
    <x v="39"/>
    <x v="11"/>
    <s v="FIFA Media"/>
    <m/>
    <s v="NW"/>
  </r>
  <r>
    <s v="IS00WM"/>
    <s v="Wireless coverage - Internet Service - Wi-Fi Media"/>
    <x v="1"/>
    <s v=""/>
    <s v="Media Internet Access"/>
    <x v="29"/>
    <x v="29"/>
    <n v="1"/>
    <n v="0"/>
    <n v="0"/>
    <n v="1"/>
    <n v="0"/>
    <n v="0"/>
    <s v="LOC IT"/>
    <x v="0"/>
    <x v="5"/>
    <x v="38"/>
    <x v="11"/>
    <s v="FIFA Media"/>
    <m/>
    <s v="NW"/>
  </r>
  <r>
    <s v="IS00WM"/>
    <s v="Wireless coverage - Internet Service - Wi-Fi Media"/>
    <x v="1"/>
    <s v=""/>
    <s v="Media Internet Access"/>
    <x v="29"/>
    <x v="29"/>
    <n v="1"/>
    <n v="0"/>
    <n v="0"/>
    <n v="1"/>
    <n v="0"/>
    <n v="0"/>
    <s v="LOC IT"/>
    <x v="0"/>
    <x v="5"/>
    <x v="39"/>
    <x v="11"/>
    <s v="FIFA Media"/>
    <m/>
    <s v="NW"/>
  </r>
  <r>
    <s v="IS00WM"/>
    <s v="Wireless coverage - Internet Service - Wi-Fi Media"/>
    <x v="1"/>
    <s v=""/>
    <s v="Media Internet Access"/>
    <x v="29"/>
    <x v="29"/>
    <n v="1"/>
    <n v="0"/>
    <n v="0"/>
    <n v="1"/>
    <n v="0"/>
    <n v="0"/>
    <s v="LOC IT"/>
    <x v="0"/>
    <x v="6"/>
    <x v="38"/>
    <x v="11"/>
    <s v="FIFA Media"/>
    <m/>
    <s v="NW"/>
  </r>
  <r>
    <s v="IS00WM"/>
    <s v="Wireless coverage - Internet Service - Wi-Fi Media"/>
    <x v="1"/>
    <s v=""/>
    <s v="Media Internet Access"/>
    <x v="29"/>
    <x v="29"/>
    <n v="1"/>
    <n v="0"/>
    <n v="0"/>
    <n v="1"/>
    <n v="0"/>
    <n v="0"/>
    <s v="LOC IT"/>
    <x v="0"/>
    <x v="6"/>
    <x v="39"/>
    <x v="11"/>
    <s v="FIFA Media"/>
    <m/>
    <s v="NW"/>
  </r>
  <r>
    <s v="IS00WM"/>
    <s v="Wireless coverage - Internet Service - Wi-Fi Media"/>
    <x v="1"/>
    <s v=""/>
    <s v="Media Internet Access"/>
    <x v="29"/>
    <x v="29"/>
    <n v="1"/>
    <n v="0"/>
    <n v="0"/>
    <n v="1"/>
    <n v="0"/>
    <n v="0"/>
    <s v="LOC IT"/>
    <x v="0"/>
    <x v="7"/>
    <x v="38"/>
    <x v="11"/>
    <s v="FIFA Media"/>
    <m/>
    <s v="NW"/>
  </r>
  <r>
    <s v="IS00WM"/>
    <s v="Wireless coverage - Internet Service - Wi-Fi Media"/>
    <x v="1"/>
    <s v=""/>
    <s v="Media Internet Access"/>
    <x v="29"/>
    <x v="29"/>
    <n v="1"/>
    <n v="0"/>
    <n v="0"/>
    <n v="1"/>
    <n v="0"/>
    <n v="0"/>
    <s v="LOC IT"/>
    <x v="0"/>
    <x v="7"/>
    <x v="39"/>
    <x v="11"/>
    <s v="FIFA Media"/>
    <m/>
    <s v="NW"/>
  </r>
  <r>
    <s v="IS00WM"/>
    <s v="Wireless coverage - Internet Service - Wi-Fi Media"/>
    <x v="1"/>
    <s v=""/>
    <s v="Media Internet Access"/>
    <x v="29"/>
    <x v="29"/>
    <n v="1"/>
    <n v="0"/>
    <n v="0"/>
    <n v="1"/>
    <n v="0"/>
    <n v="0"/>
    <s v="LOC IT"/>
    <x v="0"/>
    <x v="18"/>
    <x v="40"/>
    <x v="11"/>
    <s v="FIFA Media"/>
    <m/>
    <s v="NW"/>
  </r>
  <r>
    <s v="IS00WM"/>
    <s v="Wireless coverage - Internet Service - Wi-Fi Media"/>
    <x v="1"/>
    <s v=""/>
    <s v="Media Internet Access"/>
    <x v="29"/>
    <x v="29"/>
    <n v="1"/>
    <n v="0"/>
    <n v="0"/>
    <n v="1"/>
    <n v="0"/>
    <n v="0"/>
    <s v="LOC IT"/>
    <x v="0"/>
    <x v="18"/>
    <x v="41"/>
    <x v="11"/>
    <s v="FIFA Media"/>
    <m/>
    <s v="NW"/>
  </r>
  <r>
    <s v="LAPEVT"/>
    <s v="Laptop - FIFA Event Build"/>
    <x v="4"/>
    <s v="Single"/>
    <s v=""/>
    <x v="17"/>
    <x v="17"/>
    <n v="1"/>
    <n v="0"/>
    <n v="0"/>
    <n v="1"/>
    <n v="0"/>
    <n v="0"/>
    <s v="FIFA Event Technology"/>
    <x v="0"/>
    <x v="23"/>
    <x v="14"/>
    <x v="11"/>
    <s v="FIFA Media"/>
    <m/>
    <s v="EU"/>
  </r>
  <r>
    <s v="TVLGIP"/>
    <s v="TV - Large - IPTV"/>
    <x v="3"/>
    <s v=""/>
    <s v=""/>
    <x v="5"/>
    <x v="5"/>
    <n v="2"/>
    <n v="2"/>
    <n v="0"/>
    <n v="2"/>
    <n v="2"/>
    <n v="0"/>
    <s v="LOC IT"/>
    <x v="0"/>
    <x v="23"/>
    <x v="14"/>
    <x v="11"/>
    <s v="FIFA Media"/>
    <m/>
    <s v="AV"/>
  </r>
  <r>
    <s v="TVSTND"/>
    <s v="TV Stand - Medium &amp; Large TVs"/>
    <x v="0"/>
    <s v=""/>
    <s v=""/>
    <x v="6"/>
    <x v="6"/>
    <n v="2"/>
    <n v="0"/>
    <n v="0"/>
    <n v="2"/>
    <n v="0"/>
    <n v="0"/>
    <s v="LOC IT"/>
    <x v="0"/>
    <x v="23"/>
    <x v="14"/>
    <x v="11"/>
    <s v="FIFA Media"/>
    <m/>
    <s v="AV"/>
  </r>
  <r>
    <s v="WRDMED"/>
    <s v="Wired Port - Media Internet"/>
    <x v="1"/>
    <s v=""/>
    <s v="Media Internet Access Media"/>
    <x v="3"/>
    <x v="3"/>
    <n v="5"/>
    <n v="5"/>
    <n v="0"/>
    <n v="5"/>
    <n v="5"/>
    <n v="0"/>
    <s v="LOC IT"/>
    <x v="0"/>
    <x v="23"/>
    <x v="14"/>
    <x v="11"/>
    <s v="FIFA Media"/>
    <m/>
    <s v="NW"/>
  </r>
  <r>
    <s v="AUDUSB"/>
    <s v="Audio transformer SDI to USB"/>
    <x v="8"/>
    <s v=""/>
    <s v=""/>
    <x v="30"/>
    <x v="30"/>
    <n v="1"/>
    <n v="0"/>
    <n v="0"/>
    <n v="1"/>
    <n v="0"/>
    <n v="0"/>
    <s v="FIFA Event Technology"/>
    <x v="1"/>
    <x v="19"/>
    <x v="22"/>
    <x v="11"/>
    <s v="FIFA Media"/>
    <m/>
    <s v="AV"/>
  </r>
  <r>
    <s v="CABLOK"/>
    <s v="Laptop Cable Lock"/>
    <x v="0"/>
    <s v="Multi"/>
    <s v=""/>
    <x v="10"/>
    <x v="10"/>
    <n v="1"/>
    <n v="0"/>
    <n v="0"/>
    <n v="1"/>
    <n v="0"/>
    <n v="0"/>
    <s v="FIFA Event Technology"/>
    <x v="1"/>
    <x v="23"/>
    <x v="42"/>
    <x v="11"/>
    <s v="FIFA Media"/>
    <m/>
    <s v="EU"/>
  </r>
  <r>
    <s v="CABLOK"/>
    <s v="Laptop Cable Lock"/>
    <x v="0"/>
    <s v="Multi"/>
    <s v=""/>
    <x v="10"/>
    <x v="10"/>
    <n v="2"/>
    <n v="0"/>
    <n v="0"/>
    <n v="2"/>
    <n v="0"/>
    <n v="0"/>
    <s v="FIFA Event Technology"/>
    <x v="1"/>
    <x v="19"/>
    <x v="22"/>
    <x v="11"/>
    <s v="FIFA Media"/>
    <m/>
    <s v="EU"/>
  </r>
  <r>
    <s v="CAM001"/>
    <s v="Webcam"/>
    <x v="0"/>
    <s v="Multi"/>
    <s v=""/>
    <x v="31"/>
    <x v="31"/>
    <n v="1"/>
    <n v="0"/>
    <n v="0"/>
    <n v="1"/>
    <n v="0"/>
    <n v="0"/>
    <s v="FIFA Event Technology"/>
    <x v="1"/>
    <x v="19"/>
    <x v="22"/>
    <x v="11"/>
    <s v="FIFA Media"/>
    <s v="4K"/>
    <s v="EU"/>
  </r>
  <r>
    <s v="IS00WM"/>
    <s v="Wireless coverage - Internet Service - Wi-Fi Media"/>
    <x v="1"/>
    <s v=""/>
    <s v="Media Internet Access"/>
    <x v="29"/>
    <x v="29"/>
    <n v="1"/>
    <n v="0"/>
    <n v="0"/>
    <n v="1"/>
    <n v="0"/>
    <n v="0"/>
    <s v="LOC IT"/>
    <x v="1"/>
    <x v="23"/>
    <x v="43"/>
    <x v="11"/>
    <s v="FIFA Media"/>
    <m/>
    <s v="NW"/>
  </r>
  <r>
    <s v="IS00WM"/>
    <s v="Wireless coverage - Internet Service - Wi-Fi Media"/>
    <x v="1"/>
    <s v=""/>
    <s v="Media Internet Access"/>
    <x v="29"/>
    <x v="29"/>
    <n v="1"/>
    <n v="0"/>
    <n v="0"/>
    <n v="1"/>
    <n v="0"/>
    <n v="0"/>
    <s v="LOC IT"/>
    <x v="1"/>
    <x v="24"/>
    <x v="44"/>
    <x v="11"/>
    <s v="FIFA Media"/>
    <m/>
    <s v="NW"/>
  </r>
  <r>
    <s v="IS00WM"/>
    <s v="Wireless coverage - Internet Service - Wi-Fi Media"/>
    <x v="1"/>
    <s v=""/>
    <s v="Media Internet Access"/>
    <x v="29"/>
    <x v="29"/>
    <n v="1"/>
    <n v="0"/>
    <n v="0"/>
    <n v="1"/>
    <n v="0"/>
    <n v="0"/>
    <s v="LOC IT"/>
    <x v="1"/>
    <x v="23"/>
    <x v="45"/>
    <x v="11"/>
    <s v="FIFA Media"/>
    <m/>
    <s v="NW"/>
  </r>
  <r>
    <s v="IS00WM"/>
    <s v="Wireless coverage - Internet Service - Wi-Fi Media"/>
    <x v="1"/>
    <s v=""/>
    <s v="Media Internet Access"/>
    <x v="29"/>
    <x v="29"/>
    <n v="1"/>
    <n v="0"/>
    <n v="0"/>
    <n v="1"/>
    <n v="0"/>
    <n v="0"/>
    <s v="LOC IT"/>
    <x v="1"/>
    <x v="17"/>
    <x v="35"/>
    <x v="11"/>
    <s v="FIFA Media"/>
    <s v="Local Press+International TBC / for 60pax"/>
    <s v="NW"/>
  </r>
  <r>
    <s v="IS00WM"/>
    <s v="Wireless coverage - Internet Service - Wi-Fi Media"/>
    <x v="1"/>
    <s v=""/>
    <s v="Media Internet Access"/>
    <x v="29"/>
    <x v="29"/>
    <n v="1"/>
    <n v="0"/>
    <n v="0"/>
    <n v="1"/>
    <n v="0"/>
    <n v="0"/>
    <s v="LOC IT"/>
    <x v="1"/>
    <x v="23"/>
    <x v="42"/>
    <x v="11"/>
    <s v="FIFA Media"/>
    <m/>
    <s v="NW"/>
  </r>
  <r>
    <s v="IS00WM"/>
    <s v="Wireless coverage - Internet Service - Wi-Fi Media"/>
    <x v="1"/>
    <s v=""/>
    <s v="Media Internet Access"/>
    <x v="29"/>
    <x v="29"/>
    <n v="1"/>
    <n v="0"/>
    <n v="0"/>
    <n v="1"/>
    <n v="0"/>
    <n v="0"/>
    <s v="LOC IT"/>
    <x v="1"/>
    <x v="18"/>
    <x v="36"/>
    <x v="11"/>
    <s v="FIFA Media"/>
    <m/>
    <s v="NW"/>
  </r>
  <r>
    <s v="IS00WM"/>
    <s v="Wireless coverage - Internet Service - Wi-Fi Media"/>
    <x v="1"/>
    <s v=""/>
    <s v="Media Internet Access"/>
    <x v="29"/>
    <x v="29"/>
    <n v="1"/>
    <n v="0"/>
    <n v="0"/>
    <n v="1"/>
    <n v="0"/>
    <n v="0"/>
    <s v="LOC IT"/>
    <x v="1"/>
    <x v="18"/>
    <x v="37"/>
    <x v="11"/>
    <s v="FIFA Media"/>
    <m/>
    <s v="NW"/>
  </r>
  <r>
    <s v="IS00WM"/>
    <s v="Wireless coverage - Internet Service - Wi-Fi Media"/>
    <x v="1"/>
    <s v=""/>
    <s v="Media Internet Access"/>
    <x v="29"/>
    <x v="29"/>
    <n v="1"/>
    <n v="0"/>
    <n v="0"/>
    <n v="1"/>
    <n v="0"/>
    <n v="0"/>
    <s v="LOC IT"/>
    <x v="1"/>
    <x v="18"/>
    <x v="41"/>
    <x v="11"/>
    <s v="FIFA Media"/>
    <m/>
    <s v="NW"/>
  </r>
  <r>
    <s v="IS00WM"/>
    <s v="Wireless coverage - Internet Service - Wi-Fi Media"/>
    <x v="1"/>
    <s v=""/>
    <s v="Media Internet Access"/>
    <x v="29"/>
    <x v="29"/>
    <n v="1"/>
    <n v="0"/>
    <n v="0"/>
    <n v="1"/>
    <n v="0"/>
    <n v="0"/>
    <s v="LOC IT"/>
    <x v="1"/>
    <x v="18"/>
    <x v="40"/>
    <x v="11"/>
    <s v="FIFA Media"/>
    <m/>
    <s v="NW"/>
  </r>
  <r>
    <s v="IS00WM"/>
    <s v="Wireless coverage - Internet Service - Wi-Fi Media"/>
    <x v="1"/>
    <s v=""/>
    <s v="Media Internet Access"/>
    <x v="29"/>
    <x v="29"/>
    <n v="1"/>
    <n v="0"/>
    <n v="0"/>
    <n v="1"/>
    <n v="0"/>
    <n v="0"/>
    <s v="LOC IT"/>
    <x v="1"/>
    <x v="18"/>
    <x v="38"/>
    <x v="11"/>
    <s v="FIFA Media"/>
    <m/>
    <s v="NW"/>
  </r>
  <r>
    <s v="IS00WM"/>
    <s v="Wireless coverage - Internet Service - Wi-Fi Media"/>
    <x v="1"/>
    <s v=""/>
    <s v="Media Internet Access"/>
    <x v="29"/>
    <x v="29"/>
    <n v="1"/>
    <n v="0"/>
    <n v="0"/>
    <n v="1"/>
    <n v="0"/>
    <n v="0"/>
    <s v="LOC IT"/>
    <x v="1"/>
    <x v="18"/>
    <x v="39"/>
    <x v="11"/>
    <s v="FIFA Media"/>
    <m/>
    <s v="NW"/>
  </r>
  <r>
    <s v="IS00Wm"/>
    <s v="Wireless coverage - Internet Service - Wi-Fi Media"/>
    <x v="1"/>
    <s v=""/>
    <s v="Media Internet Access"/>
    <x v="29"/>
    <x v="29"/>
    <n v="1"/>
    <n v="0"/>
    <n v="0"/>
    <n v="1"/>
    <n v="0"/>
    <n v="0"/>
    <s v="LOC IT"/>
    <x v="1"/>
    <x v="19"/>
    <x v="22"/>
    <x v="11"/>
    <s v="FIFA Media"/>
    <m/>
    <s v="NW"/>
  </r>
  <r>
    <s v="LAPEVT"/>
    <s v="Laptop - FIFA Event Build"/>
    <x v="4"/>
    <s v="Single"/>
    <s v=""/>
    <x v="17"/>
    <x v="17"/>
    <n v="1"/>
    <n v="0"/>
    <n v="0"/>
    <n v="1"/>
    <n v="0"/>
    <n v="0"/>
    <s v="FIFA Event Technology"/>
    <x v="1"/>
    <x v="23"/>
    <x v="42"/>
    <x v="11"/>
    <s v="FIFA Media"/>
    <m/>
    <s v="EU"/>
  </r>
  <r>
    <s v="LAPEVT"/>
    <s v="Laptop - FIFA Event Build"/>
    <x v="4"/>
    <s v="Single"/>
    <s v=""/>
    <x v="17"/>
    <x v="17"/>
    <n v="2"/>
    <n v="0"/>
    <n v="0"/>
    <n v="2"/>
    <n v="0"/>
    <n v="0"/>
    <s v="FIFA Event Technology"/>
    <x v="1"/>
    <x v="19"/>
    <x v="22"/>
    <x v="11"/>
    <s v="FIFA Media"/>
    <m/>
    <s v="EU"/>
  </r>
  <r>
    <s v="TELMOB"/>
    <s v="Telephone - Mobile - Smart Phone"/>
    <x v="7"/>
    <s v="Single"/>
    <s v=""/>
    <x v="21"/>
    <x v="21"/>
    <n v="6"/>
    <n v="0"/>
    <n v="6"/>
    <n v="6"/>
    <n v="0"/>
    <n v="6"/>
    <s v="FIFA Event Technology"/>
    <x v="1"/>
    <x v="19"/>
    <x v="22"/>
    <x v="11"/>
    <s v="FIFA Media"/>
    <m/>
    <s v="Telco/SIM"/>
  </r>
  <r>
    <s v="SIMDAT"/>
    <s v="SIM - Data Only"/>
    <x v="7"/>
    <s v=""/>
    <s v=""/>
    <x v="18"/>
    <x v="18"/>
    <n v="6"/>
    <n v="0"/>
    <n v="6"/>
    <n v="6"/>
    <n v="0"/>
    <n v="6"/>
    <s v="LOC IT"/>
    <x v="1"/>
    <x v="19"/>
    <x v="22"/>
    <x v="11"/>
    <s v="FIFA Media"/>
    <m/>
    <s v="Telco/SIM"/>
  </r>
  <r>
    <s v="TVLGIP"/>
    <s v="TV - Large - IPTV"/>
    <x v="3"/>
    <s v=""/>
    <s v=""/>
    <x v="5"/>
    <x v="5"/>
    <n v="1"/>
    <n v="1"/>
    <n v="0"/>
    <n v="1"/>
    <n v="1"/>
    <n v="0"/>
    <s v="LOC IT"/>
    <x v="1"/>
    <x v="24"/>
    <x v="44"/>
    <x v="11"/>
    <s v="FIFA Media"/>
    <m/>
    <s v="AV"/>
  </r>
  <r>
    <s v="TVLGIP"/>
    <s v="TV - Large - IPTV"/>
    <x v="3"/>
    <s v=""/>
    <s v=""/>
    <x v="5"/>
    <x v="5"/>
    <n v="1"/>
    <n v="1"/>
    <n v="0"/>
    <n v="1"/>
    <n v="1"/>
    <n v="0"/>
    <s v="LOC IT"/>
    <x v="1"/>
    <x v="23"/>
    <x v="45"/>
    <x v="11"/>
    <s v="FIFA Media"/>
    <m/>
    <s v="AV"/>
  </r>
  <r>
    <s v="TVSTND"/>
    <s v="TV Stand - Medium &amp; Large TVs"/>
    <x v="0"/>
    <s v=""/>
    <s v=""/>
    <x v="6"/>
    <x v="6"/>
    <n v="1"/>
    <n v="0"/>
    <n v="0"/>
    <n v="1"/>
    <n v="0"/>
    <n v="0"/>
    <s v="LOC IT"/>
    <x v="1"/>
    <x v="24"/>
    <x v="44"/>
    <x v="11"/>
    <s v="FIFA Media"/>
    <m/>
    <s v="AV"/>
  </r>
  <r>
    <s v="TVSTND"/>
    <s v="TV Stand - Medium &amp; Large TVs"/>
    <x v="0"/>
    <s v=""/>
    <s v=""/>
    <x v="6"/>
    <x v="6"/>
    <n v="1"/>
    <n v="0"/>
    <n v="0"/>
    <n v="1"/>
    <n v="0"/>
    <n v="0"/>
    <s v="LOC IT"/>
    <x v="1"/>
    <x v="23"/>
    <x v="45"/>
    <x v="11"/>
    <s v="FIFA Media"/>
    <m/>
    <s v="AV"/>
  </r>
  <r>
    <s v="WRDFTI"/>
    <s v="Wired Port - FTI"/>
    <x v="1"/>
    <s v=""/>
    <s v="FIFA Technical FTI"/>
    <x v="13"/>
    <x v="13"/>
    <n v="2"/>
    <n v="2"/>
    <n v="0"/>
    <n v="2"/>
    <n v="2"/>
    <n v="0"/>
    <s v="LOC IT"/>
    <x v="1"/>
    <x v="19"/>
    <x v="22"/>
    <x v="11"/>
    <s v="FIFA Media"/>
    <m/>
    <s v="NW"/>
  </r>
  <r>
    <s v="WRDMED"/>
    <s v="Wired Port - Media Internet"/>
    <x v="1"/>
    <s v=""/>
    <s v="Media Internet Access Media"/>
    <x v="3"/>
    <x v="3"/>
    <n v="5"/>
    <n v="5"/>
    <n v="0"/>
    <n v="5"/>
    <n v="5"/>
    <n v="0"/>
    <s v="LOC IT"/>
    <x v="1"/>
    <x v="23"/>
    <x v="45"/>
    <x v="11"/>
    <s v="FIFA Media"/>
    <m/>
    <s v="NW"/>
  </r>
  <r>
    <s v="WRDMED"/>
    <s v="Wired Port - Media Internet"/>
    <x v="1"/>
    <s v=""/>
    <s v="Media Internet Access Media"/>
    <x v="3"/>
    <x v="3"/>
    <n v="1"/>
    <n v="1"/>
    <n v="0"/>
    <n v="1"/>
    <n v="1"/>
    <n v="0"/>
    <s v="LOC IT"/>
    <x v="1"/>
    <x v="18"/>
    <x v="39"/>
    <x v="11"/>
    <s v="FIFA Media"/>
    <s v="Request from Paul Murphy / only if existing infrastructure"/>
    <s v="NW"/>
  </r>
  <r>
    <s v="WRDMED"/>
    <s v="Wired Port - Media Internet"/>
    <x v="1"/>
    <s v=""/>
    <s v="Media Internet Access Media"/>
    <x v="3"/>
    <x v="3"/>
    <n v="1"/>
    <n v="1"/>
    <n v="0"/>
    <n v="1"/>
    <n v="1"/>
    <n v="0"/>
    <s v="LOC IT"/>
    <x v="1"/>
    <x v="18"/>
    <x v="38"/>
    <x v="11"/>
    <s v="FIFA Media"/>
    <s v="Request from Paul Murphy / only if existing infrastructure"/>
    <s v="NW"/>
  </r>
  <r>
    <s v="AVMSYS"/>
    <s v="AV Solution (Mics + Speakers)"/>
    <x v="8"/>
    <s v=""/>
    <s v=""/>
    <x v="32"/>
    <x v="32"/>
    <n v="1"/>
    <n v="0"/>
    <n v="0"/>
    <n v="1"/>
    <n v="0"/>
    <n v="0"/>
    <s v="LOC IT"/>
    <x v="0"/>
    <x v="25"/>
    <x v="46"/>
    <x v="12"/>
    <s v="FIFA Referees"/>
    <m/>
    <s v="AV"/>
  </r>
  <r>
    <s v="DSKMNT"/>
    <s v="24&quot; Monitor - HDMI/DP"/>
    <x v="0"/>
    <s v=""/>
    <s v=""/>
    <x v="0"/>
    <x v="0"/>
    <n v="4"/>
    <n v="0"/>
    <n v="0"/>
    <n v="4"/>
    <n v="0"/>
    <n v="0"/>
    <s v="LOC IT"/>
    <x v="0"/>
    <x v="25"/>
    <x v="47"/>
    <x v="12"/>
    <s v="FIFA Referees"/>
    <m/>
    <s v="EU"/>
  </r>
  <r>
    <s v="DSKMNT"/>
    <s v="24&quot; Monitor - HDMI/DP"/>
    <x v="0"/>
    <s v=""/>
    <s v=""/>
    <x v="0"/>
    <x v="0"/>
    <n v="0"/>
    <n v="0"/>
    <n v="0"/>
    <n v="2"/>
    <n v="0"/>
    <n v="0"/>
    <s v="LOC IT"/>
    <x v="0"/>
    <x v="25"/>
    <x v="48"/>
    <x v="12"/>
    <s v="FIFA Referees"/>
    <m/>
    <s v="EU"/>
  </r>
  <r>
    <s v="DSKMNT"/>
    <s v="24&quot; Monitor - HDMI/DP"/>
    <x v="0"/>
    <s v=""/>
    <s v=""/>
    <x v="0"/>
    <x v="0"/>
    <n v="0"/>
    <n v="0"/>
    <n v="0"/>
    <n v="2"/>
    <n v="0"/>
    <n v="0"/>
    <s v="LOC IT"/>
    <x v="0"/>
    <x v="25"/>
    <x v="49"/>
    <x v="12"/>
    <s v="FIFA Referees"/>
    <m/>
    <s v="EU"/>
  </r>
  <r>
    <s v="DSKMNT"/>
    <s v="24&quot; Monitor - HDMI/DP"/>
    <x v="0"/>
    <s v=""/>
    <s v=""/>
    <x v="0"/>
    <x v="0"/>
    <n v="0"/>
    <n v="0"/>
    <n v="0"/>
    <n v="2"/>
    <n v="0"/>
    <n v="0"/>
    <s v="LOC IT"/>
    <x v="0"/>
    <x v="25"/>
    <x v="50"/>
    <x v="12"/>
    <s v="FIFA Referees"/>
    <m/>
    <s v="EU"/>
  </r>
  <r>
    <s v="IS00WR"/>
    <s v="Wireless coverage - Internet Service -  Referees"/>
    <x v="1"/>
    <s v=""/>
    <s v="General Internet Access"/>
    <x v="33"/>
    <x v="33"/>
    <n v="1"/>
    <n v="0"/>
    <n v="0"/>
    <n v="1"/>
    <n v="0"/>
    <n v="0"/>
    <s v="LOC IT"/>
    <x v="0"/>
    <x v="25"/>
    <x v="47"/>
    <x v="12"/>
    <s v="FIFA Referees"/>
    <m/>
    <s v="NW"/>
  </r>
  <r>
    <s v="IS00WR"/>
    <s v="Wireless coverage - Internet Service -  Referees"/>
    <x v="1"/>
    <s v=""/>
    <s v="General Internet Access"/>
    <x v="33"/>
    <x v="33"/>
    <n v="1"/>
    <n v="0"/>
    <n v="0"/>
    <n v="1"/>
    <n v="0"/>
    <n v="0"/>
    <s v="LOC IT"/>
    <x v="0"/>
    <x v="26"/>
    <x v="51"/>
    <x v="12"/>
    <s v="FIFA Referees"/>
    <m/>
    <s v="NW"/>
  </r>
  <r>
    <s v="IS00WR"/>
    <s v="Wireless coverage - Internet Service -  Referees"/>
    <x v="1"/>
    <s v=""/>
    <s v="General Internet Access"/>
    <x v="33"/>
    <x v="33"/>
    <n v="1"/>
    <n v="0"/>
    <n v="0"/>
    <n v="1"/>
    <n v="0"/>
    <n v="0"/>
    <s v="LOC IT"/>
    <x v="0"/>
    <x v="25"/>
    <x v="48"/>
    <x v="12"/>
    <s v="FIFA Referees"/>
    <m/>
    <s v="NW"/>
  </r>
  <r>
    <s v="IS00WR"/>
    <s v="Wireless coverage - Internet Service -  Referees"/>
    <x v="1"/>
    <s v=""/>
    <s v="General Internet Access"/>
    <x v="33"/>
    <x v="33"/>
    <n v="1"/>
    <n v="0"/>
    <n v="0"/>
    <n v="1"/>
    <n v="0"/>
    <n v="0"/>
    <s v="LOC IT"/>
    <x v="0"/>
    <x v="25"/>
    <x v="49"/>
    <x v="12"/>
    <s v="FIFA Referees"/>
    <m/>
    <s v="NW"/>
  </r>
  <r>
    <s v="IS00WR"/>
    <s v="Wireless coverage - Internet Service -  Referees"/>
    <x v="1"/>
    <s v=""/>
    <s v="General Internet Access"/>
    <x v="33"/>
    <x v="33"/>
    <n v="1"/>
    <n v="0"/>
    <n v="0"/>
    <n v="1"/>
    <n v="0"/>
    <n v="0"/>
    <s v="LOC IT"/>
    <x v="0"/>
    <x v="25"/>
    <x v="50"/>
    <x v="12"/>
    <s v="FIFA Referees"/>
    <m/>
    <s v="NW"/>
  </r>
  <r>
    <s v="IS00WR"/>
    <s v="Wireless coverage - Internet Service -  Referees"/>
    <x v="1"/>
    <s v=""/>
    <s v="General Internet Access"/>
    <x v="33"/>
    <x v="33"/>
    <n v="1"/>
    <n v="0"/>
    <n v="0"/>
    <n v="1"/>
    <n v="0"/>
    <n v="0"/>
    <s v="LOC IT"/>
    <x v="0"/>
    <x v="25"/>
    <x v="46"/>
    <x v="12"/>
    <s v="FIFA Referees"/>
    <m/>
    <s v="NW"/>
  </r>
  <r>
    <s v="IS00WR"/>
    <s v="Wireless coverage - Internet Service -  Referees"/>
    <x v="1"/>
    <s v=""/>
    <s v="General Internet Access"/>
    <x v="33"/>
    <x v="33"/>
    <n v="1"/>
    <n v="0"/>
    <n v="0"/>
    <n v="1"/>
    <n v="0"/>
    <n v="0"/>
    <s v="LOC IT"/>
    <x v="0"/>
    <x v="25"/>
    <x v="52"/>
    <x v="12"/>
    <s v="FIFA Referees"/>
    <m/>
    <s v="NW"/>
  </r>
  <r>
    <s v="IS00WR"/>
    <s v="Wireless coverage - Internet Service -  Referees"/>
    <x v="1"/>
    <s v=""/>
    <s v="General Internet Access"/>
    <x v="33"/>
    <x v="33"/>
    <n v="1"/>
    <n v="0"/>
    <n v="0"/>
    <n v="1"/>
    <n v="0"/>
    <n v="0"/>
    <s v="LOC IT"/>
    <x v="0"/>
    <x v="25"/>
    <x v="53"/>
    <x v="12"/>
    <s v="FIFA Referees"/>
    <m/>
    <s v="NW"/>
  </r>
  <r>
    <s v="ITSIBU"/>
    <s v="IT Solution - 4G Internet backup "/>
    <x v="6"/>
    <s v=""/>
    <s v=""/>
    <x v="16"/>
    <x v="16"/>
    <n v="1"/>
    <n v="0"/>
    <n v="1"/>
    <n v="1"/>
    <n v="0"/>
    <n v="1"/>
    <s v="LOC IT"/>
    <x v="0"/>
    <x v="26"/>
    <x v="51"/>
    <x v="12"/>
    <s v="FIFA Referees"/>
    <s v="Only if Wireless is not available"/>
    <s v="NW"/>
  </r>
  <r>
    <s v="LAPPRE"/>
    <s v="Laptop - Presentation Build"/>
    <x v="4"/>
    <s v="Single"/>
    <s v=""/>
    <x v="11"/>
    <x v="11"/>
    <n v="3"/>
    <n v="0"/>
    <n v="0"/>
    <n v="3"/>
    <n v="0"/>
    <n v="0"/>
    <s v="FIFA Event Technology"/>
    <x v="0"/>
    <x v="25"/>
    <x v="52"/>
    <x v="12"/>
    <s v="FIFA Referees"/>
    <s v="3 laptops to connect each to 2 TVs via HDMI - to stream matches via FDP"/>
    <s v="EU"/>
  </r>
  <r>
    <s v="TELMOB"/>
    <s v="Telephone - Mobile - Smart Phone"/>
    <x v="7"/>
    <s v="Single"/>
    <s v=""/>
    <x v="21"/>
    <x v="21"/>
    <n v="0"/>
    <n v="0"/>
    <n v="10"/>
    <n v="10"/>
    <n v="0"/>
    <n v="10"/>
    <s v="FIFA Event Technology"/>
    <x v="0"/>
    <x v="25"/>
    <x v="52"/>
    <x v="12"/>
    <s v="FIFA Referees"/>
    <s v="3 laptops to connect each to 2 TVs via HDMI - to stream matches via FDP"/>
    <s v="Telco/SIM"/>
  </r>
  <r>
    <s v="MFDDNW"/>
    <s v="MFD Desktop - Colour - A4 - Network"/>
    <x v="2"/>
    <s v=""/>
    <s v="General Internet Access"/>
    <x v="2"/>
    <x v="2"/>
    <n v="1"/>
    <n v="1"/>
    <n v="0"/>
    <n v="1"/>
    <n v="1"/>
    <n v="0"/>
    <s v="LOC IT"/>
    <x v="0"/>
    <x v="25"/>
    <x v="47"/>
    <x v="12"/>
    <s v="FIFA Referees"/>
    <m/>
    <s v="EU"/>
  </r>
  <r>
    <s v="SIMDOM"/>
    <s v="SIM - Domestic"/>
    <x v="7"/>
    <s v=""/>
    <s v=""/>
    <x v="19"/>
    <x v="19"/>
    <n v="0"/>
    <n v="0"/>
    <n v="20"/>
    <n v="20"/>
    <n v="0"/>
    <n v="20"/>
    <s v="LOC IT"/>
    <x v="0"/>
    <x v="25"/>
    <x v="47"/>
    <x v="12"/>
    <s v="FIFA Referees"/>
    <m/>
    <s v="Telco/SIM"/>
  </r>
  <r>
    <s v="MFDDNW"/>
    <s v="MFD Desktop - Colour - A4 - Network"/>
    <x v="2"/>
    <s v=""/>
    <s v="General Internet Access"/>
    <x v="2"/>
    <x v="2"/>
    <n v="1"/>
    <n v="1"/>
    <n v="0"/>
    <n v="1"/>
    <n v="1"/>
    <n v="0"/>
    <s v="LOC IT"/>
    <x v="0"/>
    <x v="25"/>
    <x v="50"/>
    <x v="12"/>
    <s v="FIFA Referees"/>
    <m/>
    <s v="EU"/>
  </r>
  <r>
    <s v="MFDLNW"/>
    <s v="MFD Large - Colour - A3 - Network"/>
    <x v="2"/>
    <s v=""/>
    <s v="General Internet Access"/>
    <x v="34"/>
    <x v="34"/>
    <n v="1"/>
    <n v="1"/>
    <n v="0"/>
    <n v="1"/>
    <n v="1"/>
    <n v="0"/>
    <s v="LOC IT"/>
    <x v="0"/>
    <x v="25"/>
    <x v="48"/>
    <x v="12"/>
    <s v="FIFA Referees"/>
    <m/>
    <s v="EU"/>
  </r>
  <r>
    <s v="Proj6k"/>
    <s v="Office Projector - 6K"/>
    <x v="5"/>
    <s v=""/>
    <s v=""/>
    <x v="26"/>
    <x v="26"/>
    <n v="1"/>
    <n v="0"/>
    <n v="0"/>
    <n v="1"/>
    <n v="0"/>
    <n v="0"/>
    <s v="LOC IT"/>
    <x v="0"/>
    <x v="25"/>
    <x v="46"/>
    <x v="12"/>
    <s v="FIFA Referees"/>
    <m/>
    <s v="EU"/>
  </r>
  <r>
    <s v="TVLGIP"/>
    <s v="TV - Large - IPTV"/>
    <x v="3"/>
    <s v=""/>
    <s v=""/>
    <x v="5"/>
    <x v="5"/>
    <n v="2"/>
    <n v="2"/>
    <n v="0"/>
    <n v="2"/>
    <n v="2"/>
    <n v="0"/>
    <s v="LOC IT"/>
    <x v="0"/>
    <x v="25"/>
    <x v="47"/>
    <x v="12"/>
    <s v="FIFA Referees"/>
    <m/>
    <s v="AV"/>
  </r>
  <r>
    <s v="TVLGIP"/>
    <s v="TV - Large - IPTV"/>
    <x v="3"/>
    <s v=""/>
    <s v=""/>
    <x v="5"/>
    <x v="5"/>
    <n v="2"/>
    <n v="2"/>
    <n v="0"/>
    <n v="2"/>
    <n v="2"/>
    <n v="0"/>
    <s v="LOC IT"/>
    <x v="0"/>
    <x v="25"/>
    <x v="48"/>
    <x v="12"/>
    <s v="FIFA Referees"/>
    <m/>
    <s v="AV"/>
  </r>
  <r>
    <s v="TVLGIP"/>
    <s v="TV - Large - IPTV"/>
    <x v="3"/>
    <s v=""/>
    <s v=""/>
    <x v="5"/>
    <x v="5"/>
    <n v="1"/>
    <n v="1"/>
    <n v="0"/>
    <n v="1"/>
    <n v="1"/>
    <n v="0"/>
    <s v="LOC IT"/>
    <x v="0"/>
    <x v="25"/>
    <x v="49"/>
    <x v="12"/>
    <s v="FIFA Referees"/>
    <m/>
    <s v="AV"/>
  </r>
  <r>
    <s v="TVLGIP"/>
    <s v="TV - Large - IPTV"/>
    <x v="3"/>
    <s v=""/>
    <s v=""/>
    <x v="5"/>
    <x v="5"/>
    <n v="2"/>
    <n v="2"/>
    <n v="0"/>
    <n v="2"/>
    <n v="2"/>
    <n v="0"/>
    <s v="LOC IT"/>
    <x v="0"/>
    <x v="25"/>
    <x v="50"/>
    <x v="12"/>
    <s v="FIFA Referees"/>
    <m/>
    <s v="AV"/>
  </r>
  <r>
    <s v="TVLGIP"/>
    <s v="TV - Large - IPTV"/>
    <x v="3"/>
    <s v=""/>
    <s v=""/>
    <x v="5"/>
    <x v="5"/>
    <n v="1"/>
    <n v="1"/>
    <n v="0"/>
    <n v="1"/>
    <n v="1"/>
    <n v="0"/>
    <s v="LOC IT"/>
    <x v="0"/>
    <x v="25"/>
    <x v="46"/>
    <x v="12"/>
    <s v="FIFA Referees"/>
    <m/>
    <s v="AV"/>
  </r>
  <r>
    <s v="TVLGIP"/>
    <s v="TV - Large - IPTV"/>
    <x v="3"/>
    <s v=""/>
    <s v=""/>
    <x v="5"/>
    <x v="5"/>
    <n v="2"/>
    <n v="2"/>
    <n v="0"/>
    <n v="2"/>
    <n v="2"/>
    <n v="0"/>
    <s v="LOC IT"/>
    <x v="0"/>
    <x v="25"/>
    <x v="53"/>
    <x v="12"/>
    <s v="FIFA Referees"/>
    <m/>
    <s v="AV"/>
  </r>
  <r>
    <s v="TVLGSA"/>
    <s v="TV - Large - Standalone"/>
    <x v="5"/>
    <s v=""/>
    <s v=""/>
    <x v="15"/>
    <x v="15"/>
    <n v="1"/>
    <n v="0"/>
    <n v="0"/>
    <n v="1"/>
    <n v="0"/>
    <n v="0"/>
    <s v="LOC IT"/>
    <x v="0"/>
    <x v="26"/>
    <x v="51"/>
    <x v="12"/>
    <s v="FIFA Referees"/>
    <s v="pitch 11-12"/>
    <s v="AV"/>
  </r>
  <r>
    <s v="TVSTND"/>
    <s v="TV Stand - Medium &amp; Large TVs"/>
    <x v="0"/>
    <s v=""/>
    <s v=""/>
    <x v="6"/>
    <x v="6"/>
    <n v="2"/>
    <n v="0"/>
    <n v="0"/>
    <n v="2"/>
    <n v="0"/>
    <n v="0"/>
    <s v="LOC IT"/>
    <x v="0"/>
    <x v="25"/>
    <x v="47"/>
    <x v="12"/>
    <s v="FIFA Referees"/>
    <m/>
    <s v="AV"/>
  </r>
  <r>
    <s v="TVSTND"/>
    <s v="TV Stand - Medium &amp; Large TVs"/>
    <x v="0"/>
    <s v=""/>
    <s v=""/>
    <x v="6"/>
    <x v="6"/>
    <n v="1"/>
    <n v="0"/>
    <n v="0"/>
    <n v="1"/>
    <n v="0"/>
    <n v="0"/>
    <s v="LOC IT"/>
    <x v="0"/>
    <x v="26"/>
    <x v="51"/>
    <x v="12"/>
    <s v="FIFA Referees"/>
    <m/>
    <s v="AV"/>
  </r>
  <r>
    <s v="TVSTND"/>
    <s v="TV Stand - Medium &amp; Large TVs"/>
    <x v="0"/>
    <s v=""/>
    <s v=""/>
    <x v="6"/>
    <x v="6"/>
    <n v="2"/>
    <n v="0"/>
    <n v="0"/>
    <n v="2"/>
    <n v="0"/>
    <n v="0"/>
    <s v="LOC IT"/>
    <x v="0"/>
    <x v="25"/>
    <x v="48"/>
    <x v="12"/>
    <s v="FIFA Referees"/>
    <m/>
    <s v="AV"/>
  </r>
  <r>
    <s v="TVSTND"/>
    <s v="TV Stand - Medium &amp; Large TVs"/>
    <x v="0"/>
    <s v=""/>
    <s v=""/>
    <x v="6"/>
    <x v="6"/>
    <n v="1"/>
    <n v="0"/>
    <n v="0"/>
    <n v="1"/>
    <n v="0"/>
    <n v="0"/>
    <s v="LOC IT"/>
    <x v="0"/>
    <x v="25"/>
    <x v="49"/>
    <x v="12"/>
    <s v="FIFA Referees"/>
    <m/>
    <s v="AV"/>
  </r>
  <r>
    <s v="TVSTND"/>
    <s v="TV Stand - Medium &amp; Large TVs"/>
    <x v="0"/>
    <s v=""/>
    <s v=""/>
    <x v="6"/>
    <x v="6"/>
    <n v="2"/>
    <n v="0"/>
    <n v="0"/>
    <n v="2"/>
    <n v="0"/>
    <n v="0"/>
    <s v="LOC IT"/>
    <x v="0"/>
    <x v="25"/>
    <x v="50"/>
    <x v="12"/>
    <s v="FIFA Referees"/>
    <m/>
    <s v="AV"/>
  </r>
  <r>
    <s v="TVSTND"/>
    <s v="TV Stand - Medium &amp; Large TVs"/>
    <x v="0"/>
    <s v=""/>
    <s v=""/>
    <x v="6"/>
    <x v="6"/>
    <n v="1"/>
    <n v="0"/>
    <n v="0"/>
    <n v="1"/>
    <n v="0"/>
    <n v="0"/>
    <s v="LOC IT"/>
    <x v="0"/>
    <x v="25"/>
    <x v="46"/>
    <x v="12"/>
    <s v="FIFA Referees"/>
    <m/>
    <s v="AV"/>
  </r>
  <r>
    <s v="TVSTND"/>
    <s v="TV Stand - Medium &amp; Large TVs"/>
    <x v="0"/>
    <s v=""/>
    <s v=""/>
    <x v="6"/>
    <x v="6"/>
    <n v="2"/>
    <n v="0"/>
    <n v="0"/>
    <n v="2"/>
    <n v="0"/>
    <n v="0"/>
    <s v="LOC IT"/>
    <x v="0"/>
    <x v="25"/>
    <x v="53"/>
    <x v="12"/>
    <s v="FIFA Referees"/>
    <m/>
    <s v="AV"/>
  </r>
  <r>
    <s v="WDF100"/>
    <s v="Wired Port - 100Mbps - guaranteed"/>
    <x v="1"/>
    <s v=""/>
    <s v="FIFA Technical Internet Access"/>
    <x v="35"/>
    <x v="35"/>
    <n v="1"/>
    <n v="1"/>
    <n v="0"/>
    <n v="1"/>
    <n v="1"/>
    <n v="0"/>
    <s v="LOC IT"/>
    <x v="0"/>
    <x v="25"/>
    <x v="47"/>
    <x v="12"/>
    <s v="FIFA Referees"/>
    <s v="LOC: Can we add a switch in the room?"/>
    <s v="NW"/>
  </r>
  <r>
    <s v="WRDGEN"/>
    <s v="Wired Port - General Internet "/>
    <x v="1"/>
    <s v=""/>
    <s v="General Internet Access"/>
    <x v="8"/>
    <x v="8"/>
    <n v="2"/>
    <n v="2"/>
    <n v="0"/>
    <n v="2"/>
    <n v="2"/>
    <n v="0"/>
    <s v="LOC IT"/>
    <x v="0"/>
    <x v="25"/>
    <x v="46"/>
    <x v="12"/>
    <s v="FIFA Referees"/>
    <m/>
    <s v="NW"/>
  </r>
  <r>
    <s v="IS00WF"/>
    <s v="Wireless coverage - Shared Internet Service - Wi-Fi FIFA"/>
    <x v="1"/>
    <s v=""/>
    <s v="General Internet Access"/>
    <x v="1"/>
    <x v="1"/>
    <n v="1"/>
    <n v="0"/>
    <n v="0"/>
    <n v="1"/>
    <n v="0"/>
    <n v="0"/>
    <s v="LOC IT"/>
    <x v="0"/>
    <x v="27"/>
    <x v="54"/>
    <x v="13"/>
    <s v="FIFA Security"/>
    <s v="any other internet availables via Wi-Fi"/>
    <s v="NW"/>
  </r>
  <r>
    <s v="IS00WF"/>
    <s v="Wireless coverage - Shared Internet Service - Wi-Fi FIFA"/>
    <x v="1"/>
    <s v=""/>
    <s v="General Internet Access"/>
    <x v="1"/>
    <x v="1"/>
    <n v="1"/>
    <n v="0"/>
    <n v="0"/>
    <n v="1"/>
    <n v="0"/>
    <n v="0"/>
    <s v="LOC IT"/>
    <x v="1"/>
    <x v="28"/>
    <x v="54"/>
    <x v="13"/>
    <s v="FIFA Security"/>
    <m/>
    <s v="NW"/>
  </r>
  <r>
    <s v="IS00WS"/>
    <s v="Wireless coverage - Shared Internet Service - Wi-Fi FOOTBALL"/>
    <x v="1"/>
    <s v=""/>
    <s v="VIP Internet Access"/>
    <x v="36"/>
    <x v="36"/>
    <n v="1"/>
    <n v="0"/>
    <n v="0"/>
    <n v="8"/>
    <n v="0"/>
    <n v="0"/>
    <s v="LOC IT"/>
    <x v="0"/>
    <x v="12"/>
    <x v="55"/>
    <x v="14"/>
    <s v="FIFA Team Services"/>
    <s v="Wi-Fi for each dressing room / pitch"/>
    <s v="NW"/>
  </r>
  <r>
    <s v="IS00WS"/>
    <s v="Wireless coverage - Shared Internet Service - Wi-Fi FOOTBALL"/>
    <x v="1"/>
    <s v=""/>
    <s v="VIP Internet Access"/>
    <x v="36"/>
    <x v="36"/>
    <n v="1"/>
    <n v="0"/>
    <n v="0"/>
    <n v="1"/>
    <n v="0"/>
    <n v="0"/>
    <s v="LOC IT"/>
    <x v="0"/>
    <x v="12"/>
    <x v="56"/>
    <x v="14"/>
    <s v="FIFA Team Services"/>
    <m/>
    <s v="NW"/>
  </r>
  <r>
    <s v="IS00WS"/>
    <s v="Wireless coverage - Shared Internet Service - Wi-Fi FOOTBALL"/>
    <x v="1"/>
    <s v=""/>
    <s v="VIP Internet Access"/>
    <x v="36"/>
    <x v="36"/>
    <n v="1"/>
    <n v="0"/>
    <n v="0"/>
    <n v="1"/>
    <n v="0"/>
    <n v="0"/>
    <s v="LOC IT"/>
    <x v="1"/>
    <x v="12"/>
    <x v="55"/>
    <x v="14"/>
    <s v="FIFA Team Services"/>
    <m/>
    <s v="NW"/>
  </r>
  <r>
    <s v="LAPPRE"/>
    <s v="Laptop - Presentation Build"/>
    <x v="4"/>
    <s v="Single"/>
    <s v=""/>
    <x v="11"/>
    <x v="11"/>
    <n v="1"/>
    <n v="0"/>
    <n v="0"/>
    <n v="1"/>
    <n v="0"/>
    <n v="0"/>
    <s v="FIFA Event Technology"/>
    <x v="0"/>
    <x v="10"/>
    <x v="1"/>
    <x v="14"/>
    <s v="FIFA Team Services"/>
    <m/>
    <s v="EU"/>
  </r>
  <r>
    <s v="DSKMNT"/>
    <s v="24&quot; Monitor - HDMI/DP"/>
    <x v="0"/>
    <s v=""/>
    <s v=""/>
    <x v="0"/>
    <x v="0"/>
    <n v="2"/>
    <n v="0"/>
    <n v="0"/>
    <n v="2"/>
    <n v="0"/>
    <n v="0"/>
    <s v="LOC IT"/>
    <x v="0"/>
    <x v="10"/>
    <x v="1"/>
    <x v="15"/>
    <s v="FIFA Transport"/>
    <m/>
    <s v="EU"/>
  </r>
  <r>
    <s v="TABLEN"/>
    <s v="Tablet - FIFA Professional Tablet + 4G"/>
    <x v="4"/>
    <s v="Single"/>
    <s v=""/>
    <x v="7"/>
    <x v="7"/>
    <n v="2"/>
    <n v="0"/>
    <n v="2"/>
    <n v="2"/>
    <n v="0"/>
    <n v="2"/>
    <s v="FIFA Event Technology"/>
    <x v="0"/>
    <x v="10"/>
    <x v="1"/>
    <x v="15"/>
    <s v="FIFA Transport"/>
    <m/>
    <s v="EU"/>
  </r>
  <r>
    <s v="DSKMNT"/>
    <s v="24&quot; Monitor - HDMI/DP"/>
    <x v="0"/>
    <s v=""/>
    <s v=""/>
    <x v="0"/>
    <x v="0"/>
    <n v="2"/>
    <n v="0"/>
    <n v="0"/>
    <n v="2"/>
    <n v="0"/>
    <n v="0"/>
    <s v="LOC IT"/>
    <x v="0"/>
    <x v="10"/>
    <x v="1"/>
    <x v="16"/>
    <s v="FIFA Travel"/>
    <m/>
    <s v="EU"/>
  </r>
  <r>
    <s v="IS00WF"/>
    <s v="Wireless coverage - Shared Internet Service - Wi-Fi FIFA"/>
    <x v="1"/>
    <s v=""/>
    <s v="General Internet Access"/>
    <x v="1"/>
    <x v="1"/>
    <n v="1"/>
    <n v="0"/>
    <n v="0"/>
    <n v="1"/>
    <n v="0"/>
    <n v="0"/>
    <s v="LOC IT"/>
    <x v="0"/>
    <x v="10"/>
    <x v="1"/>
    <x v="17"/>
    <s v="FIFA Venue Management"/>
    <m/>
    <s v="NW"/>
  </r>
  <r>
    <s v="IS00WF"/>
    <s v="Wireless coverage - Shared Internet Service - Wi-Fi FIFA"/>
    <x v="1"/>
    <s v=""/>
    <s v="General Internet Access"/>
    <x v="1"/>
    <x v="1"/>
    <n v="1"/>
    <n v="0"/>
    <n v="0"/>
    <n v="1"/>
    <n v="0"/>
    <n v="0"/>
    <s v="LOC IT"/>
    <x v="1"/>
    <x v="8"/>
    <x v="57"/>
    <x v="17"/>
    <s v="FIFA Venue Management"/>
    <m/>
    <s v="NW"/>
  </r>
  <r>
    <s v="MFDLNW"/>
    <s v="MFD Large - Colour - A3 - Network"/>
    <x v="2"/>
    <s v=""/>
    <s v="General Internet Access"/>
    <x v="34"/>
    <x v="34"/>
    <n v="1"/>
    <n v="1"/>
    <n v="0"/>
    <n v="1"/>
    <n v="1"/>
    <n v="0"/>
    <s v="LOC IT"/>
    <x v="0"/>
    <x v="10"/>
    <x v="1"/>
    <x v="17"/>
    <s v="FIFA Venue Management"/>
    <s v="L2 general office"/>
    <s v="EU"/>
  </r>
  <r>
    <s v="MFDDNW"/>
    <s v="MFD Desktop - Colour - A4 - Network"/>
    <x v="2"/>
    <s v=""/>
    <s v="General Internet Access"/>
    <x v="2"/>
    <x v="2"/>
    <n v="1"/>
    <n v="1"/>
    <n v="0"/>
    <n v="1"/>
    <n v="1"/>
    <n v="0"/>
    <s v="LOC IT"/>
    <x v="1"/>
    <x v="8"/>
    <x v="57"/>
    <x v="17"/>
    <s v="FIFA Venue Management"/>
    <m/>
    <s v="EU"/>
  </r>
  <r>
    <s v="RADIO"/>
    <s v="Radio PMR In Stadium"/>
    <x v="9"/>
    <s v=""/>
    <s v=""/>
    <x v="37"/>
    <x v="37"/>
    <n v="50"/>
    <n v="0"/>
    <n v="0"/>
    <n v="50"/>
    <n v="0"/>
    <n v="0"/>
    <s v="LOC IT"/>
    <x v="0"/>
    <x v="29"/>
    <x v="58"/>
    <x v="17"/>
    <s v="FIFA Venue Management"/>
    <m/>
    <s v="TETRA"/>
  </r>
  <r>
    <s v="IS00WF"/>
    <s v="Wireless coverage - Shared Internet Service - Wi-Fi FIFA"/>
    <x v="1"/>
    <s v=""/>
    <s v="General Internet Access"/>
    <x v="1"/>
    <x v="1"/>
    <n v="1"/>
    <n v="0"/>
    <n v="0"/>
    <n v="1"/>
    <n v="0"/>
    <n v="0"/>
    <s v="LOC IT"/>
    <x v="0"/>
    <x v="30"/>
    <x v="59"/>
    <x v="18"/>
    <s v="FIFA Volunteer"/>
    <m/>
    <s v="NW"/>
  </r>
  <r>
    <s v="LAPEVT"/>
    <s v="Laptop - FIFA Event Build"/>
    <x v="4"/>
    <s v="Single"/>
    <s v=""/>
    <x v="17"/>
    <x v="17"/>
    <n v="2"/>
    <n v="0"/>
    <n v="0"/>
    <n v="3"/>
    <n v="0"/>
    <n v="0"/>
    <s v="FIFA Event Technology"/>
    <x v="0"/>
    <x v="30"/>
    <x v="59"/>
    <x v="18"/>
    <s v="FIFA Volunteer"/>
    <m/>
    <s v="EU"/>
  </r>
  <r>
    <s v="MFDDNW"/>
    <s v="MFD Desktop - Colour - A4 - Network"/>
    <x v="2"/>
    <s v=""/>
    <s v="General Internet Access"/>
    <x v="2"/>
    <x v="2"/>
    <n v="1"/>
    <n v="1"/>
    <n v="0"/>
    <n v="1"/>
    <n v="1"/>
    <n v="0"/>
    <s v="LOC IT"/>
    <x v="0"/>
    <x v="30"/>
    <x v="59"/>
    <x v="18"/>
    <s v="FIFA Volunteer"/>
    <m/>
    <s v="EU"/>
  </r>
  <r>
    <s v="TABLEN"/>
    <s v="Tablet - FIFA Professional Tablet + 4G"/>
    <x v="4"/>
    <s v="Single"/>
    <s v=""/>
    <x v="7"/>
    <x v="7"/>
    <n v="2"/>
    <n v="0"/>
    <n v="2"/>
    <n v="2"/>
    <n v="0"/>
    <n v="2"/>
    <s v="FIFA Event Technology"/>
    <x v="0"/>
    <x v="30"/>
    <x v="59"/>
    <x v="18"/>
    <s v="FIFA Volunteer"/>
    <m/>
    <s v="EU"/>
  </r>
  <r>
    <s v="TELMOB"/>
    <s v="Telephone - Mobile - Smart Phone"/>
    <x v="7"/>
    <s v="Single"/>
    <s v=""/>
    <x v="21"/>
    <x v="21"/>
    <n v="1"/>
    <n v="0"/>
    <n v="1"/>
    <n v="1"/>
    <n v="0"/>
    <n v="1"/>
    <s v="FIFA Event Technology"/>
    <x v="0"/>
    <x v="30"/>
    <x v="59"/>
    <x v="18"/>
    <s v="FIFA Volunteer"/>
    <s v="Hotline"/>
    <s v="Telco/SIM"/>
  </r>
  <r>
    <s v="TELMOB"/>
    <s v="Telephone - Mobile - Smart Phone"/>
    <x v="7"/>
    <s v="Single"/>
    <s v=""/>
    <x v="21"/>
    <x v="21"/>
    <n v="1"/>
    <n v="0"/>
    <n v="1"/>
    <n v="1"/>
    <n v="0"/>
    <n v="1"/>
    <s v="FIFA Event Technology"/>
    <x v="0"/>
    <x v="30"/>
    <x v="59"/>
    <x v="18"/>
    <s v="FIFA Volunteer"/>
    <s v="Freelancer"/>
    <s v="Telco/SIM"/>
  </r>
  <r>
    <s v="TVLGIP"/>
    <s v="TV - Large - IPTV"/>
    <x v="3"/>
    <s v=""/>
    <s v=""/>
    <x v="5"/>
    <x v="5"/>
    <n v="1"/>
    <n v="1"/>
    <n v="0"/>
    <n v="1"/>
    <n v="1"/>
    <n v="0"/>
    <s v="LOC IT"/>
    <x v="0"/>
    <x v="30"/>
    <x v="59"/>
    <x v="18"/>
    <s v="FIFA Volunteer"/>
    <m/>
    <s v="AV"/>
  </r>
  <r>
    <s v="TVSTND"/>
    <s v="TV Stand - Medium &amp; Large TVs"/>
    <x v="0"/>
    <s v=""/>
    <s v=""/>
    <x v="6"/>
    <x v="6"/>
    <n v="1"/>
    <n v="0"/>
    <n v="0"/>
    <n v="1"/>
    <n v="0"/>
    <n v="0"/>
    <s v="LOC IT"/>
    <x v="0"/>
    <x v="30"/>
    <x v="59"/>
    <x v="18"/>
    <s v="FIFA Volunteer"/>
    <m/>
    <s v="AV"/>
  </r>
  <r>
    <s v="DSKMNT"/>
    <s v="24&quot; Monitor - HDMI/DP"/>
    <x v="0"/>
    <s v=""/>
    <s v=""/>
    <x v="0"/>
    <x v="0"/>
    <n v="1"/>
    <n v="0"/>
    <n v="0"/>
    <n v="1"/>
    <n v="0"/>
    <n v="0"/>
    <s v="LOC IT"/>
    <x v="0"/>
    <x v="10"/>
    <x v="1"/>
    <x v="19"/>
    <s v="FIFA Workforce"/>
    <m/>
    <s v="EU"/>
  </r>
  <r>
    <s v="IS00WF"/>
    <s v="Wireless coverage - Shared Internet Service - Wi-Fi FIFA"/>
    <x v="1"/>
    <s v=""/>
    <s v="General Internet Access"/>
    <x v="1"/>
    <x v="1"/>
    <n v="1"/>
    <n v="0"/>
    <n v="0"/>
    <n v="1"/>
    <n v="0"/>
    <n v="0"/>
    <s v="LOC IT"/>
    <x v="1"/>
    <x v="31"/>
    <x v="1"/>
    <x v="19"/>
    <s v="FIFA Workforce"/>
    <m/>
    <s v="NW"/>
  </r>
  <r>
    <s v="IS00WF"/>
    <s v="Wireless coverage - Shared Internet Service - Wi-Fi FIFA"/>
    <x v="1"/>
    <s v=""/>
    <s v="General Internet Access"/>
    <x v="1"/>
    <x v="1"/>
    <n v="1"/>
    <n v="0"/>
    <n v="0"/>
    <n v="1"/>
    <n v="0"/>
    <n v="0"/>
    <s v="LOC IT"/>
    <x v="0"/>
    <x v="10"/>
    <x v="1"/>
    <x v="19"/>
    <s v="FIFA Workforce"/>
    <m/>
    <s v="NW"/>
  </r>
  <r>
    <s v="IS00WF"/>
    <s v="Wireless coverage - Shared Internet Service - Wi-Fi FIFA"/>
    <x v="1"/>
    <s v=""/>
    <s v="General Internet Access"/>
    <x v="1"/>
    <x v="1"/>
    <n v="1"/>
    <n v="0"/>
    <n v="0"/>
    <n v="1"/>
    <n v="0"/>
    <n v="0"/>
    <s v="LOC IT"/>
    <x v="0"/>
    <x v="30"/>
    <x v="60"/>
    <x v="19"/>
    <s v="FIFA Workforce"/>
    <m/>
    <s v="NW"/>
  </r>
  <r>
    <s v="IS00WF"/>
    <s v="Wireless coverage - Shared Internet Service - Wi-Fi FIFA"/>
    <x v="1"/>
    <s v=""/>
    <s v="General Internet Access"/>
    <x v="1"/>
    <x v="1"/>
    <n v="1"/>
    <n v="0"/>
    <n v="0"/>
    <n v="1"/>
    <n v="0"/>
    <n v="0"/>
    <s v="LOC IT"/>
    <x v="0"/>
    <x v="10"/>
    <x v="61"/>
    <x v="19"/>
    <s v="FIFA Workforce"/>
    <s v="if possible"/>
    <s v="NW"/>
  </r>
  <r>
    <s v="IS00WF"/>
    <s v="Wireless coverage - Shared Internet Service - Wi-Fi FIFA"/>
    <x v="1"/>
    <s v=""/>
    <s v="General Internet Access"/>
    <x v="1"/>
    <x v="1"/>
    <n v="1"/>
    <n v="0"/>
    <n v="0"/>
    <n v="1"/>
    <n v="0"/>
    <n v="0"/>
    <s v="LOC IT"/>
    <x v="0"/>
    <x v="10"/>
    <x v="62"/>
    <x v="19"/>
    <s v="FIFA Workforce"/>
    <m/>
    <s v="NW"/>
  </r>
  <r>
    <s v="IS00WF"/>
    <s v="Wireless coverage - Shared Internet Service - Wi-Fi FIFA"/>
    <x v="1"/>
    <s v=""/>
    <s v="General Internet Access"/>
    <x v="1"/>
    <x v="1"/>
    <n v="1"/>
    <n v="0"/>
    <n v="0"/>
    <n v="1"/>
    <n v="0"/>
    <n v="0"/>
    <s v="LOC IT"/>
    <x v="0"/>
    <x v="30"/>
    <x v="63"/>
    <x v="19"/>
    <s v="FIFA Workforce"/>
    <s v="if possible"/>
    <s v="NW"/>
  </r>
  <r>
    <s v="TVLGIP"/>
    <s v="TV - Large - IPTV"/>
    <x v="3"/>
    <s v=""/>
    <s v=""/>
    <x v="5"/>
    <x v="5"/>
    <n v="2"/>
    <n v="4"/>
    <n v="0"/>
    <n v="4"/>
    <n v="4"/>
    <n v="0"/>
    <s v="LOC IT"/>
    <x v="0"/>
    <x v="10"/>
    <x v="1"/>
    <x v="19"/>
    <s v="FIFA Workforce"/>
    <s v="4 games simultaneous"/>
    <s v="AV"/>
  </r>
  <r>
    <s v="TVLGSA"/>
    <s v="TV - Large - Standalone"/>
    <x v="5"/>
    <s v=""/>
    <s v=""/>
    <x v="15"/>
    <x v="15"/>
    <n v="1"/>
    <n v="0"/>
    <n v="0"/>
    <n v="1"/>
    <n v="0"/>
    <n v="0"/>
    <s v="LOC IT"/>
    <x v="0"/>
    <x v="10"/>
    <x v="1"/>
    <x v="19"/>
    <s v="FIFA Workforce"/>
    <s v="TBC Meeting rooms"/>
    <s v="AV"/>
  </r>
  <r>
    <s v="TVSTND"/>
    <s v="TV Stand - Medium &amp; Large TVs"/>
    <x v="0"/>
    <s v=""/>
    <s v=""/>
    <x v="6"/>
    <x v="6"/>
    <n v="3"/>
    <n v="0"/>
    <n v="0"/>
    <n v="5"/>
    <n v="0"/>
    <n v="0"/>
    <s v="LOC IT"/>
    <x v="0"/>
    <x v="10"/>
    <x v="1"/>
    <x v="19"/>
    <s v="FIFA Workforce"/>
    <m/>
    <s v="AV"/>
  </r>
  <r>
    <s v="IS00WF"/>
    <s v="Wireless coverage - Shared Internet Service - Wi-Fi FIFA"/>
    <x v="1"/>
    <s v=""/>
    <s v="General Internet Access"/>
    <x v="1"/>
    <x v="1"/>
    <n v="1"/>
    <n v="0"/>
    <n v="0"/>
    <n v="1"/>
    <n v="0"/>
    <n v="0"/>
    <s v="LOC IT"/>
    <x v="0"/>
    <x v="30"/>
    <x v="64"/>
    <x v="20"/>
    <s v="Partner Rights Delivery"/>
    <m/>
    <s v="NW"/>
  </r>
  <r>
    <s v="IS00WF"/>
    <s v="Wireless coverage - Shared Internet Service - Wi-Fi FIFA"/>
    <x v="1"/>
    <s v=""/>
    <s v="General Internet Access"/>
    <x v="1"/>
    <x v="1"/>
    <n v="1"/>
    <n v="0"/>
    <n v="0"/>
    <n v="1"/>
    <n v="0"/>
    <n v="0"/>
    <s v="LOC IT"/>
    <x v="0"/>
    <x v="32"/>
    <x v="65"/>
    <x v="20"/>
    <s v="Partner Rights Delivery"/>
    <s v="Can be 4G too. Position 5 on the map"/>
    <s v="NW"/>
  </r>
  <r>
    <s v="IS00WF"/>
    <s v="Wireless coverage - Shared Internet Service - Wi-Fi FIFA"/>
    <x v="1"/>
    <s v=""/>
    <s v="General Internet Access"/>
    <x v="1"/>
    <x v="1"/>
    <n v="1"/>
    <n v="0"/>
    <n v="0"/>
    <n v="1"/>
    <n v="0"/>
    <n v="0"/>
    <s v="LOC IT"/>
    <x v="0"/>
    <x v="32"/>
    <x v="66"/>
    <x v="20"/>
    <s v="Partner Rights Delivery"/>
    <s v="Can be 4G too. Position 5 on the map"/>
    <s v="NW"/>
  </r>
  <r>
    <s v="IS00WF"/>
    <s v="Wireless coverage - Shared Internet Service - Wi-Fi FIFA"/>
    <x v="1"/>
    <s v=""/>
    <s v="General Internet Access"/>
    <x v="1"/>
    <x v="1"/>
    <n v="1"/>
    <n v="0"/>
    <n v="0"/>
    <n v="1"/>
    <n v="0"/>
    <n v="0"/>
    <s v="LOC IT"/>
    <x v="0"/>
    <x v="32"/>
    <x v="67"/>
    <x v="20"/>
    <s v="Partner Rights Delivery"/>
    <s v="Can be 4G too. Position 5 on the map"/>
    <s v="NW"/>
  </r>
  <r>
    <s v="ITSIBU"/>
    <s v="IT Solution - 4G Internet backup "/>
    <x v="6"/>
    <s v=""/>
    <s v=""/>
    <x v="16"/>
    <x v="16"/>
    <n v="4"/>
    <n v="0"/>
    <n v="1"/>
    <n v="1"/>
    <n v="0"/>
    <n v="1"/>
    <s v="LOC IT"/>
    <x v="1"/>
    <x v="32"/>
    <x v="68"/>
    <x v="20"/>
    <s v="Partner Rights Delivery"/>
    <s v="TBC if activated"/>
    <s v="NW"/>
  </r>
  <r>
    <s v="TVLGIP"/>
    <s v="TV - Large - IPTV"/>
    <x v="3"/>
    <s v=""/>
    <s v=""/>
    <x v="5"/>
    <x v="5"/>
    <n v="1"/>
    <n v="1"/>
    <n v="0"/>
    <n v="1"/>
    <n v="1"/>
    <n v="0"/>
    <s v="LOC IT"/>
    <x v="0"/>
    <x v="30"/>
    <x v="64"/>
    <x v="20"/>
    <s v="Partner Rights Delivery"/>
    <m/>
    <s v="AV"/>
  </r>
  <r>
    <s v="TVSTND"/>
    <s v="TV Stand - Medium &amp; Large TVs"/>
    <x v="0"/>
    <s v=""/>
    <s v=""/>
    <x v="6"/>
    <x v="6"/>
    <n v="1"/>
    <n v="0"/>
    <n v="0"/>
    <n v="1"/>
    <n v="0"/>
    <n v="0"/>
    <s v="LOC IT"/>
    <x v="0"/>
    <x v="30"/>
    <x v="64"/>
    <x v="20"/>
    <s v="Partner Rights Delivery"/>
    <m/>
    <s v="AV"/>
  </r>
  <r>
    <s v="WRDMED"/>
    <s v="Wired Port - Media Internet"/>
    <x v="1"/>
    <s v=""/>
    <s v="Media Internet Access Media"/>
    <x v="3"/>
    <x v="3"/>
    <n v="1"/>
    <n v="1"/>
    <n v="0"/>
    <n v="1"/>
    <n v="1"/>
    <n v="0"/>
    <s v="LOC IT"/>
    <x v="1"/>
    <x v="18"/>
    <x v="69"/>
    <x v="20"/>
    <s v="Partner Rights Delivery"/>
    <s v="to be kept for the Arab Cup"/>
    <s v="NW"/>
  </r>
  <r>
    <s v="TABLEN"/>
    <s v="Tablet - FIFA Professional Tablet + 4G"/>
    <x v="4"/>
    <s v="Single"/>
    <s v=""/>
    <x v="7"/>
    <x v="7"/>
    <n v="1"/>
    <n v="0"/>
    <n v="1"/>
    <n v="1"/>
    <n v="0"/>
    <n v="1"/>
    <s v="FIFA Event Technology"/>
    <x v="0"/>
    <x v="10"/>
    <x v="70"/>
    <x v="21"/>
    <s v="Safeguarding"/>
    <m/>
    <s v="EU"/>
  </r>
  <r>
    <s v="SIMDAT"/>
    <s v="SIM - Data Only"/>
    <x v="7"/>
    <s v=""/>
    <s v=""/>
    <x v="18"/>
    <x v="18"/>
    <m/>
    <n v="0"/>
    <n v="37"/>
    <n v="37"/>
    <n v="0"/>
    <n v="37"/>
    <s v="LOC IT"/>
    <x v="0"/>
    <x v="33"/>
    <x v="70"/>
    <x v="22"/>
    <s v="LOC Access Management "/>
    <m/>
    <s v="Telco/SIM"/>
  </r>
  <r>
    <s v="ITSR4G"/>
    <s v="IT Solution - Router + 4G"/>
    <x v="6"/>
    <s v=""/>
    <s v=""/>
    <x v="38"/>
    <x v="38"/>
    <m/>
    <n v="0"/>
    <n v="2"/>
    <n v="2"/>
    <n v="0"/>
    <n v="2"/>
    <s v="LOC IT"/>
    <x v="0"/>
    <x v="33"/>
    <x v="70"/>
    <x v="22"/>
    <s v="LOC Access Management "/>
    <m/>
    <s v="NW"/>
  </r>
  <r>
    <s v="SIMDAT"/>
    <s v="SIM - Data Only"/>
    <x v="7"/>
    <s v=""/>
    <s v=""/>
    <x v="18"/>
    <x v="18"/>
    <m/>
    <n v="0"/>
    <n v="90"/>
    <n v="90"/>
    <n v="0"/>
    <n v="90"/>
    <s v="LOC IT"/>
    <x v="1"/>
    <x v="33"/>
    <x v="70"/>
    <x v="22"/>
    <s v="LOC Access Management "/>
    <m/>
    <s v="Telco/SIM"/>
  </r>
  <r>
    <s v="ITSR4G"/>
    <s v="IT Solution - Router + 4G"/>
    <x v="6"/>
    <s v=""/>
    <s v=""/>
    <x v="38"/>
    <x v="38"/>
    <m/>
    <n v="0"/>
    <n v="2"/>
    <n v="2"/>
    <n v="0"/>
    <n v="2"/>
    <s v="LOC IT"/>
    <x v="1"/>
    <x v="33"/>
    <x v="70"/>
    <x v="22"/>
    <s v="LOC Access Management "/>
    <m/>
    <s v="NW"/>
  </r>
  <r>
    <s v="MFDDNW"/>
    <s v="MFD Desktop - Colour - A4 - Network"/>
    <x v="2"/>
    <s v=""/>
    <s v="General Internet Access"/>
    <x v="2"/>
    <x v="2"/>
    <m/>
    <n v="0"/>
    <n v="0"/>
    <n v="0"/>
    <n v="0"/>
    <n v="0"/>
    <s v="LOC IT"/>
    <x v="2"/>
    <x v="34"/>
    <x v="71"/>
    <x v="23"/>
    <s v="LOC Accreditation"/>
    <s v="PK 17.09: Transferred to FAC scope"/>
    <s v="EU"/>
  </r>
  <r>
    <s v="MFDLNW"/>
    <s v="MFD Large - Colour - A3 - Network"/>
    <x v="2"/>
    <s v=""/>
    <s v="General Internet Access"/>
    <x v="34"/>
    <x v="34"/>
    <m/>
    <n v="0"/>
    <n v="0"/>
    <n v="0"/>
    <n v="0"/>
    <n v="0"/>
    <s v="LOC IT"/>
    <x v="2"/>
    <x v="34"/>
    <x v="72"/>
    <x v="23"/>
    <s v="LOC Accreditation"/>
    <s v="PK 17.09: Transferred to FAC scope"/>
    <s v="EU"/>
  </r>
  <r>
    <s v="LAPEVT"/>
    <s v="Laptop - FIFA Event Build"/>
    <x v="4"/>
    <s v=""/>
    <s v=""/>
    <x v="17"/>
    <x v="17"/>
    <m/>
    <n v="0"/>
    <n v="0"/>
    <n v="0"/>
    <n v="0"/>
    <n v="0"/>
    <s v="LOC IT"/>
    <x v="2"/>
    <x v="34"/>
    <x v="71"/>
    <x v="23"/>
    <s v="LOC Accreditation"/>
    <s v="PK 17.09: Transferred to FAC scope"/>
    <s v="EU"/>
  </r>
  <r>
    <s v="ACCBAR"/>
    <s v="Barcode scanner"/>
    <x v="0"/>
    <s v=""/>
    <s v=""/>
    <x v="39"/>
    <x v="39"/>
    <m/>
    <n v="0"/>
    <n v="0"/>
    <n v="0"/>
    <n v="0"/>
    <n v="0"/>
    <s v="LOC IT"/>
    <x v="2"/>
    <x v="34"/>
    <x v="71"/>
    <x v="23"/>
    <s v="LOC Accreditation"/>
    <s v="PK 17.09: Transferred to FAC scope"/>
    <s v="EU"/>
  </r>
  <r>
    <s v="WRDGEN"/>
    <s v="Wired Port - General Internet "/>
    <x v="1"/>
    <s v=""/>
    <s v="General Internet Access"/>
    <x v="8"/>
    <x v="8"/>
    <m/>
    <n v="0"/>
    <n v="0"/>
    <n v="0"/>
    <n v="0"/>
    <n v="0"/>
    <s v="LOC IT"/>
    <x v="2"/>
    <x v="34"/>
    <x v="71"/>
    <x v="23"/>
    <s v="LOC Accreditation"/>
    <s v="PK 17.09: Transferred to FAC scope"/>
    <s v="NW"/>
  </r>
  <r>
    <s v="IS00WF"/>
    <s v="Wireless coverage - Shared Internet Service - Wi-Fi FIFA"/>
    <x v="1"/>
    <s v=""/>
    <s v="General Internet Access"/>
    <x v="1"/>
    <x v="1"/>
    <m/>
    <n v="0"/>
    <n v="0"/>
    <n v="0"/>
    <n v="0"/>
    <n v="0"/>
    <s v="LOC IT"/>
    <x v="2"/>
    <x v="34"/>
    <x v="73"/>
    <x v="23"/>
    <s v="LOC Accreditation"/>
    <s v="PK 17.09: Transferred to FAC scope"/>
    <s v="NW"/>
  </r>
  <r>
    <s v="TVLGIP"/>
    <s v="TV - Large - IPTV"/>
    <x v="3"/>
    <s v=""/>
    <s v=""/>
    <x v="5"/>
    <x v="5"/>
    <m/>
    <n v="0"/>
    <n v="0"/>
    <n v="0"/>
    <n v="0"/>
    <n v="0"/>
    <s v="LOC IT"/>
    <x v="2"/>
    <x v="34"/>
    <x v="74"/>
    <x v="23"/>
    <s v="LOC Accreditation"/>
    <s v="PK 17.09: Transferred to FAC scope"/>
    <s v="AV"/>
  </r>
  <r>
    <s v="LAPEVT"/>
    <s v="Laptop - FIFA Event Build"/>
    <x v="4"/>
    <s v=""/>
    <s v=""/>
    <x v="17"/>
    <x v="17"/>
    <m/>
    <n v="0"/>
    <n v="0"/>
    <n v="2"/>
    <n v="0"/>
    <n v="0"/>
    <s v="LOC IT"/>
    <x v="0"/>
    <x v="35"/>
    <x v="75"/>
    <x v="24"/>
    <s v="LOC Catering"/>
    <m/>
    <s v="EU"/>
  </r>
  <r>
    <s v="LAPEVT"/>
    <s v="Laptop - FIFA Event Build"/>
    <x v="4"/>
    <s v=""/>
    <s v=""/>
    <x v="17"/>
    <x v="17"/>
    <m/>
    <n v="0"/>
    <n v="0"/>
    <n v="2"/>
    <n v="0"/>
    <n v="0"/>
    <s v="LOC IT"/>
    <x v="1"/>
    <x v="33"/>
    <x v="75"/>
    <x v="24"/>
    <s v="LOC Catering"/>
    <m/>
    <s v="EU"/>
  </r>
  <r>
    <s v="ACCBAR"/>
    <s v="Barcode scanner"/>
    <x v="0"/>
    <s v=""/>
    <s v=""/>
    <x v="39"/>
    <x v="39"/>
    <m/>
    <n v="0"/>
    <n v="0"/>
    <n v="2"/>
    <n v="0"/>
    <n v="0"/>
    <s v="LOC IT"/>
    <x v="0"/>
    <x v="35"/>
    <x v="75"/>
    <x v="24"/>
    <s v="LOC Catering"/>
    <m/>
    <s v="EU"/>
  </r>
  <r>
    <s v="ACCBAR"/>
    <s v="Barcode scanner"/>
    <x v="0"/>
    <s v=""/>
    <s v=""/>
    <x v="39"/>
    <x v="39"/>
    <m/>
    <n v="0"/>
    <n v="0"/>
    <n v="2"/>
    <n v="0"/>
    <n v="0"/>
    <s v="LOC IT"/>
    <x v="1"/>
    <x v="33"/>
    <x v="75"/>
    <x v="24"/>
    <s v="LOC Catering"/>
    <m/>
    <s v="EU"/>
  </r>
  <r>
    <s v="TVLGSA"/>
    <s v="TV - Large - Standalone"/>
    <x v="5"/>
    <s v=""/>
    <s v=""/>
    <x v="15"/>
    <x v="15"/>
    <m/>
    <n v="0"/>
    <n v="0"/>
    <n v="1"/>
    <n v="0"/>
    <n v="0"/>
    <s v="LOC IT"/>
    <x v="0"/>
    <x v="36"/>
    <x v="76"/>
    <x v="25"/>
    <s v="LOC Events and Community Relations "/>
    <s v=" "/>
    <s v="EU"/>
  </r>
  <r>
    <s v="LAPEVT"/>
    <s v="Laptop - FIFA Event Build"/>
    <x v="4"/>
    <s v=""/>
    <s v=""/>
    <x v="17"/>
    <x v="17"/>
    <m/>
    <n v="0"/>
    <n v="0"/>
    <n v="2"/>
    <n v="0"/>
    <n v="0"/>
    <s v="LOC IT"/>
    <x v="0"/>
    <x v="36"/>
    <x v="76"/>
    <x v="25"/>
    <s v="LOC Events and Community Relations "/>
    <s v=" "/>
    <s v="EU"/>
  </r>
  <r>
    <s v="MFDDNW"/>
    <s v="MFD Desktop - Colour - A4 - Network"/>
    <x v="2"/>
    <s v=""/>
    <s v="General Internet Access"/>
    <x v="2"/>
    <x v="2"/>
    <m/>
    <n v="1"/>
    <n v="0"/>
    <n v="1"/>
    <n v="1"/>
    <n v="0"/>
    <s v="LOC IT"/>
    <x v="0"/>
    <x v="36"/>
    <x v="76"/>
    <x v="25"/>
    <s v="LOC Events and Community Relations "/>
    <s v=" "/>
    <s v="EU"/>
  </r>
  <r>
    <s v="IS00WF"/>
    <s v="Wireless coverage - Shared Internet Service - Wi-Fi FIFA"/>
    <x v="1"/>
    <s v=""/>
    <s v="General Internet Access"/>
    <x v="1"/>
    <x v="1"/>
    <m/>
    <n v="0"/>
    <n v="0"/>
    <n v="2"/>
    <n v="0"/>
    <n v="0"/>
    <s v="LOC IT"/>
    <x v="0"/>
    <x v="36"/>
    <x v="76"/>
    <x v="25"/>
    <s v="LOC Events and Community Relations "/>
    <s v=" "/>
    <s v="NW"/>
  </r>
  <r>
    <s v="TVLGSA"/>
    <s v="TV - Large - Standalone"/>
    <x v="5"/>
    <s v=""/>
    <s v=""/>
    <x v="15"/>
    <x v="15"/>
    <m/>
    <n v="0"/>
    <n v="0"/>
    <n v="1"/>
    <n v="0"/>
    <n v="0"/>
    <s v="LOC IT"/>
    <x v="1"/>
    <x v="37"/>
    <x v="76"/>
    <x v="25"/>
    <s v="LOC Events and Community Relations "/>
    <s v=" "/>
    <s v="EU"/>
  </r>
  <r>
    <s v="LAPEVT"/>
    <s v="Laptop - FIFA Event Build"/>
    <x v="4"/>
    <s v=""/>
    <s v=""/>
    <x v="17"/>
    <x v="17"/>
    <m/>
    <n v="0"/>
    <n v="0"/>
    <n v="2"/>
    <n v="0"/>
    <n v="0"/>
    <s v="LOC IT"/>
    <x v="1"/>
    <x v="37"/>
    <x v="76"/>
    <x v="25"/>
    <s v="LOC Events and Community Relations "/>
    <s v=" "/>
    <s v="EU"/>
  </r>
  <r>
    <s v="MFDDNW"/>
    <s v="MFD Desktop - Colour - A4 - Network"/>
    <x v="2"/>
    <s v=""/>
    <s v="General Internet Access"/>
    <x v="2"/>
    <x v="2"/>
    <m/>
    <n v="1"/>
    <n v="0"/>
    <n v="1"/>
    <n v="1"/>
    <n v="0"/>
    <s v="LOC IT"/>
    <x v="1"/>
    <x v="37"/>
    <x v="76"/>
    <x v="25"/>
    <s v="LOC Events and Community Relations "/>
    <s v=" "/>
    <s v="EU"/>
  </r>
  <r>
    <s v="IS00WF"/>
    <s v="Wireless coverage - Shared Internet Service - Wi-Fi FIFA"/>
    <x v="1"/>
    <s v=""/>
    <s v="General Internet Access"/>
    <x v="1"/>
    <x v="1"/>
    <m/>
    <n v="0"/>
    <n v="0"/>
    <n v="2"/>
    <n v="0"/>
    <n v="0"/>
    <s v="LOC IT"/>
    <x v="1"/>
    <x v="37"/>
    <x v="76"/>
    <x v="25"/>
    <s v="LOC Events and Community Relations "/>
    <s v=" "/>
    <s v="NW"/>
  </r>
  <r>
    <s v="IS00WF"/>
    <s v="Wireless coverage - Shared Internet Service - Wi-Fi FIFA"/>
    <x v="1"/>
    <s v=""/>
    <s v="General Internet Access"/>
    <x v="1"/>
    <x v="1"/>
    <m/>
    <n v="0"/>
    <n v="0"/>
    <n v="1"/>
    <n v="0"/>
    <n v="0"/>
    <s v="LOC IT"/>
    <x v="0"/>
    <x v="1"/>
    <x v="77"/>
    <x v="26"/>
    <s v="LOC Food &amp; Beverage Concessions"/>
    <s v=" "/>
    <s v="NW"/>
  </r>
  <r>
    <s v="IS00WF"/>
    <s v="Wireless coverage - Shared Internet Service - Wi-Fi FIFA"/>
    <x v="1"/>
    <s v=""/>
    <s v="General Internet Access"/>
    <x v="1"/>
    <x v="1"/>
    <m/>
    <n v="0"/>
    <n v="0"/>
    <n v="1"/>
    <n v="0"/>
    <n v="0"/>
    <s v="LOC IT"/>
    <x v="0"/>
    <x v="4"/>
    <x v="77"/>
    <x v="26"/>
    <s v="LOC Food &amp; Beverage Concessions"/>
    <s v=" "/>
    <s v="NW"/>
  </r>
  <r>
    <s v="IS00WF"/>
    <s v="Wireless coverage - Shared Internet Service - Wi-Fi FIFA"/>
    <x v="1"/>
    <s v=""/>
    <s v="General Internet Access"/>
    <x v="1"/>
    <x v="1"/>
    <m/>
    <n v="0"/>
    <n v="0"/>
    <n v="6"/>
    <n v="0"/>
    <n v="0"/>
    <s v="LOC IT"/>
    <x v="0"/>
    <x v="33"/>
    <x v="78"/>
    <x v="27"/>
    <s v="LOC Logistics"/>
    <m/>
    <s v="NW"/>
  </r>
  <r>
    <s v="MFDDNW"/>
    <s v="MFD Desktop - Colour - A4 - Network"/>
    <x v="2"/>
    <s v=""/>
    <s v="General Internet Access"/>
    <x v="2"/>
    <x v="2"/>
    <m/>
    <n v="1"/>
    <n v="0"/>
    <n v="1"/>
    <n v="1"/>
    <n v="0"/>
    <s v="LOC IT"/>
    <x v="0"/>
    <x v="33"/>
    <x v="78"/>
    <x v="27"/>
    <s v="LOC Logistics"/>
    <m/>
    <s v="EU"/>
  </r>
  <r>
    <s v="IS00WF"/>
    <s v="Wireless coverage - Shared Internet Service - Wi-Fi FIFA"/>
    <x v="1"/>
    <s v=""/>
    <s v="General Internet Access"/>
    <x v="1"/>
    <x v="1"/>
    <m/>
    <n v="0"/>
    <n v="0"/>
    <n v="4"/>
    <n v="0"/>
    <n v="0"/>
    <s v="LOC IT"/>
    <x v="1"/>
    <x v="33"/>
    <x v="78"/>
    <x v="27"/>
    <s v="LOC Logistics"/>
    <m/>
    <s v="NW"/>
  </r>
  <r>
    <s v="MFDDNW"/>
    <s v="MFD Desktop - Colour - A4 - Network"/>
    <x v="2"/>
    <s v=""/>
    <s v="General Internet Access"/>
    <x v="2"/>
    <x v="2"/>
    <m/>
    <n v="1"/>
    <n v="0"/>
    <n v="1"/>
    <n v="1"/>
    <n v="0"/>
    <s v="LOC IT"/>
    <x v="1"/>
    <x v="33"/>
    <x v="78"/>
    <x v="27"/>
    <s v="LOC Logistics"/>
    <m/>
    <s v="EU"/>
  </r>
  <r>
    <s v="LAPEVT"/>
    <s v="Laptop - FIFA Event Build"/>
    <x v="4"/>
    <s v=""/>
    <s v=""/>
    <x v="17"/>
    <x v="17"/>
    <m/>
    <n v="0"/>
    <n v="0"/>
    <n v="0"/>
    <n v="0"/>
    <n v="0"/>
    <s v="LOC IT"/>
    <x v="2"/>
    <x v="38"/>
    <x v="79"/>
    <x v="27"/>
    <s v="LOC Logistics"/>
    <s v="PK 17.09: Transferred to FAC scope"/>
    <s v="EU"/>
  </r>
  <r>
    <s v="MFDDNW"/>
    <s v="MFD Desktop - Colour - A4 - Network"/>
    <x v="2"/>
    <s v=""/>
    <s v="General Internet Access"/>
    <x v="2"/>
    <x v="2"/>
    <m/>
    <n v="0"/>
    <n v="0"/>
    <n v="0"/>
    <n v="0"/>
    <n v="0"/>
    <s v="LOC IT"/>
    <x v="2"/>
    <x v="38"/>
    <x v="79"/>
    <x v="27"/>
    <s v="LOC Logistics"/>
    <s v="PK 17.09: Transferred to FAC scope"/>
    <s v="EU"/>
  </r>
  <r>
    <s v="IS00WF"/>
    <s v="Wireless coverage - Shared Internet Service - Wi-Fi FIFA"/>
    <x v="1"/>
    <s v=""/>
    <s v="General Internet Access"/>
    <x v="1"/>
    <x v="1"/>
    <m/>
    <n v="0"/>
    <n v="0"/>
    <n v="0"/>
    <n v="0"/>
    <n v="0"/>
    <s v="LOC IT"/>
    <x v="2"/>
    <x v="38"/>
    <x v="79"/>
    <x v="27"/>
    <s v="LOC Logistics"/>
    <s v="PK 17.09: Transferred to FAC scope"/>
    <s v="NW"/>
  </r>
  <r>
    <s v="WRDGEN"/>
    <s v="Wired Port - General Internet "/>
    <x v="1"/>
    <s v=""/>
    <s v="General Internet Access"/>
    <x v="8"/>
    <x v="8"/>
    <m/>
    <n v="6"/>
    <n v="0"/>
    <n v="6"/>
    <n v="6"/>
    <n v="0"/>
    <s v="LOC IT"/>
    <x v="0"/>
    <x v="33"/>
    <x v="78"/>
    <x v="27"/>
    <s v="LOC Logistics"/>
    <m/>
    <s v="NW"/>
  </r>
  <r>
    <s v="WRDGEN"/>
    <s v="Wired Port - General Internet "/>
    <x v="1"/>
    <s v=""/>
    <s v="General Internet Access"/>
    <x v="8"/>
    <x v="8"/>
    <m/>
    <n v="4"/>
    <n v="0"/>
    <n v="4"/>
    <n v="4"/>
    <n v="0"/>
    <s v="LOC IT"/>
    <x v="1"/>
    <x v="33"/>
    <x v="78"/>
    <x v="27"/>
    <s v="LOC Logistics"/>
    <m/>
    <s v="NW"/>
  </r>
  <r>
    <s v="TVLGIP"/>
    <s v="TV - Large - IPTV"/>
    <x v="3"/>
    <s v=""/>
    <s v=""/>
    <x v="5"/>
    <x v="5"/>
    <m/>
    <n v="0"/>
    <n v="0"/>
    <n v="0"/>
    <n v="0"/>
    <n v="0"/>
    <s v="LOC IT"/>
    <x v="2"/>
    <x v="33"/>
    <x v="80"/>
    <x v="27"/>
    <s v="LOC Logistics"/>
    <s v="PK 17.09: Transferred to FAC scope"/>
    <s v="AV"/>
  </r>
  <r>
    <s v="WRDGEN"/>
    <s v="Wired Port - General Internet "/>
    <x v="1"/>
    <s v=""/>
    <s v="General Internet Access"/>
    <x v="8"/>
    <x v="8"/>
    <m/>
    <n v="0"/>
    <n v="0"/>
    <n v="0"/>
    <n v="0"/>
    <n v="0"/>
    <s v="LOC IT"/>
    <x v="2"/>
    <x v="33"/>
    <x v="80"/>
    <x v="27"/>
    <s v="LOC Logistics"/>
    <s v="PK 17.09: Transferred to FAC scope"/>
    <s v="NW"/>
  </r>
  <r>
    <s v="MFDLNW"/>
    <s v="MFD Large - Colour - A3 - Network"/>
    <x v="2"/>
    <s v=""/>
    <s v="General Internet Access"/>
    <x v="34"/>
    <x v="34"/>
    <m/>
    <n v="0"/>
    <n v="0"/>
    <n v="0"/>
    <n v="0"/>
    <n v="0"/>
    <s v="LOC IT"/>
    <x v="2"/>
    <x v="33"/>
    <x v="80"/>
    <x v="27"/>
    <s v="LOC Logistics"/>
    <s v="PK 17.09: Transferred to FAC scope"/>
    <s v="EU"/>
  </r>
  <r>
    <s v="IS00WF"/>
    <s v="Wireless coverage - Shared Internet Service - Wi-Fi FIFA"/>
    <x v="1"/>
    <s v=""/>
    <s v="General Internet Access"/>
    <x v="1"/>
    <x v="1"/>
    <m/>
    <n v="0"/>
    <n v="0"/>
    <n v="1"/>
    <n v="0"/>
    <n v="0"/>
    <s v="LOC IT"/>
    <x v="0"/>
    <x v="13"/>
    <x v="81"/>
    <x v="28"/>
    <s v="LOC Medical"/>
    <m/>
    <s v="NW"/>
  </r>
  <r>
    <s v="IS00WF"/>
    <s v="Wireless coverage - Shared Internet Service - Wi-Fi FIFA"/>
    <x v="1"/>
    <s v=""/>
    <s v="General Internet Access"/>
    <x v="1"/>
    <x v="1"/>
    <m/>
    <n v="0"/>
    <n v="0"/>
    <n v="1"/>
    <n v="0"/>
    <n v="0"/>
    <s v="LOC IT"/>
    <x v="0"/>
    <x v="6"/>
    <x v="82"/>
    <x v="28"/>
    <s v="LOC Medical"/>
    <m/>
    <s v="NW"/>
  </r>
  <r>
    <s v="IS00WF"/>
    <s v="Wireless coverage - Shared Internet Service - Wi-Fi FIFA"/>
    <x v="1"/>
    <s v=""/>
    <s v="General Internet Access"/>
    <x v="1"/>
    <x v="1"/>
    <m/>
    <n v="0"/>
    <n v="0"/>
    <n v="1"/>
    <n v="0"/>
    <n v="0"/>
    <s v="LOC IT"/>
    <x v="0"/>
    <x v="0"/>
    <x v="83"/>
    <x v="28"/>
    <s v="LOC Medical"/>
    <m/>
    <s v="NW"/>
  </r>
  <r>
    <s v="TVLGIP"/>
    <s v="TV - Large - IPTV"/>
    <x v="3"/>
    <s v=""/>
    <s v=""/>
    <x v="5"/>
    <x v="5"/>
    <m/>
    <n v="1"/>
    <n v="0"/>
    <n v="1"/>
    <n v="1"/>
    <n v="0"/>
    <s v="LOC IT"/>
    <x v="0"/>
    <x v="6"/>
    <x v="82"/>
    <x v="28"/>
    <s v="LOC Medical"/>
    <m/>
    <s v="AV"/>
  </r>
  <r>
    <s v="TVLGIP"/>
    <s v="TV - Large - IPTV"/>
    <x v="3"/>
    <s v=""/>
    <s v=""/>
    <x v="5"/>
    <x v="5"/>
    <m/>
    <n v="1"/>
    <n v="0"/>
    <n v="1"/>
    <n v="1"/>
    <n v="0"/>
    <s v="LOC IT"/>
    <x v="0"/>
    <x v="0"/>
    <x v="83"/>
    <x v="28"/>
    <s v="LOC Medical"/>
    <m/>
    <s v="AV"/>
  </r>
  <r>
    <s v="IS00WF"/>
    <s v="Wireless coverage - Shared Internet Service - Wi-Fi FIFA"/>
    <x v="1"/>
    <s v=""/>
    <s v="General Internet Access"/>
    <x v="1"/>
    <x v="1"/>
    <m/>
    <n v="0"/>
    <n v="0"/>
    <n v="1"/>
    <n v="0"/>
    <n v="0"/>
    <s v="LOC IT"/>
    <x v="0"/>
    <x v="39"/>
    <x v="84"/>
    <x v="28"/>
    <s v="LOC Medical"/>
    <m/>
    <s v="NW"/>
  </r>
  <r>
    <s v="TVLGIP"/>
    <s v="TV - Large - IPTV"/>
    <x v="3"/>
    <s v=""/>
    <s v=""/>
    <x v="5"/>
    <x v="5"/>
    <m/>
    <n v="1"/>
    <n v="0"/>
    <n v="1"/>
    <n v="1"/>
    <n v="0"/>
    <s v="LOC IT"/>
    <x v="1"/>
    <x v="40"/>
    <x v="85"/>
    <x v="28"/>
    <s v="LOC Medical"/>
    <m/>
    <s v="AV"/>
  </r>
  <r>
    <s v="IS00WF"/>
    <s v="Wireless coverage - Shared Internet Service - Wi-Fi FIFA"/>
    <x v="1"/>
    <s v=""/>
    <s v="General Internet Access"/>
    <x v="1"/>
    <x v="1"/>
    <m/>
    <n v="0"/>
    <n v="0"/>
    <n v="1"/>
    <n v="0"/>
    <n v="0"/>
    <s v="LOC IT"/>
    <x v="1"/>
    <x v="40"/>
    <x v="85"/>
    <x v="28"/>
    <s v="LOC Medical"/>
    <m/>
    <s v="NW"/>
  </r>
  <r>
    <s v="IS00WF"/>
    <s v="Wireless coverage - Shared Internet Service - Wi-Fi FIFA"/>
    <x v="1"/>
    <s v=""/>
    <s v="General Internet Access"/>
    <x v="1"/>
    <x v="1"/>
    <m/>
    <n v="0"/>
    <n v="0"/>
    <n v="1"/>
    <n v="0"/>
    <n v="0"/>
    <s v="LOC IT"/>
    <x v="1"/>
    <x v="41"/>
    <x v="81"/>
    <x v="28"/>
    <s v="LOC Medical"/>
    <m/>
    <s v="NW"/>
  </r>
  <r>
    <s v="IS00WF"/>
    <s v="Wireless coverage - Shared Internet Service - Wi-Fi FIFA"/>
    <x v="1"/>
    <s v=""/>
    <s v="General Internet Access"/>
    <x v="1"/>
    <x v="1"/>
    <m/>
    <n v="0"/>
    <n v="0"/>
    <n v="1"/>
    <n v="0"/>
    <n v="0"/>
    <s v="LOC IT"/>
    <x v="1"/>
    <x v="41"/>
    <x v="86"/>
    <x v="28"/>
    <s v="LOC Medical"/>
    <m/>
    <s v="NW"/>
  </r>
  <r>
    <s v="IS00WF"/>
    <s v="Wireless coverage - Shared Internet Service - Wi-Fi FIFA"/>
    <x v="1"/>
    <s v=""/>
    <s v="General Internet Access"/>
    <x v="1"/>
    <x v="1"/>
    <m/>
    <n v="0"/>
    <n v="0"/>
    <n v="2"/>
    <n v="0"/>
    <n v="0"/>
    <s v="LOC IT"/>
    <x v="1"/>
    <x v="42"/>
    <x v="87"/>
    <x v="28"/>
    <s v="LOC Medical"/>
    <m/>
    <s v="NW"/>
  </r>
  <r>
    <s v="ACCBAR"/>
    <s v="Barcode scanner"/>
    <x v="0"/>
    <s v=""/>
    <s v=""/>
    <x v="39"/>
    <x v="39"/>
    <m/>
    <n v="0"/>
    <n v="0"/>
    <n v="5"/>
    <n v="0"/>
    <n v="0"/>
    <s v="LOC IT"/>
    <x v="0"/>
    <x v="35"/>
    <x v="88"/>
    <x v="29"/>
    <s v="LOC Spectator Services"/>
    <m/>
    <s v="EU"/>
  </r>
  <r>
    <s v="LAPEVT"/>
    <s v="Laptop - FIFA Event Build"/>
    <x v="4"/>
    <s v=""/>
    <s v=""/>
    <x v="17"/>
    <x v="17"/>
    <m/>
    <n v="0"/>
    <n v="0"/>
    <n v="4"/>
    <n v="0"/>
    <n v="0"/>
    <s v="LOC IT"/>
    <x v="0"/>
    <x v="35"/>
    <x v="88"/>
    <x v="29"/>
    <s v="LOC Spectator Services"/>
    <m/>
    <s v="EU"/>
  </r>
  <r>
    <s v="TABLEN"/>
    <s v="Tablet - FIFA Professional Tablet + 4G"/>
    <x v="4"/>
    <s v=""/>
    <s v=""/>
    <x v="7"/>
    <x v="7"/>
    <m/>
    <n v="0"/>
    <n v="3"/>
    <n v="3"/>
    <n v="0"/>
    <n v="3"/>
    <s v="LOC IT"/>
    <x v="0"/>
    <x v="35"/>
    <x v="88"/>
    <x v="29"/>
    <s v="LOC Spectator Services"/>
    <m/>
    <s v="EU"/>
  </r>
  <r>
    <s v="ITSR4G"/>
    <s v="IT Solution - Router + 4G"/>
    <x v="6"/>
    <s v=""/>
    <s v=""/>
    <x v="38"/>
    <x v="38"/>
    <m/>
    <n v="0"/>
    <n v="3"/>
    <n v="3"/>
    <n v="0"/>
    <n v="3"/>
    <s v="LOC IT"/>
    <x v="0"/>
    <x v="35"/>
    <x v="88"/>
    <x v="29"/>
    <s v="LOC Spectator Services"/>
    <m/>
    <s v="NW"/>
  </r>
  <r>
    <s v="MFDDNW"/>
    <s v="MFD Desktop - Colour - A4 - Network"/>
    <x v="2"/>
    <s v=""/>
    <s v="General Internet Access"/>
    <x v="2"/>
    <x v="2"/>
    <m/>
    <n v="1"/>
    <n v="0"/>
    <n v="1"/>
    <n v="1"/>
    <n v="0"/>
    <s v="LOC IT"/>
    <x v="0"/>
    <x v="35"/>
    <x v="89"/>
    <x v="29"/>
    <s v="LOC Spectator Services"/>
    <m/>
    <s v="EU"/>
  </r>
  <r>
    <s v="IS00WF"/>
    <s v="Wireless coverage - Shared Internet Service - Wi-Fi FIFA"/>
    <x v="1"/>
    <s v=""/>
    <s v="General Internet Access"/>
    <x v="1"/>
    <x v="1"/>
    <m/>
    <n v="0"/>
    <n v="0"/>
    <n v="1"/>
    <n v="0"/>
    <n v="0"/>
    <s v="LOC IT"/>
    <x v="0"/>
    <x v="35"/>
    <x v="89"/>
    <x v="29"/>
    <s v="LOC Spectator Services"/>
    <m/>
    <s v="NW"/>
  </r>
  <r>
    <s v="SIMDAT"/>
    <s v="SIM - Data Only"/>
    <x v="7"/>
    <s v=""/>
    <s v=""/>
    <x v="18"/>
    <x v="18"/>
    <m/>
    <n v="0"/>
    <n v="2"/>
    <n v="2"/>
    <n v="0"/>
    <n v="2"/>
    <s v="LOC IT"/>
    <x v="0"/>
    <x v="35"/>
    <x v="90"/>
    <x v="29"/>
    <s v="LOC Spectator Services"/>
    <m/>
    <s v="Telco/SIM"/>
  </r>
  <r>
    <s v="ACCBAR"/>
    <s v="Barcode scanner"/>
    <x v="0"/>
    <s v=""/>
    <s v=""/>
    <x v="39"/>
    <x v="39"/>
    <m/>
    <n v="0"/>
    <n v="0"/>
    <n v="1"/>
    <n v="0"/>
    <n v="0"/>
    <s v="LOC IT"/>
    <x v="0"/>
    <x v="35"/>
    <x v="90"/>
    <x v="29"/>
    <s v="LOC Spectator Services"/>
    <m/>
    <s v="EU"/>
  </r>
  <r>
    <s v="ACCBAR"/>
    <s v="Barcode scanner"/>
    <x v="0"/>
    <s v=""/>
    <s v=""/>
    <x v="39"/>
    <x v="39"/>
    <m/>
    <n v="0"/>
    <n v="0"/>
    <n v="1"/>
    <n v="0"/>
    <n v="0"/>
    <s v="LOC IT"/>
    <x v="1"/>
    <x v="8"/>
    <x v="89"/>
    <x v="29"/>
    <s v="LOC Spectator Services"/>
    <m/>
    <s v="EU"/>
  </r>
  <r>
    <s v="IS00WF"/>
    <s v="Wireless coverage - Shared Internet Service - Wi-Fi FIFA"/>
    <x v="1"/>
    <s v=""/>
    <s v="General Internet Access"/>
    <x v="1"/>
    <x v="1"/>
    <m/>
    <n v="0"/>
    <n v="0"/>
    <n v="1"/>
    <n v="0"/>
    <n v="0"/>
    <s v="LOC IT"/>
    <x v="1"/>
    <x v="8"/>
    <x v="89"/>
    <x v="29"/>
    <s v="LOC Spectator Services"/>
    <m/>
    <s v="NW"/>
  </r>
  <r>
    <s v="SIMDAT"/>
    <s v="SIM - Data Only"/>
    <x v="7"/>
    <s v=""/>
    <s v=""/>
    <x v="18"/>
    <x v="18"/>
    <m/>
    <n v="0"/>
    <n v="2"/>
    <n v="2"/>
    <n v="0"/>
    <n v="2"/>
    <s v="LOC IT"/>
    <x v="1"/>
    <x v="8"/>
    <x v="89"/>
    <x v="29"/>
    <s v="LOC Spectator Services"/>
    <m/>
    <s v="Telco/SIM"/>
  </r>
  <r>
    <s v="MFDDNW"/>
    <s v="MFD Desktop - Colour - A4 - Network"/>
    <x v="2"/>
    <s v=""/>
    <s v="General Internet Access"/>
    <x v="2"/>
    <x v="2"/>
    <m/>
    <n v="1"/>
    <n v="0"/>
    <n v="1"/>
    <n v="1"/>
    <n v="0"/>
    <s v="LOC IT"/>
    <x v="1"/>
    <x v="8"/>
    <x v="89"/>
    <x v="29"/>
    <s v="LOC Spectator Services"/>
    <m/>
    <s v="EU"/>
  </r>
  <r>
    <s v="ACCBAR"/>
    <s v="Barcode scanner"/>
    <x v="0"/>
    <s v=""/>
    <s v=""/>
    <x v="39"/>
    <x v="39"/>
    <m/>
    <n v="0"/>
    <n v="0"/>
    <n v="5"/>
    <n v="0"/>
    <n v="0"/>
    <s v="LOC IT"/>
    <x v="1"/>
    <x v="8"/>
    <x v="88"/>
    <x v="29"/>
    <s v="LOC Spectator Services"/>
    <m/>
    <s v="EU"/>
  </r>
  <r>
    <s v="LAPEVT"/>
    <s v="Laptop - FIFA Event Build"/>
    <x v="4"/>
    <s v=""/>
    <s v=""/>
    <x v="17"/>
    <x v="17"/>
    <m/>
    <n v="0"/>
    <n v="0"/>
    <n v="4"/>
    <n v="0"/>
    <n v="0"/>
    <s v="LOC IT"/>
    <x v="1"/>
    <x v="8"/>
    <x v="88"/>
    <x v="29"/>
    <s v="LOC Spectator Services"/>
    <m/>
    <s v="EU"/>
  </r>
  <r>
    <s v="TABLEN"/>
    <s v="Tablet - FIFA Professional Tablet + 4G"/>
    <x v="4"/>
    <s v=""/>
    <s v=""/>
    <x v="7"/>
    <x v="7"/>
    <m/>
    <n v="0"/>
    <n v="3"/>
    <n v="3"/>
    <n v="0"/>
    <n v="3"/>
    <s v="LOC IT"/>
    <x v="1"/>
    <x v="8"/>
    <x v="88"/>
    <x v="29"/>
    <s v="LOC Spectator Services"/>
    <m/>
    <s v="EU"/>
  </r>
  <r>
    <s v="ITSR4G"/>
    <s v="IT Solution - Router + 4G"/>
    <x v="6"/>
    <s v=""/>
    <s v=""/>
    <x v="38"/>
    <x v="38"/>
    <m/>
    <n v="0"/>
    <n v="3"/>
    <n v="3"/>
    <n v="0"/>
    <n v="3"/>
    <s v="LOC IT"/>
    <x v="1"/>
    <x v="8"/>
    <x v="88"/>
    <x v="29"/>
    <s v="LOC Spectator Services"/>
    <m/>
    <s v="NW"/>
  </r>
  <r>
    <s v="TVLGSA"/>
    <s v="TV - Large - Standalone"/>
    <x v="5"/>
    <s v=""/>
    <s v=""/>
    <x v="15"/>
    <x v="15"/>
    <m/>
    <n v="0"/>
    <n v="0"/>
    <n v="1"/>
    <n v="0"/>
    <n v="0"/>
    <s v="LOC IT"/>
    <x v="0"/>
    <x v="33"/>
    <x v="91"/>
    <x v="30"/>
    <s v="LOC SSOC"/>
    <m/>
    <s v="EU"/>
  </r>
  <r>
    <s v="MFDDNW"/>
    <s v="MFD Desktop - Colour - A4 - Network"/>
    <x v="2"/>
    <s v=""/>
    <s v="General Internet Access"/>
    <x v="2"/>
    <x v="2"/>
    <m/>
    <n v="1"/>
    <n v="0"/>
    <n v="1"/>
    <n v="1"/>
    <n v="0"/>
    <s v="LOC IT"/>
    <x v="0"/>
    <x v="33"/>
    <x v="91"/>
    <x v="30"/>
    <s v="LOC SSOC"/>
    <s v="PK 21.09: A3 replaced with A4"/>
    <s v="EU"/>
  </r>
  <r>
    <s v="IS00WF"/>
    <s v="Wireless coverage - Shared Internet Service - Wi-Fi FIFA"/>
    <x v="1"/>
    <s v=""/>
    <s v="General Internet Access"/>
    <x v="1"/>
    <x v="1"/>
    <m/>
    <n v="0"/>
    <n v="0"/>
    <n v="1"/>
    <n v="0"/>
    <n v="0"/>
    <s v="LOC IT"/>
    <x v="0"/>
    <x v="33"/>
    <x v="92"/>
    <x v="30"/>
    <s v="LOC SSOC"/>
    <m/>
    <s v="NW"/>
  </r>
  <r>
    <s v="IS00WF"/>
    <s v="Wireless coverage - Shared Internet Service - Wi-Fi FIFA"/>
    <x v="1"/>
    <s v=""/>
    <s v="General Internet Access"/>
    <x v="1"/>
    <x v="1"/>
    <m/>
    <n v="0"/>
    <n v="0"/>
    <n v="1"/>
    <n v="0"/>
    <n v="0"/>
    <s v="LOC IT"/>
    <x v="0"/>
    <x v="33"/>
    <x v="93"/>
    <x v="30"/>
    <s v="LOC SSOC"/>
    <m/>
    <s v="NW"/>
  </r>
  <r>
    <s v="TVLGSA"/>
    <s v="TV - Large - Standalone"/>
    <x v="5"/>
    <s v=""/>
    <s v=""/>
    <x v="15"/>
    <x v="15"/>
    <m/>
    <n v="0"/>
    <n v="0"/>
    <n v="1"/>
    <n v="0"/>
    <n v="0"/>
    <s v="LOC IT"/>
    <x v="0"/>
    <x v="33"/>
    <x v="93"/>
    <x v="30"/>
    <s v="LOC SSOC"/>
    <m/>
    <s v="EU"/>
  </r>
  <r>
    <s v="MFDLNW"/>
    <s v="MFD Large - Colour - A3 - Network"/>
    <x v="2"/>
    <s v=""/>
    <s v="General Internet Access"/>
    <x v="34"/>
    <x v="34"/>
    <m/>
    <n v="0"/>
    <n v="0"/>
    <n v="0"/>
    <n v="0"/>
    <n v="0"/>
    <s v="LOC IT"/>
    <x v="0"/>
    <x v="33"/>
    <x v="93"/>
    <x v="30"/>
    <s v="LOC SSOC"/>
    <s v="PK 21.09: rejected in provision"/>
    <s v="EU"/>
  </r>
  <r>
    <s v="IS00WF"/>
    <s v="Wireless coverage - Shared Internet Service - Wi-Fi FIFA"/>
    <x v="1"/>
    <s v=""/>
    <s v="General Internet Access"/>
    <x v="1"/>
    <x v="1"/>
    <m/>
    <n v="0"/>
    <n v="0"/>
    <n v="1"/>
    <n v="0"/>
    <n v="0"/>
    <s v="LOC IT"/>
    <x v="0"/>
    <x v="33"/>
    <x v="94"/>
    <x v="30"/>
    <s v="LOC SSOC"/>
    <m/>
    <s v="NW"/>
  </r>
  <r>
    <s v="MFDLNW"/>
    <s v="MFD Large - Colour - A3 - Network"/>
    <x v="2"/>
    <s v=""/>
    <s v="General Internet Access"/>
    <x v="34"/>
    <x v="34"/>
    <m/>
    <n v="0"/>
    <n v="0"/>
    <n v="0"/>
    <n v="0"/>
    <n v="0"/>
    <s v="LOC IT"/>
    <x v="1"/>
    <x v="8"/>
    <x v="95"/>
    <x v="30"/>
    <s v="LOC SSOC"/>
    <s v="PK 21.09: rejected in provision"/>
    <s v="EU"/>
  </r>
  <r>
    <s v="IS00WF"/>
    <s v="Wireless coverage - Shared Internet Service - Wi-Fi FIFA"/>
    <x v="1"/>
    <s v=""/>
    <s v="General Internet Access"/>
    <x v="1"/>
    <x v="1"/>
    <m/>
    <n v="0"/>
    <n v="0"/>
    <n v="1"/>
    <n v="0"/>
    <n v="0"/>
    <s v="LOC IT"/>
    <x v="1"/>
    <x v="8"/>
    <x v="93"/>
    <x v="30"/>
    <s v="LOC SSOC"/>
    <m/>
    <s v="NW"/>
  </r>
  <r>
    <s v="TVLGSA"/>
    <s v="TV - Large - Standalone"/>
    <x v="5"/>
    <s v=""/>
    <s v=""/>
    <x v="15"/>
    <x v="15"/>
    <m/>
    <n v="0"/>
    <n v="0"/>
    <n v="1"/>
    <n v="0"/>
    <n v="0"/>
    <s v="LOC IT"/>
    <x v="1"/>
    <x v="8"/>
    <x v="91"/>
    <x v="30"/>
    <s v="LOC SSOC"/>
    <m/>
    <s v="EU"/>
  </r>
  <r>
    <s v="IS00WF"/>
    <s v="Wireless coverage - Shared Internet Service - Wi-Fi FIFA"/>
    <x v="1"/>
    <s v=""/>
    <s v="General Internet Access"/>
    <x v="1"/>
    <x v="1"/>
    <m/>
    <n v="0"/>
    <n v="0"/>
    <n v="1"/>
    <n v="0"/>
    <n v="0"/>
    <s v="LOC IT"/>
    <x v="1"/>
    <x v="8"/>
    <x v="96"/>
    <x v="30"/>
    <s v="LOC SSOC"/>
    <m/>
    <s v="NW"/>
  </r>
  <r>
    <s v="IS00WF"/>
    <s v="Wireless coverage - Shared Internet Service - Wi-Fi FIFA"/>
    <x v="1"/>
    <s v=""/>
    <s v="General Internet Access"/>
    <x v="1"/>
    <x v="1"/>
    <m/>
    <n v="0"/>
    <n v="0"/>
    <n v="1"/>
    <n v="0"/>
    <n v="0"/>
    <s v="LOC IT"/>
    <x v="1"/>
    <x v="8"/>
    <x v="94"/>
    <x v="30"/>
    <s v="LOC SSOC"/>
    <m/>
    <s v="NW"/>
  </r>
  <r>
    <s v="SIMDAT"/>
    <s v="SIM - Data Only"/>
    <x v="7"/>
    <s v=""/>
    <s v=""/>
    <x v="18"/>
    <x v="18"/>
    <m/>
    <n v="0"/>
    <n v="0"/>
    <n v="0"/>
    <n v="0"/>
    <n v="0"/>
    <s v="LOC IT"/>
    <x v="2"/>
    <x v="33"/>
    <x v="97"/>
    <x v="31"/>
    <s v="LOC Team Services"/>
    <s v="PK 17.09: Transferred to FAC scope"/>
    <s v="Telco/SIM"/>
  </r>
  <r>
    <s v="TVLGSA"/>
    <s v="TV - Large - Standalone"/>
    <x v="5"/>
    <s v=""/>
    <s v=""/>
    <x v="15"/>
    <x v="15"/>
    <m/>
    <n v="0"/>
    <n v="0"/>
    <n v="1"/>
    <n v="0"/>
    <n v="0"/>
    <s v="LOC IT"/>
    <x v="0"/>
    <x v="35"/>
    <x v="98"/>
    <x v="32"/>
    <s v="LOC Venue Management"/>
    <m/>
    <s v="EU"/>
  </r>
  <r>
    <s v="DSKMNT"/>
    <s v="24&quot; Monitor - HDMI/DP"/>
    <x v="0"/>
    <s v=""/>
    <s v=""/>
    <x v="0"/>
    <x v="0"/>
    <m/>
    <n v="0"/>
    <n v="0"/>
    <n v="2"/>
    <n v="0"/>
    <n v="0"/>
    <s v="LOC IT"/>
    <x v="0"/>
    <x v="35"/>
    <x v="98"/>
    <x v="32"/>
    <s v="LOC Venue Management"/>
    <m/>
    <s v="EU"/>
  </r>
  <r>
    <s v="IS00WF"/>
    <s v="Wireless coverage - Shared Internet Service - Wi-Fi FIFA"/>
    <x v="1"/>
    <s v=""/>
    <s v="General Internet Access"/>
    <x v="1"/>
    <x v="1"/>
    <m/>
    <n v="0"/>
    <n v="0"/>
    <n v="1"/>
    <n v="0"/>
    <n v="0"/>
    <s v="LOC IT"/>
    <x v="0"/>
    <x v="35"/>
    <x v="98"/>
    <x v="32"/>
    <s v="LOC Venue Management"/>
    <m/>
    <s v="NW"/>
  </r>
  <r>
    <s v="TVLGSA"/>
    <s v="TV - Large - Standalone"/>
    <x v="5"/>
    <s v=""/>
    <s v=""/>
    <x v="15"/>
    <x v="15"/>
    <m/>
    <n v="0"/>
    <n v="0"/>
    <n v="1"/>
    <n v="0"/>
    <n v="0"/>
    <s v="LOC IT"/>
    <x v="0"/>
    <x v="35"/>
    <x v="99"/>
    <x v="32"/>
    <s v="LOC Venue Management"/>
    <m/>
    <s v="EU"/>
  </r>
  <r>
    <s v="TVLGSA"/>
    <s v="TV - Large - Standalone"/>
    <x v="5"/>
    <s v=""/>
    <s v=""/>
    <x v="15"/>
    <x v="15"/>
    <m/>
    <n v="0"/>
    <n v="0"/>
    <n v="2"/>
    <n v="0"/>
    <n v="0"/>
    <s v="LOC IT"/>
    <x v="0"/>
    <x v="35"/>
    <x v="100"/>
    <x v="32"/>
    <s v="LOC Venue Management"/>
    <m/>
    <s v="EU"/>
  </r>
  <r>
    <s v="DSKMNT"/>
    <s v="24&quot; Monitor - HDMI/DP"/>
    <x v="0"/>
    <s v=""/>
    <s v=""/>
    <x v="0"/>
    <x v="0"/>
    <m/>
    <n v="0"/>
    <n v="0"/>
    <n v="6"/>
    <n v="0"/>
    <n v="0"/>
    <s v="LOC IT"/>
    <x v="0"/>
    <x v="35"/>
    <x v="100"/>
    <x v="32"/>
    <s v="LOC Venue Management"/>
    <m/>
    <s v="EU"/>
  </r>
  <r>
    <s v="MFDLNW"/>
    <s v="MFD Large - Colour - A3 - Network"/>
    <x v="2"/>
    <s v=""/>
    <s v="General Internet Access"/>
    <x v="34"/>
    <x v="34"/>
    <m/>
    <n v="1"/>
    <n v="0"/>
    <n v="1"/>
    <n v="1"/>
    <n v="0"/>
    <s v="LOC IT"/>
    <x v="0"/>
    <x v="35"/>
    <x v="100"/>
    <x v="32"/>
    <s v="LOC Venue Management"/>
    <s v="L1 general office"/>
    <s v="EU"/>
  </r>
  <r>
    <s v="TVLGIP"/>
    <s v="TV - Large - IPTV"/>
    <x v="3"/>
    <s v=""/>
    <s v=""/>
    <x v="5"/>
    <x v="5"/>
    <m/>
    <n v="1"/>
    <n v="0"/>
    <n v="1"/>
    <n v="1"/>
    <n v="0"/>
    <s v="LOC IT"/>
    <x v="0"/>
    <x v="27"/>
    <x v="101"/>
    <x v="32"/>
    <s v="LOC Venue Management"/>
    <m/>
    <s v="AV"/>
  </r>
  <r>
    <s v="TVLGSA"/>
    <s v="TV - Large - Standalone"/>
    <x v="5"/>
    <s v=""/>
    <s v=""/>
    <x v="15"/>
    <x v="15"/>
    <m/>
    <n v="0"/>
    <n v="0"/>
    <n v="1"/>
    <n v="0"/>
    <n v="0"/>
    <s v="LOC IT"/>
    <x v="0"/>
    <x v="27"/>
    <x v="101"/>
    <x v="32"/>
    <s v="LOC Venue Management"/>
    <m/>
    <s v="EU"/>
  </r>
  <r>
    <s v="MFDDNW"/>
    <s v="MFD Desktop - Colour - A4 - Network"/>
    <x v="2"/>
    <s v=""/>
    <s v="General Internet Access"/>
    <x v="2"/>
    <x v="2"/>
    <m/>
    <n v="1"/>
    <n v="0"/>
    <n v="1"/>
    <n v="1"/>
    <n v="0"/>
    <s v="LOC IT"/>
    <x v="0"/>
    <x v="27"/>
    <x v="101"/>
    <x v="32"/>
    <s v="LOC Venue Management"/>
    <m/>
    <s v="EU"/>
  </r>
  <r>
    <s v="IS00WF"/>
    <s v="Wireless coverage - Shared Internet Service - Wi-Fi FIFA"/>
    <x v="1"/>
    <s v=""/>
    <s v="General Internet Access"/>
    <x v="1"/>
    <x v="1"/>
    <m/>
    <n v="0"/>
    <n v="0"/>
    <n v="1"/>
    <n v="0"/>
    <n v="0"/>
    <s v="LOC IT"/>
    <x v="0"/>
    <x v="27"/>
    <x v="101"/>
    <x v="32"/>
    <s v="LOC Venue Management"/>
    <m/>
    <s v="NW"/>
  </r>
  <r>
    <s v="TVLGSA"/>
    <s v="TV - Large - Standalone"/>
    <x v="5"/>
    <s v=""/>
    <s v=""/>
    <x v="15"/>
    <x v="15"/>
    <m/>
    <n v="0"/>
    <n v="0"/>
    <n v="1"/>
    <n v="0"/>
    <n v="0"/>
    <s v="LOC IT"/>
    <x v="0"/>
    <x v="13"/>
    <x v="100"/>
    <x v="32"/>
    <s v="LOC Venue Management"/>
    <m/>
    <s v="EU"/>
  </r>
  <r>
    <s v="TVLGIP"/>
    <s v="TV - Large - IPTV"/>
    <x v="3"/>
    <s v=""/>
    <s v=""/>
    <x v="5"/>
    <x v="5"/>
    <m/>
    <n v="1"/>
    <n v="0"/>
    <n v="1"/>
    <n v="1"/>
    <n v="0"/>
    <s v="LOC IT"/>
    <x v="0"/>
    <x v="13"/>
    <x v="100"/>
    <x v="32"/>
    <s v="LOC Venue Management"/>
    <m/>
    <s v="AV"/>
  </r>
  <r>
    <s v="DSKMNT"/>
    <s v="24&quot; Monitor - HDMI/DP"/>
    <x v="0"/>
    <s v=""/>
    <s v=""/>
    <x v="0"/>
    <x v="0"/>
    <m/>
    <n v="0"/>
    <n v="0"/>
    <n v="6"/>
    <n v="0"/>
    <n v="0"/>
    <s v="LOC IT"/>
    <x v="0"/>
    <x v="13"/>
    <x v="100"/>
    <x v="32"/>
    <s v="LOC Venue Management"/>
    <m/>
    <s v="EU"/>
  </r>
  <r>
    <s v="MFDLNW"/>
    <s v="MFD Large - Colour - A3 - Network"/>
    <x v="2"/>
    <s v=""/>
    <s v="General Internet Access"/>
    <x v="34"/>
    <x v="34"/>
    <m/>
    <n v="1"/>
    <n v="0"/>
    <n v="1"/>
    <n v="1"/>
    <n v="0"/>
    <s v="LOC IT"/>
    <x v="0"/>
    <x v="13"/>
    <x v="100"/>
    <x v="32"/>
    <s v="LOC Venue Management"/>
    <m/>
    <s v="EU"/>
  </r>
  <r>
    <s v="LAPEVT"/>
    <s v="Laptop - FIFA Event Build"/>
    <x v="4"/>
    <s v=""/>
    <s v=""/>
    <x v="17"/>
    <x v="17"/>
    <m/>
    <n v="0"/>
    <n v="0"/>
    <n v="4"/>
    <n v="0"/>
    <n v="0"/>
    <s v="LOC IT"/>
    <x v="1"/>
    <x v="43"/>
    <x v="102"/>
    <x v="33"/>
    <s v="LOC Workforce"/>
    <m/>
    <s v="EU"/>
  </r>
  <r>
    <s v="ACCBAR"/>
    <s v="Barcode scanner"/>
    <x v="0"/>
    <s v=""/>
    <s v=""/>
    <x v="39"/>
    <x v="39"/>
    <m/>
    <n v="0"/>
    <n v="0"/>
    <n v="4"/>
    <n v="0"/>
    <n v="0"/>
    <s v="LOC IT"/>
    <x v="1"/>
    <x v="43"/>
    <x v="103"/>
    <x v="33"/>
    <s v="LOC Workforce"/>
    <m/>
    <s v="EU"/>
  </r>
  <r>
    <s v="DSKMNT"/>
    <s v="24&quot; Monitor - HDMI/DP"/>
    <x v="0"/>
    <s v=""/>
    <s v=""/>
    <x v="0"/>
    <x v="0"/>
    <m/>
    <n v="0"/>
    <n v="0"/>
    <n v="4"/>
    <n v="0"/>
    <n v="0"/>
    <s v="LOC IT"/>
    <x v="1"/>
    <x v="43"/>
    <x v="103"/>
    <x v="33"/>
    <s v="LOC Workforce"/>
    <m/>
    <s v="EU"/>
  </r>
  <r>
    <s v="PORSPE"/>
    <s v="Portable Speaker"/>
    <x v="0"/>
    <s v=""/>
    <s v=""/>
    <x v="14"/>
    <x v="14"/>
    <m/>
    <n v="0"/>
    <n v="0"/>
    <n v="3"/>
    <n v="0"/>
    <n v="0"/>
    <s v="LOC IT"/>
    <x v="1"/>
    <x v="43"/>
    <x v="104"/>
    <x v="33"/>
    <s v="LOC Workforce"/>
    <m/>
    <s v="EU"/>
  </r>
  <r>
    <s v="TVLGSA"/>
    <s v="TV - Large - Standalone"/>
    <x v="5"/>
    <s v=""/>
    <s v=""/>
    <x v="15"/>
    <x v="15"/>
    <m/>
    <n v="0"/>
    <n v="0"/>
    <n v="4"/>
    <n v="0"/>
    <n v="0"/>
    <s v="LOC IT"/>
    <x v="1"/>
    <x v="43"/>
    <x v="104"/>
    <x v="33"/>
    <s v="LOC Workforce"/>
    <m/>
    <s v="EU"/>
  </r>
  <r>
    <s v="IS00WF"/>
    <s v="Wireless coverage - Shared Internet Service - Wi-Fi FIFA"/>
    <x v="1"/>
    <s v=""/>
    <s v="General Internet Access"/>
    <x v="1"/>
    <x v="1"/>
    <m/>
    <n v="0"/>
    <n v="0"/>
    <n v="1"/>
    <n v="0"/>
    <n v="0"/>
    <s v="LOC IT"/>
    <x v="1"/>
    <x v="43"/>
    <x v="104"/>
    <x v="33"/>
    <s v="LOC Workforce"/>
    <m/>
    <s v="NW"/>
  </r>
  <r>
    <s v="MFDLNW"/>
    <s v="MFD Large - Colour - A3 - Network"/>
    <x v="2"/>
    <s v=""/>
    <s v="General Internet Access"/>
    <x v="34"/>
    <x v="34"/>
    <m/>
    <n v="1"/>
    <n v="0"/>
    <n v="1"/>
    <n v="1"/>
    <n v="0"/>
    <s v="LOC IT"/>
    <x v="1"/>
    <x v="43"/>
    <x v="103"/>
    <x v="33"/>
    <s v="LOC Workforce"/>
    <m/>
    <s v="EU"/>
  </r>
  <r>
    <s v="LAPEVT"/>
    <s v="Laptop - FIFA Event Build"/>
    <x v="4"/>
    <s v=""/>
    <s v=""/>
    <x v="17"/>
    <x v="17"/>
    <m/>
    <n v="0"/>
    <n v="0"/>
    <n v="0"/>
    <n v="0"/>
    <n v="0"/>
    <s v="LOC IT"/>
    <x v="2"/>
    <x v="33"/>
    <x v="105"/>
    <x v="33"/>
    <s v="LOC Workforce"/>
    <s v="PK 17.09: Transferred to FAC scope"/>
    <s v="EU"/>
  </r>
  <r>
    <s v="DSKMNT"/>
    <s v="24&quot; Monitor - HDMI/DP"/>
    <x v="0"/>
    <s v=""/>
    <s v=""/>
    <x v="0"/>
    <x v="0"/>
    <m/>
    <n v="0"/>
    <n v="0"/>
    <n v="0"/>
    <n v="0"/>
    <n v="0"/>
    <s v="LOC IT"/>
    <x v="2"/>
    <x v="33"/>
    <x v="105"/>
    <x v="33"/>
    <s v="LOC Workforce"/>
    <s v="PK 17.09: Transferred to FAC scope"/>
    <s v="EU"/>
  </r>
  <r>
    <s v="TVLGIP"/>
    <s v="TV - Large - IPTV"/>
    <x v="3"/>
    <s v=""/>
    <s v=""/>
    <x v="5"/>
    <x v="5"/>
    <m/>
    <n v="0"/>
    <n v="0"/>
    <n v="0"/>
    <n v="0"/>
    <n v="0"/>
    <s v="LOC IT"/>
    <x v="2"/>
    <x v="33"/>
    <x v="105"/>
    <x v="33"/>
    <s v="LOC Workforce"/>
    <s v="PK 17.09: Transferred to FAC scope"/>
    <s v="AV"/>
  </r>
  <r>
    <s v="WRDGEN"/>
    <s v="Wired Port - General Internet "/>
    <x v="1"/>
    <s v=""/>
    <s v="General Internet Access"/>
    <x v="8"/>
    <x v="8"/>
    <m/>
    <n v="0"/>
    <n v="0"/>
    <n v="0"/>
    <n v="0"/>
    <n v="0"/>
    <s v="LOC IT"/>
    <x v="2"/>
    <x v="33"/>
    <x v="105"/>
    <x v="33"/>
    <s v="LOC Workforce"/>
    <s v="PK 17.09: Transferred to FAC scope"/>
    <s v="NW"/>
  </r>
  <r>
    <s v="MFDLNW"/>
    <s v="MFD Large - Colour - A3 - Network"/>
    <x v="2"/>
    <s v=""/>
    <s v="General Internet Access"/>
    <x v="34"/>
    <x v="34"/>
    <m/>
    <n v="0"/>
    <n v="0"/>
    <n v="0"/>
    <n v="0"/>
    <n v="0"/>
    <s v="LOC IT"/>
    <x v="2"/>
    <x v="33"/>
    <x v="105"/>
    <x v="33"/>
    <s v="LOC Workforce"/>
    <s v="PK 17.09: Transferred to FAC scope"/>
    <s v="EU"/>
  </r>
  <r>
    <s v="TELMOB"/>
    <s v="Telephone - Mobile - Smart Phone"/>
    <x v="7"/>
    <s v=""/>
    <s v=""/>
    <x v="21"/>
    <x v="21"/>
    <m/>
    <n v="0"/>
    <n v="0"/>
    <n v="0"/>
    <n v="0"/>
    <n v="0"/>
    <s v="LOC IT"/>
    <x v="2"/>
    <x v="33"/>
    <x v="105"/>
    <x v="33"/>
    <s v="LOC Workforce"/>
    <s v="PK 17.09: Transferred to FAC scope"/>
    <s v="Telco/SIM"/>
  </r>
  <r>
    <s v="IS00WF"/>
    <s v="Wireless coverage - Shared Internet Service - Wi-Fi FIFA"/>
    <x v="1"/>
    <s v=""/>
    <s v="General Internet Access"/>
    <x v="1"/>
    <x v="1"/>
    <m/>
    <n v="0"/>
    <n v="0"/>
    <n v="0"/>
    <n v="0"/>
    <n v="0"/>
    <s v="LOC IT"/>
    <x v="2"/>
    <x v="33"/>
    <x v="105"/>
    <x v="33"/>
    <s v="LOC Workforce"/>
    <s v="PK 17.09: Transferred to FAC scope"/>
    <s v="NW"/>
  </r>
  <r>
    <s v="TVLGSA"/>
    <s v="TV - Large - Standalone"/>
    <x v="5"/>
    <s v=""/>
    <s v=""/>
    <x v="15"/>
    <x v="15"/>
    <m/>
    <n v="0"/>
    <n v="0"/>
    <n v="0"/>
    <n v="0"/>
    <n v="0"/>
    <s v="LOC IT"/>
    <x v="2"/>
    <x v="33"/>
    <x v="105"/>
    <x v="33"/>
    <s v="LOC Workforce"/>
    <s v="PK 17.09: Transferred to FAC scope"/>
    <s v="EU"/>
  </r>
  <r>
    <s v="IS00WF"/>
    <s v="Wireless coverage - Shared Internet Service - Wi-Fi FIFA"/>
    <x v="1"/>
    <s v=""/>
    <s v="General Internet Access"/>
    <x v="1"/>
    <x v="1"/>
    <m/>
    <n v="0"/>
    <n v="0"/>
    <n v="0"/>
    <n v="0"/>
    <n v="0"/>
    <s v="LOC IT"/>
    <x v="2"/>
    <x v="44"/>
    <x v="106"/>
    <x v="33"/>
    <s v="LOC Workforce"/>
    <s v="PK 17.09: Transferred to FAC scope"/>
    <s v="NW"/>
  </r>
  <r>
    <s v="MFDDNW"/>
    <s v="MFD Desktop - Colour - A4 - Network"/>
    <x v="2"/>
    <s v=""/>
    <s v="General Internet Access"/>
    <x v="2"/>
    <x v="2"/>
    <m/>
    <n v="0"/>
    <n v="0"/>
    <n v="0"/>
    <n v="0"/>
    <n v="0"/>
    <s v="LOC IT"/>
    <x v="2"/>
    <x v="44"/>
    <x v="106"/>
    <x v="33"/>
    <s v="LOC Workforce"/>
    <s v="PK 17.09: Transferred to FAC scope"/>
    <s v="EU"/>
  </r>
  <r>
    <s v="LAPEVT"/>
    <s v="Laptop - FIFA Event Build"/>
    <x v="4"/>
    <s v=""/>
    <s v=""/>
    <x v="17"/>
    <x v="17"/>
    <m/>
    <n v="0"/>
    <n v="0"/>
    <n v="0"/>
    <n v="0"/>
    <n v="0"/>
    <s v="LOC IT"/>
    <x v="2"/>
    <x v="44"/>
    <x v="106"/>
    <x v="33"/>
    <s v="LOC Workforce"/>
    <s v="PK 17.09: Transferred to FAC scope"/>
    <s v="EU"/>
  </r>
  <r>
    <s v="DSKMNT"/>
    <s v="24&quot; Monitor - HDMI/DP"/>
    <x v="0"/>
    <s v=""/>
    <s v=""/>
    <x v="0"/>
    <x v="0"/>
    <m/>
    <n v="0"/>
    <n v="0"/>
    <n v="0"/>
    <n v="0"/>
    <n v="0"/>
    <s v="LOC IT"/>
    <x v="2"/>
    <x v="44"/>
    <x v="106"/>
    <x v="33"/>
    <s v="LOC Workforce"/>
    <s v="PK 17.09: Transferred to FAC scope"/>
    <s v="EU"/>
  </r>
  <r>
    <s v="ACCBAR"/>
    <s v="Barcode scanner"/>
    <x v="0"/>
    <s v=""/>
    <s v=""/>
    <x v="39"/>
    <x v="39"/>
    <m/>
    <n v="0"/>
    <n v="0"/>
    <n v="0"/>
    <n v="0"/>
    <n v="0"/>
    <s v="LOC IT"/>
    <x v="2"/>
    <x v="44"/>
    <x v="106"/>
    <x v="33"/>
    <s v="LOC Workforce"/>
    <s v="PK 17.09: Transferred to FAC scope"/>
    <s v="EU"/>
  </r>
  <r>
    <s v="TVLGSA"/>
    <s v="TV - Large - Standalone"/>
    <x v="5"/>
    <s v=""/>
    <s v=""/>
    <x v="15"/>
    <x v="15"/>
    <m/>
    <n v="0"/>
    <n v="0"/>
    <n v="0"/>
    <n v="0"/>
    <n v="0"/>
    <s v="LOC IT"/>
    <x v="2"/>
    <x v="44"/>
    <x v="106"/>
    <x v="33"/>
    <s v="LOC Workforce"/>
    <s v="PK 17.09: Transferred to FAC scope"/>
    <s v="EU"/>
  </r>
  <r>
    <s v="LAPEVT"/>
    <s v="Laptop - FIFA Event Build"/>
    <x v="4"/>
    <s v=""/>
    <s v=""/>
    <x v="17"/>
    <x v="17"/>
    <m/>
    <n v="0"/>
    <n v="0"/>
    <n v="0"/>
    <n v="0"/>
    <n v="0"/>
    <s v="LOC IT"/>
    <x v="2"/>
    <x v="44"/>
    <x v="107"/>
    <x v="33"/>
    <s v="LOC Workforce"/>
    <s v="PK 17.09: Transferred to FAC scope"/>
    <s v="EU"/>
  </r>
  <r>
    <s v="IS00WF"/>
    <s v="Wireless coverage - Shared Internet Service - Wi-Fi FIFA"/>
    <x v="1"/>
    <s v=""/>
    <s v="General Internet Access"/>
    <x v="1"/>
    <x v="1"/>
    <m/>
    <n v="0"/>
    <n v="0"/>
    <n v="0"/>
    <n v="0"/>
    <n v="0"/>
    <s v="LOC IT"/>
    <x v="2"/>
    <x v="44"/>
    <x v="107"/>
    <x v="33"/>
    <s v="LOC Workforce"/>
    <s v="PK 17.09: Transferred to FAC scope"/>
    <s v="NW"/>
  </r>
  <r>
    <s v="TELMOB"/>
    <s v="Telephone - Mobile - Smart Phone"/>
    <x v="7"/>
    <s v=""/>
    <s v=""/>
    <x v="21"/>
    <x v="21"/>
    <m/>
    <n v="0"/>
    <n v="0"/>
    <n v="0"/>
    <n v="0"/>
    <n v="0"/>
    <s v="LOC IT"/>
    <x v="2"/>
    <x v="44"/>
    <x v="107"/>
    <x v="33"/>
    <s v="LOC Workforce"/>
    <s v="PK 17.09: Transferred to FAC scope"/>
    <s v="Telco/SIM"/>
  </r>
  <r>
    <s v="TVLGIP"/>
    <s v="TV - Large - IPTV"/>
    <x v="3"/>
    <s v=""/>
    <s v=""/>
    <x v="5"/>
    <x v="5"/>
    <m/>
    <n v="0"/>
    <n v="0"/>
    <n v="0"/>
    <n v="0"/>
    <n v="0"/>
    <s v="LOC IT"/>
    <x v="2"/>
    <x v="44"/>
    <x v="107"/>
    <x v="33"/>
    <s v="LOC Workforce"/>
    <s v="PK 17.09: Transferred to FAC scope"/>
    <s v="AV"/>
  </r>
  <r>
    <s v="PORSPE"/>
    <s v="Portable Speaker"/>
    <x v="0"/>
    <s v=""/>
    <s v=""/>
    <x v="14"/>
    <x v="14"/>
    <m/>
    <n v="0"/>
    <n v="0"/>
    <n v="0"/>
    <n v="0"/>
    <n v="0"/>
    <s v="LOC IT"/>
    <x v="2"/>
    <x v="44"/>
    <x v="107"/>
    <x v="33"/>
    <s v="LOC Workforce"/>
    <s v="PK 17.09: Transferred to FAC scope"/>
    <s v="EU"/>
  </r>
  <r>
    <s v="IS00WS"/>
    <s v="Wireless coverage - Shared Internet Service - Wi-Fi FOOTBALL"/>
    <x v="1"/>
    <s v=""/>
    <s v="VIP Internet Access"/>
    <x v="36"/>
    <x v="36"/>
    <m/>
    <n v="0"/>
    <n v="0"/>
    <n v="1"/>
    <n v="0"/>
    <n v="0"/>
    <s v="LOC IT"/>
    <x v="0"/>
    <x v="45"/>
    <x v="56"/>
    <x v="34"/>
    <s v="LOC Competition"/>
    <m/>
    <s v="NW"/>
  </r>
  <r>
    <s v="TVLGIP"/>
    <s v="TV - Large - IPTV"/>
    <x v="3"/>
    <s v=""/>
    <s v=""/>
    <x v="5"/>
    <x v="5"/>
    <m/>
    <n v="1"/>
    <n v="0"/>
    <n v="1"/>
    <n v="1"/>
    <n v="0"/>
    <s v="LOC IT"/>
    <x v="0"/>
    <x v="45"/>
    <x v="56"/>
    <x v="34"/>
    <s v="LOC Competition"/>
    <m/>
    <s v="AV"/>
  </r>
  <r>
    <s v="IS00WF"/>
    <s v="Wireless coverage - Shared Internet Service - Wi-Fi FIFA"/>
    <x v="1"/>
    <s v=""/>
    <s v="General Internet Access"/>
    <x v="1"/>
    <x v="1"/>
    <m/>
    <n v="0"/>
    <n v="0"/>
    <n v="2"/>
    <n v="0"/>
    <n v="0"/>
    <s v="LOC IT"/>
    <x v="0"/>
    <x v="36"/>
    <x v="108"/>
    <x v="35"/>
    <s v="LOC Mobility"/>
    <m/>
    <s v="NW"/>
  </r>
  <r>
    <s v="MFDDNW"/>
    <s v="MFD Desktop - Colour - A4 - Network"/>
    <x v="2"/>
    <s v=""/>
    <s v="General Internet Access"/>
    <x v="2"/>
    <x v="2"/>
    <m/>
    <n v="1"/>
    <n v="0"/>
    <n v="1"/>
    <n v="1"/>
    <n v="0"/>
    <s v="LOC IT"/>
    <x v="0"/>
    <x v="36"/>
    <x v="108"/>
    <x v="35"/>
    <s v="LOC Mobility"/>
    <m/>
    <s v="EU"/>
  </r>
  <r>
    <s v="MFDDNW"/>
    <s v="MFD Desktop - Colour - A4 - Network"/>
    <x v="2"/>
    <s v=""/>
    <s v="General Internet Access"/>
    <x v="2"/>
    <x v="2"/>
    <m/>
    <n v="0"/>
    <n v="0"/>
    <n v="0"/>
    <n v="0"/>
    <n v="0"/>
    <s v="LOC IT"/>
    <x v="2"/>
    <x v="46"/>
    <x v="109"/>
    <x v="35"/>
    <s v="LOC Mobility"/>
    <s v="PK 17.09: Transferred to FAC scope"/>
    <s v="EU"/>
  </r>
  <r>
    <s v="LAPEVT"/>
    <s v="Laptop - FIFA Event Build"/>
    <x v="4"/>
    <s v=""/>
    <s v=""/>
    <x v="17"/>
    <x v="17"/>
    <m/>
    <n v="0"/>
    <n v="0"/>
    <n v="0"/>
    <n v="0"/>
    <n v="0"/>
    <s v="LOC IT"/>
    <x v="2"/>
    <x v="46"/>
    <x v="109"/>
    <x v="35"/>
    <s v="LOC Mobility"/>
    <s v="PK 17.09: Transferred to FAC scope"/>
    <s v="EU"/>
  </r>
  <r>
    <s v="DSKMNT"/>
    <s v="24&quot; Monitor - HDMI/DP"/>
    <x v="0"/>
    <s v=""/>
    <s v=""/>
    <x v="0"/>
    <x v="0"/>
    <m/>
    <n v="0"/>
    <n v="0"/>
    <n v="0"/>
    <n v="0"/>
    <n v="0"/>
    <s v="LOC IT"/>
    <x v="2"/>
    <x v="46"/>
    <x v="109"/>
    <x v="35"/>
    <s v="LOC Mobility"/>
    <s v="PK 17.09: Transferred to FAC scope"/>
    <s v="EU"/>
  </r>
  <r>
    <s v="IS00WF"/>
    <s v="Wireless coverage - Shared Internet Service - Wi-Fi FIFA"/>
    <x v="1"/>
    <s v=""/>
    <s v="General Internet Access"/>
    <x v="1"/>
    <x v="1"/>
    <m/>
    <n v="0"/>
    <n v="0"/>
    <n v="0"/>
    <n v="0"/>
    <n v="0"/>
    <s v="LOC IT"/>
    <x v="2"/>
    <x v="46"/>
    <x v="109"/>
    <x v="35"/>
    <s v="LOC Mobility"/>
    <s v="PK 17.09: Transferred to FAC scope"/>
    <s v="NW"/>
  </r>
  <r>
    <s v="ACCBAR"/>
    <s v="Barcode scanner"/>
    <x v="0"/>
    <s v=""/>
    <s v=""/>
    <x v="39"/>
    <x v="39"/>
    <m/>
    <n v="0"/>
    <n v="0"/>
    <n v="0"/>
    <n v="0"/>
    <n v="0"/>
    <s v="LOC IT"/>
    <x v="2"/>
    <x v="46"/>
    <x v="109"/>
    <x v="35"/>
    <s v="LOC Mobility"/>
    <s v="PK 17.09: Transferred to FAC scope"/>
    <s v="EU"/>
  </r>
  <r>
    <s v="TVLGIP"/>
    <s v="TV - Large - IPTV"/>
    <x v="3"/>
    <s v=""/>
    <s v=""/>
    <x v="5"/>
    <x v="5"/>
    <m/>
    <n v="0"/>
    <n v="0"/>
    <n v="0"/>
    <n v="0"/>
    <n v="0"/>
    <s v="LOC IT"/>
    <x v="2"/>
    <x v="46"/>
    <x v="110"/>
    <x v="35"/>
    <s v="LOC Mobility"/>
    <s v="PK 17.09: Transferred to FAC scope"/>
    <s v="AV"/>
  </r>
  <r>
    <s v="TVLGSA"/>
    <s v="TV - Large - Standalone"/>
    <x v="5"/>
    <s v=""/>
    <s v=""/>
    <x v="15"/>
    <x v="15"/>
    <m/>
    <n v="0"/>
    <n v="0"/>
    <n v="0"/>
    <n v="0"/>
    <n v="0"/>
    <s v="LOC IT"/>
    <x v="2"/>
    <x v="46"/>
    <x v="110"/>
    <x v="35"/>
    <s v="LOC Mobility"/>
    <s v="PK 17.09: Transferred to FAC scope"/>
    <s v="EU"/>
  </r>
  <r>
    <s v="MFDLNW"/>
    <s v="MFD Large - Colour - A3 - Network"/>
    <x v="2"/>
    <s v=""/>
    <s v="General Internet Access"/>
    <x v="34"/>
    <x v="34"/>
    <m/>
    <n v="0"/>
    <n v="0"/>
    <n v="0"/>
    <n v="0"/>
    <n v="0"/>
    <s v="LOC IT"/>
    <x v="2"/>
    <x v="46"/>
    <x v="110"/>
    <x v="35"/>
    <s v="LOC Mobility"/>
    <s v="PK 17.09: Transferred to FAC scope"/>
    <s v="EU"/>
  </r>
  <r>
    <s v="WRDSTA"/>
    <s v="Wired Port - ACR-TKT-Ipcodec"/>
    <x v="1"/>
    <s v=""/>
    <s v="FIFA Standard Internet Access"/>
    <x v="12"/>
    <x v="12"/>
    <m/>
    <n v="8"/>
    <n v="0"/>
    <n v="8"/>
    <n v="8"/>
    <n v="0"/>
    <s v="LOC IT"/>
    <x v="0"/>
    <x v="36"/>
    <x v="111"/>
    <x v="36"/>
    <s v="LOC Ticketing"/>
    <s v="PK 18.09: 2 STC 4 cables for laptops"/>
    <s v="NW"/>
  </r>
  <r>
    <s v="IS00WF"/>
    <s v="Wireless coverage - Shared Internet Service - Wi-Fi FIFA"/>
    <x v="1"/>
    <s v=""/>
    <s v="General Internet Access"/>
    <x v="1"/>
    <x v="1"/>
    <m/>
    <n v="0"/>
    <n v="0"/>
    <n v="2"/>
    <n v="0"/>
    <n v="0"/>
    <s v="LOC IT"/>
    <x v="0"/>
    <x v="36"/>
    <x v="111"/>
    <x v="36"/>
    <s v="LOC Ticketing"/>
    <s v="PK 18.09: 2 STC , wifi in each"/>
    <s v="NW"/>
  </r>
  <r>
    <s v="MFDDNW"/>
    <s v="MFD Desktop - Colour - A4 - Network"/>
    <x v="2"/>
    <s v=""/>
    <s v="General Internet Access"/>
    <x v="2"/>
    <x v="2"/>
    <m/>
    <n v="2"/>
    <n v="0"/>
    <n v="2"/>
    <n v="2"/>
    <n v="0"/>
    <s v="LOC IT"/>
    <x v="0"/>
    <x v="36"/>
    <x v="111"/>
    <x v="36"/>
    <s v="LOC Ticketing"/>
    <s v="PK 18.09: 2 STC 1 printer each"/>
    <s v="EU"/>
  </r>
  <r>
    <s v="ITSR4G"/>
    <s v="IT Solution - Router + 4G"/>
    <x v="6"/>
    <s v=""/>
    <s v=""/>
    <x v="38"/>
    <x v="38"/>
    <m/>
    <n v="0"/>
    <n v="2"/>
    <n v="2"/>
    <n v="0"/>
    <n v="2"/>
    <s v="LOC IT"/>
    <x v="0"/>
    <x v="36"/>
    <x v="111"/>
    <x v="36"/>
    <s v="LOC Ticketing"/>
    <s v="PK 18.09: 2 STC 1 mifi each"/>
    <s v="NW"/>
  </r>
  <r>
    <s v="LAPEVT"/>
    <s v="Laptop - FIFA Event Build"/>
    <x v="4"/>
    <s v=""/>
    <s v=""/>
    <x v="17"/>
    <x v="17"/>
    <m/>
    <n v="0"/>
    <n v="0"/>
    <n v="0"/>
    <n v="0"/>
    <n v="0"/>
    <s v="LOC IT"/>
    <x v="0"/>
    <x v="36"/>
    <x v="111"/>
    <x v="36"/>
    <s v="LOC Ticketing"/>
    <s v="PK 18.09: laptops from TKT supplier"/>
    <s v="EU"/>
  </r>
  <r>
    <s v="IS00WF"/>
    <s v="Wireless coverage - Shared Internet Service - Wi-Fi FIFA"/>
    <x v="1"/>
    <s v=""/>
    <s v="General Internet Access"/>
    <x v="1"/>
    <x v="1"/>
    <m/>
    <n v="0"/>
    <n v="0"/>
    <n v="2"/>
    <n v="0"/>
    <n v="0"/>
    <s v="LOC IT"/>
    <x v="0"/>
    <x v="36"/>
    <x v="112"/>
    <x v="36"/>
    <s v="LOC Ticketing"/>
    <s v="PK 18.09: 2 PSA, wifi in each"/>
    <s v="NW"/>
  </r>
  <r>
    <s v="SIMDAT"/>
    <s v="SIM - Data Only"/>
    <x v="7"/>
    <s v=""/>
    <s v=""/>
    <x v="18"/>
    <x v="18"/>
    <m/>
    <n v="0"/>
    <n v="15"/>
    <n v="15"/>
    <n v="0"/>
    <n v="15"/>
    <s v="LOC IT"/>
    <x v="0"/>
    <x v="36"/>
    <x v="113"/>
    <x v="36"/>
    <s v="LOC Ticketing"/>
    <s v="PK 18.09: covered in request from Hayya"/>
    <s v="Telco/SIM"/>
  </r>
  <r>
    <s v="WRDSTA"/>
    <s v="Wired Port - ACR-TKT-Ipcodec"/>
    <x v="1"/>
    <s v=""/>
    <s v="FIFA Standard Internet Access"/>
    <x v="12"/>
    <x v="12"/>
    <m/>
    <n v="0"/>
    <n v="0"/>
    <n v="0"/>
    <n v="0"/>
    <n v="0"/>
    <s v="LOC IT"/>
    <x v="0"/>
    <x v="47"/>
    <x v="114"/>
    <x v="36"/>
    <s v="LOC Ticketing"/>
    <s v="PK 18.09: no TRP"/>
    <s v="NW"/>
  </r>
  <r>
    <s v="IS00WF"/>
    <s v="Wireless coverage - Shared Internet Service - Wi-Fi FIFA"/>
    <x v="1"/>
    <s v=""/>
    <s v="General Internet Access"/>
    <x v="1"/>
    <x v="1"/>
    <m/>
    <n v="0"/>
    <n v="0"/>
    <n v="0"/>
    <n v="0"/>
    <n v="0"/>
    <s v="LOC IT"/>
    <x v="0"/>
    <x v="47"/>
    <x v="114"/>
    <x v="36"/>
    <s v="LOC Ticketing"/>
    <s v="PK 18.09: no TRP"/>
    <s v="NW"/>
  </r>
  <r>
    <s v="ITSR4G"/>
    <s v="IT Solution - Router + 4G"/>
    <x v="6"/>
    <s v=""/>
    <s v=""/>
    <x v="38"/>
    <x v="38"/>
    <m/>
    <n v="0"/>
    <n v="0"/>
    <n v="0"/>
    <n v="0"/>
    <n v="0"/>
    <s v="LOC IT"/>
    <x v="0"/>
    <x v="47"/>
    <x v="114"/>
    <x v="36"/>
    <s v="LOC Ticketing"/>
    <s v="PK 18.09: no TRP"/>
    <s v="NW"/>
  </r>
  <r>
    <s v="LAPEVT"/>
    <s v="Laptop - FIFA Event Build"/>
    <x v="4"/>
    <s v=""/>
    <s v=""/>
    <x v="17"/>
    <x v="17"/>
    <m/>
    <n v="0"/>
    <n v="0"/>
    <n v="0"/>
    <n v="0"/>
    <n v="0"/>
    <s v="LOC IT"/>
    <x v="0"/>
    <x v="47"/>
    <x v="114"/>
    <x v="36"/>
    <s v="LOC Ticketing"/>
    <s v="PK 18.09: no TRP"/>
    <s v="EU"/>
  </r>
  <r>
    <s v="IS00WF"/>
    <s v="Wireless coverage - Shared Internet Service - Wi-Fi FIFA"/>
    <x v="1"/>
    <s v=""/>
    <s v="General Internet Access"/>
    <x v="1"/>
    <x v="1"/>
    <m/>
    <n v="0"/>
    <n v="0"/>
    <n v="2"/>
    <n v="0"/>
    <n v="0"/>
    <s v="LOC IT"/>
    <x v="0"/>
    <x v="47"/>
    <x v="115"/>
    <x v="36"/>
    <s v="LOC Ticketing"/>
    <s v="PK 18.09: pitch 5 and 7"/>
    <s v="NW"/>
  </r>
  <r>
    <s v="SIMDAT"/>
    <s v="SIM - Data Only"/>
    <x v="7"/>
    <s v=""/>
    <s v=""/>
    <x v="18"/>
    <x v="18"/>
    <m/>
    <n v="0"/>
    <n v="32"/>
    <n v="32"/>
    <n v="0"/>
    <n v="32"/>
    <s v="LOC IT"/>
    <x v="0"/>
    <x v="47"/>
    <x v="115"/>
    <x v="36"/>
    <s v="LOC Ticketing"/>
    <s v="PK 18.09: pitch 5 and 7, not covered in reuest from Haya"/>
    <s v="Telco/SIM"/>
  </r>
  <r>
    <s v="IS00WF"/>
    <s v="Wireless coverage - Shared Internet Service - Wi-Fi FIFA"/>
    <x v="1"/>
    <s v=""/>
    <s v="General Internet Access"/>
    <x v="1"/>
    <x v="1"/>
    <m/>
    <n v="0"/>
    <n v="0"/>
    <n v="0"/>
    <n v="0"/>
    <n v="0"/>
    <s v="LOC IT"/>
    <x v="0"/>
    <x v="33"/>
    <x v="116"/>
    <x v="36"/>
    <s v="LOC Ticketing"/>
    <s v="PK 18.09: no TKT office"/>
    <s v="NW"/>
  </r>
  <r>
    <s v="WRDSTA"/>
    <s v="Wired Port - ACR-TKT-Ipcodec"/>
    <x v="1"/>
    <s v=""/>
    <s v="FIFA Standard Internet Access"/>
    <x v="12"/>
    <x v="12"/>
    <m/>
    <n v="0"/>
    <n v="0"/>
    <n v="0"/>
    <n v="0"/>
    <n v="0"/>
    <s v="LOC IT"/>
    <x v="0"/>
    <x v="33"/>
    <x v="116"/>
    <x v="36"/>
    <s v="LOC Ticketing"/>
    <s v="PK 18.09: no TKT office"/>
    <s v="NW"/>
  </r>
  <r>
    <s v="MFDLNW"/>
    <s v="MFD Large - Colour - A3 - Network"/>
    <x v="2"/>
    <s v=""/>
    <s v="General Internet Access"/>
    <x v="34"/>
    <x v="34"/>
    <m/>
    <n v="0"/>
    <n v="0"/>
    <n v="0"/>
    <n v="0"/>
    <n v="0"/>
    <s v="LOC IT"/>
    <x v="0"/>
    <x v="33"/>
    <x v="116"/>
    <x v="36"/>
    <s v="LOC Ticketing"/>
    <s v="PK 18.09: no TKT office"/>
    <s v="EU"/>
  </r>
  <r>
    <s v="TVLGSA"/>
    <s v="TV - Large - Standalone"/>
    <x v="5"/>
    <s v=""/>
    <s v=""/>
    <x v="15"/>
    <x v="15"/>
    <m/>
    <n v="0"/>
    <n v="0"/>
    <n v="0"/>
    <n v="0"/>
    <n v="0"/>
    <s v="LOC IT"/>
    <x v="0"/>
    <x v="33"/>
    <x v="116"/>
    <x v="36"/>
    <s v="LOC Ticketing"/>
    <s v="PK 18.09: no TKT office"/>
    <s v="EU"/>
  </r>
  <r>
    <s v="WRDSTA"/>
    <s v="Wired Port - ACR-TKT-Ipcodec"/>
    <x v="1"/>
    <s v=""/>
    <s v="FIFA Standard Internet Access"/>
    <x v="12"/>
    <x v="12"/>
    <m/>
    <n v="0"/>
    <n v="0"/>
    <n v="0"/>
    <n v="0"/>
    <n v="0"/>
    <s v="LOC IT"/>
    <x v="0"/>
    <x v="33"/>
    <x v="117"/>
    <x v="36"/>
    <s v="LOC Ticketing"/>
    <s v="PK 18.09: no EACS office"/>
    <s v="NW"/>
  </r>
  <r>
    <s v="IS00WF"/>
    <s v="Wireless coverage - Shared Internet Service - Wi-Fi FIFA"/>
    <x v="1"/>
    <s v=""/>
    <s v="General Internet Access"/>
    <x v="1"/>
    <x v="1"/>
    <m/>
    <n v="0"/>
    <n v="0"/>
    <n v="0"/>
    <n v="0"/>
    <n v="0"/>
    <s v="LOC IT"/>
    <x v="0"/>
    <x v="33"/>
    <x v="117"/>
    <x v="36"/>
    <s v="LOC Ticketing"/>
    <s v="PK 18.09: no EACS office"/>
    <s v="NW"/>
  </r>
  <r>
    <s v="MFDDNW"/>
    <s v="MFD Desktop - Colour - A4 - Network"/>
    <x v="2"/>
    <s v=""/>
    <s v="General Internet Access"/>
    <x v="2"/>
    <x v="2"/>
    <m/>
    <n v="0"/>
    <n v="0"/>
    <n v="0"/>
    <n v="0"/>
    <n v="0"/>
    <s v="LOC IT"/>
    <x v="0"/>
    <x v="33"/>
    <x v="117"/>
    <x v="36"/>
    <s v="LOC Ticketing"/>
    <s v="PK 18.09: no EACS office"/>
    <s v="EU"/>
  </r>
  <r>
    <s v="WRDSTA"/>
    <s v="Wired Port - ACR-TKT-Ipcodec"/>
    <x v="1"/>
    <s v=""/>
    <s v="FIFA Standard Internet Access"/>
    <x v="12"/>
    <x v="12"/>
    <m/>
    <n v="2"/>
    <n v="0"/>
    <n v="2"/>
    <n v="2"/>
    <n v="0"/>
    <s v="LOC IT"/>
    <x v="0"/>
    <x v="27"/>
    <x v="118"/>
    <x v="36"/>
    <s v="LOC Ticketing"/>
    <s v="&quot;2 x wired ports for 2 x laptops_x000a_EACS network - TBC, Dedicated VLAN - TBD&quot;"/>
    <s v="NW"/>
  </r>
  <r>
    <s v="LAPEVT"/>
    <s v="Laptop - FIFA Event Build"/>
    <x v="4"/>
    <s v=""/>
    <s v=""/>
    <x v="17"/>
    <x v="17"/>
    <m/>
    <n v="0"/>
    <n v="0"/>
    <n v="2"/>
    <n v="0"/>
    <n v="0"/>
    <s v="LOC IT"/>
    <x v="0"/>
    <x v="33"/>
    <x v="118"/>
    <x v="36"/>
    <s v="LOC Ticketing"/>
    <s v="PK 18.09: 2 laptops from LOC"/>
    <s v="EU"/>
  </r>
  <r>
    <s v="TVLGSA"/>
    <s v="TV - Large - Standalone"/>
    <x v="5"/>
    <s v=""/>
    <s v=""/>
    <x v="15"/>
    <x v="15"/>
    <m/>
    <n v="0"/>
    <n v="0"/>
    <n v="1"/>
    <n v="0"/>
    <n v="0"/>
    <s v="LOC IT"/>
    <x v="0"/>
    <x v="33"/>
    <x v="118"/>
    <x v="36"/>
    <s v="LOC Ticketing"/>
    <s v="PK 18.09: TV depends on VOC setup"/>
    <s v="EU"/>
  </r>
  <r>
    <s v="WRDSTA"/>
    <s v="Wired Port - ACR-TKT-Ipcodec"/>
    <x v="1"/>
    <s v=""/>
    <s v="FIFA Standard Internet Access"/>
    <x v="12"/>
    <x v="12"/>
    <m/>
    <n v="0"/>
    <n v="0"/>
    <n v="0"/>
    <n v="0"/>
    <n v="0"/>
    <s v="LOC IT"/>
    <x v="1"/>
    <x v="37"/>
    <x v="119"/>
    <x v="36"/>
    <s v="LOC Ticketing"/>
    <s v="PK 21.09: reflected in FAC TEAP"/>
    <s v="NW"/>
  </r>
  <r>
    <s v="IS00WF"/>
    <s v="Wireless coverage - Shared Internet Service - Wi-Fi FIFA"/>
    <x v="1"/>
    <s v=""/>
    <s v="General Internet Access"/>
    <x v="1"/>
    <x v="1"/>
    <m/>
    <n v="0"/>
    <n v="0"/>
    <n v="0"/>
    <n v="0"/>
    <n v="0"/>
    <s v="LOC IT"/>
    <x v="1"/>
    <x v="37"/>
    <x v="119"/>
    <x v="36"/>
    <s v="LOC Ticketing"/>
    <s v="PK 21.09: reflected in FAC TEAP"/>
    <s v="NW"/>
  </r>
  <r>
    <s v="MFDDNW"/>
    <s v="MFD Desktop - Colour - A4 - Network"/>
    <x v="2"/>
    <s v=""/>
    <s v="General Internet Access"/>
    <x v="2"/>
    <x v="2"/>
    <m/>
    <n v="0"/>
    <n v="0"/>
    <n v="0"/>
    <n v="0"/>
    <n v="0"/>
    <s v="LOC IT"/>
    <x v="1"/>
    <x v="37"/>
    <x v="119"/>
    <x v="36"/>
    <s v="LOC Ticketing"/>
    <s v="PK 21.09: reflected in FAC TEAP"/>
    <s v="EU"/>
  </r>
  <r>
    <s v="ITSR4G"/>
    <s v="IT Solution - Router + 4G"/>
    <x v="6"/>
    <s v=""/>
    <s v=""/>
    <x v="38"/>
    <x v="38"/>
    <m/>
    <n v="0"/>
    <n v="0"/>
    <n v="0"/>
    <n v="0"/>
    <n v="0"/>
    <s v="LOC IT"/>
    <x v="1"/>
    <x v="37"/>
    <x v="119"/>
    <x v="36"/>
    <s v="LOC Ticketing"/>
    <s v="PK 21.09: reflected in FAC TEAP"/>
    <s v="NW"/>
  </r>
  <r>
    <s v="LAPEVT"/>
    <s v="Laptop - FIFA Event Build"/>
    <x v="4"/>
    <s v=""/>
    <s v=""/>
    <x v="17"/>
    <x v="17"/>
    <m/>
    <n v="0"/>
    <n v="0"/>
    <n v="0"/>
    <n v="0"/>
    <n v="0"/>
    <s v="LOC IT"/>
    <x v="1"/>
    <x v="37"/>
    <x v="119"/>
    <x v="36"/>
    <s v="LOC Ticketing"/>
    <s v="PK 21.09: reflected in FAC TEAP"/>
    <s v="EU"/>
  </r>
  <r>
    <s v="IS00WF"/>
    <s v="Wireless coverage - Shared Internet Service - Wi-Fi FIFA"/>
    <x v="1"/>
    <s v=""/>
    <s v="General Internet Access"/>
    <x v="1"/>
    <x v="1"/>
    <m/>
    <n v="0"/>
    <n v="0"/>
    <n v="0"/>
    <n v="0"/>
    <n v="0"/>
    <s v="LOC IT"/>
    <x v="1"/>
    <x v="37"/>
    <x v="120"/>
    <x v="36"/>
    <s v="LOC Ticketing"/>
    <s v="PK 21.09: reflected in FAC TEAP"/>
    <s v="NW"/>
  </r>
  <r>
    <s v="SIMDAT"/>
    <s v="SIM - Data Only"/>
    <x v="7"/>
    <s v=""/>
    <s v=""/>
    <x v="18"/>
    <x v="18"/>
    <m/>
    <n v="0"/>
    <n v="0"/>
    <n v="0"/>
    <n v="0"/>
    <n v="0"/>
    <s v="LOC IT"/>
    <x v="1"/>
    <x v="37"/>
    <x v="120"/>
    <x v="36"/>
    <s v="LOC Ticketing"/>
    <s v="PK 21.09: reflected in FAC TEAP"/>
    <s v="Telco/SIM"/>
  </r>
  <r>
    <s v="WRDSTA"/>
    <s v="Wired Port - ACR-TKT-Ipcodec"/>
    <x v="1"/>
    <s v=""/>
    <s v="FIFA Standard Internet Access"/>
    <x v="12"/>
    <x v="12"/>
    <m/>
    <n v="0"/>
    <n v="0"/>
    <n v="0"/>
    <n v="0"/>
    <n v="0"/>
    <s v="LOC IT"/>
    <x v="1"/>
    <x v="42"/>
    <x v="121"/>
    <x v="36"/>
    <s v="LOC Ticketing"/>
    <s v="PK 21.09: reflected in FAC TEAP"/>
    <s v="NW"/>
  </r>
  <r>
    <s v="IS00WF"/>
    <s v="Wireless coverage - Shared Internet Service - Wi-Fi FIFA"/>
    <x v="1"/>
    <s v=""/>
    <s v="General Internet Access"/>
    <x v="1"/>
    <x v="1"/>
    <m/>
    <n v="0"/>
    <n v="0"/>
    <n v="0"/>
    <n v="0"/>
    <n v="0"/>
    <s v="LOC IT"/>
    <x v="1"/>
    <x v="42"/>
    <x v="121"/>
    <x v="36"/>
    <s v="LOC Ticketing"/>
    <s v="PK 21.09: reflected in FAC TEAP"/>
    <s v="NW"/>
  </r>
  <r>
    <s v="ITSR4G"/>
    <s v="IT Solution - Router + 4G"/>
    <x v="6"/>
    <s v=""/>
    <s v=""/>
    <x v="38"/>
    <x v="38"/>
    <m/>
    <n v="0"/>
    <n v="0"/>
    <n v="0"/>
    <n v="0"/>
    <n v="0"/>
    <s v="LOC IT"/>
    <x v="1"/>
    <x v="42"/>
    <x v="121"/>
    <x v="36"/>
    <s v="LOC Ticketing"/>
    <s v="PK 21.09: reflected in FAC TEAP"/>
    <s v="NW"/>
  </r>
  <r>
    <s v="LAPEVT"/>
    <s v="Laptop - FIFA Event Build"/>
    <x v="4"/>
    <s v=""/>
    <s v=""/>
    <x v="17"/>
    <x v="17"/>
    <m/>
    <n v="0"/>
    <n v="0"/>
    <n v="0"/>
    <n v="0"/>
    <n v="0"/>
    <s v="LOC IT"/>
    <x v="1"/>
    <x v="42"/>
    <x v="121"/>
    <x v="36"/>
    <s v="LOC Ticketing"/>
    <s v="PK 21.09: reflected in FAC TEAP"/>
    <s v="EU"/>
  </r>
  <r>
    <s v="IS00WF"/>
    <s v="Wireless coverage - Shared Internet Service - Wi-Fi FIFA"/>
    <x v="1"/>
    <s v=""/>
    <s v="General Internet Access"/>
    <x v="1"/>
    <x v="1"/>
    <m/>
    <n v="0"/>
    <n v="0"/>
    <n v="0"/>
    <n v="0"/>
    <n v="0"/>
    <s v="LOC IT"/>
    <x v="1"/>
    <x v="42"/>
    <x v="122"/>
    <x v="36"/>
    <s v="LOC Ticketing"/>
    <s v="PK 21.09: reflected in FAC TEAP"/>
    <s v="NW"/>
  </r>
  <r>
    <s v="IS00WF"/>
    <s v="Wireless coverage - Shared Internet Service - Wi-Fi FIFA"/>
    <x v="1"/>
    <s v=""/>
    <s v="General Internet Access"/>
    <x v="1"/>
    <x v="1"/>
    <m/>
    <n v="0"/>
    <n v="0"/>
    <n v="0"/>
    <n v="0"/>
    <n v="0"/>
    <s v="LOC IT"/>
    <x v="1"/>
    <x v="8"/>
    <x v="116"/>
    <x v="36"/>
    <s v="LOC Ticketing"/>
    <s v="PK 21.09: reflected in FAC TEAP"/>
    <s v="NW"/>
  </r>
  <r>
    <s v="WRDSTA"/>
    <s v="Wired Port - ACR-TKT-Ipcodec"/>
    <x v="1"/>
    <s v=""/>
    <s v="FIFA Standard Internet Access"/>
    <x v="12"/>
    <x v="12"/>
    <m/>
    <n v="0"/>
    <n v="0"/>
    <n v="0"/>
    <n v="0"/>
    <n v="0"/>
    <s v="LOC IT"/>
    <x v="1"/>
    <x v="8"/>
    <x v="116"/>
    <x v="36"/>
    <s v="LOC Ticketing"/>
    <s v="PK 21.09: reflected in FAC TEAP"/>
    <s v="NW"/>
  </r>
  <r>
    <s v="MFDLNW"/>
    <s v="MFD Large - Colour - A3 - Network"/>
    <x v="2"/>
    <s v=""/>
    <s v="General Internet Access"/>
    <x v="34"/>
    <x v="34"/>
    <m/>
    <n v="0"/>
    <n v="0"/>
    <n v="0"/>
    <n v="0"/>
    <n v="0"/>
    <s v="LOC IT"/>
    <x v="1"/>
    <x v="8"/>
    <x v="116"/>
    <x v="36"/>
    <s v="LOC Ticketing"/>
    <s v="PK 21.09: reflected in FAC TEAP"/>
    <s v="EU"/>
  </r>
  <r>
    <s v="TVLGSA"/>
    <s v="TV - Large - Standalone"/>
    <x v="5"/>
    <s v=""/>
    <s v=""/>
    <x v="15"/>
    <x v="15"/>
    <m/>
    <n v="0"/>
    <n v="0"/>
    <n v="0"/>
    <n v="0"/>
    <n v="0"/>
    <s v="LOC IT"/>
    <x v="1"/>
    <x v="8"/>
    <x v="116"/>
    <x v="36"/>
    <s v="LOC Ticketing"/>
    <s v="PK 21.09: reflected in FAC TEAP"/>
    <s v="EU"/>
  </r>
  <r>
    <s v="WRDSTA"/>
    <s v="Wired Port - ACR-TKT-Ipcodec"/>
    <x v="1"/>
    <s v=""/>
    <s v="FIFA Standard Internet Access"/>
    <x v="12"/>
    <x v="12"/>
    <m/>
    <n v="0"/>
    <n v="0"/>
    <n v="0"/>
    <n v="0"/>
    <n v="0"/>
    <s v="LOC IT"/>
    <x v="1"/>
    <x v="8"/>
    <x v="117"/>
    <x v="36"/>
    <s v="LOC Ticketing"/>
    <s v="PK 21.09: reflected in FAC TEAP"/>
    <s v="NW"/>
  </r>
  <r>
    <s v="IS00WF"/>
    <s v="Wireless coverage - Shared Internet Service - Wi-Fi FIFA"/>
    <x v="1"/>
    <s v=""/>
    <s v="General Internet Access"/>
    <x v="1"/>
    <x v="1"/>
    <m/>
    <n v="0"/>
    <n v="0"/>
    <n v="0"/>
    <n v="0"/>
    <n v="0"/>
    <s v="LOC IT"/>
    <x v="1"/>
    <x v="8"/>
    <x v="117"/>
    <x v="36"/>
    <s v="LOC Ticketing"/>
    <s v="PK 21.09: reflected in FAC TEAP"/>
    <s v="NW"/>
  </r>
  <r>
    <s v="MFDDNW"/>
    <s v="MFD Desktop - Colour - A4 - Network"/>
    <x v="2"/>
    <s v=""/>
    <s v="General Internet Access"/>
    <x v="2"/>
    <x v="2"/>
    <m/>
    <n v="0"/>
    <n v="0"/>
    <n v="0"/>
    <n v="0"/>
    <n v="0"/>
    <s v="LOC IT"/>
    <x v="1"/>
    <x v="8"/>
    <x v="117"/>
    <x v="36"/>
    <s v="LOC Ticketing"/>
    <s v="PK 21.09: reflected in FAC TEAP"/>
    <s v="EU"/>
  </r>
  <r>
    <s v="WRDSTA"/>
    <s v="Wired Port - ACR-TKT-Ipcodec"/>
    <x v="1"/>
    <s v=""/>
    <s v="FIFA Standard Internet Access"/>
    <x v="12"/>
    <x v="12"/>
    <m/>
    <n v="0"/>
    <n v="0"/>
    <n v="0"/>
    <n v="0"/>
    <n v="0"/>
    <s v="LOC IT"/>
    <x v="1"/>
    <x v="8"/>
    <x v="118"/>
    <x v="36"/>
    <s v="LOC Ticketing"/>
    <s v="PK 21.09: reflected in FAC TEAP"/>
    <s v="NW"/>
  </r>
  <r>
    <s v="LAPEVT"/>
    <s v="Laptop - FIFA Event Build"/>
    <x v="4"/>
    <s v=""/>
    <s v=""/>
    <x v="17"/>
    <x v="17"/>
    <m/>
    <n v="0"/>
    <n v="0"/>
    <n v="0"/>
    <n v="0"/>
    <n v="0"/>
    <s v="LOC IT"/>
    <x v="1"/>
    <x v="8"/>
    <x v="118"/>
    <x v="36"/>
    <s v="LOC Ticketing"/>
    <s v="PK 21.09: reflected in FAC TEAP"/>
    <s v="EU"/>
  </r>
  <r>
    <s v="TVLGSA"/>
    <s v="TV - Large - Standalone"/>
    <x v="5"/>
    <s v=""/>
    <s v=""/>
    <x v="15"/>
    <x v="15"/>
    <m/>
    <n v="0"/>
    <n v="0"/>
    <n v="0"/>
    <n v="0"/>
    <n v="0"/>
    <s v="LOC IT"/>
    <x v="1"/>
    <x v="8"/>
    <x v="118"/>
    <x v="36"/>
    <s v="LOC Ticketing"/>
    <s v="PK 21.09: reflected in FAC TEAP"/>
    <s v="EU"/>
  </r>
  <r>
    <s v="TVLGSA"/>
    <s v="TV - Large - Standalone"/>
    <x v="5"/>
    <s v=""/>
    <s v=""/>
    <x v="15"/>
    <x v="15"/>
    <m/>
    <n v="0"/>
    <n v="0"/>
    <n v="0"/>
    <n v="0"/>
    <n v="0"/>
    <s v="LOC IT"/>
    <x v="2"/>
    <x v="33"/>
    <x v="123"/>
    <x v="36"/>
    <s v="LOC Ticketing"/>
    <s v="PK 17.09: Transferred to FAC scope"/>
    <s v="EU"/>
  </r>
  <r>
    <s v="LAPEVT"/>
    <s v="Laptop - FIFA Event Build"/>
    <x v="4"/>
    <s v=""/>
    <s v=""/>
    <x v="17"/>
    <x v="17"/>
    <m/>
    <n v="0"/>
    <n v="0"/>
    <n v="0"/>
    <n v="0"/>
    <n v="0"/>
    <s v="LOC IT"/>
    <x v="2"/>
    <x v="33"/>
    <x v="123"/>
    <x v="36"/>
    <s v="LOC Ticketing"/>
    <s v="PK 17.09: Transferred to FAC scope"/>
    <s v="EU"/>
  </r>
  <r>
    <s v="WRDGEN"/>
    <s v="Wired Port - General Internet "/>
    <x v="1"/>
    <s v=""/>
    <s v="General Internet Access"/>
    <x v="8"/>
    <x v="8"/>
    <m/>
    <n v="0"/>
    <n v="0"/>
    <n v="0"/>
    <n v="0"/>
    <n v="0"/>
    <s v="LOC IT"/>
    <x v="2"/>
    <x v="33"/>
    <x v="123"/>
    <x v="36"/>
    <s v="LOC Ticketing"/>
    <s v="PK 17.09: Transferred to FAC scope"/>
    <s v="NW"/>
  </r>
  <r>
    <s v="IS00WF"/>
    <s v="Wireless coverage - Shared Internet Service - Wi-Fi FIFA"/>
    <x v="1"/>
    <s v=""/>
    <s v="General Internet Access"/>
    <x v="1"/>
    <x v="1"/>
    <m/>
    <n v="0"/>
    <n v="0"/>
    <n v="0"/>
    <n v="0"/>
    <n v="0"/>
    <s v="LOC IT"/>
    <x v="2"/>
    <x v="33"/>
    <x v="123"/>
    <x v="36"/>
    <s v="LOC Ticketing"/>
    <s v="PK 17.09: Transferred to FAC scope"/>
    <s v="NW"/>
  </r>
  <r>
    <s v="ITSR4G"/>
    <s v="IT Solution - Router + 4G"/>
    <x v="6"/>
    <s v=""/>
    <s v=""/>
    <x v="38"/>
    <x v="38"/>
    <m/>
    <n v="0"/>
    <n v="0"/>
    <n v="0"/>
    <n v="0"/>
    <n v="0"/>
    <s v="LOC IT"/>
    <x v="2"/>
    <x v="33"/>
    <x v="123"/>
    <x v="36"/>
    <s v="LOC Ticketing"/>
    <s v="PK 17.09: Transferred to FAC scope"/>
    <s v="NW"/>
  </r>
  <r>
    <s v="MFDLNW"/>
    <s v="MFD Large - Colour - A3 - Network"/>
    <x v="2"/>
    <s v=""/>
    <s v="General Internet Access"/>
    <x v="34"/>
    <x v="34"/>
    <m/>
    <n v="0"/>
    <n v="0"/>
    <n v="0"/>
    <n v="0"/>
    <n v="0"/>
    <s v="LOC IT"/>
    <x v="2"/>
    <x v="33"/>
    <x v="123"/>
    <x v="36"/>
    <s v="LOC Ticketing"/>
    <s v="PK 17.09: Transferred to FAC scope"/>
    <s v="EU"/>
  </r>
  <r>
    <s v="MFDDNW"/>
    <s v="MFD Desktop - Colour - A4 - Network"/>
    <x v="2"/>
    <s v=""/>
    <s v="General Internet Access"/>
    <x v="2"/>
    <x v="2"/>
    <m/>
    <n v="0"/>
    <n v="0"/>
    <n v="0"/>
    <n v="0"/>
    <n v="0"/>
    <s v="LOC IT"/>
    <x v="2"/>
    <x v="33"/>
    <x v="123"/>
    <x v="36"/>
    <s v="LOC Ticketing"/>
    <s v="PK 17.09: Transferred to FAC scope"/>
    <s v="EU"/>
  </r>
  <r>
    <s v="DSKMNT"/>
    <s v="24&quot; Monitor - HDMI/DP"/>
    <x v="0"/>
    <s v=""/>
    <s v=""/>
    <x v="0"/>
    <x v="0"/>
    <m/>
    <n v="0"/>
    <n v="0"/>
    <n v="0"/>
    <n v="0"/>
    <n v="0"/>
    <s v="LOC IT"/>
    <x v="2"/>
    <x v="33"/>
    <x v="123"/>
    <x v="36"/>
    <s v="LOC Ticketing"/>
    <s v="PK 17.09: Transferred to FAC scope"/>
    <s v="EU"/>
  </r>
  <r>
    <s v="PROJ6K"/>
    <s v="Office Projector - 6K"/>
    <x v="5"/>
    <s v=""/>
    <s v=""/>
    <x v="26"/>
    <x v="26"/>
    <m/>
    <n v="0"/>
    <n v="0"/>
    <n v="0"/>
    <n v="0"/>
    <n v="0"/>
    <s v="LOC IT"/>
    <x v="2"/>
    <x v="33"/>
    <x v="123"/>
    <x v="36"/>
    <s v="LOC Ticketing"/>
    <s v="PK 17.09: Transferred to FAC scope"/>
    <s v="EU"/>
  </r>
  <r>
    <s v="MFDDNW"/>
    <s v="MFD Desktop - Colour - A4 - Network"/>
    <x v="2"/>
    <s v=""/>
    <s v="General Internet Access"/>
    <x v="2"/>
    <x v="2"/>
    <m/>
    <n v="0"/>
    <n v="0"/>
    <n v="0"/>
    <n v="0"/>
    <n v="0"/>
    <s v="LOC IT"/>
    <x v="2"/>
    <x v="33"/>
    <x v="124"/>
    <x v="37"/>
    <s v="LOC Arrival &amp; Departure"/>
    <s v="PK 17.09: Transferred to FAC scope"/>
    <s v="EU"/>
  </r>
  <r>
    <s v="SIMDAT"/>
    <s v="SIM - Data Only"/>
    <x v="7"/>
    <s v=""/>
    <s v=""/>
    <x v="18"/>
    <x v="18"/>
    <m/>
    <n v="0"/>
    <n v="0"/>
    <n v="0"/>
    <n v="0"/>
    <n v="0"/>
    <s v="LOC IT"/>
    <x v="2"/>
    <x v="33"/>
    <x v="124"/>
    <x v="37"/>
    <s v="LOC Arrival &amp; Departure"/>
    <s v="PK 17.09: Transferred to FAC scope"/>
    <s v="Telco/SIM"/>
  </r>
  <r>
    <s v="DSKMNT"/>
    <s v="24&quot; Monitor - HDMI/DP"/>
    <x v="0"/>
    <s v=""/>
    <s v=""/>
    <x v="0"/>
    <x v="0"/>
    <m/>
    <n v="0"/>
    <n v="0"/>
    <n v="0"/>
    <n v="0"/>
    <n v="0"/>
    <s v="LOC IT"/>
    <x v="2"/>
    <x v="33"/>
    <x v="124"/>
    <x v="37"/>
    <s v="LOC Arrival &amp; Departure"/>
    <s v="PK 17.09: Transferred to FAC scope"/>
    <s v="EU"/>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9">
  <r>
    <s v="DSKMNT"/>
    <s v="24&quot; Monitor - HDMI/DP"/>
    <s v="Peripherals"/>
    <s v=""/>
    <s v=""/>
    <x v="0"/>
    <x v="0"/>
    <n v="5"/>
    <n v="0"/>
    <n v="0"/>
    <n v="1"/>
    <n v="0"/>
    <n v="0"/>
    <x v="0"/>
    <x v="0"/>
    <s v="Pitch 1"/>
    <s v="Entertainment Control Room AE live"/>
    <x v="0"/>
    <s v="Entertainment"/>
    <m/>
    <s v="EU"/>
  </r>
  <r>
    <s v="DSKMNT"/>
    <s v="24&quot; Monitor - HDMI/DP"/>
    <s v="Peripherals"/>
    <s v=""/>
    <s v=""/>
    <x v="0"/>
    <x v="0"/>
    <n v="5"/>
    <n v="0"/>
    <n v="0"/>
    <n v="1"/>
    <n v="0"/>
    <n v="0"/>
    <x v="0"/>
    <x v="0"/>
    <s v="Pitch 2"/>
    <s v="Entertainment Control Room AE live"/>
    <x v="0"/>
    <s v="Entertainment"/>
    <m/>
    <s v="EU"/>
  </r>
  <r>
    <s v="DSKMNT"/>
    <s v="24&quot; Monitor - HDMI/DP"/>
    <s v="Peripherals"/>
    <s v=""/>
    <s v=""/>
    <x v="0"/>
    <x v="0"/>
    <n v="5"/>
    <n v="0"/>
    <n v="0"/>
    <n v="1"/>
    <n v="0"/>
    <n v="0"/>
    <x v="0"/>
    <x v="0"/>
    <s v="Pitch 3"/>
    <s v="Entertainment Control Room AE live"/>
    <x v="0"/>
    <s v="Entertainment"/>
    <m/>
    <s v="EU"/>
  </r>
  <r>
    <s v="DSKMNT"/>
    <s v="24&quot; Monitor - HDMI/DP"/>
    <s v="Peripherals"/>
    <s v=""/>
    <s v=""/>
    <x v="0"/>
    <x v="0"/>
    <n v="5"/>
    <n v="0"/>
    <n v="0"/>
    <n v="1"/>
    <n v="0"/>
    <n v="0"/>
    <x v="0"/>
    <x v="0"/>
    <s v="Pitch 4"/>
    <s v="Entertainment Control Room AE live"/>
    <x v="0"/>
    <s v="Entertainment"/>
    <m/>
    <s v="EU"/>
  </r>
  <r>
    <s v="DSKMNT"/>
    <s v="24&quot; Monitor - HDMI/DP"/>
    <s v="Peripherals"/>
    <s v=""/>
    <s v=""/>
    <x v="0"/>
    <x v="0"/>
    <n v="5"/>
    <n v="0"/>
    <n v="0"/>
    <n v="1"/>
    <n v="0"/>
    <n v="0"/>
    <x v="0"/>
    <x v="0"/>
    <s v="Pitch 5"/>
    <s v="Entertainment Control Room AE live"/>
    <x v="0"/>
    <s v="Entertainment"/>
    <m/>
    <s v="EU"/>
  </r>
  <r>
    <s v="DSKMNT"/>
    <s v="24&quot; Monitor - HDMI/DP"/>
    <s v="Peripherals"/>
    <s v=""/>
    <s v=""/>
    <x v="0"/>
    <x v="0"/>
    <n v="5"/>
    <n v="0"/>
    <n v="0"/>
    <n v="1"/>
    <n v="0"/>
    <n v="0"/>
    <x v="0"/>
    <x v="0"/>
    <s v="Pitch 7"/>
    <s v="Entertainment Control Room AE live"/>
    <x v="0"/>
    <s v="Entertainment"/>
    <m/>
    <s v="EU"/>
  </r>
  <r>
    <s v="DSKMNT"/>
    <s v="24&quot; Monitor - HDMI/DP"/>
    <s v="Peripherals"/>
    <s v=""/>
    <s v=""/>
    <x v="0"/>
    <x v="0"/>
    <n v="5"/>
    <n v="0"/>
    <n v="0"/>
    <n v="1"/>
    <n v="0"/>
    <n v="0"/>
    <x v="0"/>
    <x v="0"/>
    <s v="Pitch 8"/>
    <s v="Entertainment Control Room AE live"/>
    <x v="0"/>
    <s v="Entertainment"/>
    <m/>
    <s v="EU"/>
  </r>
  <r>
    <s v="DSKMNT"/>
    <s v="24&quot; Monitor - HDMI/DP"/>
    <s v="Peripherals"/>
    <s v=""/>
    <s v=""/>
    <x v="0"/>
    <x v="0"/>
    <n v="5"/>
    <n v="0"/>
    <n v="0"/>
    <n v="1"/>
    <n v="0"/>
    <n v="0"/>
    <x v="0"/>
    <x v="0"/>
    <s v="Pitch 9"/>
    <s v="Entertainment Control Room AE live"/>
    <x v="0"/>
    <s v="Entertainment"/>
    <m/>
    <s v="EU"/>
  </r>
  <r>
    <s v="IS00WF"/>
    <s v="Wireless coverage - Shared Internet Service - Wi-Fi FIFA"/>
    <s v="Network &amp; Connectivity"/>
    <s v=""/>
    <s v="General Internet Access"/>
    <x v="1"/>
    <x v="1"/>
    <n v="1"/>
    <n v="0"/>
    <n v="0"/>
    <n v="1"/>
    <n v="0"/>
    <n v="0"/>
    <x v="0"/>
    <x v="1"/>
    <s v="Stadium Offices"/>
    <s v="Entertainment Control Room AE live"/>
    <x v="0"/>
    <s v="Entertainment"/>
    <m/>
    <s v="NW"/>
  </r>
  <r>
    <s v="DSKMNT"/>
    <s v="24&quot; Monitor - HDMI/DP"/>
    <s v="Peripherals"/>
    <s v=""/>
    <s v=""/>
    <x v="0"/>
    <x v="0"/>
    <n v="1"/>
    <n v="0"/>
    <n v="0"/>
    <n v="1"/>
    <n v="0"/>
    <n v="0"/>
    <x v="0"/>
    <x v="1"/>
    <s v="Stadium Offices"/>
    <s v="Entertainment Control Room AE live"/>
    <x v="0"/>
    <s v="Entertainment"/>
    <m/>
    <s v="EU"/>
  </r>
  <r>
    <s v="IS00WF"/>
    <s v="Wireless coverage - Shared Internet Service - Wi-Fi FIFA"/>
    <s v="Network &amp; Connectivity"/>
    <s v=""/>
    <s v="General Internet Access"/>
    <x v="1"/>
    <x v="1"/>
    <n v="1"/>
    <n v="0"/>
    <n v="0"/>
    <n v="1"/>
    <n v="0"/>
    <n v="0"/>
    <x v="0"/>
    <x v="0"/>
    <s v="Pitch 1-9"/>
    <s v="Entertainment Control Room AE live"/>
    <x v="0"/>
    <s v="Entertainment"/>
    <s v="around CR/each pitch"/>
    <s v="NW"/>
  </r>
  <r>
    <s v="MFDDNW"/>
    <s v="MFD Desktop - Colour - A4 - Network"/>
    <s v="Reprographics"/>
    <s v=""/>
    <s v="General Internet Access"/>
    <x v="2"/>
    <x v="2"/>
    <n v="1"/>
    <n v="1"/>
    <n v="0"/>
    <n v="1"/>
    <n v="1"/>
    <n v="0"/>
    <x v="0"/>
    <x v="1"/>
    <s v="Stadium Offices"/>
    <s v="Entertainment Control Room AE live"/>
    <x v="0"/>
    <s v="Entertainment"/>
    <m/>
    <s v="EU"/>
  </r>
  <r>
    <s v="WRDMED"/>
    <s v="Wired Port - Media Internet"/>
    <s v="Network &amp; Connectivity"/>
    <s v=""/>
    <s v="Media Internet Access Media"/>
    <x v="3"/>
    <x v="3"/>
    <n v="2"/>
    <n v="3"/>
    <n v="0"/>
    <n v="3"/>
    <n v="3"/>
    <n v="0"/>
    <x v="0"/>
    <x v="1"/>
    <s v="Stadium Offices"/>
    <s v="Entertainment Control Room AE live"/>
    <x v="0"/>
    <s v="Entertainment"/>
    <s v="100Mb/Cable"/>
    <s v="NW"/>
  </r>
  <r>
    <s v="WRDMED"/>
    <s v="Wired Port - Media Internet"/>
    <s v="Network &amp; Connectivity"/>
    <s v=""/>
    <s v="Media Internet Access Media"/>
    <x v="3"/>
    <x v="3"/>
    <n v="5"/>
    <n v="3"/>
    <n v="0"/>
    <n v="3"/>
    <n v="3"/>
    <n v="0"/>
    <x v="0"/>
    <x v="0"/>
    <s v="Pitch 1"/>
    <s v="Entertainment Control Room AE live"/>
    <x v="0"/>
    <s v="Entertainment"/>
    <s v="1 Control Rooms/pitch (100Mb x LAN)"/>
    <s v="NW"/>
  </r>
  <r>
    <s v="WRDMED"/>
    <s v="Wired Port - Media Internet"/>
    <s v="Network &amp; Connectivity"/>
    <s v=""/>
    <s v="Media Internet Access Media"/>
    <x v="3"/>
    <x v="3"/>
    <n v="5"/>
    <n v="3"/>
    <n v="0"/>
    <n v="3"/>
    <n v="3"/>
    <n v="0"/>
    <x v="0"/>
    <x v="0"/>
    <s v="Pitch 2"/>
    <s v="Entertainment Control Room AE live"/>
    <x v="0"/>
    <s v="Entertainment"/>
    <s v="1 Control Rooms/pitch (100Mb x LAN)"/>
    <s v="NW"/>
  </r>
  <r>
    <s v="WRDMED"/>
    <s v="Wired Port - Media Internet"/>
    <s v="Network &amp; Connectivity"/>
    <s v=""/>
    <s v="Media Internet Access Media"/>
    <x v="3"/>
    <x v="3"/>
    <n v="5"/>
    <n v="3"/>
    <n v="0"/>
    <n v="3"/>
    <n v="3"/>
    <n v="0"/>
    <x v="0"/>
    <x v="0"/>
    <s v="Pitch 3"/>
    <s v="Entertainment Control Room AE live"/>
    <x v="0"/>
    <s v="Entertainment"/>
    <s v="1 Control Rooms/pitch (100Mb x LAN)"/>
    <s v="NW"/>
  </r>
  <r>
    <s v="WRDMED"/>
    <s v="Wired Port - Media Internet"/>
    <s v="Network &amp; Connectivity"/>
    <s v=""/>
    <s v="Media Internet Access Media"/>
    <x v="3"/>
    <x v="3"/>
    <n v="5"/>
    <n v="3"/>
    <n v="0"/>
    <n v="3"/>
    <n v="3"/>
    <n v="0"/>
    <x v="0"/>
    <x v="0"/>
    <s v="Pitch 4"/>
    <s v="Entertainment Control Room AE live"/>
    <x v="0"/>
    <s v="Entertainment"/>
    <s v="1 Control Rooms/pitch (100Mb x LAN)"/>
    <s v="NW"/>
  </r>
  <r>
    <s v="WRDMED"/>
    <s v="Wired Port - Media Internet"/>
    <s v="Network &amp; Connectivity"/>
    <s v=""/>
    <s v="Media Internet Access Media"/>
    <x v="3"/>
    <x v="3"/>
    <n v="5"/>
    <n v="3"/>
    <n v="0"/>
    <n v="3"/>
    <n v="3"/>
    <n v="0"/>
    <x v="0"/>
    <x v="0"/>
    <s v="Pitch 5"/>
    <s v="Entertainment Control Room AE live"/>
    <x v="0"/>
    <s v="Entertainment"/>
    <s v="1 Control Rooms/pitch (100Mb x LAN)"/>
    <s v="NW"/>
  </r>
  <r>
    <s v="WRDMED"/>
    <s v="Wired Port - Media Internet"/>
    <s v="Network &amp; Connectivity"/>
    <s v=""/>
    <s v="Media Internet Access Media"/>
    <x v="3"/>
    <x v="3"/>
    <n v="5"/>
    <n v="3"/>
    <n v="0"/>
    <n v="3"/>
    <n v="3"/>
    <n v="0"/>
    <x v="0"/>
    <x v="0"/>
    <s v="Pitch 7"/>
    <s v="Entertainment Control Room AE live"/>
    <x v="0"/>
    <s v="Entertainment"/>
    <s v="1 Control Rooms/pitch (100Mb x LAN)"/>
    <s v="NW"/>
  </r>
  <r>
    <s v="WRDMED"/>
    <s v="Wired Port - Media Internet"/>
    <s v="Network &amp; Connectivity"/>
    <s v=""/>
    <s v="Media Internet Access Media"/>
    <x v="3"/>
    <x v="3"/>
    <n v="5"/>
    <n v="3"/>
    <n v="0"/>
    <n v="3"/>
    <n v="3"/>
    <n v="0"/>
    <x v="0"/>
    <x v="0"/>
    <s v="Pitch 8"/>
    <s v="Entertainment Control Room AE live"/>
    <x v="0"/>
    <s v="Entertainment"/>
    <s v="1 Control Rooms/pitch (100Mb x LAN)"/>
    <s v="NW"/>
  </r>
  <r>
    <s v="WRDMED"/>
    <s v="Wired Port - Media Internet"/>
    <s v="Network &amp; Connectivity"/>
    <s v=""/>
    <s v="Media Internet Access Media"/>
    <x v="3"/>
    <x v="3"/>
    <n v="5"/>
    <n v="3"/>
    <n v="0"/>
    <n v="3"/>
    <n v="3"/>
    <n v="0"/>
    <x v="0"/>
    <x v="0"/>
    <s v="Pitch 9"/>
    <s v="Entertainment Control Room AE live"/>
    <x v="0"/>
    <s v="Entertainment"/>
    <s v="1 Control Rooms/pitch (100Mb x LAN)"/>
    <s v="NW"/>
  </r>
  <r>
    <s v="WRDSTU"/>
    <s v="Wired Port - Content"/>
    <s v="Network &amp; Connectivity"/>
    <s v=""/>
    <s v="FIFA Technical Content"/>
    <x v="4"/>
    <x v="4"/>
    <n v="0"/>
    <n v="3"/>
    <n v="0"/>
    <n v="3"/>
    <n v="3"/>
    <n v="0"/>
    <x v="0"/>
    <x v="0"/>
    <s v="Aspire Dome - level 2"/>
    <s v="FIFA/LOC Offices"/>
    <x v="1"/>
    <s v="FIFA Content"/>
    <s v="50Mb/cable, Location TBC"/>
    <s v="NW"/>
  </r>
  <r>
    <s v="DSKMNT"/>
    <s v="24&quot; Monitor - HDMI/DP"/>
    <s v="Peripherals"/>
    <s v=""/>
    <s v=""/>
    <x v="0"/>
    <x v="0"/>
    <n v="0"/>
    <n v="0"/>
    <n v="0"/>
    <n v="3"/>
    <n v="0"/>
    <n v="0"/>
    <x v="0"/>
    <x v="0"/>
    <s v="Aspire Dome - level 2"/>
    <s v="FIFA/LOC Offices"/>
    <x v="1"/>
    <s v="FIFA Content"/>
    <s v="50Mb/cable, Location TBC"/>
    <s v="EU"/>
  </r>
  <r>
    <s v="WRDSTU"/>
    <s v="Wired Port - Content"/>
    <s v="Network &amp; Connectivity"/>
    <s v=""/>
    <s v="FIFA Technical Content"/>
    <x v="4"/>
    <x v="4"/>
    <n v="0"/>
    <n v="3"/>
    <n v="0"/>
    <n v="3"/>
    <n v="3"/>
    <n v="0"/>
    <x v="0"/>
    <x v="1"/>
    <s v="Broadcast Compound"/>
    <s v="Broadcast and Streaming Office"/>
    <x v="1"/>
    <s v="FIFA Content"/>
    <s v="Location TBC"/>
    <s v="NW"/>
  </r>
  <r>
    <s v="DSKMNT"/>
    <s v="24&quot; Monitor - HDMI/DP"/>
    <s v="Peripherals"/>
    <s v=""/>
    <s v=""/>
    <x v="0"/>
    <x v="0"/>
    <n v="0"/>
    <n v="0"/>
    <n v="0"/>
    <n v="3"/>
    <n v="0"/>
    <n v="0"/>
    <x v="0"/>
    <x v="1"/>
    <s v="Broadcast Compound"/>
    <s v="Broadcast and Streaming Office"/>
    <x v="1"/>
    <s v="FIFA Content"/>
    <s v="Location TBC"/>
    <s v="EU"/>
  </r>
  <r>
    <s v="IS00WF"/>
    <s v="Wireless coverage - Shared Internet Service - Wi-Fi FIFA"/>
    <s v="Network &amp; Connectivity"/>
    <s v=""/>
    <s v="General Internet Access"/>
    <x v="1"/>
    <x v="1"/>
    <n v="1"/>
    <n v="0"/>
    <n v="0"/>
    <n v="1"/>
    <n v="0"/>
    <n v="0"/>
    <x v="0"/>
    <x v="1"/>
    <s v="Competition area"/>
    <s v="Doping Control Room"/>
    <x v="2"/>
    <s v="FIFA Anti Doping"/>
    <m/>
    <s v="NW"/>
  </r>
  <r>
    <s v="TVLGIP"/>
    <s v="TV - Large - IPTV"/>
    <s v="CATV"/>
    <s v=""/>
    <s v=""/>
    <x v="5"/>
    <x v="5"/>
    <n v="1"/>
    <n v="1"/>
    <n v="0"/>
    <n v="1"/>
    <n v="1"/>
    <n v="0"/>
    <x v="0"/>
    <x v="1"/>
    <s v="Competition area"/>
    <s v="Doping Control Room"/>
    <x v="2"/>
    <s v="FIFA Anti Doping"/>
    <m/>
    <s v="AV"/>
  </r>
  <r>
    <s v="TVSTND"/>
    <s v="TV Stand - Medium &amp; Large TVs"/>
    <s v="Peripherals"/>
    <s v=""/>
    <s v=""/>
    <x v="6"/>
    <x v="6"/>
    <n v="1"/>
    <n v="0"/>
    <n v="0"/>
    <n v="1"/>
    <n v="0"/>
    <n v="0"/>
    <x v="0"/>
    <x v="1"/>
    <s v="Competition area"/>
    <s v="Doping Control Room"/>
    <x v="2"/>
    <s v="FIFA Anti Doping"/>
    <m/>
    <s v="AV"/>
  </r>
  <r>
    <s v="IS00WF"/>
    <s v="Wireless coverage - Shared Internet Service - Wi-Fi FIFA"/>
    <s v="Network &amp; Connectivity"/>
    <s v=""/>
    <s v="General Internet Access"/>
    <x v="1"/>
    <x v="1"/>
    <n v="1"/>
    <n v="0"/>
    <n v="0"/>
    <n v="1"/>
    <n v="0"/>
    <n v="0"/>
    <x v="0"/>
    <x v="0"/>
    <s v="Super Club"/>
    <s v="Doping Control Room"/>
    <x v="2"/>
    <s v="FIFA Anti Doping"/>
    <m/>
    <s v="NW"/>
  </r>
  <r>
    <s v="TABLEN"/>
    <s v="Tablet - FIFA Professional Tablet + 4G"/>
    <s v="FIFA IT Hardware"/>
    <s v="Single"/>
    <s v=""/>
    <x v="7"/>
    <x v="7"/>
    <n v="4"/>
    <n v="0"/>
    <n v="4"/>
    <n v="4"/>
    <n v="0"/>
    <n v="4"/>
    <x v="1"/>
    <x v="0"/>
    <s v="Super Club"/>
    <s v="Doping Control Room"/>
    <x v="2"/>
    <s v="FIFA Anti Doping"/>
    <s v="MODOC app to be installed/available in Play Store"/>
    <s v="EU"/>
  </r>
  <r>
    <s v="TVLGIP"/>
    <s v="TV - Large - IPTV"/>
    <s v="CATV"/>
    <s v=""/>
    <s v=""/>
    <x v="5"/>
    <x v="5"/>
    <n v="1"/>
    <n v="1"/>
    <n v="0"/>
    <n v="1"/>
    <n v="1"/>
    <n v="0"/>
    <x v="0"/>
    <x v="0"/>
    <s v="Super Club"/>
    <s v="Doping Control Room"/>
    <x v="2"/>
    <s v="FIFA Anti Doping"/>
    <m/>
    <s v="AV"/>
  </r>
  <r>
    <s v="TVSTND"/>
    <s v="TV Stand - Medium &amp; Large TVs"/>
    <s v="Peripherals"/>
    <s v=""/>
    <s v=""/>
    <x v="6"/>
    <x v="6"/>
    <n v="1"/>
    <n v="0"/>
    <n v="0"/>
    <n v="1"/>
    <n v="0"/>
    <n v="0"/>
    <x v="0"/>
    <x v="0"/>
    <s v="Super Club"/>
    <s v="Doping Control Room"/>
    <x v="2"/>
    <s v="FIFA Anti Doping"/>
    <m/>
    <s v="AV"/>
  </r>
  <r>
    <s v="IS00WF"/>
    <s v="Wireless coverage - Shared Internet Service - Wi-Fi FIFA"/>
    <s v="Network &amp; Connectivity"/>
    <s v=""/>
    <s v="General Internet Access"/>
    <x v="1"/>
    <x v="1"/>
    <n v="1"/>
    <n v="0"/>
    <n v="0"/>
    <n v="1"/>
    <n v="0"/>
    <n v="0"/>
    <x v="0"/>
    <x v="0"/>
    <s v="Broadcast Compound 1"/>
    <s v="Broadcast and Streaming Office 1"/>
    <x v="3"/>
    <s v="FIFA Broadcast"/>
    <m/>
    <s v="NW"/>
  </r>
  <r>
    <s v="MFDDNW"/>
    <s v="MFD Desktop - Colour - A4 - Network"/>
    <s v="Reprographics"/>
    <s v=""/>
    <s v="General Internet Access"/>
    <x v="2"/>
    <x v="2"/>
    <n v="1"/>
    <n v="1"/>
    <n v="0"/>
    <n v="1"/>
    <n v="1"/>
    <n v="0"/>
    <x v="0"/>
    <x v="0"/>
    <s v="Broadcast Compound 1"/>
    <s v="Broadcast and Streaming Office 1"/>
    <x v="3"/>
    <s v="FIFA Broadcast"/>
    <m/>
    <s v="EU"/>
  </r>
  <r>
    <s v="WRDGEN"/>
    <s v="Wired Port - General Internet "/>
    <s v="Network &amp; Connectivity"/>
    <s v=""/>
    <s v="General Internet Access"/>
    <x v="8"/>
    <x v="8"/>
    <n v="6"/>
    <n v="1"/>
    <n v="0"/>
    <n v="1"/>
    <n v="1"/>
    <n v="0"/>
    <x v="0"/>
    <x v="0"/>
    <s v="Broadcast Compound 1"/>
    <s v="Broadcast and Streaming Office 1"/>
    <x v="3"/>
    <s v="FIFA Broadcast"/>
    <m/>
    <s v="NW"/>
  </r>
  <r>
    <s v="WRDSTU"/>
    <s v="Wired Port - Content"/>
    <s v="Network &amp; Connectivity"/>
    <s v=""/>
    <s v="FIFA Technical Content"/>
    <x v="4"/>
    <x v="4"/>
    <n v="1"/>
    <n v="1"/>
    <n v="0"/>
    <n v="1"/>
    <n v="1"/>
    <n v="0"/>
    <x v="0"/>
    <x v="0"/>
    <s v="Broadcast Compound 1"/>
    <s v="Broadcast and Streaming Office 1"/>
    <x v="3"/>
    <s v="FIFA Broadcast"/>
    <m/>
    <s v="NW"/>
  </r>
  <r>
    <s v="IS00WF"/>
    <s v="Wireless coverage - Shared Internet Service - Wi-Fi FIFA"/>
    <s v="Network &amp; Connectivity"/>
    <s v=""/>
    <s v="General Internet Access"/>
    <x v="1"/>
    <x v="1"/>
    <n v="1"/>
    <n v="0"/>
    <n v="0"/>
    <n v="1"/>
    <n v="0"/>
    <n v="0"/>
    <x v="0"/>
    <x v="0"/>
    <s v="Broadcast Compound 2"/>
    <s v="Broadcast and Streaming Office 2"/>
    <x v="3"/>
    <s v="FIFA Broadcast"/>
    <m/>
    <s v="NW"/>
  </r>
  <r>
    <s v="MFDDNW"/>
    <s v="MFD Desktop - Colour - A4 - Network"/>
    <s v="Reprographics"/>
    <s v=""/>
    <s v="General Internet Access"/>
    <x v="2"/>
    <x v="2"/>
    <n v="1"/>
    <n v="1"/>
    <n v="0"/>
    <n v="1"/>
    <n v="1"/>
    <n v="0"/>
    <x v="0"/>
    <x v="0"/>
    <s v="Broadcast Compound 2"/>
    <s v="Broadcast and Streaming Office 2"/>
    <x v="3"/>
    <s v="FIFA Broadcast"/>
    <m/>
    <s v="EU"/>
  </r>
  <r>
    <s v="WRDGEN"/>
    <s v="Wired Port - General Internet "/>
    <s v="Network &amp; Connectivity"/>
    <s v=""/>
    <s v="General Internet Access"/>
    <x v="8"/>
    <x v="8"/>
    <n v="6"/>
    <n v="1"/>
    <n v="0"/>
    <n v="1"/>
    <n v="1"/>
    <n v="0"/>
    <x v="0"/>
    <x v="0"/>
    <s v="Broadcast Compound 2"/>
    <s v="Broadcast and Streaming Office 2"/>
    <x v="3"/>
    <s v="FIFA Broadcast"/>
    <m/>
    <s v="NW"/>
  </r>
  <r>
    <s v="WRDSTU"/>
    <s v="Wired Port - Content"/>
    <s v="Network &amp; Connectivity"/>
    <s v=""/>
    <s v="FIFA Technical Content"/>
    <x v="4"/>
    <x v="4"/>
    <n v="1"/>
    <n v="1"/>
    <n v="0"/>
    <n v="1"/>
    <n v="1"/>
    <n v="0"/>
    <x v="0"/>
    <x v="0"/>
    <s v="Broadcast Compound 2"/>
    <s v="Broadcast and Streaming Office 2"/>
    <x v="3"/>
    <s v="FIFA Broadcast"/>
    <m/>
    <s v="NW"/>
  </r>
  <r>
    <s v="WRDSTR"/>
    <s v="Wired Port - Stream &amp; World feed"/>
    <s v="Network &amp; Connectivity"/>
    <s v=""/>
    <s v="Stream Fabs &amp; W Feed"/>
    <x v="9"/>
    <x v="9"/>
    <n v="1"/>
    <n v="1"/>
    <n v="0"/>
    <n v="1"/>
    <n v="1"/>
    <n v="0"/>
    <x v="0"/>
    <x v="0"/>
    <s v="Pitch 7"/>
    <s v="MRL behind goal - Left side"/>
    <x v="3"/>
    <s v="FIFA Broadcast"/>
    <s v="LOC TBC if Wired"/>
    <s v="NW"/>
  </r>
  <r>
    <s v="WRDSTR"/>
    <s v="Wired Port - Stream &amp; World feed"/>
    <s v="Network &amp; Connectivity"/>
    <s v=""/>
    <s v="Stream Fabs &amp; W Feed"/>
    <x v="9"/>
    <x v="9"/>
    <n v="1"/>
    <n v="1"/>
    <n v="0"/>
    <n v="1"/>
    <n v="1"/>
    <n v="0"/>
    <x v="0"/>
    <x v="0"/>
    <s v="Pitch 7"/>
    <s v="MRL behind goal - Right side"/>
    <x v="3"/>
    <s v="FIFA Broadcast"/>
    <s v="LOC TBC if Wired"/>
    <s v="NW"/>
  </r>
  <r>
    <s v="WRDSTR"/>
    <s v="Wired Port - Stream &amp; World feed"/>
    <s v="Network &amp; Connectivity"/>
    <s v=""/>
    <s v="Stream Fabs &amp; W Feed"/>
    <x v="9"/>
    <x v="9"/>
    <n v="1"/>
    <n v="1"/>
    <n v="0"/>
    <n v="1"/>
    <n v="1"/>
    <n v="0"/>
    <x v="0"/>
    <x v="0"/>
    <s v="Pitch 7"/>
    <s v="MRL Positions - Left - 16m line"/>
    <x v="3"/>
    <s v="FIFA Broadcast"/>
    <s v="LOC TBC if Wired"/>
    <s v="NW"/>
  </r>
  <r>
    <s v="WRDSTR"/>
    <s v="Wired Port - Stream &amp; World feed"/>
    <s v="Network &amp; Connectivity"/>
    <s v=""/>
    <s v="Stream Fabs &amp; W Feed"/>
    <x v="9"/>
    <x v="9"/>
    <n v="1"/>
    <n v="1"/>
    <n v="0"/>
    <n v="1"/>
    <n v="1"/>
    <n v="0"/>
    <x v="0"/>
    <x v="0"/>
    <s v="Pitch 7"/>
    <s v="MRL Positions - Right - 16m line"/>
    <x v="3"/>
    <s v="FIFA Broadcast"/>
    <s v="LOC TBC if Wired"/>
    <s v="NW"/>
  </r>
  <r>
    <s v="WRDSTR"/>
    <s v="Wired Port - Stream &amp; World feed"/>
    <s v="Network &amp; Connectivity"/>
    <s v=""/>
    <s v="Stream Fabs &amp; W Feed"/>
    <x v="9"/>
    <x v="9"/>
    <n v="1"/>
    <n v="1"/>
    <n v="0"/>
    <n v="1"/>
    <n v="1"/>
    <n v="0"/>
    <x v="0"/>
    <x v="0"/>
    <s v="Pitch 5"/>
    <s v="MRL behind goal - Left side"/>
    <x v="3"/>
    <s v="FIFA Broadcast"/>
    <s v="LOC TBC if Wired"/>
    <s v="NW"/>
  </r>
  <r>
    <s v="WRDSTR"/>
    <s v="Wired Port - Stream &amp; World feed"/>
    <s v="Network &amp; Connectivity"/>
    <s v=""/>
    <s v="Stream Fabs &amp; W Feed"/>
    <x v="9"/>
    <x v="9"/>
    <n v="1"/>
    <n v="1"/>
    <n v="0"/>
    <n v="1"/>
    <n v="1"/>
    <n v="0"/>
    <x v="0"/>
    <x v="0"/>
    <s v="Pitch 5"/>
    <s v="MRL behind goal - Right side"/>
    <x v="3"/>
    <s v="FIFA Broadcast"/>
    <s v="LOC TBC if Wired"/>
    <s v="NW"/>
  </r>
  <r>
    <s v="WRDSTR"/>
    <s v="Wired Port - Stream &amp; World feed"/>
    <s v="Network &amp; Connectivity"/>
    <s v=""/>
    <s v="Stream Fabs &amp; W Feed"/>
    <x v="9"/>
    <x v="9"/>
    <n v="1"/>
    <n v="1"/>
    <n v="0"/>
    <n v="1"/>
    <n v="1"/>
    <n v="0"/>
    <x v="0"/>
    <x v="0"/>
    <s v="Pitch 5"/>
    <s v="MRL Positions - Left - 16m line"/>
    <x v="3"/>
    <s v="FIFA Broadcast"/>
    <s v="LOC TBC if Wired"/>
    <s v="NW"/>
  </r>
  <r>
    <s v="WRDSTR"/>
    <s v="Wired Port - Stream &amp; World feed"/>
    <s v="Network &amp; Connectivity"/>
    <s v=""/>
    <s v="Stream Fabs &amp; W Feed"/>
    <x v="9"/>
    <x v="9"/>
    <n v="1"/>
    <n v="1"/>
    <n v="0"/>
    <n v="1"/>
    <n v="1"/>
    <n v="0"/>
    <x v="0"/>
    <x v="0"/>
    <s v="Pitch 5"/>
    <s v="MRL Positions - Right - 16m line"/>
    <x v="3"/>
    <s v="FIFA Broadcast"/>
    <s v="LOC TBC if Wired"/>
    <s v="NW"/>
  </r>
  <r>
    <s v="WRDGEN"/>
    <s v="Wired Port - General Internet "/>
    <s v="Network &amp; Connectivity"/>
    <s v=""/>
    <s v="General Internet Access"/>
    <x v="8"/>
    <x v="8"/>
    <n v="2"/>
    <n v="2"/>
    <n v="0"/>
    <n v="2"/>
    <n v="2"/>
    <n v="0"/>
    <x v="0"/>
    <x v="0"/>
    <s v="Broadcast Compound 1"/>
    <s v="OB Van 1"/>
    <x v="3"/>
    <s v="FIFA Broadcast"/>
    <s v="1 general 1 backup (50Mb)"/>
    <s v="NW"/>
  </r>
  <r>
    <s v="WRDGEN"/>
    <s v="Wired Port - General Internet "/>
    <s v="Network &amp; Connectivity"/>
    <s v=""/>
    <s v="General Internet Access"/>
    <x v="8"/>
    <x v="8"/>
    <n v="2"/>
    <n v="2"/>
    <n v="0"/>
    <n v="2"/>
    <n v="2"/>
    <n v="0"/>
    <x v="0"/>
    <x v="0"/>
    <s v="Broadcast Compound 2"/>
    <s v="OB Van 2"/>
    <x v="3"/>
    <s v="FIFA Broadcast"/>
    <s v="1 general 1 backup (50Mb)"/>
    <s v="NW"/>
  </r>
  <r>
    <s v="WRDGEN"/>
    <s v="Wired Port - General Internet "/>
    <s v="Network &amp; Connectivity"/>
    <s v=""/>
    <s v="General Internet Access"/>
    <x v="8"/>
    <x v="8"/>
    <n v="1"/>
    <n v="1"/>
    <n v="0"/>
    <n v="1"/>
    <n v="1"/>
    <n v="0"/>
    <x v="0"/>
    <x v="0"/>
    <s v="Broadcast Compound 1"/>
    <s v="Satellite and HB Cabin 1"/>
    <x v="3"/>
    <s v="FIFA Broadcast"/>
    <m/>
    <s v="NW"/>
  </r>
  <r>
    <s v="WRDSTR"/>
    <s v="Wired Port - Stream &amp; World feed"/>
    <s v="Network &amp; Connectivity"/>
    <s v=""/>
    <s v="Stream Fabs &amp; W Feed"/>
    <x v="9"/>
    <x v="9"/>
    <n v="3"/>
    <n v="12"/>
    <n v="0"/>
    <n v="12"/>
    <n v="12"/>
    <n v="0"/>
    <x v="0"/>
    <x v="0"/>
    <s v="Broadcast Compound 1"/>
    <s v="Satellite and HB Cabin 1"/>
    <x v="3"/>
    <s v="FIFA Broadcast"/>
    <s v="high speed 50Mb 4 games"/>
    <s v="NW"/>
  </r>
  <r>
    <s v="WRDGEN"/>
    <s v="Wired Port - General Internet "/>
    <s v="Network &amp; Connectivity"/>
    <s v=""/>
    <s v="General Internet Access"/>
    <x v="8"/>
    <x v="8"/>
    <n v="1"/>
    <n v="1"/>
    <n v="0"/>
    <n v="1"/>
    <n v="1"/>
    <n v="0"/>
    <x v="0"/>
    <x v="0"/>
    <s v="Broadcast Compound 2"/>
    <s v="Satellite and HB Cabin 2"/>
    <x v="3"/>
    <s v="FIFA Broadcast"/>
    <m/>
    <s v="NW"/>
  </r>
  <r>
    <s v="WRDSTR"/>
    <s v="Wired Port - Stream &amp; World feed"/>
    <s v="Network &amp; Connectivity"/>
    <s v=""/>
    <s v="Stream Fabs &amp; W Feed"/>
    <x v="9"/>
    <x v="9"/>
    <n v="3"/>
    <n v="4"/>
    <n v="0"/>
    <n v="4"/>
    <n v="4"/>
    <n v="0"/>
    <x v="0"/>
    <x v="0"/>
    <s v="Broadcast Compound 2"/>
    <s v="Satellite and HB Cabin 2"/>
    <x v="3"/>
    <s v="FIFA Broadcast"/>
    <s v="high speed 50Mb 4 games"/>
    <s v="NW"/>
  </r>
  <r>
    <s v="WRDMED"/>
    <s v="Wired Port - Media Internet"/>
    <s v="Network &amp; Connectivity"/>
    <s v=""/>
    <s v="Media Internet Access Media"/>
    <x v="3"/>
    <x v="3"/>
    <n v="2"/>
    <n v="2"/>
    <n v="0"/>
    <n v="2"/>
    <n v="2"/>
    <n v="0"/>
    <x v="0"/>
    <x v="0"/>
    <s v="Flash Interview"/>
    <s v="SMC/MEO/WD/Mixed Zone"/>
    <x v="3"/>
    <s v="FIFA Broadcast"/>
    <m/>
    <s v="NW"/>
  </r>
  <r>
    <s v="IS00WF"/>
    <s v="Wireless coverage - Shared Internet Service - Wi-Fi FIFA"/>
    <s v="Network &amp; Connectivity"/>
    <s v=""/>
    <s v="General Internet Access"/>
    <x v="1"/>
    <x v="1"/>
    <n v="1"/>
    <n v="0"/>
    <n v="0"/>
    <n v="1"/>
    <n v="0"/>
    <n v="0"/>
    <x v="0"/>
    <x v="1"/>
    <s v="Broadcast Compound"/>
    <s v="Broadcast and Streaming Office"/>
    <x v="3"/>
    <s v="FIFA Broadcast"/>
    <m/>
    <s v="NW"/>
  </r>
  <r>
    <s v="MFDDNW"/>
    <s v="MFD Desktop - Colour - A4 - Network"/>
    <s v="Reprographics"/>
    <s v=""/>
    <s v="General Internet Access"/>
    <x v="2"/>
    <x v="2"/>
    <n v="1"/>
    <n v="1"/>
    <n v="0"/>
    <n v="1"/>
    <n v="1"/>
    <n v="0"/>
    <x v="0"/>
    <x v="1"/>
    <s v="Broadcast Compound"/>
    <s v="Broadcast and Streaming Office"/>
    <x v="3"/>
    <s v="FIFA Broadcast"/>
    <m/>
    <s v="EU"/>
  </r>
  <r>
    <s v="WRDGEN"/>
    <s v="Wired Port - General Internet "/>
    <s v="Network &amp; Connectivity"/>
    <s v=""/>
    <s v="General Internet Access"/>
    <x v="8"/>
    <x v="8"/>
    <n v="6"/>
    <n v="1"/>
    <n v="0"/>
    <n v="1"/>
    <n v="1"/>
    <n v="0"/>
    <x v="0"/>
    <x v="1"/>
    <s v="Broadcast Compound"/>
    <s v="Broadcast and Streaming Office"/>
    <x v="3"/>
    <s v="FIFA Broadcast"/>
    <m/>
    <s v="NW"/>
  </r>
  <r>
    <s v="WRDSTU"/>
    <s v="Wired Port - Content"/>
    <s v="Network &amp; Connectivity"/>
    <s v=""/>
    <s v="FIFA Technical Content"/>
    <x v="4"/>
    <x v="4"/>
    <n v="1"/>
    <n v="1"/>
    <n v="0"/>
    <n v="1"/>
    <n v="1"/>
    <n v="0"/>
    <x v="0"/>
    <x v="1"/>
    <s v="Broadcast Compound"/>
    <s v="Broadcast and Streaming Office"/>
    <x v="3"/>
    <s v="FIFA Broadcast"/>
    <m/>
    <s v="NW"/>
  </r>
  <r>
    <s v="CABLOK"/>
    <s v="Laptop Cable Lock"/>
    <s v="Peripherals"/>
    <s v="Multi"/>
    <s v=""/>
    <x v="10"/>
    <x v="10"/>
    <n v="2"/>
    <n v="0"/>
    <n v="0"/>
    <n v="2"/>
    <n v="0"/>
    <n v="0"/>
    <x v="1"/>
    <x v="1"/>
    <s v="Media Tribunes"/>
    <s v="Commentary Position"/>
    <x v="3"/>
    <s v="FIFA Broadcast"/>
    <m/>
    <s v="EU"/>
  </r>
  <r>
    <s v="LAPPRE"/>
    <s v="Laptop - Presentation Build"/>
    <s v="FIFA IT Hardware"/>
    <s v="Single"/>
    <s v=""/>
    <x v="11"/>
    <x v="11"/>
    <n v="2"/>
    <n v="0"/>
    <n v="0"/>
    <n v="2"/>
    <n v="0"/>
    <n v="0"/>
    <x v="1"/>
    <x v="1"/>
    <s v="Media Tribunes"/>
    <s v="Commentary Position"/>
    <x v="3"/>
    <s v="FIFA Broadcast"/>
    <m/>
    <s v="EU"/>
  </r>
  <r>
    <s v="WRDMED"/>
    <s v="Wired Port - Media Internet"/>
    <s v="Network &amp; Connectivity"/>
    <s v=""/>
    <s v="Media Internet Access Media"/>
    <x v="3"/>
    <x v="3"/>
    <n v="4"/>
    <n v="4"/>
    <n v="0"/>
    <n v="4"/>
    <n v="4"/>
    <n v="0"/>
    <x v="0"/>
    <x v="1"/>
    <s v="Media Tribunes"/>
    <s v="Commentary Position"/>
    <x v="3"/>
    <s v="FIFA Broadcast"/>
    <s v="1 port for user, 1 port for PRT per position"/>
    <s v="NW"/>
  </r>
  <r>
    <s v="WRDSTA"/>
    <s v="Wired Port - ACR-TKT-Ipcodec"/>
    <s v="Network &amp; Connectivity"/>
    <s v=""/>
    <s v="FIFA Standard Internet Access"/>
    <x v="12"/>
    <x v="12"/>
    <n v="2"/>
    <n v="2"/>
    <n v="0"/>
    <n v="2"/>
    <n v="2"/>
    <n v="0"/>
    <x v="0"/>
    <x v="1"/>
    <s v="Media Tribunes"/>
    <s v="Commentary Position"/>
    <x v="3"/>
    <s v="FIFA Broadcast"/>
    <m/>
    <s v="NW"/>
  </r>
  <r>
    <s v="IS00WF"/>
    <s v="Wireless coverage - Shared Internet Service - Wi-Fi FIFA"/>
    <s v="Network &amp; Connectivity"/>
    <s v=""/>
    <s v="General Internet Access"/>
    <x v="1"/>
    <x v="1"/>
    <n v="1"/>
    <n v="0"/>
    <n v="0"/>
    <n v="1"/>
    <n v="0"/>
    <n v="0"/>
    <x v="0"/>
    <x v="1"/>
    <s v="Stadium Offices"/>
    <s v="Entertainment Control Room AE live"/>
    <x v="3"/>
    <s v="FIFA Broadcast"/>
    <m/>
    <s v="NW"/>
  </r>
  <r>
    <s v="WRDFTI"/>
    <s v="Wired Port - FTI"/>
    <s v="Network &amp; Connectivity"/>
    <s v=""/>
    <s v="FIFA Technical FTI"/>
    <x v="13"/>
    <x v="13"/>
    <n v="1"/>
    <n v="1"/>
    <n v="0"/>
    <n v="1"/>
    <n v="1"/>
    <n v="0"/>
    <x v="0"/>
    <x v="1"/>
    <s v="Stadium Offices"/>
    <s v="Entertainment Control Room AE live"/>
    <x v="3"/>
    <s v="FIFA Broadcast"/>
    <m/>
    <s v="NW"/>
  </r>
  <r>
    <s v="WRDGEN"/>
    <s v="Wired Port - General Internet "/>
    <s v="Network &amp; Connectivity"/>
    <s v=""/>
    <s v="General Internet Access"/>
    <x v="8"/>
    <x v="8"/>
    <n v="1"/>
    <n v="1"/>
    <n v="0"/>
    <n v="1"/>
    <n v="1"/>
    <n v="0"/>
    <x v="0"/>
    <x v="1"/>
    <s v="Stadium Offices"/>
    <s v="Entertainment Control Room AE live"/>
    <x v="3"/>
    <s v="FIFA Broadcast"/>
    <m/>
    <s v="NW"/>
  </r>
  <r>
    <s v="WRDMED"/>
    <s v="Wired Port - Media Internet"/>
    <s v="Network &amp; Connectivity"/>
    <s v=""/>
    <s v="Media Internet Access Media"/>
    <x v="3"/>
    <x v="3"/>
    <n v="1"/>
    <n v="1"/>
    <n v="0"/>
    <n v="1"/>
    <n v="1"/>
    <n v="0"/>
    <x v="0"/>
    <x v="1"/>
    <s v="Field of Play"/>
    <s v="MRL behind goal - Left side"/>
    <x v="3"/>
    <s v="FIFA Broadcast"/>
    <s v="Only if existing infrastructure"/>
    <s v="NW"/>
  </r>
  <r>
    <s v="WRDMED"/>
    <s v="Wired Port - Media Internet"/>
    <s v="Network &amp; Connectivity"/>
    <s v=""/>
    <s v="Media Internet Access Media"/>
    <x v="3"/>
    <x v="3"/>
    <n v="1"/>
    <n v="1"/>
    <n v="0"/>
    <n v="1"/>
    <n v="1"/>
    <n v="0"/>
    <x v="0"/>
    <x v="1"/>
    <s v="Field of Play"/>
    <s v="MRL behind goal - Right side"/>
    <x v="3"/>
    <s v="FIFA Broadcast"/>
    <s v="Only if existing infrastructure"/>
    <s v="NW"/>
  </r>
  <r>
    <s v="WRDMED"/>
    <s v="Wired Port - Media Internet"/>
    <s v="Network &amp; Connectivity"/>
    <s v=""/>
    <s v="Media Internet Access Media"/>
    <x v="3"/>
    <x v="3"/>
    <n v="1"/>
    <n v="1"/>
    <n v="0"/>
    <n v="1"/>
    <n v="1"/>
    <n v="0"/>
    <x v="0"/>
    <x v="1"/>
    <s v="Field of Play"/>
    <s v="MRL Positions - Left - 16m line"/>
    <x v="3"/>
    <s v="FIFA Broadcast"/>
    <s v="Only if existing infrastructure"/>
    <s v="NW"/>
  </r>
  <r>
    <s v="WRDMED"/>
    <s v="Wired Port - Media Internet"/>
    <s v="Network &amp; Connectivity"/>
    <s v=""/>
    <s v="Media Internet Access Media"/>
    <x v="3"/>
    <x v="3"/>
    <n v="1"/>
    <n v="1"/>
    <n v="0"/>
    <n v="1"/>
    <n v="1"/>
    <n v="0"/>
    <x v="0"/>
    <x v="1"/>
    <s v="Field of Play"/>
    <s v="MRL Positions - Right - 16m line"/>
    <x v="3"/>
    <s v="FIFA Broadcast"/>
    <s v="Only if existing infrastructure"/>
    <s v="NW"/>
  </r>
  <r>
    <s v="WRDGEN"/>
    <s v="Wired Port - General Internet "/>
    <s v="Network &amp; Connectivity"/>
    <s v=""/>
    <s v="General Internet Access"/>
    <x v="8"/>
    <x v="8"/>
    <n v="2"/>
    <n v="2"/>
    <n v="0"/>
    <n v="2"/>
    <n v="2"/>
    <n v="0"/>
    <x v="0"/>
    <x v="1"/>
    <s v="Broadcast Compound"/>
    <s v="OB Van"/>
    <x v="3"/>
    <s v="FIFA Broadcast"/>
    <s v="1 backup and 1 general"/>
    <s v="NW"/>
  </r>
  <r>
    <s v="WRDGEN"/>
    <s v="Wired Port - General Internet "/>
    <s v="Network &amp; Connectivity"/>
    <s v=""/>
    <s v="General Internet Access"/>
    <x v="8"/>
    <x v="8"/>
    <n v="1"/>
    <n v="1"/>
    <n v="0"/>
    <n v="1"/>
    <n v="1"/>
    <n v="0"/>
    <x v="0"/>
    <x v="1"/>
    <s v="Broadcast Compound"/>
    <s v="Satellite and HB Cabin"/>
    <x v="3"/>
    <s v="FIFA Broadcast"/>
    <m/>
    <s v="NW"/>
  </r>
  <r>
    <s v="WRDSTR"/>
    <s v="Wired Port - Stream &amp; World feed"/>
    <s v="Network &amp; Connectivity"/>
    <s v=""/>
    <s v="Stream Fabs &amp; W Feed"/>
    <x v="9"/>
    <x v="9"/>
    <n v="3"/>
    <n v="2"/>
    <n v="0"/>
    <n v="2"/>
    <n v="2"/>
    <n v="0"/>
    <x v="0"/>
    <x v="1"/>
    <s v="Broadcast Compound"/>
    <s v="Satellite and HB Cabin"/>
    <x v="3"/>
    <s v="FIFA Broadcast"/>
    <s v="high speed"/>
    <s v="NW"/>
  </r>
  <r>
    <s v="WRDMED"/>
    <s v="Wired Port - Media Internet"/>
    <s v="Network &amp; Connectivity"/>
    <s v=""/>
    <s v="Media Internet Access Media"/>
    <x v="3"/>
    <x v="3"/>
    <n v="2"/>
    <n v="2"/>
    <n v="0"/>
    <n v="2"/>
    <n v="2"/>
    <n v="0"/>
    <x v="0"/>
    <x v="1"/>
    <s v="Flash Interview"/>
    <s v="Tunel"/>
    <x v="3"/>
    <s v="FIFA Broadcast"/>
    <m/>
    <s v="NW"/>
  </r>
  <r>
    <s v="DSKMNT"/>
    <s v="24&quot; Monitor - HDMI/DP"/>
    <s v="Peripherals"/>
    <s v=""/>
    <s v=""/>
    <x v="0"/>
    <x v="0"/>
    <n v="2"/>
    <n v="0"/>
    <n v="0"/>
    <n v="2"/>
    <n v="0"/>
    <n v="0"/>
    <x v="0"/>
    <x v="0"/>
    <s v="Super Club"/>
    <s v="Match Director Office"/>
    <x v="4"/>
    <s v="FIFA Competitions"/>
    <s v="to be moved to Khalifa"/>
    <s v="EU"/>
  </r>
  <r>
    <s v="IS00WF"/>
    <s v="Wireless coverage - Shared Internet Service - Wi-Fi FIFA"/>
    <s v="Network &amp; Connectivity"/>
    <s v=""/>
    <s v="General Internet Access"/>
    <x v="1"/>
    <x v="1"/>
    <n v="1"/>
    <n v="0"/>
    <n v="0"/>
    <n v="1"/>
    <n v="0"/>
    <n v="0"/>
    <x v="0"/>
    <x v="0"/>
    <s v="Super Club"/>
    <s v="Match Director Office"/>
    <x v="4"/>
    <s v="FIFA Competitions"/>
    <m/>
    <s v="NW"/>
  </r>
  <r>
    <s v="MFDDNW"/>
    <s v="MFD Desktop - Colour - A4 - Network"/>
    <s v="Reprographics"/>
    <s v=""/>
    <s v="General Internet Access"/>
    <x v="2"/>
    <x v="2"/>
    <n v="1"/>
    <n v="1"/>
    <n v="0"/>
    <n v="1"/>
    <n v="1"/>
    <n v="0"/>
    <x v="0"/>
    <x v="0"/>
    <s v="Super Club"/>
    <s v="Match Director Office"/>
    <x v="4"/>
    <s v="FIFA Competitions"/>
    <m/>
    <s v="EU"/>
  </r>
  <r>
    <s v="MFDDNW"/>
    <s v="MFD Desktop - Colour - A4 - Network"/>
    <s v="Reprographics"/>
    <s v=""/>
    <s v="General Internet Access"/>
    <x v="2"/>
    <x v="2"/>
    <n v="1"/>
    <n v="1"/>
    <n v="0"/>
    <n v="1"/>
    <n v="1"/>
    <n v="0"/>
    <x v="0"/>
    <x v="0"/>
    <s v="Pitch 8"/>
    <s v="Small Match Director cabin"/>
    <x v="4"/>
    <s v="FIFA Competitions"/>
    <s v="Printer to be shared between 2 pitches for CPM &amp; ENT"/>
    <s v="EU"/>
  </r>
  <r>
    <s v="MFDDNW"/>
    <s v="MFD Desktop - Colour - A4 - Network"/>
    <s v="Reprographics"/>
    <s v=""/>
    <s v="General Internet Access"/>
    <x v="2"/>
    <x v="2"/>
    <n v="1"/>
    <n v="1"/>
    <n v="0"/>
    <n v="1"/>
    <n v="1"/>
    <n v="0"/>
    <x v="0"/>
    <x v="0"/>
    <s v="Pitch 9"/>
    <s v="Small Match Director cabin"/>
    <x v="4"/>
    <s v="FIFA Competitions"/>
    <s v="Printer to be shared between 2 pitches for CPM &amp; ENT"/>
    <s v="EU"/>
  </r>
  <r>
    <s v="MFDDNW"/>
    <s v="MFD Desktop - Colour - A4 - Network"/>
    <s v="Reprographics"/>
    <s v=""/>
    <s v="General Internet Access"/>
    <x v="2"/>
    <x v="2"/>
    <n v="1"/>
    <n v="1"/>
    <n v="0"/>
    <n v="1"/>
    <n v="1"/>
    <n v="0"/>
    <x v="0"/>
    <x v="0"/>
    <s v="Pitch 5"/>
    <s v="Small Match Director cabin"/>
    <x v="4"/>
    <s v="FIFA Competitions"/>
    <s v="Printer to be shared between 2 pitches for CPM &amp; ENT"/>
    <s v="EU"/>
  </r>
  <r>
    <s v="MFDDNW"/>
    <s v="MFD Desktop - Colour - A4 - Network"/>
    <s v="Reprographics"/>
    <s v=""/>
    <s v="General Internet Access"/>
    <x v="2"/>
    <x v="2"/>
    <n v="1"/>
    <n v="1"/>
    <n v="0"/>
    <n v="1"/>
    <n v="1"/>
    <n v="0"/>
    <x v="0"/>
    <x v="0"/>
    <s v="Pitch 3"/>
    <s v="Small Match Director cabin"/>
    <x v="4"/>
    <s v="FIFA Competitions"/>
    <s v="Printer to be shared between 2 pitches for CPM &amp; ENT"/>
    <s v="EU"/>
  </r>
  <r>
    <s v="PORSPE"/>
    <s v="Portable Speaker"/>
    <s v="Peripherals"/>
    <s v="Single"/>
    <s v=""/>
    <x v="14"/>
    <x v="14"/>
    <n v="1"/>
    <n v="0"/>
    <n v="0"/>
    <n v="1"/>
    <n v="0"/>
    <n v="0"/>
    <x v="1"/>
    <x v="0"/>
    <s v="Super Club"/>
    <s v="Match Director Office"/>
    <x v="4"/>
    <s v="FIFA Competitions"/>
    <m/>
    <s v="EU"/>
  </r>
  <r>
    <s v="TABLEN"/>
    <s v="Tablet - FIFA Professional Tablet + 4G"/>
    <s v="FIFA IT Hardware"/>
    <s v="Single"/>
    <s v=""/>
    <x v="7"/>
    <x v="7"/>
    <n v="2"/>
    <n v="0"/>
    <n v="8"/>
    <n v="8"/>
    <n v="0"/>
    <n v="0"/>
    <x v="1"/>
    <x v="0"/>
    <s v="Super Club"/>
    <s v="Match Director Office"/>
    <x v="4"/>
    <s v="FIFA Competitions"/>
    <m/>
    <s v="EU"/>
  </r>
  <r>
    <s v="TVLGIP"/>
    <s v="TV - Large - IPTV"/>
    <s v="CATV"/>
    <s v=""/>
    <s v=""/>
    <x v="5"/>
    <x v="5"/>
    <n v="1"/>
    <n v="1"/>
    <n v="0"/>
    <n v="1"/>
    <n v="1"/>
    <n v="0"/>
    <x v="0"/>
    <x v="0"/>
    <s v="Super Club"/>
    <s v="Match Director Office"/>
    <x v="4"/>
    <s v="FIFA Competitions"/>
    <s v="Including HDMI cables"/>
    <s v="AV"/>
  </r>
  <r>
    <s v="TVSTND"/>
    <s v="TV Stand - Medium &amp; Large TVs"/>
    <s v="Peripherals"/>
    <s v=""/>
    <s v=""/>
    <x v="6"/>
    <x v="6"/>
    <n v="1"/>
    <n v="0"/>
    <n v="0"/>
    <n v="1"/>
    <n v="0"/>
    <n v="0"/>
    <x v="0"/>
    <x v="0"/>
    <s v="Super Club"/>
    <s v="Match Director Office"/>
    <x v="4"/>
    <s v="FIFA Competitions"/>
    <m/>
    <s v="AV"/>
  </r>
  <r>
    <s v="IS00WF"/>
    <s v="Wireless coverage - Shared Internet Service - Wi-Fi FIFA"/>
    <s v="Network &amp; Connectivity"/>
    <s v=""/>
    <s v="General Internet Access"/>
    <x v="1"/>
    <x v="1"/>
    <n v="1"/>
    <n v="0"/>
    <n v="0"/>
    <n v="1"/>
    <n v="0"/>
    <n v="0"/>
    <x v="0"/>
    <x v="1"/>
    <s v="Competition area"/>
    <s v="Match Director Office"/>
    <x v="4"/>
    <s v="FIFA Competitions"/>
    <m/>
    <s v="NW"/>
  </r>
  <r>
    <s v="IS00WF"/>
    <s v="Wireless coverage - Shared Internet Service - Wi-Fi FIFA"/>
    <s v="Network &amp; Connectivity"/>
    <s v=""/>
    <s v="General Internet Access"/>
    <x v="1"/>
    <x v="1"/>
    <n v="1"/>
    <n v="0"/>
    <n v="0"/>
    <n v="1"/>
    <n v="0"/>
    <n v="0"/>
    <x v="0"/>
    <x v="1"/>
    <s v="Competition area"/>
    <s v="MCM Room"/>
    <x v="4"/>
    <s v="FIFA Competitions"/>
    <m/>
    <s v="NW"/>
  </r>
  <r>
    <s v="IS00WF"/>
    <s v="Wireless coverage - Shared Internet Service - Wi-Fi FIFA"/>
    <s v="Network &amp; Connectivity"/>
    <s v=""/>
    <s v="General Internet Access"/>
    <x v="1"/>
    <x v="1"/>
    <n v="1"/>
    <n v="0"/>
    <n v="0"/>
    <n v="1"/>
    <n v="0"/>
    <n v="0"/>
    <x v="0"/>
    <x v="1"/>
    <s v="Press Conference Room"/>
    <s v="Press Conference Room"/>
    <x v="4"/>
    <s v="FIFA Competitions"/>
    <m/>
    <s v="NW"/>
  </r>
  <r>
    <s v="MFDDNW"/>
    <s v="MFD Desktop - Colour - A4 - Network"/>
    <s v="Reprographics"/>
    <s v=""/>
    <s v="General Internet Access"/>
    <x v="2"/>
    <x v="2"/>
    <n v="1"/>
    <n v="1"/>
    <n v="0"/>
    <n v="1"/>
    <n v="1"/>
    <n v="0"/>
    <x v="0"/>
    <x v="1"/>
    <s v="Competition area"/>
    <s v="Match Director Office"/>
    <x v="4"/>
    <s v="FIFA Competitions"/>
    <m/>
    <s v="EU"/>
  </r>
  <r>
    <s v="TVLGIP"/>
    <s v="TV - Large - IPTV"/>
    <s v="CATV"/>
    <s v=""/>
    <s v=""/>
    <x v="5"/>
    <x v="5"/>
    <n v="1"/>
    <n v="1"/>
    <n v="0"/>
    <n v="1"/>
    <n v="1"/>
    <n v="0"/>
    <x v="0"/>
    <x v="1"/>
    <s v="Competition area"/>
    <s v="Match Director Office"/>
    <x v="4"/>
    <s v="FIFA Competitions"/>
    <m/>
    <s v="AV"/>
  </r>
  <r>
    <s v="TVLGSA"/>
    <s v="TV - Large - Standalone"/>
    <s v="Display Devices"/>
    <s v=""/>
    <s v=""/>
    <x v="15"/>
    <x v="15"/>
    <n v="1"/>
    <n v="0"/>
    <n v="0"/>
    <n v="1"/>
    <n v="0"/>
    <n v="0"/>
    <x v="0"/>
    <x v="1"/>
    <s v="Competition area"/>
    <s v="MCM Room"/>
    <x v="4"/>
    <s v="FIFA Competitions"/>
    <m/>
    <s v="AV"/>
  </r>
  <r>
    <s v="TVLGSA"/>
    <s v="TV - Large - Standalone"/>
    <s v="Display Devices"/>
    <s v=""/>
    <s v=""/>
    <x v="15"/>
    <x v="15"/>
    <n v="1"/>
    <n v="0"/>
    <n v="0"/>
    <n v="1"/>
    <n v="0"/>
    <n v="0"/>
    <x v="0"/>
    <x v="1"/>
    <s v="Press Conference Room"/>
    <s v="Press Conference Room"/>
    <x v="4"/>
    <s v="FIFA Competitions"/>
    <s v="1 x large TV 75-85&quot; or 2 x TV placed on the side; &quot;PC needs to be ready by MD-3_x000a_group stage coordination meeting 2 days prior to the tournamnet&quot; cover 150 pax"/>
    <s v="AV"/>
  </r>
  <r>
    <s v="TVSTND"/>
    <s v="TV Stand - Medium &amp; Large TVs"/>
    <s v="Peripherals"/>
    <s v=""/>
    <s v=""/>
    <x v="6"/>
    <x v="6"/>
    <n v="1"/>
    <n v="0"/>
    <n v="0"/>
    <n v="1"/>
    <n v="0"/>
    <n v="0"/>
    <x v="0"/>
    <x v="1"/>
    <s v="Competition area"/>
    <s v="Match Director Office"/>
    <x v="4"/>
    <s v="FIFA Competitions"/>
    <m/>
    <s v="AV"/>
  </r>
  <r>
    <s v="TVSTND"/>
    <s v="TV Stand - Medium &amp; Large TVs"/>
    <s v="Peripherals"/>
    <s v=""/>
    <s v=""/>
    <x v="6"/>
    <x v="6"/>
    <n v="1"/>
    <n v="0"/>
    <n v="0"/>
    <n v="1"/>
    <n v="0"/>
    <n v="0"/>
    <x v="0"/>
    <x v="1"/>
    <s v="Competition area"/>
    <s v="MCM Room"/>
    <x v="4"/>
    <s v="FIFA Competitions"/>
    <m/>
    <s v="AV"/>
  </r>
  <r>
    <s v="TVSTND"/>
    <s v="TV Stand - Medium &amp; Large TVs"/>
    <s v="Peripherals"/>
    <s v=""/>
    <s v=""/>
    <x v="6"/>
    <x v="6"/>
    <n v="1"/>
    <n v="0"/>
    <n v="0"/>
    <n v="1"/>
    <n v="0"/>
    <n v="0"/>
    <x v="0"/>
    <x v="1"/>
    <s v="Press Conference Room"/>
    <s v="Press Conference Room"/>
    <x v="4"/>
    <s v="FIFA Competitions"/>
    <m/>
    <s v="AV"/>
  </r>
  <r>
    <s v="DSKMNT"/>
    <s v="24&quot; Monitor - HDMI/DP"/>
    <s v="Peripherals"/>
    <s v=""/>
    <s v=""/>
    <x v="0"/>
    <x v="0"/>
    <n v="2"/>
    <n v="0"/>
    <n v="0"/>
    <n v="2"/>
    <n v="0"/>
    <n v="0"/>
    <x v="0"/>
    <x v="0"/>
    <s v="Aspire Dome - level 2"/>
    <s v="FIFA/LOC Offices"/>
    <x v="5"/>
    <s v="FIFA Data Management"/>
    <m/>
    <s v="EU"/>
  </r>
  <r>
    <s v="DSKMNT"/>
    <s v="24&quot; Monitor - HDMI/DP"/>
    <s v="Peripherals"/>
    <s v=""/>
    <s v=""/>
    <x v="0"/>
    <x v="0"/>
    <n v="5"/>
    <n v="0"/>
    <n v="0"/>
    <n v="3"/>
    <n v="0"/>
    <n v="0"/>
    <x v="0"/>
    <x v="0"/>
    <s v="Aspire Dome - level 2"/>
    <s v="FIFA/LOC Offices"/>
    <x v="6"/>
    <s v="FIFA Digital Marketing"/>
    <s v="Location TBC"/>
    <s v="EU"/>
  </r>
  <r>
    <s v="WRDSTU"/>
    <s v="Wired Port - Content"/>
    <s v="Network &amp; Connectivity"/>
    <s v=""/>
    <s v="FIFA Technical Content"/>
    <x v="4"/>
    <x v="4"/>
    <n v="5"/>
    <n v="3"/>
    <n v="0"/>
    <n v="3"/>
    <n v="3"/>
    <n v="0"/>
    <x v="0"/>
    <x v="0"/>
    <s v="Aspire Dome - level 2"/>
    <s v="FIFA/LOC Offices"/>
    <x v="6"/>
    <s v="FIFA Digital Marketing"/>
    <s v="Location TBC"/>
    <s v="NW"/>
  </r>
  <r>
    <s v="ITSIBU"/>
    <s v="IT Solution - 4G Internet backup "/>
    <s v="FIFA IT Network Solutions"/>
    <s v=""/>
    <s v=""/>
    <x v="16"/>
    <x v="16"/>
    <n v="10"/>
    <n v="0"/>
    <n v="10"/>
    <n v="10"/>
    <n v="0"/>
    <n v="10"/>
    <x v="0"/>
    <x v="0"/>
    <s v="Aspire Dome - level 2"/>
    <s v="FIFA/LOC Offices"/>
    <x v="7"/>
    <s v="FIFA Event Technology"/>
    <m/>
    <s v="NW"/>
  </r>
  <r>
    <s v="LAPEVT"/>
    <s v="Laptop - FIFA Event Build"/>
    <s v="FIFA IT Hardware"/>
    <s v="Single"/>
    <s v=""/>
    <x v="17"/>
    <x v="17"/>
    <n v="2"/>
    <n v="0"/>
    <n v="0"/>
    <n v="2"/>
    <n v="0"/>
    <n v="0"/>
    <x v="1"/>
    <x v="0"/>
    <s v="Aspire Dome - level 2"/>
    <s v="FIFA/LOC Offices"/>
    <x v="7"/>
    <s v="FIFA Event Technology"/>
    <s v="spare laptop"/>
    <s v="EU"/>
  </r>
  <r>
    <s v="LAPPRE"/>
    <s v="Laptop - Presentation Build"/>
    <s v="FIFA IT Hardware"/>
    <s v="Single"/>
    <s v=""/>
    <x v="11"/>
    <x v="11"/>
    <n v="4"/>
    <n v="0"/>
    <n v="0"/>
    <n v="4"/>
    <n v="0"/>
    <n v="0"/>
    <x v="1"/>
    <x v="0"/>
    <s v="Aspire Dome - level 2"/>
    <s v="FIFA/LOC Offices"/>
    <x v="7"/>
    <s v="FIFA Event Technology"/>
    <s v="spare laptop"/>
    <s v="EU"/>
  </r>
  <r>
    <s v="PORSPE"/>
    <s v="Portable Speaker"/>
    <s v="Peripherals"/>
    <s v="Single"/>
    <s v=""/>
    <x v="14"/>
    <x v="14"/>
    <n v="2"/>
    <n v="0"/>
    <n v="0"/>
    <n v="2"/>
    <n v="0"/>
    <n v="0"/>
    <x v="1"/>
    <x v="0"/>
    <s v="Aspire Dome - level 2"/>
    <s v="FIFA/LOC Offices"/>
    <x v="7"/>
    <s v="FIFA Event Technology"/>
    <m/>
    <s v="EU"/>
  </r>
  <r>
    <s v="SIMDAT"/>
    <s v="SIM - Data Only"/>
    <s v="Telephony"/>
    <s v=""/>
    <s v=""/>
    <x v="18"/>
    <x v="18"/>
    <n v="10"/>
    <n v="0"/>
    <n v="20"/>
    <n v="20"/>
    <n v="0"/>
    <n v="20"/>
    <x v="0"/>
    <x v="0"/>
    <s v="Aspire Dome - level 2"/>
    <s v="FIFA/LOC Offices"/>
    <x v="7"/>
    <s v="FIFA Event Technology"/>
    <s v="valid between 22 Oct - 20 Dec"/>
    <s v="Telco/SIM"/>
  </r>
  <r>
    <s v="SIMDOM"/>
    <s v="SIM - Domestic"/>
    <s v="Telephony"/>
    <s v=""/>
    <s v=""/>
    <x v="19"/>
    <x v="19"/>
    <n v="80"/>
    <n v="0"/>
    <n v="100"/>
    <n v="100"/>
    <n v="0"/>
    <n v="100"/>
    <x v="0"/>
    <x v="0"/>
    <s v="Aspire Dome - level 2"/>
    <s v="FIFA/LOC Offices"/>
    <x v="7"/>
    <s v="FIFA Event Technology"/>
    <s v="valid between 22 Oct - 20 Dec"/>
    <s v="Telco/SIM"/>
  </r>
  <r>
    <s v="SIMINT"/>
    <s v="SIM - International"/>
    <s v="Telephony"/>
    <s v=""/>
    <s v=""/>
    <x v="20"/>
    <x v="20"/>
    <n v="5"/>
    <n v="0"/>
    <n v="15"/>
    <n v="15"/>
    <n v="0"/>
    <n v="15"/>
    <x v="0"/>
    <x v="0"/>
    <s v="Aspire Dome - level 2"/>
    <s v="FIFA/LOC Offices"/>
    <x v="7"/>
    <s v="FIFA Event Technology"/>
    <s v="valid between 22 Oct - 20 Dec"/>
    <s v="Telco/SIM"/>
  </r>
  <r>
    <s v="TELMOB"/>
    <s v="Telephone - Mobile - Smart Phone"/>
    <s v="Telephony"/>
    <s v="Single"/>
    <s v=""/>
    <x v="21"/>
    <x v="21"/>
    <n v="80"/>
    <n v="0"/>
    <n v="100"/>
    <n v="100"/>
    <n v="0"/>
    <n v="0"/>
    <x v="1"/>
    <x v="0"/>
    <s v="Aspire Dome - level 2"/>
    <s v="FIFA/LOC Offices"/>
    <x v="7"/>
    <s v="FIFA Event Technology"/>
    <m/>
    <s v="Telco/SIM"/>
  </r>
  <r>
    <s v="WRDGEN"/>
    <s v="Wired Port - General Internet "/>
    <s v="Network &amp; Connectivity"/>
    <s v=""/>
    <s v="General Internet Access"/>
    <x v="8"/>
    <x v="8"/>
    <n v="2"/>
    <n v="2"/>
    <n v="0"/>
    <n v="2"/>
    <n v="2"/>
    <n v="0"/>
    <x v="0"/>
    <x v="0"/>
    <s v="Aspire Dome - level 2"/>
    <s v="FIFA/LOC Offices"/>
    <x v="7"/>
    <s v="FIFA Event Technology"/>
    <m/>
    <s v="NW"/>
  </r>
  <r>
    <s v="DSKMNT"/>
    <s v="24&quot; Monitor - HDMI/DP"/>
    <s v="Peripherals"/>
    <s v=""/>
    <s v=""/>
    <x v="0"/>
    <x v="0"/>
    <n v="1"/>
    <n v="0"/>
    <n v="0"/>
    <n v="1"/>
    <n v="0"/>
    <n v="0"/>
    <x v="0"/>
    <x v="0"/>
    <s v="Aspire Dome - level 2"/>
    <s v="FIFA/Venue Technology Office"/>
    <x v="7"/>
    <s v="FIFA Event Technology"/>
    <m/>
    <s v="EU"/>
  </r>
  <r>
    <s v="IS0050"/>
    <s v="Internet Service - 50Mbps"/>
    <s v="Network &amp; Connectivity"/>
    <s v=""/>
    <s v=""/>
    <x v="22"/>
    <x v="22"/>
    <n v="1"/>
    <n v="1"/>
    <n v="0"/>
    <n v="1"/>
    <n v="1"/>
    <n v="0"/>
    <x v="0"/>
    <x v="0"/>
    <s v="Aspire Dome - level 2"/>
    <s v="FIFA/Venue Technology Office"/>
    <x v="7"/>
    <s v="FIFA Event Technology"/>
    <s v="static public IP"/>
    <s v="NW"/>
  </r>
  <r>
    <s v="ITMON"/>
    <s v="IT Monitoring network port"/>
    <s v="Network &amp; Connectivity"/>
    <s v=""/>
    <s v="Monitoring VLAN"/>
    <x v="23"/>
    <x v="23"/>
    <n v="1"/>
    <n v="1"/>
    <n v="0"/>
    <n v="1"/>
    <n v="1"/>
    <n v="0"/>
    <x v="0"/>
    <x v="0"/>
    <s v="Aspire Dome - level 2"/>
    <s v="FIFA/Venue Technology Office"/>
    <x v="7"/>
    <s v="FIFA Event Technology"/>
    <m/>
    <s v="NW"/>
  </r>
  <r>
    <s v="ITMON"/>
    <s v="IT Monitoring network port"/>
    <s v="Network &amp; Connectivity"/>
    <s v=""/>
    <s v="Monitoring VLAN"/>
    <x v="23"/>
    <x v="23"/>
    <n v="1"/>
    <n v="1"/>
    <n v="0"/>
    <n v="1"/>
    <n v="1"/>
    <n v="0"/>
    <x v="0"/>
    <x v="1"/>
    <s v="Stadium Offices"/>
    <s v="FIFA/Venue Technology Office"/>
    <x v="7"/>
    <s v="FIFA Event Technology"/>
    <m/>
    <s v="NW"/>
  </r>
  <r>
    <s v="TVMDSA"/>
    <s v="TV - Medium - Standalone"/>
    <s v="CATV"/>
    <s v=""/>
    <s v=""/>
    <x v="24"/>
    <x v="24"/>
    <n v="1"/>
    <n v="0"/>
    <n v="0"/>
    <n v="1"/>
    <n v="0"/>
    <n v="0"/>
    <x v="0"/>
    <x v="0"/>
    <s v="Aspire Dome - level 2"/>
    <s v="FIFA/Venue Technology Office"/>
    <x v="7"/>
    <s v="FIFA Event Technology"/>
    <m/>
    <s v="AV"/>
  </r>
  <r>
    <s v="TVSTND"/>
    <s v="TV Stand - Medium &amp; Large TVs"/>
    <s v="Peripherals"/>
    <s v=""/>
    <s v=""/>
    <x v="6"/>
    <x v="6"/>
    <n v="1"/>
    <n v="0"/>
    <n v="0"/>
    <n v="1"/>
    <n v="0"/>
    <n v="0"/>
    <x v="0"/>
    <x v="0"/>
    <s v="Aspire Dome - level 2"/>
    <s v="FIFA/Venue Technology Office"/>
    <x v="7"/>
    <s v="FIFA Event Technology"/>
    <m/>
    <s v="AV"/>
  </r>
  <r>
    <s v="WRDGEN"/>
    <s v="Wired Port - General Internet "/>
    <s v="Network &amp; Connectivity"/>
    <s v=""/>
    <s v="General Internet Access"/>
    <x v="8"/>
    <x v="8"/>
    <n v="2"/>
    <n v="2"/>
    <n v="0"/>
    <n v="2"/>
    <n v="2"/>
    <n v="0"/>
    <x v="0"/>
    <x v="1"/>
    <s v="Stadium Offices"/>
    <s v="FIFA/Venue Technology Office"/>
    <x v="7"/>
    <s v="FIFA Event Technology"/>
    <m/>
    <s v="NW"/>
  </r>
  <r>
    <s v="WRDGEN"/>
    <s v="Wired Port - General Internet "/>
    <s v="Network &amp; Connectivity"/>
    <s v=""/>
    <s v="General Internet Access"/>
    <x v="8"/>
    <x v="8"/>
    <n v="1"/>
    <n v="1"/>
    <n v="0"/>
    <n v="1"/>
    <n v="1"/>
    <n v="0"/>
    <x v="0"/>
    <x v="0"/>
    <s v="Aspire Dome - level 2"/>
    <s v="FIFA/Venue Technology Office"/>
    <x v="7"/>
    <s v="FIFA Event Technology"/>
    <m/>
    <s v="NW"/>
  </r>
  <r>
    <s v="DSKMNT"/>
    <s v="24&quot; Monitor - HDMI/DP"/>
    <s v="Peripherals"/>
    <s v=""/>
    <s v=""/>
    <x v="0"/>
    <x v="0"/>
    <n v="2"/>
    <n v="0"/>
    <n v="0"/>
    <n v="2"/>
    <n v="0"/>
    <n v="0"/>
    <x v="0"/>
    <x v="0"/>
    <s v="Aspire Dome - level 2"/>
    <s v="FIFA/LOC Offices"/>
    <x v="8"/>
    <s v="FIFA Films"/>
    <s v="Location TBC"/>
    <s v="EU"/>
  </r>
  <r>
    <s v="IS00WF"/>
    <s v="Wireless coverage - Shared Internet Service - Wi-Fi FIFA"/>
    <s v="Network &amp; Connectivity"/>
    <s v=""/>
    <s v="General Internet Access"/>
    <x v="1"/>
    <x v="1"/>
    <n v="1"/>
    <n v="0"/>
    <n v="0"/>
    <n v="1"/>
    <n v="0"/>
    <n v="0"/>
    <x v="0"/>
    <x v="0"/>
    <s v="Aspire Dome - level 2"/>
    <s v="FIFA/LOC Offices"/>
    <x v="8"/>
    <s v="FIFA Films"/>
    <s v="Location TBC"/>
    <s v="NW"/>
  </r>
  <r>
    <s v="WRDSTU"/>
    <s v="Wired Port - Content"/>
    <s v="Network &amp; Connectivity"/>
    <s v=""/>
    <s v="FIFA Technical Content"/>
    <x v="4"/>
    <x v="4"/>
    <n v="2"/>
    <n v="2"/>
    <n v="0"/>
    <n v="2"/>
    <n v="2"/>
    <n v="0"/>
    <x v="0"/>
    <x v="0"/>
    <s v="Aspire Dome - level 2"/>
    <s v="FIFA/LOC Offices"/>
    <x v="8"/>
    <s v="FIFA Films"/>
    <s v="Location TBC"/>
    <s v="NW"/>
  </r>
  <r>
    <s v="DSK27M"/>
    <s v="27&quot; Monitor - HDMI/DP"/>
    <s v="Peripherals"/>
    <s v=""/>
    <s v=""/>
    <x v="25"/>
    <x v="25"/>
    <n v="4"/>
    <n v="0"/>
    <n v="0"/>
    <n v="4"/>
    <n v="0"/>
    <n v="0"/>
    <x v="0"/>
    <x v="0"/>
    <s v="TSG - Main room"/>
    <s v="TSG"/>
    <x v="9"/>
    <s v="FIFA FTI"/>
    <m/>
    <s v="EU"/>
  </r>
  <r>
    <s v="IS00WF"/>
    <s v="Wireless coverage - Shared Internet Service - Wi-Fi FIFA"/>
    <s v="Network &amp; Connectivity"/>
    <s v=""/>
    <s v="General Internet Access"/>
    <x v="1"/>
    <x v="1"/>
    <n v="1"/>
    <n v="0"/>
    <n v="0"/>
    <n v="1"/>
    <n v="0"/>
    <n v="0"/>
    <x v="0"/>
    <x v="0"/>
    <s v="TSG - Main room"/>
    <s v="TSG"/>
    <x v="9"/>
    <s v="FIFA FTI"/>
    <m/>
    <s v="NW"/>
  </r>
  <r>
    <s v="IS00WF"/>
    <s v="Wireless coverage - Shared Internet Service - Wi-Fi FIFA"/>
    <s v="Network &amp; Connectivity"/>
    <s v=""/>
    <s v="General Internet Access"/>
    <x v="1"/>
    <x v="1"/>
    <n v="1"/>
    <n v="0"/>
    <n v="0"/>
    <n v="1"/>
    <n v="0"/>
    <n v="0"/>
    <x v="0"/>
    <x v="0"/>
    <s v="TSG - Meeting Room"/>
    <s v="TSG"/>
    <x v="9"/>
    <s v="FIFA FTI"/>
    <m/>
    <s v="NW"/>
  </r>
  <r>
    <s v="IS00WF"/>
    <s v="Wireless coverage - Shared Internet Service - Wi-Fi FIFA"/>
    <s v="Network &amp; Connectivity"/>
    <s v=""/>
    <s v="General Internet Access"/>
    <x v="1"/>
    <x v="1"/>
    <n v="1"/>
    <n v="0"/>
    <n v="0"/>
    <n v="1"/>
    <n v="0"/>
    <n v="0"/>
    <x v="0"/>
    <x v="0"/>
    <s v="Broadcast Compound 1"/>
    <s v="FVS cabin A BC1"/>
    <x v="9"/>
    <s v="FIFA FTI"/>
    <s v="20 Mbps – FTI"/>
    <s v="NW"/>
  </r>
  <r>
    <s v="WRDFTI"/>
    <s v="Wired Port - FTI"/>
    <s v="Network &amp; Connectivity"/>
    <s v=""/>
    <s v="FIFA Technical FTI"/>
    <x v="13"/>
    <x v="13"/>
    <n v="1"/>
    <n v="1"/>
    <n v="0"/>
    <n v="1"/>
    <n v="1"/>
    <n v="0"/>
    <x v="0"/>
    <x v="0"/>
    <s v="Broadcast Compound 1"/>
    <s v="FVS cabin A BC1"/>
    <x v="9"/>
    <s v="FIFA FTI"/>
    <s v="50 Mbps – FTI"/>
    <s v="NW"/>
  </r>
  <r>
    <s v="WRDFTI"/>
    <s v="Wired Port - FTI"/>
    <s v="Network &amp; Connectivity"/>
    <s v=""/>
    <s v="FIFA Technical FTI"/>
    <x v="13"/>
    <x v="13"/>
    <n v="2"/>
    <n v="2"/>
    <n v="0"/>
    <n v="2"/>
    <n v="2"/>
    <n v="0"/>
    <x v="0"/>
    <x v="0"/>
    <s v="Broadcast Compound 1"/>
    <s v="FVS cabin A BC1"/>
    <x v="9"/>
    <s v="FIFA FTI"/>
    <s v="20 Mbps - Refereeing"/>
    <s v="NW"/>
  </r>
  <r>
    <s v="IS00WF"/>
    <s v="Wireless coverage - Shared Internet Service - Wi-Fi FIFA"/>
    <s v="Network &amp; Connectivity"/>
    <s v=""/>
    <s v="General Internet Access"/>
    <x v="1"/>
    <x v="1"/>
    <n v="1"/>
    <n v="0"/>
    <n v="0"/>
    <n v="1"/>
    <n v="0"/>
    <n v="0"/>
    <x v="0"/>
    <x v="0"/>
    <s v="Broadcast Compound 1"/>
    <s v="FVS cabin B BC1"/>
    <x v="9"/>
    <s v="FIFA FTI"/>
    <s v="20 Mbps – FTI"/>
    <s v="NW"/>
  </r>
  <r>
    <s v="WRDFTI"/>
    <s v="Wired Port - FTI"/>
    <s v="Network &amp; Connectivity"/>
    <s v=""/>
    <s v="FIFA Technical FTI"/>
    <x v="13"/>
    <x v="13"/>
    <n v="1"/>
    <n v="1"/>
    <n v="0"/>
    <n v="1"/>
    <n v="1"/>
    <n v="0"/>
    <x v="0"/>
    <x v="0"/>
    <s v="Broadcast Compound 1"/>
    <s v="FVS cabin B BC1"/>
    <x v="9"/>
    <s v="FIFA FTI"/>
    <s v="50 Mbps – FTI"/>
    <s v="NW"/>
  </r>
  <r>
    <s v="WRDFTI"/>
    <s v="Wired Port - FTI"/>
    <s v="Network &amp; Connectivity"/>
    <s v=""/>
    <s v="FIFA Technical FTI"/>
    <x v="13"/>
    <x v="13"/>
    <n v="2"/>
    <n v="2"/>
    <n v="0"/>
    <n v="2"/>
    <n v="2"/>
    <n v="0"/>
    <x v="0"/>
    <x v="0"/>
    <s v="Broadcast Compound 1"/>
    <s v="FVS cabin B BC1"/>
    <x v="9"/>
    <s v="FIFA FTI"/>
    <s v="20 Mbps - Refereeing"/>
    <s v="NW"/>
  </r>
  <r>
    <s v="IS00WF"/>
    <s v="Wireless coverage - Shared Internet Service - Wi-Fi FIFA"/>
    <s v="Network &amp; Connectivity"/>
    <s v=""/>
    <s v="General Internet Access"/>
    <x v="1"/>
    <x v="1"/>
    <n v="1"/>
    <n v="0"/>
    <n v="0"/>
    <n v="1"/>
    <n v="0"/>
    <n v="0"/>
    <x v="0"/>
    <x v="0"/>
    <s v="Broadcast Compound 1"/>
    <s v="FVS cabin C BC1"/>
    <x v="9"/>
    <s v="FIFA FTI"/>
    <s v="20 Mbps – FTI"/>
    <s v="NW"/>
  </r>
  <r>
    <s v="WRDFTI"/>
    <s v="Wired Port - FTI"/>
    <s v="Network &amp; Connectivity"/>
    <s v=""/>
    <s v="FIFA Technical FTI"/>
    <x v="13"/>
    <x v="13"/>
    <n v="1"/>
    <n v="1"/>
    <n v="0"/>
    <n v="1"/>
    <n v="1"/>
    <n v="0"/>
    <x v="0"/>
    <x v="0"/>
    <s v="Broadcast Compound 1"/>
    <s v="FVS cabin C BC1"/>
    <x v="9"/>
    <s v="FIFA FTI"/>
    <s v="50 Mbps – FTI"/>
    <s v="NW"/>
  </r>
  <r>
    <s v="WRDFTI"/>
    <s v="Wired Port - FTI"/>
    <s v="Network &amp; Connectivity"/>
    <s v=""/>
    <s v="FIFA Technical FTI"/>
    <x v="13"/>
    <x v="13"/>
    <n v="2"/>
    <n v="2"/>
    <n v="0"/>
    <n v="2"/>
    <n v="2"/>
    <n v="0"/>
    <x v="0"/>
    <x v="0"/>
    <s v="Broadcast Compound 1"/>
    <s v="FVS cabin C BC1"/>
    <x v="9"/>
    <s v="FIFA FTI"/>
    <s v="20 Mbps - Refereeing"/>
    <s v="NW"/>
  </r>
  <r>
    <s v="IS00WF"/>
    <s v="Wireless coverage - Shared Internet Service - Wi-Fi FIFA"/>
    <s v="Network &amp; Connectivity"/>
    <s v=""/>
    <s v="General Internet Access"/>
    <x v="1"/>
    <x v="1"/>
    <n v="1"/>
    <n v="0"/>
    <n v="0"/>
    <n v="1"/>
    <n v="0"/>
    <n v="0"/>
    <x v="0"/>
    <x v="0"/>
    <s v="Broadcast Compound 2"/>
    <s v="FVS cabin BC2"/>
    <x v="9"/>
    <s v="FIFA FTI"/>
    <s v="20 Mbps – FTI"/>
    <s v="NW"/>
  </r>
  <r>
    <s v="WRDFTI"/>
    <s v="Wired Port - FTI"/>
    <s v="Network &amp; Connectivity"/>
    <s v=""/>
    <s v="FIFA Technical FTI"/>
    <x v="13"/>
    <x v="13"/>
    <n v="1"/>
    <n v="1"/>
    <n v="0"/>
    <n v="1"/>
    <n v="1"/>
    <n v="0"/>
    <x v="0"/>
    <x v="0"/>
    <s v="Broadcast Compound 2"/>
    <s v="FVS cabin BC2"/>
    <x v="9"/>
    <s v="FIFA FTI"/>
    <s v="50 Mbps – FTI"/>
    <s v="NW"/>
  </r>
  <r>
    <s v="WRDFTI"/>
    <s v="Wired Port - FTI"/>
    <s v="Network &amp; Connectivity"/>
    <s v=""/>
    <s v="FIFA Technical FTI"/>
    <x v="13"/>
    <x v="13"/>
    <n v="0"/>
    <n v="2"/>
    <n v="0"/>
    <n v="2"/>
    <n v="2"/>
    <n v="0"/>
    <x v="0"/>
    <x v="0"/>
    <s v="Broadcast Compound 2"/>
    <s v="FVS cabin BC2"/>
    <x v="9"/>
    <s v="FIFA FTI"/>
    <s v="20 Mbps - Refereeing"/>
    <s v="NW"/>
  </r>
  <r>
    <s v="PROJ6K"/>
    <s v="Office Projector - 6K"/>
    <s v="Display Devices"/>
    <s v=""/>
    <s v=""/>
    <x v="26"/>
    <x v="26"/>
    <n v="1"/>
    <n v="0"/>
    <n v="0"/>
    <n v="1"/>
    <n v="0"/>
    <n v="0"/>
    <x v="0"/>
    <x v="0"/>
    <s v="TSG - Meeting Room"/>
    <s v="TSG"/>
    <x v="9"/>
    <s v="FIFA FTI"/>
    <s v="or a large TV to cover 20 pax"/>
    <s v="EU"/>
  </r>
  <r>
    <s v="TVLGIP"/>
    <s v="TV - Large - IPTV"/>
    <s v="CATV"/>
    <s v=""/>
    <s v=""/>
    <x v="5"/>
    <x v="5"/>
    <n v="4"/>
    <n v="4"/>
    <n v="0"/>
    <n v="4"/>
    <n v="4"/>
    <n v="0"/>
    <x v="0"/>
    <x v="0"/>
    <s v="TSG - Main room"/>
    <s v="TSG"/>
    <x v="9"/>
    <s v="FIFA FTI"/>
    <s v="if it's possible to provide video signal with different feeds from different angles"/>
    <s v="AV"/>
  </r>
  <r>
    <s v="TVSTND"/>
    <s v="TV Stand - Medium &amp; Large TVs"/>
    <s v="Peripherals"/>
    <s v=""/>
    <s v=""/>
    <x v="6"/>
    <x v="6"/>
    <n v="4"/>
    <n v="0"/>
    <n v="0"/>
    <n v="4"/>
    <n v="0"/>
    <n v="0"/>
    <x v="0"/>
    <x v="0"/>
    <s v="TSG - Main room"/>
    <s v="TSG"/>
    <x v="9"/>
    <s v="FIFA FTI"/>
    <m/>
    <s v="AV"/>
  </r>
  <r>
    <s v="WRDFTI"/>
    <s v="Wired Port - FTI"/>
    <s v="Network &amp; Connectivity"/>
    <s v=""/>
    <s v="FIFA Technical FTI"/>
    <x v="13"/>
    <x v="13"/>
    <n v="7"/>
    <n v="6"/>
    <n v="0"/>
    <n v="6"/>
    <n v="6"/>
    <n v="0"/>
    <x v="0"/>
    <x v="0"/>
    <s v="Broadcast Compound 1"/>
    <s v="FTI Equipment Cabin BC1"/>
    <x v="9"/>
    <s v="FIFA FTI"/>
    <s v="50 Mbps – Streaming provider_x000a_3 Main_x000a_3 Backup_x000a_2 different ISPs"/>
    <s v="NW"/>
  </r>
  <r>
    <s v="WRDFTI"/>
    <s v="Wired Port - FTI"/>
    <s v="Network &amp; Connectivity"/>
    <s v=""/>
    <s v="FIFA Technical FTI"/>
    <x v="13"/>
    <x v="13"/>
    <n v="0"/>
    <n v="1"/>
    <n v="0"/>
    <n v="1"/>
    <n v="1"/>
    <n v="0"/>
    <x v="0"/>
    <x v="0"/>
    <s v="Broadcast Compound 1"/>
    <s v="FTI Equipment Cabin BC1"/>
    <x v="9"/>
    <s v="FIFA FTI"/>
    <s v="100 Mbps – FVS provider"/>
    <s v="NW"/>
  </r>
  <r>
    <s v="WRDFTI"/>
    <s v="Wired Port - FTI"/>
    <s v="Network &amp; Connectivity"/>
    <s v=""/>
    <s v="FIFA Technical FTI"/>
    <x v="13"/>
    <x v="13"/>
    <n v="4"/>
    <n v="2"/>
    <n v="0"/>
    <n v="2"/>
    <n v="2"/>
    <n v="0"/>
    <x v="0"/>
    <x v="0"/>
    <s v="Broadcast Compound 2"/>
    <s v="FTI Equipment Cabin BC2"/>
    <x v="9"/>
    <s v="FIFA FTI"/>
    <s v="50 Mbps – Streaming provider_x000a_3 Main_x000a_3 Backup_x000a_2 different ISPs"/>
    <s v="NW"/>
  </r>
  <r>
    <s v="WRDFTI"/>
    <s v="Wired Port - FTI"/>
    <s v="Network &amp; Connectivity"/>
    <s v=""/>
    <s v="FIFA Technical FTI"/>
    <x v="13"/>
    <x v="13"/>
    <n v="0"/>
    <n v="1"/>
    <n v="0"/>
    <n v="1"/>
    <n v="1"/>
    <n v="0"/>
    <x v="0"/>
    <x v="0"/>
    <s v="Broadcast Compound 2"/>
    <s v="FTI Equipment Cabin BC2"/>
    <x v="9"/>
    <s v="FIFA FTI"/>
    <s v="100 Mbps – FVS provider"/>
    <s v="NW"/>
  </r>
  <r>
    <s v="WRDTSG"/>
    <s v="Wired Port - TSG"/>
    <s v="Network &amp; Connectivity"/>
    <s v=""/>
    <s v="FIFA Technical TSG"/>
    <x v="27"/>
    <x v="27"/>
    <n v="1"/>
    <n v="1"/>
    <n v="0"/>
    <n v="1"/>
    <n v="1"/>
    <n v="0"/>
    <x v="0"/>
    <x v="0"/>
    <s v="TSG - Main room"/>
    <s v="TSG"/>
    <x v="9"/>
    <s v="FIFA FTI"/>
    <s v="Internet speed 350Mb"/>
    <s v="NW"/>
  </r>
  <r>
    <s v="IS00WF"/>
    <s v="Wireless coverage - Shared Internet Service - Wi-Fi FIFA"/>
    <s v="Network &amp; Connectivity"/>
    <s v=""/>
    <s v="General Internet Access"/>
    <x v="1"/>
    <x v="1"/>
    <n v="1"/>
    <n v="0"/>
    <n v="0"/>
    <n v="1"/>
    <n v="0"/>
    <n v="0"/>
    <x v="0"/>
    <x v="1"/>
    <s v="Broadcast Compound"/>
    <s v="FVS Cabin"/>
    <x v="9"/>
    <s v="FIFA FTI"/>
    <s v="at BC in the stadium"/>
    <s v="NW"/>
  </r>
  <r>
    <s v="WRDFTI"/>
    <s v="Wired Port - FTI"/>
    <s v="Network &amp; Connectivity"/>
    <s v=""/>
    <s v="FIFA Technical FTI"/>
    <x v="13"/>
    <x v="13"/>
    <n v="2"/>
    <n v="2"/>
    <n v="0"/>
    <n v="2"/>
    <n v="2"/>
    <n v="0"/>
    <x v="0"/>
    <x v="1"/>
    <s v="Broadcast Compound"/>
    <s v="FTI equipment cabin"/>
    <x v="9"/>
    <s v="FIFA FTI"/>
    <s v="at BC in the stadium (2 x 25Mb) _x000a_1 Main_x000a_1 Backup_x000a_2 different ISPs"/>
    <s v="NW"/>
  </r>
  <r>
    <s v="WRDFTI"/>
    <s v="Wired Port - FTI"/>
    <s v="Network &amp; Connectivity"/>
    <s v=""/>
    <s v="FIFA Technical FTI"/>
    <x v="13"/>
    <x v="13"/>
    <n v="1"/>
    <n v="1"/>
    <n v="0"/>
    <n v="1"/>
    <n v="1"/>
    <n v="0"/>
    <x v="0"/>
    <x v="1"/>
    <s v="Broadcast Compound"/>
    <s v="FTI equipment cabin"/>
    <x v="9"/>
    <s v="FIFA FTI"/>
    <s v="at BC in the stadium (100 Mb)"/>
    <s v="NW"/>
  </r>
  <r>
    <s v="WRDFTI"/>
    <s v="Wired Port - FTI"/>
    <s v="Network &amp; Connectivity"/>
    <s v=""/>
    <s v="FIFA Technical FTI"/>
    <x v="13"/>
    <x v="13"/>
    <n v="1"/>
    <n v="1"/>
    <n v="0"/>
    <n v="1"/>
    <n v="1"/>
    <n v="0"/>
    <x v="0"/>
    <x v="1"/>
    <s v="Broadcast Compound"/>
    <s v="FVS Cabin"/>
    <x v="9"/>
    <s v="FIFA FTI"/>
    <s v="at BC in the stadium 50 Mbps – FTI"/>
    <s v="NW"/>
  </r>
  <r>
    <s v="WRDFTI"/>
    <s v="Wired Port - FTI"/>
    <s v="Network &amp; Connectivity"/>
    <s v=""/>
    <s v="FIFA Technical FTI"/>
    <x v="13"/>
    <x v="13"/>
    <n v="1"/>
    <n v="1"/>
    <n v="0"/>
    <n v="1"/>
    <n v="1"/>
    <n v="0"/>
    <x v="0"/>
    <x v="1"/>
    <s v="Broadcast Compound"/>
    <s v="FVS Cabin"/>
    <x v="9"/>
    <s v="FIFA FTI"/>
    <s v="at BC in the stadium 20 Mbps - Refereeing"/>
    <s v="NW"/>
  </r>
  <r>
    <s v="WRDTSG"/>
    <s v="Wired Port - TSG"/>
    <s v="Network &amp; Connectivity"/>
    <s v=""/>
    <s v="FIFA Technical TSG"/>
    <x v="27"/>
    <x v="27"/>
    <n v="8"/>
    <n v="8"/>
    <n v="0"/>
    <n v="8"/>
    <n v="8"/>
    <n v="0"/>
    <x v="0"/>
    <x v="1"/>
    <s v="Media Tribunes"/>
    <s v="TSG"/>
    <x v="9"/>
    <s v="FIFA FTI"/>
    <s v="Location TBC: MT"/>
    <s v="NW"/>
  </r>
  <r>
    <s v="IS00VP"/>
    <s v="Wireless coverage - Shared Internet Service - Wi-Fi VIP"/>
    <s v="Network &amp; Connectivity"/>
    <s v=""/>
    <s v="General Internet Access"/>
    <x v="28"/>
    <x v="28"/>
    <n v="1"/>
    <n v="0"/>
    <n v="0"/>
    <n v="1"/>
    <n v="0"/>
    <n v="0"/>
    <x v="0"/>
    <x v="0"/>
    <s v="Super Club"/>
    <s v="VIP Lounge"/>
    <x v="10"/>
    <s v="FIFA Guest Operations"/>
    <m/>
    <s v="NW"/>
  </r>
  <r>
    <s v="IS00WF"/>
    <s v="Wireless coverage - Shared Internet Service - Wi-Fi FIFA"/>
    <s v="Network &amp; Connectivity"/>
    <s v=""/>
    <s v="General Internet Access"/>
    <x v="1"/>
    <x v="1"/>
    <n v="1"/>
    <n v="0"/>
    <n v="0"/>
    <n v="1"/>
    <n v="0"/>
    <n v="0"/>
    <x v="0"/>
    <x v="0"/>
    <s v="Super Club"/>
    <s v="Protocol Office"/>
    <x v="10"/>
    <s v="FIFA Guest Operations"/>
    <m/>
    <s v="NW"/>
  </r>
  <r>
    <s v="MFDDNW"/>
    <s v="MFD Desktop - Colour - A4 - Network"/>
    <s v="Reprographics"/>
    <s v=""/>
    <s v="General Internet Access"/>
    <x v="2"/>
    <x v="2"/>
    <n v="1"/>
    <n v="1"/>
    <n v="0"/>
    <n v="1"/>
    <n v="1"/>
    <n v="0"/>
    <x v="0"/>
    <x v="0"/>
    <s v="Super Club"/>
    <s v="Protocol Office"/>
    <x v="10"/>
    <s v="FIFA Guest Operations"/>
    <m/>
    <s v="EU"/>
  </r>
  <r>
    <s v="TVLGIP"/>
    <s v="TV - Large - IPTV"/>
    <s v="CATV"/>
    <s v=""/>
    <s v=""/>
    <x v="5"/>
    <x v="5"/>
    <n v="4"/>
    <n v="4"/>
    <n v="0"/>
    <n v="4"/>
    <n v="4"/>
    <n v="0"/>
    <x v="0"/>
    <x v="0"/>
    <s v="Super Club"/>
    <s v="VIP Lounge"/>
    <x v="10"/>
    <s v="FIFA Guest Operations"/>
    <m/>
    <s v="AV"/>
  </r>
  <r>
    <s v="TVSTND"/>
    <s v="TV Stand - Medium &amp; Large TVs"/>
    <s v="Peripherals"/>
    <s v=""/>
    <s v=""/>
    <x v="6"/>
    <x v="6"/>
    <n v="4"/>
    <n v="0"/>
    <n v="0"/>
    <n v="4"/>
    <n v="0"/>
    <n v="0"/>
    <x v="0"/>
    <x v="0"/>
    <s v="Super Club"/>
    <s v="VIP Lounge"/>
    <x v="10"/>
    <s v="FIFA Guest Operations"/>
    <m/>
    <s v="AV"/>
  </r>
  <r>
    <s v="IS00VP"/>
    <s v="Wireless coverage - Shared Internet Service - Wi-Fi VIP"/>
    <s v="Network &amp; Connectivity"/>
    <s v=""/>
    <s v="General Internet Access"/>
    <x v="28"/>
    <x v="28"/>
    <n v="1"/>
    <n v="0"/>
    <n v="0"/>
    <n v="1"/>
    <n v="0"/>
    <n v="0"/>
    <x v="0"/>
    <x v="1"/>
    <s v="VIP area"/>
    <s v="VIP Lounge"/>
    <x v="10"/>
    <s v="FIFA Guest Operations"/>
    <m/>
    <s v="NW"/>
  </r>
  <r>
    <s v="IS00WF"/>
    <s v="Wireless coverage - Shared Internet Service - Wi-Fi FIFA"/>
    <s v="Network &amp; Connectivity"/>
    <s v=""/>
    <s v="General Internet Access"/>
    <x v="1"/>
    <x v="1"/>
    <n v="1"/>
    <n v="0"/>
    <n v="0"/>
    <n v="1"/>
    <n v="0"/>
    <n v="0"/>
    <x v="0"/>
    <x v="1"/>
    <s v="VIP area"/>
    <s v="Protocol Office"/>
    <x v="10"/>
    <s v="FIFA Guest Operations"/>
    <m/>
    <s v="NW"/>
  </r>
  <r>
    <s v="MFDDNW"/>
    <s v="MFD Desktop - Colour - A4 - Network"/>
    <s v="Reprographics"/>
    <s v=""/>
    <s v="General Internet Access"/>
    <x v="2"/>
    <x v="2"/>
    <n v="1"/>
    <n v="1"/>
    <n v="0"/>
    <n v="1"/>
    <n v="1"/>
    <n v="0"/>
    <x v="0"/>
    <x v="1"/>
    <s v="VIP area"/>
    <s v="Protocol Office"/>
    <x v="10"/>
    <s v="FIFA Guest Operations"/>
    <m/>
    <s v="EU"/>
  </r>
  <r>
    <s v="TVLGIP"/>
    <s v="TV - Large - IPTV"/>
    <s v="CATV"/>
    <s v=""/>
    <s v=""/>
    <x v="5"/>
    <x v="5"/>
    <n v="2"/>
    <n v="2"/>
    <n v="0"/>
    <n v="2"/>
    <n v="2"/>
    <n v="0"/>
    <x v="0"/>
    <x v="1"/>
    <s v="VIP area"/>
    <s v="VIP Lounge"/>
    <x v="10"/>
    <s v="FIFA Guest Operations"/>
    <m/>
    <s v="AV"/>
  </r>
  <r>
    <s v="TVSTND"/>
    <s v="TV Stand - Medium &amp; Large TVs"/>
    <s v="Peripherals"/>
    <s v=""/>
    <s v=""/>
    <x v="6"/>
    <x v="6"/>
    <n v="2"/>
    <n v="0"/>
    <n v="0"/>
    <n v="2"/>
    <n v="0"/>
    <n v="0"/>
    <x v="0"/>
    <x v="1"/>
    <s v="VIP area"/>
    <s v="VIP Lounge"/>
    <x v="10"/>
    <s v="FIFA Guest Operations"/>
    <m/>
    <s v="AV"/>
  </r>
  <r>
    <s v="CABLOK"/>
    <s v="Laptop Cable Lock"/>
    <s v="Peripherals"/>
    <s v="Multi"/>
    <s v=""/>
    <x v="10"/>
    <x v="10"/>
    <n v="1"/>
    <n v="0"/>
    <n v="0"/>
    <n v="1"/>
    <n v="0"/>
    <n v="0"/>
    <x v="1"/>
    <x v="0"/>
    <s v="Stadium Media Centre"/>
    <s v="SMC/MEO/WD/Mixed Zone"/>
    <x v="11"/>
    <s v="FIFA Media"/>
    <m/>
    <s v="EU"/>
  </r>
  <r>
    <s v="IS00WM"/>
    <s v="Wireless coverage - Internet Service - Wi-Fi Media"/>
    <s v="Network &amp; Connectivity"/>
    <s v=""/>
    <s v="Media Internet Access"/>
    <x v="29"/>
    <x v="29"/>
    <n v="1"/>
    <n v="0"/>
    <n v="0"/>
    <n v="1"/>
    <n v="0"/>
    <n v="0"/>
    <x v="0"/>
    <x v="0"/>
    <s v="Stadium Media Centre"/>
    <s v="SMC/MEO/WD/Mixed Zone"/>
    <x v="11"/>
    <s v="FIFA Media"/>
    <s v="for 100pax"/>
    <s v="NW"/>
  </r>
  <r>
    <s v="IS00WM"/>
    <s v="Wireless coverage - Internet Service - Wi-Fi Media"/>
    <s v="Network &amp; Connectivity"/>
    <s v=""/>
    <s v="Media Internet Access"/>
    <x v="29"/>
    <x v="29"/>
    <n v="1"/>
    <n v="0"/>
    <n v="0"/>
    <n v="1"/>
    <n v="0"/>
    <n v="0"/>
    <x v="0"/>
    <x v="0"/>
    <s v="Media Tribunes"/>
    <s v="Media Tribune"/>
    <x v="11"/>
    <s v="FIFA Media"/>
    <s v="Local Press"/>
    <s v="NW"/>
  </r>
  <r>
    <s v="IS00WM"/>
    <s v="Wireless coverage - Internet Service - Wi-Fi Media"/>
    <s v="Network &amp; Connectivity"/>
    <s v=""/>
    <s v="Media Internet Access"/>
    <x v="29"/>
    <x v="29"/>
    <n v="1"/>
    <n v="0"/>
    <n v="0"/>
    <n v="1"/>
    <n v="0"/>
    <n v="0"/>
    <x v="0"/>
    <x v="0"/>
    <s v="Pitch 1-9"/>
    <s v="Behind goal remote left"/>
    <x v="11"/>
    <s v="FIFA Media"/>
    <m/>
    <s v="NW"/>
  </r>
  <r>
    <s v="IS00WM"/>
    <s v="Wireless coverage - Internet Service - Wi-Fi Media"/>
    <s v="Network &amp; Connectivity"/>
    <s v=""/>
    <s v="Media Internet Access"/>
    <x v="29"/>
    <x v="29"/>
    <n v="1"/>
    <n v="0"/>
    <n v="0"/>
    <n v="1"/>
    <n v="0"/>
    <n v="0"/>
    <x v="0"/>
    <x v="0"/>
    <s v="Pitch 1-9"/>
    <s v="Behind goal remote right"/>
    <x v="11"/>
    <s v="FIFA Media"/>
    <m/>
    <s v="NW"/>
  </r>
  <r>
    <s v="IS00WM"/>
    <s v="Wireless coverage - Internet Service - Wi-Fi Media"/>
    <s v="Network &amp; Connectivity"/>
    <s v=""/>
    <s v="Media Internet Access"/>
    <x v="29"/>
    <x v="29"/>
    <n v="1"/>
    <n v="0"/>
    <n v="0"/>
    <n v="1"/>
    <n v="0"/>
    <n v="0"/>
    <x v="0"/>
    <x v="0"/>
    <s v="Pitch 1"/>
    <s v="FIFA Photo Positions - Left - 16m line"/>
    <x v="11"/>
    <s v="FIFA Media"/>
    <m/>
    <s v="NW"/>
  </r>
  <r>
    <s v="IS00WM"/>
    <s v="Wireless coverage - Internet Service - Wi-Fi Media"/>
    <s v="Network &amp; Connectivity"/>
    <s v=""/>
    <s v="Media Internet Access"/>
    <x v="29"/>
    <x v="29"/>
    <n v="1"/>
    <n v="0"/>
    <n v="0"/>
    <n v="1"/>
    <n v="0"/>
    <n v="0"/>
    <x v="0"/>
    <x v="0"/>
    <s v="Pitch 1"/>
    <s v="FIFA Photo Positions - Right - 16m line"/>
    <x v="11"/>
    <s v="FIFA Media"/>
    <m/>
    <s v="NW"/>
  </r>
  <r>
    <s v="IS00WM"/>
    <s v="Wireless coverage - Internet Service - Wi-Fi Media"/>
    <s v="Network &amp; Connectivity"/>
    <s v=""/>
    <s v="Media Internet Access"/>
    <x v="29"/>
    <x v="29"/>
    <n v="1"/>
    <n v="0"/>
    <n v="0"/>
    <n v="1"/>
    <n v="0"/>
    <n v="0"/>
    <x v="0"/>
    <x v="0"/>
    <s v="Pitch 2"/>
    <s v="FIFA Photo Positions - Left - 16m line"/>
    <x v="11"/>
    <s v="FIFA Media"/>
    <m/>
    <s v="NW"/>
  </r>
  <r>
    <s v="IS00WM"/>
    <s v="Wireless coverage - Internet Service - Wi-Fi Media"/>
    <s v="Network &amp; Connectivity"/>
    <s v=""/>
    <s v="Media Internet Access"/>
    <x v="29"/>
    <x v="29"/>
    <n v="1"/>
    <n v="0"/>
    <n v="0"/>
    <n v="1"/>
    <n v="0"/>
    <n v="0"/>
    <x v="0"/>
    <x v="0"/>
    <s v="Pitch 2"/>
    <s v="FIFA Photo Positions - Right - 16m line"/>
    <x v="11"/>
    <s v="FIFA Media"/>
    <m/>
    <s v="NW"/>
  </r>
  <r>
    <s v="IS00WM"/>
    <s v="Wireless coverage - Internet Service - Wi-Fi Media"/>
    <s v="Network &amp; Connectivity"/>
    <s v=""/>
    <s v="Media Internet Access"/>
    <x v="29"/>
    <x v="29"/>
    <n v="1"/>
    <n v="0"/>
    <n v="0"/>
    <n v="1"/>
    <n v="0"/>
    <n v="0"/>
    <x v="0"/>
    <x v="0"/>
    <s v="Pitch 3"/>
    <s v="FIFA Photo Positions - Left - 16m line"/>
    <x v="11"/>
    <s v="FIFA Media"/>
    <m/>
    <s v="NW"/>
  </r>
  <r>
    <s v="IS00WM"/>
    <s v="Wireless coverage - Internet Service - Wi-Fi Media"/>
    <s v="Network &amp; Connectivity"/>
    <s v=""/>
    <s v="Media Internet Access"/>
    <x v="29"/>
    <x v="29"/>
    <n v="1"/>
    <n v="0"/>
    <n v="0"/>
    <n v="1"/>
    <n v="0"/>
    <n v="0"/>
    <x v="0"/>
    <x v="0"/>
    <s v="Pitch 3"/>
    <s v="FIFA Photo Positions - Right - 16m line"/>
    <x v="11"/>
    <s v="FIFA Media"/>
    <m/>
    <s v="NW"/>
  </r>
  <r>
    <s v="IS00WM"/>
    <s v="Wireless coverage - Internet Service - Wi-Fi Media"/>
    <s v="Network &amp; Connectivity"/>
    <s v=""/>
    <s v="Media Internet Access"/>
    <x v="29"/>
    <x v="29"/>
    <n v="1"/>
    <n v="0"/>
    <n v="0"/>
    <n v="1"/>
    <n v="0"/>
    <n v="0"/>
    <x v="0"/>
    <x v="0"/>
    <s v="Pitch 4"/>
    <s v="FIFA Photo Positions - Left - 16m line"/>
    <x v="11"/>
    <s v="FIFA Media"/>
    <m/>
    <s v="NW"/>
  </r>
  <r>
    <s v="IS00WM"/>
    <s v="Wireless coverage - Internet Service - Wi-Fi Media"/>
    <s v="Network &amp; Connectivity"/>
    <s v=""/>
    <s v="Media Internet Access"/>
    <x v="29"/>
    <x v="29"/>
    <n v="1"/>
    <n v="0"/>
    <n v="0"/>
    <n v="1"/>
    <n v="0"/>
    <n v="0"/>
    <x v="0"/>
    <x v="0"/>
    <s v="Pitch 4"/>
    <s v="FIFA Photo Positions - Right - 16m line"/>
    <x v="11"/>
    <s v="FIFA Media"/>
    <m/>
    <s v="NW"/>
  </r>
  <r>
    <s v="IS00WM"/>
    <s v="Wireless coverage - Internet Service - Wi-Fi Media"/>
    <s v="Network &amp; Connectivity"/>
    <s v=""/>
    <s v="Media Internet Access"/>
    <x v="29"/>
    <x v="29"/>
    <n v="1"/>
    <n v="0"/>
    <n v="0"/>
    <n v="1"/>
    <n v="0"/>
    <n v="0"/>
    <x v="0"/>
    <x v="0"/>
    <s v="Pitch 5"/>
    <s v="FIFA Photo Positions - Left - 16m line"/>
    <x v="11"/>
    <s v="FIFA Media"/>
    <m/>
    <s v="NW"/>
  </r>
  <r>
    <s v="IS00WM"/>
    <s v="Wireless coverage - Internet Service - Wi-Fi Media"/>
    <s v="Network &amp; Connectivity"/>
    <s v=""/>
    <s v="Media Internet Access"/>
    <x v="29"/>
    <x v="29"/>
    <n v="1"/>
    <n v="0"/>
    <n v="0"/>
    <n v="1"/>
    <n v="0"/>
    <n v="0"/>
    <x v="0"/>
    <x v="0"/>
    <s v="Pitch 5"/>
    <s v="FIFA Photo Positions - Right - 16m line"/>
    <x v="11"/>
    <s v="FIFA Media"/>
    <m/>
    <s v="NW"/>
  </r>
  <r>
    <s v="IS00WM"/>
    <s v="Wireless coverage - Internet Service - Wi-Fi Media"/>
    <s v="Network &amp; Connectivity"/>
    <s v=""/>
    <s v="Media Internet Access"/>
    <x v="29"/>
    <x v="29"/>
    <n v="1"/>
    <n v="0"/>
    <n v="0"/>
    <n v="1"/>
    <n v="0"/>
    <n v="0"/>
    <x v="0"/>
    <x v="0"/>
    <s v="Pitch 7"/>
    <s v="FIFA Photo Positions - Left - 16m line"/>
    <x v="11"/>
    <s v="FIFA Media"/>
    <m/>
    <s v="NW"/>
  </r>
  <r>
    <s v="IS00WM"/>
    <s v="Wireless coverage - Internet Service - Wi-Fi Media"/>
    <s v="Network &amp; Connectivity"/>
    <s v=""/>
    <s v="Media Internet Access"/>
    <x v="29"/>
    <x v="29"/>
    <n v="1"/>
    <n v="0"/>
    <n v="0"/>
    <n v="1"/>
    <n v="0"/>
    <n v="0"/>
    <x v="0"/>
    <x v="0"/>
    <s v="Pitch 7"/>
    <s v="FIFA Photo Positions - Right - 16m line"/>
    <x v="11"/>
    <s v="FIFA Media"/>
    <m/>
    <s v="NW"/>
  </r>
  <r>
    <s v="IS00WM"/>
    <s v="Wireless coverage - Internet Service - Wi-Fi Media"/>
    <s v="Network &amp; Connectivity"/>
    <s v=""/>
    <s v="Media Internet Access"/>
    <x v="29"/>
    <x v="29"/>
    <n v="1"/>
    <n v="0"/>
    <n v="0"/>
    <n v="1"/>
    <n v="0"/>
    <n v="0"/>
    <x v="0"/>
    <x v="0"/>
    <s v="Pitch 8"/>
    <s v="FIFA Photo Positions - Left - 16m line"/>
    <x v="11"/>
    <s v="FIFA Media"/>
    <m/>
    <s v="NW"/>
  </r>
  <r>
    <s v="IS00WM"/>
    <s v="Wireless coverage - Internet Service - Wi-Fi Media"/>
    <s v="Network &amp; Connectivity"/>
    <s v=""/>
    <s v="Media Internet Access"/>
    <x v="29"/>
    <x v="29"/>
    <n v="1"/>
    <n v="0"/>
    <n v="0"/>
    <n v="1"/>
    <n v="0"/>
    <n v="0"/>
    <x v="0"/>
    <x v="0"/>
    <s v="Pitch 8"/>
    <s v="FIFA Photo Positions - Right - 16m line"/>
    <x v="11"/>
    <s v="FIFA Media"/>
    <m/>
    <s v="NW"/>
  </r>
  <r>
    <s v="IS00WM"/>
    <s v="Wireless coverage - Internet Service - Wi-Fi Media"/>
    <s v="Network &amp; Connectivity"/>
    <s v=""/>
    <s v="Media Internet Access"/>
    <x v="29"/>
    <x v="29"/>
    <n v="1"/>
    <n v="0"/>
    <n v="0"/>
    <n v="1"/>
    <n v="0"/>
    <n v="0"/>
    <x v="0"/>
    <x v="0"/>
    <s v="Pitch 9"/>
    <s v="FIFA Photo Positions - Left - 16m line"/>
    <x v="11"/>
    <s v="FIFA Media"/>
    <m/>
    <s v="NW"/>
  </r>
  <r>
    <s v="IS00WM"/>
    <s v="Wireless coverage - Internet Service - Wi-Fi Media"/>
    <s v="Network &amp; Connectivity"/>
    <s v=""/>
    <s v="Media Internet Access"/>
    <x v="29"/>
    <x v="29"/>
    <n v="1"/>
    <n v="0"/>
    <n v="0"/>
    <n v="1"/>
    <n v="0"/>
    <n v="0"/>
    <x v="0"/>
    <x v="0"/>
    <s v="Pitch 9"/>
    <s v="FIFA Photo Positions - Right - 16m line"/>
    <x v="11"/>
    <s v="FIFA Media"/>
    <m/>
    <s v="NW"/>
  </r>
  <r>
    <s v="IS00WM"/>
    <s v="Wireless coverage - Internet Service - Wi-Fi Media"/>
    <s v="Network &amp; Connectivity"/>
    <s v=""/>
    <s v="Media Internet Access"/>
    <x v="29"/>
    <x v="29"/>
    <n v="1"/>
    <n v="0"/>
    <n v="0"/>
    <n v="1"/>
    <n v="0"/>
    <n v="0"/>
    <x v="0"/>
    <x v="0"/>
    <s v="Field of Play"/>
    <s v="Photographers Positions - Left side"/>
    <x v="11"/>
    <s v="FIFA Media"/>
    <m/>
    <s v="NW"/>
  </r>
  <r>
    <s v="IS00WM"/>
    <s v="Wireless coverage - Internet Service - Wi-Fi Media"/>
    <s v="Network &amp; Connectivity"/>
    <s v=""/>
    <s v="Media Internet Access"/>
    <x v="29"/>
    <x v="29"/>
    <n v="1"/>
    <n v="0"/>
    <n v="0"/>
    <n v="1"/>
    <n v="0"/>
    <n v="0"/>
    <x v="0"/>
    <x v="0"/>
    <s v="Field of Play"/>
    <s v="Photographers Positions - Right side"/>
    <x v="11"/>
    <s v="FIFA Media"/>
    <m/>
    <s v="NW"/>
  </r>
  <r>
    <s v="LAPEVT"/>
    <s v="Laptop - FIFA Event Build"/>
    <s v="FIFA IT Hardware"/>
    <s v="Single"/>
    <s v=""/>
    <x v="17"/>
    <x v="17"/>
    <n v="1"/>
    <n v="0"/>
    <n v="0"/>
    <n v="1"/>
    <n v="0"/>
    <n v="0"/>
    <x v="1"/>
    <x v="0"/>
    <s v="Stadium Media Centre"/>
    <s v="SMC/MEO/WD/Mixed Zone"/>
    <x v="11"/>
    <s v="FIFA Media"/>
    <m/>
    <s v="EU"/>
  </r>
  <r>
    <s v="TVLGIP"/>
    <s v="TV - Large - IPTV"/>
    <s v="CATV"/>
    <s v=""/>
    <s v=""/>
    <x v="5"/>
    <x v="5"/>
    <n v="2"/>
    <n v="2"/>
    <n v="0"/>
    <n v="2"/>
    <n v="2"/>
    <n v="0"/>
    <x v="0"/>
    <x v="0"/>
    <s v="Stadium Media Centre"/>
    <s v="SMC/MEO/WD/Mixed Zone"/>
    <x v="11"/>
    <s v="FIFA Media"/>
    <m/>
    <s v="AV"/>
  </r>
  <r>
    <s v="TVSTND"/>
    <s v="TV Stand - Medium &amp; Large TVs"/>
    <s v="Peripherals"/>
    <s v=""/>
    <s v=""/>
    <x v="6"/>
    <x v="6"/>
    <n v="2"/>
    <n v="0"/>
    <n v="0"/>
    <n v="2"/>
    <n v="0"/>
    <n v="0"/>
    <x v="0"/>
    <x v="0"/>
    <s v="Stadium Media Centre"/>
    <s v="SMC/MEO/WD/Mixed Zone"/>
    <x v="11"/>
    <s v="FIFA Media"/>
    <m/>
    <s v="AV"/>
  </r>
  <r>
    <s v="WRDMED"/>
    <s v="Wired Port - Media Internet"/>
    <s v="Network &amp; Connectivity"/>
    <s v=""/>
    <s v="Media Internet Access Media"/>
    <x v="3"/>
    <x v="3"/>
    <n v="5"/>
    <n v="5"/>
    <n v="0"/>
    <n v="5"/>
    <n v="5"/>
    <n v="0"/>
    <x v="0"/>
    <x v="0"/>
    <s v="Stadium Media Centre"/>
    <s v="SMC/MEO/WD/Mixed Zone"/>
    <x v="11"/>
    <s v="FIFA Media"/>
    <m/>
    <s v="NW"/>
  </r>
  <r>
    <s v="AUDUSB"/>
    <s v="Audio transformer SDI to USB"/>
    <s v="Audio"/>
    <s v=""/>
    <s v=""/>
    <x v="30"/>
    <x v="30"/>
    <n v="1"/>
    <n v="0"/>
    <n v="0"/>
    <n v="1"/>
    <n v="0"/>
    <n v="0"/>
    <x v="1"/>
    <x v="1"/>
    <s v="Press Conference Room"/>
    <s v="Press Conference Room"/>
    <x v="11"/>
    <s v="FIFA Media"/>
    <m/>
    <s v="AV"/>
  </r>
  <r>
    <s v="CABLOK"/>
    <s v="Laptop Cable Lock"/>
    <s v="Peripherals"/>
    <s v="Multi"/>
    <s v=""/>
    <x v="10"/>
    <x v="10"/>
    <n v="1"/>
    <n v="0"/>
    <n v="0"/>
    <n v="1"/>
    <n v="0"/>
    <n v="0"/>
    <x v="1"/>
    <x v="1"/>
    <s v="Stadium Media Centre"/>
    <s v="Media Information / Welcome Desk"/>
    <x v="11"/>
    <s v="FIFA Media"/>
    <m/>
    <s v="EU"/>
  </r>
  <r>
    <s v="CABLOK"/>
    <s v="Laptop Cable Lock"/>
    <s v="Peripherals"/>
    <s v="Multi"/>
    <s v=""/>
    <x v="10"/>
    <x v="10"/>
    <n v="2"/>
    <n v="0"/>
    <n v="0"/>
    <n v="2"/>
    <n v="0"/>
    <n v="0"/>
    <x v="1"/>
    <x v="1"/>
    <s v="Press Conference Room"/>
    <s v="Press Conference Room"/>
    <x v="11"/>
    <s v="FIFA Media"/>
    <m/>
    <s v="EU"/>
  </r>
  <r>
    <s v="CAM001"/>
    <s v="Webcam"/>
    <s v="Peripherals"/>
    <s v="Multi"/>
    <s v=""/>
    <x v="31"/>
    <x v="31"/>
    <n v="1"/>
    <n v="0"/>
    <n v="0"/>
    <n v="1"/>
    <n v="0"/>
    <n v="0"/>
    <x v="1"/>
    <x v="1"/>
    <s v="Press Conference Room"/>
    <s v="Press Conference Room"/>
    <x v="11"/>
    <s v="FIFA Media"/>
    <s v="4K"/>
    <s v="EU"/>
  </r>
  <r>
    <s v="IS00WM"/>
    <s v="Wireless coverage - Internet Service - Wi-Fi Media"/>
    <s v="Network &amp; Connectivity"/>
    <s v=""/>
    <s v="Media Internet Access"/>
    <x v="29"/>
    <x v="29"/>
    <n v="1"/>
    <n v="0"/>
    <n v="0"/>
    <n v="1"/>
    <n v="0"/>
    <n v="0"/>
    <x v="0"/>
    <x v="1"/>
    <s v="Stadium Media Centre"/>
    <s v="MEO office"/>
    <x v="11"/>
    <s v="FIFA Media"/>
    <m/>
    <s v="NW"/>
  </r>
  <r>
    <s v="IS00WM"/>
    <s v="Wireless coverage - Internet Service - Wi-Fi Media"/>
    <s v="Network &amp; Connectivity"/>
    <s v=""/>
    <s v="Media Internet Access"/>
    <x v="29"/>
    <x v="29"/>
    <n v="1"/>
    <n v="0"/>
    <n v="0"/>
    <n v="1"/>
    <n v="0"/>
    <n v="0"/>
    <x v="0"/>
    <x v="1"/>
    <s v="Mixed Zone"/>
    <s v="Mixed Zone"/>
    <x v="11"/>
    <s v="FIFA Media"/>
    <m/>
    <s v="NW"/>
  </r>
  <r>
    <s v="IS00WM"/>
    <s v="Wireless coverage - Internet Service - Wi-Fi Media"/>
    <s v="Network &amp; Connectivity"/>
    <s v=""/>
    <s v="Media Internet Access"/>
    <x v="29"/>
    <x v="29"/>
    <n v="1"/>
    <n v="0"/>
    <n v="0"/>
    <n v="1"/>
    <n v="0"/>
    <n v="0"/>
    <x v="0"/>
    <x v="1"/>
    <s v="Stadium Media Centre"/>
    <s v="Stadium Media Centre"/>
    <x v="11"/>
    <s v="FIFA Media"/>
    <m/>
    <s v="NW"/>
  </r>
  <r>
    <s v="IS00WM"/>
    <s v="Wireless coverage - Internet Service - Wi-Fi Media"/>
    <s v="Network &amp; Connectivity"/>
    <s v=""/>
    <s v="Media Internet Access"/>
    <x v="29"/>
    <x v="29"/>
    <n v="1"/>
    <n v="0"/>
    <n v="0"/>
    <n v="1"/>
    <n v="0"/>
    <n v="0"/>
    <x v="0"/>
    <x v="1"/>
    <s v="Media Tribunes"/>
    <s v="Media Tribune"/>
    <x v="11"/>
    <s v="FIFA Media"/>
    <s v="Local Press+International TBC / for 60pax"/>
    <s v="NW"/>
  </r>
  <r>
    <s v="IS00WM"/>
    <s v="Wireless coverage - Internet Service - Wi-Fi Media"/>
    <s v="Network &amp; Connectivity"/>
    <s v=""/>
    <s v="Media Internet Access"/>
    <x v="29"/>
    <x v="29"/>
    <n v="1"/>
    <n v="0"/>
    <n v="0"/>
    <n v="1"/>
    <n v="0"/>
    <n v="0"/>
    <x v="0"/>
    <x v="1"/>
    <s v="Stadium Media Centre"/>
    <s v="Media Information / Welcome Desk"/>
    <x v="11"/>
    <s v="FIFA Media"/>
    <m/>
    <s v="NW"/>
  </r>
  <r>
    <s v="IS00WM"/>
    <s v="Wireless coverage - Internet Service - Wi-Fi Media"/>
    <s v="Network &amp; Connectivity"/>
    <s v=""/>
    <s v="Media Internet Access"/>
    <x v="29"/>
    <x v="29"/>
    <n v="1"/>
    <n v="0"/>
    <n v="0"/>
    <n v="1"/>
    <n v="0"/>
    <n v="0"/>
    <x v="0"/>
    <x v="1"/>
    <s v="Field of Play"/>
    <s v="Behind goal remote left"/>
    <x v="11"/>
    <s v="FIFA Media"/>
    <m/>
    <s v="NW"/>
  </r>
  <r>
    <s v="IS00WM"/>
    <s v="Wireless coverage - Internet Service - Wi-Fi Media"/>
    <s v="Network &amp; Connectivity"/>
    <s v=""/>
    <s v="Media Internet Access"/>
    <x v="29"/>
    <x v="29"/>
    <n v="1"/>
    <n v="0"/>
    <n v="0"/>
    <n v="1"/>
    <n v="0"/>
    <n v="0"/>
    <x v="0"/>
    <x v="1"/>
    <s v="Field of Play"/>
    <s v="Behind goal remote right"/>
    <x v="11"/>
    <s v="FIFA Media"/>
    <m/>
    <s v="NW"/>
  </r>
  <r>
    <s v="IS00WM"/>
    <s v="Wireless coverage - Internet Service - Wi-Fi Media"/>
    <s v="Network &amp; Connectivity"/>
    <s v=""/>
    <s v="Media Internet Access"/>
    <x v="29"/>
    <x v="29"/>
    <n v="1"/>
    <n v="0"/>
    <n v="0"/>
    <n v="1"/>
    <n v="0"/>
    <n v="0"/>
    <x v="0"/>
    <x v="1"/>
    <s v="Field of Play"/>
    <s v="Photographers Positions - Right side"/>
    <x v="11"/>
    <s v="FIFA Media"/>
    <m/>
    <s v="NW"/>
  </r>
  <r>
    <s v="IS00WM"/>
    <s v="Wireless coverage - Internet Service - Wi-Fi Media"/>
    <s v="Network &amp; Connectivity"/>
    <s v=""/>
    <s v="Media Internet Access"/>
    <x v="29"/>
    <x v="29"/>
    <n v="1"/>
    <n v="0"/>
    <n v="0"/>
    <n v="1"/>
    <n v="0"/>
    <n v="0"/>
    <x v="0"/>
    <x v="1"/>
    <s v="Field of Play"/>
    <s v="Photographers Positions - Left side"/>
    <x v="11"/>
    <s v="FIFA Media"/>
    <m/>
    <s v="NW"/>
  </r>
  <r>
    <s v="IS00WM"/>
    <s v="Wireless coverage - Internet Service - Wi-Fi Media"/>
    <s v="Network &amp; Connectivity"/>
    <s v=""/>
    <s v="Media Internet Access"/>
    <x v="29"/>
    <x v="29"/>
    <n v="1"/>
    <n v="0"/>
    <n v="0"/>
    <n v="1"/>
    <n v="0"/>
    <n v="0"/>
    <x v="0"/>
    <x v="1"/>
    <s v="Field of Play"/>
    <s v="FIFA Photo Positions - Left - 16m line"/>
    <x v="11"/>
    <s v="FIFA Media"/>
    <m/>
    <s v="NW"/>
  </r>
  <r>
    <s v="IS00WM"/>
    <s v="Wireless coverage - Internet Service - Wi-Fi Media"/>
    <s v="Network &amp; Connectivity"/>
    <s v=""/>
    <s v="Media Internet Access"/>
    <x v="29"/>
    <x v="29"/>
    <n v="1"/>
    <n v="0"/>
    <n v="0"/>
    <n v="1"/>
    <n v="0"/>
    <n v="0"/>
    <x v="0"/>
    <x v="1"/>
    <s v="Field of Play"/>
    <s v="FIFA Photo Positions - Right - 16m line"/>
    <x v="11"/>
    <s v="FIFA Media"/>
    <m/>
    <s v="NW"/>
  </r>
  <r>
    <s v="IS00Wm"/>
    <s v="Wireless coverage - Internet Service - Wi-Fi Media"/>
    <s v="Network &amp; Connectivity"/>
    <s v=""/>
    <s v="Media Internet Access"/>
    <x v="29"/>
    <x v="29"/>
    <n v="1"/>
    <n v="0"/>
    <n v="0"/>
    <n v="1"/>
    <n v="0"/>
    <n v="0"/>
    <x v="0"/>
    <x v="1"/>
    <s v="Press Conference Room"/>
    <s v="Press Conference Room"/>
    <x v="11"/>
    <s v="FIFA Media"/>
    <m/>
    <s v="NW"/>
  </r>
  <r>
    <s v="LAPEVT"/>
    <s v="Laptop - FIFA Event Build"/>
    <s v="FIFA IT Hardware"/>
    <s v="Single"/>
    <s v=""/>
    <x v="17"/>
    <x v="17"/>
    <n v="1"/>
    <n v="0"/>
    <n v="0"/>
    <n v="1"/>
    <n v="0"/>
    <n v="0"/>
    <x v="1"/>
    <x v="1"/>
    <s v="Stadium Media Centre"/>
    <s v="Media Information / Welcome Desk"/>
    <x v="11"/>
    <s v="FIFA Media"/>
    <m/>
    <s v="EU"/>
  </r>
  <r>
    <s v="LAPEVT"/>
    <s v="Laptop - FIFA Event Build"/>
    <s v="FIFA IT Hardware"/>
    <s v="Single"/>
    <s v=""/>
    <x v="17"/>
    <x v="17"/>
    <n v="2"/>
    <n v="0"/>
    <n v="0"/>
    <n v="2"/>
    <n v="0"/>
    <n v="0"/>
    <x v="1"/>
    <x v="1"/>
    <s v="Press Conference Room"/>
    <s v="Press Conference Room"/>
    <x v="11"/>
    <s v="FIFA Media"/>
    <m/>
    <s v="EU"/>
  </r>
  <r>
    <s v="TELMOB"/>
    <s v="Telephone - Mobile - Smart Phone"/>
    <s v="Telephony"/>
    <s v="Single"/>
    <s v=""/>
    <x v="21"/>
    <x v="21"/>
    <n v="6"/>
    <n v="0"/>
    <n v="6"/>
    <n v="6"/>
    <n v="0"/>
    <n v="6"/>
    <x v="1"/>
    <x v="1"/>
    <s v="Press Conference Room"/>
    <s v="Press Conference Room"/>
    <x v="11"/>
    <s v="FIFA Media"/>
    <m/>
    <s v="Telco/SIM"/>
  </r>
  <r>
    <s v="SIMDAT"/>
    <s v="SIM - Data Only"/>
    <s v="Telephony"/>
    <s v=""/>
    <s v=""/>
    <x v="18"/>
    <x v="18"/>
    <n v="6"/>
    <n v="0"/>
    <n v="6"/>
    <n v="6"/>
    <n v="0"/>
    <n v="6"/>
    <x v="0"/>
    <x v="1"/>
    <s v="Press Conference Room"/>
    <s v="Press Conference Room"/>
    <x v="11"/>
    <s v="FIFA Media"/>
    <m/>
    <s v="Telco/SIM"/>
  </r>
  <r>
    <s v="TVLGIP"/>
    <s v="TV - Large - IPTV"/>
    <s v="CATV"/>
    <s v=""/>
    <s v=""/>
    <x v="5"/>
    <x v="5"/>
    <n v="1"/>
    <n v="1"/>
    <n v="0"/>
    <n v="1"/>
    <n v="1"/>
    <n v="0"/>
    <x v="0"/>
    <x v="1"/>
    <s v="Mixed Zone"/>
    <s v="Mixed Zone"/>
    <x v="11"/>
    <s v="FIFA Media"/>
    <m/>
    <s v="AV"/>
  </r>
  <r>
    <s v="TVLGIP"/>
    <s v="TV - Large - IPTV"/>
    <s v="CATV"/>
    <s v=""/>
    <s v=""/>
    <x v="5"/>
    <x v="5"/>
    <n v="1"/>
    <n v="1"/>
    <n v="0"/>
    <n v="1"/>
    <n v="1"/>
    <n v="0"/>
    <x v="0"/>
    <x v="1"/>
    <s v="Stadium Media Centre"/>
    <s v="Stadium Media Centre"/>
    <x v="11"/>
    <s v="FIFA Media"/>
    <m/>
    <s v="AV"/>
  </r>
  <r>
    <s v="TVSTND"/>
    <s v="TV Stand - Medium &amp; Large TVs"/>
    <s v="Peripherals"/>
    <s v=""/>
    <s v=""/>
    <x v="6"/>
    <x v="6"/>
    <n v="1"/>
    <n v="0"/>
    <n v="0"/>
    <n v="1"/>
    <n v="0"/>
    <n v="0"/>
    <x v="0"/>
    <x v="1"/>
    <s v="Mixed Zone"/>
    <s v="Mixed Zone"/>
    <x v="11"/>
    <s v="FIFA Media"/>
    <m/>
    <s v="AV"/>
  </r>
  <r>
    <s v="TVSTND"/>
    <s v="TV Stand - Medium &amp; Large TVs"/>
    <s v="Peripherals"/>
    <s v=""/>
    <s v=""/>
    <x v="6"/>
    <x v="6"/>
    <n v="1"/>
    <n v="0"/>
    <n v="0"/>
    <n v="1"/>
    <n v="0"/>
    <n v="0"/>
    <x v="0"/>
    <x v="1"/>
    <s v="Stadium Media Centre"/>
    <s v="Stadium Media Centre"/>
    <x v="11"/>
    <s v="FIFA Media"/>
    <m/>
    <s v="AV"/>
  </r>
  <r>
    <s v="WRDFTI"/>
    <s v="Wired Port - FTI"/>
    <s v="Network &amp; Connectivity"/>
    <s v=""/>
    <s v="FIFA Technical FTI"/>
    <x v="13"/>
    <x v="13"/>
    <n v="2"/>
    <n v="2"/>
    <n v="0"/>
    <n v="2"/>
    <n v="2"/>
    <n v="0"/>
    <x v="0"/>
    <x v="1"/>
    <s v="Press Conference Room"/>
    <s v="Press Conference Room"/>
    <x v="11"/>
    <s v="FIFA Media"/>
    <m/>
    <s v="NW"/>
  </r>
  <r>
    <s v="WRDMED"/>
    <s v="Wired Port - Media Internet"/>
    <s v="Network &amp; Connectivity"/>
    <s v=""/>
    <s v="Media Internet Access Media"/>
    <x v="3"/>
    <x v="3"/>
    <n v="5"/>
    <n v="5"/>
    <n v="0"/>
    <n v="5"/>
    <n v="5"/>
    <n v="0"/>
    <x v="0"/>
    <x v="1"/>
    <s v="Stadium Media Centre"/>
    <s v="Stadium Media Centre"/>
    <x v="11"/>
    <s v="FIFA Media"/>
    <m/>
    <s v="NW"/>
  </r>
  <r>
    <s v="WRDMED"/>
    <s v="Wired Port - Media Internet"/>
    <s v="Network &amp; Connectivity"/>
    <s v=""/>
    <s v="Media Internet Access Media"/>
    <x v="3"/>
    <x v="3"/>
    <n v="1"/>
    <n v="1"/>
    <n v="0"/>
    <n v="1"/>
    <n v="1"/>
    <n v="0"/>
    <x v="0"/>
    <x v="1"/>
    <s v="Field of Play"/>
    <s v="FIFA Photo Positions - Right - 16m line"/>
    <x v="11"/>
    <s v="FIFA Media"/>
    <s v="Request from Paul Murphy / only if existing infrastructure"/>
    <s v="NW"/>
  </r>
  <r>
    <s v="WRDMED"/>
    <s v="Wired Port - Media Internet"/>
    <s v="Network &amp; Connectivity"/>
    <s v=""/>
    <s v="Media Internet Access Media"/>
    <x v="3"/>
    <x v="3"/>
    <n v="1"/>
    <n v="1"/>
    <n v="0"/>
    <n v="1"/>
    <n v="1"/>
    <n v="0"/>
    <x v="0"/>
    <x v="1"/>
    <s v="Field of Play"/>
    <s v="FIFA Photo Positions - Left - 16m line"/>
    <x v="11"/>
    <s v="FIFA Media"/>
    <s v="Request from Paul Murphy / only if existing infrastructure"/>
    <s v="NW"/>
  </r>
  <r>
    <s v="AVMSYS"/>
    <s v="AV Solution (Mics + Speakers)"/>
    <s v="Audio"/>
    <s v=""/>
    <s v=""/>
    <x v="32"/>
    <x v="32"/>
    <n v="1"/>
    <n v="0"/>
    <n v="0"/>
    <n v="1"/>
    <n v="0"/>
    <n v="0"/>
    <x v="0"/>
    <x v="0"/>
    <s v="Referees Accommodation"/>
    <s v="Class Room - Olympia "/>
    <x v="12"/>
    <s v="FIFA Referees"/>
    <m/>
    <s v="AV"/>
  </r>
  <r>
    <s v="DSKMNT"/>
    <s v="24&quot; Monitor - HDMI/DP"/>
    <s v="Peripherals"/>
    <s v=""/>
    <s v=""/>
    <x v="0"/>
    <x v="0"/>
    <n v="4"/>
    <n v="0"/>
    <n v="0"/>
    <n v="4"/>
    <n v="0"/>
    <n v="0"/>
    <x v="0"/>
    <x v="0"/>
    <s v="Referees Accommodation"/>
    <s v="Technical / Match Analysts - Office(s) in 1st floor"/>
    <x v="12"/>
    <s v="FIFA Referees"/>
    <m/>
    <s v="EU"/>
  </r>
  <r>
    <s v="DSKMNT"/>
    <s v="24&quot; Monitor - HDMI/DP"/>
    <s v="Peripherals"/>
    <s v=""/>
    <s v=""/>
    <x v="0"/>
    <x v="0"/>
    <n v="0"/>
    <n v="0"/>
    <n v="0"/>
    <n v="2"/>
    <n v="0"/>
    <n v="0"/>
    <x v="0"/>
    <x v="0"/>
    <s v="Referees Accommodation"/>
    <s v="REF Management - Lab 2"/>
    <x v="12"/>
    <s v="FIFA Referees"/>
    <m/>
    <s v="EU"/>
  </r>
  <r>
    <s v="DSKMNT"/>
    <s v="24&quot; Monitor - HDMI/DP"/>
    <s v="Peripherals"/>
    <s v=""/>
    <s v=""/>
    <x v="0"/>
    <x v="0"/>
    <n v="0"/>
    <n v="0"/>
    <n v="0"/>
    <n v="2"/>
    <n v="0"/>
    <n v="0"/>
    <x v="0"/>
    <x v="0"/>
    <s v="Referees Accommodation"/>
    <s v="REF Administration - Glass office (1st floor)"/>
    <x v="12"/>
    <s v="FIFA Referees"/>
    <m/>
    <s v="EU"/>
  </r>
  <r>
    <s v="DSKMNT"/>
    <s v="24&quot; Monitor - HDMI/DP"/>
    <s v="Peripherals"/>
    <s v=""/>
    <s v=""/>
    <x v="0"/>
    <x v="0"/>
    <n v="0"/>
    <n v="0"/>
    <n v="0"/>
    <n v="2"/>
    <n v="0"/>
    <n v="0"/>
    <x v="0"/>
    <x v="0"/>
    <s v="Referees Accommodation"/>
    <s v="Fitness Office"/>
    <x v="12"/>
    <s v="FIFA Referees"/>
    <m/>
    <s v="EU"/>
  </r>
  <r>
    <s v="IS00WR"/>
    <s v="Wireless coverage - Internet Service -  Referees"/>
    <s v="Network &amp; Connectivity"/>
    <s v=""/>
    <s v="General Internet Access"/>
    <x v="33"/>
    <x v="33"/>
    <n v="1"/>
    <n v="0"/>
    <n v="0"/>
    <n v="1"/>
    <n v="0"/>
    <n v="0"/>
    <x v="0"/>
    <x v="0"/>
    <s v="Referees Accommodation"/>
    <s v="Technical / Match Analysts - Office(s) in 1st floor"/>
    <x v="12"/>
    <s v="FIFA Referees"/>
    <m/>
    <s v="NW"/>
  </r>
  <r>
    <s v="IS00WR"/>
    <s v="Wireless coverage - Internet Service -  Referees"/>
    <s v="Network &amp; Connectivity"/>
    <s v=""/>
    <s v="General Internet Access"/>
    <x v="33"/>
    <x v="33"/>
    <n v="1"/>
    <n v="0"/>
    <n v="0"/>
    <n v="1"/>
    <n v="0"/>
    <n v="0"/>
    <x v="0"/>
    <x v="0"/>
    <s v="Training site pitch 10-11"/>
    <s v="Instant Feedback"/>
    <x v="12"/>
    <s v="FIFA Referees"/>
    <m/>
    <s v="NW"/>
  </r>
  <r>
    <s v="IS00WR"/>
    <s v="Wireless coverage - Internet Service -  Referees"/>
    <s v="Network &amp; Connectivity"/>
    <s v=""/>
    <s v="General Internet Access"/>
    <x v="33"/>
    <x v="33"/>
    <n v="1"/>
    <n v="0"/>
    <n v="0"/>
    <n v="1"/>
    <n v="0"/>
    <n v="0"/>
    <x v="0"/>
    <x v="0"/>
    <s v="Referees Accommodation"/>
    <s v="REF Management - Lab 2"/>
    <x v="12"/>
    <s v="FIFA Referees"/>
    <m/>
    <s v="NW"/>
  </r>
  <r>
    <s v="IS00WR"/>
    <s v="Wireless coverage - Internet Service -  Referees"/>
    <s v="Network &amp; Connectivity"/>
    <s v=""/>
    <s v="General Internet Access"/>
    <x v="33"/>
    <x v="33"/>
    <n v="1"/>
    <n v="0"/>
    <n v="0"/>
    <n v="1"/>
    <n v="0"/>
    <n v="0"/>
    <x v="0"/>
    <x v="0"/>
    <s v="Referees Accommodation"/>
    <s v="REF Administration - Glass office (1st floor)"/>
    <x v="12"/>
    <s v="FIFA Referees"/>
    <m/>
    <s v="NW"/>
  </r>
  <r>
    <s v="IS00WR"/>
    <s v="Wireless coverage - Internet Service -  Referees"/>
    <s v="Network &amp; Connectivity"/>
    <s v=""/>
    <s v="General Internet Access"/>
    <x v="33"/>
    <x v="33"/>
    <n v="1"/>
    <n v="0"/>
    <n v="0"/>
    <n v="1"/>
    <n v="0"/>
    <n v="0"/>
    <x v="0"/>
    <x v="0"/>
    <s v="Referees Accommodation"/>
    <s v="Fitness Office"/>
    <x v="12"/>
    <s v="FIFA Referees"/>
    <m/>
    <s v="NW"/>
  </r>
  <r>
    <s v="IS00WR"/>
    <s v="Wireless coverage - Internet Service -  Referees"/>
    <s v="Network &amp; Connectivity"/>
    <s v=""/>
    <s v="General Internet Access"/>
    <x v="33"/>
    <x v="33"/>
    <n v="1"/>
    <n v="0"/>
    <n v="0"/>
    <n v="1"/>
    <n v="0"/>
    <n v="0"/>
    <x v="0"/>
    <x v="0"/>
    <s v="Referees Accommodation"/>
    <s v="Class Room - Olympia "/>
    <x v="12"/>
    <s v="FIFA Referees"/>
    <m/>
    <s v="NW"/>
  </r>
  <r>
    <s v="IS00WR"/>
    <s v="Wireless coverage - Internet Service -  Referees"/>
    <s v="Network &amp; Connectivity"/>
    <s v=""/>
    <s v="General Internet Access"/>
    <x v="33"/>
    <x v="33"/>
    <n v="1"/>
    <n v="0"/>
    <n v="0"/>
    <n v="1"/>
    <n v="0"/>
    <n v="0"/>
    <x v="0"/>
    <x v="0"/>
    <s v="Referees Accommodation"/>
    <s v="Referees Accommodation"/>
    <x v="12"/>
    <s v="FIFA Referees"/>
    <m/>
    <s v="NW"/>
  </r>
  <r>
    <s v="IS00WR"/>
    <s v="Wireless coverage - Internet Service -  Referees"/>
    <s v="Network &amp; Connectivity"/>
    <s v=""/>
    <s v="General Internet Access"/>
    <x v="33"/>
    <x v="33"/>
    <n v="1"/>
    <n v="0"/>
    <n v="0"/>
    <n v="1"/>
    <n v="0"/>
    <n v="0"/>
    <x v="0"/>
    <x v="0"/>
    <s v="Referees Accommodation"/>
    <s v="Physio/ Medical Room - GF"/>
    <x v="12"/>
    <s v="FIFA Referees"/>
    <m/>
    <s v="NW"/>
  </r>
  <r>
    <s v="ITSIBU"/>
    <s v="IT Solution - 4G Internet backup "/>
    <s v="FIFA IT Network Solutions"/>
    <s v=""/>
    <s v=""/>
    <x v="16"/>
    <x v="16"/>
    <n v="1"/>
    <n v="0"/>
    <n v="1"/>
    <n v="1"/>
    <n v="0"/>
    <n v="1"/>
    <x v="0"/>
    <x v="0"/>
    <s v="Training site pitch 10-11"/>
    <s v="Instant Feedback"/>
    <x v="12"/>
    <s v="FIFA Referees"/>
    <s v="Only if Wireless is not available"/>
    <s v="NW"/>
  </r>
  <r>
    <s v="LAPPRE"/>
    <s v="Laptop - Presentation Build"/>
    <s v="FIFA IT Hardware"/>
    <s v="Single"/>
    <s v=""/>
    <x v="11"/>
    <x v="11"/>
    <n v="3"/>
    <n v="0"/>
    <n v="0"/>
    <n v="3"/>
    <n v="0"/>
    <n v="0"/>
    <x v="1"/>
    <x v="0"/>
    <s v="Referees Accommodation"/>
    <s v="Referees Accommodation"/>
    <x v="12"/>
    <s v="FIFA Referees"/>
    <s v="3 laptops to connect each to 2 TVs via HDMI - to stream matches via FDP"/>
    <s v="EU"/>
  </r>
  <r>
    <s v="TELMOB"/>
    <s v="Telephone - Mobile - Smart Phone"/>
    <s v="Telephony"/>
    <s v="Single"/>
    <s v=""/>
    <x v="21"/>
    <x v="21"/>
    <n v="0"/>
    <n v="0"/>
    <n v="10"/>
    <n v="10"/>
    <n v="0"/>
    <n v="10"/>
    <x v="1"/>
    <x v="0"/>
    <s v="Referees Accommodation"/>
    <s v="Referees Accommodation"/>
    <x v="12"/>
    <s v="FIFA Referees"/>
    <s v="3 laptops to connect each to 2 TVs via HDMI - to stream matches via FDP"/>
    <s v="Telco/SIM"/>
  </r>
  <r>
    <s v="MFDDNW"/>
    <s v="MFD Desktop - Colour - A4 - Network"/>
    <s v="Reprographics"/>
    <s v=""/>
    <s v="General Internet Access"/>
    <x v="2"/>
    <x v="2"/>
    <n v="1"/>
    <n v="1"/>
    <n v="0"/>
    <n v="1"/>
    <n v="1"/>
    <n v="0"/>
    <x v="0"/>
    <x v="0"/>
    <s v="Referees Accommodation"/>
    <s v="Technical / Match Analysts - Office(s) in 1st floor"/>
    <x v="12"/>
    <s v="FIFA Referees"/>
    <m/>
    <s v="EU"/>
  </r>
  <r>
    <s v="SIMDOM"/>
    <s v="SIM - Domestic"/>
    <s v="Telephony"/>
    <s v=""/>
    <s v=""/>
    <x v="19"/>
    <x v="19"/>
    <n v="0"/>
    <n v="0"/>
    <n v="20"/>
    <n v="20"/>
    <n v="0"/>
    <n v="20"/>
    <x v="0"/>
    <x v="0"/>
    <s v="Referees Accommodation"/>
    <s v="Technical / Match Analysts - Office(s) in 1st floor"/>
    <x v="12"/>
    <s v="FIFA Referees"/>
    <m/>
    <s v="Telco/SIM"/>
  </r>
  <r>
    <s v="MFDDNW"/>
    <s v="MFD Desktop - Colour - A4 - Network"/>
    <s v="Reprographics"/>
    <s v=""/>
    <s v="General Internet Access"/>
    <x v="2"/>
    <x v="2"/>
    <n v="1"/>
    <n v="1"/>
    <n v="0"/>
    <n v="1"/>
    <n v="1"/>
    <n v="0"/>
    <x v="0"/>
    <x v="0"/>
    <s v="Referees Accommodation"/>
    <s v="Fitness Office"/>
    <x v="12"/>
    <s v="FIFA Referees"/>
    <m/>
    <s v="EU"/>
  </r>
  <r>
    <s v="MFDLNW"/>
    <s v="MFD Large - Colour - A3 - Network"/>
    <s v="Reprographics"/>
    <s v=""/>
    <s v="General Internet Access"/>
    <x v="34"/>
    <x v="34"/>
    <n v="1"/>
    <n v="1"/>
    <n v="0"/>
    <n v="1"/>
    <n v="1"/>
    <n v="0"/>
    <x v="0"/>
    <x v="0"/>
    <s v="Referees Accommodation"/>
    <s v="REF Management - Lab 2"/>
    <x v="12"/>
    <s v="FIFA Referees"/>
    <m/>
    <s v="EU"/>
  </r>
  <r>
    <s v="Proj6k"/>
    <s v="Office Projector - 6K"/>
    <s v="Display Devices"/>
    <s v=""/>
    <s v=""/>
    <x v="26"/>
    <x v="26"/>
    <n v="1"/>
    <n v="0"/>
    <n v="0"/>
    <n v="1"/>
    <n v="0"/>
    <n v="0"/>
    <x v="0"/>
    <x v="0"/>
    <s v="Referees Accommodation"/>
    <s v="Class Room - Olympia "/>
    <x v="12"/>
    <s v="FIFA Referees"/>
    <m/>
    <s v="EU"/>
  </r>
  <r>
    <s v="TVLGIP"/>
    <s v="TV - Large - IPTV"/>
    <s v="CATV"/>
    <s v=""/>
    <s v=""/>
    <x v="5"/>
    <x v="5"/>
    <n v="2"/>
    <n v="2"/>
    <n v="0"/>
    <n v="2"/>
    <n v="2"/>
    <n v="0"/>
    <x v="0"/>
    <x v="0"/>
    <s v="Referees Accommodation"/>
    <s v="Technical / Match Analysts - Office(s) in 1st floor"/>
    <x v="12"/>
    <s v="FIFA Referees"/>
    <m/>
    <s v="AV"/>
  </r>
  <r>
    <s v="TVLGIP"/>
    <s v="TV - Large - IPTV"/>
    <s v="CATV"/>
    <s v=""/>
    <s v=""/>
    <x v="5"/>
    <x v="5"/>
    <n v="2"/>
    <n v="2"/>
    <n v="0"/>
    <n v="2"/>
    <n v="2"/>
    <n v="0"/>
    <x v="0"/>
    <x v="0"/>
    <s v="Referees Accommodation"/>
    <s v="REF Management - Lab 2"/>
    <x v="12"/>
    <s v="FIFA Referees"/>
    <m/>
    <s v="AV"/>
  </r>
  <r>
    <s v="TVLGIP"/>
    <s v="TV - Large - IPTV"/>
    <s v="CATV"/>
    <s v=""/>
    <s v=""/>
    <x v="5"/>
    <x v="5"/>
    <n v="1"/>
    <n v="1"/>
    <n v="0"/>
    <n v="1"/>
    <n v="1"/>
    <n v="0"/>
    <x v="0"/>
    <x v="0"/>
    <s v="Referees Accommodation"/>
    <s v="REF Administration - Glass office (1st floor)"/>
    <x v="12"/>
    <s v="FIFA Referees"/>
    <m/>
    <s v="AV"/>
  </r>
  <r>
    <s v="TVLGIP"/>
    <s v="TV - Large - IPTV"/>
    <s v="CATV"/>
    <s v=""/>
    <s v=""/>
    <x v="5"/>
    <x v="5"/>
    <n v="2"/>
    <n v="2"/>
    <n v="0"/>
    <n v="2"/>
    <n v="2"/>
    <n v="0"/>
    <x v="0"/>
    <x v="0"/>
    <s v="Referees Accommodation"/>
    <s v="Fitness Office"/>
    <x v="12"/>
    <s v="FIFA Referees"/>
    <m/>
    <s v="AV"/>
  </r>
  <r>
    <s v="TVLGIP"/>
    <s v="TV - Large - IPTV"/>
    <s v="CATV"/>
    <s v=""/>
    <s v=""/>
    <x v="5"/>
    <x v="5"/>
    <n v="1"/>
    <n v="1"/>
    <n v="0"/>
    <n v="1"/>
    <n v="1"/>
    <n v="0"/>
    <x v="0"/>
    <x v="0"/>
    <s v="Referees Accommodation"/>
    <s v="Class Room - Olympia "/>
    <x v="12"/>
    <s v="FIFA Referees"/>
    <m/>
    <s v="AV"/>
  </r>
  <r>
    <s v="TVLGIP"/>
    <s v="TV - Large - IPTV"/>
    <s v="CATV"/>
    <s v=""/>
    <s v=""/>
    <x v="5"/>
    <x v="5"/>
    <n v="2"/>
    <n v="2"/>
    <n v="0"/>
    <n v="2"/>
    <n v="2"/>
    <n v="0"/>
    <x v="0"/>
    <x v="0"/>
    <s v="Referees Accommodation"/>
    <s v="Physio/ Medical Room - GF"/>
    <x v="12"/>
    <s v="FIFA Referees"/>
    <m/>
    <s v="AV"/>
  </r>
  <r>
    <s v="TVLGSA"/>
    <s v="TV - Large - Standalone"/>
    <s v="Display Devices"/>
    <s v=""/>
    <s v=""/>
    <x v="15"/>
    <x v="15"/>
    <n v="1"/>
    <n v="0"/>
    <n v="0"/>
    <n v="1"/>
    <n v="0"/>
    <n v="0"/>
    <x v="0"/>
    <x v="0"/>
    <s v="Training site pitch 10-11"/>
    <s v="Instant Feedback"/>
    <x v="12"/>
    <s v="FIFA Referees"/>
    <s v="pitch 11-12"/>
    <s v="AV"/>
  </r>
  <r>
    <s v="TVSTND"/>
    <s v="TV Stand - Medium &amp; Large TVs"/>
    <s v="Peripherals"/>
    <s v=""/>
    <s v=""/>
    <x v="6"/>
    <x v="6"/>
    <n v="2"/>
    <n v="0"/>
    <n v="0"/>
    <n v="2"/>
    <n v="0"/>
    <n v="0"/>
    <x v="0"/>
    <x v="0"/>
    <s v="Referees Accommodation"/>
    <s v="Technical / Match Analysts - Office(s) in 1st floor"/>
    <x v="12"/>
    <s v="FIFA Referees"/>
    <m/>
    <s v="AV"/>
  </r>
  <r>
    <s v="TVSTND"/>
    <s v="TV Stand - Medium &amp; Large TVs"/>
    <s v="Peripherals"/>
    <s v=""/>
    <s v=""/>
    <x v="6"/>
    <x v="6"/>
    <n v="1"/>
    <n v="0"/>
    <n v="0"/>
    <n v="1"/>
    <n v="0"/>
    <n v="0"/>
    <x v="0"/>
    <x v="0"/>
    <s v="Training site pitch 10-11"/>
    <s v="Instant Feedback"/>
    <x v="12"/>
    <s v="FIFA Referees"/>
    <m/>
    <s v="AV"/>
  </r>
  <r>
    <s v="TVSTND"/>
    <s v="TV Stand - Medium &amp; Large TVs"/>
    <s v="Peripherals"/>
    <s v=""/>
    <s v=""/>
    <x v="6"/>
    <x v="6"/>
    <n v="2"/>
    <n v="0"/>
    <n v="0"/>
    <n v="2"/>
    <n v="0"/>
    <n v="0"/>
    <x v="0"/>
    <x v="0"/>
    <s v="Referees Accommodation"/>
    <s v="REF Management - Lab 2"/>
    <x v="12"/>
    <s v="FIFA Referees"/>
    <m/>
    <s v="AV"/>
  </r>
  <r>
    <s v="TVSTND"/>
    <s v="TV Stand - Medium &amp; Large TVs"/>
    <s v="Peripherals"/>
    <s v=""/>
    <s v=""/>
    <x v="6"/>
    <x v="6"/>
    <n v="1"/>
    <n v="0"/>
    <n v="0"/>
    <n v="1"/>
    <n v="0"/>
    <n v="0"/>
    <x v="0"/>
    <x v="0"/>
    <s v="Referees Accommodation"/>
    <s v="REF Administration - Glass office (1st floor)"/>
    <x v="12"/>
    <s v="FIFA Referees"/>
    <m/>
    <s v="AV"/>
  </r>
  <r>
    <s v="TVSTND"/>
    <s v="TV Stand - Medium &amp; Large TVs"/>
    <s v="Peripherals"/>
    <s v=""/>
    <s v=""/>
    <x v="6"/>
    <x v="6"/>
    <n v="2"/>
    <n v="0"/>
    <n v="0"/>
    <n v="2"/>
    <n v="0"/>
    <n v="0"/>
    <x v="0"/>
    <x v="0"/>
    <s v="Referees Accommodation"/>
    <s v="Fitness Office"/>
    <x v="12"/>
    <s v="FIFA Referees"/>
    <m/>
    <s v="AV"/>
  </r>
  <r>
    <s v="TVSTND"/>
    <s v="TV Stand - Medium &amp; Large TVs"/>
    <s v="Peripherals"/>
    <s v=""/>
    <s v=""/>
    <x v="6"/>
    <x v="6"/>
    <n v="1"/>
    <n v="0"/>
    <n v="0"/>
    <n v="1"/>
    <n v="0"/>
    <n v="0"/>
    <x v="0"/>
    <x v="0"/>
    <s v="Referees Accommodation"/>
    <s v="Class Room - Olympia "/>
    <x v="12"/>
    <s v="FIFA Referees"/>
    <m/>
    <s v="AV"/>
  </r>
  <r>
    <s v="TVSTND"/>
    <s v="TV Stand - Medium &amp; Large TVs"/>
    <s v="Peripherals"/>
    <s v=""/>
    <s v=""/>
    <x v="6"/>
    <x v="6"/>
    <n v="2"/>
    <n v="0"/>
    <n v="0"/>
    <n v="2"/>
    <n v="0"/>
    <n v="0"/>
    <x v="0"/>
    <x v="0"/>
    <s v="Referees Accommodation"/>
    <s v="Physio/ Medical Room - GF"/>
    <x v="12"/>
    <s v="FIFA Referees"/>
    <m/>
    <s v="AV"/>
  </r>
  <r>
    <s v="WDF100"/>
    <s v="Wired Port - 100Mbps - guaranteed"/>
    <s v="Network &amp; Connectivity"/>
    <s v=""/>
    <s v="FIFA Technical Internet Access"/>
    <x v="35"/>
    <x v="35"/>
    <n v="1"/>
    <n v="1"/>
    <n v="0"/>
    <n v="1"/>
    <n v="1"/>
    <n v="0"/>
    <x v="0"/>
    <x v="0"/>
    <s v="Referees Accommodation"/>
    <s v="Technical / Match Analysts - Office(s) in 1st floor"/>
    <x v="12"/>
    <s v="FIFA Referees"/>
    <s v="LOC: Can we add a switch in the room?"/>
    <s v="NW"/>
  </r>
  <r>
    <s v="WRDGEN"/>
    <s v="Wired Port - General Internet "/>
    <s v="Network &amp; Connectivity"/>
    <s v=""/>
    <s v="General Internet Access"/>
    <x v="8"/>
    <x v="8"/>
    <n v="2"/>
    <n v="2"/>
    <n v="0"/>
    <n v="2"/>
    <n v="2"/>
    <n v="0"/>
    <x v="0"/>
    <x v="0"/>
    <s v="Referees Accommodation"/>
    <s v="Class Room - Olympia "/>
    <x v="12"/>
    <s v="FIFA Referees"/>
    <m/>
    <s v="NW"/>
  </r>
  <r>
    <s v="IS00WF"/>
    <s v="Wireless coverage - Shared Internet Service - Wi-Fi FIFA"/>
    <s v="Network &amp; Connectivity"/>
    <s v=""/>
    <s v="General Internet Access"/>
    <x v="1"/>
    <x v="1"/>
    <n v="1"/>
    <n v="0"/>
    <n v="0"/>
    <n v="1"/>
    <n v="0"/>
    <n v="0"/>
    <x v="0"/>
    <x v="0"/>
    <s v="Accelerator Building"/>
    <s v="Security Room (VOC)"/>
    <x v="13"/>
    <s v="FIFA Security"/>
    <s v="any other internet availables via Wi-Fi"/>
    <s v="NW"/>
  </r>
  <r>
    <s v="IS00WF"/>
    <s v="Wireless coverage - Shared Internet Service - Wi-Fi FIFA"/>
    <s v="Network &amp; Connectivity"/>
    <s v=""/>
    <s v="General Internet Access"/>
    <x v="1"/>
    <x v="1"/>
    <n v="1"/>
    <n v="0"/>
    <n v="0"/>
    <n v="1"/>
    <n v="0"/>
    <n v="0"/>
    <x v="0"/>
    <x v="1"/>
    <s v="Security Room (VOC)"/>
    <s v="Security Room (VOC)"/>
    <x v="13"/>
    <s v="FIFA Security"/>
    <m/>
    <s v="NW"/>
  </r>
  <r>
    <s v="IS00WS"/>
    <s v="Wireless coverage - Shared Internet Service - Wi-Fi FOOTBALL"/>
    <s v="Network &amp; Connectivity"/>
    <s v=""/>
    <s v="VIP Internet Access"/>
    <x v="36"/>
    <x v="36"/>
    <n v="1"/>
    <n v="0"/>
    <n v="0"/>
    <n v="8"/>
    <n v="0"/>
    <n v="0"/>
    <x v="0"/>
    <x v="0"/>
    <s v="Competition area"/>
    <s v="Team Dressing Rooms"/>
    <x v="14"/>
    <s v="FIFA Team Services"/>
    <s v="Wi-Fi for each dressing room / pitch"/>
    <s v="NW"/>
  </r>
  <r>
    <s v="IS00WS"/>
    <s v="Wireless coverage - Shared Internet Service - Wi-Fi FOOTBALL"/>
    <s v="Network &amp; Connectivity"/>
    <s v=""/>
    <s v="VIP Internet Access"/>
    <x v="36"/>
    <x v="36"/>
    <n v="1"/>
    <n v="0"/>
    <n v="0"/>
    <n v="1"/>
    <n v="0"/>
    <n v="0"/>
    <x v="0"/>
    <x v="0"/>
    <s v="Competition area"/>
    <s v="Players Holding Area (Lounge)"/>
    <x v="14"/>
    <s v="FIFA Team Services"/>
    <m/>
    <s v="NW"/>
  </r>
  <r>
    <s v="IS00WS"/>
    <s v="Wireless coverage - Shared Internet Service - Wi-Fi FOOTBALL"/>
    <s v="Network &amp; Connectivity"/>
    <s v=""/>
    <s v="VIP Internet Access"/>
    <x v="36"/>
    <x v="36"/>
    <n v="1"/>
    <n v="0"/>
    <n v="0"/>
    <n v="1"/>
    <n v="0"/>
    <n v="0"/>
    <x v="0"/>
    <x v="1"/>
    <s v="Competition area"/>
    <s v="Team Dressing Rooms"/>
    <x v="14"/>
    <s v="FIFA Team Services"/>
    <m/>
    <s v="NW"/>
  </r>
  <r>
    <s v="LAPPRE"/>
    <s v="Laptop - Presentation Build"/>
    <s v="FIFA IT Hardware"/>
    <s v="Single"/>
    <s v=""/>
    <x v="11"/>
    <x v="11"/>
    <n v="1"/>
    <n v="0"/>
    <n v="0"/>
    <n v="1"/>
    <n v="0"/>
    <n v="0"/>
    <x v="1"/>
    <x v="0"/>
    <s v="Aspire Dome - level 2"/>
    <s v="FIFA/LOC Offices"/>
    <x v="14"/>
    <s v="FIFA Team Services"/>
    <m/>
    <s v="EU"/>
  </r>
  <r>
    <s v="DSKMNT"/>
    <s v="24&quot; Monitor - HDMI/DP"/>
    <s v="Peripherals"/>
    <s v=""/>
    <s v=""/>
    <x v="0"/>
    <x v="0"/>
    <n v="2"/>
    <n v="0"/>
    <n v="0"/>
    <n v="2"/>
    <n v="0"/>
    <n v="0"/>
    <x v="0"/>
    <x v="0"/>
    <s v="Aspire Dome - level 2"/>
    <s v="FIFA/LOC Offices"/>
    <x v="15"/>
    <s v="FIFA Transport"/>
    <m/>
    <s v="EU"/>
  </r>
  <r>
    <s v="TABLEN"/>
    <s v="Tablet - FIFA Professional Tablet + 4G"/>
    <s v="FIFA IT Hardware"/>
    <s v="Single"/>
    <s v=""/>
    <x v="7"/>
    <x v="7"/>
    <n v="2"/>
    <n v="0"/>
    <n v="2"/>
    <n v="2"/>
    <n v="0"/>
    <n v="2"/>
    <x v="1"/>
    <x v="0"/>
    <s v="Aspire Dome - level 2"/>
    <s v="FIFA/LOC Offices"/>
    <x v="15"/>
    <s v="FIFA Transport"/>
    <m/>
    <s v="EU"/>
  </r>
  <r>
    <s v="DSKMNT"/>
    <s v="24&quot; Monitor - HDMI/DP"/>
    <s v="Peripherals"/>
    <s v=""/>
    <s v=""/>
    <x v="0"/>
    <x v="0"/>
    <n v="2"/>
    <n v="0"/>
    <n v="0"/>
    <n v="2"/>
    <n v="0"/>
    <n v="0"/>
    <x v="0"/>
    <x v="0"/>
    <s v="Aspire Dome - level 2"/>
    <s v="FIFA/LOC Offices"/>
    <x v="16"/>
    <s v="FIFA Travel"/>
    <m/>
    <s v="EU"/>
  </r>
  <r>
    <s v="IS00WF"/>
    <s v="Wireless coverage - Shared Internet Service - Wi-Fi FIFA"/>
    <s v="Network &amp; Connectivity"/>
    <s v=""/>
    <s v="General Internet Access"/>
    <x v="1"/>
    <x v="1"/>
    <n v="1"/>
    <n v="0"/>
    <n v="0"/>
    <n v="1"/>
    <n v="0"/>
    <n v="0"/>
    <x v="0"/>
    <x v="0"/>
    <s v="Aspire Dome - level 2"/>
    <s v="FIFA/LOC Offices"/>
    <x v="17"/>
    <s v="FIFA Venue Management"/>
    <m/>
    <s v="NW"/>
  </r>
  <r>
    <s v="IS00WF"/>
    <s v="Wireless coverage - Shared Internet Service - Wi-Fi FIFA"/>
    <s v="Network &amp; Connectivity"/>
    <s v=""/>
    <s v="General Internet Access"/>
    <x v="1"/>
    <x v="1"/>
    <n v="1"/>
    <n v="0"/>
    <n v="0"/>
    <n v="1"/>
    <n v="0"/>
    <n v="0"/>
    <x v="0"/>
    <x v="1"/>
    <s v="Stadium Offices"/>
    <s v="Venue Office"/>
    <x v="17"/>
    <s v="FIFA Venue Management"/>
    <m/>
    <s v="NW"/>
  </r>
  <r>
    <s v="MFDLNW"/>
    <s v="MFD Large - Colour - A3 - Network"/>
    <s v="Reprographics"/>
    <s v=""/>
    <s v="General Internet Access"/>
    <x v="34"/>
    <x v="34"/>
    <n v="1"/>
    <n v="1"/>
    <n v="0"/>
    <n v="1"/>
    <n v="1"/>
    <n v="0"/>
    <x v="0"/>
    <x v="0"/>
    <s v="Aspire Dome - level 2"/>
    <s v="FIFA/LOC Offices"/>
    <x v="17"/>
    <s v="FIFA Venue Management"/>
    <s v="L2 general office"/>
    <s v="EU"/>
  </r>
  <r>
    <s v="MFDDNW"/>
    <s v="MFD Desktop - Colour - A4 - Network"/>
    <s v="Reprographics"/>
    <s v=""/>
    <s v="General Internet Access"/>
    <x v="2"/>
    <x v="2"/>
    <n v="1"/>
    <n v="1"/>
    <n v="0"/>
    <n v="1"/>
    <n v="1"/>
    <n v="0"/>
    <x v="0"/>
    <x v="1"/>
    <s v="Stadium Offices"/>
    <s v="Venue Office"/>
    <x v="17"/>
    <s v="FIFA Venue Management"/>
    <m/>
    <s v="EU"/>
  </r>
  <r>
    <s v="RADIO"/>
    <s v="Radio PMR In Stadium"/>
    <s v="Radio"/>
    <s v=""/>
    <s v=""/>
    <x v="37"/>
    <x v="37"/>
    <n v="50"/>
    <n v="0"/>
    <n v="0"/>
    <n v="50"/>
    <n v="0"/>
    <n v="0"/>
    <x v="0"/>
    <x v="0"/>
    <s v="Aspire Dome "/>
    <s v="Radio Distribution Office"/>
    <x v="17"/>
    <s v="FIFA Venue Management"/>
    <m/>
    <s v="TETRA"/>
  </r>
  <r>
    <s v="IS00WF"/>
    <s v="Wireless coverage - Shared Internet Service - Wi-Fi FIFA"/>
    <s v="Network &amp; Connectivity"/>
    <s v=""/>
    <s v="General Internet Access"/>
    <x v="1"/>
    <x v="1"/>
    <n v="1"/>
    <n v="0"/>
    <n v="0"/>
    <n v="1"/>
    <n v="0"/>
    <n v="0"/>
    <x v="0"/>
    <x v="0"/>
    <s v="Aspire Dome - level 1"/>
    <s v="VOL Centre"/>
    <x v="18"/>
    <s v="FIFA Volunteer"/>
    <m/>
    <s v="NW"/>
  </r>
  <r>
    <s v="LAPEVT"/>
    <s v="Laptop - FIFA Event Build"/>
    <s v="FIFA IT Hardware"/>
    <s v="Single"/>
    <s v=""/>
    <x v="17"/>
    <x v="17"/>
    <n v="2"/>
    <n v="0"/>
    <n v="0"/>
    <n v="3"/>
    <n v="0"/>
    <n v="0"/>
    <x v="1"/>
    <x v="0"/>
    <s v="Aspire Dome - level 1"/>
    <s v="VOL Centre"/>
    <x v="18"/>
    <s v="FIFA Volunteer"/>
    <m/>
    <s v="EU"/>
  </r>
  <r>
    <s v="MFDDNW"/>
    <s v="MFD Desktop - Colour - A4 - Network"/>
    <s v="Reprographics"/>
    <s v=""/>
    <s v="General Internet Access"/>
    <x v="2"/>
    <x v="2"/>
    <n v="1"/>
    <n v="1"/>
    <n v="0"/>
    <n v="1"/>
    <n v="1"/>
    <n v="0"/>
    <x v="0"/>
    <x v="0"/>
    <s v="Aspire Dome - level 1"/>
    <s v="VOL Centre"/>
    <x v="18"/>
    <s v="FIFA Volunteer"/>
    <m/>
    <s v="EU"/>
  </r>
  <r>
    <s v="TABLEN"/>
    <s v="Tablet - FIFA Professional Tablet + 4G"/>
    <s v="FIFA IT Hardware"/>
    <s v="Single"/>
    <s v=""/>
    <x v="7"/>
    <x v="7"/>
    <n v="2"/>
    <n v="0"/>
    <n v="2"/>
    <n v="2"/>
    <n v="0"/>
    <n v="2"/>
    <x v="1"/>
    <x v="0"/>
    <s v="Aspire Dome - level 1"/>
    <s v="VOL Centre"/>
    <x v="18"/>
    <s v="FIFA Volunteer"/>
    <m/>
    <s v="EU"/>
  </r>
  <r>
    <s v="TELMOB"/>
    <s v="Telephone - Mobile - Smart Phone"/>
    <s v="Telephony"/>
    <s v="Single"/>
    <s v=""/>
    <x v="21"/>
    <x v="21"/>
    <n v="1"/>
    <n v="0"/>
    <n v="1"/>
    <n v="1"/>
    <n v="0"/>
    <n v="1"/>
    <x v="1"/>
    <x v="0"/>
    <s v="Aspire Dome - level 1"/>
    <s v="VOL Centre"/>
    <x v="18"/>
    <s v="FIFA Volunteer"/>
    <s v="Hotline"/>
    <s v="Telco/SIM"/>
  </r>
  <r>
    <s v="TELMOB"/>
    <s v="Telephone - Mobile - Smart Phone"/>
    <s v="Telephony"/>
    <s v="Single"/>
    <s v=""/>
    <x v="21"/>
    <x v="21"/>
    <n v="1"/>
    <n v="0"/>
    <n v="1"/>
    <n v="1"/>
    <n v="0"/>
    <n v="1"/>
    <x v="1"/>
    <x v="0"/>
    <s v="Aspire Dome - level 1"/>
    <s v="VOL Centre"/>
    <x v="18"/>
    <s v="FIFA Volunteer"/>
    <s v="Freelancer"/>
    <s v="Telco/SIM"/>
  </r>
  <r>
    <s v="TVLGIP"/>
    <s v="TV - Large - IPTV"/>
    <s v="CATV"/>
    <s v=""/>
    <s v=""/>
    <x v="5"/>
    <x v="5"/>
    <n v="1"/>
    <n v="1"/>
    <n v="0"/>
    <n v="1"/>
    <n v="1"/>
    <n v="0"/>
    <x v="0"/>
    <x v="0"/>
    <s v="Aspire Dome - level 1"/>
    <s v="VOL Centre"/>
    <x v="18"/>
    <s v="FIFA Volunteer"/>
    <m/>
    <s v="AV"/>
  </r>
  <r>
    <s v="TVSTND"/>
    <s v="TV Stand - Medium &amp; Large TVs"/>
    <s v="Peripherals"/>
    <s v=""/>
    <s v=""/>
    <x v="6"/>
    <x v="6"/>
    <n v="1"/>
    <n v="0"/>
    <n v="0"/>
    <n v="1"/>
    <n v="0"/>
    <n v="0"/>
    <x v="0"/>
    <x v="0"/>
    <s v="Aspire Dome - level 1"/>
    <s v="VOL Centre"/>
    <x v="18"/>
    <s v="FIFA Volunteer"/>
    <m/>
    <s v="AV"/>
  </r>
  <r>
    <s v="DSKMNT"/>
    <s v="24&quot; Monitor - HDMI/DP"/>
    <s v="Peripherals"/>
    <s v=""/>
    <s v=""/>
    <x v="0"/>
    <x v="0"/>
    <n v="1"/>
    <n v="0"/>
    <n v="0"/>
    <n v="1"/>
    <n v="0"/>
    <n v="0"/>
    <x v="0"/>
    <x v="0"/>
    <s v="Aspire Dome - level 2"/>
    <s v="FIFA/LOC Offices"/>
    <x v="19"/>
    <s v="FIFA Workforce"/>
    <m/>
    <s v="EU"/>
  </r>
  <r>
    <s v="IS00WF"/>
    <s v="Wireless coverage - Shared Internet Service - Wi-Fi FIFA"/>
    <s v="Network &amp; Connectivity"/>
    <s v=""/>
    <s v="General Internet Access"/>
    <x v="1"/>
    <x v="1"/>
    <n v="1"/>
    <n v="0"/>
    <n v="0"/>
    <n v="1"/>
    <n v="0"/>
    <n v="0"/>
    <x v="0"/>
    <x v="1"/>
    <s v="FIFA/LOC Offices"/>
    <s v="FIFA/LOC Offices"/>
    <x v="19"/>
    <s v="FIFA Workforce"/>
    <m/>
    <s v="NW"/>
  </r>
  <r>
    <s v="IS00WF"/>
    <s v="Wireless coverage - Shared Internet Service - Wi-Fi FIFA"/>
    <s v="Network &amp; Connectivity"/>
    <s v=""/>
    <s v="General Internet Access"/>
    <x v="1"/>
    <x v="1"/>
    <n v="1"/>
    <n v="0"/>
    <n v="0"/>
    <n v="1"/>
    <n v="0"/>
    <n v="0"/>
    <x v="0"/>
    <x v="0"/>
    <s v="Aspire Dome - level 2"/>
    <s v="FIFA/LOC Offices"/>
    <x v="19"/>
    <s v="FIFA Workforce"/>
    <m/>
    <s v="NW"/>
  </r>
  <r>
    <s v="IS00WF"/>
    <s v="Wireless coverage - Shared Internet Service - Wi-Fi FIFA"/>
    <s v="Network &amp; Connectivity"/>
    <s v=""/>
    <s v="General Internet Access"/>
    <x v="1"/>
    <x v="1"/>
    <n v="1"/>
    <n v="0"/>
    <n v="0"/>
    <n v="1"/>
    <n v="0"/>
    <n v="0"/>
    <x v="0"/>
    <x v="0"/>
    <s v="Aspire Dome - level 1"/>
    <s v="FIFA/LOC Workforce Area"/>
    <x v="19"/>
    <s v="FIFA Workforce"/>
    <m/>
    <s v="NW"/>
  </r>
  <r>
    <s v="IS00WF"/>
    <s v="Wireless coverage - Shared Internet Service - Wi-Fi FIFA"/>
    <s v="Network &amp; Connectivity"/>
    <s v=""/>
    <s v="General Internet Access"/>
    <x v="1"/>
    <x v="1"/>
    <n v="1"/>
    <n v="0"/>
    <n v="0"/>
    <n v="1"/>
    <n v="0"/>
    <n v="0"/>
    <x v="0"/>
    <x v="0"/>
    <s v="Aspire Dome - level 2"/>
    <s v="FIFA Storage"/>
    <x v="19"/>
    <s v="FIFA Workforce"/>
    <s v="if possible"/>
    <s v="NW"/>
  </r>
  <r>
    <s v="IS00WF"/>
    <s v="Wireless coverage - Shared Internet Service - Wi-Fi FIFA"/>
    <s v="Network &amp; Connectivity"/>
    <s v=""/>
    <s v="General Internet Access"/>
    <x v="1"/>
    <x v="1"/>
    <n v="1"/>
    <n v="0"/>
    <n v="0"/>
    <n v="1"/>
    <n v="0"/>
    <n v="0"/>
    <x v="0"/>
    <x v="0"/>
    <s v="Aspire Dome - level 2"/>
    <s v="FIFA/LOC Meeting Room"/>
    <x v="19"/>
    <s v="FIFA Workforce"/>
    <m/>
    <s v="NW"/>
  </r>
  <r>
    <s v="IS00WF"/>
    <s v="Wireless coverage - Shared Internet Service - Wi-Fi FIFA"/>
    <s v="Network &amp; Connectivity"/>
    <s v=""/>
    <s v="General Internet Access"/>
    <x v="1"/>
    <x v="1"/>
    <n v="1"/>
    <n v="0"/>
    <n v="0"/>
    <n v="1"/>
    <n v="0"/>
    <n v="0"/>
    <x v="0"/>
    <x v="0"/>
    <s v="Aspire Dome - level 1"/>
    <s v="LOC Offices/Storage Area"/>
    <x v="19"/>
    <s v="FIFA Workforce"/>
    <s v="if possible"/>
    <s v="NW"/>
  </r>
  <r>
    <s v="TVLGIP"/>
    <s v="TV - Large - IPTV"/>
    <s v="CATV"/>
    <s v=""/>
    <s v=""/>
    <x v="5"/>
    <x v="5"/>
    <n v="2"/>
    <n v="4"/>
    <n v="0"/>
    <n v="4"/>
    <n v="4"/>
    <n v="0"/>
    <x v="0"/>
    <x v="0"/>
    <s v="Aspire Dome - level 2"/>
    <s v="FIFA/LOC Offices"/>
    <x v="19"/>
    <s v="FIFA Workforce"/>
    <s v="4 games simultaneous"/>
    <s v="AV"/>
  </r>
  <r>
    <s v="TVLGSA"/>
    <s v="TV - Large - Standalone"/>
    <s v="Display Devices"/>
    <s v=""/>
    <s v=""/>
    <x v="15"/>
    <x v="15"/>
    <n v="1"/>
    <n v="0"/>
    <n v="0"/>
    <n v="1"/>
    <n v="0"/>
    <n v="0"/>
    <x v="0"/>
    <x v="0"/>
    <s v="Aspire Dome - level 2"/>
    <s v="FIFA/LOC Offices"/>
    <x v="19"/>
    <s v="FIFA Workforce"/>
    <s v="TBC Meeting rooms"/>
    <s v="AV"/>
  </r>
  <r>
    <s v="TVSTND"/>
    <s v="TV Stand - Medium &amp; Large TVs"/>
    <s v="Peripherals"/>
    <s v=""/>
    <s v=""/>
    <x v="6"/>
    <x v="6"/>
    <n v="3"/>
    <n v="0"/>
    <n v="0"/>
    <n v="5"/>
    <n v="0"/>
    <n v="0"/>
    <x v="0"/>
    <x v="0"/>
    <s v="Aspire Dome - level 2"/>
    <s v="FIFA/LOC Offices"/>
    <x v="19"/>
    <s v="FIFA Workforce"/>
    <m/>
    <s v="AV"/>
  </r>
  <r>
    <s v="IS00WF"/>
    <s v="Wireless coverage - Shared Internet Service - Wi-Fi FIFA"/>
    <s v="Network &amp; Connectivity"/>
    <s v=""/>
    <s v="General Internet Access"/>
    <x v="1"/>
    <x v="1"/>
    <n v="1"/>
    <n v="0"/>
    <n v="0"/>
    <n v="1"/>
    <n v="0"/>
    <n v="0"/>
    <x v="0"/>
    <x v="0"/>
    <s v="Aspire Dome - level 1"/>
    <s v="Youth Programme Area"/>
    <x v="20"/>
    <s v="Partner Rights Delivery"/>
    <m/>
    <s v="NW"/>
  </r>
  <r>
    <s v="IS00WF"/>
    <s v="Wireless coverage - Shared Internet Service - Wi-Fi FIFA"/>
    <s v="Network &amp; Connectivity"/>
    <s v=""/>
    <s v="General Internet Access"/>
    <x v="1"/>
    <x v="1"/>
    <n v="1"/>
    <n v="0"/>
    <n v="0"/>
    <n v="1"/>
    <n v="0"/>
    <n v="0"/>
    <x v="0"/>
    <x v="0"/>
    <s v="Stadium Perimeter"/>
    <s v="Brand Activation Area 1"/>
    <x v="20"/>
    <s v="Partner Rights Delivery"/>
    <s v="Can be 4G too. Position 5 on the map"/>
    <s v="NW"/>
  </r>
  <r>
    <s v="IS00WF"/>
    <s v="Wireless coverage - Shared Internet Service - Wi-Fi FIFA"/>
    <s v="Network &amp; Connectivity"/>
    <s v=""/>
    <s v="General Internet Access"/>
    <x v="1"/>
    <x v="1"/>
    <n v="1"/>
    <n v="0"/>
    <n v="0"/>
    <n v="1"/>
    <n v="0"/>
    <n v="0"/>
    <x v="0"/>
    <x v="0"/>
    <s v="Stadium Perimeter"/>
    <s v="Brand Activation Area 2"/>
    <x v="20"/>
    <s v="Partner Rights Delivery"/>
    <s v="Can be 4G too. Position 5 on the map"/>
    <s v="NW"/>
  </r>
  <r>
    <s v="IS00WF"/>
    <s v="Wireless coverage - Shared Internet Service - Wi-Fi FIFA"/>
    <s v="Network &amp; Connectivity"/>
    <s v=""/>
    <s v="General Internet Access"/>
    <x v="1"/>
    <x v="1"/>
    <n v="1"/>
    <n v="0"/>
    <n v="0"/>
    <n v="1"/>
    <n v="0"/>
    <n v="0"/>
    <x v="0"/>
    <x v="0"/>
    <s v="Stadium Perimeter"/>
    <s v="Brand Activation Area 3"/>
    <x v="20"/>
    <s v="Partner Rights Delivery"/>
    <s v="Can be 4G too. Position 5 on the map"/>
    <s v="NW"/>
  </r>
  <r>
    <s v="ITSIBU"/>
    <s v="IT Solution - 4G Internet backup "/>
    <s v="FIFA IT Network Solutions"/>
    <s v=""/>
    <s v=""/>
    <x v="16"/>
    <x v="16"/>
    <n v="4"/>
    <n v="0"/>
    <n v="1"/>
    <n v="1"/>
    <n v="0"/>
    <n v="1"/>
    <x v="0"/>
    <x v="1"/>
    <s v="Stadium Perimeter"/>
    <s v="Brand Activation Area"/>
    <x v="20"/>
    <s v="Partner Rights Delivery"/>
    <s v="TBC if activated"/>
    <s v="NW"/>
  </r>
  <r>
    <s v="TVLGIP"/>
    <s v="TV - Large - IPTV"/>
    <s v="CATV"/>
    <s v=""/>
    <s v=""/>
    <x v="5"/>
    <x v="5"/>
    <n v="1"/>
    <n v="1"/>
    <n v="0"/>
    <n v="1"/>
    <n v="1"/>
    <n v="0"/>
    <x v="0"/>
    <x v="0"/>
    <s v="Aspire Dome - level 1"/>
    <s v="Youth Programme Area"/>
    <x v="20"/>
    <s v="Partner Rights Delivery"/>
    <m/>
    <s v="AV"/>
  </r>
  <r>
    <s v="TVSTND"/>
    <s v="TV Stand - Medium &amp; Large TVs"/>
    <s v="Peripherals"/>
    <s v=""/>
    <s v=""/>
    <x v="6"/>
    <x v="6"/>
    <n v="1"/>
    <n v="0"/>
    <n v="0"/>
    <n v="1"/>
    <n v="0"/>
    <n v="0"/>
    <x v="0"/>
    <x v="0"/>
    <s v="Aspire Dome - level 1"/>
    <s v="Youth Programme Area"/>
    <x v="20"/>
    <s v="Partner Rights Delivery"/>
    <m/>
    <s v="AV"/>
  </r>
  <r>
    <s v="WRDMED"/>
    <s v="Wired Port - Media Internet"/>
    <s v="Network &amp; Connectivity"/>
    <s v=""/>
    <s v="Media Internet Access Media"/>
    <x v="3"/>
    <x v="3"/>
    <n v="1"/>
    <n v="1"/>
    <n v="0"/>
    <n v="1"/>
    <n v="1"/>
    <n v="0"/>
    <x v="0"/>
    <x v="1"/>
    <s v="Field of Play"/>
    <s v="Field of Play - LED operator"/>
    <x v="20"/>
    <s v="Partner Rights Delivery"/>
    <s v="to be kept for the Arab Cup"/>
    <s v="NW"/>
  </r>
  <r>
    <s v="TABLEN"/>
    <s v="Tablet - FIFA Professional Tablet + 4G"/>
    <s v="FIFA IT Hardware"/>
    <s v="Single"/>
    <s v=""/>
    <x v="7"/>
    <x v="7"/>
    <n v="1"/>
    <n v="0"/>
    <n v="1"/>
    <n v="1"/>
    <n v="0"/>
    <n v="1"/>
    <x v="1"/>
    <x v="0"/>
    <s v="Aspire Dome - level 2"/>
    <m/>
    <x v="21"/>
    <s v="Safeguarding"/>
    <m/>
    <s v="EU"/>
  </r>
  <r>
    <s v="SIMDAT"/>
    <s v="SIM - Data Only"/>
    <s v="Telephony"/>
    <s v=""/>
    <s v=""/>
    <x v="18"/>
    <x v="18"/>
    <m/>
    <n v="0"/>
    <n v="37"/>
    <n v="37"/>
    <n v="0"/>
    <n v="37"/>
    <x v="0"/>
    <x v="0"/>
    <s v="Other"/>
    <m/>
    <x v="22"/>
    <s v="LOC Access Management "/>
    <m/>
    <s v="Telco/SIM"/>
  </r>
  <r>
    <s v="ITSR4G"/>
    <s v="IT Solution - Router + 4G"/>
    <s v="FIFA IT Network Solutions"/>
    <s v=""/>
    <s v=""/>
    <x v="38"/>
    <x v="38"/>
    <m/>
    <n v="0"/>
    <n v="2"/>
    <n v="2"/>
    <n v="0"/>
    <n v="2"/>
    <x v="0"/>
    <x v="0"/>
    <s v="Other"/>
    <m/>
    <x v="22"/>
    <s v="LOC Access Management "/>
    <m/>
    <s v="NW"/>
  </r>
  <r>
    <s v="SIMDAT"/>
    <s v="SIM - Data Only"/>
    <s v="Telephony"/>
    <s v=""/>
    <s v=""/>
    <x v="18"/>
    <x v="18"/>
    <m/>
    <n v="0"/>
    <n v="90"/>
    <n v="90"/>
    <n v="0"/>
    <n v="90"/>
    <x v="0"/>
    <x v="1"/>
    <s v="Other"/>
    <m/>
    <x v="22"/>
    <s v="LOC Access Management "/>
    <m/>
    <s v="Telco/SIM"/>
  </r>
  <r>
    <s v="ITSR4G"/>
    <s v="IT Solution - Router + 4G"/>
    <s v="FIFA IT Network Solutions"/>
    <s v=""/>
    <s v=""/>
    <x v="38"/>
    <x v="38"/>
    <m/>
    <n v="0"/>
    <n v="2"/>
    <n v="2"/>
    <n v="0"/>
    <n v="2"/>
    <x v="0"/>
    <x v="1"/>
    <s v="Other"/>
    <m/>
    <x v="22"/>
    <s v="LOC Access Management "/>
    <m/>
    <s v="NW"/>
  </r>
  <r>
    <s v="MFDDNW"/>
    <s v="MFD Desktop - Colour - A4 - Network"/>
    <s v="Reprographics"/>
    <s v=""/>
    <s v="General Internet Access"/>
    <x v="2"/>
    <x v="2"/>
    <m/>
    <n v="0"/>
    <n v="0"/>
    <n v="0"/>
    <n v="0"/>
    <n v="0"/>
    <x v="0"/>
    <x v="2"/>
    <s v="Main Accreditation Centre (MAC)"/>
    <s v="Several locations inside MAC"/>
    <x v="23"/>
    <s v="LOC Accreditation"/>
    <s v="PK 17.09: Transferred to FAC scope"/>
    <s v="EU"/>
  </r>
  <r>
    <s v="MFDLNW"/>
    <s v="MFD Large - Colour - A3 - Network"/>
    <s v="Reprographics"/>
    <s v=""/>
    <s v="General Internet Access"/>
    <x v="34"/>
    <x v="34"/>
    <m/>
    <n v="0"/>
    <n v="0"/>
    <n v="0"/>
    <n v="0"/>
    <n v="0"/>
    <x v="0"/>
    <x v="2"/>
    <s v="Main Accreditation Centre (MAC)"/>
    <s v="Bulk Distribution area"/>
    <x v="23"/>
    <s v="LOC Accreditation"/>
    <s v="PK 17.09: Transferred to FAC scope"/>
    <s v="EU"/>
  </r>
  <r>
    <s v="LAPEVT"/>
    <s v="Laptop - FIFA Event Build"/>
    <s v="FIFA IT Hardware"/>
    <s v=""/>
    <s v=""/>
    <x v="17"/>
    <x v="17"/>
    <m/>
    <n v="0"/>
    <n v="0"/>
    <n v="0"/>
    <n v="0"/>
    <n v="0"/>
    <x v="0"/>
    <x v="2"/>
    <s v="Main Accreditation Centre (MAC)"/>
    <s v="Several locations inside MAC"/>
    <x v="23"/>
    <s v="LOC Accreditation"/>
    <s v="PK 17.09: Transferred to FAC scope"/>
    <s v="EU"/>
  </r>
  <r>
    <s v="ACCBAR"/>
    <s v="Barcode scanner"/>
    <s v="Peripherals"/>
    <s v=""/>
    <s v=""/>
    <x v="39"/>
    <x v="39"/>
    <m/>
    <n v="0"/>
    <n v="0"/>
    <n v="0"/>
    <n v="0"/>
    <n v="0"/>
    <x v="0"/>
    <x v="2"/>
    <s v="Main Accreditation Centre (MAC)"/>
    <s v="Several locations inside MAC"/>
    <x v="23"/>
    <s v="LOC Accreditation"/>
    <s v="PK 17.09: Transferred to FAC scope"/>
    <s v="EU"/>
  </r>
  <r>
    <s v="WRDGEN"/>
    <s v="Wired Port - General Internet "/>
    <s v="Network &amp; Connectivity"/>
    <s v=""/>
    <s v="General Internet Access"/>
    <x v="8"/>
    <x v="8"/>
    <m/>
    <n v="0"/>
    <n v="0"/>
    <n v="0"/>
    <n v="0"/>
    <n v="0"/>
    <x v="0"/>
    <x v="2"/>
    <s v="Main Accreditation Centre (MAC)"/>
    <s v="Several locations inside MAC"/>
    <x v="23"/>
    <s v="LOC Accreditation"/>
    <s v="PK 17.09: Transferred to FAC scope"/>
    <s v="NW"/>
  </r>
  <r>
    <s v="IS00WF"/>
    <s v="Wireless coverage - Shared Internet Service - Wi-Fi FIFA"/>
    <s v="Network &amp; Connectivity"/>
    <s v=""/>
    <s v="General Internet Access"/>
    <x v="1"/>
    <x v="1"/>
    <m/>
    <n v="0"/>
    <n v="0"/>
    <n v="0"/>
    <n v="0"/>
    <n v="0"/>
    <x v="0"/>
    <x v="2"/>
    <s v="Main Accreditation Centre (MAC)"/>
    <s v="MAC"/>
    <x v="23"/>
    <s v="LOC Accreditation"/>
    <s v="PK 17.09: Transferred to FAC scope"/>
    <s v="NW"/>
  </r>
  <r>
    <s v="TVLGIP"/>
    <s v="TV - Large - IPTV"/>
    <s v="CATV"/>
    <s v=""/>
    <s v=""/>
    <x v="5"/>
    <x v="5"/>
    <m/>
    <n v="0"/>
    <n v="0"/>
    <n v="0"/>
    <n v="0"/>
    <n v="0"/>
    <x v="0"/>
    <x v="2"/>
    <s v="Main Accreditation Centre (MAC)"/>
    <s v="Meeting room and Director's office"/>
    <x v="23"/>
    <s v="LOC Accreditation"/>
    <s v="PK 17.09: Transferred to FAC scope"/>
    <s v="AV"/>
  </r>
  <r>
    <s v="LAPEVT"/>
    <s v="Laptop - FIFA Event Build"/>
    <s v="FIFA IT Hardware"/>
    <s v=""/>
    <s v=""/>
    <x v="17"/>
    <x v="17"/>
    <m/>
    <n v="0"/>
    <n v="0"/>
    <n v="2"/>
    <n v="0"/>
    <n v="0"/>
    <x v="0"/>
    <x v="0"/>
    <s v="Aspire Dome"/>
    <s v="WKF Canteen"/>
    <x v="24"/>
    <s v="LOC Catering"/>
    <m/>
    <s v="EU"/>
  </r>
  <r>
    <s v="LAPEVT"/>
    <s v="Laptop - FIFA Event Build"/>
    <s v="FIFA IT Hardware"/>
    <s v=""/>
    <s v=""/>
    <x v="17"/>
    <x v="17"/>
    <m/>
    <n v="0"/>
    <n v="0"/>
    <n v="2"/>
    <n v="0"/>
    <n v="0"/>
    <x v="0"/>
    <x v="1"/>
    <s v="Other"/>
    <s v="WKF Canteen"/>
    <x v="24"/>
    <s v="LOC Catering"/>
    <m/>
    <s v="EU"/>
  </r>
  <r>
    <s v="ACCBAR"/>
    <s v="Barcode scanner"/>
    <s v="Peripherals"/>
    <s v=""/>
    <s v=""/>
    <x v="39"/>
    <x v="39"/>
    <m/>
    <n v="0"/>
    <n v="0"/>
    <n v="2"/>
    <n v="0"/>
    <n v="0"/>
    <x v="0"/>
    <x v="0"/>
    <s v="Aspire Dome"/>
    <s v="WKF Canteen"/>
    <x v="24"/>
    <s v="LOC Catering"/>
    <m/>
    <s v="EU"/>
  </r>
  <r>
    <s v="ACCBAR"/>
    <s v="Barcode scanner"/>
    <s v="Peripherals"/>
    <s v=""/>
    <s v=""/>
    <x v="39"/>
    <x v="39"/>
    <m/>
    <n v="0"/>
    <n v="0"/>
    <n v="2"/>
    <n v="0"/>
    <n v="0"/>
    <x v="0"/>
    <x v="1"/>
    <s v="Other"/>
    <s v="WKF Canteen"/>
    <x v="24"/>
    <s v="LOC Catering"/>
    <m/>
    <s v="EU"/>
  </r>
  <r>
    <s v="TVLGSA"/>
    <s v="TV - Large - Standalone"/>
    <s v="Display Devices"/>
    <s v=""/>
    <s v=""/>
    <x v="15"/>
    <x v="15"/>
    <m/>
    <n v="0"/>
    <n v="0"/>
    <n v="1"/>
    <n v="0"/>
    <n v="0"/>
    <x v="0"/>
    <x v="0"/>
    <s v="Outer Perimeter"/>
    <s v="Fan Zone Operational area"/>
    <x v="25"/>
    <s v="LOC Events and Community Relations "/>
    <s v=" "/>
    <s v="EU"/>
  </r>
  <r>
    <s v="LAPEVT"/>
    <s v="Laptop - FIFA Event Build"/>
    <s v="FIFA IT Hardware"/>
    <s v=""/>
    <s v=""/>
    <x v="17"/>
    <x v="17"/>
    <m/>
    <n v="0"/>
    <n v="0"/>
    <n v="2"/>
    <n v="0"/>
    <n v="0"/>
    <x v="0"/>
    <x v="0"/>
    <s v="Outer Perimeter"/>
    <s v="Fan Zone Operational area"/>
    <x v="25"/>
    <s v="LOC Events and Community Relations "/>
    <s v=" "/>
    <s v="EU"/>
  </r>
  <r>
    <s v="MFDDNW"/>
    <s v="MFD Desktop - Colour - A4 - Network"/>
    <s v="Reprographics"/>
    <s v=""/>
    <s v="General Internet Access"/>
    <x v="2"/>
    <x v="2"/>
    <m/>
    <n v="1"/>
    <n v="0"/>
    <n v="1"/>
    <n v="1"/>
    <n v="0"/>
    <x v="0"/>
    <x v="0"/>
    <s v="Outer Perimeter"/>
    <s v="Fan Zone Operational area"/>
    <x v="25"/>
    <s v="LOC Events and Community Relations "/>
    <s v=" "/>
    <s v="EU"/>
  </r>
  <r>
    <s v="IS00WF"/>
    <s v="Wireless coverage - Shared Internet Service - Wi-Fi FIFA"/>
    <s v="Network &amp; Connectivity"/>
    <s v=""/>
    <s v="General Internet Access"/>
    <x v="1"/>
    <x v="1"/>
    <m/>
    <n v="0"/>
    <n v="0"/>
    <n v="2"/>
    <n v="0"/>
    <n v="0"/>
    <x v="0"/>
    <x v="0"/>
    <s v="Outer Perimeter"/>
    <s v="Fan Zone Operational area"/>
    <x v="25"/>
    <s v="LOC Events and Community Relations "/>
    <s v=" "/>
    <s v="NW"/>
  </r>
  <r>
    <s v="TVLGSA"/>
    <s v="TV - Large - Standalone"/>
    <s v="Display Devices"/>
    <s v=""/>
    <s v=""/>
    <x v="15"/>
    <x v="15"/>
    <m/>
    <n v="0"/>
    <n v="0"/>
    <n v="1"/>
    <n v="0"/>
    <n v="0"/>
    <x v="0"/>
    <x v="1"/>
    <s v="Stadium Outer Perimeter"/>
    <s v="Fan Zone Operational area"/>
    <x v="25"/>
    <s v="LOC Events and Community Relations "/>
    <s v=" "/>
    <s v="EU"/>
  </r>
  <r>
    <s v="LAPEVT"/>
    <s v="Laptop - FIFA Event Build"/>
    <s v="FIFA IT Hardware"/>
    <s v=""/>
    <s v=""/>
    <x v="17"/>
    <x v="17"/>
    <m/>
    <n v="0"/>
    <n v="0"/>
    <n v="2"/>
    <n v="0"/>
    <n v="0"/>
    <x v="0"/>
    <x v="1"/>
    <s v="Stadium Outer Perimeter"/>
    <s v="Fan Zone Operational area"/>
    <x v="25"/>
    <s v="LOC Events and Community Relations "/>
    <s v=" "/>
    <s v="EU"/>
  </r>
  <r>
    <s v="MFDDNW"/>
    <s v="MFD Desktop - Colour - A4 - Network"/>
    <s v="Reprographics"/>
    <s v=""/>
    <s v="General Internet Access"/>
    <x v="2"/>
    <x v="2"/>
    <m/>
    <n v="1"/>
    <n v="0"/>
    <n v="1"/>
    <n v="1"/>
    <n v="0"/>
    <x v="0"/>
    <x v="1"/>
    <s v="Stadium Outer Perimeter"/>
    <s v="Fan Zone Operational area"/>
    <x v="25"/>
    <s v="LOC Events and Community Relations "/>
    <s v=" "/>
    <s v="EU"/>
  </r>
  <r>
    <s v="IS00WF"/>
    <s v="Wireless coverage - Shared Internet Service - Wi-Fi FIFA"/>
    <s v="Network &amp; Connectivity"/>
    <s v=""/>
    <s v="General Internet Access"/>
    <x v="1"/>
    <x v="1"/>
    <m/>
    <n v="0"/>
    <n v="0"/>
    <n v="2"/>
    <n v="0"/>
    <n v="0"/>
    <x v="0"/>
    <x v="1"/>
    <s v="Stadium Outer Perimeter"/>
    <s v="Fan Zone Operational area"/>
    <x v="25"/>
    <s v="LOC Events and Community Relations "/>
    <s v=" "/>
    <s v="NW"/>
  </r>
  <r>
    <s v="IS00WF"/>
    <s v="Wireless coverage - Shared Internet Service - Wi-Fi FIFA"/>
    <s v="Network &amp; Connectivity"/>
    <s v=""/>
    <s v="General Internet Access"/>
    <x v="1"/>
    <x v="1"/>
    <m/>
    <n v="0"/>
    <n v="0"/>
    <n v="1"/>
    <n v="0"/>
    <n v="0"/>
    <x v="0"/>
    <x v="0"/>
    <s v="Pitch 2"/>
    <s v="F&amp;B AREA"/>
    <x v="26"/>
    <s v="LOC Food &amp; Beverage Concessions"/>
    <s v=" "/>
    <s v="NW"/>
  </r>
  <r>
    <s v="IS00WF"/>
    <s v="Wireless coverage - Shared Internet Service - Wi-Fi FIFA"/>
    <s v="Network &amp; Connectivity"/>
    <s v=""/>
    <s v="General Internet Access"/>
    <x v="1"/>
    <x v="1"/>
    <m/>
    <n v="0"/>
    <n v="0"/>
    <n v="1"/>
    <n v="0"/>
    <n v="0"/>
    <x v="0"/>
    <x v="0"/>
    <s v="Pitch 5"/>
    <s v="F&amp;B AREA"/>
    <x v="26"/>
    <s v="LOC Food &amp; Beverage Concessions"/>
    <s v=" "/>
    <s v="NW"/>
  </r>
  <r>
    <s v="IS00WF"/>
    <s v="Wireless coverage - Shared Internet Service - Wi-Fi FIFA"/>
    <s v="Network &amp; Connectivity"/>
    <s v=""/>
    <s v="General Internet Access"/>
    <x v="1"/>
    <x v="1"/>
    <m/>
    <n v="0"/>
    <n v="0"/>
    <n v="6"/>
    <n v="0"/>
    <n v="0"/>
    <x v="0"/>
    <x v="0"/>
    <s v="Other"/>
    <s v="LOG Compound"/>
    <x v="27"/>
    <s v="LOC Logistics"/>
    <m/>
    <s v="NW"/>
  </r>
  <r>
    <s v="MFDDNW"/>
    <s v="MFD Desktop - Colour - A4 - Network"/>
    <s v="Reprographics"/>
    <s v=""/>
    <s v="General Internet Access"/>
    <x v="2"/>
    <x v="2"/>
    <m/>
    <n v="1"/>
    <n v="0"/>
    <n v="1"/>
    <n v="1"/>
    <n v="0"/>
    <x v="0"/>
    <x v="0"/>
    <s v="Other"/>
    <s v="LOG Compound"/>
    <x v="27"/>
    <s v="LOC Logistics"/>
    <m/>
    <s v="EU"/>
  </r>
  <r>
    <s v="IS00WF"/>
    <s v="Wireless coverage - Shared Internet Service - Wi-Fi FIFA"/>
    <s v="Network &amp; Connectivity"/>
    <s v=""/>
    <s v="General Internet Access"/>
    <x v="1"/>
    <x v="1"/>
    <m/>
    <n v="0"/>
    <n v="0"/>
    <n v="4"/>
    <n v="0"/>
    <n v="0"/>
    <x v="0"/>
    <x v="1"/>
    <s v="Other"/>
    <s v="LOG Compound"/>
    <x v="27"/>
    <s v="LOC Logistics"/>
    <m/>
    <s v="NW"/>
  </r>
  <r>
    <s v="MFDDNW"/>
    <s v="MFD Desktop - Colour - A4 - Network"/>
    <s v="Reprographics"/>
    <s v=""/>
    <s v="General Internet Access"/>
    <x v="2"/>
    <x v="2"/>
    <m/>
    <n v="1"/>
    <n v="0"/>
    <n v="1"/>
    <n v="1"/>
    <n v="0"/>
    <x v="0"/>
    <x v="1"/>
    <s v="Other"/>
    <s v="LOG Compound"/>
    <x v="27"/>
    <s v="LOC Logistics"/>
    <m/>
    <s v="EU"/>
  </r>
  <r>
    <s v="LAPEVT"/>
    <s v="Laptop - FIFA Event Build"/>
    <s v="FIFA IT Hardware"/>
    <s v=""/>
    <s v=""/>
    <x v="17"/>
    <x v="17"/>
    <m/>
    <n v="0"/>
    <n v="0"/>
    <n v="0"/>
    <n v="0"/>
    <n v="0"/>
    <x v="0"/>
    <x v="2"/>
    <s v="RSP"/>
    <s v="LOG Point"/>
    <x v="27"/>
    <s v="LOC Logistics"/>
    <s v="PK 17.09: Transferred to FAC scope"/>
    <s v="EU"/>
  </r>
  <r>
    <s v="MFDDNW"/>
    <s v="MFD Desktop - Colour - A4 - Network"/>
    <s v="Reprographics"/>
    <s v=""/>
    <s v="General Internet Access"/>
    <x v="2"/>
    <x v="2"/>
    <m/>
    <n v="0"/>
    <n v="0"/>
    <n v="0"/>
    <n v="0"/>
    <n v="0"/>
    <x v="0"/>
    <x v="2"/>
    <s v="RSP"/>
    <s v="LOG Point"/>
    <x v="27"/>
    <s v="LOC Logistics"/>
    <s v="PK 17.09: Transferred to FAC scope"/>
    <s v="EU"/>
  </r>
  <r>
    <s v="IS00WF"/>
    <s v="Wireless coverage - Shared Internet Service - Wi-Fi FIFA"/>
    <s v="Network &amp; Connectivity"/>
    <s v=""/>
    <s v="General Internet Access"/>
    <x v="1"/>
    <x v="1"/>
    <m/>
    <n v="0"/>
    <n v="0"/>
    <n v="0"/>
    <n v="0"/>
    <n v="0"/>
    <x v="0"/>
    <x v="2"/>
    <s v="RSP"/>
    <s v="LOG Point"/>
    <x v="27"/>
    <s v="LOC Logistics"/>
    <s v="PK 17.09: Transferred to FAC scope"/>
    <s v="NW"/>
  </r>
  <r>
    <s v="WRDGEN"/>
    <s v="Wired Port - General Internet "/>
    <s v="Network &amp; Connectivity"/>
    <s v=""/>
    <s v="General Internet Access"/>
    <x v="8"/>
    <x v="8"/>
    <m/>
    <n v="6"/>
    <n v="0"/>
    <n v="6"/>
    <n v="6"/>
    <n v="0"/>
    <x v="0"/>
    <x v="0"/>
    <s v="Other"/>
    <s v="LOG Compound"/>
    <x v="27"/>
    <s v="LOC Logistics"/>
    <m/>
    <s v="NW"/>
  </r>
  <r>
    <s v="WRDGEN"/>
    <s v="Wired Port - General Internet "/>
    <s v="Network &amp; Connectivity"/>
    <s v=""/>
    <s v="General Internet Access"/>
    <x v="8"/>
    <x v="8"/>
    <m/>
    <n v="4"/>
    <n v="0"/>
    <n v="4"/>
    <n v="4"/>
    <n v="0"/>
    <x v="0"/>
    <x v="1"/>
    <s v="Other"/>
    <s v="LOG Compound"/>
    <x v="27"/>
    <s v="LOC Logistics"/>
    <m/>
    <s v="NW"/>
  </r>
  <r>
    <s v="TVLGIP"/>
    <s v="TV - Large - IPTV"/>
    <s v="CATV"/>
    <s v=""/>
    <s v=""/>
    <x v="5"/>
    <x v="5"/>
    <m/>
    <n v="0"/>
    <n v="0"/>
    <n v="0"/>
    <n v="0"/>
    <n v="0"/>
    <x v="0"/>
    <x v="2"/>
    <s v="Other"/>
    <s v="LCC Logistics Coordination Center"/>
    <x v="27"/>
    <s v="LOC Logistics"/>
    <s v="PK 17.09: Transferred to FAC scope"/>
    <s v="AV"/>
  </r>
  <r>
    <s v="WRDGEN"/>
    <s v="Wired Port - General Internet "/>
    <s v="Network &amp; Connectivity"/>
    <s v=""/>
    <s v="General Internet Access"/>
    <x v="8"/>
    <x v="8"/>
    <m/>
    <n v="0"/>
    <n v="0"/>
    <n v="0"/>
    <n v="0"/>
    <n v="0"/>
    <x v="0"/>
    <x v="2"/>
    <s v="Other"/>
    <s v="LCC Logistics Coordination Center"/>
    <x v="27"/>
    <s v="LOC Logistics"/>
    <s v="PK 17.09: Transferred to FAC scope"/>
    <s v="NW"/>
  </r>
  <r>
    <s v="MFDLNW"/>
    <s v="MFD Large - Colour - A3 - Network"/>
    <s v="Reprographics"/>
    <s v=""/>
    <s v="General Internet Access"/>
    <x v="34"/>
    <x v="34"/>
    <m/>
    <n v="0"/>
    <n v="0"/>
    <n v="0"/>
    <n v="0"/>
    <n v="0"/>
    <x v="0"/>
    <x v="2"/>
    <s v="Other"/>
    <s v="LCC Logistics Coordination Center"/>
    <x v="27"/>
    <s v="LOC Logistics"/>
    <s v="PK 17.09: Transferred to FAC scope"/>
    <s v="EU"/>
  </r>
  <r>
    <s v="IS00WF"/>
    <s v="Wireless coverage - Shared Internet Service - Wi-Fi FIFA"/>
    <s v="Network &amp; Connectivity"/>
    <s v=""/>
    <s v="General Internet Access"/>
    <x v="1"/>
    <x v="1"/>
    <m/>
    <n v="0"/>
    <n v="0"/>
    <n v="1"/>
    <n v="0"/>
    <n v="0"/>
    <x v="0"/>
    <x v="0"/>
    <s v="Super Club"/>
    <s v="VIP Medical Clinic"/>
    <x v="28"/>
    <s v="LOC Medical"/>
    <m/>
    <s v="NW"/>
  </r>
  <r>
    <s v="IS00WF"/>
    <s v="Wireless coverage - Shared Internet Service - Wi-Fi FIFA"/>
    <s v="Network &amp; Connectivity"/>
    <s v=""/>
    <s v="General Internet Access"/>
    <x v="1"/>
    <x v="1"/>
    <m/>
    <n v="0"/>
    <n v="0"/>
    <n v="1"/>
    <n v="0"/>
    <n v="0"/>
    <x v="0"/>
    <x v="0"/>
    <s v="Pitch 8"/>
    <s v="Player Medical Clinic in Pitch 8 Building"/>
    <x v="28"/>
    <s v="LOC Medical"/>
    <m/>
    <s v="NW"/>
  </r>
  <r>
    <s v="IS00WF"/>
    <s v="Wireless coverage - Shared Internet Service - Wi-Fi FIFA"/>
    <s v="Network &amp; Connectivity"/>
    <s v=""/>
    <s v="General Internet Access"/>
    <x v="1"/>
    <x v="1"/>
    <m/>
    <n v="0"/>
    <n v="0"/>
    <n v="1"/>
    <n v="0"/>
    <n v="0"/>
    <x v="0"/>
    <x v="0"/>
    <s v="Pitch 1"/>
    <s v="Player Medical Clinic nr Pitch 1"/>
    <x v="28"/>
    <s v="LOC Medical"/>
    <m/>
    <s v="NW"/>
  </r>
  <r>
    <s v="TVLGIP"/>
    <s v="TV - Large - IPTV"/>
    <s v="CATV"/>
    <s v=""/>
    <s v=""/>
    <x v="5"/>
    <x v="5"/>
    <m/>
    <n v="1"/>
    <n v="0"/>
    <n v="1"/>
    <n v="1"/>
    <n v="0"/>
    <x v="0"/>
    <x v="0"/>
    <s v="Pitch 8"/>
    <s v="Player Medical Clinic in Pitch 8 Building"/>
    <x v="28"/>
    <s v="LOC Medical"/>
    <m/>
    <s v="AV"/>
  </r>
  <r>
    <s v="TVLGIP"/>
    <s v="TV - Large - IPTV"/>
    <s v="CATV"/>
    <s v=""/>
    <s v=""/>
    <x v="5"/>
    <x v="5"/>
    <m/>
    <n v="1"/>
    <n v="0"/>
    <n v="1"/>
    <n v="1"/>
    <n v="0"/>
    <x v="0"/>
    <x v="0"/>
    <s v="Pitch 1"/>
    <s v="Player Medical Clinic nr Pitch 1"/>
    <x v="28"/>
    <s v="LOC Medical"/>
    <m/>
    <s v="AV"/>
  </r>
  <r>
    <s v="IS00WF"/>
    <s v="Wireless coverage - Shared Internet Service - Wi-Fi FIFA"/>
    <s v="Network &amp; Connectivity"/>
    <s v=""/>
    <s v="General Internet Access"/>
    <x v="1"/>
    <x v="1"/>
    <m/>
    <n v="0"/>
    <n v="0"/>
    <n v="1"/>
    <n v="0"/>
    <n v="0"/>
    <x v="0"/>
    <x v="0"/>
    <s v="Fan Zone"/>
    <s v="Spectator Clinic nr Fan Zone"/>
    <x v="28"/>
    <s v="LOC Medical"/>
    <m/>
    <s v="NW"/>
  </r>
  <r>
    <s v="TVLGIP"/>
    <s v="TV - Large - IPTV"/>
    <s v="CATV"/>
    <s v=""/>
    <s v=""/>
    <x v="5"/>
    <x v="5"/>
    <m/>
    <n v="1"/>
    <n v="0"/>
    <n v="1"/>
    <n v="1"/>
    <n v="0"/>
    <x v="0"/>
    <x v="1"/>
    <s v="Competition Areas"/>
    <s v="Player Medical Clinic"/>
    <x v="28"/>
    <s v="LOC Medical"/>
    <m/>
    <s v="AV"/>
  </r>
  <r>
    <s v="IS00WF"/>
    <s v="Wireless coverage - Shared Internet Service - Wi-Fi FIFA"/>
    <s v="Network &amp; Connectivity"/>
    <s v=""/>
    <s v="General Internet Access"/>
    <x v="1"/>
    <x v="1"/>
    <m/>
    <n v="0"/>
    <n v="0"/>
    <n v="1"/>
    <n v="0"/>
    <n v="0"/>
    <x v="0"/>
    <x v="1"/>
    <s v="Competition Areas"/>
    <s v="Player Medical Clinic"/>
    <x v="28"/>
    <s v="LOC Medical"/>
    <m/>
    <s v="NW"/>
  </r>
  <r>
    <s v="IS00WF"/>
    <s v="Wireless coverage - Shared Internet Service - Wi-Fi FIFA"/>
    <s v="Network &amp; Connectivity"/>
    <s v=""/>
    <s v="General Internet Access"/>
    <x v="1"/>
    <x v="1"/>
    <m/>
    <n v="0"/>
    <n v="0"/>
    <n v="1"/>
    <n v="0"/>
    <n v="0"/>
    <x v="0"/>
    <x v="1"/>
    <s v="VIP/VVIP Areas"/>
    <s v="VIP Medical Clinic"/>
    <x v="28"/>
    <s v="LOC Medical"/>
    <m/>
    <s v="NW"/>
  </r>
  <r>
    <s v="IS00WF"/>
    <s v="Wireless coverage - Shared Internet Service - Wi-Fi FIFA"/>
    <s v="Network &amp; Connectivity"/>
    <s v=""/>
    <s v="General Internet Access"/>
    <x v="1"/>
    <x v="1"/>
    <m/>
    <n v="0"/>
    <n v="0"/>
    <n v="1"/>
    <n v="0"/>
    <n v="0"/>
    <x v="0"/>
    <x v="1"/>
    <s v="VIP/VVIP Areas"/>
    <s v="VVIP Medical Clinic"/>
    <x v="28"/>
    <s v="LOC Medical"/>
    <m/>
    <s v="NW"/>
  </r>
  <r>
    <s v="IS00WF"/>
    <s v="Wireless coverage - Shared Internet Service - Wi-Fi FIFA"/>
    <s v="Network &amp; Connectivity"/>
    <s v=""/>
    <s v="General Internet Access"/>
    <x v="1"/>
    <x v="1"/>
    <m/>
    <n v="0"/>
    <n v="0"/>
    <n v="2"/>
    <n v="0"/>
    <n v="0"/>
    <x v="0"/>
    <x v="1"/>
    <s v="Stadium Inner Perimeter"/>
    <s v="Spectator Clinics"/>
    <x v="28"/>
    <s v="LOC Medical"/>
    <m/>
    <s v="NW"/>
  </r>
  <r>
    <s v="ACCBAR"/>
    <s v="Barcode scanner"/>
    <s v="Peripherals"/>
    <s v=""/>
    <s v=""/>
    <x v="39"/>
    <x v="39"/>
    <m/>
    <n v="0"/>
    <n v="0"/>
    <n v="5"/>
    <n v="0"/>
    <n v="0"/>
    <x v="0"/>
    <x v="0"/>
    <s v="Aspire Dome"/>
    <s v="Restricted Item storage"/>
    <x v="29"/>
    <s v="LOC Spectator Services"/>
    <m/>
    <s v="EU"/>
  </r>
  <r>
    <s v="LAPEVT"/>
    <s v="Laptop - FIFA Event Build"/>
    <s v="FIFA IT Hardware"/>
    <s v=""/>
    <s v=""/>
    <x v="17"/>
    <x v="17"/>
    <m/>
    <n v="0"/>
    <n v="0"/>
    <n v="4"/>
    <n v="0"/>
    <n v="0"/>
    <x v="0"/>
    <x v="0"/>
    <s v="Aspire Dome"/>
    <s v="Restricted Item storage"/>
    <x v="29"/>
    <s v="LOC Spectator Services"/>
    <m/>
    <s v="EU"/>
  </r>
  <r>
    <s v="TABLEN"/>
    <s v="Tablet - FIFA Professional Tablet + 4G"/>
    <s v="FIFA IT Hardware"/>
    <s v=""/>
    <s v=""/>
    <x v="7"/>
    <x v="7"/>
    <m/>
    <n v="0"/>
    <n v="3"/>
    <n v="3"/>
    <n v="0"/>
    <n v="3"/>
    <x v="0"/>
    <x v="0"/>
    <s v="Aspire Dome"/>
    <s v="Restricted Item storage"/>
    <x v="29"/>
    <s v="LOC Spectator Services"/>
    <m/>
    <s v="EU"/>
  </r>
  <r>
    <s v="ITSR4G"/>
    <s v="IT Solution - Router + 4G"/>
    <s v="FIFA IT Network Solutions"/>
    <s v=""/>
    <s v=""/>
    <x v="38"/>
    <x v="38"/>
    <m/>
    <n v="0"/>
    <n v="3"/>
    <n v="3"/>
    <n v="0"/>
    <n v="3"/>
    <x v="0"/>
    <x v="0"/>
    <s v="Aspire Dome"/>
    <s v="Restricted Item storage"/>
    <x v="29"/>
    <s v="LOC Spectator Services"/>
    <m/>
    <s v="NW"/>
  </r>
  <r>
    <s v="MFDDNW"/>
    <s v="MFD Desktop - Colour - A4 - Network"/>
    <s v="Reprographics"/>
    <s v=""/>
    <s v="General Internet Access"/>
    <x v="2"/>
    <x v="2"/>
    <m/>
    <n v="1"/>
    <n v="0"/>
    <n v="1"/>
    <n v="1"/>
    <n v="0"/>
    <x v="0"/>
    <x v="0"/>
    <s v="Aspire Dome"/>
    <s v="SPS office"/>
    <x v="29"/>
    <s v="LOC Spectator Services"/>
    <m/>
    <s v="EU"/>
  </r>
  <r>
    <s v="IS00WF"/>
    <s v="Wireless coverage - Shared Internet Service - Wi-Fi FIFA"/>
    <s v="Network &amp; Connectivity"/>
    <s v=""/>
    <s v="General Internet Access"/>
    <x v="1"/>
    <x v="1"/>
    <m/>
    <n v="0"/>
    <n v="0"/>
    <n v="1"/>
    <n v="0"/>
    <n v="0"/>
    <x v="0"/>
    <x v="0"/>
    <s v="Aspire Dome"/>
    <s v="SPS office"/>
    <x v="29"/>
    <s v="LOC Spectator Services"/>
    <m/>
    <s v="NW"/>
  </r>
  <r>
    <s v="SIMDAT"/>
    <s v="SIM - Data Only"/>
    <s v="Telephony"/>
    <s v=""/>
    <s v=""/>
    <x v="18"/>
    <x v="18"/>
    <m/>
    <n v="0"/>
    <n v="2"/>
    <n v="2"/>
    <n v="0"/>
    <n v="2"/>
    <x v="0"/>
    <x v="0"/>
    <s v="Aspire Dome"/>
    <s v="SPS office "/>
    <x v="29"/>
    <s v="LOC Spectator Services"/>
    <m/>
    <s v="Telco/SIM"/>
  </r>
  <r>
    <s v="ACCBAR"/>
    <s v="Barcode scanner"/>
    <s v="Peripherals"/>
    <s v=""/>
    <s v=""/>
    <x v="39"/>
    <x v="39"/>
    <m/>
    <n v="0"/>
    <n v="0"/>
    <n v="1"/>
    <n v="0"/>
    <n v="0"/>
    <x v="0"/>
    <x v="0"/>
    <s v="Aspire Dome"/>
    <s v="SPS office "/>
    <x v="29"/>
    <s v="LOC Spectator Services"/>
    <m/>
    <s v="EU"/>
  </r>
  <r>
    <s v="ACCBAR"/>
    <s v="Barcode scanner"/>
    <s v="Peripherals"/>
    <s v=""/>
    <s v=""/>
    <x v="39"/>
    <x v="39"/>
    <m/>
    <n v="0"/>
    <n v="0"/>
    <n v="1"/>
    <n v="0"/>
    <n v="0"/>
    <x v="0"/>
    <x v="1"/>
    <s v="Stadium Offices"/>
    <s v="SPS office"/>
    <x v="29"/>
    <s v="LOC Spectator Services"/>
    <m/>
    <s v="EU"/>
  </r>
  <r>
    <s v="IS00WF"/>
    <s v="Wireless coverage - Shared Internet Service - Wi-Fi FIFA"/>
    <s v="Network &amp; Connectivity"/>
    <s v=""/>
    <s v="General Internet Access"/>
    <x v="1"/>
    <x v="1"/>
    <m/>
    <n v="0"/>
    <n v="0"/>
    <n v="1"/>
    <n v="0"/>
    <n v="0"/>
    <x v="0"/>
    <x v="1"/>
    <s v="Stadium Offices"/>
    <s v="SPS office"/>
    <x v="29"/>
    <s v="LOC Spectator Services"/>
    <m/>
    <s v="NW"/>
  </r>
  <r>
    <s v="SIMDAT"/>
    <s v="SIM - Data Only"/>
    <s v="Telephony"/>
    <s v=""/>
    <s v=""/>
    <x v="18"/>
    <x v="18"/>
    <m/>
    <n v="0"/>
    <n v="2"/>
    <n v="2"/>
    <n v="0"/>
    <n v="2"/>
    <x v="0"/>
    <x v="1"/>
    <s v="Stadium Offices"/>
    <s v="SPS office"/>
    <x v="29"/>
    <s v="LOC Spectator Services"/>
    <m/>
    <s v="Telco/SIM"/>
  </r>
  <r>
    <s v="MFDDNW"/>
    <s v="MFD Desktop - Colour - A4 - Network"/>
    <s v="Reprographics"/>
    <s v=""/>
    <s v="General Internet Access"/>
    <x v="2"/>
    <x v="2"/>
    <m/>
    <n v="1"/>
    <n v="0"/>
    <n v="1"/>
    <n v="1"/>
    <n v="0"/>
    <x v="0"/>
    <x v="1"/>
    <s v="Stadium Offices"/>
    <s v="SPS office"/>
    <x v="29"/>
    <s v="LOC Spectator Services"/>
    <m/>
    <s v="EU"/>
  </r>
  <r>
    <s v="ACCBAR"/>
    <s v="Barcode scanner"/>
    <s v="Peripherals"/>
    <s v=""/>
    <s v=""/>
    <x v="39"/>
    <x v="39"/>
    <m/>
    <n v="0"/>
    <n v="0"/>
    <n v="5"/>
    <n v="0"/>
    <n v="0"/>
    <x v="0"/>
    <x v="1"/>
    <s v="Stadium Offices"/>
    <s v="Restricted Item storage"/>
    <x v="29"/>
    <s v="LOC Spectator Services"/>
    <m/>
    <s v="EU"/>
  </r>
  <r>
    <s v="LAPEVT"/>
    <s v="Laptop - FIFA Event Build"/>
    <s v="FIFA IT Hardware"/>
    <s v=""/>
    <s v=""/>
    <x v="17"/>
    <x v="17"/>
    <m/>
    <n v="0"/>
    <n v="0"/>
    <n v="4"/>
    <n v="0"/>
    <n v="0"/>
    <x v="0"/>
    <x v="1"/>
    <s v="Stadium Offices"/>
    <s v="Restricted Item storage"/>
    <x v="29"/>
    <s v="LOC Spectator Services"/>
    <m/>
    <s v="EU"/>
  </r>
  <r>
    <s v="TABLEN"/>
    <s v="Tablet - FIFA Professional Tablet + 4G"/>
    <s v="FIFA IT Hardware"/>
    <s v=""/>
    <s v=""/>
    <x v="7"/>
    <x v="7"/>
    <m/>
    <n v="0"/>
    <n v="3"/>
    <n v="3"/>
    <n v="0"/>
    <n v="3"/>
    <x v="0"/>
    <x v="1"/>
    <s v="Stadium Offices"/>
    <s v="Restricted Item storage"/>
    <x v="29"/>
    <s v="LOC Spectator Services"/>
    <m/>
    <s v="EU"/>
  </r>
  <r>
    <s v="ITSR4G"/>
    <s v="IT Solution - Router + 4G"/>
    <s v="FIFA IT Network Solutions"/>
    <s v=""/>
    <s v=""/>
    <x v="38"/>
    <x v="38"/>
    <m/>
    <n v="0"/>
    <n v="3"/>
    <n v="3"/>
    <n v="0"/>
    <n v="3"/>
    <x v="0"/>
    <x v="1"/>
    <s v="Stadium Offices"/>
    <s v="Restricted Item storage"/>
    <x v="29"/>
    <s v="LOC Spectator Services"/>
    <m/>
    <s v="NW"/>
  </r>
  <r>
    <s v="TVLGSA"/>
    <s v="TV - Large - Standalone"/>
    <s v="Display Devices"/>
    <s v=""/>
    <s v=""/>
    <x v="15"/>
    <x v="15"/>
    <m/>
    <n v="0"/>
    <n v="0"/>
    <n v="1"/>
    <n v="0"/>
    <n v="0"/>
    <x v="0"/>
    <x v="0"/>
    <s v="Other"/>
    <s v="Venue Commander's Office"/>
    <x v="30"/>
    <s v="LOC SSOC"/>
    <m/>
    <s v="EU"/>
  </r>
  <r>
    <s v="MFDDNW"/>
    <s v="MFD Desktop - Colour - A4 - Network"/>
    <s v="Reprographics"/>
    <s v=""/>
    <s v="General Internet Access"/>
    <x v="2"/>
    <x v="2"/>
    <m/>
    <n v="1"/>
    <n v="0"/>
    <n v="1"/>
    <n v="1"/>
    <n v="0"/>
    <x v="0"/>
    <x v="0"/>
    <s v="Other"/>
    <s v="Venue Commander's Office"/>
    <x v="30"/>
    <s v="LOC SSOC"/>
    <s v="PK 21.09: A3 replaced with A4"/>
    <s v="EU"/>
  </r>
  <r>
    <s v="IS00WF"/>
    <s v="Wireless coverage - Shared Internet Service - Wi-Fi FIFA"/>
    <s v="Network &amp; Connectivity"/>
    <s v=""/>
    <s v="General Internet Access"/>
    <x v="1"/>
    <x v="1"/>
    <m/>
    <n v="0"/>
    <n v="0"/>
    <n v="1"/>
    <n v="0"/>
    <n v="0"/>
    <x v="0"/>
    <x v="0"/>
    <s v="Other"/>
    <s v="Venue Commander's Office (5)"/>
    <x v="30"/>
    <s v="LOC SSOC"/>
    <m/>
    <s v="NW"/>
  </r>
  <r>
    <s v="IS00WF"/>
    <s v="Wireless coverage - Shared Internet Service - Wi-Fi FIFA"/>
    <s v="Network &amp; Connectivity"/>
    <s v=""/>
    <s v="General Internet Access"/>
    <x v="1"/>
    <x v="1"/>
    <m/>
    <n v="0"/>
    <n v="0"/>
    <n v="1"/>
    <n v="0"/>
    <n v="0"/>
    <x v="0"/>
    <x v="0"/>
    <s v="Other"/>
    <s v="Venue Security Coordinators' office (5)"/>
    <x v="30"/>
    <s v="LOC SSOC"/>
    <m/>
    <s v="NW"/>
  </r>
  <r>
    <s v="TVLGSA"/>
    <s v="TV - Large - Standalone"/>
    <s v="Display Devices"/>
    <s v=""/>
    <s v=""/>
    <x v="15"/>
    <x v="15"/>
    <m/>
    <n v="0"/>
    <n v="0"/>
    <n v="1"/>
    <n v="0"/>
    <n v="0"/>
    <x v="0"/>
    <x v="0"/>
    <s v="Other"/>
    <s v="Venue Security Coordinators' office (5)"/>
    <x v="30"/>
    <s v="LOC SSOC"/>
    <m/>
    <s v="EU"/>
  </r>
  <r>
    <s v="MFDLNW"/>
    <s v="MFD Large - Colour - A3 - Network"/>
    <s v="Reprographics"/>
    <s v=""/>
    <s v="General Internet Access"/>
    <x v="34"/>
    <x v="34"/>
    <m/>
    <n v="0"/>
    <n v="0"/>
    <n v="0"/>
    <n v="0"/>
    <n v="0"/>
    <x v="0"/>
    <x v="0"/>
    <s v="Other"/>
    <s v="Venue Security Coordinators' office (5)"/>
    <x v="30"/>
    <s v="LOC SSOC"/>
    <s v="PK 21.09: rejected in provision"/>
    <s v="EU"/>
  </r>
  <r>
    <s v="IS00WF"/>
    <s v="Wireless coverage - Shared Internet Service - Wi-Fi FIFA"/>
    <s v="Network &amp; Connectivity"/>
    <s v=""/>
    <s v="General Internet Access"/>
    <x v="1"/>
    <x v="1"/>
    <m/>
    <n v="0"/>
    <n v="0"/>
    <n v="1"/>
    <n v="0"/>
    <n v="0"/>
    <x v="0"/>
    <x v="0"/>
    <s v="Other"/>
    <s v="Admin office (10)"/>
    <x v="30"/>
    <s v="LOC SSOC"/>
    <m/>
    <s v="NW"/>
  </r>
  <r>
    <s v="MFDLNW"/>
    <s v="MFD Large - Colour - A3 - Network"/>
    <s v="Reprographics"/>
    <s v=""/>
    <s v="General Internet Access"/>
    <x v="34"/>
    <x v="34"/>
    <m/>
    <n v="0"/>
    <n v="0"/>
    <n v="0"/>
    <n v="0"/>
    <n v="0"/>
    <x v="0"/>
    <x v="1"/>
    <s v="Stadium Offices"/>
    <s v="Venue Security Coordinators' office"/>
    <x v="30"/>
    <s v="LOC SSOC"/>
    <s v="PK 21.09: rejected in provision"/>
    <s v="EU"/>
  </r>
  <r>
    <s v="IS00WF"/>
    <s v="Wireless coverage - Shared Internet Service - Wi-Fi FIFA"/>
    <s v="Network &amp; Connectivity"/>
    <s v=""/>
    <s v="General Internet Access"/>
    <x v="1"/>
    <x v="1"/>
    <m/>
    <n v="0"/>
    <n v="0"/>
    <n v="1"/>
    <n v="0"/>
    <n v="0"/>
    <x v="0"/>
    <x v="1"/>
    <s v="Stadium Offices"/>
    <s v="Venue Security Coordinators' office (5)"/>
    <x v="30"/>
    <s v="LOC SSOC"/>
    <m/>
    <s v="NW"/>
  </r>
  <r>
    <s v="TVLGSA"/>
    <s v="TV - Large - Standalone"/>
    <s v="Display Devices"/>
    <s v=""/>
    <s v=""/>
    <x v="15"/>
    <x v="15"/>
    <m/>
    <n v="0"/>
    <n v="0"/>
    <n v="1"/>
    <n v="0"/>
    <n v="0"/>
    <x v="0"/>
    <x v="1"/>
    <s v="Stadium Offices"/>
    <s v="Venue Commander's office"/>
    <x v="30"/>
    <s v="LOC SSOC"/>
    <m/>
    <s v="EU"/>
  </r>
  <r>
    <s v="IS00WF"/>
    <s v="Wireless coverage - Shared Internet Service - Wi-Fi FIFA"/>
    <s v="Network &amp; Connectivity"/>
    <s v=""/>
    <s v="General Internet Access"/>
    <x v="1"/>
    <x v="1"/>
    <m/>
    <n v="0"/>
    <n v="0"/>
    <n v="1"/>
    <n v="0"/>
    <n v="0"/>
    <x v="0"/>
    <x v="1"/>
    <s v="Stadium Offices"/>
    <s v="Venue Commander' office (5)"/>
    <x v="30"/>
    <s v="LOC SSOC"/>
    <m/>
    <s v="NW"/>
  </r>
  <r>
    <s v="IS00WF"/>
    <s v="Wireless coverage - Shared Internet Service - Wi-Fi FIFA"/>
    <s v="Network &amp; Connectivity"/>
    <s v=""/>
    <s v="General Internet Access"/>
    <x v="1"/>
    <x v="1"/>
    <m/>
    <n v="0"/>
    <n v="0"/>
    <n v="1"/>
    <n v="0"/>
    <n v="0"/>
    <x v="0"/>
    <x v="1"/>
    <s v="Stadium Offices"/>
    <s v="Admin office (10)"/>
    <x v="30"/>
    <s v="LOC SSOC"/>
    <m/>
    <s v="NW"/>
  </r>
  <r>
    <s v="SIMDAT"/>
    <s v="SIM - Data Only"/>
    <s v="Telephony"/>
    <s v=""/>
    <s v=""/>
    <x v="18"/>
    <x v="18"/>
    <m/>
    <n v="0"/>
    <n v="0"/>
    <n v="0"/>
    <n v="0"/>
    <n v="0"/>
    <x v="0"/>
    <x v="2"/>
    <s v="Other"/>
    <s v="with the TLOs "/>
    <x v="31"/>
    <s v="LOC Team Services"/>
    <s v="PK 17.09: Transferred to FAC scope"/>
    <s v="Telco/SIM"/>
  </r>
  <r>
    <s v="TVLGSA"/>
    <s v="TV - Large - Standalone"/>
    <s v="Display Devices"/>
    <s v=""/>
    <s v=""/>
    <x v="15"/>
    <x v="15"/>
    <m/>
    <n v="0"/>
    <n v="0"/>
    <n v="1"/>
    <n v="0"/>
    <n v="0"/>
    <x v="0"/>
    <x v="0"/>
    <s v="Aspire Dome"/>
    <s v="LOC General Office"/>
    <x v="32"/>
    <s v="LOC Venue Management"/>
    <m/>
    <s v="EU"/>
  </r>
  <r>
    <s v="DSKMNT"/>
    <s v="24&quot; Monitor - HDMI/DP"/>
    <s v="Peripherals"/>
    <s v=""/>
    <s v=""/>
    <x v="0"/>
    <x v="0"/>
    <m/>
    <n v="0"/>
    <n v="0"/>
    <n v="2"/>
    <n v="0"/>
    <n v="0"/>
    <x v="0"/>
    <x v="0"/>
    <s v="Aspire Dome"/>
    <s v="LOC General Office"/>
    <x v="32"/>
    <s v="LOC Venue Management"/>
    <m/>
    <s v="EU"/>
  </r>
  <r>
    <s v="IS00WF"/>
    <s v="Wireless coverage - Shared Internet Service - Wi-Fi FIFA"/>
    <s v="Network &amp; Connectivity"/>
    <s v=""/>
    <s v="General Internet Access"/>
    <x v="1"/>
    <x v="1"/>
    <m/>
    <n v="0"/>
    <n v="0"/>
    <n v="1"/>
    <n v="0"/>
    <n v="0"/>
    <x v="0"/>
    <x v="0"/>
    <s v="Aspire Dome"/>
    <s v="LOC General Office"/>
    <x v="32"/>
    <s v="LOC Venue Management"/>
    <m/>
    <s v="NW"/>
  </r>
  <r>
    <s v="TVLGSA"/>
    <s v="TV - Large - Standalone"/>
    <s v="Display Devices"/>
    <s v=""/>
    <s v=""/>
    <x v="15"/>
    <x v="15"/>
    <m/>
    <n v="0"/>
    <n v="0"/>
    <n v="1"/>
    <n v="0"/>
    <n v="0"/>
    <x v="0"/>
    <x v="0"/>
    <s v="Aspire Dome"/>
    <s v="Meeting Room"/>
    <x v="32"/>
    <s v="LOC Venue Management"/>
    <m/>
    <s v="EU"/>
  </r>
  <r>
    <s v="TVLGSA"/>
    <s v="TV - Large - Standalone"/>
    <s v="Display Devices"/>
    <s v=""/>
    <s v=""/>
    <x v="15"/>
    <x v="15"/>
    <m/>
    <n v="0"/>
    <n v="0"/>
    <n v="2"/>
    <n v="0"/>
    <n v="0"/>
    <x v="0"/>
    <x v="0"/>
    <s v="Aspire Dome"/>
    <s v="Offices"/>
    <x v="32"/>
    <s v="LOC Venue Management"/>
    <m/>
    <s v="EU"/>
  </r>
  <r>
    <s v="DSKMNT"/>
    <s v="24&quot; Monitor - HDMI/DP"/>
    <s v="Peripherals"/>
    <s v=""/>
    <s v=""/>
    <x v="0"/>
    <x v="0"/>
    <m/>
    <n v="0"/>
    <n v="0"/>
    <n v="6"/>
    <n v="0"/>
    <n v="0"/>
    <x v="0"/>
    <x v="0"/>
    <s v="Aspire Dome"/>
    <s v="Offices"/>
    <x v="32"/>
    <s v="LOC Venue Management"/>
    <m/>
    <s v="EU"/>
  </r>
  <r>
    <s v="MFDLNW"/>
    <s v="MFD Large - Colour - A3 - Network"/>
    <s v="Reprographics"/>
    <s v=""/>
    <s v="General Internet Access"/>
    <x v="34"/>
    <x v="34"/>
    <m/>
    <n v="1"/>
    <n v="0"/>
    <n v="1"/>
    <n v="1"/>
    <n v="0"/>
    <x v="0"/>
    <x v="0"/>
    <s v="Aspire Dome"/>
    <s v="Offices"/>
    <x v="32"/>
    <s v="LOC Venue Management"/>
    <s v="L1 general office"/>
    <s v="EU"/>
  </r>
  <r>
    <s v="TVLGIP"/>
    <s v="TV - Large - IPTV"/>
    <s v="CATV"/>
    <s v=""/>
    <s v=""/>
    <x v="5"/>
    <x v="5"/>
    <m/>
    <n v="1"/>
    <n v="0"/>
    <n v="1"/>
    <n v="1"/>
    <n v="0"/>
    <x v="0"/>
    <x v="0"/>
    <s v="Accelerator Building"/>
    <s v="Venue Operations Centre"/>
    <x v="32"/>
    <s v="LOC Venue Management"/>
    <m/>
    <s v="AV"/>
  </r>
  <r>
    <s v="TVLGSA"/>
    <s v="TV - Large - Standalone"/>
    <s v="Display Devices"/>
    <s v=""/>
    <s v=""/>
    <x v="15"/>
    <x v="15"/>
    <m/>
    <n v="0"/>
    <n v="0"/>
    <n v="1"/>
    <n v="0"/>
    <n v="0"/>
    <x v="0"/>
    <x v="0"/>
    <s v="Accelerator Building"/>
    <s v="Venue Operations Centre"/>
    <x v="32"/>
    <s v="LOC Venue Management"/>
    <m/>
    <s v="EU"/>
  </r>
  <r>
    <s v="MFDDNW"/>
    <s v="MFD Desktop - Colour - A4 - Network"/>
    <s v="Reprographics"/>
    <s v=""/>
    <s v="General Internet Access"/>
    <x v="2"/>
    <x v="2"/>
    <m/>
    <n v="1"/>
    <n v="0"/>
    <n v="1"/>
    <n v="1"/>
    <n v="0"/>
    <x v="0"/>
    <x v="0"/>
    <s v="Accelerator Building"/>
    <s v="Venue Operations Centre"/>
    <x v="32"/>
    <s v="LOC Venue Management"/>
    <m/>
    <s v="EU"/>
  </r>
  <r>
    <s v="IS00WF"/>
    <s v="Wireless coverage - Shared Internet Service - Wi-Fi FIFA"/>
    <s v="Network &amp; Connectivity"/>
    <s v=""/>
    <s v="General Internet Access"/>
    <x v="1"/>
    <x v="1"/>
    <m/>
    <n v="0"/>
    <n v="0"/>
    <n v="1"/>
    <n v="0"/>
    <n v="0"/>
    <x v="0"/>
    <x v="0"/>
    <s v="Accelerator Building"/>
    <s v="Venue Operations Centre"/>
    <x v="32"/>
    <s v="LOC Venue Management"/>
    <m/>
    <s v="NW"/>
  </r>
  <r>
    <s v="TVLGSA"/>
    <s v="TV - Large - Standalone"/>
    <s v="Display Devices"/>
    <s v=""/>
    <s v=""/>
    <x v="15"/>
    <x v="15"/>
    <m/>
    <n v="0"/>
    <n v="0"/>
    <n v="1"/>
    <n v="0"/>
    <n v="0"/>
    <x v="0"/>
    <x v="0"/>
    <s v="Super Club"/>
    <s v="Offices"/>
    <x v="32"/>
    <s v="LOC Venue Management"/>
    <m/>
    <s v="EU"/>
  </r>
  <r>
    <s v="TVLGIP"/>
    <s v="TV - Large - IPTV"/>
    <s v="CATV"/>
    <s v=""/>
    <s v=""/>
    <x v="5"/>
    <x v="5"/>
    <m/>
    <n v="1"/>
    <n v="0"/>
    <n v="1"/>
    <n v="1"/>
    <n v="0"/>
    <x v="0"/>
    <x v="0"/>
    <s v="Super Club"/>
    <s v="Offices"/>
    <x v="32"/>
    <s v="LOC Venue Management"/>
    <m/>
    <s v="AV"/>
  </r>
  <r>
    <s v="DSKMNT"/>
    <s v="24&quot; Monitor - HDMI/DP"/>
    <s v="Peripherals"/>
    <s v=""/>
    <s v=""/>
    <x v="0"/>
    <x v="0"/>
    <m/>
    <n v="0"/>
    <n v="0"/>
    <n v="6"/>
    <n v="0"/>
    <n v="0"/>
    <x v="0"/>
    <x v="0"/>
    <s v="Super Club"/>
    <s v="Offices"/>
    <x v="32"/>
    <s v="LOC Venue Management"/>
    <m/>
    <s v="EU"/>
  </r>
  <r>
    <s v="MFDLNW"/>
    <s v="MFD Large - Colour - A3 - Network"/>
    <s v="Reprographics"/>
    <s v=""/>
    <s v="General Internet Access"/>
    <x v="34"/>
    <x v="34"/>
    <m/>
    <n v="1"/>
    <n v="0"/>
    <n v="1"/>
    <n v="1"/>
    <n v="0"/>
    <x v="0"/>
    <x v="0"/>
    <s v="Super Club"/>
    <s v="Offices"/>
    <x v="32"/>
    <s v="LOC Venue Management"/>
    <m/>
    <s v="EU"/>
  </r>
  <r>
    <s v="LAPEVT"/>
    <s v="Laptop - FIFA Event Build"/>
    <s v="FIFA IT Hardware"/>
    <s v=""/>
    <s v=""/>
    <x v="17"/>
    <x v="17"/>
    <m/>
    <n v="0"/>
    <n v="0"/>
    <n v="3"/>
    <n v="0"/>
    <n v="0"/>
    <x v="0"/>
    <x v="1"/>
    <s v="Hospitality Areas"/>
    <s v="Training Centre Welcome Desk "/>
    <x v="33"/>
    <s v="LOC Workforce"/>
    <s v="reduced from 4"/>
    <s v="EU"/>
  </r>
  <r>
    <s v="ACCBAR"/>
    <s v="Barcode scanner"/>
    <s v="Peripherals"/>
    <s v=""/>
    <s v=""/>
    <x v="39"/>
    <x v="39"/>
    <m/>
    <n v="0"/>
    <n v="0"/>
    <n v="3"/>
    <n v="0"/>
    <n v="0"/>
    <x v="0"/>
    <x v="1"/>
    <s v="Hospitality Areas"/>
    <s v="Tranining Centre Welcome Desk "/>
    <x v="33"/>
    <s v="LOC Workforce"/>
    <s v="reduced from 4"/>
    <s v="EU"/>
  </r>
  <r>
    <s v="DSKMNT"/>
    <s v="24&quot; Monitor - HDMI/DP"/>
    <s v="Peripherals"/>
    <s v=""/>
    <s v=""/>
    <x v="0"/>
    <x v="0"/>
    <m/>
    <n v="0"/>
    <n v="0"/>
    <n v="0"/>
    <n v="0"/>
    <n v="0"/>
    <x v="0"/>
    <x v="1"/>
    <s v="Hospitality Areas"/>
    <s v="Tranining Centre Welcome Desk "/>
    <x v="33"/>
    <s v="LOC Workforce"/>
    <s v="removed"/>
    <s v="EU"/>
  </r>
  <r>
    <s v="PORSPE"/>
    <s v="Portable Speaker"/>
    <s v="Peripherals"/>
    <s v=""/>
    <s v=""/>
    <x v="14"/>
    <x v="14"/>
    <m/>
    <n v="0"/>
    <n v="0"/>
    <n v="1"/>
    <n v="0"/>
    <n v="0"/>
    <x v="0"/>
    <x v="1"/>
    <s v="Hospitality Areas"/>
    <s v="Welome Desk &amp; Training Rooms "/>
    <x v="33"/>
    <s v="LOC Workforce"/>
    <s v="reduced from 3"/>
    <s v="EU"/>
  </r>
  <r>
    <s v="TVLGSA"/>
    <s v="TV - Large - Standalone"/>
    <s v="Display Devices"/>
    <s v=""/>
    <s v=""/>
    <x v="15"/>
    <x v="15"/>
    <m/>
    <n v="0"/>
    <n v="0"/>
    <n v="2"/>
    <n v="0"/>
    <n v="0"/>
    <x v="0"/>
    <x v="1"/>
    <s v="Hospitality Areas"/>
    <s v="Welome Desk &amp; Training Rooms "/>
    <x v="33"/>
    <s v="LOC Workforce"/>
    <s v="reduced from 4"/>
    <s v="EU"/>
  </r>
  <r>
    <s v="IS00WF"/>
    <s v="Wireless coverage - Shared Internet Service - Wi-Fi FIFA"/>
    <s v="Network &amp; Connectivity"/>
    <s v=""/>
    <s v="General Internet Access"/>
    <x v="1"/>
    <x v="1"/>
    <m/>
    <n v="0"/>
    <n v="0"/>
    <n v="1"/>
    <n v="0"/>
    <n v="0"/>
    <x v="0"/>
    <x v="1"/>
    <s v="Hospitality Areas"/>
    <s v="Welome Desk &amp; Training Rooms "/>
    <x v="33"/>
    <s v="LOC Workforce"/>
    <s v=""/>
    <s v="NW"/>
  </r>
  <r>
    <s v="MFDDNW"/>
    <s v="MFD Desktop - Colour - A4 - Network"/>
    <s v="Reprographics"/>
    <s v=""/>
    <s v="General Internet Access"/>
    <x v="2"/>
    <x v="2"/>
    <m/>
    <n v="1"/>
    <n v="0"/>
    <n v="1"/>
    <n v="1"/>
    <n v="0"/>
    <x v="0"/>
    <x v="1"/>
    <s v="Hospitality Areas"/>
    <s v="Tranining Centre Welcome Desk "/>
    <x v="33"/>
    <s v="LOC Workforce"/>
    <s v="Replaced A3"/>
    <s v="EU"/>
  </r>
  <r>
    <s v="LAPEVT"/>
    <s v="Laptop - FIFA Event Build"/>
    <s v="FIFA IT Hardware"/>
    <s v=""/>
    <s v=""/>
    <x v="17"/>
    <x v="17"/>
    <m/>
    <n v="0"/>
    <n v="0"/>
    <n v="0"/>
    <n v="0"/>
    <n v="0"/>
    <x v="0"/>
    <x v="2"/>
    <s v="Other"/>
    <s v="Volunteer Support Services Centre"/>
    <x v="33"/>
    <s v="LOC Workforce"/>
    <s v="PK 17.09: Transferred to FAC scope"/>
    <s v="EU"/>
  </r>
  <r>
    <s v="DSKMNT"/>
    <s v="24&quot; Monitor - HDMI/DP"/>
    <s v="Peripherals"/>
    <s v=""/>
    <s v=""/>
    <x v="0"/>
    <x v="0"/>
    <m/>
    <n v="0"/>
    <n v="0"/>
    <n v="0"/>
    <n v="0"/>
    <n v="0"/>
    <x v="0"/>
    <x v="2"/>
    <s v="Other"/>
    <s v="Volunteer Support Services Centre"/>
    <x v="33"/>
    <s v="LOC Workforce"/>
    <s v="PK 17.09: Transferred to FAC scope"/>
    <s v="EU"/>
  </r>
  <r>
    <s v="TVLGIP"/>
    <s v="TV - Large - IPTV"/>
    <s v="CATV"/>
    <s v=""/>
    <s v=""/>
    <x v="5"/>
    <x v="5"/>
    <m/>
    <n v="0"/>
    <n v="0"/>
    <n v="0"/>
    <n v="0"/>
    <n v="0"/>
    <x v="0"/>
    <x v="2"/>
    <s v="Other"/>
    <s v="Volunteer Support Services Centre"/>
    <x v="33"/>
    <s v="LOC Workforce"/>
    <s v="PK 17.09: Transferred to FAC scope"/>
    <s v="AV"/>
  </r>
  <r>
    <s v="WRDGEN"/>
    <s v="Wired Port - General Internet "/>
    <s v="Network &amp; Connectivity"/>
    <s v=""/>
    <s v="General Internet Access"/>
    <x v="8"/>
    <x v="8"/>
    <m/>
    <n v="0"/>
    <n v="0"/>
    <n v="0"/>
    <n v="0"/>
    <n v="0"/>
    <x v="0"/>
    <x v="2"/>
    <s v="Other"/>
    <s v="Volunteer Support Services Centre"/>
    <x v="33"/>
    <s v="LOC Workforce"/>
    <s v="PK 17.09: Transferred to FAC scope"/>
    <s v="NW"/>
  </r>
  <r>
    <s v="MFDLNW"/>
    <s v="MFD Large - Colour - A3 - Network"/>
    <s v="Reprographics"/>
    <s v=""/>
    <s v="General Internet Access"/>
    <x v="34"/>
    <x v="34"/>
    <m/>
    <n v="0"/>
    <n v="0"/>
    <n v="0"/>
    <n v="0"/>
    <n v="0"/>
    <x v="0"/>
    <x v="2"/>
    <s v="Other"/>
    <s v="Volunteer Support Services Centre"/>
    <x v="33"/>
    <s v="LOC Workforce"/>
    <s v="PK 17.09: Transferred to FAC scope"/>
    <s v="EU"/>
  </r>
  <r>
    <s v="TELMOB"/>
    <s v="Telephone - Mobile - Smart Phone"/>
    <s v="Telephony"/>
    <s v=""/>
    <s v=""/>
    <x v="21"/>
    <x v="21"/>
    <m/>
    <n v="0"/>
    <n v="0"/>
    <n v="0"/>
    <n v="0"/>
    <n v="0"/>
    <x v="0"/>
    <x v="2"/>
    <s v="Other"/>
    <s v="Volunteer Support Services Centre"/>
    <x v="33"/>
    <s v="LOC Workforce"/>
    <s v="PK 17.09: Transferred to FAC scope"/>
    <s v="Telco/SIM"/>
  </r>
  <r>
    <s v="IS00WF"/>
    <s v="Wireless coverage - Shared Internet Service - Wi-Fi FIFA"/>
    <s v="Network &amp; Connectivity"/>
    <s v=""/>
    <s v="General Internet Access"/>
    <x v="1"/>
    <x v="1"/>
    <m/>
    <n v="0"/>
    <n v="0"/>
    <n v="0"/>
    <n v="0"/>
    <n v="0"/>
    <x v="0"/>
    <x v="2"/>
    <s v="Other"/>
    <s v="Volunteer Support Services Centre"/>
    <x v="33"/>
    <s v="LOC Workforce"/>
    <s v="PK 17.09: Transferred to FAC scope"/>
    <s v="NW"/>
  </r>
  <r>
    <s v="TVLGSA"/>
    <s v="TV - Large - Standalone"/>
    <s v="Display Devices"/>
    <s v=""/>
    <s v=""/>
    <x v="15"/>
    <x v="15"/>
    <m/>
    <n v="0"/>
    <n v="0"/>
    <n v="0"/>
    <n v="0"/>
    <n v="0"/>
    <x v="0"/>
    <x v="2"/>
    <s v="Other"/>
    <s v="Volunteer Support Services Centre"/>
    <x v="33"/>
    <s v="LOC Workforce"/>
    <s v="PK 17.09: Transferred to FAC scope"/>
    <s v="EU"/>
  </r>
  <r>
    <s v="IS00WF"/>
    <s v="Wireless coverage - Shared Internet Service - Wi-Fi FIFA"/>
    <s v="Network &amp; Connectivity"/>
    <s v=""/>
    <s v="General Internet Access"/>
    <x v="1"/>
    <x v="1"/>
    <m/>
    <n v="0"/>
    <n v="0"/>
    <n v="0"/>
    <n v="0"/>
    <n v="0"/>
    <x v="0"/>
    <x v="2"/>
    <s v="Uniform Distribution"/>
    <s v="Uniform Distribution Centre"/>
    <x v="33"/>
    <s v="LOC Workforce"/>
    <s v="PK 17.09: Transferred to FAC scope"/>
    <s v="NW"/>
  </r>
  <r>
    <s v="MFDDNW"/>
    <s v="MFD Desktop - Colour - A4 - Network"/>
    <s v="Reprographics"/>
    <s v=""/>
    <s v="General Internet Access"/>
    <x v="2"/>
    <x v="2"/>
    <m/>
    <n v="0"/>
    <n v="0"/>
    <n v="0"/>
    <n v="0"/>
    <n v="0"/>
    <x v="0"/>
    <x v="2"/>
    <s v="Uniform Distribution"/>
    <s v="Uniform Distribution Centre"/>
    <x v="33"/>
    <s v="LOC Workforce"/>
    <s v="PK 17.09: Transferred to FAC scope"/>
    <s v="EU"/>
  </r>
  <r>
    <s v="LAPEVT"/>
    <s v="Laptop - FIFA Event Build"/>
    <s v="FIFA IT Hardware"/>
    <s v=""/>
    <s v=""/>
    <x v="17"/>
    <x v="17"/>
    <m/>
    <n v="0"/>
    <n v="0"/>
    <n v="0"/>
    <n v="0"/>
    <n v="0"/>
    <x v="0"/>
    <x v="2"/>
    <s v="Uniform Distribution"/>
    <s v="Uniform Distribution Centre"/>
    <x v="33"/>
    <s v="LOC Workforce"/>
    <s v="PK 17.09: Transferred to FAC scope"/>
    <s v="EU"/>
  </r>
  <r>
    <s v="DSKMNT"/>
    <s v="24&quot; Monitor - HDMI/DP"/>
    <s v="Peripherals"/>
    <s v=""/>
    <s v=""/>
    <x v="0"/>
    <x v="0"/>
    <m/>
    <n v="0"/>
    <n v="0"/>
    <n v="0"/>
    <n v="0"/>
    <n v="0"/>
    <x v="0"/>
    <x v="2"/>
    <s v="Uniform Distribution"/>
    <s v="Uniform Distribution Centre"/>
    <x v="33"/>
    <s v="LOC Workforce"/>
    <s v="PK 17.09: Transferred to FAC scope"/>
    <s v="EU"/>
  </r>
  <r>
    <s v="ACCBAR"/>
    <s v="Barcode scanner"/>
    <s v="Peripherals"/>
    <s v=""/>
    <s v=""/>
    <x v="39"/>
    <x v="39"/>
    <m/>
    <n v="0"/>
    <n v="0"/>
    <n v="0"/>
    <n v="0"/>
    <n v="0"/>
    <x v="0"/>
    <x v="2"/>
    <s v="Uniform Distribution"/>
    <s v="Uniform Distribution Centre"/>
    <x v="33"/>
    <s v="LOC Workforce"/>
    <s v="PK 17.09: Transferred to FAC scope"/>
    <s v="EU"/>
  </r>
  <r>
    <s v="TVLGSA"/>
    <s v="TV - Large - Standalone"/>
    <s v="Display Devices"/>
    <s v=""/>
    <s v=""/>
    <x v="15"/>
    <x v="15"/>
    <m/>
    <n v="0"/>
    <n v="0"/>
    <n v="0"/>
    <n v="0"/>
    <n v="0"/>
    <x v="0"/>
    <x v="2"/>
    <s v="Uniform Distribution"/>
    <s v="Uniform Distribution Centre"/>
    <x v="33"/>
    <s v="LOC Workforce"/>
    <s v="PK 17.09: Transferred to FAC scope"/>
    <s v="EU"/>
  </r>
  <r>
    <s v="LAPEVT"/>
    <s v="Laptop - FIFA Event Build"/>
    <s v="FIFA IT Hardware"/>
    <s v=""/>
    <s v=""/>
    <x v="17"/>
    <x v="17"/>
    <m/>
    <n v="0"/>
    <n v="0"/>
    <n v="0"/>
    <n v="0"/>
    <n v="0"/>
    <x v="0"/>
    <x v="2"/>
    <s v="Uniform Distribution"/>
    <s v="WKF Centre"/>
    <x v="33"/>
    <s v="LOC Workforce"/>
    <s v="PK 17.09: Transferred to FAC scope"/>
    <s v="EU"/>
  </r>
  <r>
    <s v="IS00WF"/>
    <s v="Wireless coverage - Shared Internet Service - Wi-Fi FIFA"/>
    <s v="Network &amp; Connectivity"/>
    <s v=""/>
    <s v="General Internet Access"/>
    <x v="1"/>
    <x v="1"/>
    <m/>
    <n v="0"/>
    <n v="0"/>
    <n v="0"/>
    <n v="0"/>
    <n v="0"/>
    <x v="0"/>
    <x v="2"/>
    <s v="Uniform Distribution"/>
    <s v="WKF Centre"/>
    <x v="33"/>
    <s v="LOC Workforce"/>
    <s v="PK 17.09: Transferred to FAC scope"/>
    <s v="NW"/>
  </r>
  <r>
    <s v="TELMOB"/>
    <s v="Telephone - Mobile - Smart Phone"/>
    <s v="Telephony"/>
    <s v=""/>
    <s v=""/>
    <x v="21"/>
    <x v="21"/>
    <m/>
    <n v="0"/>
    <n v="0"/>
    <n v="0"/>
    <n v="0"/>
    <n v="0"/>
    <x v="0"/>
    <x v="2"/>
    <s v="Uniform Distribution"/>
    <s v="WKF Centre"/>
    <x v="33"/>
    <s v="LOC Workforce"/>
    <s v="PK 17.09: Transferred to FAC scope"/>
    <s v="Telco/SIM"/>
  </r>
  <r>
    <s v="TVLGIP"/>
    <s v="TV - Large - IPTV"/>
    <s v="CATV"/>
    <s v=""/>
    <s v=""/>
    <x v="5"/>
    <x v="5"/>
    <m/>
    <n v="0"/>
    <n v="0"/>
    <n v="0"/>
    <n v="0"/>
    <n v="0"/>
    <x v="0"/>
    <x v="2"/>
    <s v="Uniform Distribution"/>
    <s v="WKF Centre"/>
    <x v="33"/>
    <s v="LOC Workforce"/>
    <s v="PK 17.09: Transferred to FAC scope"/>
    <s v="AV"/>
  </r>
  <r>
    <s v="PORSPE"/>
    <s v="Portable Speaker"/>
    <s v="Peripherals"/>
    <s v=""/>
    <s v=""/>
    <x v="14"/>
    <x v="14"/>
    <m/>
    <n v="0"/>
    <n v="0"/>
    <n v="0"/>
    <n v="0"/>
    <n v="0"/>
    <x v="0"/>
    <x v="2"/>
    <s v="Uniform Distribution"/>
    <s v="WKF Centre"/>
    <x v="33"/>
    <s v="LOC Workforce"/>
    <s v="PK 17.09: Transferred to FAC scope"/>
    <s v="EU"/>
  </r>
  <r>
    <s v="IS00WS"/>
    <s v="Wireless coverage - Shared Internet Service - Wi-Fi FOOTBALL"/>
    <s v="Network &amp; Connectivity"/>
    <s v=""/>
    <s v="VIP Internet Access"/>
    <x v="36"/>
    <x v="36"/>
    <m/>
    <n v="0"/>
    <n v="0"/>
    <n v="1"/>
    <n v="0"/>
    <n v="0"/>
    <x v="0"/>
    <x v="0"/>
    <s v="Players Holding Area (Lounge)"/>
    <s v="Players Holding Area (Lounge)"/>
    <x v="34"/>
    <s v="LOC Competition"/>
    <m/>
    <s v="NW"/>
  </r>
  <r>
    <s v="TVLGIP"/>
    <s v="TV - Large - IPTV"/>
    <s v="CATV"/>
    <s v=""/>
    <s v=""/>
    <x v="5"/>
    <x v="5"/>
    <m/>
    <n v="1"/>
    <n v="0"/>
    <n v="1"/>
    <n v="1"/>
    <n v="0"/>
    <x v="0"/>
    <x v="0"/>
    <s v="Players Holding Area (Lounge)"/>
    <s v="Players Holding Area (Lounge)"/>
    <x v="34"/>
    <s v="LOC Competition"/>
    <m/>
    <s v="AV"/>
  </r>
  <r>
    <s v="IS00WF"/>
    <s v="Wireless coverage - Shared Internet Service - Wi-Fi FIFA"/>
    <s v="Network &amp; Connectivity"/>
    <s v=""/>
    <s v="General Internet Access"/>
    <x v="1"/>
    <x v="1"/>
    <m/>
    <n v="0"/>
    <n v="0"/>
    <n v="2"/>
    <n v="0"/>
    <n v="0"/>
    <x v="0"/>
    <x v="0"/>
    <s v="Outer Perimeter"/>
    <s v="Mobility External Office "/>
    <x v="35"/>
    <s v="LOC Mobility"/>
    <m/>
    <s v="NW"/>
  </r>
  <r>
    <s v="MFDDNW"/>
    <s v="MFD Desktop - Colour - A4 - Network"/>
    <s v="Reprographics"/>
    <s v=""/>
    <s v="General Internet Access"/>
    <x v="2"/>
    <x v="2"/>
    <m/>
    <n v="1"/>
    <n v="0"/>
    <n v="1"/>
    <n v="1"/>
    <n v="0"/>
    <x v="0"/>
    <x v="0"/>
    <s v="Outer Perimeter"/>
    <s v="Mobility External Office "/>
    <x v="35"/>
    <s v="LOC Mobility"/>
    <m/>
    <s v="EU"/>
  </r>
  <r>
    <s v="MFDDNW"/>
    <s v="MFD Desktop - Colour - A4 - Network"/>
    <s v="Reprographics"/>
    <s v=""/>
    <s v="General Internet Access"/>
    <x v="2"/>
    <x v="2"/>
    <m/>
    <n v="0"/>
    <n v="0"/>
    <n v="0"/>
    <n v="0"/>
    <n v="0"/>
    <x v="0"/>
    <x v="2"/>
    <s v="MOC"/>
    <s v="VAPP Office"/>
    <x v="35"/>
    <s v="LOC Mobility"/>
    <s v="PK 17.09: Transferred to FAC scope"/>
    <s v="EU"/>
  </r>
  <r>
    <s v="LAPEVT"/>
    <s v="Laptop - FIFA Event Build"/>
    <s v="FIFA IT Hardware"/>
    <s v=""/>
    <s v=""/>
    <x v="17"/>
    <x v="17"/>
    <m/>
    <n v="0"/>
    <n v="0"/>
    <n v="0"/>
    <n v="0"/>
    <n v="0"/>
    <x v="0"/>
    <x v="2"/>
    <s v="MOC"/>
    <s v="VAPP Office"/>
    <x v="35"/>
    <s v="LOC Mobility"/>
    <s v="PK 17.09: Transferred to FAC scope"/>
    <s v="EU"/>
  </r>
  <r>
    <s v="DSKMNT"/>
    <s v="24&quot; Monitor - HDMI/DP"/>
    <s v="Peripherals"/>
    <s v=""/>
    <s v=""/>
    <x v="0"/>
    <x v="0"/>
    <m/>
    <n v="0"/>
    <n v="0"/>
    <n v="0"/>
    <n v="0"/>
    <n v="0"/>
    <x v="0"/>
    <x v="2"/>
    <s v="MOC"/>
    <s v="VAPP Office"/>
    <x v="35"/>
    <s v="LOC Mobility"/>
    <s v="PK 17.09: Transferred to FAC scope"/>
    <s v="EU"/>
  </r>
  <r>
    <s v="IS00WF"/>
    <s v="Wireless coverage - Shared Internet Service - Wi-Fi FIFA"/>
    <s v="Network &amp; Connectivity"/>
    <s v=""/>
    <s v="General Internet Access"/>
    <x v="1"/>
    <x v="1"/>
    <m/>
    <n v="0"/>
    <n v="0"/>
    <n v="0"/>
    <n v="0"/>
    <n v="0"/>
    <x v="0"/>
    <x v="2"/>
    <s v="MOC"/>
    <s v="VAPP Office"/>
    <x v="35"/>
    <s v="LOC Mobility"/>
    <s v="PK 17.09: Transferred to FAC scope"/>
    <s v="NW"/>
  </r>
  <r>
    <s v="ACCBAR"/>
    <s v="Barcode scanner"/>
    <s v="Peripherals"/>
    <s v=""/>
    <s v=""/>
    <x v="39"/>
    <x v="39"/>
    <m/>
    <n v="0"/>
    <n v="0"/>
    <n v="0"/>
    <n v="0"/>
    <n v="0"/>
    <x v="0"/>
    <x v="2"/>
    <s v="MOC"/>
    <s v="VAPP Office"/>
    <x v="35"/>
    <s v="LOC Mobility"/>
    <s v="PK 17.09: Transferred to FAC scope"/>
    <s v="EU"/>
  </r>
  <r>
    <s v="TVLGIP"/>
    <s v="TV - Large - IPTV"/>
    <s v="CATV"/>
    <s v=""/>
    <s v=""/>
    <x v="5"/>
    <x v="5"/>
    <m/>
    <n v="0"/>
    <n v="0"/>
    <n v="0"/>
    <n v="0"/>
    <n v="0"/>
    <x v="0"/>
    <x v="2"/>
    <s v="MOC"/>
    <s v="BUSS AND FLEETS OPS CENTER"/>
    <x v="35"/>
    <s v="LOC Mobility"/>
    <s v="PK 17.09: Transferred to FAC scope"/>
    <s v="AV"/>
  </r>
  <r>
    <s v="TVLGSA"/>
    <s v="TV - Large - Standalone"/>
    <s v="Display Devices"/>
    <s v=""/>
    <s v=""/>
    <x v="15"/>
    <x v="15"/>
    <m/>
    <n v="0"/>
    <n v="0"/>
    <n v="0"/>
    <n v="0"/>
    <n v="0"/>
    <x v="0"/>
    <x v="2"/>
    <s v="MOC"/>
    <s v="BUSS AND FLEETS OPS CENTER"/>
    <x v="35"/>
    <s v="LOC Mobility"/>
    <s v="PK 17.09: Transferred to FAC scope"/>
    <s v="EU"/>
  </r>
  <r>
    <s v="MFDLNW"/>
    <s v="MFD Large - Colour - A3 - Network"/>
    <s v="Reprographics"/>
    <s v=""/>
    <s v="General Internet Access"/>
    <x v="34"/>
    <x v="34"/>
    <m/>
    <n v="0"/>
    <n v="0"/>
    <n v="0"/>
    <n v="0"/>
    <n v="0"/>
    <x v="0"/>
    <x v="2"/>
    <s v="MOC"/>
    <s v="BUSS AND FLEETS OPS CENTER"/>
    <x v="35"/>
    <s v="LOC Mobility"/>
    <s v="PK 17.09: Transferred to FAC scope"/>
    <s v="EU"/>
  </r>
  <r>
    <s v="WRDSTA"/>
    <s v="Wired Port - ACR-TKT-Ipcodec"/>
    <s v="Network &amp; Connectivity"/>
    <s v=""/>
    <s v="FIFA Standard Internet Access"/>
    <x v="12"/>
    <x v="12"/>
    <m/>
    <n v="8"/>
    <n v="0"/>
    <n v="8"/>
    <n v="8"/>
    <n v="0"/>
    <x v="0"/>
    <x v="0"/>
    <s v="Outer Perimeter"/>
    <s v="STC 1-4 (4 portable cabins)"/>
    <x v="36"/>
    <s v="LOC Ticketing"/>
    <s v="PK 18.09: 2 STC 4 cables for laptops"/>
    <s v="NW"/>
  </r>
  <r>
    <s v="IS00WF"/>
    <s v="Wireless coverage - Shared Internet Service - Wi-Fi FIFA"/>
    <s v="Network &amp; Connectivity"/>
    <s v=""/>
    <s v="General Internet Access"/>
    <x v="1"/>
    <x v="1"/>
    <m/>
    <n v="0"/>
    <n v="0"/>
    <n v="2"/>
    <n v="0"/>
    <n v="0"/>
    <x v="0"/>
    <x v="0"/>
    <s v="Outer Perimeter"/>
    <s v="STC 1-4 (4 portable cabins)"/>
    <x v="36"/>
    <s v="LOC Ticketing"/>
    <s v="PK 18.09: 2 STC , wifi in each"/>
    <s v="NW"/>
  </r>
  <r>
    <s v="MFDDNW"/>
    <s v="MFD Desktop - Colour - A4 - Network"/>
    <s v="Reprographics"/>
    <s v=""/>
    <s v="General Internet Access"/>
    <x v="2"/>
    <x v="2"/>
    <m/>
    <n v="2"/>
    <n v="0"/>
    <n v="2"/>
    <n v="2"/>
    <n v="0"/>
    <x v="0"/>
    <x v="0"/>
    <s v="Outer Perimeter"/>
    <s v="STC 1-4 (4 portable cabins)"/>
    <x v="36"/>
    <s v="LOC Ticketing"/>
    <s v="PK 18.09: 2 STC 1 printer each"/>
    <s v="EU"/>
  </r>
  <r>
    <s v="ITSR4G"/>
    <s v="IT Solution - Router + 4G"/>
    <s v="FIFA IT Network Solutions"/>
    <s v=""/>
    <s v=""/>
    <x v="38"/>
    <x v="38"/>
    <m/>
    <n v="0"/>
    <n v="2"/>
    <n v="2"/>
    <n v="0"/>
    <n v="2"/>
    <x v="0"/>
    <x v="0"/>
    <s v="Outer Perimeter"/>
    <s v="STC 1-4 (4 portable cabins)"/>
    <x v="36"/>
    <s v="LOC Ticketing"/>
    <s v="PK 18.09: 2 STC 1 mifi each"/>
    <s v="NW"/>
  </r>
  <r>
    <s v="LAPEVT"/>
    <s v="Laptop - FIFA Event Build"/>
    <s v="FIFA IT Hardware"/>
    <s v=""/>
    <s v=""/>
    <x v="17"/>
    <x v="17"/>
    <m/>
    <n v="0"/>
    <n v="0"/>
    <n v="0"/>
    <n v="0"/>
    <n v="0"/>
    <x v="0"/>
    <x v="0"/>
    <s v="Outer Perimeter"/>
    <s v="STC 1-4 (4 portable cabins)"/>
    <x v="36"/>
    <s v="LOC Ticketing"/>
    <s v="PK 18.09: laptops from TKT supplier"/>
    <s v="EU"/>
  </r>
  <r>
    <s v="IS00WF"/>
    <s v="Wireless coverage - Shared Internet Service - Wi-Fi FIFA"/>
    <s v="Network &amp; Connectivity"/>
    <s v=""/>
    <s v="General Internet Access"/>
    <x v="1"/>
    <x v="1"/>
    <m/>
    <n v="0"/>
    <n v="0"/>
    <n v="2"/>
    <n v="0"/>
    <n v="0"/>
    <x v="0"/>
    <x v="0"/>
    <s v="Outer Perimeter"/>
    <s v="Aspire Complex entry points (3)"/>
    <x v="36"/>
    <s v="LOC Ticketing"/>
    <s v="PK 18.09: 2 PSA, wifi in each"/>
    <s v="NW"/>
  </r>
  <r>
    <s v="SIMDAT"/>
    <s v="SIM - Data Only"/>
    <s v="Telephony"/>
    <s v=""/>
    <s v=""/>
    <x v="18"/>
    <x v="18"/>
    <m/>
    <n v="0"/>
    <n v="15"/>
    <n v="15"/>
    <n v="0"/>
    <n v="15"/>
    <x v="0"/>
    <x v="0"/>
    <s v="Outer Perimeter"/>
    <s v="North, South &amp; East"/>
    <x v="36"/>
    <s v="LOC Ticketing"/>
    <s v="PK 18.09: covered in request from Hayya"/>
    <s v="Telco/SIM"/>
  </r>
  <r>
    <s v="WRDSTA"/>
    <s v="Wired Port - ACR-TKT-Ipcodec"/>
    <s v="Network &amp; Connectivity"/>
    <s v=""/>
    <s v="FIFA Standard Internet Access"/>
    <x v="12"/>
    <x v="12"/>
    <m/>
    <n v="0"/>
    <n v="0"/>
    <n v="0"/>
    <n v="0"/>
    <n v="0"/>
    <x v="0"/>
    <x v="0"/>
    <s v="Inner Perimeter"/>
    <s v="Ticketing Resolution Points (4) - TBC"/>
    <x v="36"/>
    <s v="LOC Ticketing"/>
    <s v="PK 18.09: no TRP"/>
    <s v="NW"/>
  </r>
  <r>
    <s v="IS00WF"/>
    <s v="Wireless coverage - Shared Internet Service - Wi-Fi FIFA"/>
    <s v="Network &amp; Connectivity"/>
    <s v=""/>
    <s v="General Internet Access"/>
    <x v="1"/>
    <x v="1"/>
    <m/>
    <n v="0"/>
    <n v="0"/>
    <n v="0"/>
    <n v="0"/>
    <n v="0"/>
    <x v="0"/>
    <x v="0"/>
    <s v="Inner Perimeter"/>
    <s v="Ticketing Resolution Points (4) - TBC"/>
    <x v="36"/>
    <s v="LOC Ticketing"/>
    <s v="PK 18.09: no TRP"/>
    <s v="NW"/>
  </r>
  <r>
    <s v="ITSR4G"/>
    <s v="IT Solution - Router + 4G"/>
    <s v="FIFA IT Network Solutions"/>
    <s v=""/>
    <s v=""/>
    <x v="38"/>
    <x v="38"/>
    <m/>
    <n v="0"/>
    <n v="0"/>
    <n v="0"/>
    <n v="0"/>
    <n v="0"/>
    <x v="0"/>
    <x v="0"/>
    <s v="Inner Perimeter"/>
    <s v="Ticketing Resolution Points (4) - TBC"/>
    <x v="36"/>
    <s v="LOC Ticketing"/>
    <s v="PK 18.09: no TRP"/>
    <s v="NW"/>
  </r>
  <r>
    <s v="LAPEVT"/>
    <s v="Laptop - FIFA Event Build"/>
    <s v="FIFA IT Hardware"/>
    <s v=""/>
    <s v=""/>
    <x v="17"/>
    <x v="17"/>
    <m/>
    <n v="0"/>
    <n v="0"/>
    <n v="0"/>
    <n v="0"/>
    <n v="0"/>
    <x v="0"/>
    <x v="0"/>
    <s v="Inner Perimeter"/>
    <s v="Ticketing Resolution Points (4) - TBC"/>
    <x v="36"/>
    <s v="LOC Ticketing"/>
    <s v="PK 18.09: no TRP"/>
    <s v="EU"/>
  </r>
  <r>
    <s v="IS00WF"/>
    <s v="Wireless coverage - Shared Internet Service - Wi-Fi FIFA"/>
    <s v="Network &amp; Connectivity"/>
    <s v=""/>
    <s v="General Internet Access"/>
    <x v="1"/>
    <x v="1"/>
    <m/>
    <n v="0"/>
    <n v="0"/>
    <n v="2"/>
    <n v="0"/>
    <n v="0"/>
    <x v="0"/>
    <x v="0"/>
    <s v="Inner Perimeter"/>
    <s v="Pitch 1-8 entry points (8) - TBC"/>
    <x v="36"/>
    <s v="LOC Ticketing"/>
    <s v="PK 18.09: pitch 5 and 7"/>
    <s v="NW"/>
  </r>
  <r>
    <s v="SIMDAT"/>
    <s v="SIM - Data Only"/>
    <s v="Telephony"/>
    <s v=""/>
    <s v=""/>
    <x v="18"/>
    <x v="18"/>
    <m/>
    <n v="0"/>
    <n v="32"/>
    <n v="32"/>
    <n v="0"/>
    <n v="32"/>
    <x v="0"/>
    <x v="0"/>
    <s v="Inner Perimeter"/>
    <s v="Pitch 1-8 entry points (8) - TBC"/>
    <x v="36"/>
    <s v="LOC Ticketing"/>
    <s v="PK 18.09: pitch 5 and 7, not covered in reuest from Haya"/>
    <s v="Telco/SIM"/>
  </r>
  <r>
    <s v="IS00WF"/>
    <s v="Wireless coverage - Shared Internet Service - Wi-Fi FIFA"/>
    <s v="Network &amp; Connectivity"/>
    <s v=""/>
    <s v="General Internet Access"/>
    <x v="1"/>
    <x v="1"/>
    <m/>
    <n v="0"/>
    <n v="0"/>
    <n v="0"/>
    <n v="0"/>
    <n v="0"/>
    <x v="0"/>
    <x v="0"/>
    <s v="Other"/>
    <s v="Venue Ticketing office (1) - TBC"/>
    <x v="36"/>
    <s v="LOC Ticketing"/>
    <s v="PK 18.09: no TKT office"/>
    <s v="NW"/>
  </r>
  <r>
    <s v="WRDSTA"/>
    <s v="Wired Port - ACR-TKT-Ipcodec"/>
    <s v="Network &amp; Connectivity"/>
    <s v=""/>
    <s v="FIFA Standard Internet Access"/>
    <x v="12"/>
    <x v="12"/>
    <m/>
    <n v="0"/>
    <n v="0"/>
    <n v="0"/>
    <n v="0"/>
    <n v="0"/>
    <x v="0"/>
    <x v="0"/>
    <s v="Other"/>
    <s v="Venue Ticketing office (1) - TBC"/>
    <x v="36"/>
    <s v="LOC Ticketing"/>
    <s v="PK 18.09: no TKT office"/>
    <s v="NW"/>
  </r>
  <r>
    <s v="MFDLNW"/>
    <s v="MFD Large - Colour - A3 - Network"/>
    <s v="Reprographics"/>
    <s v=""/>
    <s v="General Internet Access"/>
    <x v="34"/>
    <x v="34"/>
    <m/>
    <n v="0"/>
    <n v="0"/>
    <n v="0"/>
    <n v="0"/>
    <n v="0"/>
    <x v="0"/>
    <x v="0"/>
    <s v="Other"/>
    <s v="Venue Ticketing office (1) - TBC"/>
    <x v="36"/>
    <s v="LOC Ticketing"/>
    <s v="PK 18.09: no TKT office"/>
    <s v="EU"/>
  </r>
  <r>
    <s v="TVLGSA"/>
    <s v="TV - Large - Standalone"/>
    <s v="Display Devices"/>
    <s v=""/>
    <s v=""/>
    <x v="15"/>
    <x v="15"/>
    <m/>
    <n v="0"/>
    <n v="0"/>
    <n v="0"/>
    <n v="0"/>
    <n v="0"/>
    <x v="0"/>
    <x v="0"/>
    <s v="Other"/>
    <s v="Venue Ticketing office (1) - TBC"/>
    <x v="36"/>
    <s v="LOC Ticketing"/>
    <s v="PK 18.09: no TKT office"/>
    <s v="EU"/>
  </r>
  <r>
    <s v="WRDSTA"/>
    <s v="Wired Port - ACR-TKT-Ipcodec"/>
    <s v="Network &amp; Connectivity"/>
    <s v=""/>
    <s v="FIFA Standard Internet Access"/>
    <x v="12"/>
    <x v="12"/>
    <m/>
    <n v="0"/>
    <n v="0"/>
    <n v="0"/>
    <n v="0"/>
    <n v="0"/>
    <x v="0"/>
    <x v="0"/>
    <s v="Other"/>
    <s v="Venue EACS office (1) - TBC"/>
    <x v="36"/>
    <s v="LOC Ticketing"/>
    <s v="PK 18.09: no EACS office"/>
    <s v="NW"/>
  </r>
  <r>
    <s v="IS00WF"/>
    <s v="Wireless coverage - Shared Internet Service - Wi-Fi FIFA"/>
    <s v="Network &amp; Connectivity"/>
    <s v=""/>
    <s v="General Internet Access"/>
    <x v="1"/>
    <x v="1"/>
    <m/>
    <n v="0"/>
    <n v="0"/>
    <n v="0"/>
    <n v="0"/>
    <n v="0"/>
    <x v="0"/>
    <x v="0"/>
    <s v="Other"/>
    <s v="Venue EACS office (1) - TBC"/>
    <x v="36"/>
    <s v="LOC Ticketing"/>
    <s v="PK 18.09: no EACS office"/>
    <s v="NW"/>
  </r>
  <r>
    <s v="MFDDNW"/>
    <s v="MFD Desktop - Colour - A4 - Network"/>
    <s v="Reprographics"/>
    <s v=""/>
    <s v="General Internet Access"/>
    <x v="2"/>
    <x v="2"/>
    <m/>
    <n v="0"/>
    <n v="0"/>
    <n v="0"/>
    <n v="0"/>
    <n v="0"/>
    <x v="0"/>
    <x v="0"/>
    <s v="Other"/>
    <s v="Venue EACS office (1) - TBC"/>
    <x v="36"/>
    <s v="LOC Ticketing"/>
    <s v="PK 18.09: no EACS office"/>
    <s v="EU"/>
  </r>
  <r>
    <s v="WRDSTA"/>
    <s v="Wired Port - ACR-TKT-Ipcodec"/>
    <s v="Network &amp; Connectivity"/>
    <s v=""/>
    <s v="FIFA Standard Internet Access"/>
    <x v="12"/>
    <x v="12"/>
    <m/>
    <n v="2"/>
    <n v="0"/>
    <n v="2"/>
    <n v="2"/>
    <n v="0"/>
    <x v="0"/>
    <x v="0"/>
    <s v="Accelerator Building"/>
    <s v="Venue Operations Centre (VOC) (1)"/>
    <x v="36"/>
    <s v="LOC Ticketing"/>
    <s v="&quot;2 x wired ports for 2 x laptops_x000a_EACS network - TBC, Dedicated VLAN - TBD&quot;"/>
    <s v="NW"/>
  </r>
  <r>
    <s v="LAPEVT"/>
    <s v="Laptop - FIFA Event Build"/>
    <s v="FIFA IT Hardware"/>
    <s v=""/>
    <s v=""/>
    <x v="17"/>
    <x v="17"/>
    <m/>
    <n v="0"/>
    <n v="0"/>
    <n v="2"/>
    <n v="0"/>
    <n v="0"/>
    <x v="0"/>
    <x v="0"/>
    <s v="Other"/>
    <s v="Venue Operations Centre (VOC) (1)"/>
    <x v="36"/>
    <s v="LOC Ticketing"/>
    <s v="PK 18.09: 2 laptops from LOC"/>
    <s v="EU"/>
  </r>
  <r>
    <s v="TVLGSA"/>
    <s v="TV - Large - Standalone"/>
    <s v="Display Devices"/>
    <s v=""/>
    <s v=""/>
    <x v="15"/>
    <x v="15"/>
    <m/>
    <n v="0"/>
    <n v="0"/>
    <n v="1"/>
    <n v="0"/>
    <n v="0"/>
    <x v="0"/>
    <x v="0"/>
    <s v="Other"/>
    <s v="Venue Operations Centre (VOC) (1)"/>
    <x v="36"/>
    <s v="LOC Ticketing"/>
    <s v="PK 18.09: TV depends on VOC setup"/>
    <s v="EU"/>
  </r>
  <r>
    <s v="WRDSTA"/>
    <s v="Wired Port - ACR-TKT-Ipcodec"/>
    <s v="Network &amp; Connectivity"/>
    <s v=""/>
    <s v="FIFA Standard Internet Access"/>
    <x v="12"/>
    <x v="12"/>
    <m/>
    <n v="0"/>
    <n v="0"/>
    <n v="0"/>
    <n v="0"/>
    <n v="0"/>
    <x v="0"/>
    <x v="1"/>
    <s v="Stadium Outer Perimeter"/>
    <s v="STC 1-6 (6 portable cabins)"/>
    <x v="36"/>
    <s v="LOC Ticketing"/>
    <s v="PK 21.09: reflected in FAC TEAP"/>
    <s v="NW"/>
  </r>
  <r>
    <s v="IS00WF"/>
    <s v="Wireless coverage - Shared Internet Service - Wi-Fi FIFA"/>
    <s v="Network &amp; Connectivity"/>
    <s v=""/>
    <s v="General Internet Access"/>
    <x v="1"/>
    <x v="1"/>
    <m/>
    <n v="0"/>
    <n v="0"/>
    <n v="0"/>
    <n v="0"/>
    <n v="0"/>
    <x v="0"/>
    <x v="1"/>
    <s v="Stadium Outer Perimeter"/>
    <s v="STC 1-6 (6 portable cabins)"/>
    <x v="36"/>
    <s v="LOC Ticketing"/>
    <s v="PK 21.09: reflected in FAC TEAP"/>
    <s v="NW"/>
  </r>
  <r>
    <s v="MFDDNW"/>
    <s v="MFD Desktop - Colour - A4 - Network"/>
    <s v="Reprographics"/>
    <s v=""/>
    <s v="General Internet Access"/>
    <x v="2"/>
    <x v="2"/>
    <m/>
    <n v="0"/>
    <n v="0"/>
    <n v="0"/>
    <n v="0"/>
    <n v="0"/>
    <x v="0"/>
    <x v="1"/>
    <s v="Stadium Outer Perimeter"/>
    <s v="STC 1-6 (6 portable cabins)"/>
    <x v="36"/>
    <s v="LOC Ticketing"/>
    <s v="PK 21.09: reflected in FAC TEAP"/>
    <s v="EU"/>
  </r>
  <r>
    <s v="ITSR4G"/>
    <s v="IT Solution - Router + 4G"/>
    <s v="FIFA IT Network Solutions"/>
    <s v=""/>
    <s v=""/>
    <x v="38"/>
    <x v="38"/>
    <m/>
    <n v="0"/>
    <n v="0"/>
    <n v="0"/>
    <n v="0"/>
    <n v="0"/>
    <x v="0"/>
    <x v="1"/>
    <s v="Stadium Outer Perimeter"/>
    <s v="STC 1-6 (6 portable cabins)"/>
    <x v="36"/>
    <s v="LOC Ticketing"/>
    <s v="PK 21.09: reflected in FAC TEAP"/>
    <s v="NW"/>
  </r>
  <r>
    <s v="LAPEVT"/>
    <s v="Laptop - FIFA Event Build"/>
    <s v="FIFA IT Hardware"/>
    <s v=""/>
    <s v=""/>
    <x v="17"/>
    <x v="17"/>
    <m/>
    <n v="0"/>
    <n v="0"/>
    <n v="0"/>
    <n v="0"/>
    <n v="0"/>
    <x v="0"/>
    <x v="1"/>
    <s v="Stadium Outer Perimeter"/>
    <s v="STC 1-6 (6 portable cabins)"/>
    <x v="36"/>
    <s v="LOC Ticketing"/>
    <s v="PK 21.09: reflected in FAC TEAP"/>
    <s v="EU"/>
  </r>
  <r>
    <s v="IS00WF"/>
    <s v="Wireless coverage - Shared Internet Service - Wi-Fi FIFA"/>
    <s v="Network &amp; Connectivity"/>
    <s v=""/>
    <s v="General Internet Access"/>
    <x v="1"/>
    <x v="1"/>
    <m/>
    <n v="0"/>
    <n v="0"/>
    <n v="0"/>
    <n v="0"/>
    <n v="0"/>
    <x v="0"/>
    <x v="1"/>
    <s v="Stadium Outer Perimeter"/>
    <s v="Outer perimeter entry points (M&amp;Bs) (6)"/>
    <x v="36"/>
    <s v="LOC Ticketing"/>
    <s v="PK 21.09: reflected in FAC TEAP"/>
    <s v="NW"/>
  </r>
  <r>
    <s v="SIMDAT"/>
    <s v="SIM - Data Only"/>
    <s v="Telephony"/>
    <s v=""/>
    <s v=""/>
    <x v="18"/>
    <x v="18"/>
    <m/>
    <n v="0"/>
    <n v="0"/>
    <n v="0"/>
    <n v="0"/>
    <n v="0"/>
    <x v="0"/>
    <x v="1"/>
    <s v="Stadium Outer Perimeter"/>
    <s v="Outer perimeter entry points (M&amp;Bs) (6)"/>
    <x v="36"/>
    <s v="LOC Ticketing"/>
    <s v="PK 21.09: reflected in FAC TEAP"/>
    <s v="Telco/SIM"/>
  </r>
  <r>
    <s v="WRDSTA"/>
    <s v="Wired Port - ACR-TKT-Ipcodec"/>
    <s v="Network &amp; Connectivity"/>
    <s v=""/>
    <s v="FIFA Standard Internet Access"/>
    <x v="12"/>
    <x v="12"/>
    <m/>
    <n v="0"/>
    <n v="0"/>
    <n v="0"/>
    <n v="0"/>
    <n v="0"/>
    <x v="0"/>
    <x v="1"/>
    <s v="Stadium Inner Perimeter"/>
    <s v="Ticketing Resolution points 1-4 (4)"/>
    <x v="36"/>
    <s v="LOC Ticketing"/>
    <s v="PK 21.09: reflected in FAC TEAP"/>
    <s v="NW"/>
  </r>
  <r>
    <s v="IS00WF"/>
    <s v="Wireless coverage - Shared Internet Service - Wi-Fi FIFA"/>
    <s v="Network &amp; Connectivity"/>
    <s v=""/>
    <s v="General Internet Access"/>
    <x v="1"/>
    <x v="1"/>
    <m/>
    <n v="0"/>
    <n v="0"/>
    <n v="0"/>
    <n v="0"/>
    <n v="0"/>
    <x v="0"/>
    <x v="1"/>
    <s v="Stadium Inner Perimeter"/>
    <s v="Ticketing Resolution points 1-4 (4)"/>
    <x v="36"/>
    <s v="LOC Ticketing"/>
    <s v="PK 21.09: reflected in FAC TEAP"/>
    <s v="NW"/>
  </r>
  <r>
    <s v="ITSR4G"/>
    <s v="IT Solution - Router + 4G"/>
    <s v="FIFA IT Network Solutions"/>
    <s v=""/>
    <s v=""/>
    <x v="38"/>
    <x v="38"/>
    <m/>
    <n v="0"/>
    <n v="0"/>
    <n v="0"/>
    <n v="0"/>
    <n v="0"/>
    <x v="0"/>
    <x v="1"/>
    <s v="Stadium Inner Perimeter"/>
    <s v="Ticketing Resolution points 1-4 (4)"/>
    <x v="36"/>
    <s v="LOC Ticketing"/>
    <s v="PK 21.09: reflected in FAC TEAP"/>
    <s v="NW"/>
  </r>
  <r>
    <s v="LAPEVT"/>
    <s v="Laptop - FIFA Event Build"/>
    <s v="FIFA IT Hardware"/>
    <s v=""/>
    <s v=""/>
    <x v="17"/>
    <x v="17"/>
    <m/>
    <n v="0"/>
    <n v="0"/>
    <n v="0"/>
    <n v="0"/>
    <n v="0"/>
    <x v="0"/>
    <x v="1"/>
    <s v="Stadium Inner Perimeter"/>
    <s v="Ticketing Resolution points 1-4 (4)"/>
    <x v="36"/>
    <s v="LOC Ticketing"/>
    <s v="PK 21.09: reflected in FAC TEAP"/>
    <s v="EU"/>
  </r>
  <r>
    <s v="IS00WF"/>
    <s v="Wireless coverage - Shared Internet Service - Wi-Fi FIFA"/>
    <s v="Network &amp; Connectivity"/>
    <s v=""/>
    <s v="General Internet Access"/>
    <x v="1"/>
    <x v="1"/>
    <m/>
    <n v="0"/>
    <n v="0"/>
    <n v="0"/>
    <n v="0"/>
    <n v="0"/>
    <x v="0"/>
    <x v="1"/>
    <s v="Stadium Inner Perimeter"/>
    <s v="Entry gates (TBC)"/>
    <x v="36"/>
    <s v="LOC Ticketing"/>
    <s v="PK 21.09: reflected in FAC TEAP"/>
    <s v="NW"/>
  </r>
  <r>
    <s v="IS00WF"/>
    <s v="Wireless coverage - Shared Internet Service - Wi-Fi FIFA"/>
    <s v="Network &amp; Connectivity"/>
    <s v=""/>
    <s v="General Internet Access"/>
    <x v="1"/>
    <x v="1"/>
    <m/>
    <n v="0"/>
    <n v="0"/>
    <n v="0"/>
    <n v="0"/>
    <n v="0"/>
    <x v="0"/>
    <x v="1"/>
    <s v="Stadium Offices"/>
    <s v="Venue Ticketing office (1) - TBC"/>
    <x v="36"/>
    <s v="LOC Ticketing"/>
    <s v="PK 21.09: reflected in FAC TEAP"/>
    <s v="NW"/>
  </r>
  <r>
    <s v="WRDSTA"/>
    <s v="Wired Port - ACR-TKT-Ipcodec"/>
    <s v="Network &amp; Connectivity"/>
    <s v=""/>
    <s v="FIFA Standard Internet Access"/>
    <x v="12"/>
    <x v="12"/>
    <m/>
    <n v="0"/>
    <n v="0"/>
    <n v="0"/>
    <n v="0"/>
    <n v="0"/>
    <x v="0"/>
    <x v="1"/>
    <s v="Stadium Offices"/>
    <s v="Venue Ticketing office (1) - TBC"/>
    <x v="36"/>
    <s v="LOC Ticketing"/>
    <s v="PK 21.09: reflected in FAC TEAP"/>
    <s v="NW"/>
  </r>
  <r>
    <s v="MFDLNW"/>
    <s v="MFD Large - Colour - A3 - Network"/>
    <s v="Reprographics"/>
    <s v=""/>
    <s v="General Internet Access"/>
    <x v="34"/>
    <x v="34"/>
    <m/>
    <n v="0"/>
    <n v="0"/>
    <n v="0"/>
    <n v="0"/>
    <n v="0"/>
    <x v="0"/>
    <x v="1"/>
    <s v="Stadium Offices"/>
    <s v="Venue Ticketing office (1) - TBC"/>
    <x v="36"/>
    <s v="LOC Ticketing"/>
    <s v="PK 21.09: reflected in FAC TEAP"/>
    <s v="EU"/>
  </r>
  <r>
    <s v="TVLGSA"/>
    <s v="TV - Large - Standalone"/>
    <s v="Display Devices"/>
    <s v=""/>
    <s v=""/>
    <x v="15"/>
    <x v="15"/>
    <m/>
    <n v="0"/>
    <n v="0"/>
    <n v="0"/>
    <n v="0"/>
    <n v="0"/>
    <x v="0"/>
    <x v="1"/>
    <s v="Stadium Offices"/>
    <s v="Venue Ticketing office (1) - TBC"/>
    <x v="36"/>
    <s v="LOC Ticketing"/>
    <s v="PK 21.09: reflected in FAC TEAP"/>
    <s v="EU"/>
  </r>
  <r>
    <s v="WRDSTA"/>
    <s v="Wired Port - ACR-TKT-Ipcodec"/>
    <s v="Network &amp; Connectivity"/>
    <s v=""/>
    <s v="FIFA Standard Internet Access"/>
    <x v="12"/>
    <x v="12"/>
    <m/>
    <n v="0"/>
    <n v="0"/>
    <n v="0"/>
    <n v="0"/>
    <n v="0"/>
    <x v="0"/>
    <x v="1"/>
    <s v="Stadium Offices"/>
    <s v="Venue EACS office (1) - TBC"/>
    <x v="36"/>
    <s v="LOC Ticketing"/>
    <s v="PK 21.09: reflected in FAC TEAP"/>
    <s v="NW"/>
  </r>
  <r>
    <s v="IS00WF"/>
    <s v="Wireless coverage - Shared Internet Service - Wi-Fi FIFA"/>
    <s v="Network &amp; Connectivity"/>
    <s v=""/>
    <s v="General Internet Access"/>
    <x v="1"/>
    <x v="1"/>
    <m/>
    <n v="0"/>
    <n v="0"/>
    <n v="0"/>
    <n v="0"/>
    <n v="0"/>
    <x v="0"/>
    <x v="1"/>
    <s v="Stadium Offices"/>
    <s v="Venue EACS office (1) - TBC"/>
    <x v="36"/>
    <s v="LOC Ticketing"/>
    <s v="PK 21.09: reflected in FAC TEAP"/>
    <s v="NW"/>
  </r>
  <r>
    <s v="MFDDNW"/>
    <s v="MFD Desktop - Colour - A4 - Network"/>
    <s v="Reprographics"/>
    <s v=""/>
    <s v="General Internet Access"/>
    <x v="2"/>
    <x v="2"/>
    <m/>
    <n v="0"/>
    <n v="0"/>
    <n v="0"/>
    <n v="0"/>
    <n v="0"/>
    <x v="0"/>
    <x v="1"/>
    <s v="Stadium Offices"/>
    <s v="Venue EACS office (1) - TBC"/>
    <x v="36"/>
    <s v="LOC Ticketing"/>
    <s v="PK 21.09: reflected in FAC TEAP"/>
    <s v="EU"/>
  </r>
  <r>
    <s v="WRDSTA"/>
    <s v="Wired Port - ACR-TKT-Ipcodec"/>
    <s v="Network &amp; Connectivity"/>
    <s v=""/>
    <s v="FIFA Standard Internet Access"/>
    <x v="12"/>
    <x v="12"/>
    <m/>
    <n v="0"/>
    <n v="0"/>
    <n v="0"/>
    <n v="0"/>
    <n v="0"/>
    <x v="0"/>
    <x v="1"/>
    <s v="Stadium Offices"/>
    <s v="Venue Operations Centre (VOC) (1)"/>
    <x v="36"/>
    <s v="LOC Ticketing"/>
    <s v="PK 21.09: reflected in FAC TEAP"/>
    <s v="NW"/>
  </r>
  <r>
    <s v="LAPEVT"/>
    <s v="Laptop - FIFA Event Build"/>
    <s v="FIFA IT Hardware"/>
    <s v=""/>
    <s v=""/>
    <x v="17"/>
    <x v="17"/>
    <m/>
    <n v="0"/>
    <n v="0"/>
    <n v="0"/>
    <n v="0"/>
    <n v="0"/>
    <x v="0"/>
    <x v="1"/>
    <s v="Stadium Offices"/>
    <s v="Venue Operations Centre (VOC) (1)"/>
    <x v="36"/>
    <s v="LOC Ticketing"/>
    <s v="PK 21.09: reflected in FAC TEAP"/>
    <s v="EU"/>
  </r>
  <r>
    <s v="TVLGSA"/>
    <s v="TV - Large - Standalone"/>
    <s v="Display Devices"/>
    <s v=""/>
    <s v=""/>
    <x v="15"/>
    <x v="15"/>
    <m/>
    <n v="0"/>
    <n v="0"/>
    <n v="0"/>
    <n v="0"/>
    <n v="0"/>
    <x v="0"/>
    <x v="1"/>
    <s v="Stadium Offices"/>
    <s v="Venue Operations Centre (VOC) (1)"/>
    <x v="36"/>
    <s v="LOC Ticketing"/>
    <s v="PK 21.09: reflected in FAC TEAP"/>
    <s v="EU"/>
  </r>
  <r>
    <s v="TVLGSA"/>
    <s v="TV - Large - Standalone"/>
    <s v="Display Devices"/>
    <s v=""/>
    <s v=""/>
    <x v="15"/>
    <x v="15"/>
    <m/>
    <n v="0"/>
    <n v="0"/>
    <n v="0"/>
    <n v="0"/>
    <n v="0"/>
    <x v="0"/>
    <x v="2"/>
    <s v="Other"/>
    <s v="Ticketing HQ (LOCATION TBC)"/>
    <x v="36"/>
    <s v="LOC Ticketing"/>
    <s v="PK 17.09: Transferred to FAC scope"/>
    <s v="EU"/>
  </r>
  <r>
    <s v="LAPEVT"/>
    <s v="Laptop - FIFA Event Build"/>
    <s v="FIFA IT Hardware"/>
    <s v=""/>
    <s v=""/>
    <x v="17"/>
    <x v="17"/>
    <m/>
    <n v="0"/>
    <n v="0"/>
    <n v="0"/>
    <n v="0"/>
    <n v="0"/>
    <x v="0"/>
    <x v="2"/>
    <s v="Other"/>
    <s v="Ticketing HQ (LOCATION TBC)"/>
    <x v="36"/>
    <s v="LOC Ticketing"/>
    <s v="PK 17.09: Transferred to FAC scope"/>
    <s v="EU"/>
  </r>
  <r>
    <s v="WRDGEN"/>
    <s v="Wired Port - General Internet "/>
    <s v="Network &amp; Connectivity"/>
    <s v=""/>
    <s v="General Internet Access"/>
    <x v="8"/>
    <x v="8"/>
    <m/>
    <n v="0"/>
    <n v="0"/>
    <n v="0"/>
    <n v="0"/>
    <n v="0"/>
    <x v="0"/>
    <x v="2"/>
    <s v="Other"/>
    <s v="Ticketing HQ (LOCATION TBC)"/>
    <x v="36"/>
    <s v="LOC Ticketing"/>
    <s v="PK 17.09: Transferred to FAC scope"/>
    <s v="NW"/>
  </r>
  <r>
    <s v="IS00WF"/>
    <s v="Wireless coverage - Shared Internet Service - Wi-Fi FIFA"/>
    <s v="Network &amp; Connectivity"/>
    <s v=""/>
    <s v="General Internet Access"/>
    <x v="1"/>
    <x v="1"/>
    <m/>
    <n v="0"/>
    <n v="0"/>
    <n v="0"/>
    <n v="0"/>
    <n v="0"/>
    <x v="0"/>
    <x v="2"/>
    <s v="Other"/>
    <s v="Ticketing HQ (LOCATION TBC)"/>
    <x v="36"/>
    <s v="LOC Ticketing"/>
    <s v="PK 17.09: Transferred to FAC scope"/>
    <s v="NW"/>
  </r>
  <r>
    <s v="ITSR4G"/>
    <s v="IT Solution - Router + 4G"/>
    <s v="FIFA IT Network Solutions"/>
    <s v=""/>
    <s v=""/>
    <x v="38"/>
    <x v="38"/>
    <m/>
    <n v="0"/>
    <n v="0"/>
    <n v="0"/>
    <n v="0"/>
    <n v="0"/>
    <x v="0"/>
    <x v="2"/>
    <s v="Other"/>
    <s v="Ticketing HQ (LOCATION TBC)"/>
    <x v="36"/>
    <s v="LOC Ticketing"/>
    <s v="PK 17.09: Transferred to FAC scope"/>
    <s v="NW"/>
  </r>
  <r>
    <s v="MFDLNW"/>
    <s v="MFD Large - Colour - A3 - Network"/>
    <s v="Reprographics"/>
    <s v=""/>
    <s v="General Internet Access"/>
    <x v="34"/>
    <x v="34"/>
    <m/>
    <n v="0"/>
    <n v="0"/>
    <n v="0"/>
    <n v="0"/>
    <n v="0"/>
    <x v="0"/>
    <x v="2"/>
    <s v="Other"/>
    <s v="Ticketing HQ (LOCATION TBC)"/>
    <x v="36"/>
    <s v="LOC Ticketing"/>
    <s v="PK 17.09: Transferred to FAC scope"/>
    <s v="EU"/>
  </r>
  <r>
    <s v="MFDDNW"/>
    <s v="MFD Desktop - Colour - A4 - Network"/>
    <s v="Reprographics"/>
    <s v=""/>
    <s v="General Internet Access"/>
    <x v="2"/>
    <x v="2"/>
    <m/>
    <n v="0"/>
    <n v="0"/>
    <n v="0"/>
    <n v="0"/>
    <n v="0"/>
    <x v="0"/>
    <x v="2"/>
    <s v="Other"/>
    <s v="Ticketing HQ (LOCATION TBC)"/>
    <x v="36"/>
    <s v="LOC Ticketing"/>
    <s v="PK 17.09: Transferred to FAC scope"/>
    <s v="EU"/>
  </r>
  <r>
    <s v="DSKMNT"/>
    <s v="24&quot; Monitor - HDMI/DP"/>
    <s v="Peripherals"/>
    <s v=""/>
    <s v=""/>
    <x v="0"/>
    <x v="0"/>
    <m/>
    <n v="0"/>
    <n v="0"/>
    <n v="0"/>
    <n v="0"/>
    <n v="0"/>
    <x v="0"/>
    <x v="2"/>
    <s v="Other"/>
    <s v="Ticketing HQ (LOCATION TBC)"/>
    <x v="36"/>
    <s v="LOC Ticketing"/>
    <s v="PK 17.09: Transferred to FAC scope"/>
    <s v="EU"/>
  </r>
  <r>
    <s v="PROJ6K"/>
    <s v="Office Projector - 6K"/>
    <s v="Display Devices"/>
    <s v=""/>
    <s v=""/>
    <x v="26"/>
    <x v="26"/>
    <m/>
    <n v="0"/>
    <n v="0"/>
    <n v="0"/>
    <n v="0"/>
    <n v="0"/>
    <x v="0"/>
    <x v="2"/>
    <s v="Other"/>
    <s v="Ticketing HQ (LOCATION TBC)"/>
    <x v="36"/>
    <s v="LOC Ticketing"/>
    <s v="PK 17.09: Transferred to FAC scope"/>
    <s v="EU"/>
  </r>
  <r>
    <s v="MFDDNW"/>
    <s v="MFD Desktop - Colour - A4 - Network"/>
    <s v="Reprographics"/>
    <s v=""/>
    <s v="General Internet Access"/>
    <x v="2"/>
    <x v="2"/>
    <m/>
    <n v="0"/>
    <n v="0"/>
    <n v="0"/>
    <n v="0"/>
    <n v="0"/>
    <x v="0"/>
    <x v="2"/>
    <s v="Other"/>
    <s v="Al Maha Office"/>
    <x v="37"/>
    <s v="LOC Arrival &amp; Departure"/>
    <s v="PK 17.09: Transferred to FAC scope"/>
    <s v="EU"/>
  </r>
  <r>
    <s v="SIMDAT"/>
    <s v="SIM - Data Only"/>
    <s v="Telephony"/>
    <s v=""/>
    <s v=""/>
    <x v="18"/>
    <x v="18"/>
    <m/>
    <n v="0"/>
    <n v="0"/>
    <n v="0"/>
    <n v="0"/>
    <n v="0"/>
    <x v="0"/>
    <x v="2"/>
    <s v="Other"/>
    <s v="Al Maha Office"/>
    <x v="37"/>
    <s v="LOC Arrival &amp; Departure"/>
    <s v="PK 17.09: Transferred to FAC scope"/>
    <s v="Telco/SIM"/>
  </r>
  <r>
    <s v="DSKMNT"/>
    <s v="24&quot; Monitor - HDMI/DP"/>
    <s v="Peripherals"/>
    <s v=""/>
    <s v=""/>
    <x v="0"/>
    <x v="0"/>
    <m/>
    <n v="0"/>
    <n v="0"/>
    <n v="0"/>
    <n v="0"/>
    <n v="0"/>
    <x v="0"/>
    <x v="2"/>
    <s v="Other"/>
    <s v="Al Maha Office"/>
    <x v="37"/>
    <s v="LOC Arrival &amp; Departure"/>
    <s v="PK 17.09: Transferred to FAC scope"/>
    <s v="EU"/>
  </r>
  <r>
    <m/>
    <m/>
    <m/>
    <m/>
    <m/>
    <x v="40"/>
    <x v="40"/>
    <m/>
    <m/>
    <m/>
    <m/>
    <m/>
    <m/>
    <x v="2"/>
    <x v="3"/>
    <m/>
    <m/>
    <x v="38"/>
    <m/>
    <m/>
    <m/>
  </r>
  <r>
    <m/>
    <m/>
    <m/>
    <m/>
    <m/>
    <x v="40"/>
    <x v="40"/>
    <m/>
    <m/>
    <m/>
    <n v="1129"/>
    <n v="249"/>
    <n v="396"/>
    <x v="2"/>
    <x v="3"/>
    <m/>
    <m/>
    <x v="38"/>
    <m/>
    <m/>
    <m/>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3">
  <r>
    <s v="DSKMNT"/>
    <s v="24&quot; Monitor - HDMI/DP"/>
    <s v="Peripherals"/>
    <s v=""/>
    <s v=""/>
    <s v="24&quot; PC Monitor"/>
    <x v="0"/>
    <n v="5"/>
    <n v="0"/>
    <n v="0"/>
    <n v="1"/>
    <n v="0"/>
    <n v="0"/>
    <s v="LOC IT"/>
    <x v="0"/>
    <x v="0"/>
    <x v="0"/>
    <s v="Entertainment"/>
    <s v="Entertainment"/>
    <m/>
    <s v="EU"/>
  </r>
  <r>
    <s v="DSKMNT"/>
    <s v="24&quot; Monitor - HDMI/DP"/>
    <s v="Peripherals"/>
    <s v=""/>
    <s v=""/>
    <s v="24&quot; PC Monitor"/>
    <x v="0"/>
    <n v="5"/>
    <n v="0"/>
    <n v="0"/>
    <n v="1"/>
    <n v="0"/>
    <n v="0"/>
    <s v="LOC IT"/>
    <x v="0"/>
    <x v="1"/>
    <x v="0"/>
    <s v="Entertainment"/>
    <s v="Entertainment"/>
    <m/>
    <s v="EU"/>
  </r>
  <r>
    <s v="DSKMNT"/>
    <s v="24&quot; Monitor - HDMI/DP"/>
    <s v="Peripherals"/>
    <s v=""/>
    <s v=""/>
    <s v="24&quot; PC Monitor"/>
    <x v="0"/>
    <n v="5"/>
    <n v="0"/>
    <n v="0"/>
    <n v="1"/>
    <n v="0"/>
    <n v="0"/>
    <s v="LOC IT"/>
    <x v="0"/>
    <x v="2"/>
    <x v="0"/>
    <s v="Entertainment"/>
    <s v="Entertainment"/>
    <m/>
    <s v="EU"/>
  </r>
  <r>
    <s v="DSKMNT"/>
    <s v="24&quot; Monitor - HDMI/DP"/>
    <s v="Peripherals"/>
    <s v=""/>
    <s v=""/>
    <s v="24&quot; PC Monitor"/>
    <x v="0"/>
    <n v="5"/>
    <n v="0"/>
    <n v="0"/>
    <n v="1"/>
    <n v="0"/>
    <n v="0"/>
    <s v="LOC IT"/>
    <x v="0"/>
    <x v="3"/>
    <x v="0"/>
    <s v="Entertainment"/>
    <s v="Entertainment"/>
    <m/>
    <s v="EU"/>
  </r>
  <r>
    <s v="DSKMNT"/>
    <s v="24&quot; Monitor - HDMI/DP"/>
    <s v="Peripherals"/>
    <s v=""/>
    <s v=""/>
    <s v="24&quot; PC Monitor"/>
    <x v="0"/>
    <n v="5"/>
    <n v="0"/>
    <n v="0"/>
    <n v="1"/>
    <n v="0"/>
    <n v="0"/>
    <s v="LOC IT"/>
    <x v="0"/>
    <x v="4"/>
    <x v="0"/>
    <s v="Entertainment"/>
    <s v="Entertainment"/>
    <m/>
    <s v="EU"/>
  </r>
  <r>
    <s v="DSKMNT"/>
    <s v="24&quot; Monitor - HDMI/DP"/>
    <s v="Peripherals"/>
    <s v=""/>
    <s v=""/>
    <s v="24&quot; PC Monitor"/>
    <x v="0"/>
    <n v="5"/>
    <n v="0"/>
    <n v="0"/>
    <n v="1"/>
    <n v="0"/>
    <n v="0"/>
    <s v="LOC IT"/>
    <x v="0"/>
    <x v="5"/>
    <x v="0"/>
    <s v="Entertainment"/>
    <s v="Entertainment"/>
    <m/>
    <s v="EU"/>
  </r>
  <r>
    <s v="DSKMNT"/>
    <s v="24&quot; Monitor - HDMI/DP"/>
    <s v="Peripherals"/>
    <s v=""/>
    <s v=""/>
    <s v="24&quot; PC Monitor"/>
    <x v="0"/>
    <n v="5"/>
    <n v="0"/>
    <n v="0"/>
    <n v="1"/>
    <n v="0"/>
    <n v="0"/>
    <s v="LOC IT"/>
    <x v="0"/>
    <x v="6"/>
    <x v="0"/>
    <s v="Entertainment"/>
    <s v="Entertainment"/>
    <m/>
    <s v="EU"/>
  </r>
  <r>
    <s v="DSKMNT"/>
    <s v="24&quot; Monitor - HDMI/DP"/>
    <s v="Peripherals"/>
    <s v=""/>
    <s v=""/>
    <s v="24&quot; PC Monitor"/>
    <x v="0"/>
    <n v="5"/>
    <n v="0"/>
    <n v="0"/>
    <n v="1"/>
    <n v="0"/>
    <n v="0"/>
    <s v="LOC IT"/>
    <x v="0"/>
    <x v="7"/>
    <x v="0"/>
    <s v="Entertainment"/>
    <s v="Entertainment"/>
    <m/>
    <s v="EU"/>
  </r>
  <r>
    <s v="IS00WF"/>
    <s v="Wireless coverage - Shared Internet Service - Wi-Fi FIFA"/>
    <s v="Network &amp; Connectivity"/>
    <s v=""/>
    <s v="General Internet Access"/>
    <s v="Wireless coverage - Shared Internet Service - FIFA"/>
    <x v="1"/>
    <n v="1"/>
    <n v="0"/>
    <n v="0"/>
    <n v="1"/>
    <n v="0"/>
    <n v="0"/>
    <s v="LOC IT"/>
    <x v="1"/>
    <x v="8"/>
    <x v="0"/>
    <s v="Entertainment"/>
    <s v="Entertainment"/>
    <m/>
    <s v="NW"/>
  </r>
  <r>
    <s v="DSKMNT"/>
    <s v="24&quot; Monitor - HDMI/DP"/>
    <s v="Peripherals"/>
    <s v=""/>
    <s v=""/>
    <s v="24&quot; PC Monitor"/>
    <x v="0"/>
    <n v="1"/>
    <n v="0"/>
    <n v="0"/>
    <n v="1"/>
    <n v="0"/>
    <n v="0"/>
    <s v="LOC IT"/>
    <x v="1"/>
    <x v="8"/>
    <x v="0"/>
    <s v="Entertainment"/>
    <s v="Entertainment"/>
    <m/>
    <s v="EU"/>
  </r>
  <r>
    <s v="IS00WF"/>
    <s v="Wireless coverage - Shared Internet Service - Wi-Fi FIFA"/>
    <s v="Network &amp; Connectivity"/>
    <s v=""/>
    <s v="General Internet Access"/>
    <s v="Wireless coverage - Shared Internet Service - FIFA"/>
    <x v="1"/>
    <n v="1"/>
    <n v="0"/>
    <n v="0"/>
    <n v="1"/>
    <n v="0"/>
    <n v="0"/>
    <s v="LOC IT"/>
    <x v="0"/>
    <x v="9"/>
    <x v="0"/>
    <s v="Entertainment"/>
    <s v="Entertainment"/>
    <s v="around CR/each pitch"/>
    <s v="NW"/>
  </r>
  <r>
    <s v="MFDDNW"/>
    <s v="MFD Desktop - Colour - A4 - Network"/>
    <s v="Reprographics"/>
    <s v=""/>
    <s v="General Internet Access"/>
    <s v="Colour Printer / Scanner (A4)"/>
    <x v="2"/>
    <n v="1"/>
    <n v="1"/>
    <n v="0"/>
    <n v="1"/>
    <n v="1"/>
    <n v="0"/>
    <s v="LOC IT"/>
    <x v="1"/>
    <x v="8"/>
    <x v="0"/>
    <s v="Entertainment"/>
    <s v="Entertainment"/>
    <m/>
    <s v="EU"/>
  </r>
  <r>
    <s v="WRDMED"/>
    <s v="Wired Port - Media Internet"/>
    <s v="Network &amp; Connectivity"/>
    <s v=""/>
    <s v="Media Internet Access Media"/>
    <s v="Wired Port - Internet for Media"/>
    <x v="3"/>
    <n v="2"/>
    <n v="3"/>
    <n v="0"/>
    <n v="3"/>
    <n v="3"/>
    <n v="0"/>
    <s v="LOC IT"/>
    <x v="1"/>
    <x v="8"/>
    <x v="0"/>
    <s v="Entertainment"/>
    <s v="Entertainment"/>
    <s v="100Mb/Cable"/>
    <s v="NW"/>
  </r>
  <r>
    <s v="WRDMED"/>
    <s v="Wired Port - Media Internet"/>
    <s v="Network &amp; Connectivity"/>
    <s v=""/>
    <s v="Media Internet Access Media"/>
    <s v="Wired Port - Internet for Media"/>
    <x v="3"/>
    <n v="5"/>
    <n v="3"/>
    <n v="0"/>
    <n v="3"/>
    <n v="3"/>
    <n v="0"/>
    <s v="LOC IT"/>
    <x v="0"/>
    <x v="0"/>
    <x v="0"/>
    <s v="Entertainment"/>
    <s v="Entertainment"/>
    <s v="1 Control Rooms/pitch (100Mb x LAN)"/>
    <s v="NW"/>
  </r>
  <r>
    <s v="WRDMED"/>
    <s v="Wired Port - Media Internet"/>
    <s v="Network &amp; Connectivity"/>
    <s v=""/>
    <s v="Media Internet Access Media"/>
    <s v="Wired Port - Internet for Media"/>
    <x v="3"/>
    <n v="5"/>
    <n v="3"/>
    <n v="0"/>
    <n v="3"/>
    <n v="3"/>
    <n v="0"/>
    <s v="LOC IT"/>
    <x v="0"/>
    <x v="1"/>
    <x v="0"/>
    <s v="Entertainment"/>
    <s v="Entertainment"/>
    <s v="1 Control Rooms/pitch (100Mb x LAN)"/>
    <s v="NW"/>
  </r>
  <r>
    <s v="WRDMED"/>
    <s v="Wired Port - Media Internet"/>
    <s v="Network &amp; Connectivity"/>
    <s v=""/>
    <s v="Media Internet Access Media"/>
    <s v="Wired Port - Internet for Media"/>
    <x v="3"/>
    <n v="5"/>
    <n v="3"/>
    <n v="0"/>
    <n v="3"/>
    <n v="3"/>
    <n v="0"/>
    <s v="LOC IT"/>
    <x v="0"/>
    <x v="2"/>
    <x v="0"/>
    <s v="Entertainment"/>
    <s v="Entertainment"/>
    <s v="1 Control Rooms/pitch (100Mb x LAN)"/>
    <s v="NW"/>
  </r>
  <r>
    <s v="WRDMED"/>
    <s v="Wired Port - Media Internet"/>
    <s v="Network &amp; Connectivity"/>
    <s v=""/>
    <s v="Media Internet Access Media"/>
    <s v="Wired Port - Internet for Media"/>
    <x v="3"/>
    <n v="5"/>
    <n v="3"/>
    <n v="0"/>
    <n v="3"/>
    <n v="3"/>
    <n v="0"/>
    <s v="LOC IT"/>
    <x v="0"/>
    <x v="3"/>
    <x v="0"/>
    <s v="Entertainment"/>
    <s v="Entertainment"/>
    <s v="1 Control Rooms/pitch (100Mb x LAN)"/>
    <s v="NW"/>
  </r>
  <r>
    <s v="WRDMED"/>
    <s v="Wired Port - Media Internet"/>
    <s v="Network &amp; Connectivity"/>
    <s v=""/>
    <s v="Media Internet Access Media"/>
    <s v="Wired Port - Internet for Media"/>
    <x v="3"/>
    <n v="5"/>
    <n v="3"/>
    <n v="0"/>
    <n v="3"/>
    <n v="3"/>
    <n v="0"/>
    <s v="LOC IT"/>
    <x v="0"/>
    <x v="4"/>
    <x v="0"/>
    <s v="Entertainment"/>
    <s v="Entertainment"/>
    <s v="1 Control Rooms/pitch (100Mb x LAN)"/>
    <s v="NW"/>
  </r>
  <r>
    <s v="WRDMED"/>
    <s v="Wired Port - Media Internet"/>
    <s v="Network &amp; Connectivity"/>
    <s v=""/>
    <s v="Media Internet Access Media"/>
    <s v="Wired Port - Internet for Media"/>
    <x v="3"/>
    <n v="5"/>
    <n v="3"/>
    <n v="0"/>
    <n v="3"/>
    <n v="3"/>
    <n v="0"/>
    <s v="LOC IT"/>
    <x v="0"/>
    <x v="5"/>
    <x v="0"/>
    <s v="Entertainment"/>
    <s v="Entertainment"/>
    <s v="1 Control Rooms/pitch (100Mb x LAN)"/>
    <s v="NW"/>
  </r>
  <r>
    <s v="WRDMED"/>
    <s v="Wired Port - Media Internet"/>
    <s v="Network &amp; Connectivity"/>
    <s v=""/>
    <s v="Media Internet Access Media"/>
    <s v="Wired Port - Internet for Media"/>
    <x v="3"/>
    <n v="5"/>
    <n v="3"/>
    <n v="0"/>
    <n v="3"/>
    <n v="3"/>
    <n v="0"/>
    <s v="LOC IT"/>
    <x v="0"/>
    <x v="6"/>
    <x v="0"/>
    <s v="Entertainment"/>
    <s v="Entertainment"/>
    <s v="1 Control Rooms/pitch (100Mb x LAN)"/>
    <s v="NW"/>
  </r>
  <r>
    <s v="WRDMED"/>
    <s v="Wired Port - Media Internet"/>
    <s v="Network &amp; Connectivity"/>
    <s v=""/>
    <s v="Media Internet Access Media"/>
    <s v="Wired Port - Internet for Media"/>
    <x v="3"/>
    <n v="5"/>
    <n v="3"/>
    <n v="0"/>
    <n v="3"/>
    <n v="3"/>
    <n v="0"/>
    <s v="LOC IT"/>
    <x v="0"/>
    <x v="7"/>
    <x v="0"/>
    <s v="Entertainment"/>
    <s v="Entertainment"/>
    <s v="1 Control Rooms/pitch (100Mb x LAN)"/>
    <s v="NW"/>
  </r>
  <r>
    <s v="WRDSTU"/>
    <s v="Wired Port - Content"/>
    <s v="Network &amp; Connectivity"/>
    <s v=""/>
    <s v="FIFA Technical Content"/>
    <s v="Wired Port - Content"/>
    <x v="4"/>
    <n v="0"/>
    <n v="3"/>
    <n v="0"/>
    <n v="3"/>
    <n v="3"/>
    <n v="0"/>
    <s v="LOC IT"/>
    <x v="0"/>
    <x v="10"/>
    <x v="1"/>
    <s v="FIFA Content"/>
    <s v="FIFA Content"/>
    <s v="50Mb/cable, Location TBC"/>
    <s v="NW"/>
  </r>
  <r>
    <s v="DSKMNT"/>
    <s v="24&quot; Monitor - HDMI/DP"/>
    <s v="Peripherals"/>
    <s v=""/>
    <s v=""/>
    <s v="24&quot; PC Monitor"/>
    <x v="0"/>
    <n v="0"/>
    <n v="0"/>
    <n v="0"/>
    <n v="3"/>
    <n v="0"/>
    <n v="0"/>
    <s v="LOC IT"/>
    <x v="0"/>
    <x v="10"/>
    <x v="1"/>
    <s v="FIFA Content"/>
    <s v="FIFA Content"/>
    <s v="50Mb/cable, Location TBC"/>
    <s v="EU"/>
  </r>
  <r>
    <s v="WRDSTU"/>
    <s v="Wired Port - Content"/>
    <s v="Network &amp; Connectivity"/>
    <s v=""/>
    <s v="FIFA Technical Content"/>
    <s v="Wired Port - Content"/>
    <x v="4"/>
    <n v="0"/>
    <n v="3"/>
    <n v="0"/>
    <n v="3"/>
    <n v="3"/>
    <n v="0"/>
    <s v="LOC IT"/>
    <x v="1"/>
    <x v="11"/>
    <x v="2"/>
    <s v="FIFA Content"/>
    <s v="FIFA Content"/>
    <s v="Location TBC"/>
    <s v="NW"/>
  </r>
  <r>
    <s v="DSKMNT"/>
    <s v="24&quot; Monitor - HDMI/DP"/>
    <s v="Peripherals"/>
    <s v=""/>
    <s v=""/>
    <s v="24&quot; PC Monitor"/>
    <x v="0"/>
    <n v="0"/>
    <n v="0"/>
    <n v="0"/>
    <n v="3"/>
    <n v="0"/>
    <n v="0"/>
    <s v="LOC IT"/>
    <x v="1"/>
    <x v="11"/>
    <x v="2"/>
    <s v="FIFA Content"/>
    <s v="FIFA Content"/>
    <s v="Location TBC"/>
    <s v="EU"/>
  </r>
  <r>
    <s v="IS00WF"/>
    <s v="Wireless coverage - Shared Internet Service - Wi-Fi FIFA"/>
    <s v="Network &amp; Connectivity"/>
    <s v=""/>
    <s v="General Internet Access"/>
    <s v="Wireless coverage - Shared Internet Service - FIFA"/>
    <x v="1"/>
    <n v="1"/>
    <n v="0"/>
    <n v="0"/>
    <n v="1"/>
    <n v="0"/>
    <n v="0"/>
    <s v="LOC IT"/>
    <x v="1"/>
    <x v="12"/>
    <x v="3"/>
    <s v="FIFA Anti Doping"/>
    <s v="FIFA Anti Doping"/>
    <m/>
    <s v="NW"/>
  </r>
  <r>
    <s v="TVLGIP"/>
    <s v="TV - Large - IPTV"/>
    <s v="CATV"/>
    <s v=""/>
    <s v=""/>
    <s v="Large TV - CATV Feed"/>
    <x v="5"/>
    <n v="1"/>
    <n v="1"/>
    <n v="0"/>
    <n v="1"/>
    <n v="1"/>
    <n v="0"/>
    <s v="LOC IT"/>
    <x v="1"/>
    <x v="12"/>
    <x v="3"/>
    <s v="FIFA Anti Doping"/>
    <s v="FIFA Anti Doping"/>
    <m/>
    <s v="AV"/>
  </r>
  <r>
    <s v="TVSTND"/>
    <s v="TV Stand - Medium &amp; Large TVs"/>
    <s v="Peripherals"/>
    <s v=""/>
    <s v=""/>
    <s v="TV Stand for medium and large TVs"/>
    <x v="6"/>
    <n v="1"/>
    <n v="0"/>
    <n v="0"/>
    <n v="1"/>
    <n v="0"/>
    <n v="0"/>
    <s v="LOC IT"/>
    <x v="1"/>
    <x v="12"/>
    <x v="3"/>
    <s v="FIFA Anti Doping"/>
    <s v="FIFA Anti Doping"/>
    <m/>
    <s v="AV"/>
  </r>
  <r>
    <s v="IS00WF"/>
    <s v="Wireless coverage - Shared Internet Service - Wi-Fi FIFA"/>
    <s v="Network &amp; Connectivity"/>
    <s v=""/>
    <s v="General Internet Access"/>
    <s v="Wireless coverage - Shared Internet Service - FIFA"/>
    <x v="1"/>
    <n v="1"/>
    <n v="0"/>
    <n v="0"/>
    <n v="1"/>
    <n v="0"/>
    <n v="0"/>
    <s v="LOC IT"/>
    <x v="0"/>
    <x v="13"/>
    <x v="3"/>
    <s v="FIFA Anti Doping"/>
    <s v="FIFA Anti Doping"/>
    <m/>
    <s v="NW"/>
  </r>
  <r>
    <s v="TABLEN"/>
    <s v="Tablet - FIFA Professional Tablet + 4G"/>
    <s v="FIFA IT Hardware"/>
    <s v="Single"/>
    <s v=""/>
    <s v="Professional Series Tablet + 4G"/>
    <x v="7"/>
    <n v="4"/>
    <n v="0"/>
    <n v="4"/>
    <n v="4"/>
    <n v="0"/>
    <n v="4"/>
    <s v="FIFA Event Technology"/>
    <x v="0"/>
    <x v="13"/>
    <x v="3"/>
    <s v="FIFA Anti Doping"/>
    <s v="FIFA Anti Doping"/>
    <s v="MODOC app to be installed/available in Play Store"/>
    <s v="EU"/>
  </r>
  <r>
    <s v="TVLGIP"/>
    <s v="TV - Large - IPTV"/>
    <s v="CATV"/>
    <s v=""/>
    <s v=""/>
    <s v="Large TV - CATV Feed"/>
    <x v="5"/>
    <n v="1"/>
    <n v="1"/>
    <n v="0"/>
    <n v="1"/>
    <n v="1"/>
    <n v="0"/>
    <s v="LOC IT"/>
    <x v="0"/>
    <x v="13"/>
    <x v="3"/>
    <s v="FIFA Anti Doping"/>
    <s v="FIFA Anti Doping"/>
    <s v="Pitch 1 location."/>
    <s v="AV"/>
  </r>
  <r>
    <s v="TVSTND"/>
    <s v="TV Stand - Medium &amp; Large TVs"/>
    <s v="Peripherals"/>
    <s v=""/>
    <s v=""/>
    <s v="TV Stand for medium and large TVs"/>
    <x v="6"/>
    <n v="1"/>
    <n v="0"/>
    <n v="0"/>
    <n v="1"/>
    <n v="0"/>
    <n v="0"/>
    <s v="LOC IT"/>
    <x v="0"/>
    <x v="13"/>
    <x v="3"/>
    <s v="FIFA Anti Doping"/>
    <s v="FIFA Anti Doping"/>
    <m/>
    <s v="AV"/>
  </r>
  <r>
    <s v="IS00WF"/>
    <s v="Wireless coverage - Shared Internet Service - Wi-Fi FIFA"/>
    <s v="Network &amp; Connectivity"/>
    <s v=""/>
    <s v="General Internet Access"/>
    <s v="Wireless coverage - Shared Internet Service - FIFA"/>
    <x v="1"/>
    <n v="1"/>
    <n v="0"/>
    <n v="0"/>
    <n v="1"/>
    <n v="0"/>
    <n v="0"/>
    <s v="LOC IT"/>
    <x v="0"/>
    <x v="14"/>
    <x v="4"/>
    <s v="FIFA Broadcast"/>
    <s v="FIFA Broadcast"/>
    <m/>
    <s v="NW"/>
  </r>
  <r>
    <s v="MFDDNW"/>
    <s v="MFD Desktop - Colour - A4 - Network"/>
    <s v="Reprographics"/>
    <s v=""/>
    <s v="General Internet Access"/>
    <s v="Colour Printer / Scanner (A4)"/>
    <x v="2"/>
    <n v="1"/>
    <n v="1"/>
    <n v="0"/>
    <n v="1"/>
    <n v="1"/>
    <n v="0"/>
    <s v="LOC IT"/>
    <x v="0"/>
    <x v="14"/>
    <x v="4"/>
    <s v="FIFA Broadcast"/>
    <s v="FIFA Broadcast"/>
    <m/>
    <s v="EU"/>
  </r>
  <r>
    <s v="WRDGEN"/>
    <s v="Wired Port - General Internet "/>
    <s v="Network &amp; Connectivity"/>
    <s v=""/>
    <s v="General Internet Access"/>
    <s v="Wired Port - Internet"/>
    <x v="8"/>
    <n v="6"/>
    <n v="1"/>
    <n v="0"/>
    <n v="1"/>
    <n v="1"/>
    <n v="0"/>
    <s v="LOC IT"/>
    <x v="0"/>
    <x v="14"/>
    <x v="4"/>
    <s v="FIFA Broadcast"/>
    <s v="FIFA Broadcast"/>
    <m/>
    <s v="NW"/>
  </r>
  <r>
    <s v="WRDSTU"/>
    <s v="Wired Port - Content"/>
    <s v="Network &amp; Connectivity"/>
    <s v=""/>
    <s v="FIFA Technical Content"/>
    <s v="Wired Port - Content"/>
    <x v="4"/>
    <n v="1"/>
    <n v="1"/>
    <n v="0"/>
    <n v="1"/>
    <n v="1"/>
    <n v="0"/>
    <s v="LOC IT"/>
    <x v="0"/>
    <x v="14"/>
    <x v="4"/>
    <s v="FIFA Broadcast"/>
    <s v="FIFA Broadcast"/>
    <m/>
    <s v="NW"/>
  </r>
  <r>
    <s v="IS00WF"/>
    <s v="Wireless coverage - Shared Internet Service - Wi-Fi FIFA"/>
    <s v="Network &amp; Connectivity"/>
    <s v=""/>
    <s v="General Internet Access"/>
    <s v="Wireless coverage - Shared Internet Service - FIFA"/>
    <x v="1"/>
    <n v="1"/>
    <n v="0"/>
    <n v="0"/>
    <n v="1"/>
    <n v="0"/>
    <n v="0"/>
    <s v="LOC IT"/>
    <x v="0"/>
    <x v="15"/>
    <x v="5"/>
    <s v="FIFA Broadcast"/>
    <s v="FIFA Broadcast"/>
    <m/>
    <s v="NW"/>
  </r>
  <r>
    <s v="MFDDNW"/>
    <s v="MFD Desktop - Colour - A4 - Network"/>
    <s v="Reprographics"/>
    <s v=""/>
    <s v="General Internet Access"/>
    <s v="Colour Printer / Scanner (A4)"/>
    <x v="2"/>
    <n v="1"/>
    <n v="1"/>
    <n v="0"/>
    <n v="1"/>
    <n v="1"/>
    <n v="0"/>
    <s v="LOC IT"/>
    <x v="0"/>
    <x v="15"/>
    <x v="5"/>
    <s v="FIFA Broadcast"/>
    <s v="FIFA Broadcast"/>
    <m/>
    <s v="EU"/>
  </r>
  <r>
    <s v="WRDGEN"/>
    <s v="Wired Port - General Internet "/>
    <s v="Network &amp; Connectivity"/>
    <s v=""/>
    <s v="General Internet Access"/>
    <s v="Wired Port - Internet"/>
    <x v="8"/>
    <n v="6"/>
    <n v="1"/>
    <n v="0"/>
    <n v="1"/>
    <n v="1"/>
    <n v="0"/>
    <s v="LOC IT"/>
    <x v="0"/>
    <x v="15"/>
    <x v="5"/>
    <s v="FIFA Broadcast"/>
    <s v="FIFA Broadcast"/>
    <m/>
    <s v="NW"/>
  </r>
  <r>
    <s v="WRDSTU"/>
    <s v="Wired Port - Content"/>
    <s v="Network &amp; Connectivity"/>
    <s v=""/>
    <s v="FIFA Technical Content"/>
    <s v="Wired Port - Content"/>
    <x v="4"/>
    <n v="1"/>
    <n v="1"/>
    <n v="0"/>
    <n v="1"/>
    <n v="1"/>
    <n v="0"/>
    <s v="LOC IT"/>
    <x v="0"/>
    <x v="15"/>
    <x v="5"/>
    <s v="FIFA Broadcast"/>
    <s v="FIFA Broadcast"/>
    <m/>
    <s v="NW"/>
  </r>
  <r>
    <s v="WRDSTR"/>
    <s v="Wired Port - Stream &amp; World feed"/>
    <s v="Network &amp; Connectivity"/>
    <s v=""/>
    <s v="Stream Fabs &amp; W Feed"/>
    <s v="Wired Port - Stream &amp; World feed"/>
    <x v="9"/>
    <n v="1"/>
    <n v="1"/>
    <n v="0"/>
    <n v="1"/>
    <n v="1"/>
    <n v="0"/>
    <s v="LOC IT"/>
    <x v="0"/>
    <x v="5"/>
    <x v="6"/>
    <s v="FIFA Broadcast"/>
    <s v="FIFA Broadcast"/>
    <s v="LOC TBC if Wired"/>
    <s v="NW"/>
  </r>
  <r>
    <s v="WRDSTR"/>
    <s v="Wired Port - Stream &amp; World feed"/>
    <s v="Network &amp; Connectivity"/>
    <s v=""/>
    <s v="Stream Fabs &amp; W Feed"/>
    <s v="Wired Port - Stream &amp; World feed"/>
    <x v="9"/>
    <n v="1"/>
    <n v="1"/>
    <n v="0"/>
    <n v="1"/>
    <n v="1"/>
    <n v="0"/>
    <s v="LOC IT"/>
    <x v="0"/>
    <x v="5"/>
    <x v="7"/>
    <s v="FIFA Broadcast"/>
    <s v="FIFA Broadcast"/>
    <s v="LOC TBC if Wired"/>
    <s v="NW"/>
  </r>
  <r>
    <s v="WRDSTR"/>
    <s v="Wired Port - Stream &amp; World feed"/>
    <s v="Network &amp; Connectivity"/>
    <s v=""/>
    <s v="Stream Fabs &amp; W Feed"/>
    <s v="Wired Port - Stream &amp; World feed"/>
    <x v="9"/>
    <n v="1"/>
    <n v="1"/>
    <n v="0"/>
    <n v="1"/>
    <n v="1"/>
    <n v="0"/>
    <s v="LOC IT"/>
    <x v="0"/>
    <x v="5"/>
    <x v="8"/>
    <s v="FIFA Broadcast"/>
    <s v="FIFA Broadcast"/>
    <s v="LOC TBC if Wired"/>
    <s v="NW"/>
  </r>
  <r>
    <s v="WRDSTR"/>
    <s v="Wired Port - Stream &amp; World feed"/>
    <s v="Network &amp; Connectivity"/>
    <s v=""/>
    <s v="Stream Fabs &amp; W Feed"/>
    <s v="Wired Port - Stream &amp; World feed"/>
    <x v="9"/>
    <n v="1"/>
    <n v="1"/>
    <n v="0"/>
    <n v="1"/>
    <n v="1"/>
    <n v="0"/>
    <s v="LOC IT"/>
    <x v="0"/>
    <x v="5"/>
    <x v="9"/>
    <s v="FIFA Broadcast"/>
    <s v="FIFA Broadcast"/>
    <s v="LOC TBC if Wired"/>
    <s v="NW"/>
  </r>
  <r>
    <s v="WRDSTR"/>
    <s v="Wired Port - Stream &amp; World feed"/>
    <s v="Network &amp; Connectivity"/>
    <s v=""/>
    <s v="Stream Fabs &amp; W Feed"/>
    <s v="Wired Port - Stream &amp; World feed"/>
    <x v="9"/>
    <n v="1"/>
    <n v="1"/>
    <n v="0"/>
    <n v="1"/>
    <n v="1"/>
    <n v="0"/>
    <s v="LOC IT"/>
    <x v="0"/>
    <x v="4"/>
    <x v="6"/>
    <s v="FIFA Broadcast"/>
    <s v="FIFA Broadcast"/>
    <s v="LOC TBC if Wired"/>
    <s v="NW"/>
  </r>
  <r>
    <s v="WRDSTR"/>
    <s v="Wired Port - Stream &amp; World feed"/>
    <s v="Network &amp; Connectivity"/>
    <s v=""/>
    <s v="Stream Fabs &amp; W Feed"/>
    <s v="Wired Port - Stream &amp; World feed"/>
    <x v="9"/>
    <n v="1"/>
    <n v="1"/>
    <n v="0"/>
    <n v="1"/>
    <n v="1"/>
    <n v="0"/>
    <s v="LOC IT"/>
    <x v="0"/>
    <x v="4"/>
    <x v="7"/>
    <s v="FIFA Broadcast"/>
    <s v="FIFA Broadcast"/>
    <s v="LOC TBC if Wired"/>
    <s v="NW"/>
  </r>
  <r>
    <s v="WRDSTR"/>
    <s v="Wired Port - Stream &amp; World feed"/>
    <s v="Network &amp; Connectivity"/>
    <s v=""/>
    <s v="Stream Fabs &amp; W Feed"/>
    <s v="Wired Port - Stream &amp; World feed"/>
    <x v="9"/>
    <n v="1"/>
    <n v="1"/>
    <n v="0"/>
    <n v="1"/>
    <n v="1"/>
    <n v="0"/>
    <s v="LOC IT"/>
    <x v="0"/>
    <x v="4"/>
    <x v="8"/>
    <s v="FIFA Broadcast"/>
    <s v="FIFA Broadcast"/>
    <s v="LOC TBC if Wired"/>
    <s v="NW"/>
  </r>
  <r>
    <s v="WRDSTR"/>
    <s v="Wired Port - Stream &amp; World feed"/>
    <s v="Network &amp; Connectivity"/>
    <s v=""/>
    <s v="Stream Fabs &amp; W Feed"/>
    <s v="Wired Port - Stream &amp; World feed"/>
    <x v="9"/>
    <n v="1"/>
    <n v="1"/>
    <n v="0"/>
    <n v="1"/>
    <n v="1"/>
    <n v="0"/>
    <s v="LOC IT"/>
    <x v="0"/>
    <x v="4"/>
    <x v="9"/>
    <s v="FIFA Broadcast"/>
    <s v="FIFA Broadcast"/>
    <s v="LOC TBC if Wired"/>
    <s v="NW"/>
  </r>
  <r>
    <s v="WRDGEN"/>
    <s v="Wired Port - General Internet "/>
    <s v="Network &amp; Connectivity"/>
    <s v=""/>
    <s v="General Internet Access"/>
    <s v="Wired Port - Internet"/>
    <x v="8"/>
    <n v="2"/>
    <n v="2"/>
    <n v="0"/>
    <n v="2"/>
    <n v="2"/>
    <n v="0"/>
    <s v="LOC IT"/>
    <x v="0"/>
    <x v="14"/>
    <x v="10"/>
    <s v="FIFA Broadcast"/>
    <s v="FIFA Broadcast"/>
    <s v="1 general 1 backup (50Mb)"/>
    <s v="NW"/>
  </r>
  <r>
    <s v="WRDGEN"/>
    <s v="Wired Port - General Internet "/>
    <s v="Network &amp; Connectivity"/>
    <s v=""/>
    <s v="General Internet Access"/>
    <s v="Wired Port - Internet"/>
    <x v="8"/>
    <n v="2"/>
    <n v="2"/>
    <n v="0"/>
    <n v="2"/>
    <n v="2"/>
    <n v="0"/>
    <s v="LOC IT"/>
    <x v="0"/>
    <x v="15"/>
    <x v="11"/>
    <s v="FIFA Broadcast"/>
    <s v="FIFA Broadcast"/>
    <s v="1 general 1 backup (50Mb)"/>
    <s v="NW"/>
  </r>
  <r>
    <s v="WRDGEN"/>
    <s v="Wired Port - General Internet "/>
    <s v="Network &amp; Connectivity"/>
    <s v=""/>
    <s v="General Internet Access"/>
    <s v="Wired Port - Internet"/>
    <x v="8"/>
    <n v="1"/>
    <n v="1"/>
    <n v="0"/>
    <n v="1"/>
    <n v="1"/>
    <n v="0"/>
    <s v="LOC IT"/>
    <x v="0"/>
    <x v="14"/>
    <x v="12"/>
    <s v="FIFA Broadcast"/>
    <s v="FIFA Broadcast"/>
    <m/>
    <s v="NW"/>
  </r>
  <r>
    <s v="WRDSTR"/>
    <s v="Wired Port - Stream &amp; World feed"/>
    <s v="Network &amp; Connectivity"/>
    <s v=""/>
    <s v="Stream Fabs &amp; W Feed"/>
    <s v="Wired Port - Stream &amp; World feed"/>
    <x v="9"/>
    <n v="3"/>
    <n v="12"/>
    <n v="0"/>
    <n v="12"/>
    <n v="12"/>
    <n v="0"/>
    <s v="LOC IT"/>
    <x v="0"/>
    <x v="14"/>
    <x v="12"/>
    <s v="FIFA Broadcast"/>
    <s v="FIFA Broadcast"/>
    <s v="high speed 50Mb 4 games"/>
    <s v="NW"/>
  </r>
  <r>
    <s v="WRDGEN"/>
    <s v="Wired Port - General Internet "/>
    <s v="Network &amp; Connectivity"/>
    <s v=""/>
    <s v="General Internet Access"/>
    <s v="Wired Port - Internet"/>
    <x v="8"/>
    <n v="1"/>
    <n v="1"/>
    <n v="0"/>
    <n v="1"/>
    <n v="1"/>
    <n v="0"/>
    <s v="LOC IT"/>
    <x v="0"/>
    <x v="15"/>
    <x v="13"/>
    <s v="FIFA Broadcast"/>
    <s v="FIFA Broadcast"/>
    <m/>
    <s v="NW"/>
  </r>
  <r>
    <s v="WRDSTR"/>
    <s v="Wired Port - Stream &amp; World feed"/>
    <s v="Network &amp; Connectivity"/>
    <s v=""/>
    <s v="Stream Fabs &amp; W Feed"/>
    <s v="Wired Port - Stream &amp; World feed"/>
    <x v="9"/>
    <n v="3"/>
    <n v="4"/>
    <n v="0"/>
    <n v="4"/>
    <n v="4"/>
    <n v="0"/>
    <s v="LOC IT"/>
    <x v="0"/>
    <x v="15"/>
    <x v="13"/>
    <s v="FIFA Broadcast"/>
    <s v="FIFA Broadcast"/>
    <s v="high speed 50Mb 4 games"/>
    <s v="NW"/>
  </r>
  <r>
    <s v="WRDMED"/>
    <s v="Wired Port - Media Internet"/>
    <s v="Network &amp; Connectivity"/>
    <s v=""/>
    <s v="Media Internet Access Media"/>
    <s v="Wired Port - Internet for Media"/>
    <x v="3"/>
    <n v="2"/>
    <n v="2"/>
    <n v="0"/>
    <n v="2"/>
    <n v="2"/>
    <n v="0"/>
    <s v="LOC IT"/>
    <x v="0"/>
    <x v="16"/>
    <x v="14"/>
    <s v="FIFA Broadcast"/>
    <s v="FIFA Broadcast"/>
    <m/>
    <s v="NW"/>
  </r>
  <r>
    <s v="IS00WF"/>
    <s v="Wireless coverage - Shared Internet Service - Wi-Fi FIFA"/>
    <s v="Network &amp; Connectivity"/>
    <s v=""/>
    <s v="General Internet Access"/>
    <s v="Wireless coverage - Shared Internet Service - FIFA"/>
    <x v="1"/>
    <n v="1"/>
    <n v="0"/>
    <n v="0"/>
    <n v="1"/>
    <n v="0"/>
    <n v="0"/>
    <s v="LOC IT"/>
    <x v="1"/>
    <x v="11"/>
    <x v="2"/>
    <s v="FIFA Broadcast"/>
    <s v="FIFA Broadcast"/>
    <m/>
    <s v="NW"/>
  </r>
  <r>
    <s v="MFDDNW"/>
    <s v="MFD Desktop - Colour - A4 - Network"/>
    <s v="Reprographics"/>
    <s v=""/>
    <s v="General Internet Access"/>
    <s v="Colour Printer / Scanner (A4)"/>
    <x v="2"/>
    <n v="1"/>
    <n v="1"/>
    <n v="0"/>
    <n v="1"/>
    <n v="1"/>
    <n v="0"/>
    <s v="LOC IT"/>
    <x v="1"/>
    <x v="11"/>
    <x v="2"/>
    <s v="FIFA Broadcast"/>
    <s v="FIFA Broadcast"/>
    <m/>
    <s v="EU"/>
  </r>
  <r>
    <s v="WRDGEN"/>
    <s v="Wired Port - General Internet "/>
    <s v="Network &amp; Connectivity"/>
    <s v=""/>
    <s v="General Internet Access"/>
    <s v="Wired Port - Internet"/>
    <x v="8"/>
    <n v="6"/>
    <n v="1"/>
    <n v="0"/>
    <n v="1"/>
    <n v="1"/>
    <n v="0"/>
    <s v="LOC IT"/>
    <x v="1"/>
    <x v="11"/>
    <x v="2"/>
    <s v="FIFA Broadcast"/>
    <s v="FIFA Broadcast"/>
    <m/>
    <s v="NW"/>
  </r>
  <r>
    <s v="WRDSTU"/>
    <s v="Wired Port - Content"/>
    <s v="Network &amp; Connectivity"/>
    <s v=""/>
    <s v="FIFA Technical Content"/>
    <s v="Wired Port - Content"/>
    <x v="4"/>
    <n v="1"/>
    <n v="1"/>
    <n v="0"/>
    <n v="1"/>
    <n v="1"/>
    <n v="0"/>
    <s v="LOC IT"/>
    <x v="1"/>
    <x v="11"/>
    <x v="2"/>
    <s v="FIFA Broadcast"/>
    <s v="FIFA Broadcast"/>
    <m/>
    <s v="NW"/>
  </r>
  <r>
    <s v="CABLOK"/>
    <s v="Laptop Cable Lock"/>
    <s v="Peripherals"/>
    <s v="Multi"/>
    <s v=""/>
    <s v="Laptop Cable Lock"/>
    <x v="10"/>
    <n v="2"/>
    <n v="0"/>
    <n v="0"/>
    <n v="2"/>
    <n v="0"/>
    <n v="0"/>
    <s v="FIFA Event Technology"/>
    <x v="1"/>
    <x v="17"/>
    <x v="15"/>
    <s v="FIFA Broadcast"/>
    <s v="FIFA Broadcast"/>
    <m/>
    <s v="EU"/>
  </r>
  <r>
    <s v="LAPPRE"/>
    <s v="Laptop - Presentation Build"/>
    <s v="FIFA IT Hardware"/>
    <s v="Single"/>
    <s v=""/>
    <s v="FIFA Presentation Laptop"/>
    <x v="11"/>
    <n v="2"/>
    <n v="0"/>
    <n v="0"/>
    <n v="2"/>
    <n v="0"/>
    <n v="0"/>
    <s v="FIFA Event Technology"/>
    <x v="1"/>
    <x v="17"/>
    <x v="15"/>
    <s v="FIFA Broadcast"/>
    <s v="FIFA Broadcast"/>
    <m/>
    <s v="EU"/>
  </r>
  <r>
    <s v="WRDMED"/>
    <s v="Wired Port - Media Internet"/>
    <s v="Network &amp; Connectivity"/>
    <s v=""/>
    <s v="Media Internet Access Media"/>
    <s v="Wired Port - Internet for Media"/>
    <x v="3"/>
    <n v="4"/>
    <n v="4"/>
    <n v="0"/>
    <n v="4"/>
    <n v="4"/>
    <n v="0"/>
    <s v="LOC IT"/>
    <x v="1"/>
    <x v="17"/>
    <x v="15"/>
    <s v="FIFA Broadcast"/>
    <s v="FIFA Broadcast"/>
    <s v="1 port for user, 1 port for PRT per position"/>
    <s v="NW"/>
  </r>
  <r>
    <s v="WRDSTA"/>
    <s v="Wired Port - ACR-TKT-Ipcodec"/>
    <s v="Network &amp; Connectivity"/>
    <s v=""/>
    <s v="FIFA Standard Internet Access"/>
    <s v="Wired Port - ACR-TKT-Ipcodec"/>
    <x v="12"/>
    <n v="2"/>
    <n v="2"/>
    <n v="0"/>
    <n v="2"/>
    <n v="2"/>
    <n v="0"/>
    <s v="LOC IT"/>
    <x v="1"/>
    <x v="17"/>
    <x v="15"/>
    <s v="FIFA Broadcast"/>
    <s v="FIFA Broadcast"/>
    <m/>
    <s v="NW"/>
  </r>
  <r>
    <s v="IS00WF"/>
    <s v="Wireless coverage - Shared Internet Service - Wi-Fi FIFA"/>
    <s v="Network &amp; Connectivity"/>
    <s v=""/>
    <s v="General Internet Access"/>
    <s v="Wireless coverage - Shared Internet Service - FIFA"/>
    <x v="1"/>
    <n v="1"/>
    <n v="0"/>
    <n v="0"/>
    <n v="1"/>
    <n v="0"/>
    <n v="0"/>
    <s v="LOC IT"/>
    <x v="1"/>
    <x v="8"/>
    <x v="0"/>
    <s v="FIFA Broadcast"/>
    <s v="FIFA Broadcast"/>
    <m/>
    <s v="NW"/>
  </r>
  <r>
    <s v="WRDFTI"/>
    <s v="Wired Port - FTI"/>
    <s v="Network &amp; Connectivity"/>
    <s v=""/>
    <s v="FIFA Technical FTI"/>
    <s v="Wired Port - FTI"/>
    <x v="13"/>
    <n v="1"/>
    <n v="1"/>
    <n v="0"/>
    <n v="1"/>
    <n v="1"/>
    <n v="0"/>
    <s v="LOC IT"/>
    <x v="1"/>
    <x v="8"/>
    <x v="0"/>
    <s v="FIFA Broadcast"/>
    <s v="FIFA Broadcast"/>
    <m/>
    <s v="NW"/>
  </r>
  <r>
    <s v="WRDGEN"/>
    <s v="Wired Port - General Internet "/>
    <s v="Network &amp; Connectivity"/>
    <s v=""/>
    <s v="General Internet Access"/>
    <s v="Wired Port - Internet"/>
    <x v="8"/>
    <n v="1"/>
    <n v="1"/>
    <n v="0"/>
    <n v="1"/>
    <n v="1"/>
    <n v="0"/>
    <s v="LOC IT"/>
    <x v="1"/>
    <x v="8"/>
    <x v="0"/>
    <s v="FIFA Broadcast"/>
    <s v="FIFA Broadcast"/>
    <m/>
    <s v="NW"/>
  </r>
  <r>
    <s v="WRDMED"/>
    <s v="Wired Port - Media Internet"/>
    <s v="Network &amp; Connectivity"/>
    <s v=""/>
    <s v="Media Internet Access Media"/>
    <s v="Wired Port - Internet for Media"/>
    <x v="3"/>
    <n v="1"/>
    <n v="1"/>
    <n v="0"/>
    <n v="1"/>
    <n v="1"/>
    <n v="0"/>
    <s v="LOC IT"/>
    <x v="1"/>
    <x v="18"/>
    <x v="6"/>
    <s v="FIFA Broadcast"/>
    <s v="FIFA Broadcast"/>
    <s v="Only if existing infrastructure"/>
    <s v="NW"/>
  </r>
  <r>
    <s v="WRDMED"/>
    <s v="Wired Port - Media Internet"/>
    <s v="Network &amp; Connectivity"/>
    <s v=""/>
    <s v="Media Internet Access Media"/>
    <s v="Wired Port - Internet for Media"/>
    <x v="3"/>
    <n v="1"/>
    <n v="1"/>
    <n v="0"/>
    <n v="1"/>
    <n v="1"/>
    <n v="0"/>
    <s v="LOC IT"/>
    <x v="1"/>
    <x v="18"/>
    <x v="7"/>
    <s v="FIFA Broadcast"/>
    <s v="FIFA Broadcast"/>
    <s v="Only if existing infrastructure"/>
    <s v="NW"/>
  </r>
  <r>
    <s v="WRDMED"/>
    <s v="Wired Port - Media Internet"/>
    <s v="Network &amp; Connectivity"/>
    <s v=""/>
    <s v="Media Internet Access Media"/>
    <s v="Wired Port - Internet for Media"/>
    <x v="3"/>
    <n v="1"/>
    <n v="1"/>
    <n v="0"/>
    <n v="1"/>
    <n v="1"/>
    <n v="0"/>
    <s v="LOC IT"/>
    <x v="1"/>
    <x v="18"/>
    <x v="8"/>
    <s v="FIFA Broadcast"/>
    <s v="FIFA Broadcast"/>
    <s v="Only if existing infrastructure"/>
    <s v="NW"/>
  </r>
  <r>
    <s v="WRDMED"/>
    <s v="Wired Port - Media Internet"/>
    <s v="Network &amp; Connectivity"/>
    <s v=""/>
    <s v="Media Internet Access Media"/>
    <s v="Wired Port - Internet for Media"/>
    <x v="3"/>
    <n v="1"/>
    <n v="1"/>
    <n v="0"/>
    <n v="1"/>
    <n v="1"/>
    <n v="0"/>
    <s v="LOC IT"/>
    <x v="1"/>
    <x v="18"/>
    <x v="9"/>
    <s v="FIFA Broadcast"/>
    <s v="FIFA Broadcast"/>
    <s v="Only if existing infrastructure"/>
    <s v="NW"/>
  </r>
  <r>
    <s v="WRDGEN"/>
    <s v="Wired Port - General Internet "/>
    <s v="Network &amp; Connectivity"/>
    <s v=""/>
    <s v="General Internet Access"/>
    <s v="Wired Port - Internet"/>
    <x v="8"/>
    <n v="2"/>
    <n v="2"/>
    <n v="0"/>
    <n v="2"/>
    <n v="2"/>
    <n v="0"/>
    <s v="LOC IT"/>
    <x v="1"/>
    <x v="11"/>
    <x v="16"/>
    <s v="FIFA Broadcast"/>
    <s v="FIFA Broadcast"/>
    <s v="1 backup and 1 general"/>
    <s v="NW"/>
  </r>
  <r>
    <s v="WRDGEN"/>
    <s v="Wired Port - General Internet "/>
    <s v="Network &amp; Connectivity"/>
    <s v=""/>
    <s v="General Internet Access"/>
    <s v="Wired Port - Internet"/>
    <x v="8"/>
    <n v="1"/>
    <n v="1"/>
    <n v="0"/>
    <n v="1"/>
    <n v="1"/>
    <n v="0"/>
    <s v="LOC IT"/>
    <x v="1"/>
    <x v="11"/>
    <x v="17"/>
    <s v="FIFA Broadcast"/>
    <s v="FIFA Broadcast"/>
    <m/>
    <s v="NW"/>
  </r>
  <r>
    <s v="WRDSTR"/>
    <s v="Wired Port - Stream &amp; World feed"/>
    <s v="Network &amp; Connectivity"/>
    <s v=""/>
    <s v="Stream Fabs &amp; W Feed"/>
    <s v="Wired Port - Stream &amp; World feed"/>
    <x v="9"/>
    <n v="3"/>
    <n v="2"/>
    <n v="0"/>
    <n v="2"/>
    <n v="2"/>
    <n v="0"/>
    <s v="LOC IT"/>
    <x v="1"/>
    <x v="11"/>
    <x v="17"/>
    <s v="FIFA Broadcast"/>
    <s v="FIFA Broadcast"/>
    <s v="high speed"/>
    <s v="NW"/>
  </r>
  <r>
    <s v="WRDMED"/>
    <s v="Wired Port - Media Internet"/>
    <s v="Network &amp; Connectivity"/>
    <s v=""/>
    <s v="Media Internet Access Media"/>
    <s v="Wired Port - Internet for Media"/>
    <x v="3"/>
    <n v="2"/>
    <n v="2"/>
    <n v="0"/>
    <n v="2"/>
    <n v="2"/>
    <n v="0"/>
    <s v="LOC IT"/>
    <x v="1"/>
    <x v="16"/>
    <x v="18"/>
    <s v="FIFA Broadcast"/>
    <s v="FIFA Broadcast"/>
    <m/>
    <s v="NW"/>
  </r>
  <r>
    <s v="DSKMNT"/>
    <s v="24&quot; Monitor - HDMI/DP"/>
    <s v="Peripherals"/>
    <s v=""/>
    <s v=""/>
    <s v="24&quot; PC Monitor"/>
    <x v="0"/>
    <n v="2"/>
    <n v="0"/>
    <n v="0"/>
    <n v="2"/>
    <n v="0"/>
    <n v="0"/>
    <s v="LOC IT"/>
    <x v="0"/>
    <x v="13"/>
    <x v="19"/>
    <s v="FIFA Competitions"/>
    <s v="FIFA Competitions"/>
    <s v="to be moved to Khalifa"/>
    <s v="EU"/>
  </r>
  <r>
    <s v="IS00WF"/>
    <s v="Wireless coverage - Shared Internet Service - Wi-Fi FIFA"/>
    <s v="Network &amp; Connectivity"/>
    <s v=""/>
    <s v="General Internet Access"/>
    <s v="Wireless coverage - Shared Internet Service - FIFA"/>
    <x v="1"/>
    <n v="1"/>
    <n v="0"/>
    <n v="0"/>
    <n v="1"/>
    <n v="0"/>
    <n v="0"/>
    <s v="LOC IT"/>
    <x v="0"/>
    <x v="13"/>
    <x v="19"/>
    <s v="FIFA Competitions"/>
    <s v="FIFA Competitions"/>
    <m/>
    <s v="NW"/>
  </r>
  <r>
    <s v="MFDDNW"/>
    <s v="MFD Desktop - Colour - A4 - Network"/>
    <s v="Reprographics"/>
    <s v=""/>
    <s v="General Internet Access"/>
    <s v="Colour Printer / Scanner (A4)"/>
    <x v="2"/>
    <n v="1"/>
    <n v="1"/>
    <n v="0"/>
    <n v="1"/>
    <n v="1"/>
    <n v="0"/>
    <s v="LOC IT"/>
    <x v="0"/>
    <x v="13"/>
    <x v="19"/>
    <s v="FIFA Competitions"/>
    <s v="FIFA Competitions"/>
    <m/>
    <s v="EU"/>
  </r>
  <r>
    <s v="MFDDNW"/>
    <s v="MFD Desktop - Colour - A4 - Network"/>
    <s v="Reprographics"/>
    <s v=""/>
    <s v="General Internet Access"/>
    <s v="Colour Printer / Scanner (A4)"/>
    <x v="2"/>
    <n v="1"/>
    <n v="1"/>
    <n v="0"/>
    <n v="1"/>
    <n v="1"/>
    <n v="0"/>
    <s v="LOC IT"/>
    <x v="0"/>
    <x v="6"/>
    <x v="20"/>
    <s v="FIFA Competitions"/>
    <s v="FIFA Competitions"/>
    <s v="Printer to be shared between 2 pitches for CPM &amp; ENT"/>
    <s v="EU"/>
  </r>
  <r>
    <s v="MFDDNW"/>
    <s v="MFD Desktop - Colour - A4 - Network"/>
    <s v="Reprographics"/>
    <s v=""/>
    <s v="General Internet Access"/>
    <s v="Colour Printer / Scanner (A4)"/>
    <x v="2"/>
    <n v="1"/>
    <n v="1"/>
    <n v="0"/>
    <n v="1"/>
    <n v="1"/>
    <n v="0"/>
    <s v="LOC IT"/>
    <x v="0"/>
    <x v="7"/>
    <x v="20"/>
    <s v="FIFA Competitions"/>
    <s v="FIFA Competitions"/>
    <s v="Printer to be shared between 2 pitches for CPM &amp; ENT"/>
    <s v="EU"/>
  </r>
  <r>
    <s v="MFDDNW"/>
    <s v="MFD Desktop - Colour - A4 - Network"/>
    <s v="Reprographics"/>
    <s v=""/>
    <s v="General Internet Access"/>
    <s v="Colour Printer / Scanner (A4)"/>
    <x v="2"/>
    <n v="1"/>
    <n v="1"/>
    <n v="0"/>
    <n v="1"/>
    <n v="1"/>
    <n v="0"/>
    <s v="LOC IT"/>
    <x v="0"/>
    <x v="4"/>
    <x v="20"/>
    <s v="FIFA Competitions"/>
    <s v="FIFA Competitions"/>
    <s v="Printer to be shared between 2 pitches for CPM &amp; ENT"/>
    <s v="EU"/>
  </r>
  <r>
    <s v="MFDDNW"/>
    <s v="MFD Desktop - Colour - A4 - Network"/>
    <s v="Reprographics"/>
    <s v=""/>
    <s v="General Internet Access"/>
    <s v="Colour Printer / Scanner (A4)"/>
    <x v="2"/>
    <n v="1"/>
    <n v="1"/>
    <n v="0"/>
    <n v="1"/>
    <n v="1"/>
    <n v="0"/>
    <s v="LOC IT"/>
    <x v="0"/>
    <x v="2"/>
    <x v="20"/>
    <s v="FIFA Competitions"/>
    <s v="FIFA Competitions"/>
    <s v="Printer to be shared between 2 pitches for CPM &amp; ENT"/>
    <s v="EU"/>
  </r>
  <r>
    <s v="PORSPE"/>
    <s v="Portable Speaker"/>
    <s v="Peripherals"/>
    <s v="Single"/>
    <s v=""/>
    <s v="Portable Speaker"/>
    <x v="14"/>
    <n v="1"/>
    <n v="0"/>
    <n v="0"/>
    <n v="1"/>
    <n v="0"/>
    <n v="0"/>
    <s v="FIFA Event Technology"/>
    <x v="0"/>
    <x v="13"/>
    <x v="19"/>
    <s v="FIFA Competitions"/>
    <s v="FIFA Competitions"/>
    <m/>
    <s v="EU"/>
  </r>
  <r>
    <s v="TABLEN"/>
    <s v="Tablet - FIFA Professional Tablet + 4G"/>
    <s v="FIFA IT Hardware"/>
    <s v="Single"/>
    <s v=""/>
    <s v="Professional Series Tablet + 4G"/>
    <x v="7"/>
    <n v="2"/>
    <n v="0"/>
    <n v="8"/>
    <n v="8"/>
    <n v="0"/>
    <n v="0"/>
    <s v="FIFA Event Technology"/>
    <x v="0"/>
    <x v="13"/>
    <x v="19"/>
    <s v="FIFA Competitions"/>
    <s v="FIFA Competitions"/>
    <m/>
    <s v="EU"/>
  </r>
  <r>
    <s v="TVLGIP"/>
    <s v="TV - Large - IPTV"/>
    <s v="CATV"/>
    <s v=""/>
    <s v=""/>
    <s v="Large TV - CATV Feed"/>
    <x v="5"/>
    <n v="1"/>
    <n v="1"/>
    <n v="0"/>
    <n v="1"/>
    <n v="1"/>
    <n v="0"/>
    <s v="LOC IT"/>
    <x v="0"/>
    <x v="13"/>
    <x v="19"/>
    <s v="FIFA Competitions"/>
    <s v="FIFA Competitions"/>
    <s v="Including HDMI cables"/>
    <s v="AV"/>
  </r>
  <r>
    <s v="TVSTND"/>
    <s v="TV Stand - Medium &amp; Large TVs"/>
    <s v="Peripherals"/>
    <s v=""/>
    <s v=""/>
    <s v="TV Stand for medium and large TVs"/>
    <x v="6"/>
    <n v="1"/>
    <n v="0"/>
    <n v="0"/>
    <n v="1"/>
    <n v="0"/>
    <n v="0"/>
    <s v="LOC IT"/>
    <x v="0"/>
    <x v="13"/>
    <x v="19"/>
    <s v="FIFA Competitions"/>
    <s v="FIFA Competitions"/>
    <m/>
    <s v="AV"/>
  </r>
  <r>
    <s v="IS00WF"/>
    <s v="Wireless coverage - Shared Internet Service - Wi-Fi FIFA"/>
    <s v="Network &amp; Connectivity"/>
    <s v=""/>
    <s v="General Internet Access"/>
    <s v="Wireless coverage - Shared Internet Service - FIFA"/>
    <x v="1"/>
    <n v="1"/>
    <n v="0"/>
    <n v="0"/>
    <n v="1"/>
    <n v="0"/>
    <n v="0"/>
    <s v="LOC IT"/>
    <x v="1"/>
    <x v="12"/>
    <x v="19"/>
    <s v="FIFA Competitions"/>
    <s v="FIFA Competitions"/>
    <m/>
    <s v="NW"/>
  </r>
  <r>
    <s v="IS00WF"/>
    <s v="Wireless coverage - Shared Internet Service - Wi-Fi FIFA"/>
    <s v="Network &amp; Connectivity"/>
    <s v=""/>
    <s v="General Internet Access"/>
    <s v="Wireless coverage - Shared Internet Service - FIFA"/>
    <x v="1"/>
    <n v="1"/>
    <n v="0"/>
    <n v="0"/>
    <n v="1"/>
    <n v="0"/>
    <n v="0"/>
    <s v="LOC IT"/>
    <x v="1"/>
    <x v="12"/>
    <x v="21"/>
    <s v="FIFA Competitions"/>
    <s v="FIFA Competitions"/>
    <m/>
    <s v="NW"/>
  </r>
  <r>
    <s v="IS00WF"/>
    <s v="Wireless coverage - Shared Internet Service - Wi-Fi FIFA"/>
    <s v="Network &amp; Connectivity"/>
    <s v=""/>
    <s v="General Internet Access"/>
    <s v="Wireless coverage - Shared Internet Service - FIFA"/>
    <x v="1"/>
    <n v="1"/>
    <n v="0"/>
    <n v="0"/>
    <n v="1"/>
    <n v="0"/>
    <n v="0"/>
    <s v="LOC IT"/>
    <x v="1"/>
    <x v="19"/>
    <x v="22"/>
    <s v="FIFA Competitions"/>
    <s v="FIFA Competitions"/>
    <m/>
    <s v="NW"/>
  </r>
  <r>
    <s v="MFDDNW"/>
    <s v="MFD Desktop - Colour - A4 - Network"/>
    <s v="Reprographics"/>
    <s v=""/>
    <s v="General Internet Access"/>
    <s v="Colour Printer / Scanner (A4)"/>
    <x v="2"/>
    <n v="1"/>
    <n v="1"/>
    <n v="0"/>
    <n v="1"/>
    <n v="1"/>
    <n v="0"/>
    <s v="LOC IT"/>
    <x v="1"/>
    <x v="12"/>
    <x v="19"/>
    <s v="FIFA Competitions"/>
    <s v="FIFA Competitions"/>
    <m/>
    <s v="EU"/>
  </r>
  <r>
    <s v="TVLGIP"/>
    <s v="TV - Large - IPTV"/>
    <s v="CATV"/>
    <s v=""/>
    <s v=""/>
    <s v="Large TV - CATV Feed"/>
    <x v="5"/>
    <n v="1"/>
    <n v="1"/>
    <n v="0"/>
    <n v="1"/>
    <n v="1"/>
    <n v="0"/>
    <s v="LOC IT"/>
    <x v="1"/>
    <x v="12"/>
    <x v="19"/>
    <s v="FIFA Competitions"/>
    <s v="FIFA Competitions"/>
    <m/>
    <s v="AV"/>
  </r>
  <r>
    <s v="TVLGSA"/>
    <s v="TV - Large - Standalone"/>
    <s v="Display Devices"/>
    <s v=""/>
    <s v=""/>
    <s v="Large TV - Standalone"/>
    <x v="15"/>
    <n v="1"/>
    <n v="0"/>
    <n v="0"/>
    <n v="1"/>
    <n v="0"/>
    <n v="0"/>
    <s v="LOC IT"/>
    <x v="1"/>
    <x v="12"/>
    <x v="21"/>
    <s v="FIFA Competitions"/>
    <s v="FIFA Competitions"/>
    <m/>
    <s v="AV"/>
  </r>
  <r>
    <s v="TVLGSA"/>
    <s v="TV - Large - Standalone"/>
    <s v="Display Devices"/>
    <s v=""/>
    <s v=""/>
    <s v="Large TV - Standalone"/>
    <x v="15"/>
    <n v="1"/>
    <n v="0"/>
    <n v="0"/>
    <n v="1"/>
    <n v="0"/>
    <n v="0"/>
    <s v="LOC IT"/>
    <x v="1"/>
    <x v="19"/>
    <x v="22"/>
    <s v="FIFA Competitions"/>
    <s v="FIFA Competitions"/>
    <s v="1 x large TV 75-85&quot; or 2 x TV placed on the side; &quot;PC needs to be ready by MD-3_x000a_group stage coordination meeting 2 days prior to the tournamnet&quot; cover 150 pax"/>
    <s v="AV"/>
  </r>
  <r>
    <s v="TVSTND"/>
    <s v="TV Stand - Medium &amp; Large TVs"/>
    <s v="Peripherals"/>
    <s v=""/>
    <s v=""/>
    <s v="TV Stand for medium and large TVs"/>
    <x v="6"/>
    <n v="1"/>
    <n v="0"/>
    <n v="0"/>
    <n v="1"/>
    <n v="0"/>
    <n v="0"/>
    <s v="LOC IT"/>
    <x v="1"/>
    <x v="12"/>
    <x v="19"/>
    <s v="FIFA Competitions"/>
    <s v="FIFA Competitions"/>
    <m/>
    <s v="AV"/>
  </r>
  <r>
    <s v="TVSTND"/>
    <s v="TV Stand - Medium &amp; Large TVs"/>
    <s v="Peripherals"/>
    <s v=""/>
    <s v=""/>
    <s v="TV Stand for medium and large TVs"/>
    <x v="6"/>
    <n v="1"/>
    <n v="0"/>
    <n v="0"/>
    <n v="1"/>
    <n v="0"/>
    <n v="0"/>
    <s v="LOC IT"/>
    <x v="1"/>
    <x v="12"/>
    <x v="21"/>
    <s v="FIFA Competitions"/>
    <s v="FIFA Competitions"/>
    <m/>
    <s v="AV"/>
  </r>
  <r>
    <s v="TVSTND"/>
    <s v="TV Stand - Medium &amp; Large TVs"/>
    <s v="Peripherals"/>
    <s v=""/>
    <s v=""/>
    <s v="TV Stand for medium and large TVs"/>
    <x v="6"/>
    <n v="1"/>
    <n v="0"/>
    <n v="0"/>
    <n v="1"/>
    <n v="0"/>
    <n v="0"/>
    <s v="LOC IT"/>
    <x v="1"/>
    <x v="19"/>
    <x v="22"/>
    <s v="FIFA Competitions"/>
    <s v="FIFA Competitions"/>
    <m/>
    <s v="AV"/>
  </r>
  <r>
    <s v="MFDDNW"/>
    <s v="MFD Desktop - Colour - A4 - Network"/>
    <s v="Reprographics"/>
    <m/>
    <m/>
    <m/>
    <x v="16"/>
    <m/>
    <m/>
    <m/>
    <n v="1"/>
    <n v="1"/>
    <n v="0"/>
    <s v="LOC IT"/>
    <x v="0"/>
    <x v="6"/>
    <x v="19"/>
    <s v="FIFA Competitions"/>
    <s v="FIFA Competitions"/>
    <s v="13.10 - CR001: Change Request - 1 printer in Pitch 8"/>
    <s v="EU"/>
  </r>
  <r>
    <s v="MFDDNW"/>
    <s v="MFD Desktop - Colour - A4 - Network"/>
    <s v="Reprographics"/>
    <n v="1"/>
    <e v="#VALUE!"/>
    <e v="#VALUE!"/>
    <x v="17"/>
    <s v="Khalifa"/>
    <s v="Press Conference Room"/>
    <s v="Press Conference Room"/>
    <s v="1"/>
    <s v="1"/>
    <n v="0"/>
    <s v="LOC IT"/>
    <x v="0"/>
    <x v="7"/>
    <x v="19"/>
    <s v="FIFA Competitions"/>
    <s v="FIFA Competitions"/>
    <s v="13.10 - CR001: Change Request"/>
    <s v="EU"/>
  </r>
  <r>
    <s v="DSKMNT"/>
    <s v="24&quot; Monitor - HDMI/DP"/>
    <s v="Peripherals"/>
    <s v=""/>
    <s v=""/>
    <s v="24&quot; PC Monitor"/>
    <x v="0"/>
    <n v="2"/>
    <n v="0"/>
    <n v="0"/>
    <n v="2"/>
    <n v="0"/>
    <n v="0"/>
    <s v="LOC IT"/>
    <x v="0"/>
    <x v="10"/>
    <x v="1"/>
    <s v="FIFA Data Management"/>
    <s v="FIFA Data Management"/>
    <m/>
    <s v="EU"/>
  </r>
  <r>
    <s v="DSKMNT"/>
    <s v="24&quot; Monitor - HDMI/DP"/>
    <s v="Peripherals"/>
    <s v=""/>
    <s v=""/>
    <s v="24&quot; PC Monitor"/>
    <x v="0"/>
    <n v="5"/>
    <n v="0"/>
    <n v="0"/>
    <n v="3"/>
    <n v="0"/>
    <n v="0"/>
    <s v="LOC IT"/>
    <x v="0"/>
    <x v="10"/>
    <x v="1"/>
    <s v="FIFA Digital Marketing"/>
    <s v="FIFA Digital Marketing"/>
    <s v="Location TBC"/>
    <s v="EU"/>
  </r>
  <r>
    <s v="WRDSTU"/>
    <s v="Wired Port - Content"/>
    <s v="Network &amp; Connectivity"/>
    <s v=""/>
    <s v="FIFA Technical Content"/>
    <s v="Wired Port - Content"/>
    <x v="4"/>
    <n v="5"/>
    <n v="3"/>
    <n v="0"/>
    <n v="3"/>
    <n v="3"/>
    <n v="0"/>
    <s v="LOC IT"/>
    <x v="0"/>
    <x v="10"/>
    <x v="1"/>
    <s v="FIFA Digital Marketing"/>
    <s v="FIFA Digital Marketing"/>
    <s v="Location TBC"/>
    <s v="NW"/>
  </r>
  <r>
    <s v="ITSIBU"/>
    <s v="IT Solution - 4G Internet backup "/>
    <s v="FIFA IT Network Solutions"/>
    <s v=""/>
    <s v=""/>
    <s v="IT Solution - 4G Internet backup "/>
    <x v="18"/>
    <n v="10"/>
    <n v="0"/>
    <n v="10"/>
    <n v="10"/>
    <n v="0"/>
    <n v="10"/>
    <s v="LOC IT"/>
    <x v="0"/>
    <x v="10"/>
    <x v="1"/>
    <s v="FIFA Event Technology"/>
    <s v="FIFA Event Technology"/>
    <m/>
    <s v="NW"/>
  </r>
  <r>
    <s v="LAPEVT"/>
    <s v="Laptop - FIFA Event Build"/>
    <s v="FIFA IT Hardware"/>
    <s v="Single"/>
    <s v=""/>
    <s v="FIFA Laptop"/>
    <x v="19"/>
    <n v="2"/>
    <n v="0"/>
    <n v="0"/>
    <n v="2"/>
    <n v="0"/>
    <n v="0"/>
    <s v="FIFA Event Technology"/>
    <x v="0"/>
    <x v="10"/>
    <x v="1"/>
    <s v="FIFA Event Technology"/>
    <s v="FIFA Event Technology"/>
    <s v="spare laptop"/>
    <s v="EU"/>
  </r>
  <r>
    <s v="LAPPRE"/>
    <s v="Laptop - Presentation Build"/>
    <s v="FIFA IT Hardware"/>
    <s v="Single"/>
    <s v=""/>
    <s v="FIFA Presentation Laptop"/>
    <x v="11"/>
    <n v="4"/>
    <n v="0"/>
    <n v="0"/>
    <n v="4"/>
    <n v="0"/>
    <n v="0"/>
    <s v="FIFA Event Technology"/>
    <x v="0"/>
    <x v="10"/>
    <x v="1"/>
    <s v="FIFA Event Technology"/>
    <s v="FIFA Event Technology"/>
    <s v="spare laptop"/>
    <s v="EU"/>
  </r>
  <r>
    <s v="PORSPE"/>
    <s v="Portable Speaker"/>
    <s v="Peripherals"/>
    <s v="Single"/>
    <s v=""/>
    <s v="Portable Speaker"/>
    <x v="14"/>
    <n v="2"/>
    <n v="0"/>
    <n v="0"/>
    <n v="2"/>
    <n v="0"/>
    <n v="0"/>
    <s v="FIFA Event Technology"/>
    <x v="0"/>
    <x v="10"/>
    <x v="1"/>
    <s v="FIFA Event Technology"/>
    <s v="FIFA Event Technology"/>
    <m/>
    <s v="EU"/>
  </r>
  <r>
    <s v="SIMDAT"/>
    <s v="SIM - Data Only"/>
    <s v="Telephony"/>
    <s v=""/>
    <s v=""/>
    <s v="Local SIM Card - Data Only"/>
    <x v="20"/>
    <n v="10"/>
    <n v="0"/>
    <n v="20"/>
    <n v="20"/>
    <n v="0"/>
    <n v="20"/>
    <s v="LOC IT"/>
    <x v="0"/>
    <x v="10"/>
    <x v="1"/>
    <s v="FIFA Event Technology"/>
    <s v="FIFA Event Technology"/>
    <s v="valid between 22 Oct - 20 Dec"/>
    <s v="Telco/SIM"/>
  </r>
  <r>
    <s v="SIMDOM"/>
    <s v="SIM - Domestic"/>
    <s v="Telephony"/>
    <s v=""/>
    <s v=""/>
    <s v="Local SIM Card"/>
    <x v="21"/>
    <n v="80"/>
    <n v="0"/>
    <n v="100"/>
    <n v="100"/>
    <n v="0"/>
    <n v="100"/>
    <s v="LOC IT"/>
    <x v="0"/>
    <x v="10"/>
    <x v="1"/>
    <s v="FIFA Event Technology"/>
    <s v="FIFA Event Technology"/>
    <s v="valid between 22 Oct - 20 Dec"/>
    <s v="Telco/SIM"/>
  </r>
  <r>
    <s v="SIMINT"/>
    <s v="SIM - International"/>
    <s v="Telephony"/>
    <s v=""/>
    <s v=""/>
    <s v="Local SIM Card + International"/>
    <x v="22"/>
    <n v="5"/>
    <n v="0"/>
    <n v="15"/>
    <n v="15"/>
    <n v="0"/>
    <n v="15"/>
    <s v="LOC IT"/>
    <x v="0"/>
    <x v="10"/>
    <x v="1"/>
    <s v="FIFA Event Technology"/>
    <s v="FIFA Event Technology"/>
    <s v="valid between 22 Oct - 20 Dec"/>
    <s v="Telco/SIM"/>
  </r>
  <r>
    <s v="TELMOB"/>
    <s v="Telephone - Mobile - Smart Phone"/>
    <s v="Telephony"/>
    <s v="Single"/>
    <s v=""/>
    <s v="Smart Phone"/>
    <x v="23"/>
    <n v="80"/>
    <n v="0"/>
    <n v="100"/>
    <n v="100"/>
    <n v="0"/>
    <n v="0"/>
    <s v="FIFA Event Technology"/>
    <x v="0"/>
    <x v="10"/>
    <x v="1"/>
    <s v="FIFA Event Technology"/>
    <s v="FIFA Event Technology"/>
    <m/>
    <s v="Telco/SIM"/>
  </r>
  <r>
    <s v="WRDGEN"/>
    <s v="Wired Port - General Internet "/>
    <s v="Network &amp; Connectivity"/>
    <s v=""/>
    <s v="General Internet Access"/>
    <s v="Wired Port - Internet"/>
    <x v="8"/>
    <n v="2"/>
    <n v="2"/>
    <n v="0"/>
    <n v="2"/>
    <n v="2"/>
    <n v="0"/>
    <s v="LOC IT"/>
    <x v="0"/>
    <x v="10"/>
    <x v="1"/>
    <s v="FIFA Event Technology"/>
    <s v="FIFA Event Technology"/>
    <m/>
    <s v="NW"/>
  </r>
  <r>
    <s v="DSKMNT"/>
    <s v="24&quot; Monitor - HDMI/DP"/>
    <s v="Peripherals"/>
    <s v=""/>
    <s v=""/>
    <s v="24&quot; PC Monitor"/>
    <x v="0"/>
    <n v="1"/>
    <n v="0"/>
    <n v="0"/>
    <n v="1"/>
    <n v="0"/>
    <n v="0"/>
    <s v="LOC IT"/>
    <x v="0"/>
    <x v="10"/>
    <x v="23"/>
    <s v="FIFA Event Technology"/>
    <s v="FIFA Event Technology"/>
    <m/>
    <s v="EU"/>
  </r>
  <r>
    <s v="IS0050"/>
    <s v="Internet Service - 50Mbps"/>
    <s v="Network &amp; Connectivity"/>
    <s v=""/>
    <s v=""/>
    <s v="Internet Service - 50Mbps"/>
    <x v="24"/>
    <n v="1"/>
    <n v="1"/>
    <n v="0"/>
    <n v="1"/>
    <n v="1"/>
    <n v="0"/>
    <s v="LOC IT"/>
    <x v="0"/>
    <x v="10"/>
    <x v="23"/>
    <s v="FIFA Event Technology"/>
    <s v="FIFA Event Technology"/>
    <s v="static public IP"/>
    <s v="NW"/>
  </r>
  <r>
    <s v="ITMON"/>
    <s v="IT Monitoring network port"/>
    <s v="Network &amp; Connectivity"/>
    <s v=""/>
    <s v="Monitoring VLAN"/>
    <s v="FIFA IT Monitoring network port"/>
    <x v="25"/>
    <n v="1"/>
    <n v="1"/>
    <n v="0"/>
    <n v="1"/>
    <n v="1"/>
    <n v="0"/>
    <s v="LOC IT"/>
    <x v="0"/>
    <x v="10"/>
    <x v="23"/>
    <s v="FIFA Event Technology"/>
    <s v="FIFA Event Technology"/>
    <m/>
    <s v="NW"/>
  </r>
  <r>
    <s v="ITMON"/>
    <s v="IT Monitoring network port"/>
    <s v="Network &amp; Connectivity"/>
    <s v=""/>
    <s v="Monitoring VLAN"/>
    <s v="FIFA IT Monitoring network port"/>
    <x v="25"/>
    <n v="1"/>
    <n v="1"/>
    <n v="0"/>
    <n v="1"/>
    <n v="1"/>
    <n v="0"/>
    <s v="LOC IT"/>
    <x v="1"/>
    <x v="8"/>
    <x v="23"/>
    <s v="FIFA Event Technology"/>
    <s v="FIFA Event Technology"/>
    <m/>
    <s v="NW"/>
  </r>
  <r>
    <s v="TVMDSA"/>
    <s v="TV - Medium - Standalone"/>
    <s v="CATV"/>
    <s v=""/>
    <s v=""/>
    <s v="Medium TV - Standalone"/>
    <x v="26"/>
    <n v="1"/>
    <n v="0"/>
    <n v="0"/>
    <n v="1"/>
    <n v="0"/>
    <n v="0"/>
    <s v="LOC IT"/>
    <x v="0"/>
    <x v="10"/>
    <x v="23"/>
    <s v="FIFA Event Technology"/>
    <s v="FIFA Event Technology"/>
    <m/>
    <s v="AV"/>
  </r>
  <r>
    <s v="TVSTND"/>
    <s v="TV Stand - Medium &amp; Large TVs"/>
    <s v="Peripherals"/>
    <s v=""/>
    <s v=""/>
    <s v="TV Stand for medium and large TVs"/>
    <x v="6"/>
    <n v="1"/>
    <n v="0"/>
    <n v="0"/>
    <n v="1"/>
    <n v="0"/>
    <n v="0"/>
    <s v="LOC IT"/>
    <x v="0"/>
    <x v="10"/>
    <x v="23"/>
    <s v="FIFA Event Technology"/>
    <s v="FIFA Event Technology"/>
    <m/>
    <s v="AV"/>
  </r>
  <r>
    <s v="WRDGEN"/>
    <s v="Wired Port - General Internet "/>
    <s v="Network &amp; Connectivity"/>
    <s v=""/>
    <s v="General Internet Access"/>
    <s v="Wired Port - Internet"/>
    <x v="8"/>
    <n v="2"/>
    <n v="2"/>
    <n v="0"/>
    <n v="2"/>
    <n v="2"/>
    <n v="0"/>
    <s v="LOC IT"/>
    <x v="1"/>
    <x v="8"/>
    <x v="23"/>
    <s v="FIFA Event Technology"/>
    <s v="FIFA Event Technology"/>
    <m/>
    <s v="NW"/>
  </r>
  <r>
    <s v="WRDGEN"/>
    <s v="Wired Port - General Internet "/>
    <s v="Network &amp; Connectivity"/>
    <s v=""/>
    <s v="General Internet Access"/>
    <s v="Wired Port - Internet"/>
    <x v="8"/>
    <n v="1"/>
    <n v="1"/>
    <n v="0"/>
    <n v="1"/>
    <n v="1"/>
    <n v="0"/>
    <s v="LOC IT"/>
    <x v="0"/>
    <x v="10"/>
    <x v="23"/>
    <s v="FIFA Event Technology"/>
    <s v="FIFA Event Technology"/>
    <m/>
    <s v="NW"/>
  </r>
  <r>
    <s v="DSKMNT"/>
    <s v="24&quot; Monitor - HDMI/DP"/>
    <s v="Peripherals"/>
    <s v=""/>
    <s v=""/>
    <s v="24&quot; PC Monitor"/>
    <x v="0"/>
    <n v="2"/>
    <n v="0"/>
    <n v="0"/>
    <n v="2"/>
    <n v="0"/>
    <n v="0"/>
    <s v="LOC IT"/>
    <x v="0"/>
    <x v="10"/>
    <x v="1"/>
    <s v="FIFA Films"/>
    <s v="FIFA Films"/>
    <s v="Location TBC"/>
    <s v="EU"/>
  </r>
  <r>
    <s v="IS00WF"/>
    <s v="Wireless coverage - Shared Internet Service - Wi-Fi FIFA"/>
    <s v="Network &amp; Connectivity"/>
    <s v=""/>
    <s v="General Internet Access"/>
    <s v="Wireless coverage - Shared Internet Service - FIFA"/>
    <x v="1"/>
    <n v="1"/>
    <n v="0"/>
    <n v="0"/>
    <n v="1"/>
    <n v="0"/>
    <n v="0"/>
    <s v="LOC IT"/>
    <x v="0"/>
    <x v="10"/>
    <x v="1"/>
    <s v="FIFA Films"/>
    <s v="FIFA Films"/>
    <s v="Location TBC"/>
    <s v="NW"/>
  </r>
  <r>
    <s v="WRDSTU"/>
    <s v="Wired Port - Content"/>
    <s v="Network &amp; Connectivity"/>
    <s v=""/>
    <s v="FIFA Technical Content"/>
    <s v="Wired Port - Content"/>
    <x v="4"/>
    <n v="2"/>
    <n v="2"/>
    <n v="0"/>
    <n v="2"/>
    <n v="2"/>
    <n v="0"/>
    <s v="LOC IT"/>
    <x v="0"/>
    <x v="10"/>
    <x v="1"/>
    <s v="FIFA Films"/>
    <s v="FIFA Films"/>
    <s v="Location TBC"/>
    <s v="NW"/>
  </r>
  <r>
    <s v="DSK27M"/>
    <s v="27&quot; Monitor - HDMI/DP"/>
    <s v="Peripherals"/>
    <s v=""/>
    <s v=""/>
    <s v="27&quot; PC Monitor"/>
    <x v="27"/>
    <n v="4"/>
    <n v="0"/>
    <n v="0"/>
    <n v="4"/>
    <n v="0"/>
    <n v="0"/>
    <s v="LOC IT"/>
    <x v="0"/>
    <x v="20"/>
    <x v="24"/>
    <s v="FIFA FTI"/>
    <s v="FIFA FTI"/>
    <m/>
    <s v="EU"/>
  </r>
  <r>
    <s v="IS00WF"/>
    <s v="Wireless coverage - Shared Internet Service - Wi-Fi FIFA"/>
    <s v="Network &amp; Connectivity"/>
    <s v=""/>
    <s v="General Internet Access"/>
    <s v="Wireless coverage - Shared Internet Service - FIFA"/>
    <x v="1"/>
    <n v="1"/>
    <n v="0"/>
    <n v="0"/>
    <n v="1"/>
    <n v="0"/>
    <n v="0"/>
    <s v="LOC IT"/>
    <x v="0"/>
    <x v="20"/>
    <x v="24"/>
    <s v="FIFA FTI"/>
    <s v="FIFA FTI"/>
    <m/>
    <s v="NW"/>
  </r>
  <r>
    <s v="IS00WF"/>
    <s v="Wireless coverage - Shared Internet Service - Wi-Fi FIFA"/>
    <s v="Network &amp; Connectivity"/>
    <s v=""/>
    <s v="General Internet Access"/>
    <s v="Wireless coverage - Shared Internet Service - FIFA"/>
    <x v="1"/>
    <n v="1"/>
    <n v="0"/>
    <n v="0"/>
    <n v="1"/>
    <n v="0"/>
    <n v="0"/>
    <s v="LOC IT"/>
    <x v="0"/>
    <x v="21"/>
    <x v="24"/>
    <s v="FIFA FTI"/>
    <s v="FIFA FTI"/>
    <m/>
    <s v="NW"/>
  </r>
  <r>
    <s v="IS00WF"/>
    <s v="Wireless coverage - Shared Internet Service - Wi-Fi FIFA"/>
    <s v="Network &amp; Connectivity"/>
    <s v=""/>
    <s v="General Internet Access"/>
    <s v="Wireless coverage - Shared Internet Service - FIFA"/>
    <x v="1"/>
    <n v="1"/>
    <n v="0"/>
    <n v="0"/>
    <n v="1"/>
    <n v="0"/>
    <n v="0"/>
    <s v="LOC IT"/>
    <x v="0"/>
    <x v="14"/>
    <x v="25"/>
    <s v="FIFA FTI"/>
    <s v="FIFA FTI"/>
    <s v="20 Mbps – FTI"/>
    <s v="NW"/>
  </r>
  <r>
    <s v="WRDFTI"/>
    <s v="Wired Port - FTI"/>
    <s v="Network &amp; Connectivity"/>
    <s v=""/>
    <s v="FIFA Technical FTI"/>
    <s v="Wired Port - FTI"/>
    <x v="13"/>
    <n v="1"/>
    <n v="1"/>
    <n v="0"/>
    <n v="1"/>
    <n v="1"/>
    <n v="0"/>
    <s v="LOC IT"/>
    <x v="0"/>
    <x v="14"/>
    <x v="25"/>
    <s v="FIFA FTI"/>
    <s v="FIFA FTI"/>
    <s v="50 Mbps – FTI"/>
    <s v="NW"/>
  </r>
  <r>
    <s v="WRDFTI"/>
    <s v="Wired Port - FTI"/>
    <s v="Network &amp; Connectivity"/>
    <s v=""/>
    <s v="FIFA Technical FTI"/>
    <s v="Wired Port - FTI"/>
    <x v="13"/>
    <n v="2"/>
    <n v="2"/>
    <n v="0"/>
    <n v="2"/>
    <n v="2"/>
    <n v="0"/>
    <s v="LOC IT"/>
    <x v="0"/>
    <x v="14"/>
    <x v="25"/>
    <s v="FIFA FTI"/>
    <s v="FIFA FTI"/>
    <s v="20 Mbps - Refereeing"/>
    <s v="NW"/>
  </r>
  <r>
    <s v="IS00WF"/>
    <s v="Wireless coverage - Shared Internet Service - Wi-Fi FIFA"/>
    <s v="Network &amp; Connectivity"/>
    <s v=""/>
    <s v="General Internet Access"/>
    <s v="Wireless coverage - Shared Internet Service - FIFA"/>
    <x v="1"/>
    <n v="1"/>
    <n v="0"/>
    <n v="0"/>
    <n v="1"/>
    <n v="0"/>
    <n v="0"/>
    <s v="LOC IT"/>
    <x v="0"/>
    <x v="14"/>
    <x v="26"/>
    <s v="FIFA FTI"/>
    <s v="FIFA FTI"/>
    <s v="20 Mbps – FTI"/>
    <s v="NW"/>
  </r>
  <r>
    <s v="WRDFTI"/>
    <s v="Wired Port - FTI"/>
    <s v="Network &amp; Connectivity"/>
    <s v=""/>
    <s v="FIFA Technical FTI"/>
    <s v="Wired Port - FTI"/>
    <x v="13"/>
    <n v="1"/>
    <n v="1"/>
    <n v="0"/>
    <n v="1"/>
    <n v="1"/>
    <n v="0"/>
    <s v="LOC IT"/>
    <x v="0"/>
    <x v="14"/>
    <x v="26"/>
    <s v="FIFA FTI"/>
    <s v="FIFA FTI"/>
    <s v="50 Mbps – FTI"/>
    <s v="NW"/>
  </r>
  <r>
    <s v="WRDFTI"/>
    <s v="Wired Port - FTI"/>
    <s v="Network &amp; Connectivity"/>
    <s v=""/>
    <s v="FIFA Technical FTI"/>
    <s v="Wired Port - FTI"/>
    <x v="13"/>
    <n v="2"/>
    <n v="2"/>
    <n v="0"/>
    <n v="2"/>
    <n v="2"/>
    <n v="0"/>
    <s v="LOC IT"/>
    <x v="0"/>
    <x v="14"/>
    <x v="26"/>
    <s v="FIFA FTI"/>
    <s v="FIFA FTI"/>
    <s v="20 Mbps - Refereeing"/>
    <s v="NW"/>
  </r>
  <r>
    <s v="IS00WF"/>
    <s v="Wireless coverage - Shared Internet Service - Wi-Fi FIFA"/>
    <s v="Network &amp; Connectivity"/>
    <s v=""/>
    <s v="General Internet Access"/>
    <s v="Wireless coverage - Shared Internet Service - FIFA"/>
    <x v="1"/>
    <n v="1"/>
    <n v="0"/>
    <n v="0"/>
    <n v="1"/>
    <n v="0"/>
    <n v="0"/>
    <s v="LOC IT"/>
    <x v="0"/>
    <x v="14"/>
    <x v="27"/>
    <s v="FIFA FTI"/>
    <s v="FIFA FTI"/>
    <s v="20 Mbps – FTI"/>
    <s v="NW"/>
  </r>
  <r>
    <s v="WRDFTI"/>
    <s v="Wired Port - FTI"/>
    <s v="Network &amp; Connectivity"/>
    <s v=""/>
    <s v="FIFA Technical FTI"/>
    <s v="Wired Port - FTI"/>
    <x v="13"/>
    <n v="1"/>
    <n v="1"/>
    <n v="0"/>
    <n v="1"/>
    <n v="1"/>
    <n v="0"/>
    <s v="LOC IT"/>
    <x v="0"/>
    <x v="14"/>
    <x v="27"/>
    <s v="FIFA FTI"/>
    <s v="FIFA FTI"/>
    <s v="50 Mbps – FTI"/>
    <s v="NW"/>
  </r>
  <r>
    <s v="WRDFTI"/>
    <s v="Wired Port - FTI"/>
    <s v="Network &amp; Connectivity"/>
    <s v=""/>
    <s v="FIFA Technical FTI"/>
    <s v="Wired Port - FTI"/>
    <x v="13"/>
    <n v="2"/>
    <n v="2"/>
    <n v="0"/>
    <n v="2"/>
    <n v="2"/>
    <n v="0"/>
    <s v="LOC IT"/>
    <x v="0"/>
    <x v="14"/>
    <x v="27"/>
    <s v="FIFA FTI"/>
    <s v="FIFA FTI"/>
    <s v="20 Mbps - Refereeing"/>
    <s v="NW"/>
  </r>
  <r>
    <s v="IS00WF"/>
    <s v="Wireless coverage - Shared Internet Service - Wi-Fi FIFA"/>
    <s v="Network &amp; Connectivity"/>
    <s v=""/>
    <s v="General Internet Access"/>
    <s v="Wireless coverage - Shared Internet Service - FIFA"/>
    <x v="1"/>
    <n v="1"/>
    <n v="0"/>
    <n v="0"/>
    <n v="1"/>
    <n v="0"/>
    <n v="0"/>
    <s v="LOC IT"/>
    <x v="0"/>
    <x v="15"/>
    <x v="28"/>
    <s v="FIFA FTI"/>
    <s v="FIFA FTI"/>
    <s v="20 Mbps – FTI"/>
    <s v="NW"/>
  </r>
  <r>
    <s v="WRDFTI"/>
    <s v="Wired Port - FTI"/>
    <s v="Network &amp; Connectivity"/>
    <s v=""/>
    <s v="FIFA Technical FTI"/>
    <s v="Wired Port - FTI"/>
    <x v="13"/>
    <n v="1"/>
    <n v="1"/>
    <n v="0"/>
    <n v="1"/>
    <n v="1"/>
    <n v="0"/>
    <s v="LOC IT"/>
    <x v="0"/>
    <x v="15"/>
    <x v="28"/>
    <s v="FIFA FTI"/>
    <s v="FIFA FTI"/>
    <s v="50 Mbps – FTI"/>
    <s v="NW"/>
  </r>
  <r>
    <s v="WRDFTI"/>
    <s v="Wired Port - FTI"/>
    <s v="Network &amp; Connectivity"/>
    <s v=""/>
    <s v="FIFA Technical FTI"/>
    <s v="Wired Port - FTI"/>
    <x v="13"/>
    <n v="0"/>
    <n v="2"/>
    <n v="0"/>
    <n v="2"/>
    <n v="2"/>
    <n v="0"/>
    <s v="LOC IT"/>
    <x v="0"/>
    <x v="15"/>
    <x v="28"/>
    <s v="FIFA FTI"/>
    <s v="FIFA FTI"/>
    <s v="20 Mbps - Refereeing"/>
    <s v="NW"/>
  </r>
  <r>
    <s v="PROJ6K"/>
    <s v="Office Projector - 6K"/>
    <s v="Display Devices"/>
    <s v=""/>
    <s v=""/>
    <s v="Office Projector - 6K"/>
    <x v="28"/>
    <n v="1"/>
    <n v="0"/>
    <n v="0"/>
    <n v="1"/>
    <n v="0"/>
    <n v="0"/>
    <s v="LOC IT"/>
    <x v="0"/>
    <x v="21"/>
    <x v="24"/>
    <s v="FIFA FTI"/>
    <s v="FIFA FTI"/>
    <s v="or a large TV to cover 20 pax"/>
    <s v="EU"/>
  </r>
  <r>
    <s v="TVLGIP"/>
    <s v="TV - Large - IPTV"/>
    <s v="CATV"/>
    <s v=""/>
    <s v=""/>
    <s v="Large TV - CATV Feed"/>
    <x v="5"/>
    <n v="4"/>
    <n v="4"/>
    <n v="0"/>
    <n v="4"/>
    <n v="4"/>
    <n v="0"/>
    <s v="LOC IT"/>
    <x v="0"/>
    <x v="20"/>
    <x v="24"/>
    <s v="FIFA FTI"/>
    <s v="FIFA FTI"/>
    <s v="if it's possible to provide video signal with different feeds from different angles"/>
    <s v="AV"/>
  </r>
  <r>
    <s v="TVSTND"/>
    <s v="TV Stand - Medium &amp; Large TVs"/>
    <s v="Peripherals"/>
    <s v=""/>
    <s v=""/>
    <s v="TV Stand for medium and large TVs"/>
    <x v="6"/>
    <n v="4"/>
    <n v="0"/>
    <n v="0"/>
    <n v="4"/>
    <n v="0"/>
    <n v="0"/>
    <s v="LOC IT"/>
    <x v="0"/>
    <x v="20"/>
    <x v="24"/>
    <s v="FIFA FTI"/>
    <s v="FIFA FTI"/>
    <m/>
    <s v="AV"/>
  </r>
  <r>
    <s v="WRDFTI"/>
    <s v="Wired Port - FTI"/>
    <s v="Network &amp; Connectivity"/>
    <s v=""/>
    <s v="FIFA Technical FTI"/>
    <s v="Wired Port - FTI"/>
    <x v="13"/>
    <n v="7"/>
    <n v="6"/>
    <n v="0"/>
    <n v="6"/>
    <n v="6"/>
    <n v="0"/>
    <s v="LOC IT"/>
    <x v="0"/>
    <x v="14"/>
    <x v="29"/>
    <s v="FIFA FTI"/>
    <s v="FIFA FTI"/>
    <s v="50 Mbps – Streaming provider_x000a_3 Main_x000a_3 Backup_x000a_2 different ISPs"/>
    <s v="NW"/>
  </r>
  <r>
    <s v="WRDFTI"/>
    <s v="Wired Port - FTI"/>
    <s v="Network &amp; Connectivity"/>
    <s v=""/>
    <s v="FIFA Technical FTI"/>
    <s v="Wired Port - FTI"/>
    <x v="13"/>
    <n v="0"/>
    <n v="1"/>
    <n v="0"/>
    <n v="1"/>
    <n v="1"/>
    <n v="0"/>
    <s v="LOC IT"/>
    <x v="0"/>
    <x v="14"/>
    <x v="29"/>
    <s v="FIFA FTI"/>
    <s v="FIFA FTI"/>
    <s v="100 Mbps – FVS provider"/>
    <s v="NW"/>
  </r>
  <r>
    <s v="WRDFTI"/>
    <s v="Wired Port - FTI"/>
    <s v="Network &amp; Connectivity"/>
    <s v=""/>
    <s v="FIFA Technical FTI"/>
    <s v="Wired Port - FTI"/>
    <x v="13"/>
    <n v="4"/>
    <n v="2"/>
    <n v="0"/>
    <n v="2"/>
    <n v="2"/>
    <n v="0"/>
    <s v="LOC IT"/>
    <x v="0"/>
    <x v="15"/>
    <x v="30"/>
    <s v="FIFA FTI"/>
    <s v="FIFA FTI"/>
    <s v="50 Mbps – Streaming provider_x000a_3 Main_x000a_3 Backup_x000a_2 different ISPs"/>
    <s v="NW"/>
  </r>
  <r>
    <s v="WRDFTI"/>
    <s v="Wired Port - FTI"/>
    <s v="Network &amp; Connectivity"/>
    <s v=""/>
    <s v="FIFA Technical FTI"/>
    <s v="Wired Port - FTI"/>
    <x v="13"/>
    <n v="0"/>
    <n v="1"/>
    <n v="0"/>
    <n v="1"/>
    <n v="1"/>
    <n v="0"/>
    <s v="LOC IT"/>
    <x v="0"/>
    <x v="15"/>
    <x v="30"/>
    <s v="FIFA FTI"/>
    <s v="FIFA FTI"/>
    <s v="100 Mbps – FVS provider"/>
    <s v="NW"/>
  </r>
  <r>
    <s v="WRDTSG"/>
    <s v="Wired Port - TSG"/>
    <s v="Network &amp; Connectivity"/>
    <s v=""/>
    <s v="FIFA Technical TSG"/>
    <s v="Wired Port - TSG"/>
    <x v="29"/>
    <n v="1"/>
    <n v="1"/>
    <n v="0"/>
    <n v="1"/>
    <n v="1"/>
    <n v="0"/>
    <s v="LOC IT"/>
    <x v="0"/>
    <x v="20"/>
    <x v="24"/>
    <s v="FIFA FTI"/>
    <s v="FIFA FTI"/>
    <s v="Internet speed 350Mb"/>
    <s v="NW"/>
  </r>
  <r>
    <s v="IS00WF"/>
    <s v="Wireless coverage - Shared Internet Service - Wi-Fi FIFA"/>
    <s v="Network &amp; Connectivity"/>
    <s v=""/>
    <s v="General Internet Access"/>
    <s v="Wireless coverage - Shared Internet Service - FIFA"/>
    <x v="1"/>
    <n v="1"/>
    <n v="0"/>
    <n v="0"/>
    <n v="1"/>
    <n v="0"/>
    <n v="0"/>
    <s v="LOC IT"/>
    <x v="1"/>
    <x v="11"/>
    <x v="31"/>
    <s v="FIFA FTI"/>
    <s v="FIFA FTI"/>
    <s v="at BC in the stadium"/>
    <s v="NW"/>
  </r>
  <r>
    <s v="WRDFTI"/>
    <s v="Wired Port - FTI"/>
    <s v="Network &amp; Connectivity"/>
    <s v=""/>
    <s v="FIFA Technical FTI"/>
    <s v="Wired Port - FTI"/>
    <x v="13"/>
    <n v="2"/>
    <n v="2"/>
    <n v="0"/>
    <n v="2"/>
    <n v="2"/>
    <n v="0"/>
    <s v="LOC IT"/>
    <x v="1"/>
    <x v="11"/>
    <x v="32"/>
    <s v="FIFA FTI"/>
    <s v="FIFA FTI"/>
    <s v="at BC in the stadium (2 x 25Mb) _x000a_1 Main_x000a_1 Backup_x000a_2 different ISPs"/>
    <s v="NW"/>
  </r>
  <r>
    <s v="WRDFTI"/>
    <s v="Wired Port - FTI"/>
    <s v="Network &amp; Connectivity"/>
    <s v=""/>
    <s v="FIFA Technical FTI"/>
    <s v="Wired Port - FTI"/>
    <x v="13"/>
    <n v="1"/>
    <n v="1"/>
    <n v="0"/>
    <n v="1"/>
    <n v="1"/>
    <n v="0"/>
    <s v="LOC IT"/>
    <x v="1"/>
    <x v="11"/>
    <x v="32"/>
    <s v="FIFA FTI"/>
    <s v="FIFA FTI"/>
    <s v="at BC in the stadium (100 Mb)"/>
    <s v="NW"/>
  </r>
  <r>
    <s v="WRDFTI"/>
    <s v="Wired Port - FTI"/>
    <s v="Network &amp; Connectivity"/>
    <s v=""/>
    <s v="FIFA Technical FTI"/>
    <s v="Wired Port - FTI"/>
    <x v="13"/>
    <n v="1"/>
    <n v="1"/>
    <n v="0"/>
    <n v="1"/>
    <n v="1"/>
    <n v="0"/>
    <s v="LOC IT"/>
    <x v="1"/>
    <x v="11"/>
    <x v="31"/>
    <s v="FIFA FTI"/>
    <s v="FIFA FTI"/>
    <s v="at BC in the stadium 50 Mbps – FTI"/>
    <s v="NW"/>
  </r>
  <r>
    <s v="WRDFTI"/>
    <s v="Wired Port - FTI"/>
    <s v="Network &amp; Connectivity"/>
    <s v=""/>
    <s v="FIFA Technical FTI"/>
    <s v="Wired Port - FTI"/>
    <x v="13"/>
    <n v="1"/>
    <n v="1"/>
    <n v="0"/>
    <n v="1"/>
    <n v="1"/>
    <n v="0"/>
    <s v="LOC IT"/>
    <x v="1"/>
    <x v="11"/>
    <x v="31"/>
    <s v="FIFA FTI"/>
    <s v="FIFA FTI"/>
    <s v="at BC in the stadium 20 Mbps - Refereeing"/>
    <s v="NW"/>
  </r>
  <r>
    <s v="WRDTSG"/>
    <s v="Wired Port - TSG"/>
    <s v="Network &amp; Connectivity"/>
    <s v=""/>
    <s v="FIFA Technical TSG"/>
    <s v="Wired Port - TSG"/>
    <x v="29"/>
    <n v="8"/>
    <n v="8"/>
    <n v="0"/>
    <n v="8"/>
    <n v="8"/>
    <n v="0"/>
    <s v="LOC IT"/>
    <x v="1"/>
    <x v="17"/>
    <x v="24"/>
    <s v="FIFA FTI"/>
    <s v="FIFA FTI"/>
    <s v="Location TBC: MT"/>
    <s v="NW"/>
  </r>
  <r>
    <s v="IS00VP"/>
    <s v="Wireless coverage - Shared Internet Service - Wi-Fi VIP"/>
    <s v="Network &amp; Connectivity"/>
    <s v=""/>
    <s v="General Internet Access"/>
    <s v="Wireless coverage - Shared Internet Service - VIP"/>
    <x v="30"/>
    <n v="1"/>
    <n v="0"/>
    <n v="0"/>
    <n v="1"/>
    <n v="0"/>
    <n v="0"/>
    <s v="LOC IT"/>
    <x v="0"/>
    <x v="13"/>
    <x v="33"/>
    <s v="FIFA Guest Operations"/>
    <s v="FIFA Guest Operations"/>
    <m/>
    <s v="NW"/>
  </r>
  <r>
    <s v="IS00WF"/>
    <s v="Wireless coverage - Shared Internet Service - Wi-Fi FIFA"/>
    <s v="Network &amp; Connectivity"/>
    <s v=""/>
    <s v="General Internet Access"/>
    <s v="Wireless coverage - Shared Internet Service - FIFA"/>
    <x v="1"/>
    <n v="1"/>
    <n v="0"/>
    <n v="0"/>
    <n v="1"/>
    <n v="0"/>
    <n v="0"/>
    <s v="LOC IT"/>
    <x v="0"/>
    <x v="13"/>
    <x v="34"/>
    <s v="FIFA Guest Operations"/>
    <s v="FIFA Guest Operations"/>
    <m/>
    <s v="NW"/>
  </r>
  <r>
    <s v="MFDDNW"/>
    <s v="MFD Desktop - Colour - A4 - Network"/>
    <s v="Reprographics"/>
    <s v=""/>
    <s v="General Internet Access"/>
    <s v="Colour Printer / Scanner (A4)"/>
    <x v="2"/>
    <n v="1"/>
    <n v="1"/>
    <n v="0"/>
    <n v="1"/>
    <n v="1"/>
    <n v="0"/>
    <s v="LOC IT"/>
    <x v="0"/>
    <x v="13"/>
    <x v="34"/>
    <s v="FIFA Guest Operations"/>
    <s v="FIFA Guest Operations"/>
    <m/>
    <s v="EU"/>
  </r>
  <r>
    <s v="TVLGIP"/>
    <s v="TV - Large - IPTV"/>
    <s v="CATV"/>
    <s v=""/>
    <s v=""/>
    <s v="Large TV - CATV Feed"/>
    <x v="5"/>
    <n v="4"/>
    <n v="4"/>
    <n v="0"/>
    <n v="4"/>
    <n v="4"/>
    <n v="0"/>
    <s v="LOC IT"/>
    <x v="0"/>
    <x v="13"/>
    <x v="33"/>
    <s v="FIFA Guest Operations"/>
    <s v="FIFA Guest Operations"/>
    <m/>
    <s v="AV"/>
  </r>
  <r>
    <s v="TVSTND"/>
    <s v="TV Stand - Medium &amp; Large TVs"/>
    <s v="Peripherals"/>
    <s v=""/>
    <s v=""/>
    <s v="TV Stand for medium and large TVs"/>
    <x v="6"/>
    <n v="4"/>
    <n v="0"/>
    <n v="0"/>
    <n v="4"/>
    <n v="0"/>
    <n v="0"/>
    <s v="LOC IT"/>
    <x v="0"/>
    <x v="13"/>
    <x v="33"/>
    <s v="FIFA Guest Operations"/>
    <s v="FIFA Guest Operations"/>
    <m/>
    <s v="AV"/>
  </r>
  <r>
    <s v="IS00VP"/>
    <s v="Wireless coverage - Shared Internet Service - Wi-Fi VIP"/>
    <s v="Network &amp; Connectivity"/>
    <s v=""/>
    <s v="General Internet Access"/>
    <s v="Wireless coverage - Shared Internet Service - VIP"/>
    <x v="30"/>
    <n v="1"/>
    <n v="0"/>
    <n v="0"/>
    <n v="1"/>
    <n v="0"/>
    <n v="0"/>
    <s v="LOC IT"/>
    <x v="1"/>
    <x v="22"/>
    <x v="33"/>
    <s v="FIFA Guest Operations"/>
    <s v="FIFA Guest Operations"/>
    <m/>
    <s v="NW"/>
  </r>
  <r>
    <s v="IS00WF"/>
    <s v="Wireless coverage - Shared Internet Service - Wi-Fi FIFA"/>
    <s v="Network &amp; Connectivity"/>
    <s v=""/>
    <s v="General Internet Access"/>
    <s v="Wireless coverage - Shared Internet Service - FIFA"/>
    <x v="1"/>
    <n v="1"/>
    <n v="0"/>
    <n v="0"/>
    <n v="1"/>
    <n v="0"/>
    <n v="0"/>
    <s v="LOC IT"/>
    <x v="1"/>
    <x v="22"/>
    <x v="34"/>
    <s v="FIFA Guest Operations"/>
    <s v="FIFA Guest Operations"/>
    <m/>
    <s v="NW"/>
  </r>
  <r>
    <s v="MFDDNW"/>
    <s v="MFD Desktop - Colour - A4 - Network"/>
    <s v="Reprographics"/>
    <s v=""/>
    <s v="General Internet Access"/>
    <s v="Colour Printer / Scanner (A4)"/>
    <x v="2"/>
    <n v="1"/>
    <n v="1"/>
    <n v="0"/>
    <n v="1"/>
    <n v="1"/>
    <n v="0"/>
    <s v="LOC IT"/>
    <x v="1"/>
    <x v="22"/>
    <x v="34"/>
    <s v="FIFA Guest Operations"/>
    <s v="FIFA Guest Operations"/>
    <m/>
    <s v="EU"/>
  </r>
  <r>
    <s v="TVLGIP"/>
    <s v="TV - Large - IPTV"/>
    <s v="CATV"/>
    <s v=""/>
    <s v=""/>
    <s v="Large TV - CATV Feed"/>
    <x v="5"/>
    <n v="2"/>
    <n v="2"/>
    <n v="0"/>
    <n v="2"/>
    <n v="2"/>
    <n v="0"/>
    <s v="LOC IT"/>
    <x v="1"/>
    <x v="22"/>
    <x v="33"/>
    <s v="FIFA Guest Operations"/>
    <s v="FIFA Guest Operations"/>
    <m/>
    <s v="AV"/>
  </r>
  <r>
    <s v="TVSTND"/>
    <s v="TV Stand - Medium &amp; Large TVs"/>
    <s v="Peripherals"/>
    <s v=""/>
    <s v=""/>
    <s v="TV Stand for medium and large TVs"/>
    <x v="6"/>
    <n v="2"/>
    <n v="0"/>
    <n v="0"/>
    <n v="2"/>
    <n v="0"/>
    <n v="0"/>
    <s v="LOC IT"/>
    <x v="1"/>
    <x v="22"/>
    <x v="33"/>
    <s v="FIFA Guest Operations"/>
    <s v="FIFA Guest Operations"/>
    <m/>
    <s v="AV"/>
  </r>
  <r>
    <s v="CABLOK"/>
    <s v="Laptop Cable Lock"/>
    <s v="Peripherals"/>
    <s v="Multi"/>
    <s v=""/>
    <s v="Laptop Cable Lock"/>
    <x v="10"/>
    <n v="1"/>
    <n v="0"/>
    <n v="0"/>
    <n v="1"/>
    <n v="0"/>
    <n v="0"/>
    <s v="FIFA Event Technology"/>
    <x v="0"/>
    <x v="23"/>
    <x v="14"/>
    <s v="FIFA Media"/>
    <s v="FIFA Media"/>
    <m/>
    <s v="EU"/>
  </r>
  <r>
    <s v="IS00WM"/>
    <s v="Wireless coverage - Internet Service - Wi-Fi Media"/>
    <s v="Network &amp; Connectivity"/>
    <s v=""/>
    <s v="Media Internet Access"/>
    <s v="Wireless coverage - Internet Service - Media"/>
    <x v="31"/>
    <n v="1"/>
    <n v="0"/>
    <n v="0"/>
    <n v="1"/>
    <n v="0"/>
    <n v="0"/>
    <s v="LOC IT"/>
    <x v="0"/>
    <x v="23"/>
    <x v="14"/>
    <s v="FIFA Media"/>
    <s v="FIFA Media"/>
    <s v="for 100pax"/>
    <s v="NW"/>
  </r>
  <r>
    <s v="IS00WM"/>
    <s v="Wireless coverage - Internet Service - Wi-Fi Media"/>
    <s v="Network &amp; Connectivity"/>
    <s v=""/>
    <s v="Media Internet Access"/>
    <s v="Wireless coverage - Internet Service - Media"/>
    <x v="31"/>
    <n v="1"/>
    <n v="0"/>
    <n v="0"/>
    <n v="1"/>
    <n v="0"/>
    <n v="0"/>
    <s v="LOC IT"/>
    <x v="0"/>
    <x v="17"/>
    <x v="35"/>
    <s v="FIFA Media"/>
    <s v="FIFA Media"/>
    <s v="Local Press"/>
    <s v="NW"/>
  </r>
  <r>
    <s v="IS00WM"/>
    <s v="Wireless coverage - Internet Service - Wi-Fi Media"/>
    <s v="Network &amp; Connectivity"/>
    <s v=""/>
    <s v="Media Internet Access"/>
    <s v="Wireless coverage - Internet Service - Media"/>
    <x v="31"/>
    <n v="1"/>
    <n v="0"/>
    <n v="0"/>
    <n v="1"/>
    <n v="0"/>
    <n v="0"/>
    <s v="LOC IT"/>
    <x v="0"/>
    <x v="9"/>
    <x v="36"/>
    <s v="FIFA Media"/>
    <s v="FIFA Media"/>
    <m/>
    <s v="NW"/>
  </r>
  <r>
    <s v="IS00WM"/>
    <s v="Wireless coverage - Internet Service - Wi-Fi Media"/>
    <s v="Network &amp; Connectivity"/>
    <s v=""/>
    <s v="Media Internet Access"/>
    <s v="Wireless coverage - Internet Service - Media"/>
    <x v="31"/>
    <n v="1"/>
    <n v="0"/>
    <n v="0"/>
    <n v="1"/>
    <n v="0"/>
    <n v="0"/>
    <s v="LOC IT"/>
    <x v="0"/>
    <x v="9"/>
    <x v="37"/>
    <s v="FIFA Media"/>
    <s v="FIFA Media"/>
    <m/>
    <s v="NW"/>
  </r>
  <r>
    <s v="IS00WM"/>
    <s v="Wireless coverage - Internet Service - Wi-Fi Media"/>
    <s v="Network &amp; Connectivity"/>
    <s v=""/>
    <s v="Media Internet Access"/>
    <s v="Wireless coverage - Internet Service - Media"/>
    <x v="31"/>
    <n v="1"/>
    <n v="0"/>
    <n v="0"/>
    <n v="1"/>
    <n v="0"/>
    <n v="0"/>
    <s v="LOC IT"/>
    <x v="0"/>
    <x v="0"/>
    <x v="38"/>
    <s v="FIFA Media"/>
    <s v="FIFA Media"/>
    <m/>
    <s v="NW"/>
  </r>
  <r>
    <s v="IS00WM"/>
    <s v="Wireless coverage - Internet Service - Wi-Fi Media"/>
    <s v="Network &amp; Connectivity"/>
    <s v=""/>
    <s v="Media Internet Access"/>
    <s v="Wireless coverage - Internet Service - Media"/>
    <x v="31"/>
    <n v="1"/>
    <n v="0"/>
    <n v="0"/>
    <n v="1"/>
    <n v="0"/>
    <n v="0"/>
    <s v="LOC IT"/>
    <x v="0"/>
    <x v="0"/>
    <x v="39"/>
    <s v="FIFA Media"/>
    <s v="FIFA Media"/>
    <m/>
    <s v="NW"/>
  </r>
  <r>
    <s v="IS00WM"/>
    <s v="Wireless coverage - Internet Service - Wi-Fi Media"/>
    <s v="Network &amp; Connectivity"/>
    <s v=""/>
    <s v="Media Internet Access"/>
    <s v="Wireless coverage - Internet Service - Media"/>
    <x v="31"/>
    <n v="1"/>
    <n v="0"/>
    <n v="0"/>
    <n v="1"/>
    <n v="0"/>
    <n v="0"/>
    <s v="LOC IT"/>
    <x v="0"/>
    <x v="1"/>
    <x v="38"/>
    <s v="FIFA Media"/>
    <s v="FIFA Media"/>
    <m/>
    <s v="NW"/>
  </r>
  <r>
    <s v="IS00WM"/>
    <s v="Wireless coverage - Internet Service - Wi-Fi Media"/>
    <s v="Network &amp; Connectivity"/>
    <s v=""/>
    <s v="Media Internet Access"/>
    <s v="Wireless coverage - Internet Service - Media"/>
    <x v="31"/>
    <n v="1"/>
    <n v="0"/>
    <n v="0"/>
    <n v="1"/>
    <n v="0"/>
    <n v="0"/>
    <s v="LOC IT"/>
    <x v="0"/>
    <x v="1"/>
    <x v="39"/>
    <s v="FIFA Media"/>
    <s v="FIFA Media"/>
    <m/>
    <s v="NW"/>
  </r>
  <r>
    <s v="IS00WM"/>
    <s v="Wireless coverage - Internet Service - Wi-Fi Media"/>
    <s v="Network &amp; Connectivity"/>
    <s v=""/>
    <s v="Media Internet Access"/>
    <s v="Wireless coverage - Internet Service - Media"/>
    <x v="31"/>
    <n v="1"/>
    <n v="0"/>
    <n v="0"/>
    <n v="1"/>
    <n v="0"/>
    <n v="0"/>
    <s v="LOC IT"/>
    <x v="0"/>
    <x v="2"/>
    <x v="38"/>
    <s v="FIFA Media"/>
    <s v="FIFA Media"/>
    <m/>
    <s v="NW"/>
  </r>
  <r>
    <s v="IS00WM"/>
    <s v="Wireless coverage - Internet Service - Wi-Fi Media"/>
    <s v="Network &amp; Connectivity"/>
    <s v=""/>
    <s v="Media Internet Access"/>
    <s v="Wireless coverage - Internet Service - Media"/>
    <x v="31"/>
    <n v="1"/>
    <n v="0"/>
    <n v="0"/>
    <n v="1"/>
    <n v="0"/>
    <n v="0"/>
    <s v="LOC IT"/>
    <x v="0"/>
    <x v="2"/>
    <x v="39"/>
    <s v="FIFA Media"/>
    <s v="FIFA Media"/>
    <m/>
    <s v="NW"/>
  </r>
  <r>
    <s v="IS00WM"/>
    <s v="Wireless coverage - Internet Service - Wi-Fi Media"/>
    <s v="Network &amp; Connectivity"/>
    <s v=""/>
    <s v="Media Internet Access"/>
    <s v="Wireless coverage - Internet Service - Media"/>
    <x v="31"/>
    <n v="1"/>
    <n v="0"/>
    <n v="0"/>
    <n v="1"/>
    <n v="0"/>
    <n v="0"/>
    <s v="LOC IT"/>
    <x v="0"/>
    <x v="3"/>
    <x v="38"/>
    <s v="FIFA Media"/>
    <s v="FIFA Media"/>
    <m/>
    <s v="NW"/>
  </r>
  <r>
    <s v="IS00WM"/>
    <s v="Wireless coverage - Internet Service - Wi-Fi Media"/>
    <s v="Network &amp; Connectivity"/>
    <s v=""/>
    <s v="Media Internet Access"/>
    <s v="Wireless coverage - Internet Service - Media"/>
    <x v="31"/>
    <n v="1"/>
    <n v="0"/>
    <n v="0"/>
    <n v="1"/>
    <n v="0"/>
    <n v="0"/>
    <s v="LOC IT"/>
    <x v="0"/>
    <x v="3"/>
    <x v="39"/>
    <s v="FIFA Media"/>
    <s v="FIFA Media"/>
    <m/>
    <s v="NW"/>
  </r>
  <r>
    <s v="IS00WM"/>
    <s v="Wireless coverage - Internet Service - Wi-Fi Media"/>
    <s v="Network &amp; Connectivity"/>
    <s v=""/>
    <s v="Media Internet Access"/>
    <s v="Wireless coverage - Internet Service - Media"/>
    <x v="31"/>
    <n v="1"/>
    <n v="0"/>
    <n v="0"/>
    <n v="1"/>
    <n v="0"/>
    <n v="0"/>
    <s v="LOC IT"/>
    <x v="0"/>
    <x v="4"/>
    <x v="38"/>
    <s v="FIFA Media"/>
    <s v="FIFA Media"/>
    <m/>
    <s v="NW"/>
  </r>
  <r>
    <s v="IS00WM"/>
    <s v="Wireless coverage - Internet Service - Wi-Fi Media"/>
    <s v="Network &amp; Connectivity"/>
    <s v=""/>
    <s v="Media Internet Access"/>
    <s v="Wireless coverage - Internet Service - Media"/>
    <x v="31"/>
    <n v="1"/>
    <n v="0"/>
    <n v="0"/>
    <n v="1"/>
    <n v="0"/>
    <n v="0"/>
    <s v="LOC IT"/>
    <x v="0"/>
    <x v="4"/>
    <x v="39"/>
    <s v="FIFA Media"/>
    <s v="FIFA Media"/>
    <m/>
    <s v="NW"/>
  </r>
  <r>
    <s v="IS00WM"/>
    <s v="Wireless coverage - Internet Service - Wi-Fi Media"/>
    <s v="Network &amp; Connectivity"/>
    <s v=""/>
    <s v="Media Internet Access"/>
    <s v="Wireless coverage - Internet Service - Media"/>
    <x v="31"/>
    <n v="1"/>
    <n v="0"/>
    <n v="0"/>
    <n v="1"/>
    <n v="0"/>
    <n v="0"/>
    <s v="LOC IT"/>
    <x v="0"/>
    <x v="5"/>
    <x v="38"/>
    <s v="FIFA Media"/>
    <s v="FIFA Media"/>
    <m/>
    <s v="NW"/>
  </r>
  <r>
    <s v="IS00WM"/>
    <s v="Wireless coverage - Internet Service - Wi-Fi Media"/>
    <s v="Network &amp; Connectivity"/>
    <s v=""/>
    <s v="Media Internet Access"/>
    <s v="Wireless coverage - Internet Service - Media"/>
    <x v="31"/>
    <n v="1"/>
    <n v="0"/>
    <n v="0"/>
    <n v="1"/>
    <n v="0"/>
    <n v="0"/>
    <s v="LOC IT"/>
    <x v="0"/>
    <x v="5"/>
    <x v="39"/>
    <s v="FIFA Media"/>
    <s v="FIFA Media"/>
    <m/>
    <s v="NW"/>
  </r>
  <r>
    <s v="IS00WM"/>
    <s v="Wireless coverage - Internet Service - Wi-Fi Media"/>
    <s v="Network &amp; Connectivity"/>
    <s v=""/>
    <s v="Media Internet Access"/>
    <s v="Wireless coverage - Internet Service - Media"/>
    <x v="31"/>
    <n v="1"/>
    <n v="0"/>
    <n v="0"/>
    <n v="1"/>
    <n v="0"/>
    <n v="0"/>
    <s v="LOC IT"/>
    <x v="0"/>
    <x v="6"/>
    <x v="38"/>
    <s v="FIFA Media"/>
    <s v="FIFA Media"/>
    <m/>
    <s v="NW"/>
  </r>
  <r>
    <s v="IS00WM"/>
    <s v="Wireless coverage - Internet Service - Wi-Fi Media"/>
    <s v="Network &amp; Connectivity"/>
    <s v=""/>
    <s v="Media Internet Access"/>
    <s v="Wireless coverage - Internet Service - Media"/>
    <x v="31"/>
    <n v="1"/>
    <n v="0"/>
    <n v="0"/>
    <n v="1"/>
    <n v="0"/>
    <n v="0"/>
    <s v="LOC IT"/>
    <x v="0"/>
    <x v="6"/>
    <x v="39"/>
    <s v="FIFA Media"/>
    <s v="FIFA Media"/>
    <m/>
    <s v="NW"/>
  </r>
  <r>
    <s v="IS00WM"/>
    <s v="Wireless coverage - Internet Service - Wi-Fi Media"/>
    <s v="Network &amp; Connectivity"/>
    <s v=""/>
    <s v="Media Internet Access"/>
    <s v="Wireless coverage - Internet Service - Media"/>
    <x v="31"/>
    <n v="1"/>
    <n v="0"/>
    <n v="0"/>
    <n v="1"/>
    <n v="0"/>
    <n v="0"/>
    <s v="LOC IT"/>
    <x v="0"/>
    <x v="7"/>
    <x v="38"/>
    <s v="FIFA Media"/>
    <s v="FIFA Media"/>
    <m/>
    <s v="NW"/>
  </r>
  <r>
    <s v="IS00WM"/>
    <s v="Wireless coverage - Internet Service - Wi-Fi Media"/>
    <s v="Network &amp; Connectivity"/>
    <s v=""/>
    <s v="Media Internet Access"/>
    <s v="Wireless coverage - Internet Service - Media"/>
    <x v="31"/>
    <n v="1"/>
    <n v="0"/>
    <n v="0"/>
    <n v="1"/>
    <n v="0"/>
    <n v="0"/>
    <s v="LOC IT"/>
    <x v="0"/>
    <x v="7"/>
    <x v="39"/>
    <s v="FIFA Media"/>
    <s v="FIFA Media"/>
    <m/>
    <s v="NW"/>
  </r>
  <r>
    <s v="IS00WM"/>
    <s v="Wireless coverage - Internet Service - Wi-Fi Media"/>
    <s v="Network &amp; Connectivity"/>
    <s v=""/>
    <s v="Media Internet Access"/>
    <s v="Wireless coverage - Internet Service - Media"/>
    <x v="31"/>
    <n v="1"/>
    <n v="0"/>
    <n v="0"/>
    <n v="1"/>
    <n v="0"/>
    <n v="0"/>
    <s v="LOC IT"/>
    <x v="0"/>
    <x v="18"/>
    <x v="40"/>
    <s v="FIFA Media"/>
    <s v="FIFA Media"/>
    <m/>
    <s v="NW"/>
  </r>
  <r>
    <s v="IS00WM"/>
    <s v="Wireless coverage - Internet Service - Wi-Fi Media"/>
    <s v="Network &amp; Connectivity"/>
    <s v=""/>
    <s v="Media Internet Access"/>
    <s v="Wireless coverage - Internet Service - Media"/>
    <x v="31"/>
    <n v="1"/>
    <n v="0"/>
    <n v="0"/>
    <n v="1"/>
    <n v="0"/>
    <n v="0"/>
    <s v="LOC IT"/>
    <x v="0"/>
    <x v="18"/>
    <x v="41"/>
    <s v="FIFA Media"/>
    <s v="FIFA Media"/>
    <m/>
    <s v="NW"/>
  </r>
  <r>
    <s v="LAPEVT"/>
    <s v="Laptop - FIFA Event Build"/>
    <s v="FIFA IT Hardware"/>
    <s v="Single"/>
    <s v=""/>
    <s v="FIFA Laptop"/>
    <x v="19"/>
    <n v="1"/>
    <n v="0"/>
    <n v="0"/>
    <n v="1"/>
    <n v="0"/>
    <n v="0"/>
    <s v="FIFA Event Technology"/>
    <x v="0"/>
    <x v="23"/>
    <x v="14"/>
    <s v="FIFA Media"/>
    <s v="FIFA Media"/>
    <m/>
    <s v="EU"/>
  </r>
  <r>
    <s v="TVLGIP"/>
    <s v="TV - Large - IPTV"/>
    <s v="CATV"/>
    <s v=""/>
    <s v=""/>
    <s v="Large TV - CATV Feed"/>
    <x v="5"/>
    <n v="2"/>
    <n v="2"/>
    <n v="0"/>
    <n v="2"/>
    <n v="2"/>
    <n v="0"/>
    <s v="LOC IT"/>
    <x v="0"/>
    <x v="23"/>
    <x v="14"/>
    <s v="FIFA Media"/>
    <s v="FIFA Media"/>
    <m/>
    <s v="AV"/>
  </r>
  <r>
    <s v="TVSTND"/>
    <s v="TV Stand - Medium &amp; Large TVs"/>
    <s v="Peripherals"/>
    <s v=""/>
    <s v=""/>
    <s v="TV Stand for medium and large TVs"/>
    <x v="6"/>
    <n v="2"/>
    <n v="0"/>
    <n v="0"/>
    <n v="2"/>
    <n v="0"/>
    <n v="0"/>
    <s v="LOC IT"/>
    <x v="0"/>
    <x v="23"/>
    <x v="14"/>
    <s v="FIFA Media"/>
    <s v="FIFA Media"/>
    <m/>
    <s v="AV"/>
  </r>
  <r>
    <s v="WRDMED"/>
    <s v="Wired Port - Media Internet"/>
    <s v="Network &amp; Connectivity"/>
    <s v=""/>
    <s v="Media Internet Access Media"/>
    <s v="Wired Port - Internet for Media"/>
    <x v="3"/>
    <n v="5"/>
    <n v="5"/>
    <n v="0"/>
    <n v="5"/>
    <n v="5"/>
    <n v="0"/>
    <s v="LOC IT"/>
    <x v="0"/>
    <x v="23"/>
    <x v="14"/>
    <s v="FIFA Media"/>
    <s v="FIFA Media"/>
    <m/>
    <s v="NW"/>
  </r>
  <r>
    <s v="AUDUSB"/>
    <s v="Audio transformer SDI to USB"/>
    <s v="Audio"/>
    <s v=""/>
    <s v=""/>
    <s v="Audio transformer SDI to USB"/>
    <x v="32"/>
    <n v="1"/>
    <n v="0"/>
    <n v="0"/>
    <n v="1"/>
    <n v="0"/>
    <n v="0"/>
    <s v="FIFA Event Technology"/>
    <x v="1"/>
    <x v="19"/>
    <x v="22"/>
    <s v="FIFA Media"/>
    <s v="FIFA Media"/>
    <m/>
    <s v="AV"/>
  </r>
  <r>
    <s v="CABLOK"/>
    <s v="Laptop Cable Lock"/>
    <s v="Peripherals"/>
    <s v="Multi"/>
    <s v=""/>
    <s v="Laptop Cable Lock"/>
    <x v="10"/>
    <n v="1"/>
    <n v="0"/>
    <n v="0"/>
    <n v="1"/>
    <n v="0"/>
    <n v="0"/>
    <s v="FIFA Event Technology"/>
    <x v="1"/>
    <x v="23"/>
    <x v="42"/>
    <s v="FIFA Media"/>
    <s v="FIFA Media"/>
    <m/>
    <s v="EU"/>
  </r>
  <r>
    <s v="CABLOK"/>
    <s v="Laptop Cable Lock"/>
    <s v="Peripherals"/>
    <s v="Multi"/>
    <s v=""/>
    <s v="Laptop Cable Lock"/>
    <x v="10"/>
    <n v="2"/>
    <n v="0"/>
    <n v="0"/>
    <n v="2"/>
    <n v="0"/>
    <n v="0"/>
    <s v="FIFA Event Technology"/>
    <x v="1"/>
    <x v="19"/>
    <x v="22"/>
    <s v="FIFA Media"/>
    <s v="FIFA Media"/>
    <m/>
    <s v="EU"/>
  </r>
  <r>
    <s v="CAM001"/>
    <s v="Webcam"/>
    <s v="Peripherals"/>
    <s v="Multi"/>
    <s v=""/>
    <s v="Webcam"/>
    <x v="33"/>
    <n v="1"/>
    <n v="0"/>
    <n v="0"/>
    <n v="1"/>
    <n v="0"/>
    <n v="0"/>
    <s v="FIFA Event Technology"/>
    <x v="1"/>
    <x v="19"/>
    <x v="22"/>
    <s v="FIFA Media"/>
    <s v="FIFA Media"/>
    <s v="4K"/>
    <s v="EU"/>
  </r>
  <r>
    <s v="IS00WM"/>
    <s v="Wireless coverage - Internet Service - Wi-Fi Media"/>
    <s v="Network &amp; Connectivity"/>
    <s v=""/>
    <s v="Media Internet Access"/>
    <s v="Wireless coverage - Internet Service - Media"/>
    <x v="31"/>
    <n v="1"/>
    <n v="0"/>
    <n v="0"/>
    <n v="1"/>
    <n v="0"/>
    <n v="0"/>
    <s v="LOC IT"/>
    <x v="1"/>
    <x v="23"/>
    <x v="43"/>
    <s v="FIFA Media"/>
    <s v="FIFA Media"/>
    <m/>
    <s v="NW"/>
  </r>
  <r>
    <s v="IS00WM"/>
    <s v="Wireless coverage - Internet Service - Wi-Fi Media"/>
    <s v="Network &amp; Connectivity"/>
    <s v=""/>
    <s v="Media Internet Access"/>
    <s v="Wireless coverage - Internet Service - Media"/>
    <x v="31"/>
    <n v="1"/>
    <n v="0"/>
    <n v="0"/>
    <n v="1"/>
    <n v="0"/>
    <n v="0"/>
    <s v="LOC IT"/>
    <x v="1"/>
    <x v="24"/>
    <x v="44"/>
    <s v="FIFA Media"/>
    <s v="FIFA Media"/>
    <m/>
    <s v="NW"/>
  </r>
  <r>
    <s v="IS00WM"/>
    <s v="Wireless coverage - Internet Service - Wi-Fi Media"/>
    <s v="Network &amp; Connectivity"/>
    <s v=""/>
    <s v="Media Internet Access"/>
    <s v="Wireless coverage - Internet Service - Media"/>
    <x v="31"/>
    <n v="1"/>
    <n v="0"/>
    <n v="0"/>
    <n v="1"/>
    <n v="0"/>
    <n v="0"/>
    <s v="LOC IT"/>
    <x v="1"/>
    <x v="23"/>
    <x v="45"/>
    <s v="FIFA Media"/>
    <s v="FIFA Media"/>
    <m/>
    <s v="NW"/>
  </r>
  <r>
    <s v="IS00WM"/>
    <s v="Wireless coverage - Internet Service - Wi-Fi Media"/>
    <s v="Network &amp; Connectivity"/>
    <s v=""/>
    <s v="Media Internet Access"/>
    <s v="Wireless coverage - Internet Service - Media"/>
    <x v="31"/>
    <n v="1"/>
    <n v="0"/>
    <n v="0"/>
    <n v="1"/>
    <n v="0"/>
    <n v="0"/>
    <s v="LOC IT"/>
    <x v="1"/>
    <x v="17"/>
    <x v="35"/>
    <s v="FIFA Media"/>
    <s v="FIFA Media"/>
    <s v="Local Press+International TBC / for 60pax"/>
    <s v="NW"/>
  </r>
  <r>
    <s v="IS00WM"/>
    <s v="Wireless coverage - Internet Service - Wi-Fi Media"/>
    <s v="Network &amp; Connectivity"/>
    <s v=""/>
    <s v="Media Internet Access"/>
    <s v="Wireless coverage - Internet Service - Media"/>
    <x v="31"/>
    <n v="1"/>
    <n v="0"/>
    <n v="0"/>
    <n v="1"/>
    <n v="0"/>
    <n v="0"/>
    <s v="LOC IT"/>
    <x v="1"/>
    <x v="23"/>
    <x v="42"/>
    <s v="FIFA Media"/>
    <s v="FIFA Media"/>
    <m/>
    <s v="NW"/>
  </r>
  <r>
    <s v="IS00WM"/>
    <s v="Wireless coverage - Internet Service - Wi-Fi Media"/>
    <s v="Network &amp; Connectivity"/>
    <s v=""/>
    <s v="Media Internet Access"/>
    <s v="Wireless coverage - Internet Service - Media"/>
    <x v="31"/>
    <n v="1"/>
    <n v="0"/>
    <n v="0"/>
    <n v="1"/>
    <n v="0"/>
    <n v="0"/>
    <s v="LOC IT"/>
    <x v="1"/>
    <x v="18"/>
    <x v="36"/>
    <s v="FIFA Media"/>
    <s v="FIFA Media"/>
    <m/>
    <s v="NW"/>
  </r>
  <r>
    <s v="IS00WM"/>
    <s v="Wireless coverage - Internet Service - Wi-Fi Media"/>
    <s v="Network &amp; Connectivity"/>
    <s v=""/>
    <s v="Media Internet Access"/>
    <s v="Wireless coverage - Internet Service - Media"/>
    <x v="31"/>
    <n v="1"/>
    <n v="0"/>
    <n v="0"/>
    <n v="1"/>
    <n v="0"/>
    <n v="0"/>
    <s v="LOC IT"/>
    <x v="1"/>
    <x v="18"/>
    <x v="37"/>
    <s v="FIFA Media"/>
    <s v="FIFA Media"/>
    <m/>
    <s v="NW"/>
  </r>
  <r>
    <s v="IS00WM"/>
    <s v="Wireless coverage - Internet Service - Wi-Fi Media"/>
    <s v="Network &amp; Connectivity"/>
    <s v=""/>
    <s v="Media Internet Access"/>
    <s v="Wireless coverage - Internet Service - Media"/>
    <x v="31"/>
    <n v="1"/>
    <n v="0"/>
    <n v="0"/>
    <n v="1"/>
    <n v="0"/>
    <n v="0"/>
    <s v="LOC IT"/>
    <x v="1"/>
    <x v="18"/>
    <x v="41"/>
    <s v="FIFA Media"/>
    <s v="FIFA Media"/>
    <m/>
    <s v="NW"/>
  </r>
  <r>
    <s v="IS00WM"/>
    <s v="Wireless coverage - Internet Service - Wi-Fi Media"/>
    <s v="Network &amp; Connectivity"/>
    <s v=""/>
    <s v="Media Internet Access"/>
    <s v="Wireless coverage - Internet Service - Media"/>
    <x v="31"/>
    <n v="1"/>
    <n v="0"/>
    <n v="0"/>
    <n v="1"/>
    <n v="0"/>
    <n v="0"/>
    <s v="LOC IT"/>
    <x v="1"/>
    <x v="18"/>
    <x v="40"/>
    <s v="FIFA Media"/>
    <s v="FIFA Media"/>
    <m/>
    <s v="NW"/>
  </r>
  <r>
    <s v="IS00WM"/>
    <s v="Wireless coverage - Internet Service - Wi-Fi Media"/>
    <s v="Network &amp; Connectivity"/>
    <s v=""/>
    <s v="Media Internet Access"/>
    <s v="Wireless coverage - Internet Service - Media"/>
    <x v="31"/>
    <n v="1"/>
    <n v="0"/>
    <n v="0"/>
    <n v="1"/>
    <n v="0"/>
    <n v="0"/>
    <s v="LOC IT"/>
    <x v="1"/>
    <x v="18"/>
    <x v="38"/>
    <s v="FIFA Media"/>
    <s v="FIFA Media"/>
    <m/>
    <s v="NW"/>
  </r>
  <r>
    <s v="IS00WM"/>
    <s v="Wireless coverage - Internet Service - Wi-Fi Media"/>
    <s v="Network &amp; Connectivity"/>
    <s v=""/>
    <s v="Media Internet Access"/>
    <s v="Wireless coverage - Internet Service - Media"/>
    <x v="31"/>
    <n v="1"/>
    <n v="0"/>
    <n v="0"/>
    <n v="1"/>
    <n v="0"/>
    <n v="0"/>
    <s v="LOC IT"/>
    <x v="1"/>
    <x v="18"/>
    <x v="39"/>
    <s v="FIFA Media"/>
    <s v="FIFA Media"/>
    <m/>
    <s v="NW"/>
  </r>
  <r>
    <s v="IS00Wm"/>
    <s v="Wireless coverage - Internet Service - Wi-Fi Media"/>
    <s v="Network &amp; Connectivity"/>
    <s v=""/>
    <s v="Media Internet Access"/>
    <s v="Wireless coverage - Internet Service - Media"/>
    <x v="31"/>
    <n v="1"/>
    <n v="0"/>
    <n v="0"/>
    <n v="1"/>
    <n v="0"/>
    <n v="0"/>
    <s v="LOC IT"/>
    <x v="1"/>
    <x v="19"/>
    <x v="22"/>
    <s v="FIFA Media"/>
    <s v="FIFA Media"/>
    <m/>
    <s v="NW"/>
  </r>
  <r>
    <s v="LAPEVT"/>
    <s v="Laptop - FIFA Event Build"/>
    <s v="FIFA IT Hardware"/>
    <s v="Single"/>
    <s v=""/>
    <s v="FIFA Laptop"/>
    <x v="19"/>
    <n v="1"/>
    <n v="0"/>
    <n v="0"/>
    <n v="1"/>
    <n v="0"/>
    <n v="0"/>
    <s v="FIFA Event Technology"/>
    <x v="1"/>
    <x v="23"/>
    <x v="42"/>
    <s v="FIFA Media"/>
    <s v="FIFA Media"/>
    <m/>
    <s v="EU"/>
  </r>
  <r>
    <s v="LAPEVT"/>
    <s v="Laptop - FIFA Event Build"/>
    <s v="FIFA IT Hardware"/>
    <s v="Single"/>
    <s v=""/>
    <s v="FIFA Laptop"/>
    <x v="19"/>
    <n v="2"/>
    <n v="0"/>
    <n v="0"/>
    <n v="2"/>
    <n v="0"/>
    <n v="0"/>
    <s v="FIFA Event Technology"/>
    <x v="1"/>
    <x v="19"/>
    <x v="22"/>
    <s v="FIFA Media"/>
    <s v="FIFA Media"/>
    <m/>
    <s v="EU"/>
  </r>
  <r>
    <s v="TELMOB"/>
    <s v="Telephone - Mobile - Smart Phone"/>
    <s v="Telephony"/>
    <s v="Single"/>
    <s v=""/>
    <s v="Smart Phone"/>
    <x v="23"/>
    <n v="6"/>
    <n v="0"/>
    <n v="6"/>
    <n v="6"/>
    <n v="0"/>
    <n v="6"/>
    <s v="FIFA Event Technology"/>
    <x v="1"/>
    <x v="19"/>
    <x v="22"/>
    <s v="FIFA Media"/>
    <s v="FIFA Media"/>
    <m/>
    <s v="Telco/SIM"/>
  </r>
  <r>
    <s v="SIMDAT"/>
    <s v="SIM - Data Only"/>
    <s v="Telephony"/>
    <s v=""/>
    <s v=""/>
    <s v="Local SIM Card - Data Only"/>
    <x v="20"/>
    <n v="6"/>
    <n v="0"/>
    <n v="6"/>
    <n v="6"/>
    <n v="0"/>
    <n v="6"/>
    <s v="LOC IT"/>
    <x v="1"/>
    <x v="19"/>
    <x v="22"/>
    <s v="FIFA Media"/>
    <s v="FIFA Media"/>
    <m/>
    <s v="Telco/SIM"/>
  </r>
  <r>
    <s v="TVLGIP"/>
    <s v="TV - Large - IPTV"/>
    <s v="CATV"/>
    <s v=""/>
    <s v=""/>
    <s v="Large TV - CATV Feed"/>
    <x v="5"/>
    <n v="1"/>
    <n v="1"/>
    <n v="0"/>
    <n v="1"/>
    <n v="1"/>
    <n v="0"/>
    <s v="LOC IT"/>
    <x v="1"/>
    <x v="24"/>
    <x v="44"/>
    <s v="FIFA Media"/>
    <s v="FIFA Media"/>
    <m/>
    <s v="AV"/>
  </r>
  <r>
    <s v="TVLGIP"/>
    <s v="TV - Large - IPTV"/>
    <s v="CATV"/>
    <s v=""/>
    <s v=""/>
    <s v="Large TV - CATV Feed"/>
    <x v="5"/>
    <n v="1"/>
    <n v="1"/>
    <n v="0"/>
    <n v="1"/>
    <n v="1"/>
    <n v="0"/>
    <s v="LOC IT"/>
    <x v="1"/>
    <x v="23"/>
    <x v="45"/>
    <s v="FIFA Media"/>
    <s v="FIFA Media"/>
    <m/>
    <s v="AV"/>
  </r>
  <r>
    <s v="TVSTND"/>
    <s v="TV Stand - Medium &amp; Large TVs"/>
    <s v="Peripherals"/>
    <s v=""/>
    <s v=""/>
    <s v="TV Stand for medium and large TVs"/>
    <x v="6"/>
    <n v="1"/>
    <n v="0"/>
    <n v="0"/>
    <n v="1"/>
    <n v="0"/>
    <n v="0"/>
    <s v="LOC IT"/>
    <x v="1"/>
    <x v="24"/>
    <x v="44"/>
    <s v="FIFA Media"/>
    <s v="FIFA Media"/>
    <m/>
    <s v="AV"/>
  </r>
  <r>
    <s v="TVSTND"/>
    <s v="TV Stand - Medium &amp; Large TVs"/>
    <s v="Peripherals"/>
    <s v=""/>
    <s v=""/>
    <s v="TV Stand for medium and large TVs"/>
    <x v="6"/>
    <n v="1"/>
    <n v="0"/>
    <n v="0"/>
    <n v="1"/>
    <n v="0"/>
    <n v="0"/>
    <s v="LOC IT"/>
    <x v="1"/>
    <x v="23"/>
    <x v="45"/>
    <s v="FIFA Media"/>
    <s v="FIFA Media"/>
    <m/>
    <s v="AV"/>
  </r>
  <r>
    <s v="WRDFTI"/>
    <s v="Wired Port - FTI"/>
    <s v="Network &amp; Connectivity"/>
    <s v=""/>
    <s v="FIFA Technical FTI"/>
    <s v="Wired Port - FTI"/>
    <x v="13"/>
    <n v="2"/>
    <n v="2"/>
    <n v="0"/>
    <n v="2"/>
    <n v="2"/>
    <n v="0"/>
    <s v="LOC IT"/>
    <x v="1"/>
    <x v="19"/>
    <x v="22"/>
    <s v="FIFA Media"/>
    <s v="FIFA Media"/>
    <m/>
    <s v="NW"/>
  </r>
  <r>
    <s v="WRDMED"/>
    <s v="Wired Port - Media Internet"/>
    <s v="Network &amp; Connectivity"/>
    <s v=""/>
    <s v="Media Internet Access Media"/>
    <s v="Wired Port - Internet for Media"/>
    <x v="3"/>
    <n v="5"/>
    <n v="5"/>
    <n v="0"/>
    <n v="5"/>
    <n v="5"/>
    <n v="0"/>
    <s v="LOC IT"/>
    <x v="1"/>
    <x v="23"/>
    <x v="45"/>
    <s v="FIFA Media"/>
    <s v="FIFA Media"/>
    <m/>
    <s v="NW"/>
  </r>
  <r>
    <s v="WRDMED"/>
    <s v="Wired Port - Media Internet"/>
    <s v="Network &amp; Connectivity"/>
    <s v=""/>
    <s v="Media Internet Access Media"/>
    <s v="Wired Port - Internet for Media"/>
    <x v="3"/>
    <n v="1"/>
    <n v="1"/>
    <n v="0"/>
    <n v="1"/>
    <n v="1"/>
    <n v="0"/>
    <s v="LOC IT"/>
    <x v="1"/>
    <x v="18"/>
    <x v="39"/>
    <s v="FIFA Media"/>
    <s v="FIFA Media"/>
    <s v="Request from Paul Murphy / only if existing infrastructure"/>
    <s v="NW"/>
  </r>
  <r>
    <s v="WRDMED"/>
    <s v="Wired Port - Media Internet"/>
    <s v="Network &amp; Connectivity"/>
    <s v=""/>
    <s v="Media Internet Access Media"/>
    <s v="Wired Port - Internet for Media"/>
    <x v="3"/>
    <n v="1"/>
    <n v="1"/>
    <n v="0"/>
    <n v="1"/>
    <n v="1"/>
    <n v="0"/>
    <s v="LOC IT"/>
    <x v="1"/>
    <x v="18"/>
    <x v="38"/>
    <s v="FIFA Media"/>
    <s v="FIFA Media"/>
    <s v="Request from Paul Murphy / only if existing infrastructure"/>
    <s v="NW"/>
  </r>
  <r>
    <s v="AVMSYS"/>
    <s v="AV Solution (Mics + Speakers)"/>
    <s v="Audio"/>
    <s v=""/>
    <s v=""/>
    <s v="Professional Speakers and Microphones"/>
    <x v="34"/>
    <n v="1"/>
    <n v="0"/>
    <n v="0"/>
    <n v="1"/>
    <n v="0"/>
    <n v="0"/>
    <s v="LOC IT"/>
    <x v="0"/>
    <x v="25"/>
    <x v="46"/>
    <s v="FIFA Referees"/>
    <s v="FIFA Referees"/>
    <m/>
    <s v="AV"/>
  </r>
  <r>
    <s v="DSKMNT"/>
    <s v="24&quot; Monitor - HDMI/DP"/>
    <s v="Peripherals"/>
    <s v=""/>
    <s v=""/>
    <s v="24&quot; PC Monitor"/>
    <x v="0"/>
    <n v="4"/>
    <n v="0"/>
    <n v="0"/>
    <n v="4"/>
    <n v="0"/>
    <n v="0"/>
    <s v="LOC IT"/>
    <x v="0"/>
    <x v="25"/>
    <x v="47"/>
    <s v="FIFA Referees"/>
    <s v="FIFA Referees"/>
    <m/>
    <s v="EU"/>
  </r>
  <r>
    <s v="DSKMNT"/>
    <s v="24&quot; Monitor - HDMI/DP"/>
    <s v="Peripherals"/>
    <s v=""/>
    <s v=""/>
    <s v="24&quot; PC Monitor"/>
    <x v="0"/>
    <n v="0"/>
    <n v="0"/>
    <n v="0"/>
    <n v="2"/>
    <n v="0"/>
    <n v="0"/>
    <s v="LOC IT"/>
    <x v="0"/>
    <x v="25"/>
    <x v="48"/>
    <s v="FIFA Referees"/>
    <s v="FIFA Referees"/>
    <m/>
    <s v="EU"/>
  </r>
  <r>
    <s v="DSKMNT"/>
    <s v="24&quot; Monitor - HDMI/DP"/>
    <s v="Peripherals"/>
    <s v=""/>
    <s v=""/>
    <s v="24&quot; PC Monitor"/>
    <x v="0"/>
    <n v="0"/>
    <n v="0"/>
    <n v="0"/>
    <n v="2"/>
    <n v="0"/>
    <n v="0"/>
    <s v="LOC IT"/>
    <x v="0"/>
    <x v="25"/>
    <x v="49"/>
    <s v="FIFA Referees"/>
    <s v="FIFA Referees"/>
    <m/>
    <s v="EU"/>
  </r>
  <r>
    <s v="DSKMNT"/>
    <s v="24&quot; Monitor - HDMI/DP"/>
    <s v="Peripherals"/>
    <s v=""/>
    <s v=""/>
    <s v="24&quot; PC Monitor"/>
    <x v="0"/>
    <n v="0"/>
    <n v="0"/>
    <n v="0"/>
    <n v="2"/>
    <n v="0"/>
    <n v="0"/>
    <s v="LOC IT"/>
    <x v="0"/>
    <x v="25"/>
    <x v="50"/>
    <s v="FIFA Referees"/>
    <s v="FIFA Referees"/>
    <m/>
    <s v="EU"/>
  </r>
  <r>
    <s v="IS00WR"/>
    <s v="Wireless coverage - Internet Service -  Referees"/>
    <s v="Network &amp; Connectivity"/>
    <s v=""/>
    <s v="General Internet Access"/>
    <s v="Wireless coverage - Internet Service -  Referees"/>
    <x v="35"/>
    <n v="1"/>
    <n v="0"/>
    <n v="0"/>
    <n v="1"/>
    <n v="0"/>
    <n v="0"/>
    <s v="LOC IT"/>
    <x v="0"/>
    <x v="25"/>
    <x v="47"/>
    <s v="FIFA Referees"/>
    <s v="FIFA Referees"/>
    <m/>
    <s v="NW"/>
  </r>
  <r>
    <s v="IS00WR"/>
    <s v="Wireless coverage - Internet Service -  Referees"/>
    <s v="Network &amp; Connectivity"/>
    <s v=""/>
    <s v="General Internet Access"/>
    <s v="Wireless coverage - Internet Service -  Referees"/>
    <x v="35"/>
    <n v="1"/>
    <n v="0"/>
    <n v="0"/>
    <n v="1"/>
    <n v="0"/>
    <n v="0"/>
    <s v="LOC IT"/>
    <x v="0"/>
    <x v="26"/>
    <x v="51"/>
    <s v="FIFA Referees"/>
    <s v="FIFA Referees"/>
    <m/>
    <s v="NW"/>
  </r>
  <r>
    <s v="IS00WR"/>
    <s v="Wireless coverage - Internet Service -  Referees"/>
    <s v="Network &amp; Connectivity"/>
    <s v=""/>
    <s v="General Internet Access"/>
    <s v="Wireless coverage - Internet Service -  Referees"/>
    <x v="35"/>
    <n v="1"/>
    <n v="0"/>
    <n v="0"/>
    <n v="1"/>
    <n v="0"/>
    <n v="0"/>
    <s v="LOC IT"/>
    <x v="0"/>
    <x v="25"/>
    <x v="48"/>
    <s v="FIFA Referees"/>
    <s v="FIFA Referees"/>
    <m/>
    <s v="NW"/>
  </r>
  <r>
    <s v="IS00WR"/>
    <s v="Wireless coverage - Internet Service -  Referees"/>
    <s v="Network &amp; Connectivity"/>
    <s v=""/>
    <s v="General Internet Access"/>
    <s v="Wireless coverage - Internet Service -  Referees"/>
    <x v="35"/>
    <n v="1"/>
    <n v="0"/>
    <n v="0"/>
    <n v="1"/>
    <n v="0"/>
    <n v="0"/>
    <s v="LOC IT"/>
    <x v="0"/>
    <x v="25"/>
    <x v="49"/>
    <s v="FIFA Referees"/>
    <s v="FIFA Referees"/>
    <m/>
    <s v="NW"/>
  </r>
  <r>
    <s v="IS00WR"/>
    <s v="Wireless coverage - Internet Service -  Referees"/>
    <s v="Network &amp; Connectivity"/>
    <s v=""/>
    <s v="General Internet Access"/>
    <s v="Wireless coverage - Internet Service -  Referees"/>
    <x v="35"/>
    <n v="1"/>
    <n v="0"/>
    <n v="0"/>
    <n v="1"/>
    <n v="0"/>
    <n v="0"/>
    <s v="LOC IT"/>
    <x v="0"/>
    <x v="25"/>
    <x v="50"/>
    <s v="FIFA Referees"/>
    <s v="FIFA Referees"/>
    <m/>
    <s v="NW"/>
  </r>
  <r>
    <s v="IS00WR"/>
    <s v="Wireless coverage - Internet Service -  Referees"/>
    <s v="Network &amp; Connectivity"/>
    <s v=""/>
    <s v="General Internet Access"/>
    <s v="Wireless coverage - Internet Service -  Referees"/>
    <x v="35"/>
    <n v="1"/>
    <n v="0"/>
    <n v="0"/>
    <n v="1"/>
    <n v="0"/>
    <n v="0"/>
    <s v="LOC IT"/>
    <x v="0"/>
    <x v="25"/>
    <x v="46"/>
    <s v="FIFA Referees"/>
    <s v="FIFA Referees"/>
    <m/>
    <s v="NW"/>
  </r>
  <r>
    <s v="IS00WR"/>
    <s v="Wireless coverage - Internet Service -  Referees"/>
    <s v="Network &amp; Connectivity"/>
    <s v=""/>
    <s v="General Internet Access"/>
    <s v="Wireless coverage - Internet Service -  Referees"/>
    <x v="35"/>
    <n v="1"/>
    <n v="0"/>
    <n v="0"/>
    <n v="1"/>
    <n v="0"/>
    <n v="0"/>
    <s v="LOC IT"/>
    <x v="0"/>
    <x v="25"/>
    <x v="52"/>
    <s v="FIFA Referees"/>
    <s v="FIFA Referees"/>
    <m/>
    <s v="NW"/>
  </r>
  <r>
    <s v="IS00WR"/>
    <s v="Wireless coverage - Internet Service -  Referees"/>
    <s v="Network &amp; Connectivity"/>
    <s v=""/>
    <s v="General Internet Access"/>
    <s v="Wireless coverage - Internet Service -  Referees"/>
    <x v="35"/>
    <n v="1"/>
    <n v="0"/>
    <n v="0"/>
    <n v="1"/>
    <n v="0"/>
    <n v="0"/>
    <s v="LOC IT"/>
    <x v="0"/>
    <x v="25"/>
    <x v="53"/>
    <s v="FIFA Referees"/>
    <s v="FIFA Referees"/>
    <m/>
    <s v="NW"/>
  </r>
  <r>
    <s v="ITSIBU"/>
    <s v="IT Solution - 4G Internet backup "/>
    <s v="FIFA IT Network Solutions"/>
    <s v=""/>
    <s v=""/>
    <s v="IT Solution - 4G Internet backup "/>
    <x v="18"/>
    <n v="1"/>
    <n v="0"/>
    <n v="1"/>
    <n v="1"/>
    <n v="0"/>
    <n v="1"/>
    <s v="LOC IT"/>
    <x v="0"/>
    <x v="26"/>
    <x v="51"/>
    <s v="FIFA Referees"/>
    <s v="FIFA Referees"/>
    <s v="Only if Wireless is not available"/>
    <s v="NW"/>
  </r>
  <r>
    <s v="LAPPRE"/>
    <s v="Laptop - Presentation Build"/>
    <s v="FIFA IT Hardware"/>
    <s v="Single"/>
    <s v=""/>
    <s v="FIFA Presentation Laptop"/>
    <x v="11"/>
    <n v="3"/>
    <n v="0"/>
    <n v="0"/>
    <n v="3"/>
    <n v="0"/>
    <n v="0"/>
    <s v="FIFA Event Technology"/>
    <x v="0"/>
    <x v="25"/>
    <x v="52"/>
    <s v="FIFA Referees"/>
    <s v="FIFA Referees"/>
    <s v="3 laptops to connect each to 2 TVs via HDMI - to stream matches via FDP"/>
    <s v="EU"/>
  </r>
  <r>
    <s v="TELMOB"/>
    <s v="Telephone - Mobile - Smart Phone"/>
    <s v="Telephony"/>
    <s v="Single"/>
    <s v=""/>
    <s v="Smart Phone"/>
    <x v="23"/>
    <n v="0"/>
    <n v="0"/>
    <n v="10"/>
    <n v="10"/>
    <n v="0"/>
    <n v="10"/>
    <s v="FIFA Event Technology"/>
    <x v="0"/>
    <x v="25"/>
    <x v="52"/>
    <s v="FIFA Referees"/>
    <s v="FIFA Referees"/>
    <s v="3 laptops to connect each to 2 TVs via HDMI - to stream matches via FDP"/>
    <s v="Telco/SIM"/>
  </r>
  <r>
    <s v="MFDDNW"/>
    <s v="MFD Desktop - Colour - A4 - Network"/>
    <s v="Reprographics"/>
    <s v=""/>
    <s v="General Internet Access"/>
    <s v="Colour Printer / Scanner (A4)"/>
    <x v="2"/>
    <n v="1"/>
    <n v="1"/>
    <n v="0"/>
    <n v="1"/>
    <n v="1"/>
    <n v="0"/>
    <s v="LOC IT"/>
    <x v="0"/>
    <x v="25"/>
    <x v="47"/>
    <s v="FIFA Referees"/>
    <s v="FIFA Referees"/>
    <m/>
    <s v="EU"/>
  </r>
  <r>
    <s v="SIMDOM"/>
    <s v="SIM - Domestic"/>
    <s v="Telephony"/>
    <s v=""/>
    <s v=""/>
    <s v="Local SIM Card"/>
    <x v="21"/>
    <n v="0"/>
    <n v="0"/>
    <n v="20"/>
    <n v="20"/>
    <n v="0"/>
    <n v="20"/>
    <s v="LOC IT"/>
    <x v="0"/>
    <x v="25"/>
    <x v="47"/>
    <s v="FIFA Referees"/>
    <s v="FIFA Referees"/>
    <m/>
    <s v="Telco/SIM"/>
  </r>
  <r>
    <s v="MFDDNW"/>
    <s v="MFD Desktop - Colour - A4 - Network"/>
    <s v="Reprographics"/>
    <s v=""/>
    <s v="General Internet Access"/>
    <s v="Colour Printer / Scanner (A4)"/>
    <x v="2"/>
    <n v="1"/>
    <n v="1"/>
    <n v="0"/>
    <n v="1"/>
    <n v="1"/>
    <n v="0"/>
    <s v="LOC IT"/>
    <x v="0"/>
    <x v="25"/>
    <x v="50"/>
    <s v="FIFA Referees"/>
    <s v="FIFA Referees"/>
    <m/>
    <s v="EU"/>
  </r>
  <r>
    <s v="MFDLNW"/>
    <s v="MFD Large - Colour - A3 - Network"/>
    <s v="Reprographics"/>
    <s v=""/>
    <s v="General Internet Access"/>
    <s v="Large Colour Printer / Scanner (A3)"/>
    <x v="36"/>
    <n v="1"/>
    <n v="1"/>
    <n v="0"/>
    <n v="1"/>
    <n v="1"/>
    <n v="0"/>
    <s v="LOC IT"/>
    <x v="0"/>
    <x v="25"/>
    <x v="48"/>
    <s v="FIFA Referees"/>
    <s v="FIFA Referees"/>
    <m/>
    <s v="EU"/>
  </r>
  <r>
    <s v="Proj6k"/>
    <s v="Office Projector - 6K"/>
    <s v="Display Devices"/>
    <s v=""/>
    <s v=""/>
    <s v="Office Projector - 6K"/>
    <x v="28"/>
    <n v="1"/>
    <n v="0"/>
    <n v="0"/>
    <n v="1"/>
    <n v="0"/>
    <n v="0"/>
    <s v="LOC IT"/>
    <x v="0"/>
    <x v="25"/>
    <x v="46"/>
    <s v="FIFA Referees"/>
    <s v="FIFA Referees"/>
    <m/>
    <s v="EU"/>
  </r>
  <r>
    <s v="TVLGIP"/>
    <s v="TV - Large - IPTV"/>
    <s v="CATV"/>
    <s v=""/>
    <s v=""/>
    <s v="Large TV - CATV Feed"/>
    <x v="5"/>
    <n v="2"/>
    <n v="2"/>
    <n v="0"/>
    <n v="2"/>
    <n v="2"/>
    <n v="0"/>
    <s v="LOC IT"/>
    <x v="0"/>
    <x v="25"/>
    <x v="47"/>
    <s v="FIFA Referees"/>
    <s v="FIFA Referees"/>
    <m/>
    <s v="AV"/>
  </r>
  <r>
    <s v="TVLGIP"/>
    <s v="TV - Large - IPTV"/>
    <s v="CATV"/>
    <s v=""/>
    <s v=""/>
    <s v="Large TV - CATV Feed"/>
    <x v="5"/>
    <n v="2"/>
    <n v="2"/>
    <n v="0"/>
    <n v="2"/>
    <n v="2"/>
    <n v="0"/>
    <s v="LOC IT"/>
    <x v="0"/>
    <x v="25"/>
    <x v="48"/>
    <s v="FIFA Referees"/>
    <s v="FIFA Referees"/>
    <m/>
    <s v="AV"/>
  </r>
  <r>
    <s v="TVLGIP"/>
    <s v="TV - Large - IPTV"/>
    <s v="CATV"/>
    <s v=""/>
    <s v=""/>
    <s v="Large TV - CATV Feed"/>
    <x v="5"/>
    <n v="1"/>
    <n v="1"/>
    <n v="0"/>
    <n v="1"/>
    <n v="1"/>
    <n v="0"/>
    <s v="LOC IT"/>
    <x v="0"/>
    <x v="25"/>
    <x v="49"/>
    <s v="FIFA Referees"/>
    <s v="FIFA Referees"/>
    <m/>
    <s v="AV"/>
  </r>
  <r>
    <s v="TVLGIP"/>
    <s v="TV - Large - IPTV"/>
    <s v="CATV"/>
    <s v=""/>
    <s v=""/>
    <s v="Large TV - CATV Feed"/>
    <x v="5"/>
    <n v="2"/>
    <n v="2"/>
    <n v="0"/>
    <n v="2"/>
    <n v="2"/>
    <n v="0"/>
    <s v="LOC IT"/>
    <x v="0"/>
    <x v="25"/>
    <x v="50"/>
    <s v="FIFA Referees"/>
    <s v="FIFA Referees"/>
    <m/>
    <s v="AV"/>
  </r>
  <r>
    <s v="TVLGIP"/>
    <s v="TV - Large - IPTV"/>
    <s v="CATV"/>
    <s v=""/>
    <s v=""/>
    <s v="Large TV - CATV Feed"/>
    <x v="5"/>
    <n v="1"/>
    <n v="1"/>
    <n v="0"/>
    <n v="1"/>
    <n v="1"/>
    <n v="0"/>
    <s v="LOC IT"/>
    <x v="0"/>
    <x v="25"/>
    <x v="46"/>
    <s v="FIFA Referees"/>
    <s v="FIFA Referees"/>
    <m/>
    <s v="AV"/>
  </r>
  <r>
    <s v="TVLGIP"/>
    <s v="TV - Large - IPTV"/>
    <s v="CATV"/>
    <s v=""/>
    <s v=""/>
    <s v="Large TV - CATV Feed"/>
    <x v="5"/>
    <n v="2"/>
    <n v="2"/>
    <n v="0"/>
    <n v="2"/>
    <n v="2"/>
    <n v="0"/>
    <s v="LOC IT"/>
    <x v="0"/>
    <x v="25"/>
    <x v="53"/>
    <s v="FIFA Referees"/>
    <s v="FIFA Referees"/>
    <m/>
    <s v="AV"/>
  </r>
  <r>
    <s v="TVLGSA"/>
    <s v="TV - Large - Standalone"/>
    <s v="Display Devices"/>
    <s v=""/>
    <s v=""/>
    <s v="Large TV - Standalone"/>
    <x v="15"/>
    <n v="1"/>
    <n v="0"/>
    <n v="0"/>
    <n v="1"/>
    <n v="0"/>
    <n v="0"/>
    <s v="LOC IT"/>
    <x v="0"/>
    <x v="26"/>
    <x v="51"/>
    <s v="FIFA Referees"/>
    <s v="FIFA Referees"/>
    <s v="pitch 11-12"/>
    <s v="AV"/>
  </r>
  <r>
    <s v="TVSTND"/>
    <s v="TV Stand - Medium &amp; Large TVs"/>
    <s v="Peripherals"/>
    <s v=""/>
    <s v=""/>
    <s v="TV Stand for medium and large TVs"/>
    <x v="6"/>
    <n v="2"/>
    <n v="0"/>
    <n v="0"/>
    <n v="2"/>
    <n v="0"/>
    <n v="0"/>
    <s v="LOC IT"/>
    <x v="0"/>
    <x v="25"/>
    <x v="47"/>
    <s v="FIFA Referees"/>
    <s v="FIFA Referees"/>
    <m/>
    <s v="AV"/>
  </r>
  <r>
    <s v="TVSTND"/>
    <s v="TV Stand - Medium &amp; Large TVs"/>
    <s v="Peripherals"/>
    <s v=""/>
    <s v=""/>
    <s v="TV Stand for medium and large TVs"/>
    <x v="6"/>
    <n v="1"/>
    <n v="0"/>
    <n v="0"/>
    <n v="1"/>
    <n v="0"/>
    <n v="0"/>
    <s v="LOC IT"/>
    <x v="0"/>
    <x v="26"/>
    <x v="51"/>
    <s v="FIFA Referees"/>
    <s v="FIFA Referees"/>
    <m/>
    <s v="AV"/>
  </r>
  <r>
    <s v="TVSTND"/>
    <s v="TV Stand - Medium &amp; Large TVs"/>
    <s v="Peripherals"/>
    <s v=""/>
    <s v=""/>
    <s v="TV Stand for medium and large TVs"/>
    <x v="6"/>
    <n v="2"/>
    <n v="0"/>
    <n v="0"/>
    <n v="2"/>
    <n v="0"/>
    <n v="0"/>
    <s v="LOC IT"/>
    <x v="0"/>
    <x v="25"/>
    <x v="48"/>
    <s v="FIFA Referees"/>
    <s v="FIFA Referees"/>
    <m/>
    <s v="AV"/>
  </r>
  <r>
    <s v="TVSTND"/>
    <s v="TV Stand - Medium &amp; Large TVs"/>
    <s v="Peripherals"/>
    <s v=""/>
    <s v=""/>
    <s v="TV Stand for medium and large TVs"/>
    <x v="6"/>
    <n v="1"/>
    <n v="0"/>
    <n v="0"/>
    <n v="1"/>
    <n v="0"/>
    <n v="0"/>
    <s v="LOC IT"/>
    <x v="0"/>
    <x v="25"/>
    <x v="49"/>
    <s v="FIFA Referees"/>
    <s v="FIFA Referees"/>
    <m/>
    <s v="AV"/>
  </r>
  <r>
    <s v="TVSTND"/>
    <s v="TV Stand - Medium &amp; Large TVs"/>
    <s v="Peripherals"/>
    <s v=""/>
    <s v=""/>
    <s v="TV Stand for medium and large TVs"/>
    <x v="6"/>
    <n v="2"/>
    <n v="0"/>
    <n v="0"/>
    <n v="2"/>
    <n v="0"/>
    <n v="0"/>
    <s v="LOC IT"/>
    <x v="0"/>
    <x v="25"/>
    <x v="50"/>
    <s v="FIFA Referees"/>
    <s v="FIFA Referees"/>
    <m/>
    <s v="AV"/>
  </r>
  <r>
    <s v="TVSTND"/>
    <s v="TV Stand - Medium &amp; Large TVs"/>
    <s v="Peripherals"/>
    <s v=""/>
    <s v=""/>
    <s v="TV Stand for medium and large TVs"/>
    <x v="6"/>
    <n v="1"/>
    <n v="0"/>
    <n v="0"/>
    <n v="1"/>
    <n v="0"/>
    <n v="0"/>
    <s v="LOC IT"/>
    <x v="0"/>
    <x v="25"/>
    <x v="46"/>
    <s v="FIFA Referees"/>
    <s v="FIFA Referees"/>
    <m/>
    <s v="AV"/>
  </r>
  <r>
    <s v="TVSTND"/>
    <s v="TV Stand - Medium &amp; Large TVs"/>
    <s v="Peripherals"/>
    <s v=""/>
    <s v=""/>
    <s v="TV Stand for medium and large TVs"/>
    <x v="6"/>
    <n v="2"/>
    <n v="0"/>
    <n v="0"/>
    <n v="2"/>
    <n v="0"/>
    <n v="0"/>
    <s v="LOC IT"/>
    <x v="0"/>
    <x v="25"/>
    <x v="53"/>
    <s v="FIFA Referees"/>
    <s v="FIFA Referees"/>
    <m/>
    <s v="AV"/>
  </r>
  <r>
    <s v="WDF100"/>
    <s v="Wired Port - 100Mbps - guaranteed"/>
    <s v="Network &amp; Connectivity"/>
    <s v=""/>
    <s v="FIFA Technical Internet Access"/>
    <s v="Cabled Internet - 100Mbps"/>
    <x v="37"/>
    <n v="1"/>
    <n v="1"/>
    <n v="0"/>
    <n v="1"/>
    <n v="1"/>
    <n v="0"/>
    <s v="LOC IT"/>
    <x v="0"/>
    <x v="25"/>
    <x v="47"/>
    <s v="FIFA Referees"/>
    <s v="FIFA Referees"/>
    <s v="LOC: Can we add a switch in the room?"/>
    <s v="NW"/>
  </r>
  <r>
    <s v="WRDGEN"/>
    <s v="Wired Port - General Internet "/>
    <s v="Network &amp; Connectivity"/>
    <s v=""/>
    <s v="General Internet Access"/>
    <s v="Wired Port - Internet"/>
    <x v="8"/>
    <n v="2"/>
    <n v="2"/>
    <n v="0"/>
    <n v="2"/>
    <n v="2"/>
    <n v="0"/>
    <s v="LOC IT"/>
    <x v="0"/>
    <x v="25"/>
    <x v="46"/>
    <s v="FIFA Referees"/>
    <s v="FIFA Referees"/>
    <m/>
    <s v="NW"/>
  </r>
  <r>
    <s v="IS00WF"/>
    <s v="Wireless coverage - Shared Internet Service - Wi-Fi FIFA"/>
    <s v="Network &amp; Connectivity"/>
    <s v=""/>
    <s v="General Internet Access"/>
    <s v="Wireless coverage - Shared Internet Service - FIFA"/>
    <x v="1"/>
    <n v="1"/>
    <n v="0"/>
    <n v="0"/>
    <n v="1"/>
    <n v="0"/>
    <n v="0"/>
    <s v="LOC IT"/>
    <x v="0"/>
    <x v="27"/>
    <x v="54"/>
    <s v="FIFA Security"/>
    <s v="FIFA Security"/>
    <s v="any other internet availables via Wi-Fi"/>
    <s v="NW"/>
  </r>
  <r>
    <s v="IS00WF"/>
    <s v="Wireless coverage - Shared Internet Service - Wi-Fi FIFA"/>
    <s v="Network &amp; Connectivity"/>
    <s v=""/>
    <s v="General Internet Access"/>
    <s v="Wireless coverage - Shared Internet Service - FIFA"/>
    <x v="1"/>
    <n v="1"/>
    <n v="0"/>
    <n v="0"/>
    <n v="1"/>
    <n v="0"/>
    <n v="0"/>
    <s v="LOC IT"/>
    <x v="1"/>
    <x v="28"/>
    <x v="54"/>
    <s v="FIFA Security"/>
    <s v="FIFA Security"/>
    <m/>
    <s v="NW"/>
  </r>
  <r>
    <s v="IS00WS"/>
    <s v="Wireless coverage - Shared Internet Service - Wi-Fi FOOTBALL"/>
    <s v="Network &amp; Connectivity"/>
    <s v=""/>
    <s v="VIP Internet Access"/>
    <s v="Wireless coverage - Shared Internet Service - FOOTBALL"/>
    <x v="38"/>
    <n v="1"/>
    <n v="0"/>
    <n v="0"/>
    <n v="8"/>
    <n v="0"/>
    <n v="0"/>
    <s v="LOC IT"/>
    <x v="0"/>
    <x v="12"/>
    <x v="55"/>
    <s v="FIFA Team Services"/>
    <s v="FIFA Team Services"/>
    <s v="Wi-Fi for each dressing room / pitch"/>
    <s v="NW"/>
  </r>
  <r>
    <s v="IS00WS"/>
    <s v="Wireless coverage - Shared Internet Service - Wi-Fi FOOTBALL"/>
    <s v="Network &amp; Connectivity"/>
    <s v=""/>
    <s v="VIP Internet Access"/>
    <s v="Wireless coverage - Shared Internet Service - FOOTBALL"/>
    <x v="38"/>
    <n v="1"/>
    <n v="0"/>
    <n v="0"/>
    <n v="1"/>
    <n v="0"/>
    <n v="0"/>
    <s v="LOC IT"/>
    <x v="0"/>
    <x v="12"/>
    <x v="56"/>
    <s v="FIFA Team Services"/>
    <s v="FIFA Team Services"/>
    <m/>
    <s v="NW"/>
  </r>
  <r>
    <s v="IS00WS"/>
    <s v="Wireless coverage - Shared Internet Service - Wi-Fi FOOTBALL"/>
    <s v="Network &amp; Connectivity"/>
    <s v=""/>
    <s v="VIP Internet Access"/>
    <s v="Wireless coverage - Shared Internet Service - FOOTBALL"/>
    <x v="38"/>
    <n v="1"/>
    <n v="0"/>
    <n v="0"/>
    <n v="1"/>
    <n v="0"/>
    <n v="0"/>
    <s v="LOC IT"/>
    <x v="1"/>
    <x v="12"/>
    <x v="55"/>
    <s v="FIFA Team Services"/>
    <s v="FIFA Team Services"/>
    <m/>
    <s v="NW"/>
  </r>
  <r>
    <s v="LAPPRE"/>
    <s v="Laptop - Presentation Build"/>
    <s v="FIFA IT Hardware"/>
    <s v="Single"/>
    <s v=""/>
    <s v="FIFA Presentation Laptop"/>
    <x v="11"/>
    <n v="1"/>
    <n v="0"/>
    <n v="0"/>
    <n v="1"/>
    <n v="0"/>
    <n v="0"/>
    <s v="FIFA Event Technology"/>
    <x v="0"/>
    <x v="10"/>
    <x v="1"/>
    <s v="FIFA Team Services"/>
    <s v="FIFA Team Services"/>
    <m/>
    <s v="EU"/>
  </r>
  <r>
    <s v="DSKMNT"/>
    <s v="24&quot; Monitor - HDMI/DP"/>
    <s v="Peripherals"/>
    <s v=""/>
    <s v=""/>
    <s v="24&quot; PC Monitor"/>
    <x v="0"/>
    <n v="2"/>
    <n v="0"/>
    <n v="0"/>
    <n v="2"/>
    <n v="0"/>
    <n v="0"/>
    <s v="LOC IT"/>
    <x v="0"/>
    <x v="10"/>
    <x v="1"/>
    <s v="FIFA Transport"/>
    <s v="FIFA Transport"/>
    <m/>
    <s v="EU"/>
  </r>
  <r>
    <s v="TABLEN"/>
    <s v="Tablet - FIFA Professional Tablet + 4G"/>
    <s v="FIFA IT Hardware"/>
    <s v="Single"/>
    <s v=""/>
    <s v="Professional Series Tablet + 4G"/>
    <x v="7"/>
    <n v="2"/>
    <n v="0"/>
    <n v="2"/>
    <n v="2"/>
    <n v="0"/>
    <n v="2"/>
    <s v="FIFA Event Technology"/>
    <x v="0"/>
    <x v="10"/>
    <x v="1"/>
    <s v="FIFA Transport"/>
    <s v="FIFA Transport"/>
    <m/>
    <s v="EU"/>
  </r>
  <r>
    <s v="DSKMNT"/>
    <s v="24&quot; Monitor - HDMI/DP"/>
    <s v="Peripherals"/>
    <s v=""/>
    <s v=""/>
    <s v="24&quot; PC Monitor"/>
    <x v="0"/>
    <n v="2"/>
    <n v="0"/>
    <n v="0"/>
    <n v="2"/>
    <n v="0"/>
    <n v="0"/>
    <s v="LOC IT"/>
    <x v="0"/>
    <x v="10"/>
    <x v="1"/>
    <s v="FIFA Travel"/>
    <s v="FIFA Travel"/>
    <m/>
    <s v="EU"/>
  </r>
  <r>
    <s v="IS00WF"/>
    <s v="Wireless coverage - Shared Internet Service - Wi-Fi FIFA"/>
    <s v="Network &amp; Connectivity"/>
    <s v=""/>
    <s v="General Internet Access"/>
    <s v="Wireless coverage - Shared Internet Service - FIFA"/>
    <x v="1"/>
    <n v="1"/>
    <n v="0"/>
    <n v="0"/>
    <n v="1"/>
    <n v="0"/>
    <n v="0"/>
    <s v="LOC IT"/>
    <x v="0"/>
    <x v="10"/>
    <x v="1"/>
    <s v="FIFA Venue Management"/>
    <s v="FIFA Venue Management"/>
    <m/>
    <s v="NW"/>
  </r>
  <r>
    <s v="IS00WF"/>
    <s v="Wireless coverage - Shared Internet Service - Wi-Fi FIFA"/>
    <s v="Network &amp; Connectivity"/>
    <s v=""/>
    <s v="General Internet Access"/>
    <s v="Wireless coverage - Shared Internet Service - FIFA"/>
    <x v="1"/>
    <n v="1"/>
    <n v="0"/>
    <n v="0"/>
    <n v="1"/>
    <n v="0"/>
    <n v="0"/>
    <s v="LOC IT"/>
    <x v="1"/>
    <x v="8"/>
    <x v="57"/>
    <s v="FIFA Venue Management"/>
    <s v="FIFA Venue Management"/>
    <m/>
    <s v="NW"/>
  </r>
  <r>
    <s v="MFDLNW"/>
    <s v="MFD Large - Colour - A3 - Network"/>
    <s v="Reprographics"/>
    <s v=""/>
    <s v="General Internet Access"/>
    <s v="Large Colour Printer / Scanner (A3)"/>
    <x v="36"/>
    <n v="1"/>
    <n v="1"/>
    <n v="0"/>
    <n v="1"/>
    <n v="1"/>
    <n v="0"/>
    <s v="LOC IT"/>
    <x v="0"/>
    <x v="10"/>
    <x v="1"/>
    <s v="FIFA Venue Management"/>
    <s v="FIFA Venue Management"/>
    <s v="L2 general office"/>
    <s v="EU"/>
  </r>
  <r>
    <s v="MFDDNW"/>
    <s v="MFD Desktop - Colour - A4 - Network"/>
    <s v="Reprographics"/>
    <s v=""/>
    <s v="General Internet Access"/>
    <s v="Colour Printer / Scanner (A4)"/>
    <x v="2"/>
    <n v="1"/>
    <n v="1"/>
    <n v="0"/>
    <n v="1"/>
    <n v="1"/>
    <n v="0"/>
    <s v="LOC IT"/>
    <x v="1"/>
    <x v="8"/>
    <x v="57"/>
    <s v="FIFA Venue Management"/>
    <s v="FIFA Venue Management"/>
    <m/>
    <s v="EU"/>
  </r>
  <r>
    <s v="RADIO"/>
    <s v="Radio PMR In Stadium"/>
    <s v="Radio"/>
    <s v=""/>
    <s v=""/>
    <s v="Radio PMR In Stadium"/>
    <x v="39"/>
    <n v="50"/>
    <n v="0"/>
    <n v="0"/>
    <n v="50"/>
    <n v="0"/>
    <n v="0"/>
    <s v="LOC IT"/>
    <x v="0"/>
    <x v="29"/>
    <x v="58"/>
    <s v="FIFA Venue Management"/>
    <s v="FIFA Venue Management"/>
    <m/>
    <s v="TETRA"/>
  </r>
  <r>
    <s v="IS00WF"/>
    <s v="Wireless coverage - Shared Internet Service - Wi-Fi FIFA"/>
    <s v="Network &amp; Connectivity"/>
    <s v=""/>
    <s v="General Internet Access"/>
    <s v="Wireless coverage - Shared Internet Service - FIFA"/>
    <x v="1"/>
    <n v="1"/>
    <n v="0"/>
    <n v="0"/>
    <n v="1"/>
    <n v="0"/>
    <n v="0"/>
    <s v="LOC IT"/>
    <x v="0"/>
    <x v="30"/>
    <x v="59"/>
    <s v="FIFA Volunteer"/>
    <s v="FIFA Volunteer"/>
    <m/>
    <s v="NW"/>
  </r>
  <r>
    <s v="LAPEVT"/>
    <s v="Laptop - FIFA Event Build"/>
    <s v="FIFA IT Hardware"/>
    <s v="Single"/>
    <s v=""/>
    <s v="FIFA Laptop"/>
    <x v="19"/>
    <n v="2"/>
    <n v="0"/>
    <n v="0"/>
    <n v="3"/>
    <n v="0"/>
    <n v="0"/>
    <s v="FIFA Event Technology"/>
    <x v="0"/>
    <x v="30"/>
    <x v="59"/>
    <s v="FIFA Volunteer"/>
    <s v="FIFA Volunteer"/>
    <m/>
    <s v="EU"/>
  </r>
  <r>
    <s v="MFDDNW"/>
    <s v="MFD Desktop - Colour - A4 - Network"/>
    <s v="Reprographics"/>
    <s v=""/>
    <s v="General Internet Access"/>
    <s v="Colour Printer / Scanner (A4)"/>
    <x v="2"/>
    <n v="1"/>
    <n v="1"/>
    <n v="0"/>
    <n v="1"/>
    <n v="1"/>
    <n v="0"/>
    <s v="LOC IT"/>
    <x v="0"/>
    <x v="30"/>
    <x v="59"/>
    <s v="FIFA Volunteer"/>
    <s v="FIFA Volunteer"/>
    <m/>
    <s v="EU"/>
  </r>
  <r>
    <s v="TABLEN"/>
    <s v="Tablet - FIFA Professional Tablet + 4G"/>
    <s v="FIFA IT Hardware"/>
    <s v="Single"/>
    <s v=""/>
    <s v="Professional Series Tablet + 4G"/>
    <x v="7"/>
    <n v="2"/>
    <n v="0"/>
    <n v="2"/>
    <n v="2"/>
    <n v="0"/>
    <n v="2"/>
    <s v="FIFA Event Technology"/>
    <x v="0"/>
    <x v="30"/>
    <x v="59"/>
    <s v="FIFA Volunteer"/>
    <s v="FIFA Volunteer"/>
    <m/>
    <s v="EU"/>
  </r>
  <r>
    <s v="TELMOB"/>
    <s v="Telephone - Mobile - Smart Phone"/>
    <s v="Telephony"/>
    <s v="Single"/>
    <s v=""/>
    <s v="Smart Phone"/>
    <x v="23"/>
    <n v="1"/>
    <n v="0"/>
    <n v="1"/>
    <n v="1"/>
    <n v="0"/>
    <n v="1"/>
    <s v="FIFA Event Technology"/>
    <x v="0"/>
    <x v="30"/>
    <x v="59"/>
    <s v="FIFA Volunteer"/>
    <s v="FIFA Volunteer"/>
    <s v="Hotline"/>
    <s v="Telco/SIM"/>
  </r>
  <r>
    <s v="TELMOB"/>
    <s v="Telephone - Mobile - Smart Phone"/>
    <s v="Telephony"/>
    <s v="Single"/>
    <s v=""/>
    <s v="Smart Phone"/>
    <x v="23"/>
    <n v="1"/>
    <n v="0"/>
    <n v="1"/>
    <n v="1"/>
    <n v="0"/>
    <n v="1"/>
    <s v="FIFA Event Technology"/>
    <x v="0"/>
    <x v="30"/>
    <x v="59"/>
    <s v="FIFA Volunteer"/>
    <s v="FIFA Volunteer"/>
    <s v="Freelancer"/>
    <s v="Telco/SIM"/>
  </r>
  <r>
    <s v="TVLGIP"/>
    <s v="TV - Large - IPTV"/>
    <s v="CATV"/>
    <s v=""/>
    <s v=""/>
    <s v="Large TV - CATV Feed"/>
    <x v="5"/>
    <n v="1"/>
    <n v="1"/>
    <n v="0"/>
    <n v="1"/>
    <n v="1"/>
    <n v="0"/>
    <s v="LOC IT"/>
    <x v="0"/>
    <x v="30"/>
    <x v="59"/>
    <s v="FIFA Volunteer"/>
    <s v="FIFA Volunteer"/>
    <m/>
    <s v="AV"/>
  </r>
  <r>
    <s v="TVSTND"/>
    <s v="TV Stand - Medium &amp; Large TVs"/>
    <s v="Peripherals"/>
    <s v=""/>
    <s v=""/>
    <s v="TV Stand for medium and large TVs"/>
    <x v="6"/>
    <n v="1"/>
    <n v="0"/>
    <n v="0"/>
    <n v="1"/>
    <n v="0"/>
    <n v="0"/>
    <s v="LOC IT"/>
    <x v="0"/>
    <x v="30"/>
    <x v="59"/>
    <s v="FIFA Volunteer"/>
    <s v="FIFA Volunteer"/>
    <m/>
    <s v="AV"/>
  </r>
  <r>
    <s v="DSKMNT"/>
    <s v="24&quot; Monitor - HDMI/DP"/>
    <s v="Peripherals"/>
    <s v=""/>
    <s v=""/>
    <s v="24&quot; PC Monitor"/>
    <x v="0"/>
    <n v="1"/>
    <n v="0"/>
    <n v="0"/>
    <n v="1"/>
    <n v="0"/>
    <n v="0"/>
    <s v="LOC IT"/>
    <x v="0"/>
    <x v="10"/>
    <x v="1"/>
    <s v="FIFA Workforce"/>
    <s v="FIFA Workforce"/>
    <m/>
    <s v="EU"/>
  </r>
  <r>
    <s v="IS00WF"/>
    <s v="Wireless coverage - Shared Internet Service - Wi-Fi FIFA"/>
    <s v="Network &amp; Connectivity"/>
    <s v=""/>
    <s v="General Internet Access"/>
    <s v="Wireless coverage - Shared Internet Service - FIFA"/>
    <x v="1"/>
    <n v="1"/>
    <n v="0"/>
    <n v="0"/>
    <n v="1"/>
    <n v="0"/>
    <n v="0"/>
    <s v="LOC IT"/>
    <x v="1"/>
    <x v="31"/>
    <x v="1"/>
    <s v="FIFA Workforce"/>
    <s v="FIFA Workforce"/>
    <m/>
    <s v="NW"/>
  </r>
  <r>
    <s v="IS00WF"/>
    <s v="Wireless coverage - Shared Internet Service - Wi-Fi FIFA"/>
    <s v="Network &amp; Connectivity"/>
    <s v=""/>
    <s v="General Internet Access"/>
    <s v="Wireless coverage - Shared Internet Service - FIFA"/>
    <x v="1"/>
    <n v="1"/>
    <n v="0"/>
    <n v="0"/>
    <n v="1"/>
    <n v="0"/>
    <n v="0"/>
    <s v="LOC IT"/>
    <x v="0"/>
    <x v="10"/>
    <x v="1"/>
    <s v="FIFA Workforce"/>
    <s v="FIFA Workforce"/>
    <m/>
    <s v="NW"/>
  </r>
  <r>
    <s v="IS00WF"/>
    <s v="Wireless coverage - Shared Internet Service - Wi-Fi FIFA"/>
    <s v="Network &amp; Connectivity"/>
    <s v=""/>
    <s v="General Internet Access"/>
    <s v="Wireless coverage - Shared Internet Service - FIFA"/>
    <x v="1"/>
    <n v="1"/>
    <n v="0"/>
    <n v="0"/>
    <n v="1"/>
    <n v="0"/>
    <n v="0"/>
    <s v="LOC IT"/>
    <x v="0"/>
    <x v="30"/>
    <x v="60"/>
    <s v="FIFA Workforce"/>
    <s v="FIFA Workforce"/>
    <m/>
    <s v="NW"/>
  </r>
  <r>
    <s v="IS00WF"/>
    <s v="Wireless coverage - Shared Internet Service - Wi-Fi FIFA"/>
    <s v="Network &amp; Connectivity"/>
    <s v=""/>
    <s v="General Internet Access"/>
    <s v="Wireless coverage - Shared Internet Service - FIFA"/>
    <x v="1"/>
    <n v="1"/>
    <n v="0"/>
    <n v="0"/>
    <n v="1"/>
    <n v="0"/>
    <n v="0"/>
    <s v="LOC IT"/>
    <x v="0"/>
    <x v="10"/>
    <x v="61"/>
    <s v="FIFA Workforce"/>
    <s v="FIFA Workforce"/>
    <s v="if possible"/>
    <s v="NW"/>
  </r>
  <r>
    <s v="IS00WF"/>
    <s v="Wireless coverage - Shared Internet Service - Wi-Fi FIFA"/>
    <s v="Network &amp; Connectivity"/>
    <s v=""/>
    <s v="General Internet Access"/>
    <s v="Wireless coverage - Shared Internet Service - FIFA"/>
    <x v="1"/>
    <n v="1"/>
    <n v="0"/>
    <n v="0"/>
    <n v="1"/>
    <n v="0"/>
    <n v="0"/>
    <s v="LOC IT"/>
    <x v="0"/>
    <x v="10"/>
    <x v="62"/>
    <s v="FIFA Workforce"/>
    <s v="FIFA Workforce"/>
    <m/>
    <s v="NW"/>
  </r>
  <r>
    <s v="IS00WF"/>
    <s v="Wireless coverage - Shared Internet Service - Wi-Fi FIFA"/>
    <s v="Network &amp; Connectivity"/>
    <s v=""/>
    <s v="General Internet Access"/>
    <s v="Wireless coverage - Shared Internet Service - FIFA"/>
    <x v="1"/>
    <n v="1"/>
    <n v="0"/>
    <n v="0"/>
    <n v="1"/>
    <n v="0"/>
    <n v="0"/>
    <s v="LOC IT"/>
    <x v="0"/>
    <x v="30"/>
    <x v="63"/>
    <s v="FIFA Workforce"/>
    <s v="FIFA Workforce"/>
    <s v="if possible"/>
    <s v="NW"/>
  </r>
  <r>
    <s v="TVLGIP"/>
    <s v="TV - Large - IPTV"/>
    <s v="CATV"/>
    <s v=""/>
    <s v=""/>
    <s v="Large TV - CATV Feed"/>
    <x v="5"/>
    <n v="2"/>
    <n v="4"/>
    <n v="0"/>
    <n v="4"/>
    <n v="4"/>
    <n v="0"/>
    <s v="LOC IT"/>
    <x v="0"/>
    <x v="10"/>
    <x v="1"/>
    <s v="FIFA Workforce"/>
    <s v="FIFA Workforce"/>
    <s v="4 games simultaneous"/>
    <s v="AV"/>
  </r>
  <r>
    <s v="TVLGSA"/>
    <s v="TV - Large - Standalone"/>
    <s v="Display Devices"/>
    <s v=""/>
    <s v=""/>
    <s v="Large TV - Standalone"/>
    <x v="15"/>
    <n v="1"/>
    <n v="0"/>
    <n v="0"/>
    <n v="1"/>
    <n v="0"/>
    <n v="0"/>
    <s v="LOC IT"/>
    <x v="0"/>
    <x v="10"/>
    <x v="1"/>
    <s v="FIFA Workforce"/>
    <s v="FIFA Workforce"/>
    <s v="TBC Meeting rooms"/>
    <s v="AV"/>
  </r>
  <r>
    <s v="TVSTND"/>
    <s v="TV Stand - Medium &amp; Large TVs"/>
    <s v="Peripherals"/>
    <s v=""/>
    <s v=""/>
    <s v="TV Stand for medium and large TVs"/>
    <x v="6"/>
    <n v="3"/>
    <n v="0"/>
    <n v="0"/>
    <n v="5"/>
    <n v="0"/>
    <n v="0"/>
    <s v="LOC IT"/>
    <x v="0"/>
    <x v="10"/>
    <x v="1"/>
    <s v="FIFA Workforce"/>
    <s v="FIFA Workforce"/>
    <m/>
    <s v="AV"/>
  </r>
  <r>
    <s v="IS00WF"/>
    <s v="Wireless coverage - Shared Internet Service - Wi-Fi FIFA"/>
    <s v="Network &amp; Connectivity"/>
    <s v=""/>
    <s v="General Internet Access"/>
    <s v="Wireless coverage - Shared Internet Service - FIFA"/>
    <x v="1"/>
    <n v="1"/>
    <n v="0"/>
    <n v="0"/>
    <n v="1"/>
    <n v="0"/>
    <n v="0"/>
    <s v="LOC IT"/>
    <x v="0"/>
    <x v="30"/>
    <x v="64"/>
    <s v="Partner Rights Delivery"/>
    <s v="Partner Rights Delivery"/>
    <m/>
    <s v="NW"/>
  </r>
  <r>
    <s v="IS00WF"/>
    <s v="Wireless coverage - Shared Internet Service - Wi-Fi FIFA"/>
    <s v="Network &amp; Connectivity"/>
    <s v=""/>
    <s v="General Internet Access"/>
    <s v="Wireless coverage - Shared Internet Service - FIFA"/>
    <x v="1"/>
    <n v="1"/>
    <n v="0"/>
    <n v="0"/>
    <n v="1"/>
    <n v="0"/>
    <n v="0"/>
    <s v="LOC IT"/>
    <x v="0"/>
    <x v="32"/>
    <x v="65"/>
    <s v="Partner Rights Delivery"/>
    <s v="Partner Rights Delivery"/>
    <s v="Can be 4G too. Position 5 on the map"/>
    <s v="NW"/>
  </r>
  <r>
    <s v="IS00WF"/>
    <s v="Wireless coverage - Shared Internet Service - Wi-Fi FIFA"/>
    <s v="Network &amp; Connectivity"/>
    <s v=""/>
    <s v="General Internet Access"/>
    <s v="Wireless coverage - Shared Internet Service - FIFA"/>
    <x v="1"/>
    <n v="1"/>
    <n v="0"/>
    <n v="0"/>
    <n v="1"/>
    <n v="0"/>
    <n v="0"/>
    <s v="LOC IT"/>
    <x v="0"/>
    <x v="32"/>
    <x v="66"/>
    <s v="Partner Rights Delivery"/>
    <s v="Partner Rights Delivery"/>
    <s v="Can be 4G too. Position 5 on the map"/>
    <s v="NW"/>
  </r>
  <r>
    <s v="IS00WF"/>
    <s v="Wireless coverage - Shared Internet Service - Wi-Fi FIFA"/>
    <s v="Network &amp; Connectivity"/>
    <s v=""/>
    <s v="General Internet Access"/>
    <s v="Wireless coverage - Shared Internet Service - FIFA"/>
    <x v="1"/>
    <n v="1"/>
    <n v="0"/>
    <n v="0"/>
    <n v="1"/>
    <n v="0"/>
    <n v="0"/>
    <s v="LOC IT"/>
    <x v="0"/>
    <x v="32"/>
    <x v="67"/>
    <s v="Partner Rights Delivery"/>
    <s v="Partner Rights Delivery"/>
    <s v="Can be 4G too. Position 5 on the map"/>
    <s v="NW"/>
  </r>
  <r>
    <s v="ITSIBU"/>
    <s v="IT Solution - 4G Internet backup "/>
    <s v="FIFA IT Network Solutions"/>
    <s v=""/>
    <s v=""/>
    <s v="IT Solution - 4G Internet backup "/>
    <x v="18"/>
    <n v="4"/>
    <n v="0"/>
    <n v="1"/>
    <n v="1"/>
    <n v="0"/>
    <n v="1"/>
    <s v="LOC IT"/>
    <x v="1"/>
    <x v="32"/>
    <x v="68"/>
    <s v="Partner Rights Delivery"/>
    <s v="Partner Rights Delivery"/>
    <s v="TBC if activated"/>
    <s v="NW"/>
  </r>
  <r>
    <s v="TVLGIP"/>
    <s v="TV - Large - IPTV"/>
    <s v="CATV"/>
    <s v=""/>
    <s v=""/>
    <s v="Large TV - CATV Feed"/>
    <x v="5"/>
    <n v="1"/>
    <n v="1"/>
    <n v="0"/>
    <n v="1"/>
    <n v="1"/>
    <n v="0"/>
    <s v="LOC IT"/>
    <x v="0"/>
    <x v="30"/>
    <x v="64"/>
    <s v="Partner Rights Delivery"/>
    <s v="Partner Rights Delivery"/>
    <s v="temporarily deployed in SPS"/>
    <s v="AV"/>
  </r>
  <r>
    <s v="TVSTND"/>
    <s v="TV Stand - Medium &amp; Large TVs"/>
    <s v="Peripherals"/>
    <s v=""/>
    <s v=""/>
    <s v="TV Stand for medium and large TVs"/>
    <x v="6"/>
    <n v="1"/>
    <n v="0"/>
    <n v="0"/>
    <n v="1"/>
    <n v="0"/>
    <n v="0"/>
    <s v="LOC IT"/>
    <x v="0"/>
    <x v="30"/>
    <x v="64"/>
    <s v="Partner Rights Delivery"/>
    <s v="Partner Rights Delivery"/>
    <m/>
    <s v="AV"/>
  </r>
  <r>
    <s v="WRDMED"/>
    <s v="Wired Port - Media Internet"/>
    <s v="Network &amp; Connectivity"/>
    <s v=""/>
    <s v="Media Internet Access Media"/>
    <s v="Wired Port - Internet for Media"/>
    <x v="3"/>
    <n v="1"/>
    <n v="1"/>
    <n v="0"/>
    <n v="1"/>
    <n v="1"/>
    <n v="0"/>
    <s v="LOC IT"/>
    <x v="1"/>
    <x v="18"/>
    <x v="69"/>
    <s v="Partner Rights Delivery"/>
    <s v="Partner Rights Delivery"/>
    <s v="to be kept for the Arab Cup"/>
    <s v="NW"/>
  </r>
  <r>
    <s v="TABLEN"/>
    <s v="Tablet - FIFA Professional Tablet + 4G"/>
    <s v="FIFA IT Hardware"/>
    <s v="Single"/>
    <s v=""/>
    <s v="Professional Series Tablet + 4G"/>
    <x v="7"/>
    <n v="1"/>
    <n v="0"/>
    <n v="1"/>
    <n v="1"/>
    <n v="0"/>
    <n v="1"/>
    <s v="FIFA Event Technology"/>
    <x v="0"/>
    <x v="10"/>
    <x v="70"/>
    <s v="Safeguarding"/>
    <s v="Safeguarding"/>
    <m/>
    <s v="EU"/>
  </r>
  <r>
    <s v="SIMDAT"/>
    <s v="SIM - Data Only"/>
    <s v="Telephony"/>
    <s v=""/>
    <s v=""/>
    <s v="Local SIM Card - Data Only"/>
    <x v="20"/>
    <m/>
    <n v="0"/>
    <n v="37"/>
    <n v="37"/>
    <n v="0"/>
    <n v="37"/>
    <s v="LOC IT"/>
    <x v="0"/>
    <x v="33"/>
    <x v="70"/>
    <s v="LOC Access Management "/>
    <s v="LOC Access Management "/>
    <m/>
    <s v="Telco/SIM"/>
  </r>
  <r>
    <s v="ITSR4G"/>
    <s v="IT Solution - Router + 4G"/>
    <s v="FIFA IT Network Solutions"/>
    <s v=""/>
    <s v=""/>
    <s v="IT Solution - Router + 4G"/>
    <x v="40"/>
    <m/>
    <n v="0"/>
    <n v="2"/>
    <n v="2"/>
    <n v="0"/>
    <n v="2"/>
    <s v="LOC IT"/>
    <x v="0"/>
    <x v="33"/>
    <x v="70"/>
    <s v="LOC Access Management "/>
    <s v="LOC Access Management "/>
    <m/>
    <s v="NW"/>
  </r>
  <r>
    <s v="SIMDAT"/>
    <s v="SIM - Data Only"/>
    <s v="Telephony"/>
    <s v=""/>
    <s v=""/>
    <s v="Local SIM Card - Data Only"/>
    <x v="20"/>
    <m/>
    <n v="0"/>
    <n v="90"/>
    <n v="90"/>
    <n v="0"/>
    <n v="90"/>
    <s v="LOC IT"/>
    <x v="1"/>
    <x v="33"/>
    <x v="70"/>
    <s v="LOC Access Management "/>
    <s v="LOC Access Management "/>
    <m/>
    <s v="Telco/SIM"/>
  </r>
  <r>
    <s v="ITSR4G"/>
    <s v="IT Solution - Router + 4G"/>
    <s v="FIFA IT Network Solutions"/>
    <s v=""/>
    <s v=""/>
    <s v="IT Solution - Router + 4G"/>
    <x v="40"/>
    <m/>
    <n v="0"/>
    <n v="2"/>
    <n v="2"/>
    <n v="0"/>
    <n v="2"/>
    <s v="LOC IT"/>
    <x v="1"/>
    <x v="33"/>
    <x v="70"/>
    <s v="LOC Access Management "/>
    <s v="LOC Access Management "/>
    <m/>
    <s v="NW"/>
  </r>
  <r>
    <s v="MFDDNW"/>
    <s v="MFD Desktop - Colour - A4 - Network"/>
    <s v="Reprographics"/>
    <s v=""/>
    <s v="General Internet Access"/>
    <s v="Colour Printer / Scanner (A4)"/>
    <x v="2"/>
    <m/>
    <n v="0"/>
    <n v="0"/>
    <n v="0"/>
    <n v="0"/>
    <n v="0"/>
    <s v="LOC IT"/>
    <x v="2"/>
    <x v="34"/>
    <x v="71"/>
    <s v="LOC Accreditation"/>
    <s v="LOC Accreditation"/>
    <s v="PK 17.09: Transferred to FAC scope"/>
    <s v="EU"/>
  </r>
  <r>
    <s v="MFDLNW"/>
    <s v="MFD Large - Colour - A3 - Network"/>
    <s v="Reprographics"/>
    <s v=""/>
    <s v="General Internet Access"/>
    <s v="Large Colour Printer / Scanner (A3)"/>
    <x v="36"/>
    <m/>
    <n v="0"/>
    <n v="0"/>
    <n v="0"/>
    <n v="0"/>
    <n v="0"/>
    <s v="LOC IT"/>
    <x v="2"/>
    <x v="34"/>
    <x v="72"/>
    <s v="LOC Accreditation"/>
    <s v="LOC Accreditation"/>
    <s v="PK 17.09: Transferred to FAC scope"/>
    <s v="EU"/>
  </r>
  <r>
    <s v="LAPEVT"/>
    <s v="Laptop - FIFA Event Build"/>
    <s v="FIFA IT Hardware"/>
    <s v=""/>
    <s v=""/>
    <s v="FIFA Laptop"/>
    <x v="19"/>
    <m/>
    <n v="0"/>
    <n v="0"/>
    <n v="0"/>
    <n v="0"/>
    <n v="0"/>
    <s v="LOC IT"/>
    <x v="2"/>
    <x v="34"/>
    <x v="71"/>
    <s v="LOC Accreditation"/>
    <s v="LOC Accreditation"/>
    <s v="PK 17.09: Transferred to FAC scope"/>
    <s v="EU"/>
  </r>
  <r>
    <s v="ACCBAR"/>
    <s v="Barcode scanner"/>
    <s v="Peripherals"/>
    <s v=""/>
    <s v=""/>
    <s v="Barcode scanner"/>
    <x v="41"/>
    <m/>
    <n v="0"/>
    <n v="0"/>
    <n v="0"/>
    <n v="0"/>
    <n v="0"/>
    <s v="LOC IT"/>
    <x v="2"/>
    <x v="34"/>
    <x v="71"/>
    <s v="LOC Accreditation"/>
    <s v="LOC Accreditation"/>
    <s v="PK 17.09: Transferred to FAC scope"/>
    <s v="EU"/>
  </r>
  <r>
    <s v="WRDGEN"/>
    <s v="Wired Port - General Internet "/>
    <s v="Network &amp; Connectivity"/>
    <s v=""/>
    <s v="General Internet Access"/>
    <s v="Wired Port - Internet"/>
    <x v="8"/>
    <m/>
    <n v="0"/>
    <n v="0"/>
    <n v="0"/>
    <n v="0"/>
    <n v="0"/>
    <s v="LOC IT"/>
    <x v="2"/>
    <x v="34"/>
    <x v="71"/>
    <s v="LOC Accreditation"/>
    <s v="LOC Accreditation"/>
    <s v="PK 17.09: Transferred to FAC scope"/>
    <s v="NW"/>
  </r>
  <r>
    <s v="IS00WF"/>
    <s v="Wireless coverage - Shared Internet Service - Wi-Fi FIFA"/>
    <s v="Network &amp; Connectivity"/>
    <s v=""/>
    <s v="General Internet Access"/>
    <s v="Wireless coverage - Shared Internet Service - FIFA"/>
    <x v="1"/>
    <m/>
    <n v="0"/>
    <n v="0"/>
    <n v="0"/>
    <n v="0"/>
    <n v="0"/>
    <s v="LOC IT"/>
    <x v="2"/>
    <x v="34"/>
    <x v="73"/>
    <s v="LOC Accreditation"/>
    <s v="LOC Accreditation"/>
    <s v="PK 17.09: Transferred to FAC scope"/>
    <s v="NW"/>
  </r>
  <r>
    <s v="TVLGIP"/>
    <s v="TV - Large - IPTV"/>
    <s v="CATV"/>
    <s v=""/>
    <s v=""/>
    <s v="Large TV - CATV Feed"/>
    <x v="5"/>
    <m/>
    <n v="0"/>
    <n v="0"/>
    <n v="0"/>
    <n v="0"/>
    <n v="0"/>
    <s v="LOC IT"/>
    <x v="2"/>
    <x v="34"/>
    <x v="74"/>
    <s v="LOC Accreditation"/>
    <s v="LOC Accreditation"/>
    <s v="PK 17.09: Transferred to FAC scope"/>
    <s v="AV"/>
  </r>
  <r>
    <s v="LAPEVT"/>
    <s v="Laptop - FIFA Event Build"/>
    <s v="FIFA IT Hardware"/>
    <s v=""/>
    <s v=""/>
    <s v="FIFA Laptop"/>
    <x v="19"/>
    <m/>
    <n v="0"/>
    <n v="0"/>
    <n v="2"/>
    <n v="0"/>
    <n v="0"/>
    <s v="LOC IT"/>
    <x v="0"/>
    <x v="35"/>
    <x v="75"/>
    <s v="LOC Catering"/>
    <s v="LOC Catering"/>
    <m/>
    <s v="EU"/>
  </r>
  <r>
    <s v="LAPEVT"/>
    <s v="Laptop - FIFA Event Build"/>
    <s v="FIFA IT Hardware"/>
    <s v=""/>
    <s v=""/>
    <s v="FIFA Laptop"/>
    <x v="19"/>
    <m/>
    <n v="0"/>
    <n v="0"/>
    <n v="2"/>
    <n v="0"/>
    <n v="0"/>
    <s v="LOC IT"/>
    <x v="1"/>
    <x v="33"/>
    <x v="75"/>
    <s v="LOC Catering"/>
    <s v="LOC Catering"/>
    <m/>
    <s v="EU"/>
  </r>
  <r>
    <s v="ACCBAR"/>
    <s v="Barcode scanner"/>
    <s v="Peripherals"/>
    <s v=""/>
    <s v=""/>
    <s v="Barcode scanner"/>
    <x v="41"/>
    <m/>
    <n v="0"/>
    <n v="0"/>
    <n v="2"/>
    <n v="0"/>
    <n v="0"/>
    <s v="LOC IT"/>
    <x v="0"/>
    <x v="35"/>
    <x v="75"/>
    <s v="LOC Catering"/>
    <s v="LOC Catering"/>
    <m/>
    <s v="EU"/>
  </r>
  <r>
    <s v="ACCBAR"/>
    <s v="Barcode scanner"/>
    <s v="Peripherals"/>
    <s v=""/>
    <s v=""/>
    <s v="Barcode scanner"/>
    <x v="41"/>
    <m/>
    <n v="0"/>
    <n v="0"/>
    <n v="2"/>
    <n v="0"/>
    <n v="0"/>
    <s v="LOC IT"/>
    <x v="1"/>
    <x v="33"/>
    <x v="75"/>
    <s v="LOC Catering"/>
    <s v="LOC Catering"/>
    <m/>
    <s v="EU"/>
  </r>
  <r>
    <s v="TVLGSA"/>
    <s v="TV - Large - Standalone"/>
    <s v="Display Devices"/>
    <s v=""/>
    <s v=""/>
    <s v="Large TV - Standalone"/>
    <x v="15"/>
    <m/>
    <n v="0"/>
    <n v="0"/>
    <n v="1"/>
    <n v="0"/>
    <n v="0"/>
    <s v="LOC IT"/>
    <x v="0"/>
    <x v="36"/>
    <x v="76"/>
    <s v="LOC Events and Community Relations "/>
    <s v="LOC Events and Community Relations "/>
    <s v=" "/>
    <s v="EU"/>
  </r>
  <r>
    <s v="LAPEVT"/>
    <s v="Laptop - FIFA Event Build"/>
    <s v="FIFA IT Hardware"/>
    <s v=""/>
    <s v=""/>
    <s v="FIFA Laptop"/>
    <x v="19"/>
    <m/>
    <n v="0"/>
    <n v="0"/>
    <n v="2"/>
    <n v="0"/>
    <n v="0"/>
    <s v="LOC IT"/>
    <x v="0"/>
    <x v="36"/>
    <x v="76"/>
    <s v="LOC Events and Community Relations "/>
    <s v="LOC Events and Community Relations "/>
    <s v=" "/>
    <s v="EU"/>
  </r>
  <r>
    <s v="MFDDNW"/>
    <s v="MFD Desktop - Colour - A4 - Network"/>
    <s v="Reprographics"/>
    <s v=""/>
    <s v="General Internet Access"/>
    <s v="Colour Printer / Scanner (A4)"/>
    <x v="2"/>
    <m/>
    <n v="1"/>
    <n v="0"/>
    <n v="1"/>
    <n v="1"/>
    <n v="0"/>
    <s v="LOC IT"/>
    <x v="0"/>
    <x v="36"/>
    <x v="76"/>
    <s v="LOC Events and Community Relations "/>
    <s v="LOC Events and Community Relations "/>
    <s v=" "/>
    <s v="EU"/>
  </r>
  <r>
    <s v="IS00WF"/>
    <s v="Wireless coverage - Shared Internet Service - Wi-Fi FIFA"/>
    <s v="Network &amp; Connectivity"/>
    <s v=""/>
    <s v="General Internet Access"/>
    <s v="Wireless coverage - Shared Internet Service - FIFA"/>
    <x v="1"/>
    <m/>
    <n v="0"/>
    <n v="0"/>
    <n v="2"/>
    <n v="0"/>
    <n v="0"/>
    <s v="LOC IT"/>
    <x v="0"/>
    <x v="36"/>
    <x v="76"/>
    <s v="LOC Events and Community Relations "/>
    <s v="LOC Events and Community Relations "/>
    <s v=" "/>
    <s v="NW"/>
  </r>
  <r>
    <s v="TVLGSA"/>
    <s v="TV - Large - Standalone"/>
    <s v="Display Devices"/>
    <s v=""/>
    <s v=""/>
    <s v="Large TV - Standalone"/>
    <x v="15"/>
    <m/>
    <n v="0"/>
    <n v="0"/>
    <n v="1"/>
    <n v="0"/>
    <n v="0"/>
    <s v="LOC IT"/>
    <x v="1"/>
    <x v="37"/>
    <x v="76"/>
    <s v="LOC Events and Community Relations "/>
    <s v="LOC Events and Community Relations "/>
    <s v=" "/>
    <s v="EU"/>
  </r>
  <r>
    <s v="LAPEVT"/>
    <s v="Laptop - FIFA Event Build"/>
    <s v="FIFA IT Hardware"/>
    <s v=""/>
    <s v=""/>
    <s v="FIFA Laptop"/>
    <x v="19"/>
    <m/>
    <n v="0"/>
    <n v="0"/>
    <n v="2"/>
    <n v="0"/>
    <n v="0"/>
    <s v="LOC IT"/>
    <x v="1"/>
    <x v="37"/>
    <x v="76"/>
    <s v="LOC Events and Community Relations "/>
    <s v="LOC Events and Community Relations "/>
    <s v=" "/>
    <s v="EU"/>
  </r>
  <r>
    <s v="MFDDNW"/>
    <s v="MFD Desktop - Colour - A4 - Network"/>
    <s v="Reprographics"/>
    <s v=""/>
    <s v="General Internet Access"/>
    <s v="Colour Printer / Scanner (A4)"/>
    <x v="2"/>
    <m/>
    <n v="1"/>
    <n v="0"/>
    <n v="1"/>
    <n v="1"/>
    <n v="0"/>
    <s v="LOC IT"/>
    <x v="1"/>
    <x v="37"/>
    <x v="76"/>
    <s v="LOC Events and Community Relations "/>
    <s v="LOC Events and Community Relations "/>
    <s v=" "/>
    <s v="EU"/>
  </r>
  <r>
    <s v="IS00WF"/>
    <s v="Wireless coverage - Shared Internet Service - Wi-Fi FIFA"/>
    <s v="Network &amp; Connectivity"/>
    <s v=""/>
    <s v="General Internet Access"/>
    <s v="Wireless coverage - Shared Internet Service - FIFA"/>
    <x v="1"/>
    <m/>
    <n v="0"/>
    <n v="0"/>
    <n v="2"/>
    <n v="0"/>
    <n v="0"/>
    <s v="LOC IT"/>
    <x v="1"/>
    <x v="37"/>
    <x v="76"/>
    <s v="LOC Events and Community Relations "/>
    <s v="LOC Events and Community Relations "/>
    <s v=" "/>
    <s v="NW"/>
  </r>
  <r>
    <s v="IS00WF"/>
    <s v="Wireless coverage - Shared Internet Service - Wi-Fi FIFA"/>
    <s v="Network &amp; Connectivity"/>
    <s v=""/>
    <s v="General Internet Access"/>
    <s v="Wireless coverage - Shared Internet Service - FIFA"/>
    <x v="1"/>
    <m/>
    <n v="0"/>
    <n v="0"/>
    <n v="1"/>
    <n v="0"/>
    <n v="0"/>
    <s v="LOC IT"/>
    <x v="0"/>
    <x v="1"/>
    <x v="77"/>
    <s v="LOC Food &amp; Beverage Concessions"/>
    <s v="LOC Food &amp; Beverage Concessions"/>
    <s v=" "/>
    <s v="NW"/>
  </r>
  <r>
    <s v="IS00WF"/>
    <s v="Wireless coverage - Shared Internet Service - Wi-Fi FIFA"/>
    <s v="Network &amp; Connectivity"/>
    <s v=""/>
    <s v="General Internet Access"/>
    <s v="Wireless coverage - Shared Internet Service - FIFA"/>
    <x v="1"/>
    <m/>
    <n v="0"/>
    <n v="0"/>
    <n v="1"/>
    <n v="0"/>
    <n v="0"/>
    <s v="LOC IT"/>
    <x v="0"/>
    <x v="4"/>
    <x v="77"/>
    <s v="LOC Food &amp; Beverage Concessions"/>
    <s v="LOC Food &amp; Beverage Concessions"/>
    <s v=" "/>
    <s v="NW"/>
  </r>
  <r>
    <s v="IS00WF"/>
    <s v="Wireless coverage - Shared Internet Service - Wi-Fi FIFA"/>
    <s v="Network &amp; Connectivity"/>
    <s v=""/>
    <s v="General Internet Access"/>
    <s v="Wireless coverage - Shared Internet Service - FIFA"/>
    <x v="1"/>
    <m/>
    <n v="0"/>
    <n v="0"/>
    <n v="6"/>
    <n v="0"/>
    <n v="0"/>
    <s v="LOC IT"/>
    <x v="0"/>
    <x v="33"/>
    <x v="78"/>
    <s v="LOC Logistics"/>
    <s v="LOC Logistics"/>
    <m/>
    <s v="NW"/>
  </r>
  <r>
    <s v="MFDDNW"/>
    <s v="MFD Desktop - Colour - A4 - Network"/>
    <s v="Reprographics"/>
    <s v=""/>
    <s v="General Internet Access"/>
    <s v="Colour Printer / Scanner (A4)"/>
    <x v="2"/>
    <m/>
    <n v="1"/>
    <n v="0"/>
    <n v="1"/>
    <n v="1"/>
    <n v="0"/>
    <s v="LOC IT"/>
    <x v="0"/>
    <x v="33"/>
    <x v="78"/>
    <s v="LOC Logistics"/>
    <s v="LOC Logistics"/>
    <m/>
    <s v="EU"/>
  </r>
  <r>
    <s v="IS00WF"/>
    <s v="Wireless coverage - Shared Internet Service - Wi-Fi FIFA"/>
    <s v="Network &amp; Connectivity"/>
    <s v=""/>
    <s v="General Internet Access"/>
    <s v="Wireless coverage - Shared Internet Service - FIFA"/>
    <x v="1"/>
    <m/>
    <n v="0"/>
    <n v="0"/>
    <n v="4"/>
    <n v="0"/>
    <n v="0"/>
    <s v="LOC IT"/>
    <x v="1"/>
    <x v="33"/>
    <x v="78"/>
    <s v="LOC Logistics"/>
    <s v="LOC Logistics"/>
    <m/>
    <s v="NW"/>
  </r>
  <r>
    <s v="MFDDNW"/>
    <s v="MFD Desktop - Colour - A4 - Network"/>
    <s v="Reprographics"/>
    <s v=""/>
    <s v="General Internet Access"/>
    <s v="Colour Printer / Scanner (A4)"/>
    <x v="2"/>
    <m/>
    <n v="1"/>
    <n v="0"/>
    <n v="1"/>
    <n v="1"/>
    <n v="0"/>
    <s v="LOC IT"/>
    <x v="1"/>
    <x v="33"/>
    <x v="78"/>
    <s v="LOC Logistics"/>
    <s v="LOC Logistics"/>
    <m/>
    <s v="EU"/>
  </r>
  <r>
    <s v="LAPEVT"/>
    <s v="Laptop - FIFA Event Build"/>
    <s v="FIFA IT Hardware"/>
    <s v=""/>
    <s v=""/>
    <s v="FIFA Laptop"/>
    <x v="19"/>
    <m/>
    <n v="0"/>
    <n v="0"/>
    <n v="0"/>
    <n v="0"/>
    <n v="0"/>
    <s v="LOC IT"/>
    <x v="2"/>
    <x v="38"/>
    <x v="79"/>
    <s v="LOC Logistics"/>
    <s v="LOC Logistics"/>
    <s v="PK 17.09: Transferred to FAC scope"/>
    <s v="EU"/>
  </r>
  <r>
    <s v="MFDDNW"/>
    <s v="MFD Desktop - Colour - A4 - Network"/>
    <s v="Reprographics"/>
    <s v=""/>
    <s v="General Internet Access"/>
    <s v="Colour Printer / Scanner (A4)"/>
    <x v="2"/>
    <m/>
    <n v="0"/>
    <n v="0"/>
    <n v="0"/>
    <n v="0"/>
    <n v="0"/>
    <s v="LOC IT"/>
    <x v="2"/>
    <x v="38"/>
    <x v="79"/>
    <s v="LOC Logistics"/>
    <s v="LOC Logistics"/>
    <s v="PK 17.09: Transferred to FAC scope"/>
    <s v="EU"/>
  </r>
  <r>
    <s v="IS00WF"/>
    <s v="Wireless coverage - Shared Internet Service - Wi-Fi FIFA"/>
    <s v="Network &amp; Connectivity"/>
    <s v=""/>
    <s v="General Internet Access"/>
    <s v="Wireless coverage - Shared Internet Service - FIFA"/>
    <x v="1"/>
    <m/>
    <n v="0"/>
    <n v="0"/>
    <n v="0"/>
    <n v="0"/>
    <n v="0"/>
    <s v="LOC IT"/>
    <x v="2"/>
    <x v="38"/>
    <x v="79"/>
    <s v="LOC Logistics"/>
    <s v="LOC Logistics"/>
    <s v="PK 17.09: Transferred to FAC scope"/>
    <s v="NW"/>
  </r>
  <r>
    <s v="WRDGEN"/>
    <s v="Wired Port - General Internet "/>
    <s v="Network &amp; Connectivity"/>
    <s v=""/>
    <s v="General Internet Access"/>
    <s v="Wired Port - Internet"/>
    <x v="8"/>
    <m/>
    <n v="6"/>
    <n v="0"/>
    <n v="6"/>
    <n v="6"/>
    <n v="0"/>
    <s v="LOC IT"/>
    <x v="0"/>
    <x v="33"/>
    <x v="78"/>
    <s v="LOC Logistics"/>
    <s v="LOC Logistics"/>
    <m/>
    <s v="NW"/>
  </r>
  <r>
    <s v="WRDGEN"/>
    <s v="Wired Port - General Internet "/>
    <s v="Network &amp; Connectivity"/>
    <s v=""/>
    <s v="General Internet Access"/>
    <s v="Wired Port - Internet"/>
    <x v="8"/>
    <m/>
    <n v="4"/>
    <n v="0"/>
    <n v="4"/>
    <n v="4"/>
    <n v="0"/>
    <s v="LOC IT"/>
    <x v="1"/>
    <x v="33"/>
    <x v="78"/>
    <s v="LOC Logistics"/>
    <s v="LOC Logistics"/>
    <m/>
    <s v="NW"/>
  </r>
  <r>
    <s v="TVLGIP"/>
    <s v="TV - Large - IPTV"/>
    <s v="CATV"/>
    <s v=""/>
    <s v=""/>
    <s v="Large TV - CATV Feed"/>
    <x v="5"/>
    <m/>
    <n v="0"/>
    <n v="0"/>
    <n v="0"/>
    <n v="0"/>
    <n v="0"/>
    <s v="LOC IT"/>
    <x v="2"/>
    <x v="33"/>
    <x v="80"/>
    <s v="LOC Logistics"/>
    <s v="LOC Logistics"/>
    <s v="PK 17.09: Transferred to FAC scope"/>
    <s v="AV"/>
  </r>
  <r>
    <s v="WRDGEN"/>
    <s v="Wired Port - General Internet "/>
    <s v="Network &amp; Connectivity"/>
    <s v=""/>
    <s v="General Internet Access"/>
    <s v="Wired Port - Internet"/>
    <x v="8"/>
    <m/>
    <n v="0"/>
    <n v="0"/>
    <n v="0"/>
    <n v="0"/>
    <n v="0"/>
    <s v="LOC IT"/>
    <x v="2"/>
    <x v="33"/>
    <x v="80"/>
    <s v="LOC Logistics"/>
    <s v="LOC Logistics"/>
    <s v="PK 17.09: Transferred to FAC scope"/>
    <s v="NW"/>
  </r>
  <r>
    <s v="MFDLNW"/>
    <s v="MFD Large - Colour - A3 - Network"/>
    <s v="Reprographics"/>
    <s v=""/>
    <s v="General Internet Access"/>
    <s v="Large Colour Printer / Scanner (A3)"/>
    <x v="36"/>
    <m/>
    <n v="0"/>
    <n v="0"/>
    <n v="0"/>
    <n v="0"/>
    <n v="0"/>
    <s v="LOC IT"/>
    <x v="2"/>
    <x v="33"/>
    <x v="80"/>
    <s v="LOC Logistics"/>
    <s v="LOC Logistics"/>
    <s v="PK 17.09: Transferred to FAC scope"/>
    <s v="EU"/>
  </r>
  <r>
    <s v="IS00WF"/>
    <s v="Wireless coverage - Shared Internet Service - Wi-Fi FIFA"/>
    <s v="Network &amp; Connectivity"/>
    <s v=""/>
    <s v="General Internet Access"/>
    <s v="Wireless coverage - Shared Internet Service - FIFA"/>
    <x v="1"/>
    <m/>
    <n v="0"/>
    <n v="0"/>
    <n v="1"/>
    <n v="0"/>
    <n v="0"/>
    <s v="LOC IT"/>
    <x v="0"/>
    <x v="13"/>
    <x v="81"/>
    <s v="LOC Medical"/>
    <s v="LOC Medical"/>
    <m/>
    <s v="NW"/>
  </r>
  <r>
    <s v="IS00WF"/>
    <s v="Wireless coverage - Shared Internet Service - Wi-Fi FIFA"/>
    <s v="Network &amp; Connectivity"/>
    <s v=""/>
    <s v="General Internet Access"/>
    <s v="Wireless coverage - Shared Internet Service - FIFA"/>
    <x v="1"/>
    <m/>
    <n v="0"/>
    <n v="0"/>
    <n v="1"/>
    <n v="0"/>
    <n v="0"/>
    <s v="LOC IT"/>
    <x v="0"/>
    <x v="6"/>
    <x v="82"/>
    <s v="LOC Medical"/>
    <s v="LOC Medical"/>
    <m/>
    <s v="NW"/>
  </r>
  <r>
    <s v="IS00WF"/>
    <s v="Wireless coverage - Shared Internet Service - Wi-Fi FIFA"/>
    <s v="Network &amp; Connectivity"/>
    <s v=""/>
    <s v="General Internet Access"/>
    <s v="Wireless coverage - Shared Internet Service - FIFA"/>
    <x v="1"/>
    <m/>
    <n v="0"/>
    <n v="0"/>
    <n v="1"/>
    <n v="0"/>
    <n v="0"/>
    <s v="LOC IT"/>
    <x v="0"/>
    <x v="0"/>
    <x v="83"/>
    <s v="LOC Medical"/>
    <s v="LOC Medical"/>
    <m/>
    <s v="NW"/>
  </r>
  <r>
    <s v="TVLGIP"/>
    <s v="TV - Large - IPTV"/>
    <s v="CATV"/>
    <s v=""/>
    <s v=""/>
    <s v="Large TV - CATV Feed"/>
    <x v="5"/>
    <m/>
    <n v="1"/>
    <n v="0"/>
    <n v="1"/>
    <n v="1"/>
    <n v="0"/>
    <s v="LOC IT"/>
    <x v="0"/>
    <x v="6"/>
    <x v="82"/>
    <s v="LOC Medical"/>
    <s v="LOC Medical"/>
    <m/>
    <s v="AV"/>
  </r>
  <r>
    <s v="TVLGIP"/>
    <s v="TV - Large - IPTV"/>
    <s v="CATV"/>
    <s v=""/>
    <s v=""/>
    <s v="Large TV - CATV Feed"/>
    <x v="5"/>
    <m/>
    <n v="1"/>
    <n v="0"/>
    <n v="1"/>
    <n v="1"/>
    <n v="0"/>
    <s v="LOC IT"/>
    <x v="0"/>
    <x v="0"/>
    <x v="83"/>
    <s v="LOC Medical"/>
    <s v="LOC Medical"/>
    <m/>
    <s v="AV"/>
  </r>
  <r>
    <s v="IS00WF"/>
    <s v="Wireless coverage - Shared Internet Service - Wi-Fi FIFA"/>
    <s v="Network &amp; Connectivity"/>
    <s v=""/>
    <s v="General Internet Access"/>
    <s v="Wireless coverage - Shared Internet Service - FIFA"/>
    <x v="1"/>
    <m/>
    <n v="0"/>
    <n v="0"/>
    <n v="1"/>
    <n v="0"/>
    <n v="0"/>
    <s v="LOC IT"/>
    <x v="0"/>
    <x v="39"/>
    <x v="84"/>
    <s v="LOC Medical"/>
    <s v="LOC Medical"/>
    <m/>
    <s v="NW"/>
  </r>
  <r>
    <s v="TVLGIP"/>
    <s v="TV - Large - IPTV"/>
    <s v="CATV"/>
    <s v=""/>
    <s v=""/>
    <s v="Large TV - CATV Feed"/>
    <x v="5"/>
    <m/>
    <n v="1"/>
    <n v="0"/>
    <n v="1"/>
    <n v="1"/>
    <n v="0"/>
    <s v="LOC IT"/>
    <x v="1"/>
    <x v="40"/>
    <x v="85"/>
    <s v="LOC Medical"/>
    <s v="LOC Medical"/>
    <m/>
    <s v="AV"/>
  </r>
  <r>
    <s v="IS00WF"/>
    <s v="Wireless coverage - Shared Internet Service - Wi-Fi FIFA"/>
    <s v="Network &amp; Connectivity"/>
    <s v=""/>
    <s v="General Internet Access"/>
    <s v="Wireless coverage - Shared Internet Service - FIFA"/>
    <x v="1"/>
    <m/>
    <n v="0"/>
    <n v="0"/>
    <n v="1"/>
    <n v="0"/>
    <n v="0"/>
    <s v="LOC IT"/>
    <x v="1"/>
    <x v="40"/>
    <x v="85"/>
    <s v="LOC Medical"/>
    <s v="LOC Medical"/>
    <m/>
    <s v="NW"/>
  </r>
  <r>
    <s v="IS00WF"/>
    <s v="Wireless coverage - Shared Internet Service - Wi-Fi FIFA"/>
    <s v="Network &amp; Connectivity"/>
    <s v=""/>
    <s v="General Internet Access"/>
    <s v="Wireless coverage - Shared Internet Service - FIFA"/>
    <x v="1"/>
    <m/>
    <n v="0"/>
    <n v="0"/>
    <n v="1"/>
    <n v="0"/>
    <n v="0"/>
    <s v="LOC IT"/>
    <x v="1"/>
    <x v="41"/>
    <x v="81"/>
    <s v="LOC Medical"/>
    <s v="LOC Medical"/>
    <m/>
    <s v="NW"/>
  </r>
  <r>
    <s v="IS00WF"/>
    <s v="Wireless coverage - Shared Internet Service - Wi-Fi FIFA"/>
    <s v="Network &amp; Connectivity"/>
    <s v=""/>
    <s v="General Internet Access"/>
    <s v="Wireless coverage - Shared Internet Service - FIFA"/>
    <x v="1"/>
    <m/>
    <n v="0"/>
    <n v="0"/>
    <n v="1"/>
    <n v="0"/>
    <n v="0"/>
    <s v="LOC IT"/>
    <x v="1"/>
    <x v="41"/>
    <x v="86"/>
    <s v="LOC Medical"/>
    <s v="LOC Medical"/>
    <m/>
    <s v="NW"/>
  </r>
  <r>
    <s v="IS00WF"/>
    <s v="Wireless coverage - Shared Internet Service - Wi-Fi FIFA"/>
    <s v="Network &amp; Connectivity"/>
    <s v=""/>
    <s v="General Internet Access"/>
    <s v="Wireless coverage - Shared Internet Service - FIFA"/>
    <x v="1"/>
    <m/>
    <n v="0"/>
    <n v="0"/>
    <n v="2"/>
    <n v="0"/>
    <n v="0"/>
    <s v="LOC IT"/>
    <x v="1"/>
    <x v="42"/>
    <x v="87"/>
    <s v="LOC Medical"/>
    <s v="LOC Medical"/>
    <m/>
    <s v="NW"/>
  </r>
  <r>
    <s v="ACCBAR"/>
    <s v="Barcode scanner"/>
    <s v="Peripherals"/>
    <s v=""/>
    <s v=""/>
    <s v="Barcode scanner"/>
    <x v="41"/>
    <m/>
    <n v="0"/>
    <n v="0"/>
    <n v="5"/>
    <n v="0"/>
    <n v="0"/>
    <s v="LOC IT"/>
    <x v="0"/>
    <x v="35"/>
    <x v="88"/>
    <s v="LOC Spectator Services"/>
    <s v="LOC Spectator Services"/>
    <m/>
    <s v="EU"/>
  </r>
  <r>
    <s v="LAPEVT"/>
    <s v="Laptop - FIFA Event Build"/>
    <s v="FIFA IT Hardware"/>
    <s v=""/>
    <s v=""/>
    <s v="FIFA Laptop"/>
    <x v="19"/>
    <m/>
    <n v="0"/>
    <n v="0"/>
    <n v="4"/>
    <n v="0"/>
    <n v="0"/>
    <s v="LOC IT"/>
    <x v="0"/>
    <x v="35"/>
    <x v="88"/>
    <s v="LOC Spectator Services"/>
    <s v="LOC Spectator Services"/>
    <m/>
    <s v="EU"/>
  </r>
  <r>
    <s v="TABLEN"/>
    <s v="Tablet - FIFA Professional Tablet + 4G"/>
    <s v="FIFA IT Hardware"/>
    <s v=""/>
    <s v=""/>
    <s v="Professional Series Tablet + 4G"/>
    <x v="7"/>
    <m/>
    <n v="0"/>
    <n v="3"/>
    <n v="3"/>
    <n v="0"/>
    <n v="3"/>
    <s v="LOC IT"/>
    <x v="0"/>
    <x v="35"/>
    <x v="88"/>
    <s v="LOC Spectator Services"/>
    <s v="LOC Spectator Services"/>
    <m/>
    <s v="EU"/>
  </r>
  <r>
    <s v="ITSR4G"/>
    <s v="IT Solution - Router + 4G"/>
    <s v="FIFA IT Network Solutions"/>
    <s v=""/>
    <s v=""/>
    <s v="IT Solution - Router + 4G"/>
    <x v="40"/>
    <m/>
    <n v="0"/>
    <n v="3"/>
    <n v="3"/>
    <n v="0"/>
    <n v="3"/>
    <s v="LOC IT"/>
    <x v="0"/>
    <x v="35"/>
    <x v="88"/>
    <s v="LOC Spectator Services"/>
    <s v="LOC Spectator Services"/>
    <m/>
    <s v="NW"/>
  </r>
  <r>
    <s v="MFDDNW"/>
    <s v="MFD Desktop - Colour - A4 - Network"/>
    <s v="Reprographics"/>
    <s v=""/>
    <s v="General Internet Access"/>
    <s v="Colour Printer / Scanner (A4)"/>
    <x v="2"/>
    <m/>
    <n v="1"/>
    <n v="0"/>
    <n v="1"/>
    <n v="1"/>
    <n v="0"/>
    <s v="LOC IT"/>
    <x v="0"/>
    <x v="35"/>
    <x v="89"/>
    <s v="LOC Spectator Services"/>
    <s v="LOC Spectator Services"/>
    <m/>
    <s v="EU"/>
  </r>
  <r>
    <s v="IS00WF"/>
    <s v="Wireless coverage - Shared Internet Service - Wi-Fi FIFA"/>
    <s v="Network &amp; Connectivity"/>
    <s v=""/>
    <s v="General Internet Access"/>
    <s v="Wireless coverage - Shared Internet Service - FIFA"/>
    <x v="1"/>
    <m/>
    <n v="0"/>
    <n v="0"/>
    <n v="1"/>
    <n v="0"/>
    <n v="0"/>
    <s v="LOC IT"/>
    <x v="0"/>
    <x v="35"/>
    <x v="89"/>
    <s v="LOC Spectator Services"/>
    <s v="LOC Spectator Services"/>
    <m/>
    <s v="NW"/>
  </r>
  <r>
    <s v="SIMDAT"/>
    <s v="SIM - Data Only"/>
    <s v="Telephony"/>
    <s v=""/>
    <s v=""/>
    <s v="Local SIM Card - Data Only"/>
    <x v="20"/>
    <m/>
    <n v="0"/>
    <n v="2"/>
    <n v="2"/>
    <n v="0"/>
    <n v="2"/>
    <s v="LOC IT"/>
    <x v="0"/>
    <x v="35"/>
    <x v="90"/>
    <s v="LOC Spectator Services"/>
    <s v="LOC Spectator Services"/>
    <m/>
    <s v="Telco/SIM"/>
  </r>
  <r>
    <s v="ACCBAR"/>
    <s v="Barcode scanner"/>
    <s v="Peripherals"/>
    <s v=""/>
    <s v=""/>
    <s v="Barcode scanner"/>
    <x v="41"/>
    <m/>
    <n v="0"/>
    <n v="0"/>
    <n v="1"/>
    <n v="0"/>
    <n v="0"/>
    <s v="LOC IT"/>
    <x v="0"/>
    <x v="35"/>
    <x v="90"/>
    <s v="LOC Spectator Services"/>
    <s v="LOC Spectator Services"/>
    <m/>
    <s v="EU"/>
  </r>
  <r>
    <s v="ACCBAR"/>
    <s v="Barcode scanner"/>
    <s v="Peripherals"/>
    <s v=""/>
    <s v=""/>
    <s v="Barcode scanner"/>
    <x v="41"/>
    <m/>
    <n v="0"/>
    <n v="0"/>
    <n v="1"/>
    <n v="0"/>
    <n v="0"/>
    <s v="LOC IT"/>
    <x v="1"/>
    <x v="8"/>
    <x v="89"/>
    <s v="LOC Spectator Services"/>
    <s v="LOC Spectator Services"/>
    <m/>
    <s v="EU"/>
  </r>
  <r>
    <s v="IS00WF"/>
    <s v="Wireless coverage - Shared Internet Service - Wi-Fi FIFA"/>
    <s v="Network &amp; Connectivity"/>
    <s v=""/>
    <s v="General Internet Access"/>
    <s v="Wireless coverage - Shared Internet Service - FIFA"/>
    <x v="1"/>
    <m/>
    <n v="0"/>
    <n v="0"/>
    <n v="1"/>
    <n v="0"/>
    <n v="0"/>
    <s v="LOC IT"/>
    <x v="1"/>
    <x v="8"/>
    <x v="89"/>
    <s v="LOC Spectator Services"/>
    <s v="LOC Spectator Services"/>
    <m/>
    <s v="NW"/>
  </r>
  <r>
    <s v="SIMDAT"/>
    <s v="SIM - Data Only"/>
    <s v="Telephony"/>
    <s v=""/>
    <s v=""/>
    <s v="Local SIM Card - Data Only"/>
    <x v="20"/>
    <m/>
    <n v="0"/>
    <n v="2"/>
    <n v="2"/>
    <n v="0"/>
    <n v="2"/>
    <s v="LOC IT"/>
    <x v="1"/>
    <x v="8"/>
    <x v="89"/>
    <s v="LOC Spectator Services"/>
    <s v="LOC Spectator Services"/>
    <m/>
    <s v="Telco/SIM"/>
  </r>
  <r>
    <s v="MFDDNW"/>
    <s v="MFD Desktop - Colour - A4 - Network"/>
    <s v="Reprographics"/>
    <s v=""/>
    <s v="General Internet Access"/>
    <s v="Colour Printer / Scanner (A4)"/>
    <x v="2"/>
    <m/>
    <n v="1"/>
    <n v="0"/>
    <n v="1"/>
    <n v="1"/>
    <n v="0"/>
    <s v="LOC IT"/>
    <x v="1"/>
    <x v="8"/>
    <x v="89"/>
    <s v="LOC Spectator Services"/>
    <s v="LOC Spectator Services"/>
    <m/>
    <s v="EU"/>
  </r>
  <r>
    <s v="ACCBAR"/>
    <s v="Barcode scanner"/>
    <s v="Peripherals"/>
    <s v=""/>
    <s v=""/>
    <s v="Barcode scanner"/>
    <x v="41"/>
    <m/>
    <n v="0"/>
    <n v="0"/>
    <n v="5"/>
    <n v="0"/>
    <n v="0"/>
    <s v="LOC IT"/>
    <x v="1"/>
    <x v="8"/>
    <x v="88"/>
    <s v="LOC Spectator Services"/>
    <s v="LOC Spectator Services"/>
    <m/>
    <s v="EU"/>
  </r>
  <r>
    <s v="LAPEVT"/>
    <s v="Laptop - FIFA Event Build"/>
    <s v="FIFA IT Hardware"/>
    <s v=""/>
    <s v=""/>
    <s v="FIFA Laptop"/>
    <x v="19"/>
    <m/>
    <n v="0"/>
    <n v="0"/>
    <n v="4"/>
    <n v="0"/>
    <n v="0"/>
    <s v="LOC IT"/>
    <x v="1"/>
    <x v="8"/>
    <x v="88"/>
    <s v="LOC Spectator Services"/>
    <s v="LOC Spectator Services"/>
    <m/>
    <s v="EU"/>
  </r>
  <r>
    <s v="TABLEN"/>
    <s v="Tablet - FIFA Professional Tablet + 4G"/>
    <s v="FIFA IT Hardware"/>
    <s v=""/>
    <s v=""/>
    <s v="Professional Series Tablet + 4G"/>
    <x v="7"/>
    <m/>
    <n v="0"/>
    <n v="3"/>
    <n v="3"/>
    <n v="0"/>
    <n v="3"/>
    <s v="LOC IT"/>
    <x v="1"/>
    <x v="8"/>
    <x v="88"/>
    <s v="LOC Spectator Services"/>
    <s v="LOC Spectator Services"/>
    <m/>
    <s v="EU"/>
  </r>
  <r>
    <s v="ITSR4G"/>
    <s v="IT Solution - Router + 4G"/>
    <s v="FIFA IT Network Solutions"/>
    <s v=""/>
    <s v=""/>
    <s v="IT Solution - Router + 4G"/>
    <x v="40"/>
    <m/>
    <n v="0"/>
    <n v="3"/>
    <n v="3"/>
    <n v="0"/>
    <n v="3"/>
    <s v="LOC IT"/>
    <x v="1"/>
    <x v="8"/>
    <x v="88"/>
    <s v="LOC Spectator Services"/>
    <s v="LOC Spectator Services"/>
    <m/>
    <s v="NW"/>
  </r>
  <r>
    <s v="TVLGSA"/>
    <s v="TV - Large - Standalone"/>
    <s v="Display Devices"/>
    <s v=""/>
    <s v=""/>
    <s v="Large TV - Standalone"/>
    <x v="15"/>
    <m/>
    <n v="0"/>
    <n v="0"/>
    <n v="1"/>
    <n v="0"/>
    <n v="0"/>
    <s v="LOC IT"/>
    <x v="0"/>
    <x v="33"/>
    <x v="91"/>
    <s v="LOC SSOC"/>
    <s v="LOC SSOC"/>
    <m/>
    <s v="EU"/>
  </r>
  <r>
    <s v="MFDDNW"/>
    <s v="MFD Desktop - Colour - A4 - Network"/>
    <s v="Reprographics"/>
    <s v=""/>
    <s v="General Internet Access"/>
    <s v="Colour Printer / Scanner (A4)"/>
    <x v="2"/>
    <m/>
    <n v="1"/>
    <n v="0"/>
    <n v="1"/>
    <n v="1"/>
    <n v="0"/>
    <s v="LOC IT"/>
    <x v="0"/>
    <x v="33"/>
    <x v="91"/>
    <s v="LOC SSOC"/>
    <s v="LOC SSOC"/>
    <s v="PK 21.09: A3 replaced with A4"/>
    <s v="EU"/>
  </r>
  <r>
    <s v="IS00WF"/>
    <s v="Wireless coverage - Shared Internet Service - Wi-Fi FIFA"/>
    <s v="Network &amp; Connectivity"/>
    <s v=""/>
    <s v="General Internet Access"/>
    <s v="Wireless coverage - Shared Internet Service - FIFA"/>
    <x v="1"/>
    <m/>
    <n v="0"/>
    <n v="0"/>
    <n v="1"/>
    <n v="0"/>
    <n v="0"/>
    <s v="LOC IT"/>
    <x v="0"/>
    <x v="33"/>
    <x v="92"/>
    <s v="LOC SSOC"/>
    <s v="LOC SSOC"/>
    <m/>
    <s v="NW"/>
  </r>
  <r>
    <s v="IS00WF"/>
    <s v="Wireless coverage - Shared Internet Service - Wi-Fi FIFA"/>
    <s v="Network &amp; Connectivity"/>
    <s v=""/>
    <s v="General Internet Access"/>
    <s v="Wireless coverage - Shared Internet Service - FIFA"/>
    <x v="1"/>
    <m/>
    <n v="0"/>
    <n v="0"/>
    <n v="1"/>
    <n v="0"/>
    <n v="0"/>
    <s v="LOC IT"/>
    <x v="0"/>
    <x v="33"/>
    <x v="93"/>
    <s v="LOC SSOC"/>
    <s v="LOC SSOC"/>
    <m/>
    <s v="NW"/>
  </r>
  <r>
    <s v="TVLGSA"/>
    <s v="TV - Large - Standalone"/>
    <s v="Display Devices"/>
    <s v=""/>
    <s v=""/>
    <s v="Large TV - Standalone"/>
    <x v="15"/>
    <m/>
    <n v="0"/>
    <n v="0"/>
    <n v="1"/>
    <n v="0"/>
    <n v="0"/>
    <s v="LOC IT"/>
    <x v="0"/>
    <x v="33"/>
    <x v="93"/>
    <s v="LOC SSOC"/>
    <s v="LOC SSOC"/>
    <m/>
    <s v="EU"/>
  </r>
  <r>
    <s v="MFDLNW"/>
    <s v="MFD Large - Colour - A3 - Network"/>
    <s v="Reprographics"/>
    <s v=""/>
    <s v="General Internet Access"/>
    <s v="Large Colour Printer / Scanner (A3)"/>
    <x v="36"/>
    <m/>
    <n v="0"/>
    <n v="0"/>
    <n v="0"/>
    <n v="0"/>
    <n v="0"/>
    <s v="LOC IT"/>
    <x v="0"/>
    <x v="33"/>
    <x v="93"/>
    <s v="LOC SSOC"/>
    <s v="LOC SSOC"/>
    <s v="PK 21.09: rejected in provision"/>
    <s v="EU"/>
  </r>
  <r>
    <s v="IS00WF"/>
    <s v="Wireless coverage - Shared Internet Service - Wi-Fi FIFA"/>
    <s v="Network &amp; Connectivity"/>
    <s v=""/>
    <s v="General Internet Access"/>
    <s v="Wireless coverage - Shared Internet Service - FIFA"/>
    <x v="1"/>
    <m/>
    <n v="0"/>
    <n v="0"/>
    <n v="1"/>
    <n v="0"/>
    <n v="0"/>
    <s v="LOC IT"/>
    <x v="0"/>
    <x v="33"/>
    <x v="94"/>
    <s v="LOC SSOC"/>
    <s v="LOC SSOC"/>
    <m/>
    <s v="NW"/>
  </r>
  <r>
    <s v="MFDLNW"/>
    <s v="MFD Large - Colour - A3 - Network"/>
    <s v="Reprographics"/>
    <s v=""/>
    <s v="General Internet Access"/>
    <s v="Large Colour Printer / Scanner (A3)"/>
    <x v="36"/>
    <m/>
    <n v="0"/>
    <n v="0"/>
    <n v="0"/>
    <n v="0"/>
    <n v="0"/>
    <s v="LOC IT"/>
    <x v="1"/>
    <x v="8"/>
    <x v="95"/>
    <s v="LOC SSOC"/>
    <s v="LOC SSOC"/>
    <s v="PK 21.09: rejected in provision"/>
    <s v="EU"/>
  </r>
  <r>
    <s v="IS00WF"/>
    <s v="Wireless coverage - Shared Internet Service - Wi-Fi FIFA"/>
    <s v="Network &amp; Connectivity"/>
    <s v=""/>
    <s v="General Internet Access"/>
    <s v="Wireless coverage - Shared Internet Service - FIFA"/>
    <x v="1"/>
    <m/>
    <n v="0"/>
    <n v="0"/>
    <n v="1"/>
    <n v="0"/>
    <n v="0"/>
    <s v="LOC IT"/>
    <x v="1"/>
    <x v="8"/>
    <x v="93"/>
    <s v="LOC SSOC"/>
    <s v="LOC SSOC"/>
    <m/>
    <s v="NW"/>
  </r>
  <r>
    <s v="TVLGSA"/>
    <s v="TV - Large - Standalone"/>
    <s v="Display Devices"/>
    <s v=""/>
    <s v=""/>
    <s v="Large TV - Standalone"/>
    <x v="15"/>
    <m/>
    <n v="0"/>
    <n v="0"/>
    <n v="1"/>
    <n v="0"/>
    <n v="0"/>
    <s v="LOC IT"/>
    <x v="1"/>
    <x v="8"/>
    <x v="91"/>
    <s v="LOC SSOC"/>
    <s v="LOC SSOC"/>
    <m/>
    <s v="EU"/>
  </r>
  <r>
    <s v="IS00WF"/>
    <s v="Wireless coverage - Shared Internet Service - Wi-Fi FIFA"/>
    <s v="Network &amp; Connectivity"/>
    <s v=""/>
    <s v="General Internet Access"/>
    <s v="Wireless coverage - Shared Internet Service - FIFA"/>
    <x v="1"/>
    <m/>
    <n v="0"/>
    <n v="0"/>
    <n v="1"/>
    <n v="0"/>
    <n v="0"/>
    <s v="LOC IT"/>
    <x v="1"/>
    <x v="8"/>
    <x v="96"/>
    <s v="LOC SSOC"/>
    <s v="LOC SSOC"/>
    <m/>
    <s v="NW"/>
  </r>
  <r>
    <s v="IS00WF"/>
    <s v="Wireless coverage - Shared Internet Service - Wi-Fi FIFA"/>
    <s v="Network &amp; Connectivity"/>
    <s v=""/>
    <s v="General Internet Access"/>
    <s v="Wireless coverage - Shared Internet Service - FIFA"/>
    <x v="1"/>
    <m/>
    <n v="0"/>
    <n v="0"/>
    <n v="1"/>
    <n v="0"/>
    <n v="0"/>
    <s v="LOC IT"/>
    <x v="1"/>
    <x v="8"/>
    <x v="94"/>
    <s v="LOC SSOC"/>
    <s v="LOC SSOC"/>
    <m/>
    <s v="NW"/>
  </r>
  <r>
    <s v="SIMDAT"/>
    <s v="SIM - Data Only"/>
    <s v="Telephony"/>
    <s v=""/>
    <s v=""/>
    <s v="Local SIM Card - Data Only"/>
    <x v="20"/>
    <m/>
    <n v="0"/>
    <n v="0"/>
    <n v="0"/>
    <n v="0"/>
    <n v="0"/>
    <s v="LOC IT"/>
    <x v="2"/>
    <x v="33"/>
    <x v="97"/>
    <s v="LOC Team Services"/>
    <s v="LOC Team Services"/>
    <s v="PK 17.09: Transferred to FAC scope"/>
    <s v="Telco/SIM"/>
  </r>
  <r>
    <s v="TVLGSA"/>
    <s v="TV - Large - Standalone"/>
    <s v="Display Devices"/>
    <s v=""/>
    <s v=""/>
    <s v="Large TV - Standalone"/>
    <x v="15"/>
    <m/>
    <n v="0"/>
    <n v="0"/>
    <n v="1"/>
    <n v="0"/>
    <n v="0"/>
    <s v="LOC IT"/>
    <x v="0"/>
    <x v="35"/>
    <x v="98"/>
    <s v="LOC Venue Management"/>
    <s v="LOC Venue Management"/>
    <m/>
    <s v="EU"/>
  </r>
  <r>
    <s v="DSKMNT"/>
    <s v="24&quot; Monitor - HDMI/DP"/>
    <s v="Peripherals"/>
    <s v=""/>
    <s v=""/>
    <s v="24&quot; PC Monitor"/>
    <x v="0"/>
    <m/>
    <n v="0"/>
    <n v="0"/>
    <n v="2"/>
    <n v="0"/>
    <n v="0"/>
    <s v="LOC IT"/>
    <x v="0"/>
    <x v="35"/>
    <x v="98"/>
    <s v="LOC Venue Management"/>
    <s v="LOC Venue Management"/>
    <m/>
    <s v="EU"/>
  </r>
  <r>
    <s v="IS00WF"/>
    <s v="Wireless coverage - Shared Internet Service - Wi-Fi FIFA"/>
    <s v="Network &amp; Connectivity"/>
    <s v=""/>
    <s v="General Internet Access"/>
    <s v="Wireless coverage - Shared Internet Service - FIFA"/>
    <x v="1"/>
    <m/>
    <n v="0"/>
    <n v="0"/>
    <n v="1"/>
    <n v="0"/>
    <n v="0"/>
    <s v="LOC IT"/>
    <x v="0"/>
    <x v="35"/>
    <x v="98"/>
    <s v="LOC Venue Management"/>
    <s v="LOC Venue Management"/>
    <m/>
    <s v="NW"/>
  </r>
  <r>
    <s v="TVLGSA"/>
    <s v="TV - Large - Standalone"/>
    <s v="Display Devices"/>
    <s v=""/>
    <s v=""/>
    <s v="Large TV - Standalone"/>
    <x v="15"/>
    <m/>
    <n v="0"/>
    <n v="0"/>
    <n v="1"/>
    <n v="0"/>
    <n v="0"/>
    <s v="LOC IT"/>
    <x v="0"/>
    <x v="35"/>
    <x v="99"/>
    <s v="LOC Venue Management"/>
    <s v="LOC Venue Management"/>
    <m/>
    <s v="EU"/>
  </r>
  <r>
    <s v="TVLGSA"/>
    <s v="TV - Large - Standalone"/>
    <s v="Display Devices"/>
    <s v=""/>
    <s v=""/>
    <s v="Large TV - Standalone"/>
    <x v="15"/>
    <m/>
    <n v="0"/>
    <n v="0"/>
    <n v="2"/>
    <n v="0"/>
    <n v="0"/>
    <s v="LOC IT"/>
    <x v="0"/>
    <x v="35"/>
    <x v="100"/>
    <s v="LOC Venue Management"/>
    <s v="LOC Venue Management"/>
    <m/>
    <s v="EU"/>
  </r>
  <r>
    <s v="DSKMNT"/>
    <s v="24&quot; Monitor - HDMI/DP"/>
    <s v="Peripherals"/>
    <s v=""/>
    <s v=""/>
    <s v="24&quot; PC Monitor"/>
    <x v="0"/>
    <m/>
    <n v="0"/>
    <n v="0"/>
    <n v="6"/>
    <n v="0"/>
    <n v="0"/>
    <s v="LOC IT"/>
    <x v="0"/>
    <x v="35"/>
    <x v="100"/>
    <s v="LOC Venue Management"/>
    <s v="LOC Venue Management"/>
    <m/>
    <s v="EU"/>
  </r>
  <r>
    <s v="MFDLNW"/>
    <s v="MFD Large - Colour - A3 - Network"/>
    <s v="Reprographics"/>
    <s v=""/>
    <s v="General Internet Access"/>
    <s v="Large Colour Printer / Scanner (A3)"/>
    <x v="36"/>
    <m/>
    <n v="1"/>
    <n v="0"/>
    <n v="1"/>
    <n v="1"/>
    <n v="0"/>
    <s v="LOC IT"/>
    <x v="0"/>
    <x v="35"/>
    <x v="100"/>
    <s v="LOC Venue Management"/>
    <s v="LOC Venue Management"/>
    <s v="L1 general office"/>
    <s v="EU"/>
  </r>
  <r>
    <s v="TVLGIP"/>
    <s v="TV - Large - IPTV"/>
    <s v="CATV"/>
    <s v=""/>
    <s v=""/>
    <s v="Large TV - CATV Feed"/>
    <x v="5"/>
    <m/>
    <n v="1"/>
    <n v="0"/>
    <n v="1"/>
    <n v="1"/>
    <n v="0"/>
    <s v="LOC IT"/>
    <x v="0"/>
    <x v="27"/>
    <x v="101"/>
    <s v="LOC Venue Management"/>
    <s v="LOC Venue Management"/>
    <m/>
    <s v="AV"/>
  </r>
  <r>
    <s v="TVLGSA"/>
    <s v="TV - Large - Standalone"/>
    <s v="Display Devices"/>
    <s v=""/>
    <s v=""/>
    <s v="Large TV - Standalone"/>
    <x v="15"/>
    <m/>
    <n v="0"/>
    <n v="0"/>
    <n v="1"/>
    <n v="0"/>
    <n v="0"/>
    <s v="LOC IT"/>
    <x v="0"/>
    <x v="27"/>
    <x v="101"/>
    <s v="LOC Venue Management"/>
    <s v="LOC Venue Management"/>
    <m/>
    <s v="EU"/>
  </r>
  <r>
    <s v="MFDDNW"/>
    <s v="MFD Desktop - Colour - A4 - Network"/>
    <s v="Reprographics"/>
    <s v=""/>
    <s v="General Internet Access"/>
    <s v="Colour Printer / Scanner (A4)"/>
    <x v="2"/>
    <m/>
    <n v="1"/>
    <n v="0"/>
    <n v="1"/>
    <n v="1"/>
    <n v="0"/>
    <s v="LOC IT"/>
    <x v="0"/>
    <x v="27"/>
    <x v="101"/>
    <s v="LOC Venue Management"/>
    <s v="LOC Venue Management"/>
    <m/>
    <s v="EU"/>
  </r>
  <r>
    <s v="IS00WF"/>
    <s v="Wireless coverage - Shared Internet Service - Wi-Fi FIFA"/>
    <s v="Network &amp; Connectivity"/>
    <s v=""/>
    <s v="General Internet Access"/>
    <s v="Wireless coverage - Shared Internet Service - FIFA"/>
    <x v="1"/>
    <m/>
    <n v="0"/>
    <n v="0"/>
    <n v="1"/>
    <n v="0"/>
    <n v="0"/>
    <s v="LOC IT"/>
    <x v="0"/>
    <x v="27"/>
    <x v="101"/>
    <s v="LOC Venue Management"/>
    <s v="LOC Venue Management"/>
    <m/>
    <s v="NW"/>
  </r>
  <r>
    <s v="TVLGSA"/>
    <s v="TV - Large - Standalone"/>
    <s v="Display Devices"/>
    <s v=""/>
    <s v=""/>
    <s v="Large TV - Standalone"/>
    <x v="15"/>
    <m/>
    <n v="0"/>
    <n v="0"/>
    <n v="1"/>
    <n v="0"/>
    <n v="0"/>
    <s v="LOC IT"/>
    <x v="0"/>
    <x v="13"/>
    <x v="100"/>
    <s v="LOC Venue Management"/>
    <s v="LOC Venue Management"/>
    <m/>
    <s v="EU"/>
  </r>
  <r>
    <s v="TVLGIP"/>
    <s v="TV - Large - IPTV"/>
    <s v="CATV"/>
    <s v=""/>
    <s v=""/>
    <s v="Large TV - CATV Feed"/>
    <x v="5"/>
    <m/>
    <n v="1"/>
    <n v="0"/>
    <n v="1"/>
    <n v="1"/>
    <n v="0"/>
    <s v="LOC IT"/>
    <x v="0"/>
    <x v="13"/>
    <x v="100"/>
    <s v="LOC Venue Management"/>
    <s v="LOC Venue Management"/>
    <m/>
    <s v="AV"/>
  </r>
  <r>
    <s v="DSKMNT"/>
    <s v="24&quot; Monitor - HDMI/DP"/>
    <s v="Peripherals"/>
    <s v=""/>
    <s v=""/>
    <s v="24&quot; PC Monitor"/>
    <x v="0"/>
    <m/>
    <n v="0"/>
    <n v="0"/>
    <n v="6"/>
    <n v="0"/>
    <n v="0"/>
    <s v="LOC IT"/>
    <x v="0"/>
    <x v="13"/>
    <x v="100"/>
    <s v="LOC Venue Management"/>
    <s v="LOC Venue Management"/>
    <m/>
    <s v="EU"/>
  </r>
  <r>
    <s v="MFDLNW"/>
    <s v="MFD Large - Colour - A3 - Network"/>
    <s v="Reprographics"/>
    <s v=""/>
    <s v="General Internet Access"/>
    <s v="Large Colour Printer / Scanner (A3)"/>
    <x v="36"/>
    <m/>
    <n v="1"/>
    <n v="0"/>
    <n v="1"/>
    <n v="1"/>
    <n v="0"/>
    <s v="LOC IT"/>
    <x v="0"/>
    <x v="13"/>
    <x v="100"/>
    <s v="LOC Venue Management"/>
    <s v="LOC Venue Management"/>
    <m/>
    <s v="EU"/>
  </r>
  <r>
    <s v="LAPEVT"/>
    <s v="Laptop - FIFA Event Build"/>
    <s v="FIFA IT Hardware"/>
    <s v=""/>
    <s v=""/>
    <s v="FIFA Laptop"/>
    <x v="19"/>
    <m/>
    <n v="0"/>
    <n v="0"/>
    <n v="3"/>
    <n v="0"/>
    <n v="0"/>
    <s v="LOC IT"/>
    <x v="1"/>
    <x v="43"/>
    <x v="102"/>
    <s v="LOC Workforce"/>
    <s v="LOC Workforce"/>
    <s v="reduced from 4"/>
    <s v="EU"/>
  </r>
  <r>
    <s v="ACCBAR"/>
    <s v="Barcode scanner"/>
    <s v="Peripherals"/>
    <s v=""/>
    <s v=""/>
    <s v="Barcode scanner"/>
    <x v="41"/>
    <m/>
    <n v="0"/>
    <n v="0"/>
    <n v="3"/>
    <n v="0"/>
    <n v="0"/>
    <s v="LOC IT"/>
    <x v="1"/>
    <x v="43"/>
    <x v="103"/>
    <s v="LOC Workforce"/>
    <s v="LOC Workforce"/>
    <s v="reduced from 4"/>
    <s v="EU"/>
  </r>
  <r>
    <s v="DSKMNT"/>
    <s v="24&quot; Monitor - HDMI/DP"/>
    <s v="Peripherals"/>
    <s v=""/>
    <s v=""/>
    <s v="24&quot; PC Monitor"/>
    <x v="0"/>
    <m/>
    <n v="0"/>
    <n v="0"/>
    <n v="0"/>
    <n v="0"/>
    <n v="0"/>
    <s v="LOC IT"/>
    <x v="1"/>
    <x v="43"/>
    <x v="103"/>
    <s v="LOC Workforce"/>
    <s v="LOC Workforce"/>
    <s v="removed"/>
    <s v="EU"/>
  </r>
  <r>
    <s v="PORSPE"/>
    <s v="Portable Speaker"/>
    <s v="Peripherals"/>
    <s v=""/>
    <s v=""/>
    <s v="Portable Speaker"/>
    <x v="14"/>
    <m/>
    <n v="0"/>
    <n v="0"/>
    <n v="1"/>
    <n v="0"/>
    <n v="0"/>
    <s v="LOC IT"/>
    <x v="1"/>
    <x v="43"/>
    <x v="104"/>
    <s v="LOC Workforce"/>
    <s v="LOC Workforce"/>
    <s v="reduced from 3"/>
    <s v="EU"/>
  </r>
  <r>
    <s v="TVLGSA"/>
    <s v="TV - Large - Standalone"/>
    <s v="Display Devices"/>
    <s v=""/>
    <s v=""/>
    <s v="Large TV - Standalone"/>
    <x v="15"/>
    <m/>
    <n v="0"/>
    <n v="0"/>
    <n v="2"/>
    <n v="0"/>
    <n v="0"/>
    <s v="LOC IT"/>
    <x v="1"/>
    <x v="43"/>
    <x v="104"/>
    <s v="LOC Workforce"/>
    <s v="LOC Workforce"/>
    <s v="reduced from 4"/>
    <s v="EU"/>
  </r>
  <r>
    <s v="IS00WF"/>
    <s v="Wireless coverage - Shared Internet Service - Wi-Fi FIFA"/>
    <s v="Network &amp; Connectivity"/>
    <s v=""/>
    <s v="General Internet Access"/>
    <s v="Wireless coverage - Shared Internet Service - FIFA"/>
    <x v="1"/>
    <m/>
    <n v="0"/>
    <n v="0"/>
    <n v="1"/>
    <n v="0"/>
    <n v="0"/>
    <s v="LOC IT"/>
    <x v="1"/>
    <x v="43"/>
    <x v="104"/>
    <s v="LOC Workforce"/>
    <s v="LOC Workforce"/>
    <s v=""/>
    <s v="NW"/>
  </r>
  <r>
    <s v="MFDDNW"/>
    <s v="MFD Desktop - Colour - A4 - Network"/>
    <s v="Reprographics"/>
    <s v=""/>
    <s v="General Internet Access"/>
    <s v="Colour Printer / Scanner (A4)"/>
    <x v="2"/>
    <m/>
    <n v="1"/>
    <n v="0"/>
    <n v="1"/>
    <n v="1"/>
    <n v="0"/>
    <s v="LOC IT"/>
    <x v="1"/>
    <x v="43"/>
    <x v="103"/>
    <s v="LOC Workforce"/>
    <s v="LOC Workforce"/>
    <s v="Replaced A3"/>
    <s v="EU"/>
  </r>
  <r>
    <s v="LAPEVT"/>
    <s v="Laptop - FIFA Event Build"/>
    <s v="FIFA IT Hardware"/>
    <s v=""/>
    <s v=""/>
    <s v="FIFA Laptop"/>
    <x v="19"/>
    <m/>
    <n v="0"/>
    <n v="0"/>
    <n v="0"/>
    <n v="0"/>
    <n v="0"/>
    <s v="LOC IT"/>
    <x v="2"/>
    <x v="33"/>
    <x v="105"/>
    <s v="LOC Workforce"/>
    <s v="LOC Workforce"/>
    <s v="PK 17.09: Transferred to FAC scope"/>
    <s v="EU"/>
  </r>
  <r>
    <s v="DSKMNT"/>
    <s v="24&quot; Monitor - HDMI/DP"/>
    <s v="Peripherals"/>
    <s v=""/>
    <s v=""/>
    <s v="24&quot; PC Monitor"/>
    <x v="0"/>
    <m/>
    <n v="0"/>
    <n v="0"/>
    <n v="0"/>
    <n v="0"/>
    <n v="0"/>
    <s v="LOC IT"/>
    <x v="2"/>
    <x v="33"/>
    <x v="105"/>
    <s v="LOC Workforce"/>
    <s v="LOC Workforce"/>
    <s v="PK 17.09: Transferred to FAC scope"/>
    <s v="EU"/>
  </r>
  <r>
    <s v="TVLGIP"/>
    <s v="TV - Large - IPTV"/>
    <s v="CATV"/>
    <s v=""/>
    <s v=""/>
    <s v="Large TV - CATV Feed"/>
    <x v="5"/>
    <m/>
    <n v="0"/>
    <n v="0"/>
    <n v="0"/>
    <n v="0"/>
    <n v="0"/>
    <s v="LOC IT"/>
    <x v="2"/>
    <x v="33"/>
    <x v="105"/>
    <s v="LOC Workforce"/>
    <s v="LOC Workforce"/>
    <s v="PK 17.09: Transferred to FAC scope"/>
    <s v="AV"/>
  </r>
  <r>
    <s v="WRDGEN"/>
    <s v="Wired Port - General Internet "/>
    <s v="Network &amp; Connectivity"/>
    <s v=""/>
    <s v="General Internet Access"/>
    <s v="Wired Port - Internet"/>
    <x v="8"/>
    <m/>
    <n v="0"/>
    <n v="0"/>
    <n v="0"/>
    <n v="0"/>
    <n v="0"/>
    <s v="LOC IT"/>
    <x v="2"/>
    <x v="33"/>
    <x v="105"/>
    <s v="LOC Workforce"/>
    <s v="LOC Workforce"/>
    <s v="PK 17.09: Transferred to FAC scope"/>
    <s v="NW"/>
  </r>
  <r>
    <s v="MFDLNW"/>
    <s v="MFD Large - Colour - A3 - Network"/>
    <s v="Reprographics"/>
    <s v=""/>
    <s v="General Internet Access"/>
    <s v="Large Colour Printer / Scanner (A3)"/>
    <x v="36"/>
    <m/>
    <n v="0"/>
    <n v="0"/>
    <n v="0"/>
    <n v="0"/>
    <n v="0"/>
    <s v="LOC IT"/>
    <x v="2"/>
    <x v="33"/>
    <x v="105"/>
    <s v="LOC Workforce"/>
    <s v="LOC Workforce"/>
    <s v="PK 17.09: Transferred to FAC scope"/>
    <s v="EU"/>
  </r>
  <r>
    <s v="TELMOB"/>
    <s v="Telephone - Mobile - Smart Phone"/>
    <s v="Telephony"/>
    <s v=""/>
    <s v=""/>
    <s v="Smart Phone"/>
    <x v="23"/>
    <m/>
    <n v="0"/>
    <n v="0"/>
    <n v="0"/>
    <n v="0"/>
    <n v="0"/>
    <s v="LOC IT"/>
    <x v="2"/>
    <x v="33"/>
    <x v="105"/>
    <s v="LOC Workforce"/>
    <s v="LOC Workforce"/>
    <s v="PK 17.09: Transferred to FAC scope"/>
    <s v="Telco/SIM"/>
  </r>
  <r>
    <s v="IS00WF"/>
    <s v="Wireless coverage - Shared Internet Service - Wi-Fi FIFA"/>
    <s v="Network &amp; Connectivity"/>
    <s v=""/>
    <s v="General Internet Access"/>
    <s v="Wireless coverage - Shared Internet Service - FIFA"/>
    <x v="1"/>
    <m/>
    <n v="0"/>
    <n v="0"/>
    <n v="0"/>
    <n v="0"/>
    <n v="0"/>
    <s v="LOC IT"/>
    <x v="2"/>
    <x v="33"/>
    <x v="105"/>
    <s v="LOC Workforce"/>
    <s v="LOC Workforce"/>
    <s v="PK 17.09: Transferred to FAC scope"/>
    <s v="NW"/>
  </r>
  <r>
    <s v="TVLGSA"/>
    <s v="TV - Large - Standalone"/>
    <s v="Display Devices"/>
    <s v=""/>
    <s v=""/>
    <s v="Large TV - Standalone"/>
    <x v="15"/>
    <m/>
    <n v="0"/>
    <n v="0"/>
    <n v="0"/>
    <n v="0"/>
    <n v="0"/>
    <s v="LOC IT"/>
    <x v="2"/>
    <x v="33"/>
    <x v="105"/>
    <s v="LOC Workforce"/>
    <s v="LOC Workforce"/>
    <s v="PK 17.09: Transferred to FAC scope"/>
    <s v="EU"/>
  </r>
  <r>
    <s v="IS00WF"/>
    <s v="Wireless coverage - Shared Internet Service - Wi-Fi FIFA"/>
    <s v="Network &amp; Connectivity"/>
    <s v=""/>
    <s v="General Internet Access"/>
    <s v="Wireless coverage - Shared Internet Service - FIFA"/>
    <x v="1"/>
    <m/>
    <n v="0"/>
    <n v="0"/>
    <n v="0"/>
    <n v="0"/>
    <n v="0"/>
    <s v="LOC IT"/>
    <x v="2"/>
    <x v="44"/>
    <x v="106"/>
    <s v="LOC Workforce"/>
    <s v="LOC Workforce"/>
    <s v="PK 17.09: Transferred to FAC scope"/>
    <s v="NW"/>
  </r>
  <r>
    <s v="MFDDNW"/>
    <s v="MFD Desktop - Colour - A4 - Network"/>
    <s v="Reprographics"/>
    <s v=""/>
    <s v="General Internet Access"/>
    <s v="Colour Printer / Scanner (A4)"/>
    <x v="2"/>
    <m/>
    <n v="0"/>
    <n v="0"/>
    <n v="0"/>
    <n v="0"/>
    <n v="0"/>
    <s v="LOC IT"/>
    <x v="2"/>
    <x v="44"/>
    <x v="106"/>
    <s v="LOC Workforce"/>
    <s v="LOC Workforce"/>
    <s v="PK 17.09: Transferred to FAC scope"/>
    <s v="EU"/>
  </r>
  <r>
    <s v="LAPEVT"/>
    <s v="Laptop - FIFA Event Build"/>
    <s v="FIFA IT Hardware"/>
    <s v=""/>
    <s v=""/>
    <s v="FIFA Laptop"/>
    <x v="19"/>
    <m/>
    <n v="0"/>
    <n v="0"/>
    <n v="0"/>
    <n v="0"/>
    <n v="0"/>
    <s v="LOC IT"/>
    <x v="2"/>
    <x v="44"/>
    <x v="106"/>
    <s v="LOC Workforce"/>
    <s v="LOC Workforce"/>
    <s v="PK 17.09: Transferred to FAC scope"/>
    <s v="EU"/>
  </r>
  <r>
    <s v="DSKMNT"/>
    <s v="24&quot; Monitor - HDMI/DP"/>
    <s v="Peripherals"/>
    <s v=""/>
    <s v=""/>
    <s v="24&quot; PC Monitor"/>
    <x v="0"/>
    <m/>
    <n v="0"/>
    <n v="0"/>
    <n v="0"/>
    <n v="0"/>
    <n v="0"/>
    <s v="LOC IT"/>
    <x v="2"/>
    <x v="44"/>
    <x v="106"/>
    <s v="LOC Workforce"/>
    <s v="LOC Workforce"/>
    <s v="PK 17.09: Transferred to FAC scope"/>
    <s v="EU"/>
  </r>
  <r>
    <s v="ACCBAR"/>
    <s v="Barcode scanner"/>
    <s v="Peripherals"/>
    <s v=""/>
    <s v=""/>
    <s v="Barcode scanner"/>
    <x v="41"/>
    <m/>
    <n v="0"/>
    <n v="0"/>
    <n v="0"/>
    <n v="0"/>
    <n v="0"/>
    <s v="LOC IT"/>
    <x v="2"/>
    <x v="44"/>
    <x v="106"/>
    <s v="LOC Workforce"/>
    <s v="LOC Workforce"/>
    <s v="PK 17.09: Transferred to FAC scope"/>
    <s v="EU"/>
  </r>
  <r>
    <s v="TVLGSA"/>
    <s v="TV - Large - Standalone"/>
    <s v="Display Devices"/>
    <s v=""/>
    <s v=""/>
    <s v="Large TV - Standalone"/>
    <x v="15"/>
    <m/>
    <n v="0"/>
    <n v="0"/>
    <n v="0"/>
    <n v="0"/>
    <n v="0"/>
    <s v="LOC IT"/>
    <x v="2"/>
    <x v="44"/>
    <x v="106"/>
    <s v="LOC Workforce"/>
    <s v="LOC Workforce"/>
    <s v="PK 17.09: Transferred to FAC scope"/>
    <s v="EU"/>
  </r>
  <r>
    <s v="LAPEVT"/>
    <s v="Laptop - FIFA Event Build"/>
    <s v="FIFA IT Hardware"/>
    <s v=""/>
    <s v=""/>
    <s v="FIFA Laptop"/>
    <x v="19"/>
    <m/>
    <n v="0"/>
    <n v="0"/>
    <n v="0"/>
    <n v="0"/>
    <n v="0"/>
    <s v="LOC IT"/>
    <x v="2"/>
    <x v="44"/>
    <x v="107"/>
    <s v="LOC Workforce"/>
    <s v="LOC Workforce"/>
    <s v="PK 17.09: Transferred to FAC scope"/>
    <s v="EU"/>
  </r>
  <r>
    <s v="IS00WF"/>
    <s v="Wireless coverage - Shared Internet Service - Wi-Fi FIFA"/>
    <s v="Network &amp; Connectivity"/>
    <s v=""/>
    <s v="General Internet Access"/>
    <s v="Wireless coverage - Shared Internet Service - FIFA"/>
    <x v="1"/>
    <m/>
    <n v="0"/>
    <n v="0"/>
    <n v="0"/>
    <n v="0"/>
    <n v="0"/>
    <s v="LOC IT"/>
    <x v="2"/>
    <x v="44"/>
    <x v="107"/>
    <s v="LOC Workforce"/>
    <s v="LOC Workforce"/>
    <s v="PK 17.09: Transferred to FAC scope"/>
    <s v="NW"/>
  </r>
  <r>
    <s v="TELMOB"/>
    <s v="Telephone - Mobile - Smart Phone"/>
    <s v="Telephony"/>
    <s v=""/>
    <s v=""/>
    <s v="Smart Phone"/>
    <x v="23"/>
    <m/>
    <n v="0"/>
    <n v="0"/>
    <n v="0"/>
    <n v="0"/>
    <n v="0"/>
    <s v="LOC IT"/>
    <x v="2"/>
    <x v="44"/>
    <x v="107"/>
    <s v="LOC Workforce"/>
    <s v="LOC Workforce"/>
    <s v="PK 17.09: Transferred to FAC scope"/>
    <s v="Telco/SIM"/>
  </r>
  <r>
    <s v="TVLGIP"/>
    <s v="TV - Large - IPTV"/>
    <s v="CATV"/>
    <s v=""/>
    <s v=""/>
    <s v="Large TV - CATV Feed"/>
    <x v="5"/>
    <m/>
    <n v="0"/>
    <n v="0"/>
    <n v="0"/>
    <n v="0"/>
    <n v="0"/>
    <s v="LOC IT"/>
    <x v="2"/>
    <x v="44"/>
    <x v="107"/>
    <s v="LOC Workforce"/>
    <s v="LOC Workforce"/>
    <s v="PK 17.09: Transferred to FAC scope"/>
    <s v="AV"/>
  </r>
  <r>
    <s v="PORSPE"/>
    <s v="Portable Speaker"/>
    <s v="Peripherals"/>
    <s v=""/>
    <s v=""/>
    <s v="Portable Speaker"/>
    <x v="14"/>
    <m/>
    <n v="0"/>
    <n v="0"/>
    <n v="0"/>
    <n v="0"/>
    <n v="0"/>
    <s v="LOC IT"/>
    <x v="2"/>
    <x v="44"/>
    <x v="107"/>
    <s v="LOC Workforce"/>
    <s v="LOC Workforce"/>
    <s v="PK 17.09: Transferred to FAC scope"/>
    <s v="EU"/>
  </r>
  <r>
    <s v="IS00WS"/>
    <s v="Wireless coverage - Shared Internet Service - Wi-Fi FOOTBALL"/>
    <s v="Network &amp; Connectivity"/>
    <s v=""/>
    <s v="VIP Internet Access"/>
    <s v="Wireless coverage - Shared Internet Service - FOOTBALL"/>
    <x v="38"/>
    <m/>
    <n v="0"/>
    <n v="0"/>
    <n v="1"/>
    <n v="0"/>
    <n v="0"/>
    <s v="LOC IT"/>
    <x v="0"/>
    <x v="45"/>
    <x v="56"/>
    <s v="LOC Competition"/>
    <s v="LOC Competition"/>
    <m/>
    <s v="NW"/>
  </r>
  <r>
    <s v="TVLGIP"/>
    <s v="TV - Large - IPTV"/>
    <s v="CATV"/>
    <s v=""/>
    <s v=""/>
    <s v="Large TV - CATV Feed"/>
    <x v="5"/>
    <m/>
    <n v="1"/>
    <n v="0"/>
    <n v="1"/>
    <n v="1"/>
    <n v="0"/>
    <s v="LOC IT"/>
    <x v="0"/>
    <x v="45"/>
    <x v="56"/>
    <s v="LOC Competition"/>
    <s v="LOC Competition"/>
    <m/>
    <s v="AV"/>
  </r>
  <r>
    <s v="ITSR4G"/>
    <s v="IT Solution - Router + 4G"/>
    <s v="FIFA IT Network Solutions"/>
    <s v=""/>
    <s v=""/>
    <s v="IT Solution - Router + 4G"/>
    <x v="40"/>
    <m/>
    <n v="0"/>
    <n v="2"/>
    <n v="2"/>
    <n v="0"/>
    <n v="2"/>
    <s v="LOC IT"/>
    <x v="0"/>
    <x v="36"/>
    <x v="108"/>
    <s v="LOC Mobility"/>
    <s v="LOC Mobility"/>
    <s v="PK 16.10: wifi replaced to mifi due to out of venue location"/>
    <s v="NW"/>
  </r>
  <r>
    <s v="MFDDNW"/>
    <s v="MFD Desktop - Colour - A4 - Network"/>
    <s v="Reprographics"/>
    <s v=""/>
    <s v="General Internet Access"/>
    <s v="Colour Printer / Scanner (A4)"/>
    <x v="2"/>
    <m/>
    <n v="1"/>
    <n v="0"/>
    <n v="1"/>
    <n v="1"/>
    <n v="0"/>
    <s v="LOC IT"/>
    <x v="0"/>
    <x v="36"/>
    <x v="108"/>
    <s v="LOC Mobility"/>
    <s v="LOC Mobility"/>
    <m/>
    <s v="EU"/>
  </r>
  <r>
    <s v="MFDDNW"/>
    <s v="MFD Desktop - Colour - A4 - Network"/>
    <s v="Reprographics"/>
    <s v=""/>
    <s v="General Internet Access"/>
    <s v="Colour Printer / Scanner (A4)"/>
    <x v="2"/>
    <m/>
    <n v="0"/>
    <n v="0"/>
    <n v="0"/>
    <n v="0"/>
    <n v="0"/>
    <s v="LOC IT"/>
    <x v="2"/>
    <x v="46"/>
    <x v="109"/>
    <s v="LOC Mobility"/>
    <s v="LOC Mobility"/>
    <s v="PK 17.09: Transferred to FAC scope"/>
    <s v="EU"/>
  </r>
  <r>
    <s v="LAPEVT"/>
    <s v="Laptop - FIFA Event Build"/>
    <s v="FIFA IT Hardware"/>
    <s v=""/>
    <s v=""/>
    <s v="FIFA Laptop"/>
    <x v="19"/>
    <m/>
    <n v="0"/>
    <n v="0"/>
    <n v="0"/>
    <n v="0"/>
    <n v="0"/>
    <s v="LOC IT"/>
    <x v="2"/>
    <x v="46"/>
    <x v="109"/>
    <s v="LOC Mobility"/>
    <s v="LOC Mobility"/>
    <s v="PK 17.09: Transferred to FAC scope"/>
    <s v="EU"/>
  </r>
  <r>
    <s v="DSKMNT"/>
    <s v="24&quot; Monitor - HDMI/DP"/>
    <s v="Peripherals"/>
    <s v=""/>
    <s v=""/>
    <s v="24&quot; PC Monitor"/>
    <x v="0"/>
    <m/>
    <n v="0"/>
    <n v="0"/>
    <n v="0"/>
    <n v="0"/>
    <n v="0"/>
    <s v="LOC IT"/>
    <x v="2"/>
    <x v="46"/>
    <x v="109"/>
    <s v="LOC Mobility"/>
    <s v="LOC Mobility"/>
    <s v="PK 17.09: Transferred to FAC scope"/>
    <s v="EU"/>
  </r>
  <r>
    <s v="IS00WF"/>
    <s v="Wireless coverage - Shared Internet Service - Wi-Fi FIFA"/>
    <s v="Network &amp; Connectivity"/>
    <s v=""/>
    <s v="General Internet Access"/>
    <s v="Wireless coverage - Shared Internet Service - FIFA"/>
    <x v="1"/>
    <m/>
    <n v="0"/>
    <n v="0"/>
    <n v="0"/>
    <n v="0"/>
    <n v="0"/>
    <s v="LOC IT"/>
    <x v="2"/>
    <x v="46"/>
    <x v="109"/>
    <s v="LOC Mobility"/>
    <s v="LOC Mobility"/>
    <s v="PK 17.09: Transferred to FAC scope"/>
    <s v="NW"/>
  </r>
  <r>
    <s v="ACCBAR"/>
    <s v="Barcode scanner"/>
    <s v="Peripherals"/>
    <s v=""/>
    <s v=""/>
    <s v="Barcode scanner"/>
    <x v="41"/>
    <m/>
    <n v="0"/>
    <n v="0"/>
    <n v="0"/>
    <n v="0"/>
    <n v="0"/>
    <s v="LOC IT"/>
    <x v="2"/>
    <x v="46"/>
    <x v="109"/>
    <s v="LOC Mobility"/>
    <s v="LOC Mobility"/>
    <s v="PK 17.09: Transferred to FAC scope"/>
    <s v="EU"/>
  </r>
  <r>
    <s v="TVLGIP"/>
    <s v="TV - Large - IPTV"/>
    <s v="CATV"/>
    <s v=""/>
    <s v=""/>
    <s v="Large TV - CATV Feed"/>
    <x v="5"/>
    <m/>
    <n v="0"/>
    <n v="0"/>
    <n v="0"/>
    <n v="0"/>
    <n v="0"/>
    <s v="LOC IT"/>
    <x v="2"/>
    <x v="46"/>
    <x v="110"/>
    <s v="LOC Mobility"/>
    <s v="LOC Mobility"/>
    <s v="PK 17.09: Transferred to FAC scope"/>
    <s v="AV"/>
  </r>
  <r>
    <s v="TVLGSA"/>
    <s v="TV - Large - Standalone"/>
    <s v="Display Devices"/>
    <s v=""/>
    <s v=""/>
    <s v="Large TV - Standalone"/>
    <x v="15"/>
    <m/>
    <n v="0"/>
    <n v="0"/>
    <n v="0"/>
    <n v="0"/>
    <n v="0"/>
    <s v="LOC IT"/>
    <x v="2"/>
    <x v="46"/>
    <x v="110"/>
    <s v="LOC Mobility"/>
    <s v="LOC Mobility"/>
    <s v="PK 17.09: Transferred to FAC scope"/>
    <s v="EU"/>
  </r>
  <r>
    <s v="MFDLNW"/>
    <s v="MFD Large - Colour - A3 - Network"/>
    <s v="Reprographics"/>
    <s v=""/>
    <s v="General Internet Access"/>
    <s v="Large Colour Printer / Scanner (A3)"/>
    <x v="36"/>
    <m/>
    <n v="0"/>
    <n v="0"/>
    <n v="0"/>
    <n v="0"/>
    <n v="0"/>
    <s v="LOC IT"/>
    <x v="2"/>
    <x v="46"/>
    <x v="110"/>
    <s v="LOC Mobility"/>
    <s v="LOC Mobility"/>
    <s v="PK 17.09: Transferred to FAC scope"/>
    <s v="EU"/>
  </r>
  <r>
    <s v="WRDSTA"/>
    <s v="Wired Port - ACR-TKT-Ipcodec"/>
    <s v="Network &amp; Connectivity"/>
    <s v=""/>
    <s v="FIFA Standard Internet Access"/>
    <s v="Wired Port - ACR-TKT-Ipcodec"/>
    <x v="12"/>
    <m/>
    <n v="8"/>
    <n v="0"/>
    <n v="8"/>
    <n v="8"/>
    <n v="0"/>
    <s v="LOC IT"/>
    <x v="0"/>
    <x v="36"/>
    <x v="111"/>
    <s v="LOC Ticketing"/>
    <s v="LOC Ticketing"/>
    <s v="PK 18.09: 2 STC 4 cables for laptops"/>
    <s v="NW"/>
  </r>
  <r>
    <s v="IS00WF"/>
    <s v="Wireless coverage - Shared Internet Service - Wi-Fi FIFA"/>
    <s v="Network &amp; Connectivity"/>
    <s v=""/>
    <s v="General Internet Access"/>
    <s v="Wireless coverage - Shared Internet Service - FIFA"/>
    <x v="1"/>
    <m/>
    <n v="0"/>
    <n v="0"/>
    <n v="2"/>
    <n v="0"/>
    <n v="0"/>
    <s v="LOC IT"/>
    <x v="0"/>
    <x v="36"/>
    <x v="111"/>
    <s v="LOC Ticketing"/>
    <s v="LOC Ticketing"/>
    <s v="PK 18.09: 2 STC , wifi in each"/>
    <s v="NW"/>
  </r>
  <r>
    <s v="MFDDNW"/>
    <s v="MFD Desktop - Colour - A4 - Network"/>
    <s v="Reprographics"/>
    <s v=""/>
    <s v="General Internet Access"/>
    <s v="Colour Printer / Scanner (A4)"/>
    <x v="2"/>
    <m/>
    <n v="2"/>
    <n v="0"/>
    <n v="2"/>
    <n v="2"/>
    <n v="0"/>
    <s v="LOC IT"/>
    <x v="0"/>
    <x v="36"/>
    <x v="111"/>
    <s v="LOC Ticketing"/>
    <s v="LOC Ticketing"/>
    <s v="PK 18.09: 2 STC 1 printer each"/>
    <s v="EU"/>
  </r>
  <r>
    <s v="ITSR4G"/>
    <s v="IT Solution - Router + 4G"/>
    <s v="FIFA IT Network Solutions"/>
    <s v=""/>
    <s v=""/>
    <s v="IT Solution - Router + 4G"/>
    <x v="40"/>
    <m/>
    <n v="0"/>
    <n v="2"/>
    <n v="2"/>
    <n v="0"/>
    <n v="2"/>
    <s v="LOC IT"/>
    <x v="0"/>
    <x v="36"/>
    <x v="111"/>
    <s v="LOC Ticketing"/>
    <s v="LOC Ticketing"/>
    <s v="PK 18.09: 2 STC 1 mifi each"/>
    <s v="NW"/>
  </r>
  <r>
    <s v="LAPEVT"/>
    <s v="Laptop - FIFA Event Build"/>
    <s v="FIFA IT Hardware"/>
    <s v=""/>
    <s v=""/>
    <s v="FIFA Laptop"/>
    <x v="19"/>
    <m/>
    <n v="0"/>
    <n v="0"/>
    <n v="0"/>
    <n v="0"/>
    <n v="0"/>
    <s v="LOC IT"/>
    <x v="0"/>
    <x v="36"/>
    <x v="111"/>
    <s v="LOC Ticketing"/>
    <s v="LOC Ticketing"/>
    <s v="PK 18.09: laptops from TKT supplier"/>
    <s v="EU"/>
  </r>
  <r>
    <s v="IS00WF"/>
    <s v="Wireless coverage - Shared Internet Service - Wi-Fi FIFA"/>
    <s v="Network &amp; Connectivity"/>
    <s v=""/>
    <s v="General Internet Access"/>
    <s v="Wireless coverage - Shared Internet Service - FIFA"/>
    <x v="1"/>
    <m/>
    <n v="0"/>
    <n v="0"/>
    <n v="2"/>
    <n v="0"/>
    <n v="0"/>
    <s v="LOC IT"/>
    <x v="0"/>
    <x v="36"/>
    <x v="112"/>
    <s v="LOC Ticketing"/>
    <s v="LOC Ticketing"/>
    <s v="PK 18.09: 2 PSA, wifi in each"/>
    <s v="NW"/>
  </r>
  <r>
    <s v="SIMDAT"/>
    <s v="SIM - Data Only"/>
    <s v="Telephony"/>
    <s v=""/>
    <s v=""/>
    <s v="Local SIM Card - Data Only"/>
    <x v="20"/>
    <m/>
    <n v="0"/>
    <n v="15"/>
    <n v="15"/>
    <n v="0"/>
    <n v="15"/>
    <s v="LOC IT"/>
    <x v="0"/>
    <x v="36"/>
    <x v="113"/>
    <s v="LOC Ticketing"/>
    <s v="LOC Ticketing"/>
    <s v="PK 18.09: covered in request from Hayya"/>
    <s v="Telco/SIM"/>
  </r>
  <r>
    <s v="WRDSTA"/>
    <s v="Wired Port - ACR-TKT-Ipcodec"/>
    <s v="Network &amp; Connectivity"/>
    <s v=""/>
    <s v="FIFA Standard Internet Access"/>
    <s v="Wired Port - ACR-TKT-Ipcodec"/>
    <x v="12"/>
    <m/>
    <n v="0"/>
    <n v="0"/>
    <n v="0"/>
    <n v="0"/>
    <n v="0"/>
    <s v="LOC IT"/>
    <x v="0"/>
    <x v="47"/>
    <x v="114"/>
    <s v="LOC Ticketing"/>
    <s v="LOC Ticketing"/>
    <s v="PK 18.09: no TRP"/>
    <s v="NW"/>
  </r>
  <r>
    <s v="IS00WF"/>
    <s v="Wireless coverage - Shared Internet Service - Wi-Fi FIFA"/>
    <s v="Network &amp; Connectivity"/>
    <s v=""/>
    <s v="General Internet Access"/>
    <s v="Wireless coverage - Shared Internet Service - FIFA"/>
    <x v="1"/>
    <m/>
    <n v="0"/>
    <n v="0"/>
    <n v="0"/>
    <n v="0"/>
    <n v="0"/>
    <s v="LOC IT"/>
    <x v="0"/>
    <x v="47"/>
    <x v="114"/>
    <s v="LOC Ticketing"/>
    <s v="LOC Ticketing"/>
    <s v="PK 18.09: no TRP"/>
    <s v="NW"/>
  </r>
  <r>
    <s v="ITSR4G"/>
    <s v="IT Solution - Router + 4G"/>
    <s v="FIFA IT Network Solutions"/>
    <s v=""/>
    <s v=""/>
    <s v="IT Solution - Router + 4G"/>
    <x v="40"/>
    <m/>
    <n v="0"/>
    <n v="0"/>
    <n v="0"/>
    <n v="0"/>
    <n v="0"/>
    <s v="LOC IT"/>
    <x v="0"/>
    <x v="47"/>
    <x v="114"/>
    <s v="LOC Ticketing"/>
    <s v="LOC Ticketing"/>
    <s v="PK 18.09: no TRP"/>
    <s v="NW"/>
  </r>
  <r>
    <s v="LAPEVT"/>
    <s v="Laptop - FIFA Event Build"/>
    <s v="FIFA IT Hardware"/>
    <s v=""/>
    <s v=""/>
    <s v="FIFA Laptop"/>
    <x v="19"/>
    <m/>
    <n v="0"/>
    <n v="0"/>
    <n v="0"/>
    <n v="0"/>
    <n v="0"/>
    <s v="LOC IT"/>
    <x v="0"/>
    <x v="47"/>
    <x v="114"/>
    <s v="LOC Ticketing"/>
    <s v="LOC Ticketing"/>
    <s v="PK 18.09: no TRP"/>
    <s v="EU"/>
  </r>
  <r>
    <s v="IS00WF"/>
    <s v="Wireless coverage - Shared Internet Service - Wi-Fi FIFA"/>
    <s v="Network &amp; Connectivity"/>
    <s v=""/>
    <s v="General Internet Access"/>
    <s v="Wireless coverage - Shared Internet Service - FIFA"/>
    <x v="1"/>
    <m/>
    <n v="0"/>
    <n v="0"/>
    <n v="2"/>
    <n v="0"/>
    <n v="0"/>
    <s v="LOC IT"/>
    <x v="0"/>
    <x v="47"/>
    <x v="115"/>
    <s v="LOC Ticketing"/>
    <s v="LOC Ticketing"/>
    <s v="PK 18.09: pitch 5 and 7"/>
    <s v="NW"/>
  </r>
  <r>
    <s v="SIMDAT"/>
    <s v="SIM - Data Only"/>
    <s v="Telephony"/>
    <s v=""/>
    <s v=""/>
    <s v="Local SIM Card - Data Only"/>
    <x v="20"/>
    <m/>
    <n v="0"/>
    <n v="32"/>
    <n v="32"/>
    <n v="0"/>
    <n v="32"/>
    <s v="LOC IT"/>
    <x v="0"/>
    <x v="47"/>
    <x v="115"/>
    <s v="LOC Ticketing"/>
    <s v="LOC Ticketing"/>
    <s v="PK 18.09: pitch 5 and 7, not covered in reuest from Haya"/>
    <s v="Telco/SIM"/>
  </r>
  <r>
    <s v="IS00WF"/>
    <s v="Wireless coverage - Shared Internet Service - Wi-Fi FIFA"/>
    <s v="Network &amp; Connectivity"/>
    <s v=""/>
    <s v="General Internet Access"/>
    <s v="Wireless coverage - Shared Internet Service - FIFA"/>
    <x v="1"/>
    <m/>
    <n v="0"/>
    <n v="0"/>
    <n v="0"/>
    <n v="0"/>
    <n v="0"/>
    <s v="LOC IT"/>
    <x v="0"/>
    <x v="33"/>
    <x v="116"/>
    <s v="LOC Ticketing"/>
    <s v="LOC Ticketing"/>
    <s v="PK 18.09: no TKT office"/>
    <s v="NW"/>
  </r>
  <r>
    <s v="WRDSTA"/>
    <s v="Wired Port - ACR-TKT-Ipcodec"/>
    <s v="Network &amp; Connectivity"/>
    <s v=""/>
    <s v="FIFA Standard Internet Access"/>
    <s v="Wired Port - ACR-TKT-Ipcodec"/>
    <x v="12"/>
    <m/>
    <n v="0"/>
    <n v="0"/>
    <n v="0"/>
    <n v="0"/>
    <n v="0"/>
    <s v="LOC IT"/>
    <x v="0"/>
    <x v="33"/>
    <x v="116"/>
    <s v="LOC Ticketing"/>
    <s v="LOC Ticketing"/>
    <s v="PK 18.09: no TKT office"/>
    <s v="NW"/>
  </r>
  <r>
    <s v="MFDLNW"/>
    <s v="MFD Large - Colour - A3 - Network"/>
    <s v="Reprographics"/>
    <s v=""/>
    <s v="General Internet Access"/>
    <s v="Large Colour Printer / Scanner (A3)"/>
    <x v="36"/>
    <m/>
    <n v="0"/>
    <n v="0"/>
    <n v="0"/>
    <n v="0"/>
    <n v="0"/>
    <s v="LOC IT"/>
    <x v="0"/>
    <x v="33"/>
    <x v="116"/>
    <s v="LOC Ticketing"/>
    <s v="LOC Ticketing"/>
    <s v="PK 18.09: no TKT office"/>
    <s v="EU"/>
  </r>
  <r>
    <s v="TVLGSA"/>
    <s v="TV - Large - Standalone"/>
    <s v="Display Devices"/>
    <s v=""/>
    <s v=""/>
    <s v="Large TV - Standalone"/>
    <x v="15"/>
    <m/>
    <n v="0"/>
    <n v="0"/>
    <n v="0"/>
    <n v="0"/>
    <n v="0"/>
    <s v="LOC IT"/>
    <x v="0"/>
    <x v="33"/>
    <x v="116"/>
    <s v="LOC Ticketing"/>
    <s v="LOC Ticketing"/>
    <s v="PK 18.09: no TKT office"/>
    <s v="EU"/>
  </r>
  <r>
    <s v="WRDSTA"/>
    <s v="Wired Port - ACR-TKT-Ipcodec"/>
    <s v="Network &amp; Connectivity"/>
    <s v=""/>
    <s v="FIFA Standard Internet Access"/>
    <s v="Wired Port - ACR-TKT-Ipcodec"/>
    <x v="12"/>
    <m/>
    <n v="0"/>
    <n v="0"/>
    <n v="0"/>
    <n v="0"/>
    <n v="0"/>
    <s v="LOC IT"/>
    <x v="0"/>
    <x v="33"/>
    <x v="117"/>
    <s v="LOC Ticketing"/>
    <s v="LOC Ticketing"/>
    <s v="PK 18.09: no EACS office"/>
    <s v="NW"/>
  </r>
  <r>
    <s v="IS00WF"/>
    <s v="Wireless coverage - Shared Internet Service - Wi-Fi FIFA"/>
    <s v="Network &amp; Connectivity"/>
    <s v=""/>
    <s v="General Internet Access"/>
    <s v="Wireless coverage - Shared Internet Service - FIFA"/>
    <x v="1"/>
    <m/>
    <n v="0"/>
    <n v="0"/>
    <n v="0"/>
    <n v="0"/>
    <n v="0"/>
    <s v="LOC IT"/>
    <x v="0"/>
    <x v="33"/>
    <x v="117"/>
    <s v="LOC Ticketing"/>
    <s v="LOC Ticketing"/>
    <s v="PK 18.09: no EACS office"/>
    <s v="NW"/>
  </r>
  <r>
    <s v="MFDDNW"/>
    <s v="MFD Desktop - Colour - A4 - Network"/>
    <s v="Reprographics"/>
    <s v=""/>
    <s v="General Internet Access"/>
    <s v="Colour Printer / Scanner (A4)"/>
    <x v="2"/>
    <m/>
    <n v="0"/>
    <n v="0"/>
    <n v="0"/>
    <n v="0"/>
    <n v="0"/>
    <s v="LOC IT"/>
    <x v="0"/>
    <x v="33"/>
    <x v="117"/>
    <s v="LOC Ticketing"/>
    <s v="LOC Ticketing"/>
    <s v="PK 18.09: no EACS office"/>
    <s v="EU"/>
  </r>
  <r>
    <s v="WRDSTA"/>
    <s v="Wired Port - ACR-TKT-Ipcodec"/>
    <s v="Network &amp; Connectivity"/>
    <s v=""/>
    <s v="FIFA Standard Internet Access"/>
    <s v="Wired Port - ACR-TKT-Ipcodec"/>
    <x v="12"/>
    <m/>
    <n v="2"/>
    <n v="0"/>
    <n v="2"/>
    <n v="2"/>
    <n v="0"/>
    <s v="LOC IT"/>
    <x v="0"/>
    <x v="27"/>
    <x v="118"/>
    <s v="LOC Ticketing"/>
    <s v="LOC Ticketing"/>
    <s v="&quot;2 x wired ports for 2 x laptops_x000a_EACS network - TBC, Dedicated VLAN - TBD&quot;"/>
    <s v="NW"/>
  </r>
  <r>
    <s v="LAPEVT"/>
    <s v="Laptop - FIFA Event Build"/>
    <s v="FIFA IT Hardware"/>
    <s v=""/>
    <s v=""/>
    <s v="FIFA Laptop"/>
    <x v="19"/>
    <m/>
    <n v="0"/>
    <n v="0"/>
    <n v="2"/>
    <n v="0"/>
    <n v="0"/>
    <s v="LOC IT"/>
    <x v="0"/>
    <x v="33"/>
    <x v="118"/>
    <s v="LOC Ticketing"/>
    <s v="LOC Ticketing"/>
    <s v="PK 18.09: 2 laptops from LOC"/>
    <s v="EU"/>
  </r>
  <r>
    <s v="TVLGSA"/>
    <s v="TV - Large - Standalone"/>
    <s v="Display Devices"/>
    <s v=""/>
    <s v=""/>
    <s v="Large TV - Standalone"/>
    <x v="15"/>
    <m/>
    <n v="0"/>
    <n v="0"/>
    <n v="1"/>
    <n v="0"/>
    <n v="0"/>
    <s v="LOC IT"/>
    <x v="0"/>
    <x v="33"/>
    <x v="118"/>
    <s v="LOC Ticketing"/>
    <s v="LOC Ticketing"/>
    <s v="PK 18.09: TV depends on VOC setup"/>
    <s v="EU"/>
  </r>
  <r>
    <s v="WRDSTA"/>
    <s v="Wired Port - ACR-TKT-Ipcodec"/>
    <s v="Network &amp; Connectivity"/>
    <s v=""/>
    <s v="FIFA Standard Internet Access"/>
    <s v="Wired Port - ACR-TKT-Ipcodec"/>
    <x v="12"/>
    <m/>
    <n v="0"/>
    <n v="0"/>
    <n v="0"/>
    <n v="0"/>
    <n v="0"/>
    <s v="LOC IT"/>
    <x v="1"/>
    <x v="37"/>
    <x v="119"/>
    <s v="LOC Ticketing"/>
    <s v="LOC Ticketing"/>
    <s v="PK 21.09: reflected in FAC TEAP"/>
    <s v="NW"/>
  </r>
  <r>
    <s v="IS00WF"/>
    <s v="Wireless coverage - Shared Internet Service - Wi-Fi FIFA"/>
    <s v="Network &amp; Connectivity"/>
    <s v=""/>
    <s v="General Internet Access"/>
    <s v="Wireless coverage - Shared Internet Service - FIFA"/>
    <x v="1"/>
    <m/>
    <n v="0"/>
    <n v="0"/>
    <n v="0"/>
    <n v="0"/>
    <n v="0"/>
    <s v="LOC IT"/>
    <x v="1"/>
    <x v="37"/>
    <x v="119"/>
    <s v="LOC Ticketing"/>
    <s v="LOC Ticketing"/>
    <s v="PK 21.09: reflected in FAC TEAP"/>
    <s v="NW"/>
  </r>
  <r>
    <s v="MFDDNW"/>
    <s v="MFD Desktop - Colour - A4 - Network"/>
    <s v="Reprographics"/>
    <s v=""/>
    <s v="General Internet Access"/>
    <s v="Colour Printer / Scanner (A4)"/>
    <x v="2"/>
    <m/>
    <n v="0"/>
    <n v="0"/>
    <n v="0"/>
    <n v="0"/>
    <n v="0"/>
    <s v="LOC IT"/>
    <x v="1"/>
    <x v="37"/>
    <x v="119"/>
    <s v="LOC Ticketing"/>
    <s v="LOC Ticketing"/>
    <s v="PK 21.09: reflected in FAC TEAP"/>
    <s v="EU"/>
  </r>
  <r>
    <s v="ITSR4G"/>
    <s v="IT Solution - Router + 4G"/>
    <s v="FIFA IT Network Solutions"/>
    <s v=""/>
    <s v=""/>
    <s v="IT Solution - Router + 4G"/>
    <x v="40"/>
    <m/>
    <n v="0"/>
    <n v="0"/>
    <n v="0"/>
    <n v="0"/>
    <n v="0"/>
    <s v="LOC IT"/>
    <x v="1"/>
    <x v="37"/>
    <x v="119"/>
    <s v="LOC Ticketing"/>
    <s v="LOC Ticketing"/>
    <s v="PK 21.09: reflected in FAC TEAP"/>
    <s v="NW"/>
  </r>
  <r>
    <s v="LAPEVT"/>
    <s v="Laptop - FIFA Event Build"/>
    <s v="FIFA IT Hardware"/>
    <s v=""/>
    <s v=""/>
    <s v="FIFA Laptop"/>
    <x v="19"/>
    <m/>
    <n v="0"/>
    <n v="0"/>
    <n v="0"/>
    <n v="0"/>
    <n v="0"/>
    <s v="LOC IT"/>
    <x v="1"/>
    <x v="37"/>
    <x v="119"/>
    <s v="LOC Ticketing"/>
    <s v="LOC Ticketing"/>
    <s v="PK 21.09: reflected in FAC TEAP"/>
    <s v="EU"/>
  </r>
  <r>
    <s v="IS00WF"/>
    <s v="Wireless coverage - Shared Internet Service - Wi-Fi FIFA"/>
    <s v="Network &amp; Connectivity"/>
    <s v=""/>
    <s v="General Internet Access"/>
    <s v="Wireless coverage - Shared Internet Service - FIFA"/>
    <x v="1"/>
    <m/>
    <n v="0"/>
    <n v="0"/>
    <n v="0"/>
    <n v="0"/>
    <n v="0"/>
    <s v="LOC IT"/>
    <x v="1"/>
    <x v="37"/>
    <x v="120"/>
    <s v="LOC Ticketing"/>
    <s v="LOC Ticketing"/>
    <s v="PK 21.09: reflected in FAC TEAP"/>
    <s v="NW"/>
  </r>
  <r>
    <s v="SIMDAT"/>
    <s v="SIM - Data Only"/>
    <s v="Telephony"/>
    <s v=""/>
    <s v=""/>
    <s v="Local SIM Card - Data Only"/>
    <x v="20"/>
    <m/>
    <n v="0"/>
    <n v="0"/>
    <n v="0"/>
    <n v="0"/>
    <n v="0"/>
    <s v="LOC IT"/>
    <x v="1"/>
    <x v="37"/>
    <x v="120"/>
    <s v="LOC Ticketing"/>
    <s v="LOC Ticketing"/>
    <s v="PK 21.09: reflected in FAC TEAP"/>
    <s v="Telco/SIM"/>
  </r>
  <r>
    <s v="WRDSTA"/>
    <s v="Wired Port - ACR-TKT-Ipcodec"/>
    <s v="Network &amp; Connectivity"/>
    <s v=""/>
    <s v="FIFA Standard Internet Access"/>
    <s v="Wired Port - ACR-TKT-Ipcodec"/>
    <x v="12"/>
    <m/>
    <n v="0"/>
    <n v="0"/>
    <n v="0"/>
    <n v="0"/>
    <n v="0"/>
    <s v="LOC IT"/>
    <x v="1"/>
    <x v="42"/>
    <x v="121"/>
    <s v="LOC Ticketing"/>
    <s v="LOC Ticketing"/>
    <s v="PK 21.09: reflected in FAC TEAP"/>
    <s v="NW"/>
  </r>
  <r>
    <s v="IS00WF"/>
    <s v="Wireless coverage - Shared Internet Service - Wi-Fi FIFA"/>
    <s v="Network &amp; Connectivity"/>
    <s v=""/>
    <s v="General Internet Access"/>
    <s v="Wireless coverage - Shared Internet Service - FIFA"/>
    <x v="1"/>
    <m/>
    <n v="0"/>
    <n v="0"/>
    <n v="0"/>
    <n v="0"/>
    <n v="0"/>
    <s v="LOC IT"/>
    <x v="1"/>
    <x v="42"/>
    <x v="121"/>
    <s v="LOC Ticketing"/>
    <s v="LOC Ticketing"/>
    <s v="PK 21.09: reflected in FAC TEAP"/>
    <s v="NW"/>
  </r>
  <r>
    <s v="ITSR4G"/>
    <s v="IT Solution - Router + 4G"/>
    <s v="FIFA IT Network Solutions"/>
    <s v=""/>
    <s v=""/>
    <s v="IT Solution - Router + 4G"/>
    <x v="40"/>
    <m/>
    <n v="0"/>
    <n v="0"/>
    <n v="0"/>
    <n v="0"/>
    <n v="0"/>
    <s v="LOC IT"/>
    <x v="1"/>
    <x v="42"/>
    <x v="121"/>
    <s v="LOC Ticketing"/>
    <s v="LOC Ticketing"/>
    <s v="PK 21.09: reflected in FAC TEAP"/>
    <s v="NW"/>
  </r>
  <r>
    <s v="LAPEVT"/>
    <s v="Laptop - FIFA Event Build"/>
    <s v="FIFA IT Hardware"/>
    <s v=""/>
    <s v=""/>
    <s v="FIFA Laptop"/>
    <x v="19"/>
    <m/>
    <n v="0"/>
    <n v="0"/>
    <n v="0"/>
    <n v="0"/>
    <n v="0"/>
    <s v="LOC IT"/>
    <x v="1"/>
    <x v="42"/>
    <x v="121"/>
    <s v="LOC Ticketing"/>
    <s v="LOC Ticketing"/>
    <s v="PK 21.09: reflected in FAC TEAP"/>
    <s v="EU"/>
  </r>
  <r>
    <s v="IS00WF"/>
    <s v="Wireless coverage - Shared Internet Service - Wi-Fi FIFA"/>
    <s v="Network &amp; Connectivity"/>
    <s v=""/>
    <s v="General Internet Access"/>
    <s v="Wireless coverage - Shared Internet Service - FIFA"/>
    <x v="1"/>
    <m/>
    <n v="0"/>
    <n v="0"/>
    <n v="0"/>
    <n v="0"/>
    <n v="0"/>
    <s v="LOC IT"/>
    <x v="1"/>
    <x v="42"/>
    <x v="122"/>
    <s v="LOC Ticketing"/>
    <s v="LOC Ticketing"/>
    <s v="PK 21.09: reflected in FAC TEAP"/>
    <s v="NW"/>
  </r>
  <r>
    <s v="IS00WF"/>
    <s v="Wireless coverage - Shared Internet Service - Wi-Fi FIFA"/>
    <s v="Network &amp; Connectivity"/>
    <s v=""/>
    <s v="General Internet Access"/>
    <s v="Wireless coverage - Shared Internet Service - FIFA"/>
    <x v="1"/>
    <m/>
    <n v="0"/>
    <n v="0"/>
    <n v="0"/>
    <n v="0"/>
    <n v="0"/>
    <s v="LOC IT"/>
    <x v="1"/>
    <x v="8"/>
    <x v="116"/>
    <s v="LOC Ticketing"/>
    <s v="LOC Ticketing"/>
    <s v="PK 21.09: reflected in FAC TEAP"/>
    <s v="NW"/>
  </r>
  <r>
    <s v="WRDSTA"/>
    <s v="Wired Port - ACR-TKT-Ipcodec"/>
    <s v="Network &amp; Connectivity"/>
    <s v=""/>
    <s v="FIFA Standard Internet Access"/>
    <s v="Wired Port - ACR-TKT-Ipcodec"/>
    <x v="12"/>
    <m/>
    <n v="0"/>
    <n v="0"/>
    <n v="0"/>
    <n v="0"/>
    <n v="0"/>
    <s v="LOC IT"/>
    <x v="1"/>
    <x v="8"/>
    <x v="116"/>
    <s v="LOC Ticketing"/>
    <s v="LOC Ticketing"/>
    <s v="PK 21.09: reflected in FAC TEAP"/>
    <s v="NW"/>
  </r>
  <r>
    <s v="MFDLNW"/>
    <s v="MFD Large - Colour - A3 - Network"/>
    <s v="Reprographics"/>
    <s v=""/>
    <s v="General Internet Access"/>
    <s v="Large Colour Printer / Scanner (A3)"/>
    <x v="36"/>
    <m/>
    <n v="0"/>
    <n v="0"/>
    <n v="0"/>
    <n v="0"/>
    <n v="0"/>
    <s v="LOC IT"/>
    <x v="1"/>
    <x v="8"/>
    <x v="116"/>
    <s v="LOC Ticketing"/>
    <s v="LOC Ticketing"/>
    <s v="PK 21.09: reflected in FAC TEAP"/>
    <s v="EU"/>
  </r>
  <r>
    <s v="TVLGSA"/>
    <s v="TV - Large - Standalone"/>
    <s v="Display Devices"/>
    <s v=""/>
    <s v=""/>
    <s v="Large TV - Standalone"/>
    <x v="15"/>
    <m/>
    <n v="0"/>
    <n v="0"/>
    <n v="0"/>
    <n v="0"/>
    <n v="0"/>
    <s v="LOC IT"/>
    <x v="1"/>
    <x v="8"/>
    <x v="116"/>
    <s v="LOC Ticketing"/>
    <s v="LOC Ticketing"/>
    <s v="PK 21.09: reflected in FAC TEAP"/>
    <s v="EU"/>
  </r>
  <r>
    <s v="WRDSTA"/>
    <s v="Wired Port - ACR-TKT-Ipcodec"/>
    <s v="Network &amp; Connectivity"/>
    <s v=""/>
    <s v="FIFA Standard Internet Access"/>
    <s v="Wired Port - ACR-TKT-Ipcodec"/>
    <x v="12"/>
    <m/>
    <n v="0"/>
    <n v="0"/>
    <n v="0"/>
    <n v="0"/>
    <n v="0"/>
    <s v="LOC IT"/>
    <x v="1"/>
    <x v="8"/>
    <x v="117"/>
    <s v="LOC Ticketing"/>
    <s v="LOC Ticketing"/>
    <s v="PK 21.09: reflected in FAC TEAP"/>
    <s v="NW"/>
  </r>
  <r>
    <s v="IS00WF"/>
    <s v="Wireless coverage - Shared Internet Service - Wi-Fi FIFA"/>
    <s v="Network &amp; Connectivity"/>
    <s v=""/>
    <s v="General Internet Access"/>
    <s v="Wireless coverage - Shared Internet Service - FIFA"/>
    <x v="1"/>
    <m/>
    <n v="0"/>
    <n v="0"/>
    <n v="0"/>
    <n v="0"/>
    <n v="0"/>
    <s v="LOC IT"/>
    <x v="1"/>
    <x v="8"/>
    <x v="117"/>
    <s v="LOC Ticketing"/>
    <s v="LOC Ticketing"/>
    <s v="PK 21.09: reflected in FAC TEAP"/>
    <s v="NW"/>
  </r>
  <r>
    <s v="MFDDNW"/>
    <s v="MFD Desktop - Colour - A4 - Network"/>
    <s v="Reprographics"/>
    <s v=""/>
    <s v="General Internet Access"/>
    <s v="Colour Printer / Scanner (A4)"/>
    <x v="2"/>
    <m/>
    <n v="0"/>
    <n v="0"/>
    <n v="0"/>
    <n v="0"/>
    <n v="0"/>
    <s v="LOC IT"/>
    <x v="1"/>
    <x v="8"/>
    <x v="117"/>
    <s v="LOC Ticketing"/>
    <s v="LOC Ticketing"/>
    <s v="PK 21.09: reflected in FAC TEAP"/>
    <s v="EU"/>
  </r>
  <r>
    <s v="WRDSTA"/>
    <s v="Wired Port - ACR-TKT-Ipcodec"/>
    <s v="Network &amp; Connectivity"/>
    <s v=""/>
    <s v="FIFA Standard Internet Access"/>
    <s v="Wired Port - ACR-TKT-Ipcodec"/>
    <x v="12"/>
    <m/>
    <n v="0"/>
    <n v="0"/>
    <n v="0"/>
    <n v="0"/>
    <n v="0"/>
    <s v="LOC IT"/>
    <x v="1"/>
    <x v="8"/>
    <x v="118"/>
    <s v="LOC Ticketing"/>
    <s v="LOC Ticketing"/>
    <s v="PK 21.09: reflected in FAC TEAP"/>
    <s v="NW"/>
  </r>
  <r>
    <s v="LAPEVT"/>
    <s v="Laptop - FIFA Event Build"/>
    <s v="FIFA IT Hardware"/>
    <s v=""/>
    <s v=""/>
    <s v="FIFA Laptop"/>
    <x v="19"/>
    <m/>
    <n v="0"/>
    <n v="0"/>
    <n v="0"/>
    <n v="0"/>
    <n v="0"/>
    <s v="LOC IT"/>
    <x v="1"/>
    <x v="8"/>
    <x v="118"/>
    <s v="LOC Ticketing"/>
    <s v="LOC Ticketing"/>
    <s v="PK 21.09: reflected in FAC TEAP"/>
    <s v="EU"/>
  </r>
  <r>
    <s v="TVLGSA"/>
    <s v="TV - Large - Standalone"/>
    <s v="Display Devices"/>
    <s v=""/>
    <s v=""/>
    <s v="Large TV - Standalone"/>
    <x v="15"/>
    <m/>
    <n v="0"/>
    <n v="0"/>
    <n v="0"/>
    <n v="0"/>
    <n v="0"/>
    <s v="LOC IT"/>
    <x v="1"/>
    <x v="8"/>
    <x v="118"/>
    <s v="LOC Ticketing"/>
    <s v="LOC Ticketing"/>
    <s v="PK 21.09: reflected in FAC TEAP"/>
    <s v="EU"/>
  </r>
  <r>
    <s v="TVLGSA"/>
    <s v="TV - Large - Standalone"/>
    <s v="Display Devices"/>
    <s v=""/>
    <s v=""/>
    <s v="Large TV - Standalone"/>
    <x v="15"/>
    <m/>
    <n v="0"/>
    <n v="0"/>
    <n v="0"/>
    <n v="0"/>
    <n v="0"/>
    <s v="LOC IT"/>
    <x v="2"/>
    <x v="33"/>
    <x v="123"/>
    <s v="LOC Ticketing"/>
    <s v="LOC Ticketing"/>
    <s v="PK 17.09: Transferred to FAC scope"/>
    <s v="EU"/>
  </r>
  <r>
    <s v="LAPEVT"/>
    <s v="Laptop - FIFA Event Build"/>
    <s v="FIFA IT Hardware"/>
    <s v=""/>
    <s v=""/>
    <s v="FIFA Laptop"/>
    <x v="19"/>
    <m/>
    <n v="0"/>
    <n v="0"/>
    <n v="0"/>
    <n v="0"/>
    <n v="0"/>
    <s v="LOC IT"/>
    <x v="2"/>
    <x v="33"/>
    <x v="123"/>
    <s v="LOC Ticketing"/>
    <s v="LOC Ticketing"/>
    <s v="PK 17.09: Transferred to FAC scope"/>
    <s v="EU"/>
  </r>
  <r>
    <s v="WRDGEN"/>
    <s v="Wired Port - General Internet "/>
    <s v="Network &amp; Connectivity"/>
    <s v=""/>
    <s v="General Internet Access"/>
    <s v="Wired Port - Internet"/>
    <x v="8"/>
    <m/>
    <n v="0"/>
    <n v="0"/>
    <n v="0"/>
    <n v="0"/>
    <n v="0"/>
    <s v="LOC IT"/>
    <x v="2"/>
    <x v="33"/>
    <x v="123"/>
    <s v="LOC Ticketing"/>
    <s v="LOC Ticketing"/>
    <s v="PK 17.09: Transferred to FAC scope"/>
    <s v="NW"/>
  </r>
  <r>
    <s v="IS00WF"/>
    <s v="Wireless coverage - Shared Internet Service - Wi-Fi FIFA"/>
    <s v="Network &amp; Connectivity"/>
    <s v=""/>
    <s v="General Internet Access"/>
    <s v="Wireless coverage - Shared Internet Service - FIFA"/>
    <x v="1"/>
    <m/>
    <n v="0"/>
    <n v="0"/>
    <n v="0"/>
    <n v="0"/>
    <n v="0"/>
    <s v="LOC IT"/>
    <x v="2"/>
    <x v="33"/>
    <x v="123"/>
    <s v="LOC Ticketing"/>
    <s v="LOC Ticketing"/>
    <s v="PK 17.09: Transferred to FAC scope"/>
    <s v="NW"/>
  </r>
  <r>
    <s v="ITSR4G"/>
    <s v="IT Solution - Router + 4G"/>
    <s v="FIFA IT Network Solutions"/>
    <s v=""/>
    <s v=""/>
    <s v="IT Solution - Router + 4G"/>
    <x v="40"/>
    <m/>
    <n v="0"/>
    <n v="0"/>
    <n v="0"/>
    <n v="0"/>
    <n v="0"/>
    <s v="LOC IT"/>
    <x v="2"/>
    <x v="33"/>
    <x v="123"/>
    <s v="LOC Ticketing"/>
    <s v="LOC Ticketing"/>
    <s v="PK 17.09: Transferred to FAC scope"/>
    <s v="NW"/>
  </r>
  <r>
    <s v="MFDLNW"/>
    <s v="MFD Large - Colour - A3 - Network"/>
    <s v="Reprographics"/>
    <s v=""/>
    <s v="General Internet Access"/>
    <s v="Large Colour Printer / Scanner (A3)"/>
    <x v="36"/>
    <m/>
    <n v="0"/>
    <n v="0"/>
    <n v="0"/>
    <n v="0"/>
    <n v="0"/>
    <s v="LOC IT"/>
    <x v="2"/>
    <x v="33"/>
    <x v="123"/>
    <s v="LOC Ticketing"/>
    <s v="LOC Ticketing"/>
    <s v="PK 17.09: Transferred to FAC scope"/>
    <s v="EU"/>
  </r>
  <r>
    <s v="MFDDNW"/>
    <s v="MFD Desktop - Colour - A4 - Network"/>
    <s v="Reprographics"/>
    <s v=""/>
    <s v="General Internet Access"/>
    <s v="Colour Printer / Scanner (A4)"/>
    <x v="2"/>
    <m/>
    <n v="0"/>
    <n v="0"/>
    <n v="0"/>
    <n v="0"/>
    <n v="0"/>
    <s v="LOC IT"/>
    <x v="2"/>
    <x v="33"/>
    <x v="123"/>
    <s v="LOC Ticketing"/>
    <s v="LOC Ticketing"/>
    <s v="PK 17.09: Transferred to FAC scope"/>
    <s v="EU"/>
  </r>
  <r>
    <s v="DSKMNT"/>
    <s v="24&quot; Monitor - HDMI/DP"/>
    <s v="Peripherals"/>
    <s v=""/>
    <s v=""/>
    <s v="24&quot; PC Monitor"/>
    <x v="0"/>
    <m/>
    <n v="0"/>
    <n v="0"/>
    <n v="0"/>
    <n v="0"/>
    <n v="0"/>
    <s v="LOC IT"/>
    <x v="2"/>
    <x v="33"/>
    <x v="123"/>
    <s v="LOC Ticketing"/>
    <s v="LOC Ticketing"/>
    <s v="PK 17.09: Transferred to FAC scope"/>
    <s v="EU"/>
  </r>
  <r>
    <s v="PROJ6K"/>
    <s v="Office Projector - 6K"/>
    <s v="Display Devices"/>
    <s v=""/>
    <s v=""/>
    <s v="Office Projector - 6K"/>
    <x v="28"/>
    <m/>
    <n v="0"/>
    <n v="0"/>
    <n v="0"/>
    <n v="0"/>
    <n v="0"/>
    <s v="LOC IT"/>
    <x v="2"/>
    <x v="33"/>
    <x v="123"/>
    <s v="LOC Ticketing"/>
    <s v="LOC Ticketing"/>
    <s v="PK 17.09: Transferred to FAC scope"/>
    <s v="EU"/>
  </r>
  <r>
    <s v="MFDDNW"/>
    <s v="MFD Desktop - Colour - A4 - Network"/>
    <s v="Reprographics"/>
    <s v=""/>
    <s v="General Internet Access"/>
    <s v="Colour Printer / Scanner (A4)"/>
    <x v="2"/>
    <m/>
    <n v="0"/>
    <n v="0"/>
    <n v="0"/>
    <n v="0"/>
    <n v="0"/>
    <s v="LOC IT"/>
    <x v="2"/>
    <x v="33"/>
    <x v="124"/>
    <s v="LOC Arrival &amp; Departure"/>
    <s v="LOC Arrival &amp; Departure"/>
    <s v="PK 17.09: Transferred to FAC scope"/>
    <s v="EU"/>
  </r>
  <r>
    <s v="SIMDAT"/>
    <s v="SIM - Data Only"/>
    <s v="Telephony"/>
    <s v=""/>
    <s v=""/>
    <s v="Local SIM Card - Data Only"/>
    <x v="20"/>
    <m/>
    <n v="0"/>
    <n v="0"/>
    <n v="0"/>
    <n v="0"/>
    <n v="0"/>
    <s v="LOC IT"/>
    <x v="2"/>
    <x v="33"/>
    <x v="124"/>
    <s v="LOC Arrival &amp; Departure"/>
    <s v="LOC Arrival &amp; Departure"/>
    <s v="PK 17.09: Transferred to FAC scope"/>
    <s v="Telco/SIM"/>
  </r>
  <r>
    <s v="DSKMNT"/>
    <s v="24&quot; Monitor - HDMI/DP"/>
    <s v="Peripherals"/>
    <s v=""/>
    <s v=""/>
    <s v="24&quot; PC Monitor"/>
    <x v="0"/>
    <m/>
    <n v="0"/>
    <n v="0"/>
    <n v="0"/>
    <n v="0"/>
    <n v="0"/>
    <s v="LOC IT"/>
    <x v="2"/>
    <x v="33"/>
    <x v="124"/>
    <s v="LOC Arrival &amp; Departure"/>
    <s v="LOC Arrival &amp; Departure"/>
    <s v="PK 17.09: Transferred to FAC scope"/>
    <s v="EU"/>
  </r>
  <r>
    <s v="TELMOB"/>
    <s v="Telephone - Mobile - Smart Phone"/>
    <s v="Telephony"/>
    <s v=""/>
    <s v=""/>
    <s v="Smart Phone"/>
    <x v="23"/>
    <n v="0"/>
    <n v="0"/>
    <n v="6"/>
    <n v="6"/>
    <n v="0"/>
    <n v="6"/>
    <s v="LOC IT"/>
    <x v="2"/>
    <x v="48"/>
    <x v="125"/>
    <s v="LOC GRE"/>
    <s v="LOC GRE"/>
    <s v="MI 19.10: CR005 - 6 mobile phones with active SIM cards"/>
    <s v="Telco/SIM"/>
  </r>
  <r>
    <m/>
    <m/>
    <m/>
    <m/>
    <m/>
    <m/>
    <x v="16"/>
    <m/>
    <m/>
    <m/>
    <m/>
    <m/>
    <m/>
    <m/>
    <x v="3"/>
    <x v="49"/>
    <x v="70"/>
    <m/>
    <m/>
    <m/>
    <m/>
  </r>
  <r>
    <m/>
    <m/>
    <m/>
    <m/>
    <m/>
    <m/>
    <x v="16"/>
    <m/>
    <m/>
    <m/>
    <n v="13"/>
    <n v="7"/>
    <n v="0"/>
    <m/>
    <x v="3"/>
    <x v="49"/>
    <x v="70"/>
    <m/>
    <m/>
    <m/>
    <m/>
  </r>
  <r>
    <m/>
    <m/>
    <m/>
    <m/>
    <m/>
    <m/>
    <x v="16"/>
    <m/>
    <m/>
    <m/>
    <m/>
    <m/>
    <m/>
    <m/>
    <x v="3"/>
    <x v="49"/>
    <x v="70"/>
    <m/>
    <m/>
    <m/>
    <m/>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9">
  <r>
    <s v="DSKMNT"/>
    <x v="0"/>
    <s v="Peripherals"/>
    <s v=""/>
    <s v=""/>
    <s v="24&quot; PC Monitor"/>
    <s v="DSKMNT - 24&quot; Monitor - HDMI/DP"/>
    <n v="5"/>
    <n v="0"/>
    <n v="0"/>
    <n v="1"/>
    <n v="0"/>
    <n v="0"/>
    <x v="0"/>
    <x v="0"/>
    <x v="0"/>
    <x v="0"/>
    <x v="0"/>
    <s v="Entertainment"/>
    <m/>
  </r>
  <r>
    <s v="DSKMNT"/>
    <x v="0"/>
    <s v="Peripherals"/>
    <s v=""/>
    <s v=""/>
    <s v="24&quot; PC Monitor"/>
    <s v="DSKMNT - 24&quot; Monitor - HDMI/DP"/>
    <n v="5"/>
    <n v="0"/>
    <n v="0"/>
    <n v="1"/>
    <n v="0"/>
    <n v="0"/>
    <x v="0"/>
    <x v="0"/>
    <x v="1"/>
    <x v="0"/>
    <x v="0"/>
    <s v="Entertainment"/>
    <m/>
  </r>
  <r>
    <s v="DSKMNT"/>
    <x v="0"/>
    <s v="Peripherals"/>
    <s v=""/>
    <s v=""/>
    <s v="24&quot; PC Monitor"/>
    <s v="DSKMNT - 24&quot; Monitor - HDMI/DP"/>
    <n v="5"/>
    <n v="0"/>
    <n v="0"/>
    <n v="1"/>
    <n v="0"/>
    <n v="0"/>
    <x v="0"/>
    <x v="0"/>
    <x v="2"/>
    <x v="0"/>
    <x v="0"/>
    <s v="Entertainment"/>
    <m/>
  </r>
  <r>
    <s v="DSKMNT"/>
    <x v="0"/>
    <s v="Peripherals"/>
    <s v=""/>
    <s v=""/>
    <s v="24&quot; PC Monitor"/>
    <s v="DSKMNT - 24&quot; Monitor - HDMI/DP"/>
    <n v="5"/>
    <n v="0"/>
    <n v="0"/>
    <n v="1"/>
    <n v="0"/>
    <n v="0"/>
    <x v="0"/>
    <x v="0"/>
    <x v="3"/>
    <x v="0"/>
    <x v="0"/>
    <s v="Entertainment"/>
    <m/>
  </r>
  <r>
    <s v="DSKMNT"/>
    <x v="0"/>
    <s v="Peripherals"/>
    <s v=""/>
    <s v=""/>
    <s v="24&quot; PC Monitor"/>
    <s v="DSKMNT - 24&quot; Monitor - HDMI/DP"/>
    <n v="5"/>
    <n v="0"/>
    <n v="0"/>
    <n v="1"/>
    <n v="0"/>
    <n v="0"/>
    <x v="0"/>
    <x v="0"/>
    <x v="4"/>
    <x v="0"/>
    <x v="0"/>
    <s v="Entertainment"/>
    <m/>
  </r>
  <r>
    <s v="DSKMNT"/>
    <x v="0"/>
    <s v="Peripherals"/>
    <s v=""/>
    <s v=""/>
    <s v="24&quot; PC Monitor"/>
    <s v="DSKMNT - 24&quot; Monitor - HDMI/DP"/>
    <n v="5"/>
    <n v="0"/>
    <n v="0"/>
    <n v="1"/>
    <n v="0"/>
    <n v="0"/>
    <x v="0"/>
    <x v="0"/>
    <x v="5"/>
    <x v="0"/>
    <x v="0"/>
    <s v="Entertainment"/>
    <m/>
  </r>
  <r>
    <s v="DSKMNT"/>
    <x v="0"/>
    <s v="Peripherals"/>
    <s v=""/>
    <s v=""/>
    <s v="24&quot; PC Monitor"/>
    <s v="DSKMNT - 24&quot; Monitor - HDMI/DP"/>
    <n v="5"/>
    <n v="0"/>
    <n v="0"/>
    <n v="1"/>
    <n v="0"/>
    <n v="0"/>
    <x v="0"/>
    <x v="0"/>
    <x v="6"/>
    <x v="0"/>
    <x v="0"/>
    <s v="Entertainment"/>
    <m/>
  </r>
  <r>
    <s v="DSKMNT"/>
    <x v="0"/>
    <s v="Peripherals"/>
    <s v=""/>
    <s v=""/>
    <s v="24&quot; PC Monitor"/>
    <s v="DSKMNT - 24&quot; Monitor - HDMI/DP"/>
    <n v="5"/>
    <n v="0"/>
    <n v="0"/>
    <n v="1"/>
    <n v="0"/>
    <n v="0"/>
    <x v="0"/>
    <x v="0"/>
    <x v="7"/>
    <x v="0"/>
    <x v="0"/>
    <s v="Entertainment"/>
    <m/>
  </r>
  <r>
    <s v="IS00WF"/>
    <x v="1"/>
    <s v="Network &amp; Connectivity"/>
    <s v=""/>
    <s v="General Internet Access"/>
    <s v="Wireless coverage - Shared Internet Service - FIFA"/>
    <s v="IS00WF - Wireless coverage - Shared Internet Service - Wi-Fi FIFA (General Internet Access)"/>
    <n v="1"/>
    <n v="0"/>
    <n v="0"/>
    <n v="1"/>
    <n v="0"/>
    <n v="0"/>
    <x v="0"/>
    <x v="1"/>
    <x v="8"/>
    <x v="0"/>
    <x v="0"/>
    <s v="Entertainment"/>
    <m/>
  </r>
  <r>
    <s v="DSKMNT"/>
    <x v="0"/>
    <s v="Peripherals"/>
    <s v=""/>
    <s v=""/>
    <s v="24&quot; PC Monitor"/>
    <s v="DSKMNT - 24&quot; Monitor - HDMI/DP"/>
    <n v="1"/>
    <n v="0"/>
    <n v="0"/>
    <n v="1"/>
    <n v="0"/>
    <n v="0"/>
    <x v="0"/>
    <x v="1"/>
    <x v="8"/>
    <x v="0"/>
    <x v="0"/>
    <s v="Entertainment"/>
    <m/>
  </r>
  <r>
    <s v="IS00WF"/>
    <x v="1"/>
    <s v="Network &amp; Connectivity"/>
    <s v=""/>
    <s v="General Internet Access"/>
    <s v="Wireless coverage - Shared Internet Service - FIFA"/>
    <s v="IS00WF - Wireless coverage - Shared Internet Service - Wi-Fi FIFA (General Internet Access)"/>
    <n v="1"/>
    <n v="0"/>
    <n v="0"/>
    <n v="1"/>
    <n v="0"/>
    <n v="0"/>
    <x v="0"/>
    <x v="0"/>
    <x v="9"/>
    <x v="0"/>
    <x v="0"/>
    <s v="Entertainment"/>
    <s v="around CR/each pitch"/>
  </r>
  <r>
    <s v="MFDDNW"/>
    <x v="2"/>
    <s v="Reprographics"/>
    <s v=""/>
    <s v="General Internet Access"/>
    <s v="Colour Printer / Scanner (A4)"/>
    <s v="MFDDNW - MFD Desktop - Colour - A4 - Network (General Internet Access)"/>
    <n v="1"/>
    <n v="1"/>
    <n v="0"/>
    <n v="1"/>
    <n v="1"/>
    <n v="0"/>
    <x v="0"/>
    <x v="1"/>
    <x v="8"/>
    <x v="0"/>
    <x v="0"/>
    <s v="Entertainment"/>
    <m/>
  </r>
  <r>
    <s v="WRDMED"/>
    <x v="3"/>
    <s v="Network &amp; Connectivity"/>
    <s v=""/>
    <s v="Media Internet Access Media"/>
    <s v="Wired Port - Internet for Media"/>
    <s v="WRDMED - Wired Port - Media Internet (Media Internet Access Media)"/>
    <n v="2"/>
    <n v="3"/>
    <n v="0"/>
    <n v="3"/>
    <n v="3"/>
    <n v="0"/>
    <x v="0"/>
    <x v="1"/>
    <x v="8"/>
    <x v="0"/>
    <x v="0"/>
    <s v="Entertainment"/>
    <s v="100Mb/Cable"/>
  </r>
  <r>
    <s v="WRDMED"/>
    <x v="3"/>
    <s v="Network &amp; Connectivity"/>
    <s v=""/>
    <s v="Media Internet Access Media"/>
    <s v="Wired Port - Internet for Media"/>
    <s v="WRDMED - Wired Port - Media Internet (Media Internet Access Media)"/>
    <n v="5"/>
    <n v="3"/>
    <n v="0"/>
    <n v="3"/>
    <n v="3"/>
    <n v="0"/>
    <x v="0"/>
    <x v="0"/>
    <x v="0"/>
    <x v="0"/>
    <x v="0"/>
    <s v="Entertainment"/>
    <s v="1 Control Rooms/pitch (100Mb x LAN)"/>
  </r>
  <r>
    <s v="WRDMED"/>
    <x v="3"/>
    <s v="Network &amp; Connectivity"/>
    <s v=""/>
    <s v="Media Internet Access Media"/>
    <s v="Wired Port - Internet for Media"/>
    <s v="WRDMED - Wired Port - Media Internet (Media Internet Access Media)"/>
    <n v="5"/>
    <n v="3"/>
    <n v="0"/>
    <n v="3"/>
    <n v="3"/>
    <n v="0"/>
    <x v="0"/>
    <x v="0"/>
    <x v="1"/>
    <x v="0"/>
    <x v="0"/>
    <s v="Entertainment"/>
    <s v="1 Control Rooms/pitch (100Mb x LAN)"/>
  </r>
  <r>
    <s v="WRDMED"/>
    <x v="3"/>
    <s v="Network &amp; Connectivity"/>
    <s v=""/>
    <s v="Media Internet Access Media"/>
    <s v="Wired Port - Internet for Media"/>
    <s v="WRDMED - Wired Port - Media Internet (Media Internet Access Media)"/>
    <n v="5"/>
    <n v="3"/>
    <n v="0"/>
    <n v="3"/>
    <n v="3"/>
    <n v="0"/>
    <x v="0"/>
    <x v="0"/>
    <x v="2"/>
    <x v="0"/>
    <x v="0"/>
    <s v="Entertainment"/>
    <s v="1 Control Rooms/pitch (100Mb x LAN)"/>
  </r>
  <r>
    <s v="WRDMED"/>
    <x v="3"/>
    <s v="Network &amp; Connectivity"/>
    <s v=""/>
    <s v="Media Internet Access Media"/>
    <s v="Wired Port - Internet for Media"/>
    <s v="WRDMED - Wired Port - Media Internet (Media Internet Access Media)"/>
    <n v="5"/>
    <n v="3"/>
    <n v="0"/>
    <n v="3"/>
    <n v="3"/>
    <n v="0"/>
    <x v="0"/>
    <x v="0"/>
    <x v="3"/>
    <x v="0"/>
    <x v="0"/>
    <s v="Entertainment"/>
    <s v="1 Control Rooms/pitch (100Mb x LAN)"/>
  </r>
  <r>
    <s v="WRDMED"/>
    <x v="3"/>
    <s v="Network &amp; Connectivity"/>
    <s v=""/>
    <s v="Media Internet Access Media"/>
    <s v="Wired Port - Internet for Media"/>
    <s v="WRDMED - Wired Port - Media Internet (Media Internet Access Media)"/>
    <n v="5"/>
    <n v="3"/>
    <n v="0"/>
    <n v="3"/>
    <n v="3"/>
    <n v="0"/>
    <x v="0"/>
    <x v="0"/>
    <x v="4"/>
    <x v="0"/>
    <x v="0"/>
    <s v="Entertainment"/>
    <s v="1 Control Rooms/pitch (100Mb x LAN)"/>
  </r>
  <r>
    <s v="WRDMED"/>
    <x v="3"/>
    <s v="Network &amp; Connectivity"/>
    <s v=""/>
    <s v="Media Internet Access Media"/>
    <s v="Wired Port - Internet for Media"/>
    <s v="WRDMED - Wired Port - Media Internet (Media Internet Access Media)"/>
    <n v="5"/>
    <n v="3"/>
    <n v="0"/>
    <n v="3"/>
    <n v="3"/>
    <n v="0"/>
    <x v="0"/>
    <x v="0"/>
    <x v="5"/>
    <x v="0"/>
    <x v="0"/>
    <s v="Entertainment"/>
    <s v="1 Control Rooms/pitch (100Mb x LAN)"/>
  </r>
  <r>
    <s v="WRDMED"/>
    <x v="3"/>
    <s v="Network &amp; Connectivity"/>
    <s v=""/>
    <s v="Media Internet Access Media"/>
    <s v="Wired Port - Internet for Media"/>
    <s v="WRDMED - Wired Port - Media Internet (Media Internet Access Media)"/>
    <n v="5"/>
    <n v="3"/>
    <n v="0"/>
    <n v="3"/>
    <n v="3"/>
    <n v="0"/>
    <x v="0"/>
    <x v="0"/>
    <x v="6"/>
    <x v="0"/>
    <x v="0"/>
    <s v="Entertainment"/>
    <s v="1 Control Rooms/pitch (100Mb x LAN)"/>
  </r>
  <r>
    <s v="WRDMED"/>
    <x v="3"/>
    <s v="Network &amp; Connectivity"/>
    <s v=""/>
    <s v="Media Internet Access Media"/>
    <s v="Wired Port - Internet for Media"/>
    <s v="WRDMED - Wired Port - Media Internet (Media Internet Access Media)"/>
    <n v="5"/>
    <n v="3"/>
    <n v="0"/>
    <n v="3"/>
    <n v="3"/>
    <n v="0"/>
    <x v="0"/>
    <x v="0"/>
    <x v="7"/>
    <x v="0"/>
    <x v="0"/>
    <s v="Entertainment"/>
    <s v="1 Control Rooms/pitch (100Mb x LAN)"/>
  </r>
  <r>
    <s v="WRDSTU"/>
    <x v="4"/>
    <s v="Network &amp; Connectivity"/>
    <s v=""/>
    <s v="FIFA Technical Content"/>
    <s v="Wired Port - Content"/>
    <s v="WRDSTU - Wired Port - Content (FIFA Technical Content)"/>
    <n v="0"/>
    <n v="3"/>
    <n v="0"/>
    <n v="3"/>
    <n v="3"/>
    <n v="0"/>
    <x v="0"/>
    <x v="0"/>
    <x v="10"/>
    <x v="1"/>
    <x v="1"/>
    <s v="FIFA Content"/>
    <s v="50Mb/cable, Location TBC"/>
  </r>
  <r>
    <s v="DSKMNT"/>
    <x v="0"/>
    <s v="Peripherals"/>
    <s v=""/>
    <s v=""/>
    <s v="24&quot; PC Monitor"/>
    <s v="DSKMNT - 24&quot; Monitor - HDMI/DP"/>
    <n v="0"/>
    <n v="0"/>
    <n v="0"/>
    <n v="3"/>
    <n v="0"/>
    <n v="0"/>
    <x v="0"/>
    <x v="0"/>
    <x v="10"/>
    <x v="1"/>
    <x v="1"/>
    <s v="FIFA Content"/>
    <s v="50Mb/cable, Location TBC"/>
  </r>
  <r>
    <s v="WRDSTU"/>
    <x v="4"/>
    <s v="Network &amp; Connectivity"/>
    <s v=""/>
    <s v="FIFA Technical Content"/>
    <s v="Wired Port - Content"/>
    <s v="WRDSTU - Wired Port - Content (FIFA Technical Content)"/>
    <n v="0"/>
    <n v="3"/>
    <n v="0"/>
    <n v="3"/>
    <n v="3"/>
    <n v="0"/>
    <x v="0"/>
    <x v="1"/>
    <x v="11"/>
    <x v="2"/>
    <x v="1"/>
    <s v="FIFA Content"/>
    <s v="Location TBC"/>
  </r>
  <r>
    <s v="DSKMNT"/>
    <x v="0"/>
    <s v="Peripherals"/>
    <s v=""/>
    <s v=""/>
    <s v="24&quot; PC Monitor"/>
    <s v="DSKMNT - 24&quot; Monitor - HDMI/DP"/>
    <n v="0"/>
    <n v="0"/>
    <n v="0"/>
    <n v="3"/>
    <n v="0"/>
    <n v="0"/>
    <x v="0"/>
    <x v="1"/>
    <x v="11"/>
    <x v="2"/>
    <x v="1"/>
    <s v="FIFA Content"/>
    <s v="Location TBC"/>
  </r>
  <r>
    <s v="IS00WF"/>
    <x v="1"/>
    <s v="Network &amp; Connectivity"/>
    <s v=""/>
    <s v="General Internet Access"/>
    <s v="Wireless coverage - Shared Internet Service - FIFA"/>
    <s v="IS00WF - Wireless coverage - Shared Internet Service - Wi-Fi FIFA (General Internet Access)"/>
    <n v="1"/>
    <n v="0"/>
    <n v="0"/>
    <n v="1"/>
    <n v="0"/>
    <n v="0"/>
    <x v="0"/>
    <x v="1"/>
    <x v="12"/>
    <x v="3"/>
    <x v="2"/>
    <s v="FIFA Anti Doping"/>
    <m/>
  </r>
  <r>
    <s v="TVLGIP"/>
    <x v="5"/>
    <s v="CATV"/>
    <s v=""/>
    <s v=""/>
    <s v="Large TV - CATV Feed"/>
    <s v="TVLGIP - TV - Large - IPTV"/>
    <n v="1"/>
    <n v="1"/>
    <n v="0"/>
    <n v="1"/>
    <n v="1"/>
    <n v="0"/>
    <x v="0"/>
    <x v="1"/>
    <x v="12"/>
    <x v="3"/>
    <x v="2"/>
    <s v="FIFA Anti Doping"/>
    <m/>
  </r>
  <r>
    <s v="TVSTND"/>
    <x v="6"/>
    <s v="Peripherals"/>
    <s v=""/>
    <s v=""/>
    <s v="TV Stand for medium and large TVs"/>
    <s v="TVSTND - TV Stand - Medium &amp; Large TVs"/>
    <n v="1"/>
    <n v="0"/>
    <n v="0"/>
    <n v="1"/>
    <n v="0"/>
    <n v="0"/>
    <x v="0"/>
    <x v="1"/>
    <x v="12"/>
    <x v="3"/>
    <x v="2"/>
    <s v="FIFA Anti Doping"/>
    <m/>
  </r>
  <r>
    <s v="IS00WF"/>
    <x v="1"/>
    <s v="Network &amp; Connectivity"/>
    <s v=""/>
    <s v="General Internet Access"/>
    <s v="Wireless coverage - Shared Internet Service - FIFA"/>
    <s v="IS00WF - Wireless coverage - Shared Internet Service - Wi-Fi FIFA (General Internet Access)"/>
    <n v="1"/>
    <n v="0"/>
    <n v="0"/>
    <n v="1"/>
    <n v="0"/>
    <n v="0"/>
    <x v="0"/>
    <x v="0"/>
    <x v="13"/>
    <x v="3"/>
    <x v="2"/>
    <s v="FIFA Anti Doping"/>
    <m/>
  </r>
  <r>
    <s v="TABLEN"/>
    <x v="7"/>
    <s v="FIFA IT Hardware"/>
    <s v="Single"/>
    <s v=""/>
    <s v="Professional Series Tablet + 4G"/>
    <s v="TABLEN - Tablet - FIFA Professional Tablet + 4G"/>
    <n v="4"/>
    <n v="0"/>
    <n v="4"/>
    <n v="4"/>
    <n v="0"/>
    <n v="4"/>
    <x v="1"/>
    <x v="0"/>
    <x v="13"/>
    <x v="3"/>
    <x v="2"/>
    <s v="FIFA Anti Doping"/>
    <s v="MODOC app to be installed/available in Play Store"/>
  </r>
  <r>
    <s v="TVLGIP"/>
    <x v="5"/>
    <s v="CATV"/>
    <s v=""/>
    <s v=""/>
    <s v="Large TV - CATV Feed"/>
    <s v="TVLGIP - TV - Large - IPTV"/>
    <n v="1"/>
    <n v="1"/>
    <n v="0"/>
    <n v="1"/>
    <n v="1"/>
    <n v="0"/>
    <x v="0"/>
    <x v="0"/>
    <x v="13"/>
    <x v="3"/>
    <x v="2"/>
    <s v="FIFA Anti Doping"/>
    <s v="Pitch 1 location."/>
  </r>
  <r>
    <s v="TVSTND"/>
    <x v="6"/>
    <s v="Peripherals"/>
    <s v=""/>
    <s v=""/>
    <s v="TV Stand for medium and large TVs"/>
    <s v="TVSTND - TV Stand - Medium &amp; Large TVs"/>
    <n v="1"/>
    <n v="0"/>
    <n v="0"/>
    <n v="1"/>
    <n v="0"/>
    <n v="0"/>
    <x v="0"/>
    <x v="0"/>
    <x v="13"/>
    <x v="3"/>
    <x v="2"/>
    <s v="FIFA Anti Doping"/>
    <m/>
  </r>
  <r>
    <s v="IS00WF"/>
    <x v="1"/>
    <s v="Network &amp; Connectivity"/>
    <s v=""/>
    <s v="General Internet Access"/>
    <s v="Wireless coverage - Shared Internet Service - FIFA"/>
    <s v="IS00WF - Wireless coverage - Shared Internet Service - Wi-Fi FIFA (General Internet Access)"/>
    <n v="1"/>
    <n v="0"/>
    <n v="0"/>
    <n v="1"/>
    <n v="0"/>
    <n v="0"/>
    <x v="0"/>
    <x v="0"/>
    <x v="14"/>
    <x v="4"/>
    <x v="3"/>
    <s v="FIFA Broadcast"/>
    <m/>
  </r>
  <r>
    <s v="MFDDNW"/>
    <x v="2"/>
    <s v="Reprographics"/>
    <s v=""/>
    <s v="General Internet Access"/>
    <s v="Colour Printer / Scanner (A4)"/>
    <s v="MFDDNW - MFD Desktop - Colour - A4 - Network (General Internet Access)"/>
    <n v="1"/>
    <n v="1"/>
    <n v="0"/>
    <n v="1"/>
    <n v="1"/>
    <n v="0"/>
    <x v="0"/>
    <x v="0"/>
    <x v="14"/>
    <x v="4"/>
    <x v="3"/>
    <s v="FIFA Broadcast"/>
    <m/>
  </r>
  <r>
    <s v="WRDGEN"/>
    <x v="8"/>
    <s v="Network &amp; Connectivity"/>
    <s v=""/>
    <s v="General Internet Access"/>
    <s v="Wired Port - Internet"/>
    <s v="WRDGEN - Wired Port - General Internet  (General Internet Access)"/>
    <n v="6"/>
    <n v="1"/>
    <n v="0"/>
    <n v="1"/>
    <n v="1"/>
    <n v="0"/>
    <x v="0"/>
    <x v="0"/>
    <x v="14"/>
    <x v="4"/>
    <x v="3"/>
    <s v="FIFA Broadcast"/>
    <m/>
  </r>
  <r>
    <s v="WRDSTU"/>
    <x v="4"/>
    <s v="Network &amp; Connectivity"/>
    <s v=""/>
    <s v="FIFA Technical Content"/>
    <s v="Wired Port - Content"/>
    <s v="WRDSTU - Wired Port - Content (FIFA Technical Content)"/>
    <n v="1"/>
    <n v="1"/>
    <n v="0"/>
    <n v="1"/>
    <n v="1"/>
    <n v="0"/>
    <x v="0"/>
    <x v="0"/>
    <x v="14"/>
    <x v="4"/>
    <x v="3"/>
    <s v="FIFA Broadcast"/>
    <m/>
  </r>
  <r>
    <s v="IS00WF"/>
    <x v="1"/>
    <s v="Network &amp; Connectivity"/>
    <s v=""/>
    <s v="General Internet Access"/>
    <s v="Wireless coverage - Shared Internet Service - FIFA"/>
    <s v="IS00WF - Wireless coverage - Shared Internet Service - Wi-Fi FIFA (General Internet Access)"/>
    <n v="1"/>
    <n v="0"/>
    <n v="0"/>
    <n v="1"/>
    <n v="0"/>
    <n v="0"/>
    <x v="0"/>
    <x v="0"/>
    <x v="15"/>
    <x v="5"/>
    <x v="3"/>
    <s v="FIFA Broadcast"/>
    <m/>
  </r>
  <r>
    <s v="MFDDNW"/>
    <x v="2"/>
    <s v="Reprographics"/>
    <s v=""/>
    <s v="General Internet Access"/>
    <s v="Colour Printer / Scanner (A4)"/>
    <s v="MFDDNW - MFD Desktop - Colour - A4 - Network (General Internet Access)"/>
    <n v="1"/>
    <n v="1"/>
    <n v="0"/>
    <n v="1"/>
    <n v="1"/>
    <n v="0"/>
    <x v="0"/>
    <x v="0"/>
    <x v="15"/>
    <x v="5"/>
    <x v="3"/>
    <s v="FIFA Broadcast"/>
    <m/>
  </r>
  <r>
    <s v="WRDGEN"/>
    <x v="8"/>
    <s v="Network &amp; Connectivity"/>
    <s v=""/>
    <s v="General Internet Access"/>
    <s v="Wired Port - Internet"/>
    <s v="WRDGEN - Wired Port - General Internet  (General Internet Access)"/>
    <n v="6"/>
    <n v="1"/>
    <n v="0"/>
    <n v="1"/>
    <n v="1"/>
    <n v="0"/>
    <x v="0"/>
    <x v="0"/>
    <x v="15"/>
    <x v="5"/>
    <x v="3"/>
    <s v="FIFA Broadcast"/>
    <m/>
  </r>
  <r>
    <s v="WRDSTU"/>
    <x v="4"/>
    <s v="Network &amp; Connectivity"/>
    <s v=""/>
    <s v="FIFA Technical Content"/>
    <s v="Wired Port - Content"/>
    <s v="WRDSTU - Wired Port - Content (FIFA Technical Content)"/>
    <n v="1"/>
    <n v="1"/>
    <n v="0"/>
    <n v="1"/>
    <n v="1"/>
    <n v="0"/>
    <x v="0"/>
    <x v="0"/>
    <x v="15"/>
    <x v="5"/>
    <x v="3"/>
    <s v="FIFA Broadcast"/>
    <m/>
  </r>
  <r>
    <s v="WRDSTR"/>
    <x v="9"/>
    <s v="Network &amp; Connectivity"/>
    <s v=""/>
    <s v="Stream Fabs &amp; W Feed"/>
    <s v="Wired Port - Stream &amp; World feed"/>
    <s v="WRDSTR - Wired Port - Stream &amp; World feed (Stream Fabs &amp; W Feed)"/>
    <n v="1"/>
    <n v="1"/>
    <n v="0"/>
    <n v="1"/>
    <n v="1"/>
    <n v="0"/>
    <x v="0"/>
    <x v="0"/>
    <x v="5"/>
    <x v="6"/>
    <x v="3"/>
    <s v="FIFA Broadcast"/>
    <s v="LOC TBC if Wired"/>
  </r>
  <r>
    <s v="WRDSTR"/>
    <x v="9"/>
    <s v="Network &amp; Connectivity"/>
    <s v=""/>
    <s v="Stream Fabs &amp; W Feed"/>
    <s v="Wired Port - Stream &amp; World feed"/>
    <s v="WRDSTR - Wired Port - Stream &amp; World feed (Stream Fabs &amp; W Feed)"/>
    <n v="1"/>
    <n v="1"/>
    <n v="0"/>
    <n v="1"/>
    <n v="1"/>
    <n v="0"/>
    <x v="0"/>
    <x v="0"/>
    <x v="5"/>
    <x v="7"/>
    <x v="3"/>
    <s v="FIFA Broadcast"/>
    <s v="LOC TBC if Wired"/>
  </r>
  <r>
    <s v="WRDSTR"/>
    <x v="9"/>
    <s v="Network &amp; Connectivity"/>
    <s v=""/>
    <s v="Stream Fabs &amp; W Feed"/>
    <s v="Wired Port - Stream &amp; World feed"/>
    <s v="WRDSTR - Wired Port - Stream &amp; World feed (Stream Fabs &amp; W Feed)"/>
    <n v="1"/>
    <n v="1"/>
    <n v="0"/>
    <n v="1"/>
    <n v="1"/>
    <n v="0"/>
    <x v="0"/>
    <x v="0"/>
    <x v="5"/>
    <x v="8"/>
    <x v="3"/>
    <s v="FIFA Broadcast"/>
    <s v="LOC TBC if Wired"/>
  </r>
  <r>
    <s v="WRDSTR"/>
    <x v="9"/>
    <s v="Network &amp; Connectivity"/>
    <s v=""/>
    <s v="Stream Fabs &amp; W Feed"/>
    <s v="Wired Port - Stream &amp; World feed"/>
    <s v="WRDSTR - Wired Port - Stream &amp; World feed (Stream Fabs &amp; W Feed)"/>
    <n v="1"/>
    <n v="1"/>
    <n v="0"/>
    <n v="1"/>
    <n v="1"/>
    <n v="0"/>
    <x v="0"/>
    <x v="0"/>
    <x v="5"/>
    <x v="9"/>
    <x v="3"/>
    <s v="FIFA Broadcast"/>
    <s v="LOC TBC if Wired"/>
  </r>
  <r>
    <s v="WRDSTR"/>
    <x v="9"/>
    <s v="Network &amp; Connectivity"/>
    <s v=""/>
    <s v="Stream Fabs &amp; W Feed"/>
    <s v="Wired Port - Stream &amp; World feed"/>
    <s v="WRDSTR - Wired Port - Stream &amp; World feed (Stream Fabs &amp; W Feed)"/>
    <n v="1"/>
    <n v="1"/>
    <n v="0"/>
    <n v="1"/>
    <n v="1"/>
    <n v="0"/>
    <x v="0"/>
    <x v="0"/>
    <x v="4"/>
    <x v="6"/>
    <x v="3"/>
    <s v="FIFA Broadcast"/>
    <s v="LOC TBC if Wired"/>
  </r>
  <r>
    <s v="WRDSTR"/>
    <x v="9"/>
    <s v="Network &amp; Connectivity"/>
    <s v=""/>
    <s v="Stream Fabs &amp; W Feed"/>
    <s v="Wired Port - Stream &amp; World feed"/>
    <s v="WRDSTR - Wired Port - Stream &amp; World feed (Stream Fabs &amp; W Feed)"/>
    <n v="1"/>
    <n v="1"/>
    <n v="0"/>
    <n v="1"/>
    <n v="1"/>
    <n v="0"/>
    <x v="0"/>
    <x v="0"/>
    <x v="4"/>
    <x v="7"/>
    <x v="3"/>
    <s v="FIFA Broadcast"/>
    <s v="LOC TBC if Wired"/>
  </r>
  <r>
    <s v="WRDSTR"/>
    <x v="9"/>
    <s v="Network &amp; Connectivity"/>
    <s v=""/>
    <s v="Stream Fabs &amp; W Feed"/>
    <s v="Wired Port - Stream &amp; World feed"/>
    <s v="WRDSTR - Wired Port - Stream &amp; World feed (Stream Fabs &amp; W Feed)"/>
    <n v="1"/>
    <n v="1"/>
    <n v="0"/>
    <n v="1"/>
    <n v="1"/>
    <n v="0"/>
    <x v="0"/>
    <x v="0"/>
    <x v="4"/>
    <x v="8"/>
    <x v="3"/>
    <s v="FIFA Broadcast"/>
    <s v="LOC TBC if Wired"/>
  </r>
  <r>
    <s v="WRDSTR"/>
    <x v="9"/>
    <s v="Network &amp; Connectivity"/>
    <s v=""/>
    <s v="Stream Fabs &amp; W Feed"/>
    <s v="Wired Port - Stream &amp; World feed"/>
    <s v="WRDSTR - Wired Port - Stream &amp; World feed (Stream Fabs &amp; W Feed)"/>
    <n v="1"/>
    <n v="1"/>
    <n v="0"/>
    <n v="1"/>
    <n v="1"/>
    <n v="0"/>
    <x v="0"/>
    <x v="0"/>
    <x v="4"/>
    <x v="9"/>
    <x v="3"/>
    <s v="FIFA Broadcast"/>
    <s v="LOC TBC if Wired"/>
  </r>
  <r>
    <s v="WRDGEN"/>
    <x v="8"/>
    <s v="Network &amp; Connectivity"/>
    <s v=""/>
    <s v="General Internet Access"/>
    <s v="Wired Port - Internet"/>
    <s v="WRDGEN - Wired Port - General Internet  (General Internet Access)"/>
    <n v="2"/>
    <n v="12"/>
    <n v="0"/>
    <n v="12"/>
    <n v="12"/>
    <n v="0"/>
    <x v="0"/>
    <x v="0"/>
    <x v="14"/>
    <x v="10"/>
    <x v="3"/>
    <s v="FIFA Broadcast"/>
    <s v="CR003, 1 general 1 backup (50Mb)"/>
  </r>
  <r>
    <s v="WRDGEN"/>
    <x v="8"/>
    <s v="Network &amp; Connectivity"/>
    <s v=""/>
    <s v="General Internet Access"/>
    <s v="Wired Port - Internet"/>
    <s v="WRDGEN - Wired Port - General Internet  (General Internet Access)"/>
    <n v="2"/>
    <n v="4"/>
    <n v="0"/>
    <n v="4"/>
    <n v="4"/>
    <n v="0"/>
    <x v="0"/>
    <x v="0"/>
    <x v="15"/>
    <x v="11"/>
    <x v="3"/>
    <s v="FIFA Broadcast"/>
    <s v="1 general 1 backup (50Mb)"/>
  </r>
  <r>
    <s v="WRDGEN"/>
    <x v="8"/>
    <s v="Network &amp; Connectivity"/>
    <s v=""/>
    <s v="General Internet Access"/>
    <s v="Wired Port - Internet"/>
    <s v="WRDGEN - Wired Port - General Internet  (General Internet Access)"/>
    <n v="1"/>
    <n v="1"/>
    <n v="0"/>
    <n v="1"/>
    <n v="1"/>
    <n v="0"/>
    <x v="0"/>
    <x v="0"/>
    <x v="14"/>
    <x v="12"/>
    <x v="3"/>
    <s v="FIFA Broadcast"/>
    <m/>
  </r>
  <r>
    <s v="WRDSTR"/>
    <x v="9"/>
    <s v="Network &amp; Connectivity"/>
    <s v=""/>
    <s v="Stream Fabs &amp; W Feed"/>
    <s v="Wired Port - Stream &amp; World feed"/>
    <s v="WRDSTR - Wired Port - Stream &amp; World feed (Stream Fabs &amp; W Feed)"/>
    <n v="3"/>
    <n v="12"/>
    <n v="0"/>
    <n v="12"/>
    <n v="12"/>
    <n v="0"/>
    <x v="0"/>
    <x v="0"/>
    <x v="14"/>
    <x v="12"/>
    <x v="3"/>
    <s v="FIFA Broadcast"/>
    <s v="high speed 50Mb 4 games"/>
  </r>
  <r>
    <s v="WRDGEN"/>
    <x v="8"/>
    <s v="Network &amp; Connectivity"/>
    <s v=""/>
    <s v="General Internet Access"/>
    <s v="Wired Port - Internet"/>
    <s v="WRDGEN - Wired Port - General Internet  (General Internet Access)"/>
    <n v="1"/>
    <n v="1"/>
    <n v="0"/>
    <n v="1"/>
    <n v="1"/>
    <n v="0"/>
    <x v="0"/>
    <x v="0"/>
    <x v="15"/>
    <x v="13"/>
    <x v="3"/>
    <s v="FIFA Broadcast"/>
    <m/>
  </r>
  <r>
    <s v="WRDSTR"/>
    <x v="9"/>
    <s v="Network &amp; Connectivity"/>
    <s v=""/>
    <s v="Stream Fabs &amp; W Feed"/>
    <s v="Wired Port - Stream &amp; World feed"/>
    <s v="WRDSTR - Wired Port - Stream &amp; World feed (Stream Fabs &amp; W Feed)"/>
    <n v="3"/>
    <n v="4"/>
    <n v="0"/>
    <n v="4"/>
    <n v="4"/>
    <n v="0"/>
    <x v="0"/>
    <x v="0"/>
    <x v="15"/>
    <x v="13"/>
    <x v="3"/>
    <s v="FIFA Broadcast"/>
    <s v="high speed 50Mb 4 games"/>
  </r>
  <r>
    <s v="WRDMED"/>
    <x v="3"/>
    <s v="Network &amp; Connectivity"/>
    <s v=""/>
    <s v="Media Internet Access Media"/>
    <s v="Wired Port - Internet for Media"/>
    <s v="WRDMED - Wired Port - Media Internet (Media Internet Access Media)"/>
    <n v="2"/>
    <n v="2"/>
    <n v="0"/>
    <n v="2"/>
    <n v="2"/>
    <n v="0"/>
    <x v="0"/>
    <x v="0"/>
    <x v="16"/>
    <x v="14"/>
    <x v="3"/>
    <s v="FIFA Broadcast"/>
    <m/>
  </r>
  <r>
    <s v="IS00WF"/>
    <x v="1"/>
    <s v="Network &amp; Connectivity"/>
    <s v=""/>
    <s v="General Internet Access"/>
    <s v="Wireless coverage - Shared Internet Service - FIFA"/>
    <s v="IS00WF - Wireless coverage - Shared Internet Service - Wi-Fi FIFA (General Internet Access)"/>
    <n v="1"/>
    <n v="0"/>
    <n v="0"/>
    <n v="1"/>
    <n v="0"/>
    <n v="0"/>
    <x v="0"/>
    <x v="1"/>
    <x v="11"/>
    <x v="2"/>
    <x v="3"/>
    <s v="FIFA Broadcast"/>
    <m/>
  </r>
  <r>
    <s v="MFDDNW"/>
    <x v="2"/>
    <s v="Reprographics"/>
    <s v=""/>
    <s v="General Internet Access"/>
    <s v="Colour Printer / Scanner (A4)"/>
    <s v="MFDDNW - MFD Desktop - Colour - A4 - Network (General Internet Access)"/>
    <n v="1"/>
    <n v="1"/>
    <n v="0"/>
    <n v="1"/>
    <n v="1"/>
    <n v="0"/>
    <x v="0"/>
    <x v="1"/>
    <x v="11"/>
    <x v="2"/>
    <x v="3"/>
    <s v="FIFA Broadcast"/>
    <m/>
  </r>
  <r>
    <s v="WRDGEN"/>
    <x v="8"/>
    <s v="Network &amp; Connectivity"/>
    <s v=""/>
    <s v="General Internet Access"/>
    <s v="Wired Port - Internet"/>
    <s v="WRDGEN - Wired Port - General Internet  (General Internet Access)"/>
    <n v="6"/>
    <n v="1"/>
    <n v="0"/>
    <n v="1"/>
    <n v="1"/>
    <n v="0"/>
    <x v="0"/>
    <x v="1"/>
    <x v="11"/>
    <x v="2"/>
    <x v="3"/>
    <s v="FIFA Broadcast"/>
    <m/>
  </r>
  <r>
    <s v="WRDSTU"/>
    <x v="4"/>
    <s v="Network &amp; Connectivity"/>
    <s v=""/>
    <s v="FIFA Technical Content"/>
    <s v="Wired Port - Content"/>
    <s v="WRDSTU - Wired Port - Content (FIFA Technical Content)"/>
    <n v="1"/>
    <n v="1"/>
    <n v="0"/>
    <n v="1"/>
    <n v="1"/>
    <n v="0"/>
    <x v="0"/>
    <x v="1"/>
    <x v="11"/>
    <x v="2"/>
    <x v="3"/>
    <s v="FIFA Broadcast"/>
    <m/>
  </r>
  <r>
    <s v="CABLOK"/>
    <x v="10"/>
    <s v="Peripherals"/>
    <s v="Multi"/>
    <s v=""/>
    <s v="Laptop Cable Lock"/>
    <s v="CABLOK - Laptop Cable Lock"/>
    <n v="2"/>
    <n v="0"/>
    <n v="0"/>
    <n v="2"/>
    <n v="0"/>
    <n v="0"/>
    <x v="1"/>
    <x v="1"/>
    <x v="17"/>
    <x v="15"/>
    <x v="3"/>
    <s v="FIFA Broadcast"/>
    <m/>
  </r>
  <r>
    <s v="LAPPRE"/>
    <x v="11"/>
    <s v="FIFA IT Hardware"/>
    <s v="Single"/>
    <s v=""/>
    <s v="FIFA Presentation Laptop"/>
    <s v="LAPPRE - Laptop - Presentation Build"/>
    <n v="2"/>
    <n v="0"/>
    <n v="0"/>
    <n v="2"/>
    <n v="0"/>
    <n v="0"/>
    <x v="1"/>
    <x v="1"/>
    <x v="17"/>
    <x v="15"/>
    <x v="3"/>
    <s v="FIFA Broadcast"/>
    <m/>
  </r>
  <r>
    <s v="WRDMED"/>
    <x v="3"/>
    <s v="Network &amp; Connectivity"/>
    <s v=""/>
    <s v="Media Internet Access Media"/>
    <s v="Wired Port - Internet for Media"/>
    <s v="WRDMED - Wired Port - Media Internet (Media Internet Access Media)"/>
    <n v="4"/>
    <n v="4"/>
    <n v="0"/>
    <n v="4"/>
    <n v="4"/>
    <n v="0"/>
    <x v="0"/>
    <x v="1"/>
    <x v="17"/>
    <x v="15"/>
    <x v="3"/>
    <s v="FIFA Broadcast"/>
    <s v="1 port for user, 1 port for PRT per position"/>
  </r>
  <r>
    <s v="WRDSTA"/>
    <x v="12"/>
    <s v="Network &amp; Connectivity"/>
    <s v=""/>
    <s v="FIFA Standard Internet Access"/>
    <s v="Wired Port - ACR-TKT-Ipcodec"/>
    <s v="WRDSTA - Wired Port - ACR-TKT-Ipcodec (FIFA Standard Internet Access)"/>
    <n v="2"/>
    <n v="2"/>
    <n v="0"/>
    <n v="2"/>
    <n v="2"/>
    <n v="0"/>
    <x v="0"/>
    <x v="1"/>
    <x v="17"/>
    <x v="15"/>
    <x v="3"/>
    <s v="FIFA Broadcast"/>
    <m/>
  </r>
  <r>
    <s v="IS00WF"/>
    <x v="1"/>
    <s v="Network &amp; Connectivity"/>
    <s v=""/>
    <s v="General Internet Access"/>
    <s v="Wireless coverage - Shared Internet Service - FIFA"/>
    <s v="IS00WF - Wireless coverage - Shared Internet Service - Wi-Fi FIFA (General Internet Access)"/>
    <n v="1"/>
    <n v="0"/>
    <n v="0"/>
    <n v="1"/>
    <n v="0"/>
    <n v="0"/>
    <x v="0"/>
    <x v="1"/>
    <x v="8"/>
    <x v="0"/>
    <x v="3"/>
    <s v="FIFA Broadcast"/>
    <m/>
  </r>
  <r>
    <s v="WRDFTI"/>
    <x v="13"/>
    <s v="Network &amp; Connectivity"/>
    <s v=""/>
    <s v="FIFA Technical FTI"/>
    <s v="Wired Port - FTI"/>
    <s v="WRDFTI - Wired Port - FTI (FIFA Technical FTI)"/>
    <n v="1"/>
    <n v="1"/>
    <n v="0"/>
    <n v="1"/>
    <n v="1"/>
    <n v="0"/>
    <x v="0"/>
    <x v="1"/>
    <x v="8"/>
    <x v="0"/>
    <x v="3"/>
    <s v="FIFA Broadcast"/>
    <m/>
  </r>
  <r>
    <s v="WRDGEN"/>
    <x v="8"/>
    <s v="Network &amp; Connectivity"/>
    <s v=""/>
    <s v="General Internet Access"/>
    <s v="Wired Port - Internet"/>
    <s v="WRDGEN - Wired Port - General Internet  (General Internet Access)"/>
    <n v="1"/>
    <n v="1"/>
    <n v="0"/>
    <n v="1"/>
    <n v="1"/>
    <n v="0"/>
    <x v="0"/>
    <x v="1"/>
    <x v="8"/>
    <x v="0"/>
    <x v="3"/>
    <s v="FIFA Broadcast"/>
    <m/>
  </r>
  <r>
    <s v="WRDMED"/>
    <x v="3"/>
    <s v="Network &amp; Connectivity"/>
    <s v=""/>
    <s v="Media Internet Access Media"/>
    <s v="Wired Port - Internet for Media"/>
    <s v="WRDMED - Wired Port - Media Internet (Media Internet Access Media)"/>
    <n v="1"/>
    <n v="1"/>
    <n v="0"/>
    <n v="1"/>
    <n v="1"/>
    <n v="0"/>
    <x v="0"/>
    <x v="1"/>
    <x v="18"/>
    <x v="6"/>
    <x v="3"/>
    <s v="FIFA Broadcast"/>
    <s v="Only if existing infrastructure"/>
  </r>
  <r>
    <s v="WRDMED"/>
    <x v="3"/>
    <s v="Network &amp; Connectivity"/>
    <s v=""/>
    <s v="Media Internet Access Media"/>
    <s v="Wired Port - Internet for Media"/>
    <s v="WRDMED - Wired Port - Media Internet (Media Internet Access Media)"/>
    <n v="1"/>
    <n v="1"/>
    <n v="0"/>
    <n v="1"/>
    <n v="1"/>
    <n v="0"/>
    <x v="0"/>
    <x v="1"/>
    <x v="18"/>
    <x v="7"/>
    <x v="3"/>
    <s v="FIFA Broadcast"/>
    <s v="Only if existing infrastructure"/>
  </r>
  <r>
    <s v="WRDMED"/>
    <x v="3"/>
    <s v="Network &amp; Connectivity"/>
    <s v=""/>
    <s v="Media Internet Access Media"/>
    <s v="Wired Port - Internet for Media"/>
    <s v="WRDMED - Wired Port - Media Internet (Media Internet Access Media)"/>
    <n v="1"/>
    <n v="1"/>
    <n v="0"/>
    <n v="1"/>
    <n v="1"/>
    <n v="0"/>
    <x v="0"/>
    <x v="1"/>
    <x v="18"/>
    <x v="8"/>
    <x v="3"/>
    <s v="FIFA Broadcast"/>
    <s v="Only if existing infrastructure"/>
  </r>
  <r>
    <s v="WRDMED"/>
    <x v="3"/>
    <s v="Network &amp; Connectivity"/>
    <s v=""/>
    <s v="Media Internet Access Media"/>
    <s v="Wired Port - Internet for Media"/>
    <s v="WRDMED - Wired Port - Media Internet (Media Internet Access Media)"/>
    <n v="1"/>
    <n v="1"/>
    <n v="0"/>
    <n v="1"/>
    <n v="1"/>
    <n v="0"/>
    <x v="0"/>
    <x v="1"/>
    <x v="18"/>
    <x v="9"/>
    <x v="3"/>
    <s v="FIFA Broadcast"/>
    <s v="Only if existing infrastructure"/>
  </r>
  <r>
    <s v="WRDGEN"/>
    <x v="8"/>
    <s v="Network &amp; Connectivity"/>
    <s v=""/>
    <s v="General Internet Access"/>
    <s v="Wired Port - Internet"/>
    <s v="WRDGEN - Wired Port - General Internet  (General Internet Access)"/>
    <n v="2"/>
    <n v="2"/>
    <n v="0"/>
    <n v="2"/>
    <n v="2"/>
    <n v="0"/>
    <x v="0"/>
    <x v="1"/>
    <x v="11"/>
    <x v="16"/>
    <x v="3"/>
    <s v="FIFA Broadcast"/>
    <s v="1 backup and 1 general"/>
  </r>
  <r>
    <s v="WRDGEN"/>
    <x v="8"/>
    <s v="Network &amp; Connectivity"/>
    <s v=""/>
    <s v="General Internet Access"/>
    <s v="Wired Port - Internet"/>
    <s v="WRDGEN - Wired Port - General Internet  (General Internet Access)"/>
    <n v="1"/>
    <n v="1"/>
    <n v="0"/>
    <n v="1"/>
    <n v="1"/>
    <n v="0"/>
    <x v="0"/>
    <x v="1"/>
    <x v="11"/>
    <x v="17"/>
    <x v="3"/>
    <s v="FIFA Broadcast"/>
    <m/>
  </r>
  <r>
    <s v="WRDSTR"/>
    <x v="9"/>
    <s v="Network &amp; Connectivity"/>
    <s v=""/>
    <s v="Stream Fabs &amp; W Feed"/>
    <s v="Wired Port - Stream &amp; World feed"/>
    <s v="WRDSTR - Wired Port - Stream &amp; World feed (Stream Fabs &amp; W Feed)"/>
    <n v="3"/>
    <n v="2"/>
    <n v="0"/>
    <n v="2"/>
    <n v="2"/>
    <n v="0"/>
    <x v="0"/>
    <x v="1"/>
    <x v="11"/>
    <x v="17"/>
    <x v="3"/>
    <s v="FIFA Broadcast"/>
    <s v="high speed"/>
  </r>
  <r>
    <s v="WRDMED"/>
    <x v="3"/>
    <s v="Network &amp; Connectivity"/>
    <s v=""/>
    <s v="Media Internet Access Media"/>
    <s v="Wired Port - Internet for Media"/>
    <s v="WRDMED - Wired Port - Media Internet (Media Internet Access Media)"/>
    <n v="2"/>
    <n v="2"/>
    <n v="0"/>
    <n v="2"/>
    <n v="2"/>
    <n v="0"/>
    <x v="0"/>
    <x v="1"/>
    <x v="16"/>
    <x v="18"/>
    <x v="3"/>
    <s v="FIFA Broadcast"/>
    <m/>
  </r>
  <r>
    <s v="DSKMNT"/>
    <x v="0"/>
    <s v="Peripherals"/>
    <s v=""/>
    <s v=""/>
    <s v="24&quot; PC Monitor"/>
    <s v="DSKMNT - 24&quot; Monitor - HDMI/DP"/>
    <n v="2"/>
    <n v="0"/>
    <n v="0"/>
    <n v="2"/>
    <n v="0"/>
    <n v="0"/>
    <x v="0"/>
    <x v="0"/>
    <x v="13"/>
    <x v="19"/>
    <x v="4"/>
    <s v="FIFA Competitions"/>
    <s v="to be moved to Khalifa"/>
  </r>
  <r>
    <s v="IS00WF"/>
    <x v="1"/>
    <s v="Network &amp; Connectivity"/>
    <s v=""/>
    <s v="General Internet Access"/>
    <s v="Wireless coverage - Shared Internet Service - FIFA"/>
    <s v="IS00WF - Wireless coverage - Shared Internet Service - Wi-Fi FIFA (General Internet Access)"/>
    <n v="1"/>
    <n v="0"/>
    <n v="0"/>
    <n v="1"/>
    <n v="0"/>
    <n v="0"/>
    <x v="0"/>
    <x v="0"/>
    <x v="13"/>
    <x v="19"/>
    <x v="4"/>
    <s v="FIFA Competitions"/>
    <m/>
  </r>
  <r>
    <s v="MFDDNW"/>
    <x v="2"/>
    <s v="Reprographics"/>
    <s v=""/>
    <s v="General Internet Access"/>
    <s v="Colour Printer / Scanner (A4)"/>
    <s v="MFDDNW - MFD Desktop - Colour - A4 - Network (General Internet Access)"/>
    <n v="1"/>
    <n v="1"/>
    <n v="0"/>
    <n v="1"/>
    <n v="1"/>
    <n v="0"/>
    <x v="0"/>
    <x v="0"/>
    <x v="13"/>
    <x v="19"/>
    <x v="4"/>
    <s v="FIFA Competitions"/>
    <m/>
  </r>
  <r>
    <s v="MFDDNW"/>
    <x v="2"/>
    <s v="Reprographics"/>
    <s v=""/>
    <s v="General Internet Access"/>
    <s v="Colour Printer / Scanner (A4)"/>
    <s v="MFDDNW - MFD Desktop - Colour - A4 - Network (General Internet Access)"/>
    <n v="1"/>
    <n v="1"/>
    <n v="0"/>
    <n v="1"/>
    <n v="1"/>
    <n v="0"/>
    <x v="0"/>
    <x v="0"/>
    <x v="6"/>
    <x v="20"/>
    <x v="4"/>
    <s v="FIFA Competitions"/>
    <s v="Printer to be shared between 2 pitches for CPM &amp; ENT"/>
  </r>
  <r>
    <s v="MFDDNW"/>
    <x v="2"/>
    <s v="Reprographics"/>
    <s v=""/>
    <s v="General Internet Access"/>
    <s v="Colour Printer / Scanner (A4)"/>
    <s v="MFDDNW - MFD Desktop - Colour - A4 - Network (General Internet Access)"/>
    <n v="1"/>
    <n v="1"/>
    <n v="0"/>
    <n v="1"/>
    <n v="1"/>
    <n v="0"/>
    <x v="0"/>
    <x v="0"/>
    <x v="7"/>
    <x v="20"/>
    <x v="4"/>
    <s v="FIFA Competitions"/>
    <s v="Printer to be shared between 2 pitches for CPM &amp; ENT"/>
  </r>
  <r>
    <s v="MFDDNW"/>
    <x v="2"/>
    <s v="Reprographics"/>
    <s v=""/>
    <s v="General Internet Access"/>
    <s v="Colour Printer / Scanner (A4)"/>
    <s v="MFDDNW - MFD Desktop - Colour - A4 - Network (General Internet Access)"/>
    <n v="1"/>
    <n v="1"/>
    <n v="0"/>
    <n v="1"/>
    <n v="1"/>
    <n v="0"/>
    <x v="0"/>
    <x v="0"/>
    <x v="4"/>
    <x v="20"/>
    <x v="4"/>
    <s v="FIFA Competitions"/>
    <s v="Printer to be shared between 2 pitches for CPM &amp; ENT"/>
  </r>
  <r>
    <s v="MFDDNW"/>
    <x v="2"/>
    <s v="Reprographics"/>
    <s v=""/>
    <s v="General Internet Access"/>
    <s v="Colour Printer / Scanner (A4)"/>
    <s v="MFDDNW - MFD Desktop - Colour - A4 - Network (General Internet Access)"/>
    <n v="1"/>
    <n v="1"/>
    <n v="0"/>
    <n v="1"/>
    <n v="1"/>
    <n v="0"/>
    <x v="0"/>
    <x v="0"/>
    <x v="2"/>
    <x v="20"/>
    <x v="4"/>
    <s v="FIFA Competitions"/>
    <s v="Printer to be shared between 2 pitches for CPM &amp; ENT"/>
  </r>
  <r>
    <s v="PORSPE"/>
    <x v="14"/>
    <s v="Peripherals"/>
    <s v="Single"/>
    <s v=""/>
    <s v="Portable Speaker"/>
    <s v="PORSPE - Portable Speaker"/>
    <n v="1"/>
    <n v="0"/>
    <n v="0"/>
    <n v="1"/>
    <n v="0"/>
    <n v="0"/>
    <x v="1"/>
    <x v="0"/>
    <x v="13"/>
    <x v="19"/>
    <x v="4"/>
    <s v="FIFA Competitions"/>
    <m/>
  </r>
  <r>
    <s v="TABLEN"/>
    <x v="7"/>
    <s v="FIFA IT Hardware"/>
    <s v="Single"/>
    <s v=""/>
    <s v="Professional Series Tablet + 4G"/>
    <s v="TABLEN - Tablet - FIFA Professional Tablet + 4G"/>
    <n v="2"/>
    <n v="0"/>
    <n v="8"/>
    <n v="8"/>
    <n v="0"/>
    <n v="0"/>
    <x v="1"/>
    <x v="0"/>
    <x v="13"/>
    <x v="19"/>
    <x v="4"/>
    <s v="FIFA Competitions"/>
    <m/>
  </r>
  <r>
    <s v="TVLGIP"/>
    <x v="5"/>
    <s v="CATV"/>
    <s v=""/>
    <s v=""/>
    <s v="Large TV - CATV Feed"/>
    <s v="TVLGIP - TV - Large - IPTV"/>
    <n v="1"/>
    <n v="1"/>
    <n v="0"/>
    <n v="1"/>
    <n v="1"/>
    <n v="0"/>
    <x v="0"/>
    <x v="0"/>
    <x v="13"/>
    <x v="19"/>
    <x v="4"/>
    <s v="FIFA Competitions"/>
    <s v="Including HDMI cables"/>
  </r>
  <r>
    <s v="TVSTND"/>
    <x v="6"/>
    <s v="Peripherals"/>
    <s v=""/>
    <s v=""/>
    <s v="TV Stand for medium and large TVs"/>
    <s v="TVSTND - TV Stand - Medium &amp; Large TVs"/>
    <n v="1"/>
    <n v="0"/>
    <n v="0"/>
    <n v="1"/>
    <n v="0"/>
    <n v="0"/>
    <x v="0"/>
    <x v="0"/>
    <x v="13"/>
    <x v="19"/>
    <x v="4"/>
    <s v="FIFA Competitions"/>
    <m/>
  </r>
  <r>
    <s v="IS00WF"/>
    <x v="1"/>
    <s v="Network &amp; Connectivity"/>
    <s v=""/>
    <s v="General Internet Access"/>
    <s v="Wireless coverage - Shared Internet Service - FIFA"/>
    <s v="IS00WF - Wireless coverage - Shared Internet Service - Wi-Fi FIFA (General Internet Access)"/>
    <n v="1"/>
    <n v="0"/>
    <n v="0"/>
    <n v="1"/>
    <n v="0"/>
    <n v="0"/>
    <x v="0"/>
    <x v="1"/>
    <x v="12"/>
    <x v="19"/>
    <x v="4"/>
    <s v="FIFA Competitions"/>
    <m/>
  </r>
  <r>
    <s v="IS00WF"/>
    <x v="1"/>
    <s v="Network &amp; Connectivity"/>
    <s v=""/>
    <s v="General Internet Access"/>
    <s v="Wireless coverage - Shared Internet Service - FIFA"/>
    <s v="IS00WF - Wireless coverage - Shared Internet Service - Wi-Fi FIFA (General Internet Access)"/>
    <n v="1"/>
    <n v="0"/>
    <n v="0"/>
    <n v="1"/>
    <n v="0"/>
    <n v="0"/>
    <x v="0"/>
    <x v="1"/>
    <x v="12"/>
    <x v="21"/>
    <x v="4"/>
    <s v="FIFA Competitions"/>
    <m/>
  </r>
  <r>
    <s v="IS00WF"/>
    <x v="1"/>
    <s v="Network &amp; Connectivity"/>
    <s v=""/>
    <s v="General Internet Access"/>
    <s v="Wireless coverage - Shared Internet Service - FIFA"/>
    <s v="IS00WF - Wireless coverage - Shared Internet Service - Wi-Fi FIFA (General Internet Access)"/>
    <n v="1"/>
    <n v="0"/>
    <n v="0"/>
    <n v="1"/>
    <n v="0"/>
    <n v="0"/>
    <x v="0"/>
    <x v="1"/>
    <x v="19"/>
    <x v="22"/>
    <x v="4"/>
    <s v="FIFA Competitions"/>
    <m/>
  </r>
  <r>
    <s v="MFDDNW"/>
    <x v="2"/>
    <s v="Reprographics"/>
    <s v=""/>
    <s v="General Internet Access"/>
    <s v="Colour Printer / Scanner (A4)"/>
    <s v="MFDDNW - MFD Desktop - Colour - A4 - Network (General Internet Access)"/>
    <n v="1"/>
    <n v="1"/>
    <n v="0"/>
    <n v="1"/>
    <n v="1"/>
    <n v="0"/>
    <x v="0"/>
    <x v="1"/>
    <x v="12"/>
    <x v="19"/>
    <x v="4"/>
    <s v="FIFA Competitions"/>
    <m/>
  </r>
  <r>
    <s v="TVLGIP"/>
    <x v="5"/>
    <s v="CATV"/>
    <s v=""/>
    <s v=""/>
    <s v="Large TV - CATV Feed"/>
    <s v="TVLGIP - TV - Large - IPTV"/>
    <n v="1"/>
    <n v="1"/>
    <n v="0"/>
    <n v="1"/>
    <n v="1"/>
    <n v="0"/>
    <x v="0"/>
    <x v="1"/>
    <x v="12"/>
    <x v="19"/>
    <x v="4"/>
    <s v="FIFA Competitions"/>
    <m/>
  </r>
  <r>
    <s v="TVLGSA"/>
    <x v="15"/>
    <s v="Display Devices"/>
    <s v=""/>
    <s v=""/>
    <s v="Large TV - Standalone"/>
    <s v="TVLGSA - TV - Large - Standalone"/>
    <n v="1"/>
    <n v="0"/>
    <n v="0"/>
    <n v="1"/>
    <n v="0"/>
    <n v="0"/>
    <x v="0"/>
    <x v="1"/>
    <x v="12"/>
    <x v="21"/>
    <x v="4"/>
    <s v="FIFA Competitions"/>
    <m/>
  </r>
  <r>
    <s v="TVLGSA"/>
    <x v="15"/>
    <s v="Display Devices"/>
    <s v=""/>
    <s v=""/>
    <s v="Large TV - Standalone"/>
    <s v="TVLGSA - TV - Large - Standalone"/>
    <n v="1"/>
    <n v="0"/>
    <n v="0"/>
    <n v="1"/>
    <n v="0"/>
    <n v="0"/>
    <x v="0"/>
    <x v="1"/>
    <x v="19"/>
    <x v="22"/>
    <x v="4"/>
    <s v="FIFA Competitions"/>
    <s v="1 x large TV 75-85&quot; or 2 x TV placed on the side; &quot;PC needs to be ready by MD-3_x000a_group stage coordination meeting 2 days prior to the tournamnet&quot; cover 150 pax"/>
  </r>
  <r>
    <s v="TVSTND"/>
    <x v="6"/>
    <s v="Peripherals"/>
    <s v=""/>
    <s v=""/>
    <s v="TV Stand for medium and large TVs"/>
    <s v="TVSTND - TV Stand - Medium &amp; Large TVs"/>
    <n v="1"/>
    <n v="0"/>
    <n v="0"/>
    <n v="1"/>
    <n v="0"/>
    <n v="0"/>
    <x v="0"/>
    <x v="1"/>
    <x v="12"/>
    <x v="19"/>
    <x v="4"/>
    <s v="FIFA Competitions"/>
    <m/>
  </r>
  <r>
    <s v="TVSTND"/>
    <x v="6"/>
    <s v="Peripherals"/>
    <s v=""/>
    <s v=""/>
    <s v="TV Stand for medium and large TVs"/>
    <s v="TVSTND - TV Stand - Medium &amp; Large TVs"/>
    <n v="1"/>
    <n v="0"/>
    <n v="0"/>
    <n v="1"/>
    <n v="0"/>
    <n v="0"/>
    <x v="0"/>
    <x v="1"/>
    <x v="12"/>
    <x v="21"/>
    <x v="4"/>
    <s v="FIFA Competitions"/>
    <m/>
  </r>
  <r>
    <s v="TVSTND"/>
    <x v="6"/>
    <s v="Peripherals"/>
    <s v=""/>
    <s v=""/>
    <s v="TV Stand for medium and large TVs"/>
    <s v="TVSTND - TV Stand - Medium &amp; Large TVs"/>
    <n v="1"/>
    <n v="0"/>
    <n v="0"/>
    <n v="1"/>
    <n v="0"/>
    <n v="0"/>
    <x v="0"/>
    <x v="1"/>
    <x v="19"/>
    <x v="22"/>
    <x v="4"/>
    <s v="FIFA Competitions"/>
    <m/>
  </r>
  <r>
    <s v="MFDDNW"/>
    <x v="2"/>
    <s v="Reprographics"/>
    <m/>
    <m/>
    <m/>
    <m/>
    <m/>
    <m/>
    <m/>
    <n v="1"/>
    <n v="1"/>
    <n v="0"/>
    <x v="0"/>
    <x v="0"/>
    <x v="6"/>
    <x v="19"/>
    <x v="4"/>
    <s v="FIFA Competitions"/>
    <s v="13.10 - CR001: Change Request - 1 printer in Pitch 8"/>
  </r>
  <r>
    <s v="MFDDNW"/>
    <x v="2"/>
    <s v="Reprographics"/>
    <n v="1"/>
    <e v="#VALUE!"/>
    <e v="#VALUE!"/>
    <s v="LOC IT"/>
    <s v="Khalifa"/>
    <s v="Press Conference Room"/>
    <s v="Press Conference Room"/>
    <s v="1"/>
    <s v="1"/>
    <n v="0"/>
    <x v="0"/>
    <x v="0"/>
    <x v="7"/>
    <x v="19"/>
    <x v="4"/>
    <s v="FIFA Competitions"/>
    <s v="13.10 - CR001: Change Request"/>
  </r>
  <r>
    <s v="DSKMNT"/>
    <x v="0"/>
    <s v="Peripherals"/>
    <s v=""/>
    <s v=""/>
    <s v="24&quot; PC Monitor"/>
    <s v="DSKMNT - 24&quot; Monitor - HDMI/DP"/>
    <n v="2"/>
    <n v="0"/>
    <n v="0"/>
    <n v="2"/>
    <n v="0"/>
    <n v="0"/>
    <x v="0"/>
    <x v="0"/>
    <x v="10"/>
    <x v="1"/>
    <x v="5"/>
    <s v="FIFA Data Management"/>
    <m/>
  </r>
  <r>
    <s v="DSKMNT"/>
    <x v="0"/>
    <s v="Peripherals"/>
    <s v=""/>
    <s v=""/>
    <s v="24&quot; PC Monitor"/>
    <s v="DSKMNT - 24&quot; Monitor - HDMI/DP"/>
    <n v="5"/>
    <n v="0"/>
    <n v="0"/>
    <n v="3"/>
    <n v="0"/>
    <n v="0"/>
    <x v="0"/>
    <x v="0"/>
    <x v="10"/>
    <x v="1"/>
    <x v="6"/>
    <s v="FIFA Digital Marketing"/>
    <s v="Location TBC"/>
  </r>
  <r>
    <s v="WRDSTU"/>
    <x v="4"/>
    <s v="Network &amp; Connectivity"/>
    <s v=""/>
    <s v="FIFA Technical Content"/>
    <s v="Wired Port - Content"/>
    <s v="WRDSTU - Wired Port - Content (FIFA Technical Content)"/>
    <n v="5"/>
    <n v="3"/>
    <n v="0"/>
    <n v="3"/>
    <n v="3"/>
    <n v="0"/>
    <x v="0"/>
    <x v="0"/>
    <x v="10"/>
    <x v="1"/>
    <x v="6"/>
    <s v="FIFA Digital Marketing"/>
    <s v="Location TBC"/>
  </r>
  <r>
    <s v="ITSIBU"/>
    <x v="16"/>
    <s v="FIFA IT Network Solutions"/>
    <s v=""/>
    <s v=""/>
    <s v="IT Solution - 4G Internet backup "/>
    <s v="ITSIBU - IT Solution - 4G Internet backup "/>
    <n v="10"/>
    <n v="0"/>
    <n v="10"/>
    <n v="10"/>
    <n v="0"/>
    <n v="10"/>
    <x v="0"/>
    <x v="0"/>
    <x v="10"/>
    <x v="1"/>
    <x v="7"/>
    <s v="FIFA Event Technology"/>
    <m/>
  </r>
  <r>
    <s v="LAPEVT"/>
    <x v="17"/>
    <s v="FIFA IT Hardware"/>
    <s v="Single"/>
    <s v=""/>
    <s v="FIFA Laptop"/>
    <s v="LAPEVT - Laptop - FIFA Event Build"/>
    <n v="2"/>
    <n v="0"/>
    <n v="0"/>
    <n v="2"/>
    <n v="0"/>
    <n v="0"/>
    <x v="1"/>
    <x v="0"/>
    <x v="10"/>
    <x v="1"/>
    <x v="7"/>
    <s v="FIFA Event Technology"/>
    <s v="spare laptop"/>
  </r>
  <r>
    <s v="LAPPRE"/>
    <x v="11"/>
    <s v="FIFA IT Hardware"/>
    <s v="Single"/>
    <s v=""/>
    <s v="FIFA Presentation Laptop"/>
    <s v="LAPPRE - Laptop - Presentation Build"/>
    <n v="4"/>
    <n v="0"/>
    <n v="0"/>
    <n v="4"/>
    <n v="0"/>
    <n v="0"/>
    <x v="1"/>
    <x v="0"/>
    <x v="10"/>
    <x v="1"/>
    <x v="7"/>
    <s v="FIFA Event Technology"/>
    <s v="spare laptop"/>
  </r>
  <r>
    <s v="PORSPE"/>
    <x v="14"/>
    <s v="Peripherals"/>
    <s v="Single"/>
    <s v=""/>
    <s v="Portable Speaker"/>
    <s v="PORSPE - Portable Speaker"/>
    <n v="2"/>
    <n v="0"/>
    <n v="0"/>
    <n v="2"/>
    <n v="0"/>
    <n v="0"/>
    <x v="1"/>
    <x v="0"/>
    <x v="10"/>
    <x v="1"/>
    <x v="7"/>
    <s v="FIFA Event Technology"/>
    <m/>
  </r>
  <r>
    <s v="SIMDAT"/>
    <x v="18"/>
    <s v="Telephony"/>
    <s v=""/>
    <s v=""/>
    <s v="Local SIM Card - Data Only"/>
    <s v="SIMDAT - SIM - Data Only"/>
    <n v="10"/>
    <n v="0"/>
    <n v="20"/>
    <n v="20"/>
    <n v="0"/>
    <n v="20"/>
    <x v="0"/>
    <x v="0"/>
    <x v="10"/>
    <x v="1"/>
    <x v="7"/>
    <s v="FIFA Event Technology"/>
    <s v="valid between 22 Oct - 20 Dec"/>
  </r>
  <r>
    <s v="SIMDOM"/>
    <x v="19"/>
    <s v="Telephony"/>
    <s v=""/>
    <s v=""/>
    <s v="Local SIM Card"/>
    <s v="SIMDOM - SIM - Domestic"/>
    <n v="80"/>
    <n v="0"/>
    <n v="100"/>
    <n v="100"/>
    <n v="0"/>
    <n v="100"/>
    <x v="0"/>
    <x v="0"/>
    <x v="10"/>
    <x v="1"/>
    <x v="7"/>
    <s v="FIFA Event Technology"/>
    <s v="valid between 22 Oct - 20 Dec"/>
  </r>
  <r>
    <s v="SIMINT"/>
    <x v="20"/>
    <s v="Telephony"/>
    <s v=""/>
    <s v=""/>
    <s v="Local SIM Card + International"/>
    <s v="SIMINT - SIM - International"/>
    <n v="5"/>
    <n v="0"/>
    <n v="15"/>
    <n v="15"/>
    <n v="0"/>
    <n v="15"/>
    <x v="0"/>
    <x v="0"/>
    <x v="10"/>
    <x v="1"/>
    <x v="7"/>
    <s v="FIFA Event Technology"/>
    <s v="valid between 22 Oct - 20 Dec"/>
  </r>
  <r>
    <s v="TELMOB"/>
    <x v="21"/>
    <s v="Telephony"/>
    <s v="Single"/>
    <s v=""/>
    <s v="Smart Phone"/>
    <s v="TELMOB - Telephone - Mobile - Smart Phone"/>
    <n v="80"/>
    <n v="0"/>
    <n v="100"/>
    <n v="100"/>
    <n v="0"/>
    <n v="0"/>
    <x v="1"/>
    <x v="0"/>
    <x v="10"/>
    <x v="1"/>
    <x v="7"/>
    <s v="FIFA Event Technology"/>
    <m/>
  </r>
  <r>
    <s v="WRDGEN"/>
    <x v="8"/>
    <s v="Network &amp; Connectivity"/>
    <s v=""/>
    <s v="General Internet Access"/>
    <s v="Wired Port - Internet"/>
    <s v="WRDGEN - Wired Port - General Internet  (General Internet Access)"/>
    <n v="2"/>
    <n v="2"/>
    <n v="0"/>
    <n v="2"/>
    <n v="2"/>
    <n v="0"/>
    <x v="0"/>
    <x v="0"/>
    <x v="10"/>
    <x v="1"/>
    <x v="7"/>
    <s v="FIFA Event Technology"/>
    <m/>
  </r>
  <r>
    <s v="DSKMNT"/>
    <x v="0"/>
    <s v="Peripherals"/>
    <s v=""/>
    <s v=""/>
    <s v="24&quot; PC Monitor"/>
    <s v="DSKMNT - 24&quot; Monitor - HDMI/DP"/>
    <n v="1"/>
    <n v="0"/>
    <n v="0"/>
    <n v="1"/>
    <n v="0"/>
    <n v="0"/>
    <x v="0"/>
    <x v="0"/>
    <x v="10"/>
    <x v="23"/>
    <x v="7"/>
    <s v="FIFA Event Technology"/>
    <m/>
  </r>
  <r>
    <s v="IS0050"/>
    <x v="22"/>
    <s v="Network &amp; Connectivity"/>
    <s v=""/>
    <s v=""/>
    <s v="Internet Service - 50Mbps"/>
    <s v="IS0050 - Internet Service - 50Mbps"/>
    <n v="1"/>
    <n v="1"/>
    <n v="0"/>
    <n v="1"/>
    <n v="1"/>
    <n v="0"/>
    <x v="0"/>
    <x v="0"/>
    <x v="10"/>
    <x v="23"/>
    <x v="7"/>
    <s v="FIFA Event Technology"/>
    <s v="static public IP"/>
  </r>
  <r>
    <s v="ITMON"/>
    <x v="23"/>
    <s v="Network &amp; Connectivity"/>
    <s v=""/>
    <s v="Monitoring VLAN"/>
    <s v="FIFA IT Monitoring network port"/>
    <s v="ITMON - IT Monitoring network port (Monitoring VLAN)"/>
    <n v="1"/>
    <n v="1"/>
    <n v="0"/>
    <n v="1"/>
    <n v="1"/>
    <n v="0"/>
    <x v="0"/>
    <x v="0"/>
    <x v="10"/>
    <x v="23"/>
    <x v="7"/>
    <s v="FIFA Event Technology"/>
    <m/>
  </r>
  <r>
    <s v="ITMON"/>
    <x v="23"/>
    <s v="Network &amp; Connectivity"/>
    <s v=""/>
    <s v="Monitoring VLAN"/>
    <s v="FIFA IT Monitoring network port"/>
    <s v="ITMON - IT Monitoring network port (Monitoring VLAN)"/>
    <n v="1"/>
    <n v="1"/>
    <n v="0"/>
    <n v="1"/>
    <n v="1"/>
    <n v="0"/>
    <x v="0"/>
    <x v="1"/>
    <x v="8"/>
    <x v="23"/>
    <x v="7"/>
    <s v="FIFA Event Technology"/>
    <m/>
  </r>
  <r>
    <s v="TVMDSA"/>
    <x v="24"/>
    <s v="CATV"/>
    <s v=""/>
    <s v=""/>
    <s v="Medium TV - Standalone"/>
    <s v="TVMDSA - TV - Medium - Standalone"/>
    <n v="1"/>
    <n v="0"/>
    <n v="0"/>
    <n v="1"/>
    <n v="0"/>
    <n v="0"/>
    <x v="0"/>
    <x v="0"/>
    <x v="10"/>
    <x v="23"/>
    <x v="7"/>
    <s v="FIFA Event Technology"/>
    <m/>
  </r>
  <r>
    <s v="TVSTND"/>
    <x v="6"/>
    <s v="Peripherals"/>
    <s v=""/>
    <s v=""/>
    <s v="TV Stand for medium and large TVs"/>
    <s v="TVSTND - TV Stand - Medium &amp; Large TVs"/>
    <n v="1"/>
    <n v="0"/>
    <n v="0"/>
    <n v="1"/>
    <n v="0"/>
    <n v="0"/>
    <x v="0"/>
    <x v="0"/>
    <x v="10"/>
    <x v="23"/>
    <x v="7"/>
    <s v="FIFA Event Technology"/>
    <m/>
  </r>
  <r>
    <s v="WRDGEN"/>
    <x v="8"/>
    <s v="Network &amp; Connectivity"/>
    <s v=""/>
    <s v="General Internet Access"/>
    <s v="Wired Port - Internet"/>
    <s v="WRDGEN - Wired Port - General Internet  (General Internet Access)"/>
    <n v="2"/>
    <n v="2"/>
    <n v="0"/>
    <n v="2"/>
    <n v="2"/>
    <n v="0"/>
    <x v="0"/>
    <x v="1"/>
    <x v="8"/>
    <x v="23"/>
    <x v="7"/>
    <s v="FIFA Event Technology"/>
    <m/>
  </r>
  <r>
    <s v="WRDGEN"/>
    <x v="8"/>
    <s v="Network &amp; Connectivity"/>
    <s v=""/>
    <s v="General Internet Access"/>
    <s v="Wired Port - Internet"/>
    <s v="WRDGEN - Wired Port - General Internet  (General Internet Access)"/>
    <n v="1"/>
    <n v="1"/>
    <n v="0"/>
    <n v="1"/>
    <n v="1"/>
    <n v="0"/>
    <x v="0"/>
    <x v="0"/>
    <x v="10"/>
    <x v="23"/>
    <x v="7"/>
    <s v="FIFA Event Technology"/>
    <m/>
  </r>
  <r>
    <s v="DSKMNT"/>
    <x v="0"/>
    <s v="Peripherals"/>
    <s v=""/>
    <s v=""/>
    <s v="24&quot; PC Monitor"/>
    <s v="DSKMNT - 24&quot; Monitor - HDMI/DP"/>
    <n v="2"/>
    <n v="0"/>
    <n v="0"/>
    <n v="2"/>
    <n v="0"/>
    <n v="0"/>
    <x v="0"/>
    <x v="0"/>
    <x v="10"/>
    <x v="1"/>
    <x v="8"/>
    <s v="FIFA Films"/>
    <s v="Location TBC"/>
  </r>
  <r>
    <s v="IS00WF"/>
    <x v="1"/>
    <s v="Network &amp; Connectivity"/>
    <s v=""/>
    <s v="General Internet Access"/>
    <s v="Wireless coverage - Shared Internet Service - FIFA"/>
    <s v="IS00WF - Wireless coverage - Shared Internet Service - Wi-Fi FIFA (General Internet Access)"/>
    <n v="1"/>
    <n v="0"/>
    <n v="0"/>
    <n v="1"/>
    <n v="0"/>
    <n v="0"/>
    <x v="0"/>
    <x v="0"/>
    <x v="10"/>
    <x v="1"/>
    <x v="8"/>
    <s v="FIFA Films"/>
    <s v="Location TBC"/>
  </r>
  <r>
    <s v="WRDSTU"/>
    <x v="4"/>
    <s v="Network &amp; Connectivity"/>
    <s v=""/>
    <s v="FIFA Technical Content"/>
    <s v="Wired Port - Content"/>
    <s v="WRDSTU - Wired Port - Content (FIFA Technical Content)"/>
    <n v="2"/>
    <n v="2"/>
    <n v="0"/>
    <n v="2"/>
    <n v="2"/>
    <n v="0"/>
    <x v="0"/>
    <x v="0"/>
    <x v="10"/>
    <x v="1"/>
    <x v="8"/>
    <s v="FIFA Films"/>
    <s v="Location TBC"/>
  </r>
  <r>
    <s v="DSK27M"/>
    <x v="25"/>
    <s v="Peripherals"/>
    <s v=""/>
    <s v=""/>
    <s v="27&quot; PC Monitor"/>
    <s v="DSK27M - 27&quot; Monitor - HDMI/DP"/>
    <n v="4"/>
    <n v="0"/>
    <n v="0"/>
    <n v="4"/>
    <n v="0"/>
    <n v="0"/>
    <x v="0"/>
    <x v="0"/>
    <x v="20"/>
    <x v="24"/>
    <x v="9"/>
    <s v="FIFA FTI"/>
    <m/>
  </r>
  <r>
    <s v="IS00WF"/>
    <x v="1"/>
    <s v="Network &amp; Connectivity"/>
    <s v=""/>
    <s v="General Internet Access"/>
    <s v="Wireless coverage - Shared Internet Service - FIFA"/>
    <s v="IS00WF - Wireless coverage - Shared Internet Service - Wi-Fi FIFA (General Internet Access)"/>
    <n v="1"/>
    <n v="0"/>
    <n v="0"/>
    <n v="1"/>
    <n v="0"/>
    <n v="0"/>
    <x v="0"/>
    <x v="0"/>
    <x v="20"/>
    <x v="24"/>
    <x v="9"/>
    <s v="FIFA FTI"/>
    <m/>
  </r>
  <r>
    <s v="IS00WF"/>
    <x v="1"/>
    <s v="Network &amp; Connectivity"/>
    <s v=""/>
    <s v="General Internet Access"/>
    <s v="Wireless coverage - Shared Internet Service - FIFA"/>
    <s v="IS00WF - Wireless coverage - Shared Internet Service - Wi-Fi FIFA (General Internet Access)"/>
    <n v="1"/>
    <n v="0"/>
    <n v="0"/>
    <n v="1"/>
    <n v="0"/>
    <n v="0"/>
    <x v="0"/>
    <x v="0"/>
    <x v="21"/>
    <x v="24"/>
    <x v="9"/>
    <s v="FIFA FTI"/>
    <m/>
  </r>
  <r>
    <s v="IS00WF"/>
    <x v="1"/>
    <s v="Network &amp; Connectivity"/>
    <s v=""/>
    <s v="General Internet Access"/>
    <s v="Wireless coverage - Shared Internet Service - FIFA"/>
    <s v="IS00WF - Wireless coverage - Shared Internet Service - Wi-Fi FIFA (General Internet Access)"/>
    <n v="1"/>
    <n v="0"/>
    <n v="0"/>
    <n v="1"/>
    <n v="0"/>
    <n v="0"/>
    <x v="0"/>
    <x v="0"/>
    <x v="14"/>
    <x v="25"/>
    <x v="9"/>
    <s v="FIFA FTI"/>
    <s v="20 Mbps – FTI"/>
  </r>
  <r>
    <s v="WRDFTI"/>
    <x v="13"/>
    <s v="Network &amp; Connectivity"/>
    <s v=""/>
    <s v="FIFA Technical FTI"/>
    <s v="Wired Port - FTI"/>
    <s v="WRDFTI - Wired Port - FTI (FIFA Technical FTI)"/>
    <n v="1"/>
    <n v="1"/>
    <n v="0"/>
    <n v="1"/>
    <n v="1"/>
    <n v="0"/>
    <x v="0"/>
    <x v="0"/>
    <x v="14"/>
    <x v="25"/>
    <x v="9"/>
    <s v="FIFA FTI"/>
    <s v="50 Mbps – FTI"/>
  </r>
  <r>
    <s v="WRDFTI"/>
    <x v="13"/>
    <s v="Network &amp; Connectivity"/>
    <s v=""/>
    <s v="FIFA Technical FTI"/>
    <s v="Wired Port - FTI"/>
    <s v="WRDFTI - Wired Port - FTI (FIFA Technical FTI)"/>
    <n v="2"/>
    <n v="2"/>
    <n v="0"/>
    <n v="2"/>
    <n v="2"/>
    <n v="0"/>
    <x v="0"/>
    <x v="0"/>
    <x v="14"/>
    <x v="25"/>
    <x v="9"/>
    <s v="FIFA FTI"/>
    <s v="20 Mbps - Refereeing"/>
  </r>
  <r>
    <s v="IS00WF"/>
    <x v="1"/>
    <s v="Network &amp; Connectivity"/>
    <s v=""/>
    <s v="General Internet Access"/>
    <s v="Wireless coverage - Shared Internet Service - FIFA"/>
    <s v="IS00WF - Wireless coverage - Shared Internet Service - Wi-Fi FIFA (General Internet Access)"/>
    <n v="1"/>
    <n v="0"/>
    <n v="0"/>
    <n v="1"/>
    <n v="0"/>
    <n v="0"/>
    <x v="0"/>
    <x v="0"/>
    <x v="14"/>
    <x v="26"/>
    <x v="9"/>
    <s v="FIFA FTI"/>
    <s v="20 Mbps – FTI"/>
  </r>
  <r>
    <s v="WRDFTI"/>
    <x v="13"/>
    <s v="Network &amp; Connectivity"/>
    <s v=""/>
    <s v="FIFA Technical FTI"/>
    <s v="Wired Port - FTI"/>
    <s v="WRDFTI - Wired Port - FTI (FIFA Technical FTI)"/>
    <n v="1"/>
    <n v="1"/>
    <n v="0"/>
    <n v="1"/>
    <n v="1"/>
    <n v="0"/>
    <x v="0"/>
    <x v="0"/>
    <x v="14"/>
    <x v="26"/>
    <x v="9"/>
    <s v="FIFA FTI"/>
    <s v="50 Mbps – FTI"/>
  </r>
  <r>
    <s v="WRDFTI"/>
    <x v="13"/>
    <s v="Network &amp; Connectivity"/>
    <s v=""/>
    <s v="FIFA Technical FTI"/>
    <s v="Wired Port - FTI"/>
    <s v="WRDFTI - Wired Port - FTI (FIFA Technical FTI)"/>
    <n v="2"/>
    <n v="2"/>
    <n v="0"/>
    <n v="2"/>
    <n v="2"/>
    <n v="0"/>
    <x v="0"/>
    <x v="0"/>
    <x v="14"/>
    <x v="26"/>
    <x v="9"/>
    <s v="FIFA FTI"/>
    <s v="20 Mbps - Refereeing"/>
  </r>
  <r>
    <s v="IS00WF"/>
    <x v="1"/>
    <s v="Network &amp; Connectivity"/>
    <s v=""/>
    <s v="General Internet Access"/>
    <s v="Wireless coverage - Shared Internet Service - FIFA"/>
    <s v="IS00WF - Wireless coverage - Shared Internet Service - Wi-Fi FIFA (General Internet Access)"/>
    <n v="1"/>
    <n v="0"/>
    <n v="0"/>
    <n v="1"/>
    <n v="0"/>
    <n v="0"/>
    <x v="0"/>
    <x v="0"/>
    <x v="14"/>
    <x v="27"/>
    <x v="9"/>
    <s v="FIFA FTI"/>
    <s v="20 Mbps – FTI"/>
  </r>
  <r>
    <s v="WRDFTI"/>
    <x v="13"/>
    <s v="Network &amp; Connectivity"/>
    <s v=""/>
    <s v="FIFA Technical FTI"/>
    <s v="Wired Port - FTI"/>
    <s v="WRDFTI - Wired Port - FTI (FIFA Technical FTI)"/>
    <n v="1"/>
    <n v="1"/>
    <n v="0"/>
    <n v="1"/>
    <n v="1"/>
    <n v="0"/>
    <x v="0"/>
    <x v="0"/>
    <x v="14"/>
    <x v="27"/>
    <x v="9"/>
    <s v="FIFA FTI"/>
    <s v="50 Mbps – FTI"/>
  </r>
  <r>
    <s v="WRDFTI"/>
    <x v="13"/>
    <s v="Network &amp; Connectivity"/>
    <s v=""/>
    <s v="FIFA Technical FTI"/>
    <s v="Wired Port - FTI"/>
    <s v="WRDFTI - Wired Port - FTI (FIFA Technical FTI)"/>
    <n v="2"/>
    <n v="2"/>
    <n v="0"/>
    <n v="2"/>
    <n v="2"/>
    <n v="0"/>
    <x v="0"/>
    <x v="0"/>
    <x v="14"/>
    <x v="27"/>
    <x v="9"/>
    <s v="FIFA FTI"/>
    <s v="20 Mbps - Refereeing"/>
  </r>
  <r>
    <s v="IS00WF"/>
    <x v="1"/>
    <s v="Network &amp; Connectivity"/>
    <s v=""/>
    <s v="General Internet Access"/>
    <s v="Wireless coverage - Shared Internet Service - FIFA"/>
    <s v="IS00WF - Wireless coverage - Shared Internet Service - Wi-Fi FIFA (General Internet Access)"/>
    <n v="1"/>
    <n v="0"/>
    <n v="0"/>
    <n v="1"/>
    <n v="0"/>
    <n v="0"/>
    <x v="0"/>
    <x v="0"/>
    <x v="15"/>
    <x v="28"/>
    <x v="9"/>
    <s v="FIFA FTI"/>
    <s v="20 Mbps – FTI"/>
  </r>
  <r>
    <s v="WRDFTI"/>
    <x v="13"/>
    <s v="Network &amp; Connectivity"/>
    <s v=""/>
    <s v="FIFA Technical FTI"/>
    <s v="Wired Port - FTI"/>
    <s v="WRDFTI - Wired Port - FTI (FIFA Technical FTI)"/>
    <n v="1"/>
    <n v="1"/>
    <n v="0"/>
    <n v="1"/>
    <n v="1"/>
    <n v="0"/>
    <x v="0"/>
    <x v="0"/>
    <x v="15"/>
    <x v="28"/>
    <x v="9"/>
    <s v="FIFA FTI"/>
    <s v="50 Mbps – FTI"/>
  </r>
  <r>
    <s v="WRDFTI"/>
    <x v="13"/>
    <s v="Network &amp; Connectivity"/>
    <s v=""/>
    <s v="FIFA Technical FTI"/>
    <s v="Wired Port - FTI"/>
    <s v="WRDFTI - Wired Port - FTI (FIFA Technical FTI)"/>
    <n v="0"/>
    <n v="2"/>
    <n v="0"/>
    <n v="2"/>
    <n v="2"/>
    <n v="0"/>
    <x v="0"/>
    <x v="0"/>
    <x v="15"/>
    <x v="28"/>
    <x v="9"/>
    <s v="FIFA FTI"/>
    <s v="20 Mbps - Refereeing"/>
  </r>
  <r>
    <s v="PROJ6K"/>
    <x v="26"/>
    <s v="Display Devices"/>
    <s v=""/>
    <s v=""/>
    <s v="Office Projector - 6K"/>
    <s v="PROJ6K - Office Projector - 6K"/>
    <n v="1"/>
    <n v="0"/>
    <n v="0"/>
    <n v="1"/>
    <n v="0"/>
    <n v="0"/>
    <x v="0"/>
    <x v="0"/>
    <x v="21"/>
    <x v="24"/>
    <x v="9"/>
    <s v="FIFA FTI"/>
    <s v="or a large TV to cover 20 pax"/>
  </r>
  <r>
    <s v="TVLGIP"/>
    <x v="5"/>
    <s v="CATV"/>
    <s v=""/>
    <s v=""/>
    <s v="Large TV - CATV Feed"/>
    <s v="TVLGIP - TV - Large - IPTV"/>
    <n v="4"/>
    <n v="4"/>
    <n v="0"/>
    <n v="4"/>
    <n v="4"/>
    <n v="0"/>
    <x v="0"/>
    <x v="0"/>
    <x v="20"/>
    <x v="24"/>
    <x v="9"/>
    <s v="FIFA FTI"/>
    <s v="if it's possible to provide video signal with different feeds from different angles"/>
  </r>
  <r>
    <s v="TVSTND"/>
    <x v="6"/>
    <s v="Peripherals"/>
    <s v=""/>
    <s v=""/>
    <s v="TV Stand for medium and large TVs"/>
    <s v="TVSTND - TV Stand - Medium &amp; Large TVs"/>
    <n v="4"/>
    <n v="0"/>
    <n v="0"/>
    <n v="4"/>
    <n v="0"/>
    <n v="0"/>
    <x v="0"/>
    <x v="0"/>
    <x v="20"/>
    <x v="24"/>
    <x v="9"/>
    <s v="FIFA FTI"/>
    <m/>
  </r>
  <r>
    <s v="WRDFTI"/>
    <x v="13"/>
    <s v="Network &amp; Connectivity"/>
    <s v=""/>
    <s v="FIFA Technical FTI"/>
    <s v="Wired Port - FTI"/>
    <s v="WRDFTI - Wired Port - FTI (FIFA Technical FTI)"/>
    <n v="7"/>
    <n v="6"/>
    <n v="0"/>
    <n v="6"/>
    <n v="6"/>
    <n v="0"/>
    <x v="0"/>
    <x v="0"/>
    <x v="14"/>
    <x v="29"/>
    <x v="9"/>
    <s v="FIFA FTI"/>
    <s v="50 Mbps – Streaming provider_x000a_3 Main_x000a_3 Backup_x000a_2 different ISPs"/>
  </r>
  <r>
    <s v="WRDFTI"/>
    <x v="13"/>
    <s v="Network &amp; Connectivity"/>
    <s v=""/>
    <s v="FIFA Technical FTI"/>
    <s v="Wired Port - FTI"/>
    <s v="WRDFTI - Wired Port - FTI (FIFA Technical FTI)"/>
    <n v="0"/>
    <n v="1"/>
    <n v="0"/>
    <n v="1"/>
    <n v="1"/>
    <n v="0"/>
    <x v="0"/>
    <x v="0"/>
    <x v="14"/>
    <x v="29"/>
    <x v="9"/>
    <s v="FIFA FTI"/>
    <s v="100 Mbps – FVS provider"/>
  </r>
  <r>
    <s v="WRDFTI"/>
    <x v="13"/>
    <s v="Network &amp; Connectivity"/>
    <s v=""/>
    <s v="FIFA Technical FTI"/>
    <s v="Wired Port - FTI"/>
    <s v="WRDFTI - Wired Port - FTI (FIFA Technical FTI)"/>
    <n v="4"/>
    <n v="2"/>
    <n v="0"/>
    <n v="2"/>
    <n v="2"/>
    <n v="0"/>
    <x v="0"/>
    <x v="0"/>
    <x v="15"/>
    <x v="30"/>
    <x v="9"/>
    <s v="FIFA FTI"/>
    <s v="50 Mbps – Streaming provider_x000a_3 Main_x000a_3 Backup_x000a_2 different ISPs"/>
  </r>
  <r>
    <s v="WRDFTI"/>
    <x v="13"/>
    <s v="Network &amp; Connectivity"/>
    <s v=""/>
    <s v="FIFA Technical FTI"/>
    <s v="Wired Port - FTI"/>
    <s v="WRDFTI - Wired Port - FTI (FIFA Technical FTI)"/>
    <n v="0"/>
    <n v="1"/>
    <n v="0"/>
    <n v="1"/>
    <n v="1"/>
    <n v="0"/>
    <x v="0"/>
    <x v="0"/>
    <x v="15"/>
    <x v="30"/>
    <x v="9"/>
    <s v="FIFA FTI"/>
    <s v="100 Mbps – FVS provider"/>
  </r>
  <r>
    <s v="WRDTSG"/>
    <x v="27"/>
    <s v="Network &amp; Connectivity"/>
    <s v=""/>
    <s v="FIFA Technical TSG"/>
    <s v="Wired Port - TSG"/>
    <s v="WRDTSG - Wired Port - TSG (FIFA Technical TSG)"/>
    <n v="1"/>
    <n v="1"/>
    <n v="0"/>
    <n v="1"/>
    <n v="1"/>
    <n v="0"/>
    <x v="0"/>
    <x v="0"/>
    <x v="20"/>
    <x v="24"/>
    <x v="9"/>
    <s v="FIFA FTI"/>
    <s v="Internet speed 350Mb"/>
  </r>
  <r>
    <s v="IS00WF"/>
    <x v="1"/>
    <s v="Network &amp; Connectivity"/>
    <s v=""/>
    <s v="General Internet Access"/>
    <s v="Wireless coverage - Shared Internet Service - FIFA"/>
    <s v="IS00WF - Wireless coverage - Shared Internet Service - Wi-Fi FIFA (General Internet Access)"/>
    <n v="1"/>
    <n v="0"/>
    <n v="0"/>
    <n v="1"/>
    <n v="0"/>
    <n v="0"/>
    <x v="0"/>
    <x v="1"/>
    <x v="11"/>
    <x v="31"/>
    <x v="9"/>
    <s v="FIFA FTI"/>
    <s v="at BC in the stadium"/>
  </r>
  <r>
    <s v="WRDFTI"/>
    <x v="13"/>
    <s v="Network &amp; Connectivity"/>
    <s v=""/>
    <s v="FIFA Technical FTI"/>
    <s v="Wired Port - FTI"/>
    <s v="WRDFTI - Wired Port - FTI (FIFA Technical FTI)"/>
    <n v="2"/>
    <n v="2"/>
    <n v="0"/>
    <n v="2"/>
    <n v="2"/>
    <n v="0"/>
    <x v="0"/>
    <x v="1"/>
    <x v="11"/>
    <x v="32"/>
    <x v="9"/>
    <s v="FIFA FTI"/>
    <s v="at BC in the stadium (2 x 25Mb) _x000a_1 Main_x000a_1 Backup_x000a_2 different ISPs"/>
  </r>
  <r>
    <s v="WRDFTI"/>
    <x v="13"/>
    <s v="Network &amp; Connectivity"/>
    <s v=""/>
    <s v="FIFA Technical FTI"/>
    <s v="Wired Port - FTI"/>
    <s v="WRDFTI - Wired Port - FTI (FIFA Technical FTI)"/>
    <n v="1"/>
    <n v="1"/>
    <n v="0"/>
    <n v="1"/>
    <n v="1"/>
    <n v="0"/>
    <x v="0"/>
    <x v="1"/>
    <x v="11"/>
    <x v="32"/>
    <x v="9"/>
    <s v="FIFA FTI"/>
    <s v="at BC in the stadium (100 Mb)"/>
  </r>
  <r>
    <s v="WRDFTI"/>
    <x v="13"/>
    <s v="Network &amp; Connectivity"/>
    <s v=""/>
    <s v="FIFA Technical FTI"/>
    <s v="Wired Port - FTI"/>
    <s v="WRDFTI - Wired Port - FTI (FIFA Technical FTI)"/>
    <n v="1"/>
    <n v="1"/>
    <n v="0"/>
    <n v="1"/>
    <n v="1"/>
    <n v="0"/>
    <x v="0"/>
    <x v="1"/>
    <x v="11"/>
    <x v="31"/>
    <x v="9"/>
    <s v="FIFA FTI"/>
    <s v="at BC in the stadium 50 Mbps – FTI"/>
  </r>
  <r>
    <s v="WRDFTI"/>
    <x v="13"/>
    <s v="Network &amp; Connectivity"/>
    <s v=""/>
    <s v="FIFA Technical FTI"/>
    <s v="Wired Port - FTI"/>
    <s v="WRDFTI - Wired Port - FTI (FIFA Technical FTI)"/>
    <n v="1"/>
    <n v="1"/>
    <n v="0"/>
    <n v="1"/>
    <n v="1"/>
    <n v="0"/>
    <x v="0"/>
    <x v="1"/>
    <x v="11"/>
    <x v="31"/>
    <x v="9"/>
    <s v="FIFA FTI"/>
    <s v="at BC in the stadium 20 Mbps - Refereeing"/>
  </r>
  <r>
    <s v="WRDTSG"/>
    <x v="27"/>
    <s v="Network &amp; Connectivity"/>
    <s v=""/>
    <s v="FIFA Technical TSG"/>
    <s v="Wired Port - TSG"/>
    <s v="WRDTSG - Wired Port - TSG (FIFA Technical TSG)"/>
    <n v="8"/>
    <n v="8"/>
    <n v="0"/>
    <n v="8"/>
    <n v="8"/>
    <n v="0"/>
    <x v="0"/>
    <x v="1"/>
    <x v="17"/>
    <x v="24"/>
    <x v="9"/>
    <s v="FIFA FTI"/>
    <s v="Location TBC: MT"/>
  </r>
  <r>
    <s v="IS00VP"/>
    <x v="28"/>
    <s v="Network &amp; Connectivity"/>
    <s v=""/>
    <s v="General Internet Access"/>
    <s v="Wireless coverage - Shared Internet Service - VIP"/>
    <s v="IS00VP - Wireless coverage - Shared Internet Service - Wi-Fi VIP (General Internet Access)"/>
    <n v="1"/>
    <n v="0"/>
    <n v="0"/>
    <n v="1"/>
    <n v="0"/>
    <n v="0"/>
    <x v="0"/>
    <x v="0"/>
    <x v="13"/>
    <x v="33"/>
    <x v="10"/>
    <s v="FIFA Guest Operations"/>
    <m/>
  </r>
  <r>
    <s v="IS00WF"/>
    <x v="1"/>
    <s v="Network &amp; Connectivity"/>
    <s v=""/>
    <s v="General Internet Access"/>
    <s v="Wireless coverage - Shared Internet Service - FIFA"/>
    <s v="IS00WF - Wireless coverage - Shared Internet Service - Wi-Fi FIFA (General Internet Access)"/>
    <n v="1"/>
    <n v="0"/>
    <n v="0"/>
    <n v="1"/>
    <n v="0"/>
    <n v="0"/>
    <x v="0"/>
    <x v="0"/>
    <x v="13"/>
    <x v="34"/>
    <x v="10"/>
    <s v="FIFA Guest Operations"/>
    <m/>
  </r>
  <r>
    <s v="MFDDNW"/>
    <x v="2"/>
    <s v="Reprographics"/>
    <s v=""/>
    <s v="General Internet Access"/>
    <s v="Colour Printer / Scanner (A4)"/>
    <s v="MFDDNW - MFD Desktop - Colour - A4 - Network (General Internet Access)"/>
    <n v="1"/>
    <n v="1"/>
    <n v="0"/>
    <n v="1"/>
    <n v="1"/>
    <n v="0"/>
    <x v="0"/>
    <x v="0"/>
    <x v="13"/>
    <x v="34"/>
    <x v="10"/>
    <s v="FIFA Guest Operations"/>
    <m/>
  </r>
  <r>
    <s v="TVLGIP"/>
    <x v="5"/>
    <s v="CATV"/>
    <s v=""/>
    <s v=""/>
    <s v="Large TV - CATV Feed"/>
    <s v="TVLGIP - TV - Large - IPTV"/>
    <n v="4"/>
    <n v="4"/>
    <n v="0"/>
    <n v="4"/>
    <n v="4"/>
    <n v="0"/>
    <x v="0"/>
    <x v="0"/>
    <x v="13"/>
    <x v="33"/>
    <x v="10"/>
    <s v="FIFA Guest Operations"/>
    <m/>
  </r>
  <r>
    <s v="TVSTND"/>
    <x v="6"/>
    <s v="Peripherals"/>
    <s v=""/>
    <s v=""/>
    <s v="TV Stand for medium and large TVs"/>
    <s v="TVSTND - TV Stand - Medium &amp; Large TVs"/>
    <n v="4"/>
    <n v="0"/>
    <n v="0"/>
    <n v="4"/>
    <n v="0"/>
    <n v="0"/>
    <x v="0"/>
    <x v="0"/>
    <x v="13"/>
    <x v="33"/>
    <x v="10"/>
    <s v="FIFA Guest Operations"/>
    <m/>
  </r>
  <r>
    <s v="IS00VP"/>
    <x v="28"/>
    <s v="Network &amp; Connectivity"/>
    <s v=""/>
    <s v="General Internet Access"/>
    <s v="Wireless coverage - Shared Internet Service - VIP"/>
    <s v="IS00VP - Wireless coverage - Shared Internet Service - Wi-Fi VIP (General Internet Access)"/>
    <n v="1"/>
    <n v="0"/>
    <n v="0"/>
    <n v="1"/>
    <n v="0"/>
    <n v="0"/>
    <x v="0"/>
    <x v="1"/>
    <x v="22"/>
    <x v="33"/>
    <x v="10"/>
    <s v="FIFA Guest Operations"/>
    <m/>
  </r>
  <r>
    <s v="IS00WF"/>
    <x v="1"/>
    <s v="Network &amp; Connectivity"/>
    <s v=""/>
    <s v="General Internet Access"/>
    <s v="Wireless coverage - Shared Internet Service - FIFA"/>
    <s v="IS00WF - Wireless coverage - Shared Internet Service - Wi-Fi FIFA (General Internet Access)"/>
    <n v="1"/>
    <n v="0"/>
    <n v="0"/>
    <n v="1"/>
    <n v="0"/>
    <n v="0"/>
    <x v="0"/>
    <x v="1"/>
    <x v="22"/>
    <x v="34"/>
    <x v="10"/>
    <s v="FIFA Guest Operations"/>
    <m/>
  </r>
  <r>
    <s v="MFDDNW"/>
    <x v="2"/>
    <s v="Reprographics"/>
    <s v=""/>
    <s v="General Internet Access"/>
    <s v="Colour Printer / Scanner (A4)"/>
    <s v="MFDDNW - MFD Desktop - Colour - A4 - Network (General Internet Access)"/>
    <n v="1"/>
    <n v="1"/>
    <n v="0"/>
    <n v="1"/>
    <n v="1"/>
    <n v="0"/>
    <x v="0"/>
    <x v="1"/>
    <x v="22"/>
    <x v="34"/>
    <x v="10"/>
    <s v="FIFA Guest Operations"/>
    <m/>
  </r>
  <r>
    <s v="TVLGIP"/>
    <x v="5"/>
    <s v="CATV"/>
    <s v=""/>
    <s v=""/>
    <s v="Large TV - CATV Feed"/>
    <s v="TVLGIP - TV - Large - IPTV"/>
    <n v="2"/>
    <n v="2"/>
    <n v="0"/>
    <n v="2"/>
    <n v="2"/>
    <n v="0"/>
    <x v="0"/>
    <x v="1"/>
    <x v="22"/>
    <x v="33"/>
    <x v="10"/>
    <s v="FIFA Guest Operations"/>
    <m/>
  </r>
  <r>
    <s v="TVSTND"/>
    <x v="6"/>
    <s v="Peripherals"/>
    <s v=""/>
    <s v=""/>
    <s v="TV Stand for medium and large TVs"/>
    <s v="TVSTND - TV Stand - Medium &amp; Large TVs"/>
    <n v="2"/>
    <n v="0"/>
    <n v="0"/>
    <n v="2"/>
    <n v="0"/>
    <n v="0"/>
    <x v="0"/>
    <x v="1"/>
    <x v="22"/>
    <x v="33"/>
    <x v="10"/>
    <s v="FIFA Guest Operations"/>
    <m/>
  </r>
  <r>
    <s v="CABLOK"/>
    <x v="10"/>
    <s v="Peripherals"/>
    <s v="Multi"/>
    <s v=""/>
    <s v="Laptop Cable Lock"/>
    <s v="CABLOK - Laptop Cable Lock"/>
    <n v="1"/>
    <n v="0"/>
    <n v="0"/>
    <n v="1"/>
    <n v="0"/>
    <n v="0"/>
    <x v="1"/>
    <x v="0"/>
    <x v="23"/>
    <x v="14"/>
    <x v="11"/>
    <s v="FIFA Media"/>
    <m/>
  </r>
  <r>
    <s v="IS00WM"/>
    <x v="29"/>
    <s v="Network &amp; Connectivity"/>
    <s v=""/>
    <s v="Media Internet Access"/>
    <s v="Wireless coverage - Internet Service - Media"/>
    <s v="IS00WM - Wireless coverage - Internet Service - Wi-Fi Media (Media Internet Access)"/>
    <n v="1"/>
    <n v="0"/>
    <n v="0"/>
    <n v="1"/>
    <n v="0"/>
    <n v="0"/>
    <x v="0"/>
    <x v="0"/>
    <x v="23"/>
    <x v="14"/>
    <x v="11"/>
    <s v="FIFA Media"/>
    <s v="for 100pax"/>
  </r>
  <r>
    <s v="IS00WM"/>
    <x v="29"/>
    <s v="Network &amp; Connectivity"/>
    <s v=""/>
    <s v="Media Internet Access"/>
    <s v="Wireless coverage - Internet Service - Media"/>
    <s v="IS00WM - Wireless coverage - Internet Service - Wi-Fi Media (Media Internet Access)"/>
    <n v="1"/>
    <n v="0"/>
    <n v="0"/>
    <n v="1"/>
    <n v="0"/>
    <n v="0"/>
    <x v="0"/>
    <x v="0"/>
    <x v="17"/>
    <x v="35"/>
    <x v="11"/>
    <s v="FIFA Media"/>
    <s v="Local Press"/>
  </r>
  <r>
    <s v="IS00WM"/>
    <x v="29"/>
    <s v="Network &amp; Connectivity"/>
    <s v=""/>
    <s v="Media Internet Access"/>
    <s v="Wireless coverage - Internet Service - Media"/>
    <s v="IS00WM - Wireless coverage - Internet Service - Wi-Fi Media (Media Internet Access)"/>
    <n v="1"/>
    <n v="0"/>
    <n v="0"/>
    <n v="1"/>
    <n v="0"/>
    <n v="0"/>
    <x v="0"/>
    <x v="0"/>
    <x v="9"/>
    <x v="36"/>
    <x v="11"/>
    <s v="FIFA Media"/>
    <m/>
  </r>
  <r>
    <s v="IS00WM"/>
    <x v="29"/>
    <s v="Network &amp; Connectivity"/>
    <s v=""/>
    <s v="Media Internet Access"/>
    <s v="Wireless coverage - Internet Service - Media"/>
    <s v="IS00WM - Wireless coverage - Internet Service - Wi-Fi Media (Media Internet Access)"/>
    <n v="1"/>
    <n v="0"/>
    <n v="0"/>
    <n v="1"/>
    <n v="0"/>
    <n v="0"/>
    <x v="0"/>
    <x v="0"/>
    <x v="9"/>
    <x v="37"/>
    <x v="11"/>
    <s v="FIFA Media"/>
    <m/>
  </r>
  <r>
    <s v="IS00WM"/>
    <x v="29"/>
    <s v="Network &amp; Connectivity"/>
    <s v=""/>
    <s v="Media Internet Access"/>
    <s v="Wireless coverage - Internet Service - Media"/>
    <s v="IS00WM - Wireless coverage - Internet Service - Wi-Fi Media (Media Internet Access)"/>
    <n v="1"/>
    <n v="0"/>
    <n v="0"/>
    <n v="1"/>
    <n v="0"/>
    <n v="0"/>
    <x v="0"/>
    <x v="0"/>
    <x v="0"/>
    <x v="38"/>
    <x v="11"/>
    <s v="FIFA Media"/>
    <m/>
  </r>
  <r>
    <s v="IS00WM"/>
    <x v="29"/>
    <s v="Network &amp; Connectivity"/>
    <s v=""/>
    <s v="Media Internet Access"/>
    <s v="Wireless coverage - Internet Service - Media"/>
    <s v="IS00WM - Wireless coverage - Internet Service - Wi-Fi Media (Media Internet Access)"/>
    <n v="1"/>
    <n v="0"/>
    <n v="0"/>
    <n v="1"/>
    <n v="0"/>
    <n v="0"/>
    <x v="0"/>
    <x v="0"/>
    <x v="0"/>
    <x v="39"/>
    <x v="11"/>
    <s v="FIFA Media"/>
    <m/>
  </r>
  <r>
    <s v="IS00WM"/>
    <x v="29"/>
    <s v="Network &amp; Connectivity"/>
    <s v=""/>
    <s v="Media Internet Access"/>
    <s v="Wireless coverage - Internet Service - Media"/>
    <s v="IS00WM - Wireless coverage - Internet Service - Wi-Fi Media (Media Internet Access)"/>
    <n v="1"/>
    <n v="0"/>
    <n v="0"/>
    <n v="1"/>
    <n v="0"/>
    <n v="0"/>
    <x v="0"/>
    <x v="0"/>
    <x v="1"/>
    <x v="38"/>
    <x v="11"/>
    <s v="FIFA Media"/>
    <m/>
  </r>
  <r>
    <s v="IS00WM"/>
    <x v="29"/>
    <s v="Network &amp; Connectivity"/>
    <s v=""/>
    <s v="Media Internet Access"/>
    <s v="Wireless coverage - Internet Service - Media"/>
    <s v="IS00WM - Wireless coverage - Internet Service - Wi-Fi Media (Media Internet Access)"/>
    <n v="1"/>
    <n v="0"/>
    <n v="0"/>
    <n v="1"/>
    <n v="0"/>
    <n v="0"/>
    <x v="0"/>
    <x v="0"/>
    <x v="1"/>
    <x v="39"/>
    <x v="11"/>
    <s v="FIFA Media"/>
    <m/>
  </r>
  <r>
    <s v="IS00WM"/>
    <x v="29"/>
    <s v="Network &amp; Connectivity"/>
    <s v=""/>
    <s v="Media Internet Access"/>
    <s v="Wireless coverage - Internet Service - Media"/>
    <s v="IS00WM - Wireless coverage - Internet Service - Wi-Fi Media (Media Internet Access)"/>
    <n v="1"/>
    <n v="0"/>
    <n v="0"/>
    <n v="1"/>
    <n v="0"/>
    <n v="0"/>
    <x v="0"/>
    <x v="0"/>
    <x v="2"/>
    <x v="38"/>
    <x v="11"/>
    <s v="FIFA Media"/>
    <m/>
  </r>
  <r>
    <s v="IS00WM"/>
    <x v="29"/>
    <s v="Network &amp; Connectivity"/>
    <s v=""/>
    <s v="Media Internet Access"/>
    <s v="Wireless coverage - Internet Service - Media"/>
    <s v="IS00WM - Wireless coverage - Internet Service - Wi-Fi Media (Media Internet Access)"/>
    <n v="1"/>
    <n v="0"/>
    <n v="0"/>
    <n v="1"/>
    <n v="0"/>
    <n v="0"/>
    <x v="0"/>
    <x v="0"/>
    <x v="2"/>
    <x v="39"/>
    <x v="11"/>
    <s v="FIFA Media"/>
    <m/>
  </r>
  <r>
    <s v="IS00WM"/>
    <x v="29"/>
    <s v="Network &amp; Connectivity"/>
    <s v=""/>
    <s v="Media Internet Access"/>
    <s v="Wireless coverage - Internet Service - Media"/>
    <s v="IS00WM - Wireless coverage - Internet Service - Wi-Fi Media (Media Internet Access)"/>
    <n v="1"/>
    <n v="0"/>
    <n v="0"/>
    <n v="1"/>
    <n v="0"/>
    <n v="0"/>
    <x v="0"/>
    <x v="0"/>
    <x v="3"/>
    <x v="38"/>
    <x v="11"/>
    <s v="FIFA Media"/>
    <m/>
  </r>
  <r>
    <s v="IS00WM"/>
    <x v="29"/>
    <s v="Network &amp; Connectivity"/>
    <s v=""/>
    <s v="Media Internet Access"/>
    <s v="Wireless coverage - Internet Service - Media"/>
    <s v="IS00WM - Wireless coverage - Internet Service - Wi-Fi Media (Media Internet Access)"/>
    <n v="1"/>
    <n v="0"/>
    <n v="0"/>
    <n v="1"/>
    <n v="0"/>
    <n v="0"/>
    <x v="0"/>
    <x v="0"/>
    <x v="3"/>
    <x v="39"/>
    <x v="11"/>
    <s v="FIFA Media"/>
    <m/>
  </r>
  <r>
    <s v="IS00WM"/>
    <x v="29"/>
    <s v="Network &amp; Connectivity"/>
    <s v=""/>
    <s v="Media Internet Access"/>
    <s v="Wireless coverage - Internet Service - Media"/>
    <s v="IS00WM - Wireless coverage - Internet Service - Wi-Fi Media (Media Internet Access)"/>
    <n v="1"/>
    <n v="0"/>
    <n v="0"/>
    <n v="1"/>
    <n v="0"/>
    <n v="0"/>
    <x v="0"/>
    <x v="0"/>
    <x v="4"/>
    <x v="38"/>
    <x v="11"/>
    <s v="FIFA Media"/>
    <m/>
  </r>
  <r>
    <s v="IS00WM"/>
    <x v="29"/>
    <s v="Network &amp; Connectivity"/>
    <s v=""/>
    <s v="Media Internet Access"/>
    <s v="Wireless coverage - Internet Service - Media"/>
    <s v="IS00WM - Wireless coverage - Internet Service - Wi-Fi Media (Media Internet Access)"/>
    <n v="1"/>
    <n v="0"/>
    <n v="0"/>
    <n v="1"/>
    <n v="0"/>
    <n v="0"/>
    <x v="0"/>
    <x v="0"/>
    <x v="4"/>
    <x v="39"/>
    <x v="11"/>
    <s v="FIFA Media"/>
    <m/>
  </r>
  <r>
    <s v="IS00WM"/>
    <x v="29"/>
    <s v="Network &amp; Connectivity"/>
    <s v=""/>
    <s v="Media Internet Access"/>
    <s v="Wireless coverage - Internet Service - Media"/>
    <s v="IS00WM - Wireless coverage - Internet Service - Wi-Fi Media (Media Internet Access)"/>
    <n v="1"/>
    <n v="0"/>
    <n v="0"/>
    <n v="1"/>
    <n v="0"/>
    <n v="0"/>
    <x v="0"/>
    <x v="0"/>
    <x v="5"/>
    <x v="38"/>
    <x v="11"/>
    <s v="FIFA Media"/>
    <m/>
  </r>
  <r>
    <s v="IS00WM"/>
    <x v="29"/>
    <s v="Network &amp; Connectivity"/>
    <s v=""/>
    <s v="Media Internet Access"/>
    <s v="Wireless coverage - Internet Service - Media"/>
    <s v="IS00WM - Wireless coverage - Internet Service - Wi-Fi Media (Media Internet Access)"/>
    <n v="1"/>
    <n v="0"/>
    <n v="0"/>
    <n v="1"/>
    <n v="0"/>
    <n v="0"/>
    <x v="0"/>
    <x v="0"/>
    <x v="5"/>
    <x v="39"/>
    <x v="11"/>
    <s v="FIFA Media"/>
    <m/>
  </r>
  <r>
    <s v="IS00WM"/>
    <x v="29"/>
    <s v="Network &amp; Connectivity"/>
    <s v=""/>
    <s v="Media Internet Access"/>
    <s v="Wireless coverage - Internet Service - Media"/>
    <s v="IS00WM - Wireless coverage - Internet Service - Wi-Fi Media (Media Internet Access)"/>
    <n v="1"/>
    <n v="0"/>
    <n v="0"/>
    <n v="1"/>
    <n v="0"/>
    <n v="0"/>
    <x v="0"/>
    <x v="0"/>
    <x v="6"/>
    <x v="38"/>
    <x v="11"/>
    <s v="FIFA Media"/>
    <m/>
  </r>
  <r>
    <s v="IS00WM"/>
    <x v="29"/>
    <s v="Network &amp; Connectivity"/>
    <s v=""/>
    <s v="Media Internet Access"/>
    <s v="Wireless coverage - Internet Service - Media"/>
    <s v="IS00WM - Wireless coverage - Internet Service - Wi-Fi Media (Media Internet Access)"/>
    <n v="1"/>
    <n v="0"/>
    <n v="0"/>
    <n v="1"/>
    <n v="0"/>
    <n v="0"/>
    <x v="0"/>
    <x v="0"/>
    <x v="6"/>
    <x v="39"/>
    <x v="11"/>
    <s v="FIFA Media"/>
    <m/>
  </r>
  <r>
    <s v="IS00WM"/>
    <x v="29"/>
    <s v="Network &amp; Connectivity"/>
    <s v=""/>
    <s v="Media Internet Access"/>
    <s v="Wireless coverage - Internet Service - Media"/>
    <s v="IS00WM - Wireless coverage - Internet Service - Wi-Fi Media (Media Internet Access)"/>
    <n v="1"/>
    <n v="0"/>
    <n v="0"/>
    <n v="1"/>
    <n v="0"/>
    <n v="0"/>
    <x v="0"/>
    <x v="0"/>
    <x v="7"/>
    <x v="38"/>
    <x v="11"/>
    <s v="FIFA Media"/>
    <m/>
  </r>
  <r>
    <s v="IS00WM"/>
    <x v="29"/>
    <s v="Network &amp; Connectivity"/>
    <s v=""/>
    <s v="Media Internet Access"/>
    <s v="Wireless coverage - Internet Service - Media"/>
    <s v="IS00WM - Wireless coverage - Internet Service - Wi-Fi Media (Media Internet Access)"/>
    <n v="1"/>
    <n v="0"/>
    <n v="0"/>
    <n v="1"/>
    <n v="0"/>
    <n v="0"/>
    <x v="0"/>
    <x v="0"/>
    <x v="7"/>
    <x v="39"/>
    <x v="11"/>
    <s v="FIFA Media"/>
    <m/>
  </r>
  <r>
    <s v="IS00WM"/>
    <x v="29"/>
    <s v="Network &amp; Connectivity"/>
    <s v=""/>
    <s v="Media Internet Access"/>
    <s v="Wireless coverage - Internet Service - Media"/>
    <s v="IS00WM - Wireless coverage - Internet Service - Wi-Fi Media (Media Internet Access)"/>
    <n v="1"/>
    <n v="0"/>
    <n v="0"/>
    <n v="1"/>
    <n v="0"/>
    <n v="0"/>
    <x v="0"/>
    <x v="0"/>
    <x v="18"/>
    <x v="40"/>
    <x v="11"/>
    <s v="FIFA Media"/>
    <m/>
  </r>
  <r>
    <s v="IS00WM"/>
    <x v="29"/>
    <s v="Network &amp; Connectivity"/>
    <s v=""/>
    <s v="Media Internet Access"/>
    <s v="Wireless coverage - Internet Service - Media"/>
    <s v="IS00WM - Wireless coverage - Internet Service - Wi-Fi Media (Media Internet Access)"/>
    <n v="1"/>
    <n v="0"/>
    <n v="0"/>
    <n v="1"/>
    <n v="0"/>
    <n v="0"/>
    <x v="0"/>
    <x v="0"/>
    <x v="18"/>
    <x v="41"/>
    <x v="11"/>
    <s v="FIFA Media"/>
    <m/>
  </r>
  <r>
    <s v="LAPEVT"/>
    <x v="17"/>
    <s v="FIFA IT Hardware"/>
    <s v="Single"/>
    <s v=""/>
    <s v="FIFA Laptop"/>
    <s v="LAPEVT - Laptop - FIFA Event Build"/>
    <n v="1"/>
    <n v="0"/>
    <n v="0"/>
    <n v="1"/>
    <n v="0"/>
    <n v="0"/>
    <x v="1"/>
    <x v="0"/>
    <x v="23"/>
    <x v="14"/>
    <x v="11"/>
    <s v="FIFA Media"/>
    <m/>
  </r>
  <r>
    <s v="TVLGIP"/>
    <x v="5"/>
    <s v="CATV"/>
    <s v=""/>
    <s v=""/>
    <s v="Large TV - CATV Feed"/>
    <s v="TVLGIP - TV - Large - IPTV"/>
    <n v="2"/>
    <n v="2"/>
    <n v="0"/>
    <n v="2"/>
    <n v="2"/>
    <n v="0"/>
    <x v="0"/>
    <x v="0"/>
    <x v="23"/>
    <x v="14"/>
    <x v="11"/>
    <s v="FIFA Media"/>
    <m/>
  </r>
  <r>
    <s v="TVSTND"/>
    <x v="6"/>
    <s v="Peripherals"/>
    <s v=""/>
    <s v=""/>
    <s v="TV Stand for medium and large TVs"/>
    <s v="TVSTND - TV Stand - Medium &amp; Large TVs"/>
    <n v="2"/>
    <n v="0"/>
    <n v="0"/>
    <n v="2"/>
    <n v="0"/>
    <n v="0"/>
    <x v="0"/>
    <x v="0"/>
    <x v="23"/>
    <x v="14"/>
    <x v="11"/>
    <s v="FIFA Media"/>
    <m/>
  </r>
  <r>
    <s v="WRDMED"/>
    <x v="3"/>
    <s v="Network &amp; Connectivity"/>
    <s v=""/>
    <s v="Media Internet Access Media"/>
    <s v="Wired Port - Internet for Media"/>
    <s v="WRDMED - Wired Port - Media Internet (Media Internet Access Media)"/>
    <n v="5"/>
    <n v="5"/>
    <n v="0"/>
    <n v="5"/>
    <n v="5"/>
    <n v="0"/>
    <x v="0"/>
    <x v="0"/>
    <x v="23"/>
    <x v="14"/>
    <x v="11"/>
    <s v="FIFA Media"/>
    <m/>
  </r>
  <r>
    <s v="AUDUSB"/>
    <x v="30"/>
    <s v="Audio"/>
    <s v=""/>
    <s v=""/>
    <s v="Audio transformer SDI to USB"/>
    <s v="AUDUSB - Audio transformer SDI to USB"/>
    <n v="1"/>
    <n v="0"/>
    <n v="0"/>
    <n v="1"/>
    <n v="0"/>
    <n v="0"/>
    <x v="1"/>
    <x v="1"/>
    <x v="19"/>
    <x v="22"/>
    <x v="11"/>
    <s v="FIFA Media"/>
    <m/>
  </r>
  <r>
    <s v="CABLOK"/>
    <x v="10"/>
    <s v="Peripherals"/>
    <s v="Multi"/>
    <s v=""/>
    <s v="Laptop Cable Lock"/>
    <s v="CABLOK - Laptop Cable Lock"/>
    <n v="1"/>
    <n v="0"/>
    <n v="0"/>
    <n v="1"/>
    <n v="0"/>
    <n v="0"/>
    <x v="1"/>
    <x v="1"/>
    <x v="23"/>
    <x v="42"/>
    <x v="11"/>
    <s v="FIFA Media"/>
    <m/>
  </r>
  <r>
    <s v="CABLOK"/>
    <x v="10"/>
    <s v="Peripherals"/>
    <s v="Multi"/>
    <s v=""/>
    <s v="Laptop Cable Lock"/>
    <s v="CABLOK - Laptop Cable Lock"/>
    <n v="2"/>
    <n v="0"/>
    <n v="0"/>
    <n v="2"/>
    <n v="0"/>
    <n v="0"/>
    <x v="1"/>
    <x v="1"/>
    <x v="19"/>
    <x v="22"/>
    <x v="11"/>
    <s v="FIFA Media"/>
    <m/>
  </r>
  <r>
    <s v="CAM001"/>
    <x v="31"/>
    <s v="Peripherals"/>
    <s v="Multi"/>
    <s v=""/>
    <s v="Webcam"/>
    <s v="CAM001 - Webcam"/>
    <n v="1"/>
    <n v="0"/>
    <n v="0"/>
    <n v="1"/>
    <n v="0"/>
    <n v="0"/>
    <x v="1"/>
    <x v="1"/>
    <x v="19"/>
    <x v="22"/>
    <x v="11"/>
    <s v="FIFA Media"/>
    <s v="4K"/>
  </r>
  <r>
    <s v="IS00WM"/>
    <x v="29"/>
    <s v="Network &amp; Connectivity"/>
    <s v=""/>
    <s v="Media Internet Access"/>
    <s v="Wireless coverage - Internet Service - Media"/>
    <s v="IS00WM - Wireless coverage - Internet Service - Wi-Fi Media (Media Internet Access)"/>
    <n v="1"/>
    <n v="0"/>
    <n v="0"/>
    <n v="1"/>
    <n v="0"/>
    <n v="0"/>
    <x v="0"/>
    <x v="1"/>
    <x v="23"/>
    <x v="43"/>
    <x v="11"/>
    <s v="FIFA Media"/>
    <m/>
  </r>
  <r>
    <s v="IS00WM"/>
    <x v="29"/>
    <s v="Network &amp; Connectivity"/>
    <s v=""/>
    <s v="Media Internet Access"/>
    <s v="Wireless coverage - Internet Service - Media"/>
    <s v="IS00WM - Wireless coverage - Internet Service - Wi-Fi Media (Media Internet Access)"/>
    <n v="1"/>
    <n v="0"/>
    <n v="0"/>
    <n v="1"/>
    <n v="0"/>
    <n v="0"/>
    <x v="0"/>
    <x v="1"/>
    <x v="24"/>
    <x v="44"/>
    <x v="11"/>
    <s v="FIFA Media"/>
    <m/>
  </r>
  <r>
    <s v="IS00WM"/>
    <x v="29"/>
    <s v="Network &amp; Connectivity"/>
    <s v=""/>
    <s v="Media Internet Access"/>
    <s v="Wireless coverage - Internet Service - Media"/>
    <s v="IS00WM - Wireless coverage - Internet Service - Wi-Fi Media (Media Internet Access)"/>
    <n v="1"/>
    <n v="0"/>
    <n v="0"/>
    <n v="1"/>
    <n v="0"/>
    <n v="0"/>
    <x v="0"/>
    <x v="1"/>
    <x v="23"/>
    <x v="45"/>
    <x v="11"/>
    <s v="FIFA Media"/>
    <m/>
  </r>
  <r>
    <s v="IS00WM"/>
    <x v="29"/>
    <s v="Network &amp; Connectivity"/>
    <s v=""/>
    <s v="Media Internet Access"/>
    <s v="Wireless coverage - Internet Service - Media"/>
    <s v="IS00WM - Wireless coverage - Internet Service - Wi-Fi Media (Media Internet Access)"/>
    <n v="1"/>
    <n v="0"/>
    <n v="0"/>
    <n v="1"/>
    <n v="0"/>
    <n v="0"/>
    <x v="0"/>
    <x v="1"/>
    <x v="17"/>
    <x v="35"/>
    <x v="11"/>
    <s v="FIFA Media"/>
    <s v="Local Press+International TBC / for 60pax"/>
  </r>
  <r>
    <s v="IS00WM"/>
    <x v="29"/>
    <s v="Network &amp; Connectivity"/>
    <s v=""/>
    <s v="Media Internet Access"/>
    <s v="Wireless coverage - Internet Service - Media"/>
    <s v="IS00WM - Wireless coverage - Internet Service - Wi-Fi Media (Media Internet Access)"/>
    <n v="1"/>
    <n v="0"/>
    <n v="0"/>
    <n v="1"/>
    <n v="0"/>
    <n v="0"/>
    <x v="0"/>
    <x v="1"/>
    <x v="23"/>
    <x v="42"/>
    <x v="11"/>
    <s v="FIFA Media"/>
    <m/>
  </r>
  <r>
    <s v="IS00WM"/>
    <x v="29"/>
    <s v="Network &amp; Connectivity"/>
    <s v=""/>
    <s v="Media Internet Access"/>
    <s v="Wireless coverage - Internet Service - Media"/>
    <s v="IS00WM - Wireless coverage - Internet Service - Wi-Fi Media (Media Internet Access)"/>
    <n v="1"/>
    <n v="0"/>
    <n v="0"/>
    <n v="1"/>
    <n v="0"/>
    <n v="0"/>
    <x v="0"/>
    <x v="1"/>
    <x v="18"/>
    <x v="36"/>
    <x v="11"/>
    <s v="FIFA Media"/>
    <m/>
  </r>
  <r>
    <s v="IS00WM"/>
    <x v="29"/>
    <s v="Network &amp; Connectivity"/>
    <s v=""/>
    <s v="Media Internet Access"/>
    <s v="Wireless coverage - Internet Service - Media"/>
    <s v="IS00WM - Wireless coverage - Internet Service - Wi-Fi Media (Media Internet Access)"/>
    <n v="1"/>
    <n v="0"/>
    <n v="0"/>
    <n v="1"/>
    <n v="0"/>
    <n v="0"/>
    <x v="0"/>
    <x v="1"/>
    <x v="18"/>
    <x v="37"/>
    <x v="11"/>
    <s v="FIFA Media"/>
    <m/>
  </r>
  <r>
    <s v="IS00WM"/>
    <x v="29"/>
    <s v="Network &amp; Connectivity"/>
    <s v=""/>
    <s v="Media Internet Access"/>
    <s v="Wireless coverage - Internet Service - Media"/>
    <s v="IS00WM - Wireless coverage - Internet Service - Wi-Fi Media (Media Internet Access)"/>
    <n v="1"/>
    <n v="0"/>
    <n v="0"/>
    <n v="1"/>
    <n v="0"/>
    <n v="0"/>
    <x v="0"/>
    <x v="1"/>
    <x v="18"/>
    <x v="41"/>
    <x v="11"/>
    <s v="FIFA Media"/>
    <m/>
  </r>
  <r>
    <s v="IS00WM"/>
    <x v="29"/>
    <s v="Network &amp; Connectivity"/>
    <s v=""/>
    <s v="Media Internet Access"/>
    <s v="Wireless coverage - Internet Service - Media"/>
    <s v="IS00WM - Wireless coverage - Internet Service - Wi-Fi Media (Media Internet Access)"/>
    <n v="1"/>
    <n v="0"/>
    <n v="0"/>
    <n v="1"/>
    <n v="0"/>
    <n v="0"/>
    <x v="0"/>
    <x v="1"/>
    <x v="18"/>
    <x v="40"/>
    <x v="11"/>
    <s v="FIFA Media"/>
    <m/>
  </r>
  <r>
    <s v="IS00WM"/>
    <x v="29"/>
    <s v="Network &amp; Connectivity"/>
    <s v=""/>
    <s v="Media Internet Access"/>
    <s v="Wireless coverage - Internet Service - Media"/>
    <s v="IS00WM - Wireless coverage - Internet Service - Wi-Fi Media (Media Internet Access)"/>
    <n v="1"/>
    <n v="0"/>
    <n v="0"/>
    <n v="1"/>
    <n v="0"/>
    <n v="0"/>
    <x v="0"/>
    <x v="1"/>
    <x v="18"/>
    <x v="38"/>
    <x v="11"/>
    <s v="FIFA Media"/>
    <m/>
  </r>
  <r>
    <s v="IS00WM"/>
    <x v="29"/>
    <s v="Network &amp; Connectivity"/>
    <s v=""/>
    <s v="Media Internet Access"/>
    <s v="Wireless coverage - Internet Service - Media"/>
    <s v="IS00WM - Wireless coverage - Internet Service - Wi-Fi Media (Media Internet Access)"/>
    <n v="1"/>
    <n v="0"/>
    <n v="0"/>
    <n v="1"/>
    <n v="0"/>
    <n v="0"/>
    <x v="0"/>
    <x v="1"/>
    <x v="18"/>
    <x v="39"/>
    <x v="11"/>
    <s v="FIFA Media"/>
    <m/>
  </r>
  <r>
    <s v="IS00Wm"/>
    <x v="29"/>
    <s v="Network &amp; Connectivity"/>
    <s v=""/>
    <s v="Media Internet Access"/>
    <s v="Wireless coverage - Internet Service - Media"/>
    <s v="IS00Wm - Wireless coverage - Internet Service - Wi-Fi Media (Media Internet Access)"/>
    <n v="1"/>
    <n v="0"/>
    <n v="0"/>
    <n v="1"/>
    <n v="0"/>
    <n v="0"/>
    <x v="0"/>
    <x v="1"/>
    <x v="19"/>
    <x v="22"/>
    <x v="11"/>
    <s v="FIFA Media"/>
    <m/>
  </r>
  <r>
    <s v="LAPEVT"/>
    <x v="17"/>
    <s v="FIFA IT Hardware"/>
    <s v="Single"/>
    <s v=""/>
    <s v="FIFA Laptop"/>
    <s v="LAPEVT - Laptop - FIFA Event Build"/>
    <n v="1"/>
    <n v="0"/>
    <n v="0"/>
    <n v="1"/>
    <n v="0"/>
    <n v="0"/>
    <x v="1"/>
    <x v="1"/>
    <x v="23"/>
    <x v="42"/>
    <x v="11"/>
    <s v="FIFA Media"/>
    <m/>
  </r>
  <r>
    <s v="LAPEVT"/>
    <x v="17"/>
    <s v="FIFA IT Hardware"/>
    <s v="Single"/>
    <s v=""/>
    <s v="FIFA Laptop"/>
    <s v="LAPEVT - Laptop - FIFA Event Build"/>
    <n v="2"/>
    <n v="0"/>
    <n v="0"/>
    <n v="2"/>
    <n v="0"/>
    <n v="0"/>
    <x v="1"/>
    <x v="1"/>
    <x v="19"/>
    <x v="22"/>
    <x v="11"/>
    <s v="FIFA Media"/>
    <m/>
  </r>
  <r>
    <s v="TELMOB"/>
    <x v="21"/>
    <s v="Telephony"/>
    <s v="Single"/>
    <s v=""/>
    <s v="Smart Phone"/>
    <s v="TELMOB - Telephone - Mobile - Smart Phone"/>
    <n v="6"/>
    <n v="0"/>
    <n v="6"/>
    <n v="6"/>
    <n v="0"/>
    <n v="6"/>
    <x v="1"/>
    <x v="1"/>
    <x v="19"/>
    <x v="22"/>
    <x v="11"/>
    <s v="FIFA Media"/>
    <m/>
  </r>
  <r>
    <s v="SIMDAT"/>
    <x v="18"/>
    <s v="Telephony"/>
    <s v=""/>
    <s v=""/>
    <s v="Local SIM Card - Data Only"/>
    <s v="SIMDAT - SIM - Data Only"/>
    <n v="6"/>
    <n v="0"/>
    <n v="6"/>
    <n v="6"/>
    <n v="0"/>
    <n v="6"/>
    <x v="0"/>
    <x v="1"/>
    <x v="19"/>
    <x v="22"/>
    <x v="11"/>
    <s v="FIFA Media"/>
    <m/>
  </r>
  <r>
    <s v="TVLGIP"/>
    <x v="5"/>
    <s v="CATV"/>
    <s v=""/>
    <s v=""/>
    <s v="Large TV - CATV Feed"/>
    <s v="TVLGIP - TV - Large - IPTV"/>
    <n v="1"/>
    <n v="1"/>
    <n v="0"/>
    <n v="1"/>
    <n v="1"/>
    <n v="0"/>
    <x v="0"/>
    <x v="1"/>
    <x v="24"/>
    <x v="44"/>
    <x v="11"/>
    <s v="FIFA Media"/>
    <m/>
  </r>
  <r>
    <s v="TVLGIP"/>
    <x v="5"/>
    <s v="CATV"/>
    <s v=""/>
    <s v=""/>
    <s v="Large TV - CATV Feed"/>
    <s v="TVLGIP - TV - Large - IPTV"/>
    <n v="1"/>
    <n v="1"/>
    <n v="0"/>
    <n v="1"/>
    <n v="1"/>
    <n v="0"/>
    <x v="0"/>
    <x v="1"/>
    <x v="23"/>
    <x v="45"/>
    <x v="11"/>
    <s v="FIFA Media"/>
    <m/>
  </r>
  <r>
    <s v="TVSTND"/>
    <x v="6"/>
    <s v="Peripherals"/>
    <s v=""/>
    <s v=""/>
    <s v="TV Stand for medium and large TVs"/>
    <s v="TVSTND - TV Stand - Medium &amp; Large TVs"/>
    <n v="1"/>
    <n v="0"/>
    <n v="0"/>
    <n v="1"/>
    <n v="0"/>
    <n v="0"/>
    <x v="0"/>
    <x v="1"/>
    <x v="24"/>
    <x v="44"/>
    <x v="11"/>
    <s v="FIFA Media"/>
    <m/>
  </r>
  <r>
    <s v="TVSTND"/>
    <x v="6"/>
    <s v="Peripherals"/>
    <s v=""/>
    <s v=""/>
    <s v="TV Stand for medium and large TVs"/>
    <s v="TVSTND - TV Stand - Medium &amp; Large TVs"/>
    <n v="1"/>
    <n v="0"/>
    <n v="0"/>
    <n v="1"/>
    <n v="0"/>
    <n v="0"/>
    <x v="0"/>
    <x v="1"/>
    <x v="23"/>
    <x v="45"/>
    <x v="11"/>
    <s v="FIFA Media"/>
    <m/>
  </r>
  <r>
    <s v="WRDFTI"/>
    <x v="13"/>
    <s v="Network &amp; Connectivity"/>
    <s v=""/>
    <s v="FIFA Technical FTI"/>
    <s v="Wired Port - FTI"/>
    <s v="WRDFTI - Wired Port - FTI (FIFA Technical FTI)"/>
    <n v="2"/>
    <n v="2"/>
    <n v="0"/>
    <n v="2"/>
    <n v="2"/>
    <n v="0"/>
    <x v="0"/>
    <x v="1"/>
    <x v="19"/>
    <x v="22"/>
    <x v="11"/>
    <s v="FIFA Media"/>
    <m/>
  </r>
  <r>
    <s v="WRDMED"/>
    <x v="3"/>
    <s v="Network &amp; Connectivity"/>
    <s v=""/>
    <s v="Media Internet Access Media"/>
    <s v="Wired Port - Internet for Media"/>
    <s v="WRDMED - Wired Port - Media Internet (Media Internet Access Media)"/>
    <n v="5"/>
    <n v="5"/>
    <n v="0"/>
    <n v="5"/>
    <n v="5"/>
    <n v="0"/>
    <x v="0"/>
    <x v="1"/>
    <x v="23"/>
    <x v="45"/>
    <x v="11"/>
    <s v="FIFA Media"/>
    <m/>
  </r>
  <r>
    <s v="WRDMED"/>
    <x v="3"/>
    <s v="Network &amp; Connectivity"/>
    <s v=""/>
    <s v="Media Internet Access Media"/>
    <s v="Wired Port - Internet for Media"/>
    <s v="WRDMED - Wired Port - Media Internet (Media Internet Access Media)"/>
    <n v="1"/>
    <n v="1"/>
    <n v="0"/>
    <n v="1"/>
    <n v="1"/>
    <n v="0"/>
    <x v="0"/>
    <x v="1"/>
    <x v="18"/>
    <x v="39"/>
    <x v="11"/>
    <s v="FIFA Media"/>
    <s v="Request from Paul Murphy / only if existing infrastructure"/>
  </r>
  <r>
    <s v="WRDMED"/>
    <x v="3"/>
    <s v="Network &amp; Connectivity"/>
    <s v=""/>
    <s v="Media Internet Access Media"/>
    <s v="Wired Port - Internet for Media"/>
    <s v="WRDMED - Wired Port - Media Internet (Media Internet Access Media)"/>
    <n v="1"/>
    <n v="1"/>
    <n v="0"/>
    <n v="1"/>
    <n v="1"/>
    <n v="0"/>
    <x v="0"/>
    <x v="1"/>
    <x v="18"/>
    <x v="38"/>
    <x v="11"/>
    <s v="FIFA Media"/>
    <s v="Request from Paul Murphy / only if existing infrastructure"/>
  </r>
  <r>
    <s v="AVMSYS"/>
    <x v="32"/>
    <s v="Audio"/>
    <s v=""/>
    <s v=""/>
    <s v="Professional Speakers and Microphones"/>
    <s v="AVMSYS - AV Solution (Mics + Speakers)"/>
    <n v="1"/>
    <n v="0"/>
    <n v="0"/>
    <n v="1"/>
    <n v="0"/>
    <n v="0"/>
    <x v="0"/>
    <x v="0"/>
    <x v="25"/>
    <x v="46"/>
    <x v="12"/>
    <s v="FIFA Referees"/>
    <m/>
  </r>
  <r>
    <s v="DSKMNT"/>
    <x v="0"/>
    <s v="Peripherals"/>
    <s v=""/>
    <s v=""/>
    <s v="24&quot; PC Monitor"/>
    <s v="DSKMNT - 24&quot; Monitor - HDMI/DP"/>
    <n v="4"/>
    <n v="0"/>
    <n v="0"/>
    <n v="4"/>
    <n v="0"/>
    <n v="0"/>
    <x v="0"/>
    <x v="0"/>
    <x v="25"/>
    <x v="47"/>
    <x v="12"/>
    <s v="FIFA Referees"/>
    <m/>
  </r>
  <r>
    <s v="DSKMNT"/>
    <x v="0"/>
    <s v="Peripherals"/>
    <s v=""/>
    <s v=""/>
    <s v="24&quot; PC Monitor"/>
    <s v="DSKMNT - 24&quot; Monitor - HDMI/DP"/>
    <n v="0"/>
    <n v="0"/>
    <n v="0"/>
    <n v="2"/>
    <n v="0"/>
    <n v="0"/>
    <x v="0"/>
    <x v="0"/>
    <x v="25"/>
    <x v="48"/>
    <x v="12"/>
    <s v="FIFA Referees"/>
    <m/>
  </r>
  <r>
    <s v="DSKMNT"/>
    <x v="0"/>
    <s v="Peripherals"/>
    <s v=""/>
    <s v=""/>
    <s v="24&quot; PC Monitor"/>
    <s v="DSKMNT - 24&quot; Monitor - HDMI/DP"/>
    <n v="0"/>
    <n v="0"/>
    <n v="0"/>
    <n v="2"/>
    <n v="0"/>
    <n v="0"/>
    <x v="0"/>
    <x v="0"/>
    <x v="25"/>
    <x v="49"/>
    <x v="12"/>
    <s v="FIFA Referees"/>
    <m/>
  </r>
  <r>
    <s v="DSKMNT"/>
    <x v="0"/>
    <s v="Peripherals"/>
    <s v=""/>
    <s v=""/>
    <s v="24&quot; PC Monitor"/>
    <s v="DSKMNT - 24&quot; Monitor - HDMI/DP"/>
    <n v="0"/>
    <n v="0"/>
    <n v="0"/>
    <n v="2"/>
    <n v="0"/>
    <n v="0"/>
    <x v="0"/>
    <x v="0"/>
    <x v="25"/>
    <x v="50"/>
    <x v="12"/>
    <s v="FIFA Referees"/>
    <m/>
  </r>
  <r>
    <s v="IS00WR"/>
    <x v="33"/>
    <s v="Network &amp; Connectivity"/>
    <s v=""/>
    <s v="General Internet Access"/>
    <s v="Wireless coverage - Internet Service -  Referees"/>
    <s v="IS00WR - Wireless coverage - Internet Service -  Referees (General Internet Access)"/>
    <n v="1"/>
    <n v="0"/>
    <n v="0"/>
    <n v="1"/>
    <n v="0"/>
    <n v="0"/>
    <x v="0"/>
    <x v="0"/>
    <x v="25"/>
    <x v="47"/>
    <x v="12"/>
    <s v="FIFA Referees"/>
    <m/>
  </r>
  <r>
    <s v="IS00WR"/>
    <x v="33"/>
    <s v="Network &amp; Connectivity"/>
    <s v=""/>
    <s v="General Internet Access"/>
    <s v="Wireless coverage - Internet Service -  Referees"/>
    <s v="IS00WR - Wireless coverage - Internet Service -  Referees (General Internet Access)"/>
    <n v="1"/>
    <n v="0"/>
    <n v="0"/>
    <n v="1"/>
    <n v="0"/>
    <n v="0"/>
    <x v="0"/>
    <x v="0"/>
    <x v="26"/>
    <x v="51"/>
    <x v="12"/>
    <s v="FIFA Referees"/>
    <m/>
  </r>
  <r>
    <s v="IS00WR"/>
    <x v="33"/>
    <s v="Network &amp; Connectivity"/>
    <s v=""/>
    <s v="General Internet Access"/>
    <s v="Wireless coverage - Internet Service -  Referees"/>
    <s v="IS00WR - Wireless coverage - Internet Service -  Referees (General Internet Access)"/>
    <n v="1"/>
    <n v="0"/>
    <n v="0"/>
    <n v="1"/>
    <n v="0"/>
    <n v="0"/>
    <x v="0"/>
    <x v="0"/>
    <x v="25"/>
    <x v="48"/>
    <x v="12"/>
    <s v="FIFA Referees"/>
    <m/>
  </r>
  <r>
    <s v="IS00WR"/>
    <x v="33"/>
    <s v="Network &amp; Connectivity"/>
    <s v=""/>
    <s v="General Internet Access"/>
    <s v="Wireless coverage - Internet Service -  Referees"/>
    <s v="IS00WR - Wireless coverage - Internet Service -  Referees (General Internet Access)"/>
    <n v="1"/>
    <n v="0"/>
    <n v="0"/>
    <n v="1"/>
    <n v="0"/>
    <n v="0"/>
    <x v="0"/>
    <x v="0"/>
    <x v="25"/>
    <x v="49"/>
    <x v="12"/>
    <s v="FIFA Referees"/>
    <m/>
  </r>
  <r>
    <s v="IS00WR"/>
    <x v="33"/>
    <s v="Network &amp; Connectivity"/>
    <s v=""/>
    <s v="General Internet Access"/>
    <s v="Wireless coverage - Internet Service -  Referees"/>
    <s v="IS00WR - Wireless coverage - Internet Service -  Referees (General Internet Access)"/>
    <n v="1"/>
    <n v="0"/>
    <n v="0"/>
    <n v="1"/>
    <n v="0"/>
    <n v="0"/>
    <x v="0"/>
    <x v="0"/>
    <x v="25"/>
    <x v="50"/>
    <x v="12"/>
    <s v="FIFA Referees"/>
    <m/>
  </r>
  <r>
    <s v="IS00WR"/>
    <x v="33"/>
    <s v="Network &amp; Connectivity"/>
    <s v=""/>
    <s v="General Internet Access"/>
    <s v="Wireless coverage - Internet Service -  Referees"/>
    <s v="IS00WR - Wireless coverage - Internet Service -  Referees (General Internet Access)"/>
    <n v="1"/>
    <n v="0"/>
    <n v="0"/>
    <n v="1"/>
    <n v="0"/>
    <n v="0"/>
    <x v="0"/>
    <x v="0"/>
    <x v="25"/>
    <x v="46"/>
    <x v="12"/>
    <s v="FIFA Referees"/>
    <m/>
  </r>
  <r>
    <s v="IS00WR"/>
    <x v="33"/>
    <s v="Network &amp; Connectivity"/>
    <s v=""/>
    <s v="General Internet Access"/>
    <s v="Wireless coverage - Internet Service -  Referees"/>
    <s v="IS00WR - Wireless coverage - Internet Service -  Referees (General Internet Access)"/>
    <n v="1"/>
    <n v="0"/>
    <n v="0"/>
    <n v="1"/>
    <n v="0"/>
    <n v="0"/>
    <x v="0"/>
    <x v="0"/>
    <x v="25"/>
    <x v="52"/>
    <x v="12"/>
    <s v="FIFA Referees"/>
    <m/>
  </r>
  <r>
    <s v="IS00WR"/>
    <x v="33"/>
    <s v="Network &amp; Connectivity"/>
    <s v=""/>
    <s v="General Internet Access"/>
    <s v="Wireless coverage - Internet Service -  Referees"/>
    <s v="IS00WR - Wireless coverage - Internet Service -  Referees (General Internet Access)"/>
    <n v="1"/>
    <n v="0"/>
    <n v="0"/>
    <n v="1"/>
    <n v="0"/>
    <n v="0"/>
    <x v="0"/>
    <x v="0"/>
    <x v="25"/>
    <x v="53"/>
    <x v="12"/>
    <s v="FIFA Referees"/>
    <m/>
  </r>
  <r>
    <s v="ITSIBU"/>
    <x v="16"/>
    <s v="FIFA IT Network Solutions"/>
    <s v=""/>
    <s v=""/>
    <s v="IT Solution - 4G Internet backup "/>
    <s v="ITSIBU - IT Solution - 4G Internet backup "/>
    <n v="1"/>
    <n v="0"/>
    <n v="1"/>
    <n v="1"/>
    <n v="0"/>
    <n v="1"/>
    <x v="0"/>
    <x v="0"/>
    <x v="26"/>
    <x v="51"/>
    <x v="12"/>
    <s v="FIFA Referees"/>
    <s v="Only if Wireless is not available"/>
  </r>
  <r>
    <s v="LAPPRE"/>
    <x v="11"/>
    <s v="FIFA IT Hardware"/>
    <s v="Single"/>
    <s v=""/>
    <s v="FIFA Presentation Laptop"/>
    <s v="LAPPRE - Laptop - Presentation Build"/>
    <n v="3"/>
    <n v="0"/>
    <n v="0"/>
    <n v="3"/>
    <n v="0"/>
    <n v="0"/>
    <x v="1"/>
    <x v="0"/>
    <x v="25"/>
    <x v="52"/>
    <x v="12"/>
    <s v="FIFA Referees"/>
    <s v="3 laptops to connect each to 2 TVs via HDMI - to stream matches via FDP"/>
  </r>
  <r>
    <s v="TELMOB"/>
    <x v="21"/>
    <s v="Telephony"/>
    <s v="Single"/>
    <s v=""/>
    <s v="Smart Phone"/>
    <s v="TELMOB - Telephone - Mobile - Smart Phone"/>
    <n v="0"/>
    <n v="0"/>
    <n v="10"/>
    <n v="10"/>
    <n v="0"/>
    <n v="10"/>
    <x v="1"/>
    <x v="0"/>
    <x v="25"/>
    <x v="52"/>
    <x v="12"/>
    <s v="FIFA Referees"/>
    <s v="3 laptops to connect each to 2 TVs via HDMI - to stream matches via FDP"/>
  </r>
  <r>
    <s v="MFDDNW"/>
    <x v="2"/>
    <s v="Reprographics"/>
    <s v=""/>
    <s v="General Internet Access"/>
    <s v="Colour Printer / Scanner (A4)"/>
    <s v="MFDDNW - MFD Desktop - Colour - A4 - Network (General Internet Access)"/>
    <n v="1"/>
    <n v="1"/>
    <n v="0"/>
    <n v="1"/>
    <n v="1"/>
    <n v="0"/>
    <x v="0"/>
    <x v="0"/>
    <x v="25"/>
    <x v="47"/>
    <x v="12"/>
    <s v="FIFA Referees"/>
    <m/>
  </r>
  <r>
    <s v="SIMDOM"/>
    <x v="19"/>
    <s v="Telephony"/>
    <s v=""/>
    <s v=""/>
    <s v="Local SIM Card"/>
    <s v="SIMDOM - SIM - Domestic"/>
    <n v="0"/>
    <n v="0"/>
    <n v="20"/>
    <n v="20"/>
    <n v="0"/>
    <n v="20"/>
    <x v="0"/>
    <x v="0"/>
    <x v="25"/>
    <x v="47"/>
    <x v="12"/>
    <s v="FIFA Referees"/>
    <m/>
  </r>
  <r>
    <s v="MFDDNW"/>
    <x v="2"/>
    <s v="Reprographics"/>
    <s v=""/>
    <s v="General Internet Access"/>
    <s v="Colour Printer / Scanner (A4)"/>
    <s v="MFDDNW - MFD Desktop - Colour - A4 - Network (General Internet Access)"/>
    <n v="1"/>
    <n v="1"/>
    <n v="0"/>
    <n v="1"/>
    <n v="1"/>
    <n v="0"/>
    <x v="0"/>
    <x v="0"/>
    <x v="25"/>
    <x v="50"/>
    <x v="12"/>
    <s v="FIFA Referees"/>
    <m/>
  </r>
  <r>
    <s v="MFDLNW"/>
    <x v="34"/>
    <s v="Reprographics"/>
    <s v=""/>
    <s v="General Internet Access"/>
    <s v="Large Colour Printer / Scanner (A3)"/>
    <s v="MFDLNW - MFD Large - Colour - A3 - Network (General Internet Access)"/>
    <n v="1"/>
    <n v="1"/>
    <n v="0"/>
    <n v="1"/>
    <n v="1"/>
    <n v="0"/>
    <x v="0"/>
    <x v="0"/>
    <x v="25"/>
    <x v="48"/>
    <x v="12"/>
    <s v="FIFA Referees"/>
    <m/>
  </r>
  <r>
    <s v="Proj6k"/>
    <x v="26"/>
    <s v="Display Devices"/>
    <s v=""/>
    <s v=""/>
    <s v="Office Projector - 6K"/>
    <s v="Proj6k - Office Projector - 6K"/>
    <n v="1"/>
    <n v="0"/>
    <n v="0"/>
    <n v="1"/>
    <n v="0"/>
    <n v="0"/>
    <x v="0"/>
    <x v="0"/>
    <x v="25"/>
    <x v="46"/>
    <x v="12"/>
    <s v="FIFA Referees"/>
    <m/>
  </r>
  <r>
    <s v="TVLGIP"/>
    <x v="5"/>
    <s v="CATV"/>
    <s v=""/>
    <s v=""/>
    <s v="Large TV - CATV Feed"/>
    <s v="TVLGIP - TV - Large - IPTV"/>
    <n v="2"/>
    <n v="2"/>
    <n v="0"/>
    <n v="2"/>
    <n v="2"/>
    <n v="0"/>
    <x v="0"/>
    <x v="0"/>
    <x v="25"/>
    <x v="47"/>
    <x v="12"/>
    <s v="FIFA Referees"/>
    <m/>
  </r>
  <r>
    <s v="TVLGIP"/>
    <x v="5"/>
    <s v="CATV"/>
    <s v=""/>
    <s v=""/>
    <s v="Large TV - CATV Feed"/>
    <s v="TVLGIP - TV - Large - IPTV"/>
    <n v="2"/>
    <n v="2"/>
    <n v="0"/>
    <n v="2"/>
    <n v="2"/>
    <n v="0"/>
    <x v="0"/>
    <x v="0"/>
    <x v="25"/>
    <x v="48"/>
    <x v="12"/>
    <s v="FIFA Referees"/>
    <m/>
  </r>
  <r>
    <s v="TVLGIP"/>
    <x v="5"/>
    <s v="CATV"/>
    <s v=""/>
    <s v=""/>
    <s v="Large TV - CATV Feed"/>
    <s v="TVLGIP - TV - Large - IPTV"/>
    <n v="1"/>
    <n v="1"/>
    <n v="0"/>
    <n v="1"/>
    <n v="1"/>
    <n v="0"/>
    <x v="0"/>
    <x v="0"/>
    <x v="25"/>
    <x v="49"/>
    <x v="12"/>
    <s v="FIFA Referees"/>
    <m/>
  </r>
  <r>
    <s v="TVLGIP"/>
    <x v="5"/>
    <s v="CATV"/>
    <s v=""/>
    <s v=""/>
    <s v="Large TV - CATV Feed"/>
    <s v="TVLGIP - TV - Large - IPTV"/>
    <n v="2"/>
    <n v="2"/>
    <n v="0"/>
    <n v="2"/>
    <n v="2"/>
    <n v="0"/>
    <x v="0"/>
    <x v="0"/>
    <x v="25"/>
    <x v="50"/>
    <x v="12"/>
    <s v="FIFA Referees"/>
    <m/>
  </r>
  <r>
    <s v="TVLGIP"/>
    <x v="5"/>
    <s v="CATV"/>
    <s v=""/>
    <s v=""/>
    <s v="Large TV - CATV Feed"/>
    <s v="TVLGIP - TV - Large - IPTV"/>
    <n v="1"/>
    <n v="1"/>
    <n v="0"/>
    <n v="1"/>
    <n v="1"/>
    <n v="0"/>
    <x v="0"/>
    <x v="0"/>
    <x v="25"/>
    <x v="46"/>
    <x v="12"/>
    <s v="FIFA Referees"/>
    <m/>
  </r>
  <r>
    <s v="TVLGIP"/>
    <x v="5"/>
    <s v="CATV"/>
    <s v=""/>
    <s v=""/>
    <s v="Large TV - CATV Feed"/>
    <s v="TVLGIP - TV - Large - IPTV"/>
    <n v="2"/>
    <n v="2"/>
    <n v="0"/>
    <n v="2"/>
    <n v="2"/>
    <n v="0"/>
    <x v="0"/>
    <x v="0"/>
    <x v="25"/>
    <x v="53"/>
    <x v="12"/>
    <s v="FIFA Referees"/>
    <m/>
  </r>
  <r>
    <s v="TVLGSA"/>
    <x v="15"/>
    <s v="Display Devices"/>
    <s v=""/>
    <s v=""/>
    <s v="Large TV - Standalone"/>
    <s v="TVLGSA - TV - Large - Standalone"/>
    <n v="1"/>
    <n v="0"/>
    <n v="0"/>
    <n v="1"/>
    <n v="0"/>
    <n v="0"/>
    <x v="0"/>
    <x v="0"/>
    <x v="26"/>
    <x v="51"/>
    <x v="12"/>
    <s v="FIFA Referees"/>
    <s v="pitch 11-12"/>
  </r>
  <r>
    <s v="TVSTND"/>
    <x v="6"/>
    <s v="Peripherals"/>
    <s v=""/>
    <s v=""/>
    <s v="TV Stand for medium and large TVs"/>
    <s v="TVSTND - TV Stand - Medium &amp; Large TVs"/>
    <n v="2"/>
    <n v="0"/>
    <n v="0"/>
    <n v="2"/>
    <n v="0"/>
    <n v="0"/>
    <x v="0"/>
    <x v="0"/>
    <x v="25"/>
    <x v="47"/>
    <x v="12"/>
    <s v="FIFA Referees"/>
    <m/>
  </r>
  <r>
    <s v="TVSTND"/>
    <x v="6"/>
    <s v="Peripherals"/>
    <s v=""/>
    <s v=""/>
    <s v="TV Stand for medium and large TVs"/>
    <s v="TVSTND - TV Stand - Medium &amp; Large TVs"/>
    <n v="1"/>
    <n v="0"/>
    <n v="0"/>
    <n v="1"/>
    <n v="0"/>
    <n v="0"/>
    <x v="0"/>
    <x v="0"/>
    <x v="26"/>
    <x v="51"/>
    <x v="12"/>
    <s v="FIFA Referees"/>
    <m/>
  </r>
  <r>
    <s v="TVSTND"/>
    <x v="6"/>
    <s v="Peripherals"/>
    <s v=""/>
    <s v=""/>
    <s v="TV Stand for medium and large TVs"/>
    <s v="TVSTND - TV Stand - Medium &amp; Large TVs"/>
    <n v="2"/>
    <n v="0"/>
    <n v="0"/>
    <n v="2"/>
    <n v="0"/>
    <n v="0"/>
    <x v="0"/>
    <x v="0"/>
    <x v="25"/>
    <x v="48"/>
    <x v="12"/>
    <s v="FIFA Referees"/>
    <m/>
  </r>
  <r>
    <s v="TVSTND"/>
    <x v="6"/>
    <s v="Peripherals"/>
    <s v=""/>
    <s v=""/>
    <s v="TV Stand for medium and large TVs"/>
    <s v="TVSTND - TV Stand - Medium &amp; Large TVs"/>
    <n v="1"/>
    <n v="0"/>
    <n v="0"/>
    <n v="1"/>
    <n v="0"/>
    <n v="0"/>
    <x v="0"/>
    <x v="0"/>
    <x v="25"/>
    <x v="49"/>
    <x v="12"/>
    <s v="FIFA Referees"/>
    <m/>
  </r>
  <r>
    <s v="TVSTND"/>
    <x v="6"/>
    <s v="Peripherals"/>
    <s v=""/>
    <s v=""/>
    <s v="TV Stand for medium and large TVs"/>
    <s v="TVSTND - TV Stand - Medium &amp; Large TVs"/>
    <n v="2"/>
    <n v="0"/>
    <n v="0"/>
    <n v="2"/>
    <n v="0"/>
    <n v="0"/>
    <x v="0"/>
    <x v="0"/>
    <x v="25"/>
    <x v="50"/>
    <x v="12"/>
    <s v="FIFA Referees"/>
    <m/>
  </r>
  <r>
    <s v="TVSTND"/>
    <x v="6"/>
    <s v="Peripherals"/>
    <s v=""/>
    <s v=""/>
    <s v="TV Stand for medium and large TVs"/>
    <s v="TVSTND - TV Stand - Medium &amp; Large TVs"/>
    <n v="1"/>
    <n v="0"/>
    <n v="0"/>
    <n v="1"/>
    <n v="0"/>
    <n v="0"/>
    <x v="0"/>
    <x v="0"/>
    <x v="25"/>
    <x v="46"/>
    <x v="12"/>
    <s v="FIFA Referees"/>
    <m/>
  </r>
  <r>
    <s v="TVSTND"/>
    <x v="6"/>
    <s v="Peripherals"/>
    <s v=""/>
    <s v=""/>
    <s v="TV Stand for medium and large TVs"/>
    <s v="TVSTND - TV Stand - Medium &amp; Large TVs"/>
    <n v="2"/>
    <n v="0"/>
    <n v="0"/>
    <n v="2"/>
    <n v="0"/>
    <n v="0"/>
    <x v="0"/>
    <x v="0"/>
    <x v="25"/>
    <x v="53"/>
    <x v="12"/>
    <s v="FIFA Referees"/>
    <m/>
  </r>
  <r>
    <s v="WDF100"/>
    <x v="35"/>
    <s v="Network &amp; Connectivity"/>
    <s v=""/>
    <s v="FIFA Technical Internet Access"/>
    <s v="Cabled Internet - 100Mbps"/>
    <s v="WDF100 - Wired Port - 100Mbps - guaranteed (FIFA Technical Internet Access)"/>
    <n v="1"/>
    <n v="1"/>
    <n v="0"/>
    <n v="1"/>
    <n v="1"/>
    <n v="0"/>
    <x v="0"/>
    <x v="0"/>
    <x v="25"/>
    <x v="47"/>
    <x v="12"/>
    <s v="FIFA Referees"/>
    <s v="LOC: Can we add a switch in the room?"/>
  </r>
  <r>
    <s v="WRDGEN"/>
    <x v="8"/>
    <s v="Network &amp; Connectivity"/>
    <s v=""/>
    <s v="General Internet Access"/>
    <s v="Wired Port - Internet"/>
    <s v="WRDGEN - Wired Port - General Internet  (General Internet Access)"/>
    <n v="2"/>
    <n v="2"/>
    <n v="0"/>
    <n v="2"/>
    <n v="2"/>
    <n v="0"/>
    <x v="0"/>
    <x v="0"/>
    <x v="25"/>
    <x v="46"/>
    <x v="12"/>
    <s v="FIFA Referees"/>
    <m/>
  </r>
  <r>
    <s v="IS00WF"/>
    <x v="1"/>
    <s v="Network &amp; Connectivity"/>
    <s v=""/>
    <s v="General Internet Access"/>
    <s v="Wireless coverage - Shared Internet Service - FIFA"/>
    <s v="IS00WF - Wireless coverage - Shared Internet Service - Wi-Fi FIFA (General Internet Access)"/>
    <n v="1"/>
    <n v="0"/>
    <n v="0"/>
    <n v="1"/>
    <n v="0"/>
    <n v="0"/>
    <x v="0"/>
    <x v="0"/>
    <x v="27"/>
    <x v="54"/>
    <x v="13"/>
    <s v="FIFA Security"/>
    <s v="any other internet availables via Wi-Fi"/>
  </r>
  <r>
    <s v="IS00WF"/>
    <x v="1"/>
    <s v="Network &amp; Connectivity"/>
    <s v=""/>
    <s v="General Internet Access"/>
    <s v="Wireless coverage - Shared Internet Service - FIFA"/>
    <s v="IS00WF - Wireless coverage - Shared Internet Service - Wi-Fi FIFA (General Internet Access)"/>
    <n v="1"/>
    <n v="0"/>
    <n v="0"/>
    <n v="1"/>
    <n v="0"/>
    <n v="0"/>
    <x v="0"/>
    <x v="1"/>
    <x v="28"/>
    <x v="54"/>
    <x v="13"/>
    <s v="FIFA Security"/>
    <m/>
  </r>
  <r>
    <s v="IS00WS"/>
    <x v="36"/>
    <s v="Network &amp; Connectivity"/>
    <s v=""/>
    <s v="VIP Internet Access"/>
    <s v="Wireless coverage - Shared Internet Service - FOOTBALL"/>
    <s v="IS00WS - Wireless coverage - Shared Internet Service - Wi-Fi FOOTBALL (VIP Internet Access)"/>
    <n v="1"/>
    <n v="0"/>
    <n v="0"/>
    <n v="8"/>
    <n v="0"/>
    <n v="0"/>
    <x v="0"/>
    <x v="0"/>
    <x v="12"/>
    <x v="55"/>
    <x v="14"/>
    <s v="FIFA Team Services"/>
    <s v="Wi-Fi for each dressing room / pitch"/>
  </r>
  <r>
    <s v="IS00WS"/>
    <x v="36"/>
    <s v="Network &amp; Connectivity"/>
    <s v=""/>
    <s v="VIP Internet Access"/>
    <s v="Wireless coverage - Shared Internet Service - FOOTBALL"/>
    <s v="IS00WS - Wireless coverage - Shared Internet Service - Wi-Fi FOOTBALL (VIP Internet Access)"/>
    <n v="1"/>
    <n v="0"/>
    <n v="0"/>
    <n v="1"/>
    <n v="0"/>
    <n v="0"/>
    <x v="0"/>
    <x v="0"/>
    <x v="12"/>
    <x v="56"/>
    <x v="14"/>
    <s v="FIFA Team Services"/>
    <m/>
  </r>
  <r>
    <s v="IS00WS"/>
    <x v="36"/>
    <s v="Network &amp; Connectivity"/>
    <s v=""/>
    <s v="VIP Internet Access"/>
    <s v="Wireless coverage - Shared Internet Service - FOOTBALL"/>
    <s v="IS00WS - Wireless coverage - Shared Internet Service - Wi-Fi FOOTBALL (VIP Internet Access)"/>
    <n v="1"/>
    <n v="0"/>
    <n v="0"/>
    <n v="1"/>
    <n v="0"/>
    <n v="0"/>
    <x v="0"/>
    <x v="1"/>
    <x v="12"/>
    <x v="55"/>
    <x v="14"/>
    <s v="FIFA Team Services"/>
    <m/>
  </r>
  <r>
    <s v="LAPPRE"/>
    <x v="11"/>
    <s v="FIFA IT Hardware"/>
    <s v="Single"/>
    <s v=""/>
    <s v="FIFA Presentation Laptop"/>
    <s v="LAPPRE - Laptop - Presentation Build"/>
    <n v="1"/>
    <n v="0"/>
    <n v="0"/>
    <n v="1"/>
    <n v="0"/>
    <n v="0"/>
    <x v="1"/>
    <x v="0"/>
    <x v="10"/>
    <x v="1"/>
    <x v="14"/>
    <s v="FIFA Team Services"/>
    <m/>
  </r>
  <r>
    <s v="DSKMNT"/>
    <x v="0"/>
    <s v="Peripherals"/>
    <s v=""/>
    <s v=""/>
    <s v="24&quot; PC Monitor"/>
    <s v="DSKMNT - 24&quot; Monitor - HDMI/DP"/>
    <n v="2"/>
    <n v="0"/>
    <n v="0"/>
    <n v="2"/>
    <n v="0"/>
    <n v="0"/>
    <x v="0"/>
    <x v="0"/>
    <x v="10"/>
    <x v="1"/>
    <x v="15"/>
    <s v="FIFA Transport"/>
    <m/>
  </r>
  <r>
    <s v="TABLEN"/>
    <x v="7"/>
    <s v="FIFA IT Hardware"/>
    <s v="Single"/>
    <s v=""/>
    <s v="Professional Series Tablet + 4G"/>
    <s v="TABLEN - Tablet - FIFA Professional Tablet + 4G"/>
    <n v="2"/>
    <n v="0"/>
    <n v="2"/>
    <n v="2"/>
    <n v="0"/>
    <n v="2"/>
    <x v="1"/>
    <x v="0"/>
    <x v="10"/>
    <x v="1"/>
    <x v="15"/>
    <s v="FIFA Transport"/>
    <m/>
  </r>
  <r>
    <s v="DSKMNT"/>
    <x v="0"/>
    <s v="Peripherals"/>
    <s v=""/>
    <s v=""/>
    <s v="24&quot; PC Monitor"/>
    <s v="DSKMNT - 24&quot; Monitor - HDMI/DP"/>
    <n v="2"/>
    <n v="0"/>
    <n v="0"/>
    <n v="2"/>
    <n v="0"/>
    <n v="0"/>
    <x v="0"/>
    <x v="0"/>
    <x v="10"/>
    <x v="1"/>
    <x v="16"/>
    <s v="FIFA Travel"/>
    <m/>
  </r>
  <r>
    <s v="IS00WF"/>
    <x v="1"/>
    <s v="Network &amp; Connectivity"/>
    <s v=""/>
    <s v="General Internet Access"/>
    <s v="Wireless coverage - Shared Internet Service - FIFA"/>
    <s v="IS00WF - Wireless coverage - Shared Internet Service - Wi-Fi FIFA (General Internet Access)"/>
    <n v="1"/>
    <n v="0"/>
    <n v="0"/>
    <n v="1"/>
    <n v="0"/>
    <n v="0"/>
    <x v="0"/>
    <x v="0"/>
    <x v="10"/>
    <x v="1"/>
    <x v="17"/>
    <s v="FIFA Venue Management"/>
    <m/>
  </r>
  <r>
    <s v="IS00WF"/>
    <x v="1"/>
    <s v="Network &amp; Connectivity"/>
    <s v=""/>
    <s v="General Internet Access"/>
    <s v="Wireless coverage - Shared Internet Service - FIFA"/>
    <s v="IS00WF - Wireless coverage - Shared Internet Service - Wi-Fi FIFA (General Internet Access)"/>
    <n v="1"/>
    <n v="0"/>
    <n v="0"/>
    <n v="1"/>
    <n v="0"/>
    <n v="0"/>
    <x v="0"/>
    <x v="1"/>
    <x v="8"/>
    <x v="57"/>
    <x v="17"/>
    <s v="FIFA Venue Management"/>
    <m/>
  </r>
  <r>
    <s v="MFDLNW"/>
    <x v="34"/>
    <s v="Reprographics"/>
    <s v=""/>
    <s v="General Internet Access"/>
    <s v="Large Colour Printer / Scanner (A3)"/>
    <s v="MFDLNW - MFD Large - Colour - A3 - Network (General Internet Access)"/>
    <n v="1"/>
    <n v="1"/>
    <n v="0"/>
    <n v="1"/>
    <n v="1"/>
    <n v="0"/>
    <x v="0"/>
    <x v="0"/>
    <x v="10"/>
    <x v="1"/>
    <x v="17"/>
    <s v="FIFA Venue Management"/>
    <s v="L2 general office"/>
  </r>
  <r>
    <s v="MFDDNW"/>
    <x v="2"/>
    <s v="Reprographics"/>
    <s v=""/>
    <s v="General Internet Access"/>
    <s v="Colour Printer / Scanner (A4)"/>
    <s v="MFDDNW - MFD Desktop - Colour - A4 - Network (General Internet Access)"/>
    <n v="1"/>
    <n v="1"/>
    <n v="0"/>
    <n v="1"/>
    <n v="1"/>
    <n v="0"/>
    <x v="0"/>
    <x v="1"/>
    <x v="8"/>
    <x v="57"/>
    <x v="17"/>
    <s v="FIFA Venue Management"/>
    <m/>
  </r>
  <r>
    <s v="RADIO"/>
    <x v="37"/>
    <s v="Radio"/>
    <s v=""/>
    <s v=""/>
    <s v="Radio PMR In Stadium"/>
    <s v="RADIO - Radio PMR In Stadium"/>
    <n v="50"/>
    <n v="0"/>
    <n v="0"/>
    <n v="50"/>
    <n v="0"/>
    <n v="0"/>
    <x v="0"/>
    <x v="0"/>
    <x v="29"/>
    <x v="58"/>
    <x v="17"/>
    <s v="FIFA Venue Management"/>
    <m/>
  </r>
  <r>
    <s v="IS00WF"/>
    <x v="1"/>
    <s v="Network &amp; Connectivity"/>
    <s v=""/>
    <s v="General Internet Access"/>
    <s v="Wireless coverage - Shared Internet Service - FIFA"/>
    <s v="IS00WF - Wireless coverage - Shared Internet Service - Wi-Fi FIFA (General Internet Access)"/>
    <n v="1"/>
    <n v="0"/>
    <n v="0"/>
    <n v="1"/>
    <n v="0"/>
    <n v="0"/>
    <x v="0"/>
    <x v="0"/>
    <x v="30"/>
    <x v="59"/>
    <x v="18"/>
    <s v="FIFA Volunteer"/>
    <m/>
  </r>
  <r>
    <s v="LAPEVT"/>
    <x v="17"/>
    <s v="FIFA IT Hardware"/>
    <s v="Single"/>
    <s v=""/>
    <s v="FIFA Laptop"/>
    <s v="LAPEVT - Laptop - FIFA Event Build"/>
    <n v="2"/>
    <n v="0"/>
    <n v="0"/>
    <n v="3"/>
    <n v="0"/>
    <n v="0"/>
    <x v="1"/>
    <x v="0"/>
    <x v="30"/>
    <x v="59"/>
    <x v="18"/>
    <s v="FIFA Volunteer"/>
    <m/>
  </r>
  <r>
    <s v="MFDDNW"/>
    <x v="2"/>
    <s v="Reprographics"/>
    <s v=""/>
    <s v="General Internet Access"/>
    <s v="Colour Printer / Scanner (A4)"/>
    <s v="MFDDNW - MFD Desktop - Colour - A4 - Network (General Internet Access)"/>
    <n v="1"/>
    <n v="1"/>
    <n v="0"/>
    <n v="1"/>
    <n v="1"/>
    <n v="0"/>
    <x v="0"/>
    <x v="0"/>
    <x v="30"/>
    <x v="59"/>
    <x v="18"/>
    <s v="FIFA Volunteer"/>
    <m/>
  </r>
  <r>
    <s v="TABLEN"/>
    <x v="7"/>
    <s v="FIFA IT Hardware"/>
    <s v="Single"/>
    <s v=""/>
    <s v="Professional Series Tablet + 4G"/>
    <s v="TABLEN - Tablet - FIFA Professional Tablet + 4G"/>
    <n v="2"/>
    <n v="0"/>
    <n v="2"/>
    <n v="2"/>
    <n v="0"/>
    <n v="2"/>
    <x v="1"/>
    <x v="0"/>
    <x v="30"/>
    <x v="59"/>
    <x v="18"/>
    <s v="FIFA Volunteer"/>
    <m/>
  </r>
  <r>
    <s v="TELMOB"/>
    <x v="21"/>
    <s v="Telephony"/>
    <s v="Single"/>
    <s v=""/>
    <s v="Smart Phone"/>
    <s v="TELMOB - Telephone - Mobile - Smart Phone"/>
    <n v="1"/>
    <n v="0"/>
    <n v="1"/>
    <n v="1"/>
    <n v="0"/>
    <n v="1"/>
    <x v="1"/>
    <x v="0"/>
    <x v="30"/>
    <x v="59"/>
    <x v="18"/>
    <s v="FIFA Volunteer"/>
    <s v="Hotline"/>
  </r>
  <r>
    <s v="TELMOB"/>
    <x v="21"/>
    <s v="Telephony"/>
    <s v="Single"/>
    <s v=""/>
    <s v="Smart Phone"/>
    <s v="TELMOB - Telephone - Mobile - Smart Phone"/>
    <n v="1"/>
    <n v="0"/>
    <n v="1"/>
    <n v="1"/>
    <n v="0"/>
    <n v="1"/>
    <x v="1"/>
    <x v="0"/>
    <x v="30"/>
    <x v="59"/>
    <x v="18"/>
    <s v="FIFA Volunteer"/>
    <s v="Freelancer"/>
  </r>
  <r>
    <s v="TVLGIP"/>
    <x v="5"/>
    <s v="CATV"/>
    <s v=""/>
    <s v=""/>
    <s v="Large TV - CATV Feed"/>
    <s v="TVLGIP - TV - Large - IPTV"/>
    <n v="1"/>
    <n v="1"/>
    <n v="0"/>
    <n v="1"/>
    <n v="1"/>
    <n v="0"/>
    <x v="0"/>
    <x v="0"/>
    <x v="30"/>
    <x v="59"/>
    <x v="18"/>
    <s v="FIFA Volunteer"/>
    <m/>
  </r>
  <r>
    <s v="TVSTND"/>
    <x v="6"/>
    <s v="Peripherals"/>
    <s v=""/>
    <s v=""/>
    <s v="TV Stand for medium and large TVs"/>
    <s v="TVSTND - TV Stand - Medium &amp; Large TVs"/>
    <n v="1"/>
    <n v="0"/>
    <n v="0"/>
    <n v="1"/>
    <n v="0"/>
    <n v="0"/>
    <x v="0"/>
    <x v="0"/>
    <x v="30"/>
    <x v="59"/>
    <x v="18"/>
    <s v="FIFA Volunteer"/>
    <m/>
  </r>
  <r>
    <s v="DSKMNT"/>
    <x v="0"/>
    <s v="Peripherals"/>
    <s v=""/>
    <s v=""/>
    <s v="24&quot; PC Monitor"/>
    <s v="DSKMNT - 24&quot; Monitor - HDMI/DP"/>
    <n v="1"/>
    <n v="0"/>
    <n v="0"/>
    <n v="1"/>
    <n v="0"/>
    <n v="0"/>
    <x v="0"/>
    <x v="0"/>
    <x v="10"/>
    <x v="1"/>
    <x v="19"/>
    <s v="FIFA Workforce"/>
    <m/>
  </r>
  <r>
    <s v="IS00WF"/>
    <x v="1"/>
    <s v="Network &amp; Connectivity"/>
    <s v=""/>
    <s v="General Internet Access"/>
    <s v="Wireless coverage - Shared Internet Service - FIFA"/>
    <s v="IS00WF - Wireless coverage - Shared Internet Service - Wi-Fi FIFA (General Internet Access)"/>
    <n v="1"/>
    <n v="0"/>
    <n v="0"/>
    <n v="1"/>
    <n v="0"/>
    <n v="0"/>
    <x v="0"/>
    <x v="1"/>
    <x v="31"/>
    <x v="1"/>
    <x v="19"/>
    <s v="FIFA Workforce"/>
    <m/>
  </r>
  <r>
    <s v="IS00WF"/>
    <x v="1"/>
    <s v="Network &amp; Connectivity"/>
    <s v=""/>
    <s v="General Internet Access"/>
    <s v="Wireless coverage - Shared Internet Service - FIFA"/>
    <s v="IS00WF - Wireless coverage - Shared Internet Service - Wi-Fi FIFA (General Internet Access)"/>
    <n v="1"/>
    <n v="0"/>
    <n v="0"/>
    <n v="1"/>
    <n v="0"/>
    <n v="0"/>
    <x v="0"/>
    <x v="0"/>
    <x v="10"/>
    <x v="1"/>
    <x v="19"/>
    <s v="FIFA Workforce"/>
    <m/>
  </r>
  <r>
    <s v="IS00WF"/>
    <x v="1"/>
    <s v="Network &amp; Connectivity"/>
    <s v=""/>
    <s v="General Internet Access"/>
    <s v="Wireless coverage - Shared Internet Service - FIFA"/>
    <s v="IS00WF - Wireless coverage - Shared Internet Service - Wi-Fi FIFA (General Internet Access)"/>
    <n v="1"/>
    <n v="0"/>
    <n v="0"/>
    <n v="1"/>
    <n v="0"/>
    <n v="0"/>
    <x v="0"/>
    <x v="0"/>
    <x v="30"/>
    <x v="60"/>
    <x v="19"/>
    <s v="FIFA Workforce"/>
    <m/>
  </r>
  <r>
    <s v="IS00WF"/>
    <x v="1"/>
    <s v="Network &amp; Connectivity"/>
    <s v=""/>
    <s v="General Internet Access"/>
    <s v="Wireless coverage - Shared Internet Service - FIFA"/>
    <s v="IS00WF - Wireless coverage - Shared Internet Service - Wi-Fi FIFA (General Internet Access)"/>
    <n v="1"/>
    <n v="0"/>
    <n v="0"/>
    <n v="1"/>
    <n v="0"/>
    <n v="0"/>
    <x v="0"/>
    <x v="0"/>
    <x v="10"/>
    <x v="61"/>
    <x v="19"/>
    <s v="FIFA Workforce"/>
    <s v="if possible"/>
  </r>
  <r>
    <s v="IS00WF"/>
    <x v="1"/>
    <s v="Network &amp; Connectivity"/>
    <s v=""/>
    <s v="General Internet Access"/>
    <s v="Wireless coverage - Shared Internet Service - FIFA"/>
    <s v="IS00WF - Wireless coverage - Shared Internet Service - Wi-Fi FIFA (General Internet Access)"/>
    <n v="1"/>
    <n v="0"/>
    <n v="0"/>
    <n v="1"/>
    <n v="0"/>
    <n v="0"/>
    <x v="0"/>
    <x v="0"/>
    <x v="10"/>
    <x v="62"/>
    <x v="19"/>
    <s v="FIFA Workforce"/>
    <m/>
  </r>
  <r>
    <s v="IS00WF"/>
    <x v="1"/>
    <s v="Network &amp; Connectivity"/>
    <s v=""/>
    <s v="General Internet Access"/>
    <s v="Wireless coverage - Shared Internet Service - FIFA"/>
    <s v="IS00WF - Wireless coverage - Shared Internet Service - Wi-Fi FIFA (General Internet Access)"/>
    <n v="1"/>
    <n v="0"/>
    <n v="0"/>
    <n v="1"/>
    <n v="0"/>
    <n v="0"/>
    <x v="0"/>
    <x v="0"/>
    <x v="30"/>
    <x v="63"/>
    <x v="19"/>
    <s v="FIFA Workforce"/>
    <s v="if possible"/>
  </r>
  <r>
    <s v="TVLGIP"/>
    <x v="5"/>
    <s v="CATV"/>
    <s v=""/>
    <s v=""/>
    <s v="Large TV - CATV Feed"/>
    <s v="TVLGIP - TV - Large - IPTV"/>
    <n v="2"/>
    <n v="4"/>
    <n v="0"/>
    <n v="4"/>
    <n v="4"/>
    <n v="0"/>
    <x v="0"/>
    <x v="0"/>
    <x v="10"/>
    <x v="1"/>
    <x v="19"/>
    <s v="FIFA Workforce"/>
    <s v="4 games simultaneous"/>
  </r>
  <r>
    <s v="TVLGSA"/>
    <x v="15"/>
    <s v="Display Devices"/>
    <s v=""/>
    <s v=""/>
    <s v="Large TV - Standalone"/>
    <s v="TVLGSA - TV - Large - Standalone"/>
    <n v="1"/>
    <n v="0"/>
    <n v="0"/>
    <n v="1"/>
    <n v="0"/>
    <n v="0"/>
    <x v="0"/>
    <x v="0"/>
    <x v="10"/>
    <x v="1"/>
    <x v="19"/>
    <s v="FIFA Workforce"/>
    <s v="TBC Meeting rooms"/>
  </r>
  <r>
    <s v="TVSTND"/>
    <x v="6"/>
    <s v="Peripherals"/>
    <s v=""/>
    <s v=""/>
    <s v="TV Stand for medium and large TVs"/>
    <s v="TVSTND - TV Stand - Medium &amp; Large TVs"/>
    <n v="3"/>
    <n v="0"/>
    <n v="0"/>
    <n v="5"/>
    <n v="0"/>
    <n v="0"/>
    <x v="0"/>
    <x v="0"/>
    <x v="10"/>
    <x v="1"/>
    <x v="19"/>
    <s v="FIFA Workforce"/>
    <m/>
  </r>
  <r>
    <s v="IS00WF"/>
    <x v="1"/>
    <s v="Network &amp; Connectivity"/>
    <s v=""/>
    <s v="General Internet Access"/>
    <s v="Wireless coverage - Shared Internet Service - FIFA"/>
    <s v="IS00WF - Wireless coverage - Shared Internet Service - Wi-Fi FIFA (General Internet Access)"/>
    <n v="1"/>
    <n v="0"/>
    <n v="0"/>
    <n v="1"/>
    <n v="0"/>
    <n v="0"/>
    <x v="0"/>
    <x v="0"/>
    <x v="30"/>
    <x v="64"/>
    <x v="20"/>
    <s v="Partner Rights Delivery"/>
    <m/>
  </r>
  <r>
    <s v="IS00WF"/>
    <x v="1"/>
    <s v="Network &amp; Connectivity"/>
    <s v=""/>
    <s v="General Internet Access"/>
    <s v="Wireless coverage - Shared Internet Service - FIFA"/>
    <s v="IS00WF - Wireless coverage - Shared Internet Service - Wi-Fi FIFA (General Internet Access)"/>
    <n v="1"/>
    <n v="0"/>
    <n v="0"/>
    <n v="1"/>
    <n v="0"/>
    <n v="0"/>
    <x v="0"/>
    <x v="0"/>
    <x v="32"/>
    <x v="65"/>
    <x v="20"/>
    <s v="Partner Rights Delivery"/>
    <s v="Can be 4G too. Position 5 on the map"/>
  </r>
  <r>
    <s v="IS00WF"/>
    <x v="1"/>
    <s v="Network &amp; Connectivity"/>
    <s v=""/>
    <s v="General Internet Access"/>
    <s v="Wireless coverage - Shared Internet Service - FIFA"/>
    <s v="IS00WF - Wireless coverage - Shared Internet Service - Wi-Fi FIFA (General Internet Access)"/>
    <n v="1"/>
    <n v="0"/>
    <n v="0"/>
    <n v="1"/>
    <n v="0"/>
    <n v="0"/>
    <x v="0"/>
    <x v="0"/>
    <x v="32"/>
    <x v="66"/>
    <x v="20"/>
    <s v="Partner Rights Delivery"/>
    <s v="Can be 4G too. Position 5 on the map"/>
  </r>
  <r>
    <s v="IS00WF"/>
    <x v="1"/>
    <s v="Network &amp; Connectivity"/>
    <s v=""/>
    <s v="General Internet Access"/>
    <s v="Wireless coverage - Shared Internet Service - FIFA"/>
    <s v="IS00WF - Wireless coverage - Shared Internet Service - Wi-Fi FIFA (General Internet Access)"/>
    <n v="1"/>
    <n v="0"/>
    <n v="0"/>
    <n v="1"/>
    <n v="0"/>
    <n v="0"/>
    <x v="0"/>
    <x v="0"/>
    <x v="32"/>
    <x v="67"/>
    <x v="20"/>
    <s v="Partner Rights Delivery"/>
    <s v="Can be 4G too. Position 5 on the map"/>
  </r>
  <r>
    <s v="ITSIBU"/>
    <x v="16"/>
    <s v="FIFA IT Network Solutions"/>
    <s v=""/>
    <s v=""/>
    <s v="IT Solution - 4G Internet backup "/>
    <s v="ITSIBU - IT Solution - 4G Internet backup "/>
    <n v="4"/>
    <n v="0"/>
    <n v="1"/>
    <n v="1"/>
    <n v="0"/>
    <n v="1"/>
    <x v="0"/>
    <x v="1"/>
    <x v="32"/>
    <x v="68"/>
    <x v="20"/>
    <s v="Partner Rights Delivery"/>
    <s v="TBC if activated"/>
  </r>
  <r>
    <s v="TVLGIP"/>
    <x v="5"/>
    <s v="CATV"/>
    <s v=""/>
    <s v=""/>
    <s v="Large TV - CATV Feed"/>
    <s v="TVLGIP - TV - Large - IPTV"/>
    <n v="1"/>
    <n v="1"/>
    <n v="0"/>
    <n v="1"/>
    <n v="1"/>
    <n v="0"/>
    <x v="0"/>
    <x v="0"/>
    <x v="30"/>
    <x v="64"/>
    <x v="20"/>
    <s v="Partner Rights Delivery"/>
    <s v="temporarily deployed in SPS"/>
  </r>
  <r>
    <s v="TVSTND"/>
    <x v="6"/>
    <s v="Peripherals"/>
    <s v=""/>
    <s v=""/>
    <s v="TV Stand for medium and large TVs"/>
    <s v="TVSTND - TV Stand - Medium &amp; Large TVs"/>
    <n v="1"/>
    <n v="0"/>
    <n v="0"/>
    <n v="1"/>
    <n v="0"/>
    <n v="0"/>
    <x v="0"/>
    <x v="0"/>
    <x v="30"/>
    <x v="64"/>
    <x v="20"/>
    <s v="Partner Rights Delivery"/>
    <m/>
  </r>
  <r>
    <s v="WRDMED"/>
    <x v="3"/>
    <s v="Network &amp; Connectivity"/>
    <s v=""/>
    <s v="Media Internet Access Media"/>
    <s v="Wired Port - Internet for Media"/>
    <s v="WRDMED - Wired Port - Media Internet (Media Internet Access Media)"/>
    <n v="1"/>
    <n v="1"/>
    <n v="0"/>
    <n v="1"/>
    <n v="1"/>
    <n v="0"/>
    <x v="0"/>
    <x v="1"/>
    <x v="18"/>
    <x v="69"/>
    <x v="20"/>
    <s v="Partner Rights Delivery"/>
    <s v="to be kept for the Arab Cup"/>
  </r>
  <r>
    <s v="TABLEN"/>
    <x v="7"/>
    <s v="FIFA IT Hardware"/>
    <s v="Single"/>
    <s v=""/>
    <s v="Professional Series Tablet + 4G"/>
    <s v="TABLEN - Tablet - FIFA Professional Tablet + 4G"/>
    <n v="1"/>
    <n v="0"/>
    <n v="1"/>
    <n v="1"/>
    <n v="0"/>
    <n v="1"/>
    <x v="1"/>
    <x v="0"/>
    <x v="10"/>
    <x v="70"/>
    <x v="21"/>
    <s v="Safeguarding"/>
    <m/>
  </r>
  <r>
    <s v="SIMDAT"/>
    <x v="18"/>
    <s v="Telephony"/>
    <s v=""/>
    <s v=""/>
    <s v="Local SIM Card - Data Only"/>
    <s v="SIMDAT - SIM - Data Only"/>
    <m/>
    <n v="0"/>
    <n v="37"/>
    <n v="37"/>
    <n v="0"/>
    <n v="37"/>
    <x v="0"/>
    <x v="0"/>
    <x v="33"/>
    <x v="70"/>
    <x v="22"/>
    <s v="LOC Access Management "/>
    <m/>
  </r>
  <r>
    <s v="ITSR4G"/>
    <x v="38"/>
    <s v="FIFA IT Network Solutions"/>
    <s v=""/>
    <s v=""/>
    <s v="IT Solution - Router + 4G"/>
    <s v="ITSR4G - IT Solution - Router + 4G"/>
    <m/>
    <n v="0"/>
    <n v="2"/>
    <n v="2"/>
    <n v="0"/>
    <n v="2"/>
    <x v="0"/>
    <x v="0"/>
    <x v="33"/>
    <x v="70"/>
    <x v="22"/>
    <s v="LOC Access Management "/>
    <m/>
  </r>
  <r>
    <s v="SIMDAT"/>
    <x v="18"/>
    <s v="Telephony"/>
    <s v=""/>
    <s v=""/>
    <s v="Local SIM Card - Data Only"/>
    <s v="SIMDAT - SIM - Data Only"/>
    <m/>
    <n v="0"/>
    <n v="90"/>
    <n v="90"/>
    <n v="0"/>
    <n v="90"/>
    <x v="0"/>
    <x v="1"/>
    <x v="33"/>
    <x v="70"/>
    <x v="22"/>
    <s v="LOC Access Management "/>
    <m/>
  </r>
  <r>
    <s v="ITSR4G"/>
    <x v="38"/>
    <s v="FIFA IT Network Solutions"/>
    <s v=""/>
    <s v=""/>
    <s v="IT Solution - Router + 4G"/>
    <s v="ITSR4G - IT Solution - Router + 4G"/>
    <m/>
    <n v="0"/>
    <n v="2"/>
    <n v="2"/>
    <n v="0"/>
    <n v="2"/>
    <x v="0"/>
    <x v="1"/>
    <x v="33"/>
    <x v="70"/>
    <x v="22"/>
    <s v="LOC Access Management "/>
    <m/>
  </r>
  <r>
    <s v="MFDDNW"/>
    <x v="2"/>
    <s v="Reprographics"/>
    <s v=""/>
    <s v="General Internet Access"/>
    <s v="Colour Printer / Scanner (A4)"/>
    <s v="MFDDNW - MFD Desktop - Colour - A4 - Network (General Internet Access)"/>
    <m/>
    <n v="0"/>
    <n v="0"/>
    <n v="0"/>
    <n v="0"/>
    <n v="0"/>
    <x v="0"/>
    <x v="2"/>
    <x v="34"/>
    <x v="71"/>
    <x v="23"/>
    <s v="LOC Accreditation"/>
    <s v="PK 17.09: Transferred to FAC scope"/>
  </r>
  <r>
    <s v="MFDLNW"/>
    <x v="34"/>
    <s v="Reprographics"/>
    <s v=""/>
    <s v="General Internet Access"/>
    <s v="Large Colour Printer / Scanner (A3)"/>
    <s v="MFDLNW - MFD Large - Colour - A3 - Network (General Internet Access)"/>
    <m/>
    <n v="0"/>
    <n v="0"/>
    <n v="0"/>
    <n v="0"/>
    <n v="0"/>
    <x v="0"/>
    <x v="2"/>
    <x v="34"/>
    <x v="72"/>
    <x v="23"/>
    <s v="LOC Accreditation"/>
    <s v="PK 17.09: Transferred to FAC scope"/>
  </r>
  <r>
    <s v="LAPEVT"/>
    <x v="17"/>
    <s v="FIFA IT Hardware"/>
    <s v=""/>
    <s v=""/>
    <s v="FIFA Laptop"/>
    <s v="LAPEVT - Laptop - FIFA Event Build"/>
    <m/>
    <n v="0"/>
    <n v="0"/>
    <n v="0"/>
    <n v="0"/>
    <n v="0"/>
    <x v="0"/>
    <x v="2"/>
    <x v="34"/>
    <x v="71"/>
    <x v="23"/>
    <s v="LOC Accreditation"/>
    <s v="PK 17.09: Transferred to FAC scope"/>
  </r>
  <r>
    <s v="ACCBAR"/>
    <x v="39"/>
    <s v="Peripherals"/>
    <s v=""/>
    <s v=""/>
    <s v="Barcode scanner"/>
    <s v="ACCBAR - Barcode scanner"/>
    <m/>
    <n v="0"/>
    <n v="0"/>
    <n v="0"/>
    <n v="0"/>
    <n v="0"/>
    <x v="0"/>
    <x v="2"/>
    <x v="34"/>
    <x v="71"/>
    <x v="23"/>
    <s v="LOC Accreditation"/>
    <s v="PK 17.09: Transferred to FAC scope"/>
  </r>
  <r>
    <s v="WRDGEN"/>
    <x v="8"/>
    <s v="Network &amp; Connectivity"/>
    <s v=""/>
    <s v="General Internet Access"/>
    <s v="Wired Port - Internet"/>
    <s v="WRDGEN - Wired Port - General Internet  (General Internet Access)"/>
    <m/>
    <n v="0"/>
    <n v="0"/>
    <n v="0"/>
    <n v="0"/>
    <n v="0"/>
    <x v="0"/>
    <x v="2"/>
    <x v="34"/>
    <x v="71"/>
    <x v="23"/>
    <s v="LOC Accreditation"/>
    <s v="PK 17.09: Transferred to FAC scope"/>
  </r>
  <r>
    <s v="IS00WF"/>
    <x v="1"/>
    <s v="Network &amp; Connectivity"/>
    <s v=""/>
    <s v="General Internet Access"/>
    <s v="Wireless coverage - Shared Internet Service - FIFA"/>
    <s v="IS00WF - Wireless coverage - Shared Internet Service - Wi-Fi FIFA (General Internet Access)"/>
    <m/>
    <n v="0"/>
    <n v="0"/>
    <n v="0"/>
    <n v="0"/>
    <n v="0"/>
    <x v="0"/>
    <x v="2"/>
    <x v="34"/>
    <x v="73"/>
    <x v="23"/>
    <s v="LOC Accreditation"/>
    <s v="PK 17.09: Transferred to FAC scope"/>
  </r>
  <r>
    <s v="TVLGIP"/>
    <x v="5"/>
    <s v="CATV"/>
    <s v=""/>
    <s v=""/>
    <s v="Large TV - CATV Feed"/>
    <s v="TVLGIP - TV - Large - IPTV"/>
    <m/>
    <n v="0"/>
    <n v="0"/>
    <n v="0"/>
    <n v="0"/>
    <n v="0"/>
    <x v="0"/>
    <x v="2"/>
    <x v="34"/>
    <x v="74"/>
    <x v="23"/>
    <s v="LOC Accreditation"/>
    <s v="PK 17.09: Transferred to FAC scope"/>
  </r>
  <r>
    <s v="LAPEVT"/>
    <x v="17"/>
    <s v="FIFA IT Hardware"/>
    <s v=""/>
    <s v=""/>
    <s v="FIFA Laptop"/>
    <s v="LAPEVT - Laptop - FIFA Event Build"/>
    <m/>
    <n v="0"/>
    <n v="0"/>
    <n v="2"/>
    <n v="0"/>
    <n v="0"/>
    <x v="0"/>
    <x v="0"/>
    <x v="35"/>
    <x v="75"/>
    <x v="24"/>
    <s v="LOC Catering"/>
    <m/>
  </r>
  <r>
    <s v="LAPEVT"/>
    <x v="17"/>
    <s v="FIFA IT Hardware"/>
    <s v=""/>
    <s v=""/>
    <s v="FIFA Laptop"/>
    <s v="LAPEVT - Laptop - FIFA Event Build"/>
    <m/>
    <n v="0"/>
    <n v="0"/>
    <n v="2"/>
    <n v="0"/>
    <n v="0"/>
    <x v="0"/>
    <x v="1"/>
    <x v="33"/>
    <x v="75"/>
    <x v="24"/>
    <s v="LOC Catering"/>
    <m/>
  </r>
  <r>
    <s v="ACCBAR"/>
    <x v="39"/>
    <s v="Peripherals"/>
    <s v=""/>
    <s v=""/>
    <s v="Barcode scanner"/>
    <s v="ACCBAR - Barcode scanner"/>
    <m/>
    <n v="0"/>
    <n v="0"/>
    <n v="2"/>
    <n v="0"/>
    <n v="0"/>
    <x v="0"/>
    <x v="0"/>
    <x v="35"/>
    <x v="75"/>
    <x v="24"/>
    <s v="LOC Catering"/>
    <m/>
  </r>
  <r>
    <s v="ACCBAR"/>
    <x v="39"/>
    <s v="Peripherals"/>
    <s v=""/>
    <s v=""/>
    <s v="Barcode scanner"/>
    <s v="ACCBAR - Barcode scanner"/>
    <m/>
    <n v="0"/>
    <n v="0"/>
    <n v="2"/>
    <n v="0"/>
    <n v="0"/>
    <x v="0"/>
    <x v="1"/>
    <x v="33"/>
    <x v="75"/>
    <x v="24"/>
    <s v="LOC Catering"/>
    <m/>
  </r>
  <r>
    <s v="TVLGSA"/>
    <x v="15"/>
    <s v="Display Devices"/>
    <s v=""/>
    <s v=""/>
    <s v="Large TV - Standalone"/>
    <s v="TVLGSA - TV - Large - Standalone"/>
    <m/>
    <n v="0"/>
    <n v="0"/>
    <n v="1"/>
    <n v="0"/>
    <n v="0"/>
    <x v="0"/>
    <x v="0"/>
    <x v="36"/>
    <x v="76"/>
    <x v="25"/>
    <s v="LOC Events and Community Relations "/>
    <s v=" "/>
  </r>
  <r>
    <s v="LAPEVT"/>
    <x v="17"/>
    <s v="FIFA IT Hardware"/>
    <s v=""/>
    <s v=""/>
    <s v="FIFA Laptop"/>
    <s v="LAPEVT - Laptop - FIFA Event Build"/>
    <m/>
    <n v="0"/>
    <n v="0"/>
    <n v="2"/>
    <n v="0"/>
    <n v="0"/>
    <x v="0"/>
    <x v="0"/>
    <x v="36"/>
    <x v="76"/>
    <x v="25"/>
    <s v="LOC Events and Community Relations "/>
    <s v=" "/>
  </r>
  <r>
    <s v="MFDDNW"/>
    <x v="2"/>
    <s v="Reprographics"/>
    <s v=""/>
    <s v="General Internet Access"/>
    <s v="Colour Printer / Scanner (A4)"/>
    <s v="MFDDNW - MFD Desktop - Colour - A4 - Network (General Internet Access)"/>
    <m/>
    <n v="1"/>
    <n v="0"/>
    <n v="1"/>
    <n v="1"/>
    <n v="0"/>
    <x v="0"/>
    <x v="0"/>
    <x v="36"/>
    <x v="76"/>
    <x v="25"/>
    <s v="LOC Events and Community Relations "/>
    <s v=" "/>
  </r>
  <r>
    <s v="IS00WF"/>
    <x v="1"/>
    <s v="Network &amp; Connectivity"/>
    <s v=""/>
    <s v="General Internet Access"/>
    <s v="Wireless coverage - Shared Internet Service - FIFA"/>
    <s v="IS00WF - Wireless coverage - Shared Internet Service - Wi-Fi FIFA (General Internet Access)"/>
    <m/>
    <n v="0"/>
    <n v="0"/>
    <n v="2"/>
    <n v="0"/>
    <n v="0"/>
    <x v="0"/>
    <x v="0"/>
    <x v="36"/>
    <x v="76"/>
    <x v="25"/>
    <s v="LOC Events and Community Relations "/>
    <s v=" "/>
  </r>
  <r>
    <s v="TVLGSA"/>
    <x v="15"/>
    <s v="Display Devices"/>
    <s v=""/>
    <s v=""/>
    <s v="Large TV - Standalone"/>
    <s v="TVLGSA - TV - Large - Standalone"/>
    <m/>
    <n v="0"/>
    <n v="0"/>
    <n v="1"/>
    <n v="0"/>
    <n v="0"/>
    <x v="0"/>
    <x v="1"/>
    <x v="37"/>
    <x v="76"/>
    <x v="25"/>
    <s v="LOC Events and Community Relations "/>
    <s v=" "/>
  </r>
  <r>
    <s v="LAPEVT"/>
    <x v="17"/>
    <s v="FIFA IT Hardware"/>
    <s v=""/>
    <s v=""/>
    <s v="FIFA Laptop"/>
    <s v="LAPEVT - Laptop - FIFA Event Build"/>
    <m/>
    <n v="0"/>
    <n v="0"/>
    <n v="2"/>
    <n v="0"/>
    <n v="0"/>
    <x v="0"/>
    <x v="1"/>
    <x v="37"/>
    <x v="76"/>
    <x v="25"/>
    <s v="LOC Events and Community Relations "/>
    <s v=" "/>
  </r>
  <r>
    <s v="MFDDNW"/>
    <x v="2"/>
    <s v="Reprographics"/>
    <s v=""/>
    <s v="General Internet Access"/>
    <s v="Colour Printer / Scanner (A4)"/>
    <s v="MFDDNW - MFD Desktop - Colour - A4 - Network (General Internet Access)"/>
    <m/>
    <n v="1"/>
    <n v="0"/>
    <n v="1"/>
    <n v="1"/>
    <n v="0"/>
    <x v="0"/>
    <x v="1"/>
    <x v="37"/>
    <x v="76"/>
    <x v="25"/>
    <s v="LOC Events and Community Relations "/>
    <s v=" "/>
  </r>
  <r>
    <s v="IS00WF"/>
    <x v="1"/>
    <s v="Network &amp; Connectivity"/>
    <s v=""/>
    <s v="General Internet Access"/>
    <s v="Wireless coverage - Shared Internet Service - FIFA"/>
    <s v="IS00WF - Wireless coverage - Shared Internet Service - Wi-Fi FIFA (General Internet Access)"/>
    <m/>
    <n v="0"/>
    <n v="0"/>
    <n v="2"/>
    <n v="0"/>
    <n v="0"/>
    <x v="0"/>
    <x v="1"/>
    <x v="37"/>
    <x v="76"/>
    <x v="25"/>
    <s v="LOC Events and Community Relations "/>
    <s v=" "/>
  </r>
  <r>
    <s v="IS00WF"/>
    <x v="1"/>
    <s v="Network &amp; Connectivity"/>
    <s v=""/>
    <s v="General Internet Access"/>
    <s v="Wireless coverage - Shared Internet Service - FIFA"/>
    <s v="IS00WF - Wireless coverage - Shared Internet Service - Wi-Fi FIFA (General Internet Access)"/>
    <m/>
    <n v="0"/>
    <n v="0"/>
    <n v="1"/>
    <n v="0"/>
    <n v="0"/>
    <x v="0"/>
    <x v="0"/>
    <x v="1"/>
    <x v="77"/>
    <x v="26"/>
    <s v="LOC Food &amp; Beverage Concessions"/>
    <s v=" "/>
  </r>
  <r>
    <s v="IS00WF"/>
    <x v="1"/>
    <s v="Network &amp; Connectivity"/>
    <s v=""/>
    <s v="General Internet Access"/>
    <s v="Wireless coverage - Shared Internet Service - FIFA"/>
    <s v="IS00WF - Wireless coverage - Shared Internet Service - Wi-Fi FIFA (General Internet Access)"/>
    <m/>
    <n v="0"/>
    <n v="0"/>
    <n v="1"/>
    <n v="0"/>
    <n v="0"/>
    <x v="0"/>
    <x v="0"/>
    <x v="4"/>
    <x v="77"/>
    <x v="26"/>
    <s v="LOC Food &amp; Beverage Concessions"/>
    <s v=" "/>
  </r>
  <r>
    <s v="IS00WF"/>
    <x v="1"/>
    <s v="Network &amp; Connectivity"/>
    <s v=""/>
    <s v="General Internet Access"/>
    <s v="Wireless coverage - Shared Internet Service - FIFA"/>
    <s v="IS00WF - Wireless coverage - Shared Internet Service - Wi-Fi FIFA (General Internet Access)"/>
    <m/>
    <n v="0"/>
    <n v="0"/>
    <n v="6"/>
    <n v="0"/>
    <n v="0"/>
    <x v="0"/>
    <x v="0"/>
    <x v="33"/>
    <x v="78"/>
    <x v="27"/>
    <s v="LOC Logistics"/>
    <m/>
  </r>
  <r>
    <s v="MFDDNW"/>
    <x v="2"/>
    <s v="Reprographics"/>
    <s v=""/>
    <s v="General Internet Access"/>
    <s v="Colour Printer / Scanner (A4)"/>
    <s v="MFDDNW - MFD Desktop - Colour - A4 - Network (General Internet Access)"/>
    <m/>
    <n v="1"/>
    <n v="0"/>
    <n v="1"/>
    <n v="1"/>
    <n v="0"/>
    <x v="0"/>
    <x v="0"/>
    <x v="33"/>
    <x v="78"/>
    <x v="27"/>
    <s v="LOC Logistics"/>
    <m/>
  </r>
  <r>
    <s v="IS00WF"/>
    <x v="1"/>
    <s v="Network &amp; Connectivity"/>
    <s v=""/>
    <s v="General Internet Access"/>
    <s v="Wireless coverage - Shared Internet Service - FIFA"/>
    <s v="IS00WF - Wireless coverage - Shared Internet Service - Wi-Fi FIFA (General Internet Access)"/>
    <m/>
    <n v="0"/>
    <n v="0"/>
    <n v="4"/>
    <n v="0"/>
    <n v="0"/>
    <x v="0"/>
    <x v="1"/>
    <x v="33"/>
    <x v="78"/>
    <x v="27"/>
    <s v="LOC Logistics"/>
    <m/>
  </r>
  <r>
    <s v="MFDDNW"/>
    <x v="2"/>
    <s v="Reprographics"/>
    <s v=""/>
    <s v="General Internet Access"/>
    <s v="Colour Printer / Scanner (A4)"/>
    <s v="MFDDNW - MFD Desktop - Colour - A4 - Network (General Internet Access)"/>
    <m/>
    <n v="1"/>
    <n v="0"/>
    <n v="1"/>
    <n v="1"/>
    <n v="0"/>
    <x v="0"/>
    <x v="1"/>
    <x v="33"/>
    <x v="78"/>
    <x v="27"/>
    <s v="LOC Logistics"/>
    <m/>
  </r>
  <r>
    <s v="LAPEVT"/>
    <x v="17"/>
    <s v="FIFA IT Hardware"/>
    <s v=""/>
    <s v=""/>
    <s v="FIFA Laptop"/>
    <s v="LAPEVT - Laptop - FIFA Event Build"/>
    <m/>
    <n v="0"/>
    <n v="0"/>
    <n v="0"/>
    <n v="0"/>
    <n v="0"/>
    <x v="0"/>
    <x v="2"/>
    <x v="38"/>
    <x v="79"/>
    <x v="27"/>
    <s v="LOC Logistics"/>
    <s v="PK 17.09: Transferred to FAC scope"/>
  </r>
  <r>
    <s v="MFDDNW"/>
    <x v="2"/>
    <s v="Reprographics"/>
    <s v=""/>
    <s v="General Internet Access"/>
    <s v="Colour Printer / Scanner (A4)"/>
    <s v="MFDDNW - MFD Desktop - Colour - A4 - Network (General Internet Access)"/>
    <m/>
    <n v="0"/>
    <n v="0"/>
    <n v="0"/>
    <n v="0"/>
    <n v="0"/>
    <x v="0"/>
    <x v="2"/>
    <x v="38"/>
    <x v="79"/>
    <x v="27"/>
    <s v="LOC Logistics"/>
    <s v="PK 17.09: Transferred to FAC scope"/>
  </r>
  <r>
    <s v="IS00WF"/>
    <x v="1"/>
    <s v="Network &amp; Connectivity"/>
    <s v=""/>
    <s v="General Internet Access"/>
    <s v="Wireless coverage - Shared Internet Service - FIFA"/>
    <s v="IS00WF - Wireless coverage - Shared Internet Service - Wi-Fi FIFA (General Internet Access)"/>
    <m/>
    <n v="0"/>
    <n v="0"/>
    <n v="0"/>
    <n v="0"/>
    <n v="0"/>
    <x v="0"/>
    <x v="2"/>
    <x v="38"/>
    <x v="79"/>
    <x v="27"/>
    <s v="LOC Logistics"/>
    <s v="PK 17.09: Transferred to FAC scope"/>
  </r>
  <r>
    <s v="WRDGEN"/>
    <x v="8"/>
    <s v="Network &amp; Connectivity"/>
    <s v=""/>
    <s v="General Internet Access"/>
    <s v="Wired Port - Internet"/>
    <s v="WRDGEN - Wired Port - General Internet  (General Internet Access)"/>
    <m/>
    <n v="6"/>
    <n v="0"/>
    <n v="6"/>
    <n v="6"/>
    <n v="0"/>
    <x v="0"/>
    <x v="0"/>
    <x v="33"/>
    <x v="78"/>
    <x v="27"/>
    <s v="LOC Logistics"/>
    <m/>
  </r>
  <r>
    <s v="WRDGEN"/>
    <x v="8"/>
    <s v="Network &amp; Connectivity"/>
    <s v=""/>
    <s v="General Internet Access"/>
    <s v="Wired Port - Internet"/>
    <s v="WRDGEN - Wired Port - General Internet  (General Internet Access)"/>
    <m/>
    <n v="4"/>
    <n v="0"/>
    <n v="4"/>
    <n v="4"/>
    <n v="0"/>
    <x v="0"/>
    <x v="1"/>
    <x v="33"/>
    <x v="78"/>
    <x v="27"/>
    <s v="LOC Logistics"/>
    <m/>
  </r>
  <r>
    <s v="TVLGIP"/>
    <x v="5"/>
    <s v="CATV"/>
    <s v=""/>
    <s v=""/>
    <s v="Large TV - CATV Feed"/>
    <s v="TVLGIP - TV - Large - IPTV"/>
    <m/>
    <n v="0"/>
    <n v="0"/>
    <n v="0"/>
    <n v="0"/>
    <n v="0"/>
    <x v="0"/>
    <x v="2"/>
    <x v="33"/>
    <x v="80"/>
    <x v="27"/>
    <s v="LOC Logistics"/>
    <s v="PK 17.09: Transferred to FAC scope"/>
  </r>
  <r>
    <s v="WRDGEN"/>
    <x v="8"/>
    <s v="Network &amp; Connectivity"/>
    <s v=""/>
    <s v="General Internet Access"/>
    <s v="Wired Port - Internet"/>
    <s v="WRDGEN - Wired Port - General Internet  (General Internet Access)"/>
    <m/>
    <n v="0"/>
    <n v="0"/>
    <n v="0"/>
    <n v="0"/>
    <n v="0"/>
    <x v="0"/>
    <x v="2"/>
    <x v="33"/>
    <x v="80"/>
    <x v="27"/>
    <s v="LOC Logistics"/>
    <s v="PK 17.09: Transferred to FAC scope"/>
  </r>
  <r>
    <s v="MFDLNW"/>
    <x v="34"/>
    <s v="Reprographics"/>
    <s v=""/>
    <s v="General Internet Access"/>
    <s v="Large Colour Printer / Scanner (A3)"/>
    <s v="MFDLNW - MFD Large - Colour - A3 - Network (General Internet Access)"/>
    <m/>
    <n v="0"/>
    <n v="0"/>
    <n v="0"/>
    <n v="0"/>
    <n v="0"/>
    <x v="0"/>
    <x v="2"/>
    <x v="33"/>
    <x v="80"/>
    <x v="27"/>
    <s v="LOC Logistics"/>
    <s v="PK 17.09: Transferred to FAC scope"/>
  </r>
  <r>
    <s v="IS00WF"/>
    <x v="1"/>
    <s v="Network &amp; Connectivity"/>
    <s v=""/>
    <s v="General Internet Access"/>
    <s v="Wireless coverage - Shared Internet Service - FIFA"/>
    <s v="IS00WF - Wireless coverage - Shared Internet Service - Wi-Fi FIFA (General Internet Access)"/>
    <m/>
    <n v="0"/>
    <n v="0"/>
    <n v="1"/>
    <n v="0"/>
    <n v="0"/>
    <x v="0"/>
    <x v="0"/>
    <x v="13"/>
    <x v="81"/>
    <x v="28"/>
    <s v="LOC Medical"/>
    <m/>
  </r>
  <r>
    <s v="IS00WF"/>
    <x v="1"/>
    <s v="Network &amp; Connectivity"/>
    <s v=""/>
    <s v="General Internet Access"/>
    <s v="Wireless coverage - Shared Internet Service - FIFA"/>
    <s v="IS00WF - Wireless coverage - Shared Internet Service - Wi-Fi FIFA (General Internet Access)"/>
    <m/>
    <n v="0"/>
    <n v="0"/>
    <n v="1"/>
    <n v="0"/>
    <n v="0"/>
    <x v="0"/>
    <x v="0"/>
    <x v="6"/>
    <x v="82"/>
    <x v="28"/>
    <s v="LOC Medical"/>
    <m/>
  </r>
  <r>
    <s v="IS00WF"/>
    <x v="1"/>
    <s v="Network &amp; Connectivity"/>
    <s v=""/>
    <s v="General Internet Access"/>
    <s v="Wireless coverage - Shared Internet Service - FIFA"/>
    <s v="IS00WF - Wireless coverage - Shared Internet Service - Wi-Fi FIFA (General Internet Access)"/>
    <m/>
    <n v="0"/>
    <n v="0"/>
    <n v="1"/>
    <n v="0"/>
    <n v="0"/>
    <x v="0"/>
    <x v="0"/>
    <x v="0"/>
    <x v="83"/>
    <x v="28"/>
    <s v="LOC Medical"/>
    <m/>
  </r>
  <r>
    <s v="TVLGIP"/>
    <x v="5"/>
    <s v="CATV"/>
    <s v=""/>
    <s v=""/>
    <s v="Large TV - CATV Feed"/>
    <s v="TVLGIP - TV - Large - IPTV"/>
    <m/>
    <n v="1"/>
    <n v="0"/>
    <n v="1"/>
    <n v="1"/>
    <n v="0"/>
    <x v="0"/>
    <x v="0"/>
    <x v="6"/>
    <x v="82"/>
    <x v="28"/>
    <s v="LOC Medical"/>
    <m/>
  </r>
  <r>
    <s v="TVLGIP"/>
    <x v="5"/>
    <s v="CATV"/>
    <s v=""/>
    <s v=""/>
    <s v="Large TV - CATV Feed"/>
    <s v="TVLGIP - TV - Large - IPTV"/>
    <m/>
    <n v="1"/>
    <n v="0"/>
    <n v="1"/>
    <n v="1"/>
    <n v="0"/>
    <x v="0"/>
    <x v="0"/>
    <x v="0"/>
    <x v="83"/>
    <x v="28"/>
    <s v="LOC Medical"/>
    <m/>
  </r>
  <r>
    <s v="IS00WF"/>
    <x v="1"/>
    <s v="Network &amp; Connectivity"/>
    <s v=""/>
    <s v="General Internet Access"/>
    <s v="Wireless coverage - Shared Internet Service - FIFA"/>
    <s v="IS00WF - Wireless coverage - Shared Internet Service - Wi-Fi FIFA (General Internet Access)"/>
    <m/>
    <n v="0"/>
    <n v="0"/>
    <n v="1"/>
    <n v="0"/>
    <n v="0"/>
    <x v="0"/>
    <x v="0"/>
    <x v="39"/>
    <x v="84"/>
    <x v="28"/>
    <s v="LOC Medical"/>
    <m/>
  </r>
  <r>
    <s v="TVLGIP"/>
    <x v="5"/>
    <s v="CATV"/>
    <s v=""/>
    <s v=""/>
    <s v="Large TV - CATV Feed"/>
    <s v="TVLGIP - TV - Large - IPTV"/>
    <m/>
    <n v="1"/>
    <n v="0"/>
    <n v="1"/>
    <n v="1"/>
    <n v="0"/>
    <x v="0"/>
    <x v="1"/>
    <x v="40"/>
    <x v="85"/>
    <x v="28"/>
    <s v="LOC Medical"/>
    <m/>
  </r>
  <r>
    <s v="IS00WF"/>
    <x v="1"/>
    <s v="Network &amp; Connectivity"/>
    <s v=""/>
    <s v="General Internet Access"/>
    <s v="Wireless coverage - Shared Internet Service - FIFA"/>
    <s v="IS00WF - Wireless coverage - Shared Internet Service - Wi-Fi FIFA (General Internet Access)"/>
    <m/>
    <n v="0"/>
    <n v="0"/>
    <n v="1"/>
    <n v="0"/>
    <n v="0"/>
    <x v="0"/>
    <x v="1"/>
    <x v="40"/>
    <x v="85"/>
    <x v="28"/>
    <s v="LOC Medical"/>
    <m/>
  </r>
  <r>
    <s v="IS00WF"/>
    <x v="1"/>
    <s v="Network &amp; Connectivity"/>
    <s v=""/>
    <s v="General Internet Access"/>
    <s v="Wireless coverage - Shared Internet Service - FIFA"/>
    <s v="IS00WF - Wireless coverage - Shared Internet Service - Wi-Fi FIFA (General Internet Access)"/>
    <m/>
    <n v="0"/>
    <n v="0"/>
    <n v="1"/>
    <n v="0"/>
    <n v="0"/>
    <x v="0"/>
    <x v="1"/>
    <x v="41"/>
    <x v="81"/>
    <x v="28"/>
    <s v="LOC Medical"/>
    <m/>
  </r>
  <r>
    <s v="IS00WF"/>
    <x v="1"/>
    <s v="Network &amp; Connectivity"/>
    <s v=""/>
    <s v="General Internet Access"/>
    <s v="Wireless coverage - Shared Internet Service - FIFA"/>
    <s v="IS00WF - Wireless coverage - Shared Internet Service - Wi-Fi FIFA (General Internet Access)"/>
    <m/>
    <n v="0"/>
    <n v="0"/>
    <n v="1"/>
    <n v="0"/>
    <n v="0"/>
    <x v="0"/>
    <x v="1"/>
    <x v="41"/>
    <x v="86"/>
    <x v="28"/>
    <s v="LOC Medical"/>
    <m/>
  </r>
  <r>
    <s v="IS00WF"/>
    <x v="1"/>
    <s v="Network &amp; Connectivity"/>
    <s v=""/>
    <s v="General Internet Access"/>
    <s v="Wireless coverage - Shared Internet Service - FIFA"/>
    <s v="IS00WF - Wireless coverage - Shared Internet Service - Wi-Fi FIFA (General Internet Access)"/>
    <m/>
    <n v="0"/>
    <n v="0"/>
    <n v="2"/>
    <n v="0"/>
    <n v="0"/>
    <x v="0"/>
    <x v="1"/>
    <x v="42"/>
    <x v="87"/>
    <x v="28"/>
    <s v="LOC Medical"/>
    <m/>
  </r>
  <r>
    <s v="ACCBAR"/>
    <x v="39"/>
    <s v="Peripherals"/>
    <s v=""/>
    <s v=""/>
    <s v="Barcode scanner"/>
    <s v="ACCBAR - Barcode scanner"/>
    <m/>
    <n v="0"/>
    <n v="0"/>
    <n v="5"/>
    <n v="0"/>
    <n v="0"/>
    <x v="0"/>
    <x v="0"/>
    <x v="35"/>
    <x v="88"/>
    <x v="29"/>
    <s v="LOC Spectator Services"/>
    <m/>
  </r>
  <r>
    <s v="LAPEVT"/>
    <x v="17"/>
    <s v="FIFA IT Hardware"/>
    <s v=""/>
    <s v=""/>
    <s v="FIFA Laptop"/>
    <s v="LAPEVT - Laptop - FIFA Event Build"/>
    <m/>
    <n v="0"/>
    <n v="0"/>
    <n v="4"/>
    <n v="0"/>
    <n v="0"/>
    <x v="0"/>
    <x v="0"/>
    <x v="35"/>
    <x v="88"/>
    <x v="29"/>
    <s v="LOC Spectator Services"/>
    <m/>
  </r>
  <r>
    <s v="TABLEN"/>
    <x v="7"/>
    <s v="FIFA IT Hardware"/>
    <s v=""/>
    <s v=""/>
    <s v="Professional Series Tablet + 4G"/>
    <s v="TABLEN - Tablet - FIFA Professional Tablet + 4G"/>
    <m/>
    <n v="0"/>
    <n v="3"/>
    <n v="3"/>
    <n v="0"/>
    <n v="3"/>
    <x v="0"/>
    <x v="0"/>
    <x v="35"/>
    <x v="88"/>
    <x v="29"/>
    <s v="LOC Spectator Services"/>
    <m/>
  </r>
  <r>
    <s v="ITSR4G"/>
    <x v="38"/>
    <s v="FIFA IT Network Solutions"/>
    <s v=""/>
    <s v=""/>
    <s v="IT Solution - Router + 4G"/>
    <s v="ITSR4G - IT Solution - Router + 4G"/>
    <m/>
    <n v="0"/>
    <n v="3"/>
    <n v="3"/>
    <n v="0"/>
    <n v="3"/>
    <x v="0"/>
    <x v="0"/>
    <x v="35"/>
    <x v="88"/>
    <x v="29"/>
    <s v="LOC Spectator Services"/>
    <m/>
  </r>
  <r>
    <s v="MFDDNW"/>
    <x v="2"/>
    <s v="Reprographics"/>
    <s v=""/>
    <s v="General Internet Access"/>
    <s v="Colour Printer / Scanner (A4)"/>
    <s v="MFDDNW - MFD Desktop - Colour - A4 - Network (General Internet Access)"/>
    <m/>
    <n v="1"/>
    <n v="0"/>
    <n v="1"/>
    <n v="1"/>
    <n v="0"/>
    <x v="0"/>
    <x v="0"/>
    <x v="35"/>
    <x v="89"/>
    <x v="29"/>
    <s v="LOC Spectator Services"/>
    <m/>
  </r>
  <r>
    <s v="IS00WF"/>
    <x v="1"/>
    <s v="Network &amp; Connectivity"/>
    <s v=""/>
    <s v="General Internet Access"/>
    <s v="Wireless coverage - Shared Internet Service - FIFA"/>
    <s v="IS00WF - Wireless coverage - Shared Internet Service - Wi-Fi FIFA (General Internet Access)"/>
    <m/>
    <n v="0"/>
    <n v="0"/>
    <n v="1"/>
    <n v="0"/>
    <n v="0"/>
    <x v="0"/>
    <x v="0"/>
    <x v="35"/>
    <x v="89"/>
    <x v="29"/>
    <s v="LOC Spectator Services"/>
    <m/>
  </r>
  <r>
    <s v="TELMOB"/>
    <x v="21"/>
    <s v="Telephony"/>
    <m/>
    <m/>
    <m/>
    <m/>
    <m/>
    <m/>
    <m/>
    <n v="2"/>
    <n v="0"/>
    <n v="2"/>
    <x v="0"/>
    <x v="0"/>
    <x v="35"/>
    <x v="90"/>
    <x v="29"/>
    <s v="LOC Spectator Services"/>
    <s v="MI 23.10: CR011: Change request to provide 2 mobile phones for SPS team. Changed code to TELMOB from SIMDAT "/>
  </r>
  <r>
    <s v="ACCBAR"/>
    <x v="39"/>
    <s v="Peripherals"/>
    <s v=""/>
    <s v=""/>
    <s v="Barcode scanner"/>
    <s v="ACCBAR - Barcode scanner"/>
    <m/>
    <n v="0"/>
    <n v="0"/>
    <n v="1"/>
    <n v="0"/>
    <n v="0"/>
    <x v="0"/>
    <x v="0"/>
    <x v="35"/>
    <x v="90"/>
    <x v="29"/>
    <s v="LOC Spectator Services"/>
    <m/>
  </r>
  <r>
    <s v="ACCBAR"/>
    <x v="39"/>
    <s v="Peripherals"/>
    <s v=""/>
    <s v=""/>
    <s v="Barcode scanner"/>
    <s v="ACCBAR - Barcode scanner"/>
    <m/>
    <n v="0"/>
    <n v="0"/>
    <n v="1"/>
    <n v="0"/>
    <n v="0"/>
    <x v="0"/>
    <x v="1"/>
    <x v="8"/>
    <x v="89"/>
    <x v="29"/>
    <s v="LOC Spectator Services"/>
    <m/>
  </r>
  <r>
    <s v="IS00WF"/>
    <x v="1"/>
    <s v="Network &amp; Connectivity"/>
    <s v=""/>
    <s v="General Internet Access"/>
    <s v="Wireless coverage - Shared Internet Service - FIFA"/>
    <s v="IS00WF - Wireless coverage - Shared Internet Service - Wi-Fi FIFA (General Internet Access)"/>
    <m/>
    <n v="0"/>
    <n v="0"/>
    <n v="1"/>
    <n v="0"/>
    <n v="0"/>
    <x v="0"/>
    <x v="1"/>
    <x v="8"/>
    <x v="89"/>
    <x v="29"/>
    <s v="LOC Spectator Services"/>
    <m/>
  </r>
  <r>
    <s v="SIMDAT"/>
    <x v="18"/>
    <s v="Telephony"/>
    <s v=""/>
    <s v=""/>
    <s v="Local SIM Card - Data Only"/>
    <s v="SIMDAT - SIM - Data Only"/>
    <m/>
    <n v="0"/>
    <n v="2"/>
    <n v="2"/>
    <n v="0"/>
    <n v="2"/>
    <x v="0"/>
    <x v="1"/>
    <x v="8"/>
    <x v="89"/>
    <x v="29"/>
    <s v="LOC Spectator Services"/>
    <m/>
  </r>
  <r>
    <s v="MFDDNW"/>
    <x v="2"/>
    <s v="Reprographics"/>
    <s v=""/>
    <s v="General Internet Access"/>
    <s v="Colour Printer / Scanner (A4)"/>
    <s v="MFDDNW - MFD Desktop - Colour - A4 - Network (General Internet Access)"/>
    <m/>
    <n v="1"/>
    <n v="0"/>
    <n v="1"/>
    <n v="1"/>
    <n v="0"/>
    <x v="0"/>
    <x v="1"/>
    <x v="8"/>
    <x v="89"/>
    <x v="29"/>
    <s v="LOC Spectator Services"/>
    <m/>
  </r>
  <r>
    <s v="ACCBAR"/>
    <x v="39"/>
    <s v="Peripherals"/>
    <s v=""/>
    <s v=""/>
    <s v="Barcode scanner"/>
    <s v="ACCBAR - Barcode scanner"/>
    <m/>
    <n v="0"/>
    <n v="0"/>
    <n v="5"/>
    <n v="0"/>
    <n v="0"/>
    <x v="0"/>
    <x v="1"/>
    <x v="8"/>
    <x v="88"/>
    <x v="29"/>
    <s v="LOC Spectator Services"/>
    <m/>
  </r>
  <r>
    <s v="LAPEVT"/>
    <x v="17"/>
    <s v="FIFA IT Hardware"/>
    <s v=""/>
    <s v=""/>
    <s v="FIFA Laptop"/>
    <s v="LAPEVT - Laptop - FIFA Event Build"/>
    <m/>
    <n v="0"/>
    <n v="0"/>
    <n v="4"/>
    <n v="0"/>
    <n v="0"/>
    <x v="0"/>
    <x v="1"/>
    <x v="8"/>
    <x v="88"/>
    <x v="29"/>
    <s v="LOC Spectator Services"/>
    <m/>
  </r>
  <r>
    <s v="TABLEN"/>
    <x v="7"/>
    <s v="FIFA IT Hardware"/>
    <s v=""/>
    <s v=""/>
    <s v="Professional Series Tablet + 4G"/>
    <s v="TABLEN - Tablet - FIFA Professional Tablet + 4G"/>
    <m/>
    <n v="0"/>
    <n v="3"/>
    <n v="3"/>
    <n v="0"/>
    <n v="3"/>
    <x v="0"/>
    <x v="1"/>
    <x v="8"/>
    <x v="88"/>
    <x v="29"/>
    <s v="LOC Spectator Services"/>
    <m/>
  </r>
  <r>
    <s v="ITSR4G"/>
    <x v="38"/>
    <s v="FIFA IT Network Solutions"/>
    <s v=""/>
    <s v=""/>
    <s v="IT Solution - Router + 4G"/>
    <s v="ITSR4G - IT Solution - Router + 4G"/>
    <m/>
    <n v="0"/>
    <n v="3"/>
    <n v="3"/>
    <n v="0"/>
    <n v="3"/>
    <x v="0"/>
    <x v="1"/>
    <x v="8"/>
    <x v="88"/>
    <x v="29"/>
    <s v="LOC Spectator Services"/>
    <m/>
  </r>
  <r>
    <s v="TVLGSA"/>
    <x v="15"/>
    <s v="Display Devices"/>
    <s v=""/>
    <s v=""/>
    <s v="Large TV - Standalone"/>
    <s v="TVLGSA - TV - Large - Standalone"/>
    <m/>
    <n v="0"/>
    <n v="0"/>
    <n v="1"/>
    <n v="0"/>
    <n v="0"/>
    <x v="0"/>
    <x v="0"/>
    <x v="33"/>
    <x v="91"/>
    <x v="30"/>
    <s v="LOC SSOC"/>
    <m/>
  </r>
  <r>
    <s v="MFDDNW"/>
    <x v="2"/>
    <s v="Reprographics"/>
    <s v=""/>
    <s v="General Internet Access"/>
    <s v="Colour Printer / Scanner (A4)"/>
    <s v="MFDDNW - MFD Desktop - Colour - A4 - Network (General Internet Access)"/>
    <m/>
    <n v="1"/>
    <n v="0"/>
    <n v="1"/>
    <n v="1"/>
    <n v="0"/>
    <x v="0"/>
    <x v="0"/>
    <x v="33"/>
    <x v="91"/>
    <x v="30"/>
    <s v="LOC SSOC"/>
    <s v="PK 21.09: A3 replaced with A4"/>
  </r>
  <r>
    <s v="IS00WF"/>
    <x v="1"/>
    <s v="Network &amp; Connectivity"/>
    <s v=""/>
    <s v="General Internet Access"/>
    <s v="Wireless coverage - Shared Internet Service - FIFA"/>
    <s v="IS00WF - Wireless coverage - Shared Internet Service - Wi-Fi FIFA (General Internet Access)"/>
    <m/>
    <n v="0"/>
    <n v="0"/>
    <n v="1"/>
    <n v="0"/>
    <n v="0"/>
    <x v="0"/>
    <x v="0"/>
    <x v="33"/>
    <x v="92"/>
    <x v="30"/>
    <s v="LOC SSOC"/>
    <m/>
  </r>
  <r>
    <s v="IS00WF"/>
    <x v="1"/>
    <s v="Network &amp; Connectivity"/>
    <s v=""/>
    <s v="General Internet Access"/>
    <s v="Wireless coverage - Shared Internet Service - FIFA"/>
    <s v="IS00WF - Wireless coverage - Shared Internet Service - Wi-Fi FIFA (General Internet Access)"/>
    <m/>
    <n v="0"/>
    <n v="0"/>
    <n v="1"/>
    <n v="0"/>
    <n v="0"/>
    <x v="0"/>
    <x v="0"/>
    <x v="33"/>
    <x v="93"/>
    <x v="30"/>
    <s v="LOC SSOC"/>
    <m/>
  </r>
  <r>
    <s v="TVLGSA"/>
    <x v="15"/>
    <s v="Display Devices"/>
    <s v=""/>
    <s v=""/>
    <s v="Large TV - Standalone"/>
    <s v="TVLGSA - TV - Large - Standalone"/>
    <m/>
    <n v="0"/>
    <n v="0"/>
    <n v="1"/>
    <n v="0"/>
    <n v="0"/>
    <x v="0"/>
    <x v="0"/>
    <x v="33"/>
    <x v="93"/>
    <x v="30"/>
    <s v="LOC SSOC"/>
    <m/>
  </r>
  <r>
    <s v="MFDLNW"/>
    <x v="34"/>
    <s v="Reprographics"/>
    <s v=""/>
    <s v="General Internet Access"/>
    <s v="Large Colour Printer / Scanner (A3)"/>
    <s v="MFDLNW - MFD Large - Colour - A3 - Network (General Internet Access)"/>
    <m/>
    <n v="0"/>
    <n v="0"/>
    <n v="0"/>
    <n v="0"/>
    <n v="0"/>
    <x v="0"/>
    <x v="0"/>
    <x v="33"/>
    <x v="93"/>
    <x v="30"/>
    <s v="LOC SSOC"/>
    <s v="PK 21.09: rejected in provision"/>
  </r>
  <r>
    <s v="IS00WF"/>
    <x v="1"/>
    <s v="Network &amp; Connectivity"/>
    <s v=""/>
    <s v="General Internet Access"/>
    <s v="Wireless coverage - Shared Internet Service - FIFA"/>
    <s v="IS00WF - Wireless coverage - Shared Internet Service - Wi-Fi FIFA (General Internet Access)"/>
    <m/>
    <n v="0"/>
    <n v="0"/>
    <n v="1"/>
    <n v="0"/>
    <n v="0"/>
    <x v="0"/>
    <x v="0"/>
    <x v="33"/>
    <x v="94"/>
    <x v="30"/>
    <s v="LOC SSOC"/>
    <m/>
  </r>
  <r>
    <s v="MFDLNW"/>
    <x v="34"/>
    <s v="Reprographics"/>
    <s v=""/>
    <s v="General Internet Access"/>
    <s v="Large Colour Printer / Scanner (A3)"/>
    <s v="MFDLNW - MFD Large - Colour - A3 - Network (General Internet Access)"/>
    <m/>
    <n v="0"/>
    <n v="0"/>
    <n v="0"/>
    <n v="0"/>
    <n v="0"/>
    <x v="0"/>
    <x v="1"/>
    <x v="8"/>
    <x v="95"/>
    <x v="30"/>
    <s v="LOC SSOC"/>
    <s v="PK 21.09: rejected in provision"/>
  </r>
  <r>
    <s v="IS00WF"/>
    <x v="1"/>
    <s v="Network &amp; Connectivity"/>
    <s v=""/>
    <s v="General Internet Access"/>
    <s v="Wireless coverage - Shared Internet Service - FIFA"/>
    <s v="IS00WF - Wireless coverage - Shared Internet Service - Wi-Fi FIFA (General Internet Access)"/>
    <m/>
    <n v="0"/>
    <n v="0"/>
    <n v="1"/>
    <n v="0"/>
    <n v="0"/>
    <x v="0"/>
    <x v="1"/>
    <x v="8"/>
    <x v="93"/>
    <x v="30"/>
    <s v="LOC SSOC"/>
    <m/>
  </r>
  <r>
    <s v="TVLGSA"/>
    <x v="15"/>
    <s v="Display Devices"/>
    <s v=""/>
    <s v=""/>
    <s v="Large TV - Standalone"/>
    <s v="TVLGSA - TV - Large - Standalone"/>
    <m/>
    <n v="0"/>
    <n v="0"/>
    <n v="1"/>
    <n v="0"/>
    <n v="0"/>
    <x v="0"/>
    <x v="1"/>
    <x v="8"/>
    <x v="91"/>
    <x v="30"/>
    <s v="LOC SSOC"/>
    <m/>
  </r>
  <r>
    <s v="IS00WF"/>
    <x v="1"/>
    <s v="Network &amp; Connectivity"/>
    <s v=""/>
    <s v="General Internet Access"/>
    <s v="Wireless coverage - Shared Internet Service - FIFA"/>
    <s v="IS00WF - Wireless coverage - Shared Internet Service - Wi-Fi FIFA (General Internet Access)"/>
    <m/>
    <n v="0"/>
    <n v="0"/>
    <n v="1"/>
    <n v="0"/>
    <n v="0"/>
    <x v="0"/>
    <x v="1"/>
    <x v="8"/>
    <x v="96"/>
    <x v="30"/>
    <s v="LOC SSOC"/>
    <m/>
  </r>
  <r>
    <s v="IS00WF"/>
    <x v="1"/>
    <s v="Network &amp; Connectivity"/>
    <s v=""/>
    <s v="General Internet Access"/>
    <s v="Wireless coverage - Shared Internet Service - FIFA"/>
    <s v="IS00WF - Wireless coverage - Shared Internet Service - Wi-Fi FIFA (General Internet Access)"/>
    <m/>
    <n v="0"/>
    <n v="0"/>
    <n v="1"/>
    <n v="0"/>
    <n v="0"/>
    <x v="0"/>
    <x v="1"/>
    <x v="8"/>
    <x v="94"/>
    <x v="30"/>
    <s v="LOC SSOC"/>
    <m/>
  </r>
  <r>
    <s v="SIMDAT"/>
    <x v="18"/>
    <s v="Telephony"/>
    <s v=""/>
    <s v=""/>
    <s v="Local SIM Card - Data Only"/>
    <s v="SIMDAT - SIM - Data Only"/>
    <m/>
    <n v="0"/>
    <n v="0"/>
    <n v="0"/>
    <n v="0"/>
    <n v="0"/>
    <x v="0"/>
    <x v="2"/>
    <x v="33"/>
    <x v="97"/>
    <x v="31"/>
    <s v="LOC Team Services"/>
    <s v="PK 17.09: Transferred to FAC scope"/>
  </r>
  <r>
    <s v="TVLGSA"/>
    <x v="15"/>
    <s v="Display Devices"/>
    <s v=""/>
    <s v=""/>
    <s v="Large TV - Standalone"/>
    <s v="TVLGSA - TV - Large - Standalone"/>
    <m/>
    <n v="0"/>
    <n v="0"/>
    <n v="1"/>
    <n v="0"/>
    <n v="0"/>
    <x v="0"/>
    <x v="0"/>
    <x v="35"/>
    <x v="98"/>
    <x v="32"/>
    <s v="LOC Venue Management"/>
    <m/>
  </r>
  <r>
    <s v="DSKMNT"/>
    <x v="0"/>
    <s v="Peripherals"/>
    <s v=""/>
    <s v=""/>
    <s v="24&quot; PC Monitor"/>
    <s v="DSKMNT - 24&quot; Monitor - HDMI/DP"/>
    <m/>
    <n v="0"/>
    <n v="0"/>
    <n v="2"/>
    <n v="0"/>
    <n v="0"/>
    <x v="0"/>
    <x v="0"/>
    <x v="35"/>
    <x v="98"/>
    <x v="32"/>
    <s v="LOC Venue Management"/>
    <m/>
  </r>
  <r>
    <s v="IS00WF"/>
    <x v="1"/>
    <s v="Network &amp; Connectivity"/>
    <s v=""/>
    <s v="General Internet Access"/>
    <s v="Wireless coverage - Shared Internet Service - FIFA"/>
    <s v="IS00WF - Wireless coverage - Shared Internet Service - Wi-Fi FIFA (General Internet Access)"/>
    <m/>
    <n v="0"/>
    <n v="0"/>
    <n v="1"/>
    <n v="0"/>
    <n v="0"/>
    <x v="0"/>
    <x v="0"/>
    <x v="35"/>
    <x v="98"/>
    <x v="32"/>
    <s v="LOC Venue Management"/>
    <m/>
  </r>
  <r>
    <s v="TVLGSA"/>
    <x v="15"/>
    <s v="Display Devices"/>
    <s v=""/>
    <s v=""/>
    <s v="Large TV - Standalone"/>
    <s v="TVLGSA - TV - Large - Standalone"/>
    <m/>
    <n v="0"/>
    <n v="0"/>
    <n v="1"/>
    <n v="0"/>
    <n v="0"/>
    <x v="0"/>
    <x v="0"/>
    <x v="35"/>
    <x v="99"/>
    <x v="32"/>
    <s v="LOC Venue Management"/>
    <m/>
  </r>
  <r>
    <s v="TVLGSA"/>
    <x v="15"/>
    <s v="Display Devices"/>
    <s v=""/>
    <s v=""/>
    <s v="Large TV - Standalone"/>
    <s v="TVLGSA - TV - Large - Standalone"/>
    <m/>
    <n v="0"/>
    <n v="0"/>
    <n v="2"/>
    <n v="0"/>
    <n v="0"/>
    <x v="0"/>
    <x v="0"/>
    <x v="35"/>
    <x v="100"/>
    <x v="32"/>
    <s v="LOC Venue Management"/>
    <m/>
  </r>
  <r>
    <s v="DSKMNT"/>
    <x v="0"/>
    <s v="Peripherals"/>
    <s v=""/>
    <s v=""/>
    <s v="24&quot; PC Monitor"/>
    <s v="DSKMNT - 24&quot; Monitor - HDMI/DP"/>
    <m/>
    <n v="0"/>
    <n v="0"/>
    <n v="6"/>
    <n v="0"/>
    <n v="0"/>
    <x v="0"/>
    <x v="0"/>
    <x v="35"/>
    <x v="100"/>
    <x v="32"/>
    <s v="LOC Venue Management"/>
    <m/>
  </r>
  <r>
    <s v="MFDLNW"/>
    <x v="34"/>
    <s v="Reprographics"/>
    <s v=""/>
    <s v="General Internet Access"/>
    <s v="Large Colour Printer / Scanner (A3)"/>
    <s v="MFDLNW - MFD Large - Colour - A3 - Network (General Internet Access)"/>
    <m/>
    <n v="1"/>
    <n v="0"/>
    <n v="1"/>
    <n v="1"/>
    <n v="0"/>
    <x v="0"/>
    <x v="0"/>
    <x v="35"/>
    <x v="100"/>
    <x v="32"/>
    <s v="LOC Venue Management"/>
    <s v="L1 general office"/>
  </r>
  <r>
    <s v="TVLGIP"/>
    <x v="5"/>
    <s v="CATV"/>
    <s v=""/>
    <s v=""/>
    <s v="Large TV - CATV Feed"/>
    <s v="TVLGIP - TV - Large - IPTV"/>
    <m/>
    <n v="1"/>
    <n v="0"/>
    <n v="1"/>
    <n v="1"/>
    <n v="0"/>
    <x v="0"/>
    <x v="0"/>
    <x v="27"/>
    <x v="101"/>
    <x v="32"/>
    <s v="LOC Venue Management"/>
    <m/>
  </r>
  <r>
    <s v="TVLGSA"/>
    <x v="15"/>
    <s v="Display Devices"/>
    <s v=""/>
    <s v=""/>
    <s v="Large TV - Standalone"/>
    <s v="TVLGSA - TV - Large - Standalone"/>
    <m/>
    <n v="0"/>
    <n v="0"/>
    <n v="1"/>
    <n v="0"/>
    <n v="0"/>
    <x v="0"/>
    <x v="0"/>
    <x v="27"/>
    <x v="101"/>
    <x v="32"/>
    <s v="LOC Venue Management"/>
    <m/>
  </r>
  <r>
    <s v="MFDDNW"/>
    <x v="2"/>
    <s v="Reprographics"/>
    <s v=""/>
    <s v="General Internet Access"/>
    <s v="Colour Printer / Scanner (A4)"/>
    <s v="MFDDNW - MFD Desktop - Colour - A4 - Network (General Internet Access)"/>
    <m/>
    <n v="1"/>
    <n v="0"/>
    <n v="1"/>
    <n v="1"/>
    <n v="0"/>
    <x v="0"/>
    <x v="0"/>
    <x v="27"/>
    <x v="101"/>
    <x v="32"/>
    <s v="LOC Venue Management"/>
    <m/>
  </r>
  <r>
    <s v="IS00WF"/>
    <x v="1"/>
    <s v="Network &amp; Connectivity"/>
    <s v=""/>
    <s v="General Internet Access"/>
    <s v="Wireless coverage - Shared Internet Service - FIFA"/>
    <s v="IS00WF - Wireless coverage - Shared Internet Service - Wi-Fi FIFA (General Internet Access)"/>
    <m/>
    <n v="0"/>
    <n v="0"/>
    <n v="1"/>
    <n v="0"/>
    <n v="0"/>
    <x v="0"/>
    <x v="0"/>
    <x v="27"/>
    <x v="101"/>
    <x v="32"/>
    <s v="LOC Venue Management"/>
    <m/>
  </r>
  <r>
    <s v="TVLGSA"/>
    <x v="15"/>
    <s v="Display Devices"/>
    <s v=""/>
    <s v=""/>
    <s v="Large TV - Standalone"/>
    <s v="TVLGSA - TV - Large - Standalone"/>
    <m/>
    <n v="0"/>
    <n v="0"/>
    <n v="1"/>
    <n v="0"/>
    <n v="0"/>
    <x v="0"/>
    <x v="0"/>
    <x v="13"/>
    <x v="100"/>
    <x v="32"/>
    <s v="LOC Venue Management"/>
    <m/>
  </r>
  <r>
    <s v="TVLGIP"/>
    <x v="5"/>
    <s v="CATV"/>
    <s v=""/>
    <s v=""/>
    <s v="Large TV - CATV Feed"/>
    <s v="TVLGIP - TV - Large - IPTV"/>
    <m/>
    <n v="1"/>
    <n v="0"/>
    <n v="1"/>
    <n v="1"/>
    <n v="0"/>
    <x v="0"/>
    <x v="0"/>
    <x v="13"/>
    <x v="100"/>
    <x v="32"/>
    <s v="LOC Venue Management"/>
    <m/>
  </r>
  <r>
    <s v="DSKMNT"/>
    <x v="0"/>
    <s v="Peripherals"/>
    <s v=""/>
    <s v=""/>
    <s v="24&quot; PC Monitor"/>
    <s v="DSKMNT - 24&quot; Monitor - HDMI/DP"/>
    <m/>
    <n v="0"/>
    <n v="0"/>
    <n v="6"/>
    <n v="0"/>
    <n v="0"/>
    <x v="0"/>
    <x v="0"/>
    <x v="13"/>
    <x v="100"/>
    <x v="32"/>
    <s v="LOC Venue Management"/>
    <m/>
  </r>
  <r>
    <s v="MFDLNW"/>
    <x v="34"/>
    <s v="Reprographics"/>
    <s v=""/>
    <s v="General Internet Access"/>
    <s v="Large Colour Printer / Scanner (A3)"/>
    <s v="MFDLNW - MFD Large - Colour - A3 - Network (General Internet Access)"/>
    <m/>
    <n v="1"/>
    <n v="0"/>
    <n v="1"/>
    <n v="1"/>
    <n v="0"/>
    <x v="0"/>
    <x v="0"/>
    <x v="13"/>
    <x v="100"/>
    <x v="32"/>
    <s v="LOC Venue Management"/>
    <m/>
  </r>
  <r>
    <s v="LAPEVT"/>
    <x v="17"/>
    <s v="FIFA IT Hardware"/>
    <s v=""/>
    <s v=""/>
    <s v="FIFA Laptop"/>
    <s v="LAPEVT - Laptop - FIFA Event Build"/>
    <m/>
    <n v="0"/>
    <n v="0"/>
    <n v="3"/>
    <n v="0"/>
    <n v="0"/>
    <x v="0"/>
    <x v="1"/>
    <x v="43"/>
    <x v="102"/>
    <x v="33"/>
    <s v="LOC Workforce"/>
    <s v="reduced from 4"/>
  </r>
  <r>
    <s v="ACCBAR"/>
    <x v="39"/>
    <s v="Peripherals"/>
    <s v=""/>
    <s v=""/>
    <s v="Barcode scanner"/>
    <s v="ACCBAR - Barcode scanner"/>
    <m/>
    <n v="0"/>
    <n v="0"/>
    <n v="3"/>
    <n v="0"/>
    <n v="0"/>
    <x v="0"/>
    <x v="1"/>
    <x v="43"/>
    <x v="103"/>
    <x v="33"/>
    <s v="LOC Workforce"/>
    <s v="reduced from 4"/>
  </r>
  <r>
    <s v="DSKMNT"/>
    <x v="0"/>
    <s v="Peripherals"/>
    <s v=""/>
    <s v=""/>
    <s v="24&quot; PC Monitor"/>
    <s v="DSKMNT - 24&quot; Monitor - HDMI/DP"/>
    <m/>
    <n v="0"/>
    <n v="0"/>
    <n v="0"/>
    <n v="0"/>
    <n v="0"/>
    <x v="0"/>
    <x v="1"/>
    <x v="43"/>
    <x v="103"/>
    <x v="33"/>
    <s v="LOC Workforce"/>
    <s v="removed"/>
  </r>
  <r>
    <s v="PORSPE"/>
    <x v="14"/>
    <s v="Peripherals"/>
    <s v=""/>
    <s v=""/>
    <s v="Portable Speaker"/>
    <s v="PORSPE - Portable Speaker"/>
    <m/>
    <n v="0"/>
    <n v="0"/>
    <n v="1"/>
    <n v="0"/>
    <n v="0"/>
    <x v="0"/>
    <x v="1"/>
    <x v="43"/>
    <x v="104"/>
    <x v="33"/>
    <s v="LOC Workforce"/>
    <s v="reduced from 3"/>
  </r>
  <r>
    <s v="TVLGSA"/>
    <x v="15"/>
    <s v="Display Devices"/>
    <s v=""/>
    <s v=""/>
    <s v="Large TV - Standalone"/>
    <s v="TVLGSA - TV - Large - Standalone"/>
    <m/>
    <n v="0"/>
    <n v="0"/>
    <n v="2"/>
    <n v="0"/>
    <n v="0"/>
    <x v="0"/>
    <x v="1"/>
    <x v="43"/>
    <x v="104"/>
    <x v="33"/>
    <s v="LOC Workforce"/>
    <s v="reduced from 4"/>
  </r>
  <r>
    <s v="IS00WF"/>
    <x v="1"/>
    <s v="Network &amp; Connectivity"/>
    <s v=""/>
    <s v="General Internet Access"/>
    <s v="Wireless coverage - Shared Internet Service - FIFA"/>
    <s v="IS00WF - Wireless coverage - Shared Internet Service - Wi-Fi FIFA (General Internet Access)"/>
    <m/>
    <n v="0"/>
    <n v="0"/>
    <n v="1"/>
    <n v="0"/>
    <n v="0"/>
    <x v="0"/>
    <x v="1"/>
    <x v="43"/>
    <x v="104"/>
    <x v="33"/>
    <s v="LOC Workforce"/>
    <s v=""/>
  </r>
  <r>
    <s v="MFDDNW"/>
    <x v="2"/>
    <s v="Reprographics"/>
    <s v=""/>
    <s v="General Internet Access"/>
    <s v="Colour Printer / Scanner (A4)"/>
    <s v="MFDDNW - MFD Desktop - Colour - A4 - Network (General Internet Access)"/>
    <m/>
    <n v="1"/>
    <n v="0"/>
    <n v="1"/>
    <n v="1"/>
    <n v="0"/>
    <x v="0"/>
    <x v="1"/>
    <x v="43"/>
    <x v="103"/>
    <x v="33"/>
    <s v="LOC Workforce"/>
    <s v="Replaced A3"/>
  </r>
  <r>
    <s v="LAPEVT"/>
    <x v="17"/>
    <s v="FIFA IT Hardware"/>
    <s v=""/>
    <s v=""/>
    <s v="FIFA Laptop"/>
    <s v="LAPEVT - Laptop - FIFA Event Build"/>
    <m/>
    <n v="0"/>
    <n v="0"/>
    <n v="0"/>
    <n v="0"/>
    <n v="0"/>
    <x v="0"/>
    <x v="2"/>
    <x v="33"/>
    <x v="105"/>
    <x v="33"/>
    <s v="LOC Workforce"/>
    <s v="PK 17.09: Transferred to FAC scope"/>
  </r>
  <r>
    <s v="DSKMNT"/>
    <x v="0"/>
    <s v="Peripherals"/>
    <s v=""/>
    <s v=""/>
    <s v="24&quot; PC Monitor"/>
    <s v="DSKMNT - 24&quot; Monitor - HDMI/DP"/>
    <m/>
    <n v="0"/>
    <n v="0"/>
    <n v="0"/>
    <n v="0"/>
    <n v="0"/>
    <x v="0"/>
    <x v="2"/>
    <x v="33"/>
    <x v="105"/>
    <x v="33"/>
    <s v="LOC Workforce"/>
    <s v="PK 17.09: Transferred to FAC scope"/>
  </r>
  <r>
    <s v="TVLGIP"/>
    <x v="5"/>
    <s v="CATV"/>
    <s v=""/>
    <s v=""/>
    <s v="Large TV - CATV Feed"/>
    <s v="TVLGIP - TV - Large - IPTV"/>
    <m/>
    <n v="0"/>
    <n v="0"/>
    <n v="0"/>
    <n v="0"/>
    <n v="0"/>
    <x v="0"/>
    <x v="2"/>
    <x v="33"/>
    <x v="105"/>
    <x v="33"/>
    <s v="LOC Workforce"/>
    <s v="PK 17.09: Transferred to FAC scope"/>
  </r>
  <r>
    <s v="WRDGEN"/>
    <x v="8"/>
    <s v="Network &amp; Connectivity"/>
    <s v=""/>
    <s v="General Internet Access"/>
    <s v="Wired Port - Internet"/>
    <s v="WRDGEN - Wired Port - General Internet  (General Internet Access)"/>
    <m/>
    <n v="0"/>
    <n v="0"/>
    <n v="0"/>
    <n v="0"/>
    <n v="0"/>
    <x v="0"/>
    <x v="2"/>
    <x v="33"/>
    <x v="105"/>
    <x v="33"/>
    <s v="LOC Workforce"/>
    <s v="PK 17.09: Transferred to FAC scope"/>
  </r>
  <r>
    <s v="MFDLNW"/>
    <x v="34"/>
    <s v="Reprographics"/>
    <s v=""/>
    <s v="General Internet Access"/>
    <s v="Large Colour Printer / Scanner (A3)"/>
    <s v="MFDLNW - MFD Large - Colour - A3 - Network (General Internet Access)"/>
    <m/>
    <n v="0"/>
    <n v="0"/>
    <n v="0"/>
    <n v="0"/>
    <n v="0"/>
    <x v="0"/>
    <x v="2"/>
    <x v="33"/>
    <x v="105"/>
    <x v="33"/>
    <s v="LOC Workforce"/>
    <s v="PK 17.09: Transferred to FAC scope"/>
  </r>
  <r>
    <s v="TELMOB"/>
    <x v="21"/>
    <s v="Telephony"/>
    <s v=""/>
    <s v=""/>
    <s v="Smart Phone"/>
    <s v="TELMOB - Telephone - Mobile - Smart Phone"/>
    <m/>
    <n v="0"/>
    <n v="0"/>
    <n v="0"/>
    <n v="0"/>
    <n v="0"/>
    <x v="0"/>
    <x v="2"/>
    <x v="33"/>
    <x v="105"/>
    <x v="33"/>
    <s v="LOC Workforce"/>
    <s v="PK 17.09: Transferred to FAC scope"/>
  </r>
  <r>
    <s v="IS00WF"/>
    <x v="1"/>
    <s v="Network &amp; Connectivity"/>
    <s v=""/>
    <s v="General Internet Access"/>
    <s v="Wireless coverage - Shared Internet Service - FIFA"/>
    <s v="IS00WF - Wireless coverage - Shared Internet Service - Wi-Fi FIFA (General Internet Access)"/>
    <m/>
    <n v="0"/>
    <n v="0"/>
    <n v="0"/>
    <n v="0"/>
    <n v="0"/>
    <x v="0"/>
    <x v="2"/>
    <x v="33"/>
    <x v="105"/>
    <x v="33"/>
    <s v="LOC Workforce"/>
    <s v="PK 17.09: Transferred to FAC scope"/>
  </r>
  <r>
    <s v="TVLGSA"/>
    <x v="15"/>
    <s v="Display Devices"/>
    <s v=""/>
    <s v=""/>
    <s v="Large TV - Standalone"/>
    <s v="TVLGSA - TV - Large - Standalone"/>
    <m/>
    <n v="0"/>
    <n v="0"/>
    <n v="0"/>
    <n v="0"/>
    <n v="0"/>
    <x v="0"/>
    <x v="2"/>
    <x v="33"/>
    <x v="105"/>
    <x v="33"/>
    <s v="LOC Workforce"/>
    <s v="PK 17.09: Transferred to FAC scope"/>
  </r>
  <r>
    <s v="IS00WF"/>
    <x v="1"/>
    <s v="Network &amp; Connectivity"/>
    <s v=""/>
    <s v="General Internet Access"/>
    <s v="Wireless coverage - Shared Internet Service - FIFA"/>
    <s v="IS00WF - Wireless coverage - Shared Internet Service - Wi-Fi FIFA (General Internet Access)"/>
    <m/>
    <n v="0"/>
    <n v="0"/>
    <n v="0"/>
    <n v="0"/>
    <n v="0"/>
    <x v="0"/>
    <x v="2"/>
    <x v="44"/>
    <x v="106"/>
    <x v="33"/>
    <s v="LOC Workforce"/>
    <s v="PK 17.09: Transferred to FAC scope"/>
  </r>
  <r>
    <s v="MFDDNW"/>
    <x v="2"/>
    <s v="Reprographics"/>
    <s v=""/>
    <s v="General Internet Access"/>
    <s v="Colour Printer / Scanner (A4)"/>
    <s v="MFDDNW - MFD Desktop - Colour - A4 - Network (General Internet Access)"/>
    <m/>
    <n v="0"/>
    <n v="0"/>
    <n v="0"/>
    <n v="0"/>
    <n v="0"/>
    <x v="0"/>
    <x v="2"/>
    <x v="44"/>
    <x v="106"/>
    <x v="33"/>
    <s v="LOC Workforce"/>
    <s v="PK 17.09: Transferred to FAC scope"/>
  </r>
  <r>
    <s v="LAPEVT"/>
    <x v="17"/>
    <s v="FIFA IT Hardware"/>
    <s v=""/>
    <s v=""/>
    <s v="FIFA Laptop"/>
    <s v="LAPEVT - Laptop - FIFA Event Build"/>
    <m/>
    <n v="0"/>
    <n v="0"/>
    <n v="0"/>
    <n v="0"/>
    <n v="0"/>
    <x v="0"/>
    <x v="2"/>
    <x v="44"/>
    <x v="106"/>
    <x v="33"/>
    <s v="LOC Workforce"/>
    <s v="PK 17.09: Transferred to FAC scope"/>
  </r>
  <r>
    <s v="DSKMNT"/>
    <x v="0"/>
    <s v="Peripherals"/>
    <s v=""/>
    <s v=""/>
    <s v="24&quot; PC Monitor"/>
    <s v="DSKMNT - 24&quot; Monitor - HDMI/DP"/>
    <m/>
    <n v="0"/>
    <n v="0"/>
    <n v="0"/>
    <n v="0"/>
    <n v="0"/>
    <x v="0"/>
    <x v="2"/>
    <x v="44"/>
    <x v="106"/>
    <x v="33"/>
    <s v="LOC Workforce"/>
    <s v="PK 17.09: Transferred to FAC scope"/>
  </r>
  <r>
    <s v="ACCBAR"/>
    <x v="39"/>
    <s v="Peripherals"/>
    <s v=""/>
    <s v=""/>
    <s v="Barcode scanner"/>
    <s v="ACCBAR - Barcode scanner"/>
    <m/>
    <n v="0"/>
    <n v="0"/>
    <n v="0"/>
    <n v="0"/>
    <n v="0"/>
    <x v="0"/>
    <x v="2"/>
    <x v="44"/>
    <x v="106"/>
    <x v="33"/>
    <s v="LOC Workforce"/>
    <s v="PK 17.09: Transferred to FAC scope"/>
  </r>
  <r>
    <s v="TVLGSA"/>
    <x v="15"/>
    <s v="Display Devices"/>
    <s v=""/>
    <s v=""/>
    <s v="Large TV - Standalone"/>
    <s v="TVLGSA - TV - Large - Standalone"/>
    <m/>
    <n v="0"/>
    <n v="0"/>
    <n v="0"/>
    <n v="0"/>
    <n v="0"/>
    <x v="0"/>
    <x v="2"/>
    <x v="44"/>
    <x v="106"/>
    <x v="33"/>
    <s v="LOC Workforce"/>
    <s v="PK 17.09: Transferred to FAC scope"/>
  </r>
  <r>
    <s v="LAPEVT"/>
    <x v="17"/>
    <s v="FIFA IT Hardware"/>
    <s v=""/>
    <s v=""/>
    <s v="FIFA Laptop"/>
    <s v="LAPEVT - Laptop - FIFA Event Build"/>
    <m/>
    <n v="0"/>
    <n v="0"/>
    <n v="0"/>
    <n v="0"/>
    <n v="0"/>
    <x v="0"/>
    <x v="2"/>
    <x v="44"/>
    <x v="107"/>
    <x v="33"/>
    <s v="LOC Workforce"/>
    <s v="PK 17.09: Transferred to FAC scope"/>
  </r>
  <r>
    <s v="IS00WF"/>
    <x v="1"/>
    <s v="Network &amp; Connectivity"/>
    <s v=""/>
    <s v="General Internet Access"/>
    <s v="Wireless coverage - Shared Internet Service - FIFA"/>
    <s v="IS00WF - Wireless coverage - Shared Internet Service - Wi-Fi FIFA (General Internet Access)"/>
    <m/>
    <n v="0"/>
    <n v="0"/>
    <n v="0"/>
    <n v="0"/>
    <n v="0"/>
    <x v="0"/>
    <x v="2"/>
    <x v="44"/>
    <x v="107"/>
    <x v="33"/>
    <s v="LOC Workforce"/>
    <s v="PK 17.09: Transferred to FAC scope"/>
  </r>
  <r>
    <s v="TELMOB"/>
    <x v="21"/>
    <s v="Telephony"/>
    <s v=""/>
    <s v=""/>
    <s v="Smart Phone"/>
    <s v="TELMOB - Telephone - Mobile - Smart Phone"/>
    <m/>
    <n v="0"/>
    <n v="0"/>
    <n v="0"/>
    <n v="0"/>
    <n v="0"/>
    <x v="0"/>
    <x v="2"/>
    <x v="44"/>
    <x v="107"/>
    <x v="33"/>
    <s v="LOC Workforce"/>
    <s v="PK 17.09: Transferred to FAC scope"/>
  </r>
  <r>
    <s v="TVLGIP"/>
    <x v="5"/>
    <s v="CATV"/>
    <s v=""/>
    <s v=""/>
    <s v="Large TV - CATV Feed"/>
    <s v="TVLGIP - TV - Large - IPTV"/>
    <m/>
    <n v="0"/>
    <n v="0"/>
    <n v="0"/>
    <n v="0"/>
    <n v="0"/>
    <x v="0"/>
    <x v="2"/>
    <x v="44"/>
    <x v="107"/>
    <x v="33"/>
    <s v="LOC Workforce"/>
    <s v="PK 17.09: Transferred to FAC scope"/>
  </r>
  <r>
    <s v="PORSPE"/>
    <x v="14"/>
    <s v="Peripherals"/>
    <s v=""/>
    <s v=""/>
    <s v="Portable Speaker"/>
    <s v="PORSPE - Portable Speaker"/>
    <m/>
    <n v="0"/>
    <n v="0"/>
    <n v="0"/>
    <n v="0"/>
    <n v="0"/>
    <x v="0"/>
    <x v="2"/>
    <x v="44"/>
    <x v="107"/>
    <x v="33"/>
    <s v="LOC Workforce"/>
    <s v="PK 17.09: Transferred to FAC scope"/>
  </r>
  <r>
    <s v="IS00WS"/>
    <x v="36"/>
    <s v="Network &amp; Connectivity"/>
    <s v=""/>
    <s v="VIP Internet Access"/>
    <s v="Wireless coverage - Shared Internet Service - FOOTBALL"/>
    <s v="IS00WS - Wireless coverage - Shared Internet Service - Wi-Fi FOOTBALL (VIP Internet Access)"/>
    <m/>
    <n v="0"/>
    <n v="0"/>
    <n v="1"/>
    <n v="0"/>
    <n v="0"/>
    <x v="0"/>
    <x v="0"/>
    <x v="45"/>
    <x v="56"/>
    <x v="34"/>
    <s v="LOC Competition"/>
    <m/>
  </r>
  <r>
    <s v="TVLGIP"/>
    <x v="5"/>
    <s v="CATV"/>
    <s v=""/>
    <s v=""/>
    <s v="Large TV - CATV Feed"/>
    <s v="TVLGIP - TV - Large - IPTV"/>
    <m/>
    <n v="1"/>
    <n v="0"/>
    <n v="1"/>
    <n v="1"/>
    <n v="0"/>
    <x v="0"/>
    <x v="0"/>
    <x v="45"/>
    <x v="56"/>
    <x v="34"/>
    <s v="LOC Competition"/>
    <m/>
  </r>
  <r>
    <s v="ITSR4G"/>
    <x v="38"/>
    <s v="FIFA IT Network Solutions"/>
    <s v=""/>
    <s v=""/>
    <s v="IT Solution - Router + 4G"/>
    <s v="ITSR4G - IT Solution - Router + 4G"/>
    <m/>
    <n v="0"/>
    <n v="2"/>
    <n v="2"/>
    <n v="0"/>
    <n v="2"/>
    <x v="0"/>
    <x v="0"/>
    <x v="36"/>
    <x v="108"/>
    <x v="35"/>
    <s v="LOC Mobility"/>
    <s v="PK 16.10: wifi replaced to mifi due to out of venue location"/>
  </r>
  <r>
    <s v="MFDDNW"/>
    <x v="2"/>
    <s v="Reprographics"/>
    <s v=""/>
    <s v="General Internet Access"/>
    <s v="Colour Printer / Scanner (A4)"/>
    <s v="MFDDNW - MFD Desktop - Colour - A4 - Network (General Internet Access)"/>
    <m/>
    <n v="1"/>
    <n v="0"/>
    <n v="1"/>
    <n v="1"/>
    <n v="0"/>
    <x v="0"/>
    <x v="0"/>
    <x v="36"/>
    <x v="108"/>
    <x v="35"/>
    <s v="LOC Mobility"/>
    <m/>
  </r>
  <r>
    <s v="MFDDNW"/>
    <x v="2"/>
    <s v="Reprographics"/>
    <s v=""/>
    <s v="General Internet Access"/>
    <s v="Colour Printer / Scanner (A4)"/>
    <s v="MFDDNW - MFD Desktop - Colour - A4 - Network (General Internet Access)"/>
    <m/>
    <n v="0"/>
    <n v="0"/>
    <n v="0"/>
    <n v="0"/>
    <n v="0"/>
    <x v="0"/>
    <x v="2"/>
    <x v="46"/>
    <x v="109"/>
    <x v="35"/>
    <s v="LOC Mobility"/>
    <s v="PK 17.09: Transferred to FAC scope"/>
  </r>
  <r>
    <s v="LAPEVT"/>
    <x v="17"/>
    <s v="FIFA IT Hardware"/>
    <s v=""/>
    <s v=""/>
    <s v="FIFA Laptop"/>
    <s v="LAPEVT - Laptop - FIFA Event Build"/>
    <m/>
    <n v="0"/>
    <n v="0"/>
    <n v="0"/>
    <n v="0"/>
    <n v="0"/>
    <x v="0"/>
    <x v="2"/>
    <x v="46"/>
    <x v="109"/>
    <x v="35"/>
    <s v="LOC Mobility"/>
    <s v="PK 17.09: Transferred to FAC scope"/>
  </r>
  <r>
    <s v="DSKMNT"/>
    <x v="0"/>
    <s v="Peripherals"/>
    <s v=""/>
    <s v=""/>
    <s v="24&quot; PC Monitor"/>
    <s v="DSKMNT - 24&quot; Monitor - HDMI/DP"/>
    <m/>
    <n v="0"/>
    <n v="0"/>
    <n v="0"/>
    <n v="0"/>
    <n v="0"/>
    <x v="0"/>
    <x v="2"/>
    <x v="46"/>
    <x v="109"/>
    <x v="35"/>
    <s v="LOC Mobility"/>
    <s v="PK 17.09: Transferred to FAC scope"/>
  </r>
  <r>
    <s v="IS00WF"/>
    <x v="1"/>
    <s v="Network &amp; Connectivity"/>
    <s v=""/>
    <s v="General Internet Access"/>
    <s v="Wireless coverage - Shared Internet Service - FIFA"/>
    <s v="IS00WF - Wireless coverage - Shared Internet Service - Wi-Fi FIFA (General Internet Access)"/>
    <m/>
    <n v="0"/>
    <n v="0"/>
    <n v="0"/>
    <n v="0"/>
    <n v="0"/>
    <x v="0"/>
    <x v="2"/>
    <x v="46"/>
    <x v="109"/>
    <x v="35"/>
    <s v="LOC Mobility"/>
    <s v="PK 17.09: Transferred to FAC scope"/>
  </r>
  <r>
    <s v="ACCBAR"/>
    <x v="39"/>
    <s v="Peripherals"/>
    <s v=""/>
    <s v=""/>
    <s v="Barcode scanner"/>
    <s v="ACCBAR - Barcode scanner"/>
    <m/>
    <n v="0"/>
    <n v="0"/>
    <n v="0"/>
    <n v="0"/>
    <n v="0"/>
    <x v="0"/>
    <x v="2"/>
    <x v="46"/>
    <x v="109"/>
    <x v="35"/>
    <s v="LOC Mobility"/>
    <s v="PK 17.09: Transferred to FAC scope"/>
  </r>
  <r>
    <s v="TVLGIP"/>
    <x v="5"/>
    <s v="CATV"/>
    <s v=""/>
    <s v=""/>
    <s v="Large TV - CATV Feed"/>
    <s v="TVLGIP - TV - Large - IPTV"/>
    <m/>
    <n v="0"/>
    <n v="0"/>
    <n v="0"/>
    <n v="0"/>
    <n v="0"/>
    <x v="0"/>
    <x v="2"/>
    <x v="46"/>
    <x v="110"/>
    <x v="35"/>
    <s v="LOC Mobility"/>
    <s v="PK 17.09: Transferred to FAC scope"/>
  </r>
  <r>
    <s v="TVLGSA"/>
    <x v="15"/>
    <s v="Display Devices"/>
    <s v=""/>
    <s v=""/>
    <s v="Large TV - Standalone"/>
    <s v="TVLGSA - TV - Large - Standalone"/>
    <m/>
    <n v="0"/>
    <n v="0"/>
    <n v="0"/>
    <n v="0"/>
    <n v="0"/>
    <x v="0"/>
    <x v="2"/>
    <x v="46"/>
    <x v="110"/>
    <x v="35"/>
    <s v="LOC Mobility"/>
    <s v="PK 17.09: Transferred to FAC scope"/>
  </r>
  <r>
    <s v="MFDLNW"/>
    <x v="34"/>
    <s v="Reprographics"/>
    <s v=""/>
    <s v="General Internet Access"/>
    <s v="Large Colour Printer / Scanner (A3)"/>
    <s v="MFDLNW - MFD Large - Colour - A3 - Network (General Internet Access)"/>
    <m/>
    <n v="0"/>
    <n v="0"/>
    <n v="0"/>
    <n v="0"/>
    <n v="0"/>
    <x v="0"/>
    <x v="2"/>
    <x v="46"/>
    <x v="110"/>
    <x v="35"/>
    <s v="LOC Mobility"/>
    <s v="PK 17.09: Transferred to FAC scope"/>
  </r>
  <r>
    <s v="WRDSTA"/>
    <x v="12"/>
    <s v="Network &amp; Connectivity"/>
    <s v=""/>
    <s v="FIFA Standard Internet Access"/>
    <s v="Wired Port - ACR-TKT-Ipcodec"/>
    <s v="WRDSTA - Wired Port - ACR-TKT-Ipcodec (FIFA Standard Internet Access)"/>
    <m/>
    <n v="8"/>
    <n v="0"/>
    <n v="8"/>
    <n v="8"/>
    <n v="0"/>
    <x v="0"/>
    <x v="0"/>
    <x v="36"/>
    <x v="111"/>
    <x v="36"/>
    <s v="LOC Ticketing"/>
    <s v="PK 18.09: 2 STC 4 cables for laptops"/>
  </r>
  <r>
    <s v="IS00WF"/>
    <x v="1"/>
    <s v="Network &amp; Connectivity"/>
    <s v=""/>
    <s v="General Internet Access"/>
    <s v="Wireless coverage - Shared Internet Service - FIFA"/>
    <s v="IS00WF - Wireless coverage - Shared Internet Service - Wi-Fi FIFA (General Internet Access)"/>
    <m/>
    <n v="0"/>
    <n v="0"/>
    <n v="2"/>
    <n v="0"/>
    <n v="0"/>
    <x v="0"/>
    <x v="0"/>
    <x v="36"/>
    <x v="111"/>
    <x v="36"/>
    <s v="LOC Ticketing"/>
    <s v="PK 18.09: 2 STC , wifi in each"/>
  </r>
  <r>
    <s v="MFDDNW"/>
    <x v="2"/>
    <s v="Reprographics"/>
    <s v=""/>
    <s v="General Internet Access"/>
    <s v="Colour Printer / Scanner (A4)"/>
    <s v="MFDDNW - MFD Desktop - Colour - A4 - Network (General Internet Access)"/>
    <m/>
    <n v="2"/>
    <n v="0"/>
    <n v="2"/>
    <n v="2"/>
    <n v="0"/>
    <x v="0"/>
    <x v="0"/>
    <x v="36"/>
    <x v="111"/>
    <x v="36"/>
    <s v="LOC Ticketing"/>
    <s v="PK 18.09: 2 STC 1 printer each"/>
  </r>
  <r>
    <s v="ITSR4G"/>
    <x v="38"/>
    <s v="FIFA IT Network Solutions"/>
    <s v=""/>
    <s v=""/>
    <s v="IT Solution - Router + 4G"/>
    <s v="ITSR4G - IT Solution - Router + 4G"/>
    <m/>
    <n v="0"/>
    <n v="2"/>
    <n v="2"/>
    <n v="0"/>
    <n v="2"/>
    <x v="0"/>
    <x v="0"/>
    <x v="36"/>
    <x v="111"/>
    <x v="36"/>
    <s v="LOC Ticketing"/>
    <s v="PK 18.09: 2 STC 1 mifi each"/>
  </r>
  <r>
    <s v="LAPEVT"/>
    <x v="17"/>
    <s v="FIFA IT Hardware"/>
    <s v=""/>
    <s v=""/>
    <s v="FIFA Laptop"/>
    <s v="LAPEVT - Laptop - FIFA Event Build"/>
    <m/>
    <n v="0"/>
    <n v="0"/>
    <n v="0"/>
    <n v="0"/>
    <n v="0"/>
    <x v="0"/>
    <x v="0"/>
    <x v="36"/>
    <x v="111"/>
    <x v="36"/>
    <s v="LOC Ticketing"/>
    <s v="PK 18.09: laptops from TKT supplier"/>
  </r>
  <r>
    <s v="IS00WF"/>
    <x v="1"/>
    <s v="Network &amp; Connectivity"/>
    <s v=""/>
    <s v="General Internet Access"/>
    <s v="Wireless coverage - Shared Internet Service - FIFA"/>
    <s v="IS00WF - Wireless coverage - Shared Internet Service - Wi-Fi FIFA (General Internet Access)"/>
    <m/>
    <n v="0"/>
    <n v="0"/>
    <n v="2"/>
    <n v="0"/>
    <n v="0"/>
    <x v="0"/>
    <x v="0"/>
    <x v="36"/>
    <x v="112"/>
    <x v="36"/>
    <s v="LOC Ticketing"/>
    <s v="PK 18.09: 2 PSA, wifi in each"/>
  </r>
  <r>
    <s v="SIMDAT"/>
    <x v="18"/>
    <s v="Telephony"/>
    <s v=""/>
    <s v=""/>
    <s v="Local SIM Card - Data Only"/>
    <s v="SIMDAT - SIM - Data Only"/>
    <m/>
    <n v="0"/>
    <n v="15"/>
    <n v="15"/>
    <n v="0"/>
    <n v="15"/>
    <x v="0"/>
    <x v="0"/>
    <x v="36"/>
    <x v="113"/>
    <x v="36"/>
    <s v="LOC Ticketing"/>
    <s v="PK 18.09: covered in request from Hayya"/>
  </r>
  <r>
    <s v="WRDSTA"/>
    <x v="12"/>
    <s v="Network &amp; Connectivity"/>
    <s v=""/>
    <s v="FIFA Standard Internet Access"/>
    <s v="Wired Port - ACR-TKT-Ipcodec"/>
    <s v="WRDSTA - Wired Port - ACR-TKT-Ipcodec (FIFA Standard Internet Access)"/>
    <m/>
    <n v="0"/>
    <n v="0"/>
    <n v="0"/>
    <n v="0"/>
    <n v="0"/>
    <x v="0"/>
    <x v="0"/>
    <x v="47"/>
    <x v="114"/>
    <x v="36"/>
    <s v="LOC Ticketing"/>
    <s v="PK 18.09: no TRP"/>
  </r>
  <r>
    <s v="IS00WF"/>
    <x v="1"/>
    <s v="Network &amp; Connectivity"/>
    <s v=""/>
    <s v="General Internet Access"/>
    <s v="Wireless coverage - Shared Internet Service - FIFA"/>
    <s v="IS00WF - Wireless coverage - Shared Internet Service - Wi-Fi FIFA (General Internet Access)"/>
    <m/>
    <n v="0"/>
    <n v="0"/>
    <n v="0"/>
    <n v="0"/>
    <n v="0"/>
    <x v="0"/>
    <x v="0"/>
    <x v="47"/>
    <x v="114"/>
    <x v="36"/>
    <s v="LOC Ticketing"/>
    <s v="PK 18.09: no TRP"/>
  </r>
  <r>
    <s v="ITSR4G"/>
    <x v="38"/>
    <s v="FIFA IT Network Solutions"/>
    <s v=""/>
    <s v=""/>
    <s v="IT Solution - Router + 4G"/>
    <s v="ITSR4G - IT Solution - Router + 4G"/>
    <m/>
    <n v="0"/>
    <n v="0"/>
    <n v="0"/>
    <n v="0"/>
    <n v="0"/>
    <x v="0"/>
    <x v="0"/>
    <x v="47"/>
    <x v="114"/>
    <x v="36"/>
    <s v="LOC Ticketing"/>
    <s v="PK 18.09: no TRP"/>
  </r>
  <r>
    <s v="LAPEVT"/>
    <x v="17"/>
    <s v="FIFA IT Hardware"/>
    <s v=""/>
    <s v=""/>
    <s v="FIFA Laptop"/>
    <s v="LAPEVT - Laptop - FIFA Event Build"/>
    <m/>
    <n v="0"/>
    <n v="0"/>
    <n v="0"/>
    <n v="0"/>
    <n v="0"/>
    <x v="0"/>
    <x v="0"/>
    <x v="47"/>
    <x v="114"/>
    <x v="36"/>
    <s v="LOC Ticketing"/>
    <s v="PK 18.09: no TRP"/>
  </r>
  <r>
    <s v="IS00WF"/>
    <x v="1"/>
    <s v="Network &amp; Connectivity"/>
    <s v=""/>
    <s v="General Internet Access"/>
    <s v="Wireless coverage - Shared Internet Service - FIFA"/>
    <s v="IS00WF - Wireless coverage - Shared Internet Service - Wi-Fi FIFA (General Internet Access)"/>
    <m/>
    <n v="0"/>
    <n v="0"/>
    <n v="2"/>
    <n v="0"/>
    <n v="0"/>
    <x v="0"/>
    <x v="0"/>
    <x v="47"/>
    <x v="115"/>
    <x v="36"/>
    <s v="LOC Ticketing"/>
    <s v="PK 18.09: pitch 5 and 7"/>
  </r>
  <r>
    <s v="SIMDAT"/>
    <x v="18"/>
    <s v="Telephony"/>
    <s v=""/>
    <s v=""/>
    <s v="Local SIM Card - Data Only"/>
    <s v="SIMDAT - SIM - Data Only"/>
    <m/>
    <n v="0"/>
    <n v="32"/>
    <n v="32"/>
    <n v="0"/>
    <n v="32"/>
    <x v="0"/>
    <x v="0"/>
    <x v="47"/>
    <x v="115"/>
    <x v="36"/>
    <s v="LOC Ticketing"/>
    <s v="PK 18.09: pitch 5 and 7, not covered in reuest from Haya"/>
  </r>
  <r>
    <s v="IS00WF"/>
    <x v="1"/>
    <s v="Network &amp; Connectivity"/>
    <s v=""/>
    <s v="General Internet Access"/>
    <s v="Wireless coverage - Shared Internet Service - FIFA"/>
    <s v="IS00WF - Wireless coverage - Shared Internet Service - Wi-Fi FIFA (General Internet Access)"/>
    <m/>
    <n v="0"/>
    <n v="0"/>
    <n v="0"/>
    <n v="0"/>
    <n v="0"/>
    <x v="0"/>
    <x v="0"/>
    <x v="33"/>
    <x v="116"/>
    <x v="36"/>
    <s v="LOC Ticketing"/>
    <s v="PK 18.09: no TKT office"/>
  </r>
  <r>
    <s v="WRDSTA"/>
    <x v="12"/>
    <s v="Network &amp; Connectivity"/>
    <s v=""/>
    <s v="FIFA Standard Internet Access"/>
    <s v="Wired Port - ACR-TKT-Ipcodec"/>
    <s v="WRDSTA - Wired Port - ACR-TKT-Ipcodec (FIFA Standard Internet Access)"/>
    <m/>
    <n v="0"/>
    <n v="0"/>
    <n v="0"/>
    <n v="0"/>
    <n v="0"/>
    <x v="0"/>
    <x v="0"/>
    <x v="33"/>
    <x v="116"/>
    <x v="36"/>
    <s v="LOC Ticketing"/>
    <s v="PK 18.09: no TKT office"/>
  </r>
  <r>
    <s v="MFDLNW"/>
    <x v="34"/>
    <s v="Reprographics"/>
    <s v=""/>
    <s v="General Internet Access"/>
    <s v="Large Colour Printer / Scanner (A3)"/>
    <s v="MFDLNW - MFD Large - Colour - A3 - Network (General Internet Access)"/>
    <m/>
    <n v="0"/>
    <n v="0"/>
    <n v="0"/>
    <n v="0"/>
    <n v="0"/>
    <x v="0"/>
    <x v="0"/>
    <x v="33"/>
    <x v="116"/>
    <x v="36"/>
    <s v="LOC Ticketing"/>
    <s v="PK 18.09: no TKT office"/>
  </r>
  <r>
    <s v="TVLGSA"/>
    <x v="15"/>
    <s v="Display Devices"/>
    <s v=""/>
    <s v=""/>
    <s v="Large TV - Standalone"/>
    <s v="TVLGSA - TV - Large - Standalone"/>
    <m/>
    <n v="0"/>
    <n v="0"/>
    <n v="0"/>
    <n v="0"/>
    <n v="0"/>
    <x v="0"/>
    <x v="0"/>
    <x v="33"/>
    <x v="116"/>
    <x v="36"/>
    <s v="LOC Ticketing"/>
    <s v="PK 18.09: no TKT office"/>
  </r>
  <r>
    <s v="WRDSTA"/>
    <x v="12"/>
    <s v="Network &amp; Connectivity"/>
    <s v=""/>
    <s v="FIFA Standard Internet Access"/>
    <s v="Wired Port - ACR-TKT-Ipcodec"/>
    <s v="WRDSTA - Wired Port - ACR-TKT-Ipcodec (FIFA Standard Internet Access)"/>
    <m/>
    <n v="0"/>
    <n v="0"/>
    <n v="0"/>
    <n v="0"/>
    <n v="0"/>
    <x v="0"/>
    <x v="0"/>
    <x v="33"/>
    <x v="117"/>
    <x v="36"/>
    <s v="LOC Ticketing"/>
    <s v="PK 18.09: no EACS office"/>
  </r>
  <r>
    <s v="IS00WF"/>
    <x v="1"/>
    <s v="Network &amp; Connectivity"/>
    <s v=""/>
    <s v="General Internet Access"/>
    <s v="Wireless coverage - Shared Internet Service - FIFA"/>
    <s v="IS00WF - Wireless coverage - Shared Internet Service - Wi-Fi FIFA (General Internet Access)"/>
    <m/>
    <n v="0"/>
    <n v="0"/>
    <n v="0"/>
    <n v="0"/>
    <n v="0"/>
    <x v="0"/>
    <x v="0"/>
    <x v="33"/>
    <x v="117"/>
    <x v="36"/>
    <s v="LOC Ticketing"/>
    <s v="PK 18.09: no EACS office"/>
  </r>
  <r>
    <s v="MFDDNW"/>
    <x v="2"/>
    <s v="Reprographics"/>
    <s v=""/>
    <s v="General Internet Access"/>
    <s v="Colour Printer / Scanner (A4)"/>
    <s v="MFDDNW - MFD Desktop - Colour - A4 - Network (General Internet Access)"/>
    <m/>
    <n v="0"/>
    <n v="0"/>
    <n v="0"/>
    <n v="0"/>
    <n v="0"/>
    <x v="0"/>
    <x v="0"/>
    <x v="33"/>
    <x v="117"/>
    <x v="36"/>
    <s v="LOC Ticketing"/>
    <s v="PK 18.09: no EACS office"/>
  </r>
  <r>
    <s v="WRDSTA"/>
    <x v="12"/>
    <s v="Network &amp; Connectivity"/>
    <s v=""/>
    <s v="FIFA Standard Internet Access"/>
    <s v="Wired Port - ACR-TKT-Ipcodec"/>
    <s v="WRDSTA - Wired Port - ACR-TKT-Ipcodec (FIFA Standard Internet Access)"/>
    <m/>
    <n v="2"/>
    <n v="0"/>
    <n v="2"/>
    <n v="2"/>
    <n v="0"/>
    <x v="0"/>
    <x v="0"/>
    <x v="27"/>
    <x v="118"/>
    <x v="36"/>
    <s v="LOC Ticketing"/>
    <s v="&quot;2 x wired ports for 2 x laptops_x000a_EACS network - TBC, Dedicated VLAN - TBD&quot;"/>
  </r>
  <r>
    <s v="LAPEVT"/>
    <x v="17"/>
    <s v="FIFA IT Hardware"/>
    <s v=""/>
    <s v=""/>
    <s v="FIFA Laptop"/>
    <s v="LAPEVT - Laptop - FIFA Event Build"/>
    <m/>
    <n v="0"/>
    <n v="0"/>
    <n v="2"/>
    <n v="0"/>
    <n v="0"/>
    <x v="0"/>
    <x v="0"/>
    <x v="33"/>
    <x v="118"/>
    <x v="36"/>
    <s v="LOC Ticketing"/>
    <s v="PK 18.09: 2 laptops from LOC"/>
  </r>
  <r>
    <s v="TVLGSA"/>
    <x v="15"/>
    <s v="Display Devices"/>
    <s v=""/>
    <s v=""/>
    <s v="Large TV - Standalone"/>
    <s v="TVLGSA - TV - Large - Standalone"/>
    <m/>
    <n v="0"/>
    <n v="0"/>
    <n v="1"/>
    <n v="0"/>
    <n v="0"/>
    <x v="0"/>
    <x v="0"/>
    <x v="33"/>
    <x v="118"/>
    <x v="36"/>
    <s v="LOC Ticketing"/>
    <s v="PK 18.09: TV depends on VOC setup"/>
  </r>
  <r>
    <s v="WRDSTA"/>
    <x v="12"/>
    <s v="Network &amp; Connectivity"/>
    <s v=""/>
    <s v="FIFA Standard Internet Access"/>
    <s v="Wired Port - ACR-TKT-Ipcodec"/>
    <s v="WRDSTA - Wired Port - ACR-TKT-Ipcodec (FIFA Standard Internet Access)"/>
    <m/>
    <n v="0"/>
    <n v="0"/>
    <n v="0"/>
    <n v="0"/>
    <n v="0"/>
    <x v="0"/>
    <x v="1"/>
    <x v="37"/>
    <x v="119"/>
    <x v="36"/>
    <s v="LOC Ticketing"/>
    <s v="PK 21.09: reflected in FAC TEAP"/>
  </r>
  <r>
    <s v="IS00WF"/>
    <x v="1"/>
    <s v="Network &amp; Connectivity"/>
    <s v=""/>
    <s v="General Internet Access"/>
    <s v="Wireless coverage - Shared Internet Service - FIFA"/>
    <s v="IS00WF - Wireless coverage - Shared Internet Service - Wi-Fi FIFA (General Internet Access)"/>
    <m/>
    <n v="0"/>
    <n v="0"/>
    <n v="0"/>
    <n v="0"/>
    <n v="0"/>
    <x v="0"/>
    <x v="1"/>
    <x v="37"/>
    <x v="119"/>
    <x v="36"/>
    <s v="LOC Ticketing"/>
    <s v="PK 21.09: reflected in FAC TEAP"/>
  </r>
  <r>
    <s v="MFDDNW"/>
    <x v="2"/>
    <s v="Reprographics"/>
    <s v=""/>
    <s v="General Internet Access"/>
    <s v="Colour Printer / Scanner (A4)"/>
    <s v="MFDDNW - MFD Desktop - Colour - A4 - Network (General Internet Access)"/>
    <m/>
    <n v="0"/>
    <n v="0"/>
    <n v="0"/>
    <n v="0"/>
    <n v="0"/>
    <x v="0"/>
    <x v="1"/>
    <x v="37"/>
    <x v="119"/>
    <x v="36"/>
    <s v="LOC Ticketing"/>
    <s v="PK 21.09: reflected in FAC TEAP"/>
  </r>
  <r>
    <s v="ITSR4G"/>
    <x v="38"/>
    <s v="FIFA IT Network Solutions"/>
    <s v=""/>
    <s v=""/>
    <s v="IT Solution - Router + 4G"/>
    <s v="ITSR4G - IT Solution - Router + 4G"/>
    <m/>
    <n v="0"/>
    <n v="0"/>
    <n v="0"/>
    <n v="0"/>
    <n v="0"/>
    <x v="0"/>
    <x v="1"/>
    <x v="37"/>
    <x v="119"/>
    <x v="36"/>
    <s v="LOC Ticketing"/>
    <s v="PK 21.09: reflected in FAC TEAP"/>
  </r>
  <r>
    <s v="LAPEVT"/>
    <x v="17"/>
    <s v="FIFA IT Hardware"/>
    <s v=""/>
    <s v=""/>
    <s v="FIFA Laptop"/>
    <s v="LAPEVT - Laptop - FIFA Event Build"/>
    <m/>
    <n v="0"/>
    <n v="0"/>
    <n v="0"/>
    <n v="0"/>
    <n v="0"/>
    <x v="0"/>
    <x v="1"/>
    <x v="37"/>
    <x v="119"/>
    <x v="36"/>
    <s v="LOC Ticketing"/>
    <s v="PK 21.09: reflected in FAC TEAP"/>
  </r>
  <r>
    <s v="IS00WF"/>
    <x v="1"/>
    <s v="Network &amp; Connectivity"/>
    <s v=""/>
    <s v="General Internet Access"/>
    <s v="Wireless coverage - Shared Internet Service - FIFA"/>
    <s v="IS00WF - Wireless coverage - Shared Internet Service - Wi-Fi FIFA (General Internet Access)"/>
    <m/>
    <n v="0"/>
    <n v="0"/>
    <n v="0"/>
    <n v="0"/>
    <n v="0"/>
    <x v="0"/>
    <x v="1"/>
    <x v="37"/>
    <x v="120"/>
    <x v="36"/>
    <s v="LOC Ticketing"/>
    <s v="PK 21.09: reflected in FAC TEAP"/>
  </r>
  <r>
    <s v="SIMDAT"/>
    <x v="18"/>
    <s v="Telephony"/>
    <s v=""/>
    <s v=""/>
    <s v="Local SIM Card - Data Only"/>
    <s v="SIMDAT - SIM - Data Only"/>
    <m/>
    <n v="0"/>
    <n v="0"/>
    <n v="0"/>
    <n v="0"/>
    <n v="0"/>
    <x v="0"/>
    <x v="1"/>
    <x v="37"/>
    <x v="120"/>
    <x v="36"/>
    <s v="LOC Ticketing"/>
    <s v="PK 21.09: reflected in FAC TEAP"/>
  </r>
  <r>
    <s v="WRDSTA"/>
    <x v="12"/>
    <s v="Network &amp; Connectivity"/>
    <s v=""/>
    <s v="FIFA Standard Internet Access"/>
    <s v="Wired Port - ACR-TKT-Ipcodec"/>
    <s v="WRDSTA - Wired Port - ACR-TKT-Ipcodec (FIFA Standard Internet Access)"/>
    <m/>
    <n v="0"/>
    <n v="0"/>
    <n v="0"/>
    <n v="0"/>
    <n v="0"/>
    <x v="0"/>
    <x v="1"/>
    <x v="42"/>
    <x v="121"/>
    <x v="36"/>
    <s v="LOC Ticketing"/>
    <s v="PK 21.09: reflected in FAC TEAP"/>
  </r>
  <r>
    <s v="IS00WF"/>
    <x v="1"/>
    <s v="Network &amp; Connectivity"/>
    <s v=""/>
    <s v="General Internet Access"/>
    <s v="Wireless coverage - Shared Internet Service - FIFA"/>
    <s v="IS00WF - Wireless coverage - Shared Internet Service - Wi-Fi FIFA (General Internet Access)"/>
    <m/>
    <n v="0"/>
    <n v="0"/>
    <n v="0"/>
    <n v="0"/>
    <n v="0"/>
    <x v="0"/>
    <x v="1"/>
    <x v="42"/>
    <x v="121"/>
    <x v="36"/>
    <s v="LOC Ticketing"/>
    <s v="PK 21.09: reflected in FAC TEAP"/>
  </r>
  <r>
    <s v="ITSR4G"/>
    <x v="38"/>
    <s v="FIFA IT Network Solutions"/>
    <s v=""/>
    <s v=""/>
    <s v="IT Solution - Router + 4G"/>
    <s v="ITSR4G - IT Solution - Router + 4G"/>
    <m/>
    <n v="0"/>
    <n v="0"/>
    <n v="0"/>
    <n v="0"/>
    <n v="0"/>
    <x v="0"/>
    <x v="1"/>
    <x v="42"/>
    <x v="121"/>
    <x v="36"/>
    <s v="LOC Ticketing"/>
    <s v="PK 21.09: reflected in FAC TEAP"/>
  </r>
  <r>
    <s v="LAPEVT"/>
    <x v="17"/>
    <s v="FIFA IT Hardware"/>
    <s v=""/>
    <s v=""/>
    <s v="FIFA Laptop"/>
    <s v="LAPEVT - Laptop - FIFA Event Build"/>
    <m/>
    <n v="0"/>
    <n v="0"/>
    <n v="0"/>
    <n v="0"/>
    <n v="0"/>
    <x v="0"/>
    <x v="1"/>
    <x v="42"/>
    <x v="121"/>
    <x v="36"/>
    <s v="LOC Ticketing"/>
    <s v="PK 21.09: reflected in FAC TEAP"/>
  </r>
  <r>
    <s v="IS00WF"/>
    <x v="1"/>
    <s v="Network &amp; Connectivity"/>
    <s v=""/>
    <s v="General Internet Access"/>
    <s v="Wireless coverage - Shared Internet Service - FIFA"/>
    <s v="IS00WF - Wireless coverage - Shared Internet Service - Wi-Fi FIFA (General Internet Access)"/>
    <m/>
    <n v="0"/>
    <n v="0"/>
    <n v="0"/>
    <n v="0"/>
    <n v="0"/>
    <x v="0"/>
    <x v="1"/>
    <x v="42"/>
    <x v="122"/>
    <x v="36"/>
    <s v="LOC Ticketing"/>
    <s v="PK 21.09: reflected in FAC TEAP"/>
  </r>
  <r>
    <s v="IS00WF"/>
    <x v="1"/>
    <s v="Network &amp; Connectivity"/>
    <s v=""/>
    <s v="General Internet Access"/>
    <s v="Wireless coverage - Shared Internet Service - FIFA"/>
    <s v="IS00WF - Wireless coverage - Shared Internet Service - Wi-Fi FIFA (General Internet Access)"/>
    <m/>
    <n v="0"/>
    <n v="0"/>
    <n v="0"/>
    <n v="0"/>
    <n v="0"/>
    <x v="0"/>
    <x v="1"/>
    <x v="8"/>
    <x v="116"/>
    <x v="36"/>
    <s v="LOC Ticketing"/>
    <s v="PK 21.09: reflected in FAC TEAP"/>
  </r>
  <r>
    <s v="WRDSTA"/>
    <x v="12"/>
    <s v="Network &amp; Connectivity"/>
    <s v=""/>
    <s v="FIFA Standard Internet Access"/>
    <s v="Wired Port - ACR-TKT-Ipcodec"/>
    <s v="WRDSTA - Wired Port - ACR-TKT-Ipcodec (FIFA Standard Internet Access)"/>
    <m/>
    <n v="0"/>
    <n v="0"/>
    <n v="0"/>
    <n v="0"/>
    <n v="0"/>
    <x v="0"/>
    <x v="1"/>
    <x v="8"/>
    <x v="116"/>
    <x v="36"/>
    <s v="LOC Ticketing"/>
    <s v="PK 21.09: reflected in FAC TEAP"/>
  </r>
  <r>
    <s v="MFDLNW"/>
    <x v="34"/>
    <s v="Reprographics"/>
    <s v=""/>
    <s v="General Internet Access"/>
    <s v="Large Colour Printer / Scanner (A3)"/>
    <s v="MFDLNW - MFD Large - Colour - A3 - Network (General Internet Access)"/>
    <m/>
    <n v="0"/>
    <n v="0"/>
    <n v="0"/>
    <n v="0"/>
    <n v="0"/>
    <x v="0"/>
    <x v="1"/>
    <x v="8"/>
    <x v="116"/>
    <x v="36"/>
    <s v="LOC Ticketing"/>
    <s v="PK 21.09: reflected in FAC TEAP"/>
  </r>
  <r>
    <s v="TVLGSA"/>
    <x v="15"/>
    <s v="Display Devices"/>
    <s v=""/>
    <s v=""/>
    <s v="Large TV - Standalone"/>
    <s v="TVLGSA - TV - Large - Standalone"/>
    <m/>
    <n v="0"/>
    <n v="0"/>
    <n v="0"/>
    <n v="0"/>
    <n v="0"/>
    <x v="0"/>
    <x v="1"/>
    <x v="8"/>
    <x v="116"/>
    <x v="36"/>
    <s v="LOC Ticketing"/>
    <s v="PK 21.09: reflected in FAC TEAP"/>
  </r>
  <r>
    <s v="WRDSTA"/>
    <x v="12"/>
    <s v="Network &amp; Connectivity"/>
    <s v=""/>
    <s v="FIFA Standard Internet Access"/>
    <s v="Wired Port - ACR-TKT-Ipcodec"/>
    <s v="WRDSTA - Wired Port - ACR-TKT-Ipcodec (FIFA Standard Internet Access)"/>
    <m/>
    <n v="0"/>
    <n v="0"/>
    <n v="0"/>
    <n v="0"/>
    <n v="0"/>
    <x v="0"/>
    <x v="1"/>
    <x v="8"/>
    <x v="117"/>
    <x v="36"/>
    <s v="LOC Ticketing"/>
    <s v="PK 21.09: reflected in FAC TEAP"/>
  </r>
  <r>
    <s v="IS00WF"/>
    <x v="1"/>
    <s v="Network &amp; Connectivity"/>
    <s v=""/>
    <s v="General Internet Access"/>
    <s v="Wireless coverage - Shared Internet Service - FIFA"/>
    <s v="IS00WF - Wireless coverage - Shared Internet Service - Wi-Fi FIFA (General Internet Access)"/>
    <m/>
    <n v="0"/>
    <n v="0"/>
    <n v="0"/>
    <n v="0"/>
    <n v="0"/>
    <x v="0"/>
    <x v="1"/>
    <x v="8"/>
    <x v="117"/>
    <x v="36"/>
    <s v="LOC Ticketing"/>
    <s v="PK 21.09: reflected in FAC TEAP"/>
  </r>
  <r>
    <s v="MFDDNW"/>
    <x v="2"/>
    <s v="Reprographics"/>
    <s v=""/>
    <s v="General Internet Access"/>
    <s v="Colour Printer / Scanner (A4)"/>
    <s v="MFDDNW - MFD Desktop - Colour - A4 - Network (General Internet Access)"/>
    <m/>
    <n v="0"/>
    <n v="0"/>
    <n v="0"/>
    <n v="0"/>
    <n v="0"/>
    <x v="0"/>
    <x v="1"/>
    <x v="8"/>
    <x v="117"/>
    <x v="36"/>
    <s v="LOC Ticketing"/>
    <s v="PK 21.09: reflected in FAC TEAP"/>
  </r>
  <r>
    <s v="WRDSTA"/>
    <x v="12"/>
    <s v="Network &amp; Connectivity"/>
    <s v=""/>
    <s v="FIFA Standard Internet Access"/>
    <s v="Wired Port - ACR-TKT-Ipcodec"/>
    <s v="WRDSTA - Wired Port - ACR-TKT-Ipcodec (FIFA Standard Internet Access)"/>
    <m/>
    <n v="0"/>
    <n v="0"/>
    <n v="0"/>
    <n v="0"/>
    <n v="0"/>
    <x v="0"/>
    <x v="1"/>
    <x v="8"/>
    <x v="118"/>
    <x v="36"/>
    <s v="LOC Ticketing"/>
    <s v="PK 21.09: reflected in FAC TEAP"/>
  </r>
  <r>
    <s v="LAPEVT"/>
    <x v="17"/>
    <s v="FIFA IT Hardware"/>
    <s v=""/>
    <s v=""/>
    <s v="FIFA Laptop"/>
    <s v="LAPEVT - Laptop - FIFA Event Build"/>
    <m/>
    <n v="0"/>
    <n v="0"/>
    <n v="0"/>
    <n v="0"/>
    <n v="0"/>
    <x v="0"/>
    <x v="1"/>
    <x v="8"/>
    <x v="118"/>
    <x v="36"/>
    <s v="LOC Ticketing"/>
    <s v="PK 21.09: reflected in FAC TEAP"/>
  </r>
  <r>
    <s v="TVLGSA"/>
    <x v="15"/>
    <s v="Display Devices"/>
    <s v=""/>
    <s v=""/>
    <s v="Large TV - Standalone"/>
    <s v="TVLGSA - TV - Large - Standalone"/>
    <m/>
    <n v="0"/>
    <n v="0"/>
    <n v="0"/>
    <n v="0"/>
    <n v="0"/>
    <x v="0"/>
    <x v="1"/>
    <x v="8"/>
    <x v="118"/>
    <x v="36"/>
    <s v="LOC Ticketing"/>
    <s v="PK 21.09: reflected in FAC TEAP"/>
  </r>
  <r>
    <s v="TVLGSA"/>
    <x v="15"/>
    <s v="Display Devices"/>
    <s v=""/>
    <s v=""/>
    <s v="Large TV - Standalone"/>
    <s v="TVLGSA - TV - Large - Standalone"/>
    <m/>
    <n v="0"/>
    <n v="0"/>
    <n v="0"/>
    <n v="0"/>
    <n v="0"/>
    <x v="0"/>
    <x v="2"/>
    <x v="33"/>
    <x v="123"/>
    <x v="36"/>
    <s v="LOC Ticketing"/>
    <s v="PK 17.09: Transferred to FAC scope"/>
  </r>
  <r>
    <s v="LAPEVT"/>
    <x v="17"/>
    <s v="FIFA IT Hardware"/>
    <s v=""/>
    <s v=""/>
    <s v="FIFA Laptop"/>
    <s v="LAPEVT - Laptop - FIFA Event Build"/>
    <m/>
    <n v="0"/>
    <n v="0"/>
    <n v="0"/>
    <n v="0"/>
    <n v="0"/>
    <x v="0"/>
    <x v="2"/>
    <x v="33"/>
    <x v="123"/>
    <x v="36"/>
    <s v="LOC Ticketing"/>
    <s v="PK 17.09: Transferred to FAC scope"/>
  </r>
  <r>
    <s v="WRDGEN"/>
    <x v="8"/>
    <s v="Network &amp; Connectivity"/>
    <s v=""/>
    <s v="General Internet Access"/>
    <s v="Wired Port - Internet"/>
    <s v="WRDGEN - Wired Port - General Internet  (General Internet Access)"/>
    <m/>
    <n v="0"/>
    <n v="0"/>
    <n v="0"/>
    <n v="0"/>
    <n v="0"/>
    <x v="0"/>
    <x v="2"/>
    <x v="33"/>
    <x v="123"/>
    <x v="36"/>
    <s v="LOC Ticketing"/>
    <s v="PK 17.09: Transferred to FAC scope"/>
  </r>
  <r>
    <s v="IS00WF"/>
    <x v="1"/>
    <s v="Network &amp; Connectivity"/>
    <s v=""/>
    <s v="General Internet Access"/>
    <s v="Wireless coverage - Shared Internet Service - FIFA"/>
    <s v="IS00WF - Wireless coverage - Shared Internet Service - Wi-Fi FIFA (General Internet Access)"/>
    <m/>
    <n v="0"/>
    <n v="0"/>
    <n v="0"/>
    <n v="0"/>
    <n v="0"/>
    <x v="0"/>
    <x v="2"/>
    <x v="33"/>
    <x v="123"/>
    <x v="36"/>
    <s v="LOC Ticketing"/>
    <s v="PK 17.09: Transferred to FAC scope"/>
  </r>
  <r>
    <s v="ITSR4G"/>
    <x v="38"/>
    <s v="FIFA IT Network Solutions"/>
    <s v=""/>
    <s v=""/>
    <s v="IT Solution - Router + 4G"/>
    <s v="ITSR4G - IT Solution - Router + 4G"/>
    <m/>
    <n v="0"/>
    <n v="0"/>
    <n v="0"/>
    <n v="0"/>
    <n v="0"/>
    <x v="0"/>
    <x v="2"/>
    <x v="33"/>
    <x v="123"/>
    <x v="36"/>
    <s v="LOC Ticketing"/>
    <s v="PK 17.09: Transferred to FAC scope"/>
  </r>
  <r>
    <s v="MFDLNW"/>
    <x v="34"/>
    <s v="Reprographics"/>
    <s v=""/>
    <s v="General Internet Access"/>
    <s v="Large Colour Printer / Scanner (A3)"/>
    <s v="MFDLNW - MFD Large - Colour - A3 - Network (General Internet Access)"/>
    <m/>
    <n v="0"/>
    <n v="0"/>
    <n v="0"/>
    <n v="0"/>
    <n v="0"/>
    <x v="0"/>
    <x v="2"/>
    <x v="33"/>
    <x v="123"/>
    <x v="36"/>
    <s v="LOC Ticketing"/>
    <s v="PK 17.09: Transferred to FAC scope"/>
  </r>
  <r>
    <s v="MFDDNW"/>
    <x v="2"/>
    <s v="Reprographics"/>
    <s v=""/>
    <s v="General Internet Access"/>
    <s v="Colour Printer / Scanner (A4)"/>
    <s v="MFDDNW - MFD Desktop - Colour - A4 - Network (General Internet Access)"/>
    <m/>
    <n v="0"/>
    <n v="0"/>
    <n v="0"/>
    <n v="0"/>
    <n v="0"/>
    <x v="0"/>
    <x v="2"/>
    <x v="33"/>
    <x v="123"/>
    <x v="36"/>
    <s v="LOC Ticketing"/>
    <s v="PK 17.09: Transferred to FAC scope"/>
  </r>
  <r>
    <s v="DSKMNT"/>
    <x v="0"/>
    <s v="Peripherals"/>
    <s v=""/>
    <s v=""/>
    <s v="24&quot; PC Monitor"/>
    <s v="DSKMNT - 24&quot; Monitor - HDMI/DP"/>
    <m/>
    <n v="0"/>
    <n v="0"/>
    <n v="0"/>
    <n v="0"/>
    <n v="0"/>
    <x v="0"/>
    <x v="2"/>
    <x v="33"/>
    <x v="123"/>
    <x v="36"/>
    <s v="LOC Ticketing"/>
    <s v="PK 17.09: Transferred to FAC scope"/>
  </r>
  <r>
    <s v="PROJ6K"/>
    <x v="26"/>
    <s v="Display Devices"/>
    <s v=""/>
    <s v=""/>
    <s v="Office Projector - 6K"/>
    <s v="PROJ6K - Office Projector - 6K"/>
    <m/>
    <n v="0"/>
    <n v="0"/>
    <n v="0"/>
    <n v="0"/>
    <n v="0"/>
    <x v="0"/>
    <x v="2"/>
    <x v="33"/>
    <x v="123"/>
    <x v="36"/>
    <s v="LOC Ticketing"/>
    <s v="PK 17.09: Transferred to FAC scope"/>
  </r>
  <r>
    <s v="MFDDNW"/>
    <x v="2"/>
    <s v="Reprographics"/>
    <s v=""/>
    <s v="General Internet Access"/>
    <s v="Colour Printer / Scanner (A4)"/>
    <s v="MFDDNW - MFD Desktop - Colour - A4 - Network (General Internet Access)"/>
    <m/>
    <n v="0"/>
    <n v="0"/>
    <n v="0"/>
    <n v="0"/>
    <n v="0"/>
    <x v="0"/>
    <x v="2"/>
    <x v="33"/>
    <x v="124"/>
    <x v="37"/>
    <s v="LOC Arrival &amp; Departure"/>
    <s v="PK 17.09: Transferred to FAC scope"/>
  </r>
  <r>
    <s v="SIMDAT"/>
    <x v="18"/>
    <s v="Telephony"/>
    <s v=""/>
    <s v=""/>
    <s v="Local SIM Card - Data Only"/>
    <s v="SIMDAT - SIM - Data Only"/>
    <m/>
    <n v="0"/>
    <n v="0"/>
    <n v="0"/>
    <n v="0"/>
    <n v="0"/>
    <x v="0"/>
    <x v="2"/>
    <x v="33"/>
    <x v="124"/>
    <x v="37"/>
    <s v="LOC Arrival &amp; Departure"/>
    <s v="PK 17.09: Transferred to FAC scope"/>
  </r>
  <r>
    <s v="DSKMNT"/>
    <x v="0"/>
    <s v="Peripherals"/>
    <s v=""/>
    <s v=""/>
    <s v="24&quot; PC Monitor"/>
    <s v="DSKMNT - 24&quot; Monitor - HDMI/DP"/>
    <m/>
    <n v="0"/>
    <n v="0"/>
    <n v="0"/>
    <n v="0"/>
    <n v="0"/>
    <x v="0"/>
    <x v="2"/>
    <x v="33"/>
    <x v="124"/>
    <x v="37"/>
    <s v="LOC Arrival &amp; Departure"/>
    <s v="PK 17.09: Transferred to FAC scope"/>
  </r>
</pivotCacheRecords>
</file>

<file path=xl/pivotCache/richPivot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8">
  <r>
    <x v="0"/>
    <s v="LOC Access Management "/>
    <x v="0"/>
    <x v="0"/>
    <x v="0"/>
    <s v="SIM_Telco"/>
    <x v="0"/>
    <x v="0"/>
    <d v="2025-10-19T00:00:00"/>
    <d v="2025-11-27T00:00:00"/>
    <s v="SIMDAT"/>
    <m/>
    <s v="15GB per SIM Card"/>
  </r>
  <r>
    <x v="0"/>
    <s v="LOC Access Management "/>
    <x v="0"/>
    <x v="0"/>
    <x v="0"/>
    <s v="SIM_Telco"/>
    <x v="1"/>
    <x v="1"/>
    <d v="2025-10-19T00:00:00"/>
    <d v="2025-11-27T00:00:00"/>
    <s v="ITSR4G"/>
    <m/>
    <s v="500GB per SIM Card"/>
  </r>
  <r>
    <x v="0"/>
    <s v="LOC Access Management "/>
    <x v="1"/>
    <x v="0"/>
    <x v="0"/>
    <s v="SIM_Telco"/>
    <x v="0"/>
    <x v="2"/>
    <d v="2025-10-19T00:00:00"/>
    <d v="2025-12-18T00:00:00"/>
    <s v="SIMDAT"/>
    <m/>
    <s v="25 per SIM Card (These SIM Cards will be used for both U17 &amp; FAC)"/>
  </r>
  <r>
    <x v="0"/>
    <s v="LOC Access Management "/>
    <x v="1"/>
    <x v="0"/>
    <x v="0"/>
    <s v="SIM_Telco"/>
    <x v="1"/>
    <x v="1"/>
    <d v="2025-10-19T00:00:00"/>
    <d v="2025-12-18T00:00:00"/>
    <s v="ITSR4G"/>
    <m/>
    <s v="500GB per SIM Card (These SIM Cards will be used for both U17 &amp; FAC)"/>
  </r>
  <r>
    <x v="1"/>
    <s v="LOC Accreditation"/>
    <x v="2"/>
    <x v="1"/>
    <x v="1"/>
    <s v="Printing"/>
    <x v="2"/>
    <x v="3"/>
    <d v="2025-09-23T00:00:00"/>
    <d v="2025-12-19T00:00:00"/>
    <s v="MFDDNW"/>
    <s v="moved to FAC TEAP. ID=FAC01042"/>
    <s v="Printing of accreditations."/>
  </r>
  <r>
    <x v="1"/>
    <s v="LOC Accreditation"/>
    <x v="2"/>
    <x v="1"/>
    <x v="2"/>
    <s v="Printing"/>
    <x v="3"/>
    <x v="3"/>
    <d v="2025-09-23T00:00:00"/>
    <d v="2025-12-19T00:00:00"/>
    <s v="MFDLNW"/>
    <s v="moved to FAC TEAP. ID=FAC01043"/>
    <s v="Make copies of all forms to be signed among other documents. To scan and make copies of IDs when reporting lost, damaged or stolen accreditation."/>
  </r>
  <r>
    <x v="1"/>
    <s v="LOC Accreditation"/>
    <x v="2"/>
    <x v="1"/>
    <x v="1"/>
    <s v="EU_Equipment"/>
    <x v="4"/>
    <x v="3"/>
    <d v="2025-09-23T00:00:00"/>
    <d v="2025-12-19T00:00:00"/>
    <s v="LAPOPS"/>
    <s v="moved to FAC TEAP. ID=FAC01044"/>
    <s v="It can also be AIO PCs"/>
  </r>
  <r>
    <x v="1"/>
    <s v="LOC Accreditation"/>
    <x v="2"/>
    <x v="1"/>
    <x v="1"/>
    <s v="EU_Equipment"/>
    <x v="5"/>
    <x v="3"/>
    <d v="2025-09-23T00:00:00"/>
    <d v="2025-12-19T00:00:00"/>
    <s v="ACCBAR"/>
    <s v="moved to FAC TEAP. ID=FAC01045"/>
    <s v="To scan QIDs and accreditations."/>
  </r>
  <r>
    <x v="1"/>
    <s v="LOC Accreditation"/>
    <x v="2"/>
    <x v="1"/>
    <x v="1"/>
    <s v="EU_Equipment"/>
    <x v="6"/>
    <x v="3"/>
    <d v="2025-09-23T00:00:00"/>
    <d v="2025-12-19T00:00:00"/>
    <s v="EUQSPE"/>
    <s v="moved to FAC TEAP. ID=FAC01046"/>
    <s v="Mouse to expedite accreditation process at front desk."/>
  </r>
  <r>
    <x v="1"/>
    <s v="LOC Accreditation"/>
    <x v="2"/>
    <x v="1"/>
    <x v="1"/>
    <s v="Network"/>
    <x v="7"/>
    <x v="3"/>
    <d v="2025-09-23T00:00:00"/>
    <d v="2025-12-19T00:00:00"/>
    <s v="WRDGEN"/>
    <s v="moved to FAC TEAP. ID=FAC01047"/>
    <s v="Cable network connection for each printer, laptop and TV."/>
  </r>
  <r>
    <x v="1"/>
    <s v="LOC Accreditation"/>
    <x v="2"/>
    <x v="1"/>
    <x v="3"/>
    <s v="WiFi"/>
    <x v="8"/>
    <x v="3"/>
    <d v="2025-09-23T00:00:00"/>
    <d v="2025-12-19T00:00:00"/>
    <s v="WANGEN"/>
    <s v="moved to FAC TEAP. ID=FAC01048"/>
    <s v="WiFI for all MAC"/>
  </r>
  <r>
    <x v="1"/>
    <s v="LOC Accreditation"/>
    <x v="2"/>
    <x v="1"/>
    <x v="4"/>
    <s v="CATV_IPTV"/>
    <x v="9"/>
    <x v="3"/>
    <d v="2025-09-23T00:00:00"/>
    <d v="2025-12-19T00:00:00"/>
    <s v="TVLGIP"/>
    <s v="moved to FAC TEAP. ID=FAC01049"/>
    <s v="TV for presentations to the volunteers and staff. TV at Directors office to follow up with competition. "/>
  </r>
  <r>
    <x v="2"/>
    <s v="LOC Catering"/>
    <x v="0"/>
    <x v="2"/>
    <x v="5"/>
    <s v="EU_Equipment"/>
    <x v="4"/>
    <x v="1"/>
    <d v="2025-11-01T00:00:00"/>
    <d v="2025-11-27T00:00:00"/>
    <s v="LAPOPS"/>
    <m/>
    <s v="Meals redemption "/>
  </r>
  <r>
    <x v="2"/>
    <s v="LOC Catering"/>
    <x v="1"/>
    <x v="0"/>
    <x v="5"/>
    <s v="EU_Equipment"/>
    <x v="4"/>
    <x v="1"/>
    <d v="2025-11-01T00:00:00"/>
    <d v="2025-11-27T00:00:00"/>
    <s v="LAPOPS"/>
    <m/>
    <s v="Meals redemption "/>
  </r>
  <r>
    <x v="2"/>
    <s v="LOC Catering"/>
    <x v="0"/>
    <x v="2"/>
    <x v="5"/>
    <s v="EU_Equipment"/>
    <x v="5"/>
    <x v="1"/>
    <d v="2025-11-01T00:00:00"/>
    <d v="2025-11-27T00:00:00"/>
    <s v="ACCBAR"/>
    <m/>
    <s v="Meals redemption "/>
  </r>
  <r>
    <x v="2"/>
    <s v="LOC Catering"/>
    <x v="1"/>
    <x v="0"/>
    <x v="5"/>
    <s v="EU_Equipment"/>
    <x v="5"/>
    <x v="1"/>
    <d v="2025-11-01T00:00:00"/>
    <d v="2025-11-27T00:00:00"/>
    <s v="ACCBAR"/>
    <m/>
    <s v="Meals redemption "/>
  </r>
  <r>
    <x v="3"/>
    <s v="LOC Events and Community Relations "/>
    <x v="0"/>
    <x v="3"/>
    <x v="6"/>
    <s v="AV"/>
    <x v="10"/>
    <x v="4"/>
    <d v="2025-10-26T00:00:00"/>
    <d v="2025-11-27T00:00:00"/>
    <s v="TVLGSA"/>
    <m/>
    <s v="with TV live stream"/>
  </r>
  <r>
    <x v="3"/>
    <s v="LOC Events and Community Relations "/>
    <x v="0"/>
    <x v="3"/>
    <x v="6"/>
    <s v="EU_Equipment"/>
    <x v="4"/>
    <x v="1"/>
    <d v="2025-10-26T00:00:00"/>
    <d v="2025-11-27T00:00:00"/>
    <s v="LAPOPS"/>
    <m/>
    <m/>
  </r>
  <r>
    <x v="3"/>
    <s v="LOC Events and Community Relations "/>
    <x v="0"/>
    <x v="3"/>
    <x v="6"/>
    <s v="Printing"/>
    <x v="2"/>
    <x v="4"/>
    <d v="2025-10-26T00:00:00"/>
    <d v="2025-11-27T00:00:00"/>
    <s v="MFDDNW"/>
    <m/>
    <s v="As the operational room functions independently, we will require access to a nearby printer to support our workflow efficiently"/>
  </r>
  <r>
    <x v="3"/>
    <s v="LOC Events and Community Relations "/>
    <x v="0"/>
    <x v="3"/>
    <x v="6"/>
    <s v="WiFi"/>
    <x v="8"/>
    <x v="1"/>
    <d v="2025-10-26T00:00:00"/>
    <d v="2025-11-27T00:00:00"/>
    <s v="WANGEN"/>
    <m/>
    <s v="WIFI for the fan zone and operational office "/>
  </r>
  <r>
    <x v="3"/>
    <s v="LOC Events and Community Relations "/>
    <x v="1"/>
    <x v="4"/>
    <x v="6"/>
    <s v="AV"/>
    <x v="10"/>
    <x v="4"/>
    <d v="2025-11-23T00:00:00"/>
    <d v="2025-11-27T00:00:00"/>
    <s v="TVLGSA"/>
    <m/>
    <s v="with TV live stream"/>
  </r>
  <r>
    <x v="3"/>
    <s v="LOC Events and Community Relations "/>
    <x v="1"/>
    <x v="4"/>
    <x v="6"/>
    <s v="EU_Equipment"/>
    <x v="4"/>
    <x v="1"/>
    <d v="2025-11-23T00:00:00"/>
    <d v="2025-11-27T00:00:00"/>
    <s v="LAPOPS"/>
    <m/>
    <m/>
  </r>
  <r>
    <x v="3"/>
    <s v="LOC Events and Community Relations "/>
    <x v="1"/>
    <x v="4"/>
    <x v="6"/>
    <s v="Printing"/>
    <x v="2"/>
    <x v="4"/>
    <d v="2025-11-23T00:00:00"/>
    <d v="2025-11-27T00:00:00"/>
    <s v="MFDDNW"/>
    <m/>
    <s v="As the operational room functions independently, we will require access to a nearby printer to support our workflow efficiently"/>
  </r>
  <r>
    <x v="3"/>
    <s v="LOC Events and Community Relations "/>
    <x v="1"/>
    <x v="4"/>
    <x v="6"/>
    <s v="WiFi"/>
    <x v="8"/>
    <x v="1"/>
    <d v="2025-11-23T00:00:00"/>
    <d v="2025-11-27T00:00:00"/>
    <s v="WANGEN"/>
    <m/>
    <s v="WIFI for the fan zone and operational office "/>
  </r>
  <r>
    <x v="4"/>
    <s v="LOC Food &amp; Beverage Concessions"/>
    <x v="0"/>
    <x v="5"/>
    <x v="7"/>
    <s v="WiFi"/>
    <x v="8"/>
    <x v="4"/>
    <d v="2025-10-05T00:00:00"/>
    <d v="2025-11-28T00:00:00"/>
    <s v="WANGEN"/>
    <m/>
    <s v="example"/>
  </r>
  <r>
    <x v="4"/>
    <s v="LOC Food &amp; Beverage Concessions"/>
    <x v="0"/>
    <x v="6"/>
    <x v="7"/>
    <s v="WiFi"/>
    <x v="8"/>
    <x v="4"/>
    <d v="2025-10-05T00:00:00"/>
    <d v="2025-11-28T00:00:00"/>
    <s v="WANGEN"/>
    <m/>
    <m/>
  </r>
  <r>
    <x v="5"/>
    <s v="LOC Logistics"/>
    <x v="0"/>
    <x v="0"/>
    <x v="8"/>
    <s v="WiFi"/>
    <x v="8"/>
    <x v="5"/>
    <d v="2025-10-12T00:00:00"/>
    <d v="2025-12-12T00:00:00"/>
    <s v="WANGEN"/>
    <m/>
    <s v="If there is no wifi available in our compound, then LOG would need Cable Network Connection"/>
  </r>
  <r>
    <x v="5"/>
    <s v="LOC Logistics"/>
    <x v="0"/>
    <x v="0"/>
    <x v="8"/>
    <s v="Printing"/>
    <x v="2"/>
    <x v="4"/>
    <d v="2025-10-12T00:00:00"/>
    <d v="2025-12-12T00:00:00"/>
    <s v="MFDDNW"/>
    <m/>
    <s v="LOG has to print Truck Manufests, Delivery Notes, Room Data Sheets, Pallet Label and the compound will be far from Aspire Dome"/>
  </r>
  <r>
    <x v="5"/>
    <s v="LOC Logistics"/>
    <x v="1"/>
    <x v="0"/>
    <x v="8"/>
    <s v="WiFi"/>
    <x v="8"/>
    <x v="6"/>
    <d v="2025-11-02T00:00:00"/>
    <d v="2025-12-31T00:00:00"/>
    <s v="WANGEN"/>
    <m/>
    <m/>
  </r>
  <r>
    <x v="5"/>
    <s v="LOC Logistics"/>
    <x v="1"/>
    <x v="0"/>
    <x v="8"/>
    <s v="Printing"/>
    <x v="2"/>
    <x v="4"/>
    <d v="2025-11-02T00:00:00"/>
    <d v="2025-12-31T00:00:00"/>
    <s v="MFDDNW"/>
    <m/>
    <s v="LOG has to print Truck Manufests, Delivery Notes, Room Data Sheets, Pallet Label"/>
  </r>
  <r>
    <x v="5"/>
    <s v="LOC Logistics"/>
    <x v="2"/>
    <x v="7"/>
    <x v="9"/>
    <s v="EU_Equipment"/>
    <x v="4"/>
    <x v="3"/>
    <d v="2025-11-01T00:00:00"/>
    <d v="2025-11-27T00:00:00"/>
    <s v="LAPOPS"/>
    <s v="moved to FAC TEAP. ID=FAC01050"/>
    <m/>
  </r>
  <r>
    <x v="5"/>
    <s v="LOC Logistics"/>
    <x v="2"/>
    <x v="7"/>
    <x v="9"/>
    <s v="Printing"/>
    <x v="2"/>
    <x v="3"/>
    <d v="2025-11-01T00:00:00"/>
    <d v="2025-11-27T00:00:00"/>
    <s v="MFDDNW"/>
    <s v="moved to FAC TEAP. ID=FAC01051"/>
    <s v="LOG Point is outside of RSP and  to print the daily MDS bookings to share with SEC and daily reports"/>
  </r>
  <r>
    <x v="5"/>
    <s v="LOC Logistics"/>
    <x v="2"/>
    <x v="7"/>
    <x v="9"/>
    <s v="WiFi"/>
    <x v="8"/>
    <x v="3"/>
    <d v="2025-11-01T00:00:00"/>
    <d v="2025-11-27T00:00:00"/>
    <s v="WANGEN"/>
    <s v="moved to FAC TEAP. ID=FAC01052"/>
    <s v="if the general wifi doesn't work at log point, then we would need wifi mobile"/>
  </r>
  <r>
    <x v="5"/>
    <s v="LOC Logistics"/>
    <x v="0"/>
    <x v="0"/>
    <x v="8"/>
    <s v="Network"/>
    <x v="7"/>
    <x v="5"/>
    <d v="2025-10-12T00:00:00"/>
    <d v="2025-12-12T00:00:00"/>
    <s v="WRDGEN"/>
    <m/>
    <m/>
  </r>
  <r>
    <x v="5"/>
    <s v="LOC Logistics"/>
    <x v="1"/>
    <x v="0"/>
    <x v="8"/>
    <s v="Network"/>
    <x v="7"/>
    <x v="6"/>
    <d v="2025-11-02T00:00:00"/>
    <d v="2025-12-31T00:00:00"/>
    <s v="WRDGEN"/>
    <m/>
    <m/>
  </r>
  <r>
    <x v="5"/>
    <s v="LOC Logistics"/>
    <x v="2"/>
    <x v="0"/>
    <x v="10"/>
    <s v="CATV_IPTV"/>
    <x v="9"/>
    <x v="3"/>
    <d v="2025-10-12T00:00:00"/>
    <d v="2025-12-31T00:00:00"/>
    <s v="TVLGIP"/>
    <s v="moved to FAC TEAP. ID=FAC01053"/>
    <s v="If LCC will be located in Al Bidda, requirements will change to 2."/>
  </r>
  <r>
    <x v="5"/>
    <s v="LOC Logistics"/>
    <x v="2"/>
    <x v="0"/>
    <x v="10"/>
    <s v="Network"/>
    <x v="7"/>
    <x v="3"/>
    <d v="2025-10-12T00:00:00"/>
    <d v="2025-12-31T00:00:00"/>
    <s v="WRDGEN"/>
    <s v="moved to FAC TEAP. ID=FAC01054"/>
    <s v="If a wired port is not available, we will need access to a Wi-Fi network that can support approximately 20 laptops."/>
  </r>
  <r>
    <x v="5"/>
    <s v="LOC Logistics"/>
    <x v="2"/>
    <x v="0"/>
    <x v="10"/>
    <s v="Printing"/>
    <x v="11"/>
    <x v="3"/>
    <d v="2025-10-12T00:00:00"/>
    <d v="2025-12-31T00:00:00"/>
    <s v="MFDSHR"/>
    <s v="moved to FAC TEAP. ID=FAC01055"/>
    <s v="Not required if  LCC will be located in Al Bidda"/>
  </r>
  <r>
    <x v="6"/>
    <s v="LOC Medical"/>
    <x v="0"/>
    <x v="8"/>
    <x v="11"/>
    <s v="WiFi"/>
    <x v="8"/>
    <x v="4"/>
    <d v="2025-11-03T00:00:00"/>
    <d v="2025-11-27T00:00:00"/>
    <s v="WANGEN"/>
    <m/>
    <s v="Required for Electronic Medical Record "/>
  </r>
  <r>
    <x v="6"/>
    <s v="LOC Medical"/>
    <x v="0"/>
    <x v="9"/>
    <x v="12"/>
    <s v="WiFi"/>
    <x v="8"/>
    <x v="4"/>
    <d v="2025-11-03T00:00:00"/>
    <d v="2025-11-27T00:00:00"/>
    <s v="WANGEN"/>
    <m/>
    <s v="Required for Electronic Medical Record "/>
  </r>
  <r>
    <x v="6"/>
    <s v="LOC Medical"/>
    <x v="0"/>
    <x v="10"/>
    <x v="13"/>
    <s v="WiFi"/>
    <x v="8"/>
    <x v="4"/>
    <d v="2025-11-03T00:00:00"/>
    <d v="2025-11-27T00:00:00"/>
    <s v="WANGEN"/>
    <m/>
    <s v="Required for Electronic Medical Record "/>
  </r>
  <r>
    <x v="6"/>
    <s v="LOC Medical"/>
    <x v="0"/>
    <x v="9"/>
    <x v="12"/>
    <s v="CATV_IPTV"/>
    <x v="9"/>
    <x v="4"/>
    <d v="2025-11-03T00:00:00"/>
    <d v="2025-11-27T00:00:00"/>
    <s v="TVLGIP"/>
    <m/>
    <s v="Required for Match Coverage"/>
  </r>
  <r>
    <x v="6"/>
    <s v="LOC Medical"/>
    <x v="0"/>
    <x v="10"/>
    <x v="13"/>
    <s v="CATV_IPTV"/>
    <x v="9"/>
    <x v="4"/>
    <d v="2025-11-03T00:00:00"/>
    <d v="2025-11-27T00:00:00"/>
    <s v="TVLGIP"/>
    <m/>
    <s v="Required for Match Coverage"/>
  </r>
  <r>
    <x v="6"/>
    <s v="LOC Medical"/>
    <x v="0"/>
    <x v="11"/>
    <x v="14"/>
    <s v="WiFi"/>
    <x v="8"/>
    <x v="4"/>
    <d v="2025-11-03T00:00:00"/>
    <d v="2025-11-27T00:00:00"/>
    <s v="WANGEN"/>
    <m/>
    <s v="Required for Electronic Medical Record "/>
  </r>
  <r>
    <x v="6"/>
    <s v="LOC Medical"/>
    <x v="1"/>
    <x v="12"/>
    <x v="15"/>
    <s v="CATV_IPTV"/>
    <x v="9"/>
    <x v="4"/>
    <d v="2025-11-25T00:00:00"/>
    <d v="2025-11-27T00:00:00"/>
    <s v="TVLGIP"/>
    <m/>
    <s v="Required for Match Coverage"/>
  </r>
  <r>
    <x v="6"/>
    <s v="LOC Medical"/>
    <x v="1"/>
    <x v="12"/>
    <x v="15"/>
    <s v="WiFi"/>
    <x v="8"/>
    <x v="4"/>
    <d v="2025-11-25T00:00:00"/>
    <d v="2025-11-27T00:00:00"/>
    <s v="WANGEN"/>
    <m/>
    <s v="Required for Electronic Medical Record "/>
  </r>
  <r>
    <x v="6"/>
    <s v="LOC Medical"/>
    <x v="1"/>
    <x v="13"/>
    <x v="11"/>
    <s v="WiFi"/>
    <x v="8"/>
    <x v="4"/>
    <d v="2025-11-25T00:00:00"/>
    <d v="2025-11-27T00:00:00"/>
    <s v="WANGEN"/>
    <m/>
    <s v="Required for Electronic Medical Record "/>
  </r>
  <r>
    <x v="6"/>
    <s v="LOC Medical"/>
    <x v="1"/>
    <x v="13"/>
    <x v="16"/>
    <s v="WiFi"/>
    <x v="8"/>
    <x v="4"/>
    <d v="2025-11-25T00:00:00"/>
    <d v="2025-11-27T00:00:00"/>
    <s v="WANGEN"/>
    <m/>
    <s v="Required for Electronic Medical Record "/>
  </r>
  <r>
    <x v="6"/>
    <s v="LOC Medical"/>
    <x v="1"/>
    <x v="14"/>
    <x v="17"/>
    <s v="WiFi"/>
    <x v="8"/>
    <x v="1"/>
    <d v="2025-11-25T00:00:00"/>
    <d v="2025-11-27T00:00:00"/>
    <s v="WANGEN"/>
    <m/>
    <s v="Required for Electronic Medical Record "/>
  </r>
  <r>
    <x v="7"/>
    <s v="LOC Power"/>
    <x v="0"/>
    <x v="2"/>
    <x v="0"/>
    <s v="Printing"/>
    <x v="11"/>
    <x v="1"/>
    <d v="2025-10-14T00:00:00"/>
    <d v="2025-11-28T00:00:00"/>
    <s v="MFDSHR"/>
    <s v="not submitted into FIFA TEAP"/>
    <m/>
  </r>
  <r>
    <x v="7"/>
    <s v="LOC Power"/>
    <x v="0"/>
    <x v="2"/>
    <x v="0"/>
    <s v="WiFi"/>
    <x v="8"/>
    <x v="1"/>
    <d v="2025-10-14T00:00:00"/>
    <d v="2025-11-28T00:00:00"/>
    <s v="WANGEN"/>
    <s v="not submitted into FIFA TEAP"/>
    <m/>
  </r>
  <r>
    <x v="7"/>
    <s v="LOC Power"/>
    <x v="1"/>
    <x v="15"/>
    <x v="0"/>
    <s v="Printing"/>
    <x v="11"/>
    <x v="1"/>
    <d v="2025-10-14T00:00:00"/>
    <d v="2025-11-28T00:00:00"/>
    <s v="MFDSHR"/>
    <s v="not submitted into FIFA TEAP"/>
    <m/>
  </r>
  <r>
    <x v="7"/>
    <s v="LOC Power"/>
    <x v="1"/>
    <x v="15"/>
    <x v="0"/>
    <s v="WiFi"/>
    <x v="8"/>
    <x v="1"/>
    <d v="2025-10-14T00:00:00"/>
    <d v="2025-11-28T00:00:00"/>
    <s v="WANGEN"/>
    <s v="not submitted into FIFA TEAP"/>
    <m/>
  </r>
  <r>
    <x v="8"/>
    <s v="LOC Spectator Services"/>
    <x v="0"/>
    <x v="2"/>
    <x v="18"/>
    <s v="EU_Equipment"/>
    <x v="5"/>
    <x v="7"/>
    <d v="2025-09-01T00:00:00"/>
    <d v="2025-11-28T00:00:00"/>
    <s v="ACCBAR"/>
    <m/>
    <s v="for laptops"/>
  </r>
  <r>
    <x v="8"/>
    <s v="LOC Spectator Services"/>
    <x v="0"/>
    <x v="2"/>
    <x v="18"/>
    <s v="EU_Equipment"/>
    <x v="4"/>
    <x v="6"/>
    <d v="2025-09-01T00:00:00"/>
    <d v="2025-11-28T00:00:00"/>
    <s v="LAPOPS"/>
    <m/>
    <s v="2 laptops per GA RIS and 1 laptop per VIP RIS. "/>
  </r>
  <r>
    <x v="8"/>
    <s v="LOC Spectator Services"/>
    <x v="0"/>
    <x v="2"/>
    <x v="18"/>
    <s v="EU_Equipment"/>
    <x v="6"/>
    <x v="8"/>
    <d v="2025-09-01T00:00:00"/>
    <d v="2025-11-28T00:00:00"/>
    <s v="EUQSPE"/>
    <m/>
    <s v="Tablets. We are digitalising RIS we need tablets for the process"/>
  </r>
  <r>
    <x v="8"/>
    <s v="LOC Spectator Services"/>
    <x v="0"/>
    <x v="2"/>
    <x v="18"/>
    <s v="SIM_Telco"/>
    <x v="1"/>
    <x v="8"/>
    <d v="2025-09-01T00:00:00"/>
    <d v="2025-11-28T00:00:00"/>
    <s v="ITSR4G"/>
    <m/>
    <m/>
  </r>
  <r>
    <x v="8"/>
    <s v="LOC Spectator Services"/>
    <x v="0"/>
    <x v="2"/>
    <x v="19"/>
    <s v="Printing"/>
    <x v="2"/>
    <x v="4"/>
    <d v="2025-09-01T00:00:00"/>
    <d v="2025-11-28T00:00:00"/>
    <s v="MFDDNW"/>
    <m/>
    <s v="we need A4 to print our documents"/>
  </r>
  <r>
    <x v="8"/>
    <s v="LOC Spectator Services"/>
    <x v="0"/>
    <x v="2"/>
    <x v="19"/>
    <s v="WiFi"/>
    <x v="8"/>
    <x v="4"/>
    <d v="2025-09-01T00:00:00"/>
    <d v="2025-11-28T00:00:00"/>
    <s v="WANGEN"/>
    <m/>
    <s v="for our PSA's "/>
  </r>
  <r>
    <x v="8"/>
    <s v="LOC Spectator Services"/>
    <x v="0"/>
    <x v="2"/>
    <x v="20"/>
    <s v="SIM_Telco"/>
    <x v="0"/>
    <x v="1"/>
    <d v="2025-09-01T00:00:00"/>
    <d v="2025-11-28T00:00:00"/>
    <s v="SIMDAT"/>
    <m/>
    <s v="for staff check-in"/>
  </r>
  <r>
    <x v="8"/>
    <s v="LOC Spectator Services"/>
    <x v="0"/>
    <x v="2"/>
    <x v="20"/>
    <s v="EU_Equipment"/>
    <x v="5"/>
    <x v="4"/>
    <d v="2025-09-01T00:00:00"/>
    <d v="2025-11-28T00:00:00"/>
    <s v="ACCBAR"/>
    <m/>
    <m/>
  </r>
  <r>
    <x v="8"/>
    <s v="LOC Spectator Services"/>
    <x v="1"/>
    <x v="15"/>
    <x v="19"/>
    <s v="EU_Equipment"/>
    <x v="5"/>
    <x v="4"/>
    <d v="2025-11-26T00:00:00"/>
    <d v="2025-11-28T00:00:00"/>
    <s v="ACCBAR"/>
    <m/>
    <m/>
  </r>
  <r>
    <x v="8"/>
    <s v="LOC Spectator Services"/>
    <x v="1"/>
    <x v="15"/>
    <x v="19"/>
    <s v="WiFi"/>
    <x v="8"/>
    <x v="4"/>
    <d v="2025-11-26T00:00:00"/>
    <d v="2025-11-28T00:00:00"/>
    <s v="WANGEN"/>
    <m/>
    <m/>
  </r>
  <r>
    <x v="8"/>
    <s v="LOC Spectator Services"/>
    <x v="1"/>
    <x v="15"/>
    <x v="19"/>
    <s v="SIM_Telco"/>
    <x v="0"/>
    <x v="1"/>
    <d v="2025-11-26T00:00:00"/>
    <d v="2025-11-28T00:00:00"/>
    <s v="SIMDAT"/>
    <m/>
    <s v="we need A4 to print our documents"/>
  </r>
  <r>
    <x v="8"/>
    <s v="LOC Spectator Services"/>
    <x v="1"/>
    <x v="15"/>
    <x v="19"/>
    <s v="Printing"/>
    <x v="2"/>
    <x v="4"/>
    <d v="2025-11-26T00:00:00"/>
    <d v="2025-11-28T00:00:00"/>
    <s v="MFDDNW"/>
    <m/>
    <s v="for our PSA's "/>
  </r>
  <r>
    <x v="8"/>
    <s v="LOC Spectator Services"/>
    <x v="1"/>
    <x v="15"/>
    <x v="18"/>
    <s v="EU_Equipment"/>
    <x v="5"/>
    <x v="7"/>
    <d v="2025-11-26T00:00:00"/>
    <d v="2025-11-28T00:00:00"/>
    <s v="ACCBAR"/>
    <m/>
    <s v="for our PSA's and Check In our staff wtth a SIM cards "/>
  </r>
  <r>
    <x v="8"/>
    <s v="LOC Spectator Services"/>
    <x v="1"/>
    <x v="15"/>
    <x v="18"/>
    <s v="EU_Equipment"/>
    <x v="4"/>
    <x v="6"/>
    <d v="2025-11-26T00:00:00"/>
    <d v="2025-11-28T00:00:00"/>
    <s v="LAPOPS"/>
    <m/>
    <m/>
  </r>
  <r>
    <x v="8"/>
    <s v="LOC Spectator Services"/>
    <x v="1"/>
    <x v="15"/>
    <x v="18"/>
    <s v="EU_Equipment"/>
    <x v="6"/>
    <x v="8"/>
    <d v="2025-11-26T00:00:00"/>
    <d v="2025-11-28T00:00:00"/>
    <s v="EUQSPE"/>
    <m/>
    <s v="Tablets. We are digitalising RIS we need tablets for the process"/>
  </r>
  <r>
    <x v="8"/>
    <s v="LOC Spectator Services"/>
    <x v="1"/>
    <x v="15"/>
    <x v="18"/>
    <s v="SIM_Telco"/>
    <x v="1"/>
    <x v="8"/>
    <d v="2025-11-26T00:00:00"/>
    <d v="2025-11-28T00:00:00"/>
    <s v="ITSR4G"/>
    <m/>
    <m/>
  </r>
  <r>
    <x v="9"/>
    <s v="LOC SSOC"/>
    <x v="0"/>
    <x v="0"/>
    <x v="21"/>
    <s v="AV"/>
    <x v="10"/>
    <x v="4"/>
    <d v="2025-09-01T00:00:00"/>
    <d v="2025-11-28T00:00:00"/>
    <s v="TVLGSA"/>
    <s v=""/>
    <m/>
  </r>
  <r>
    <x v="9"/>
    <s v="LOC SSOC"/>
    <x v="0"/>
    <x v="0"/>
    <x v="21"/>
    <s v="Printing"/>
    <x v="3"/>
    <x v="4"/>
    <d v="2025-09-01T00:00:00"/>
    <d v="2025-11-28T00:00:00"/>
    <s v="MFDLNW"/>
    <s v=""/>
    <s v="SSOC internal documents cannot be accecable for other FAs"/>
  </r>
  <r>
    <x v="9"/>
    <s v="LOC SSOC"/>
    <x v="0"/>
    <x v="0"/>
    <x v="22"/>
    <s v="WiFi"/>
    <x v="8"/>
    <x v="4"/>
    <d v="2025-09-01T00:00:00"/>
    <d v="2025-11-28T00:00:00"/>
    <s v="WANGEN"/>
    <s v=""/>
    <m/>
  </r>
  <r>
    <x v="9"/>
    <s v="LOC SSOC"/>
    <x v="0"/>
    <x v="0"/>
    <x v="23"/>
    <s v="WiFi"/>
    <x v="8"/>
    <x v="4"/>
    <d v="2025-09-01T00:00:00"/>
    <d v="2025-11-28T00:00:00"/>
    <s v="WANGEN"/>
    <s v=""/>
    <m/>
  </r>
  <r>
    <x v="9"/>
    <s v="LOC SSOC"/>
    <x v="0"/>
    <x v="0"/>
    <x v="23"/>
    <s v="AV"/>
    <x v="10"/>
    <x v="4"/>
    <d v="2025-09-01T00:00:00"/>
    <d v="2025-11-28T00:00:00"/>
    <s v="TVLGSA"/>
    <s v=""/>
    <m/>
  </r>
  <r>
    <x v="9"/>
    <s v="LOC SSOC"/>
    <x v="0"/>
    <x v="0"/>
    <x v="23"/>
    <s v="Printing"/>
    <x v="3"/>
    <x v="4"/>
    <d v="2025-09-01T00:00:00"/>
    <d v="2025-11-28T00:00:00"/>
    <s v="MFDLNW"/>
    <s v=""/>
    <s v="SSOC internal documents cannot be accecable for other FAs"/>
  </r>
  <r>
    <x v="9"/>
    <s v="LOC SSOC"/>
    <x v="0"/>
    <x v="0"/>
    <x v="24"/>
    <s v="WiFi"/>
    <x v="8"/>
    <x v="4"/>
    <d v="2025-09-01T00:00:00"/>
    <d v="2025-11-28T00:00:00"/>
    <s v="WANGEN"/>
    <s v=""/>
    <m/>
  </r>
  <r>
    <x v="9"/>
    <s v="LOC SSOC"/>
    <x v="1"/>
    <x v="15"/>
    <x v="25"/>
    <s v="Printing"/>
    <x v="3"/>
    <x v="4"/>
    <d v="2025-09-01T00:00:00"/>
    <d v="2025-11-28T00:00:00"/>
    <s v="MFDLNW"/>
    <m/>
    <m/>
  </r>
  <r>
    <x v="9"/>
    <s v="LOC SSOC"/>
    <x v="1"/>
    <x v="15"/>
    <x v="23"/>
    <s v="WiFi"/>
    <x v="8"/>
    <x v="4"/>
    <d v="2025-09-01T00:00:00"/>
    <d v="2025-11-28T00:00:00"/>
    <s v="WANGEN"/>
    <m/>
    <m/>
  </r>
  <r>
    <x v="9"/>
    <s v="LOC SSOC"/>
    <x v="1"/>
    <x v="15"/>
    <x v="21"/>
    <s v="AV"/>
    <x v="10"/>
    <x v="4"/>
    <d v="2025-09-01T00:00:00"/>
    <d v="2025-11-28T00:00:00"/>
    <s v="TVLGSA"/>
    <m/>
    <m/>
  </r>
  <r>
    <x v="9"/>
    <s v="LOC SSOC"/>
    <x v="1"/>
    <x v="15"/>
    <x v="26"/>
    <s v="WiFi"/>
    <x v="8"/>
    <x v="4"/>
    <d v="2025-09-01T00:00:00"/>
    <d v="2025-11-28T00:00:00"/>
    <s v="WANGEN"/>
    <m/>
    <m/>
  </r>
  <r>
    <x v="9"/>
    <s v="LOC SSOC"/>
    <x v="1"/>
    <x v="15"/>
    <x v="24"/>
    <s v="WiFi"/>
    <x v="8"/>
    <x v="4"/>
    <d v="2025-09-01T00:00:00"/>
    <d v="2025-11-28T00:00:00"/>
    <s v="WANGEN"/>
    <m/>
    <m/>
  </r>
  <r>
    <x v="10"/>
    <s v="LOC Team Services"/>
    <x v="2"/>
    <x v="0"/>
    <x v="27"/>
    <s v="SIM_Telco"/>
    <x v="0"/>
    <x v="3"/>
    <d v="2025-10-14T00:00:00"/>
    <d v="2025-11-28T00:00:00"/>
    <s v="SIMDAT"/>
    <s v="moved to FAC TEAP. ID=FAC01056"/>
    <s v="Sim Cards to be given to the TLOs who will be at the teams Hotels"/>
  </r>
  <r>
    <x v="11"/>
    <s v="LOC Venue Management"/>
    <x v="0"/>
    <x v="2"/>
    <x v="28"/>
    <s v="AV"/>
    <x v="10"/>
    <x v="4"/>
    <d v="2025-07-31T00:00:00"/>
    <d v="2025-11-28T00:00:00"/>
    <s v="TVLGSA"/>
    <s v=""/>
    <s v="1st floor"/>
  </r>
  <r>
    <x v="11"/>
    <s v="LOC Venue Management"/>
    <x v="0"/>
    <x v="2"/>
    <x v="28"/>
    <s v="EU_Equipment"/>
    <x v="12"/>
    <x v="1"/>
    <d v="2025-08-31T00:00:00"/>
    <d v="2025-11-28T00:00:00"/>
    <s v="DSKMNT"/>
    <s v=""/>
    <s v="1st floor"/>
  </r>
  <r>
    <x v="11"/>
    <s v="LOC Venue Management"/>
    <x v="0"/>
    <x v="2"/>
    <x v="28"/>
    <s v="WiFi"/>
    <x v="8"/>
    <x v="4"/>
    <d v="2025-07-01T00:00:00"/>
    <d v="2025-12-04T00:00:00"/>
    <s v="WANGEN"/>
    <s v=""/>
    <s v="Included in FIFA VUM request"/>
  </r>
  <r>
    <x v="11"/>
    <s v="LOC Venue Management"/>
    <x v="0"/>
    <x v="2"/>
    <x v="29"/>
    <s v="AV"/>
    <x v="10"/>
    <x v="4"/>
    <d v="2025-07-01T00:00:00"/>
    <d v="2025-11-28T00:00:00"/>
    <s v="TVLGSA"/>
    <s v=""/>
    <m/>
  </r>
  <r>
    <x v="11"/>
    <s v="LOC Venue Management"/>
    <x v="0"/>
    <x v="2"/>
    <x v="30"/>
    <s v="AV"/>
    <x v="10"/>
    <x v="1"/>
    <d v="2025-07-01T00:00:00"/>
    <d v="2025-11-28T00:00:00"/>
    <s v="TVLGSA"/>
    <s v=""/>
    <s v="For offices on 2nd floor "/>
  </r>
  <r>
    <x v="11"/>
    <s v="LOC Venue Management"/>
    <x v="0"/>
    <x v="2"/>
    <x v="30"/>
    <s v="EU_Equipment"/>
    <x v="12"/>
    <x v="5"/>
    <d v="2025-07-31T00:00:00"/>
    <d v="2025-11-28T00:00:00"/>
    <s v="DSKMNT"/>
    <s v=""/>
    <s v="For offices on 2nd floor "/>
  </r>
  <r>
    <x v="11"/>
    <s v="LOC Venue Management"/>
    <x v="0"/>
    <x v="2"/>
    <x v="30"/>
    <s v="Printing"/>
    <x v="3"/>
    <x v="4"/>
    <d v="2025-07-31T00:00:00"/>
    <d v="2025-11-28T00:00:00"/>
    <s v="MFDLNW"/>
    <s v=""/>
    <s v="This is for the use of Venue Management Team on the 2nd floor"/>
  </r>
  <r>
    <x v="11"/>
    <s v="LOC Venue Management"/>
    <x v="0"/>
    <x v="16"/>
    <x v="31"/>
    <s v="CATV_IPTV"/>
    <x v="9"/>
    <x v="4"/>
    <d v="2025-09-15T00:00:00"/>
    <d v="2025-11-28T00:00:00"/>
    <s v="TVLGIP"/>
    <s v=""/>
    <m/>
  </r>
  <r>
    <x v="11"/>
    <s v="LOC Venue Management"/>
    <x v="0"/>
    <x v="16"/>
    <x v="31"/>
    <s v="AV"/>
    <x v="10"/>
    <x v="4"/>
    <d v="2025-09-15T00:00:00"/>
    <d v="2025-11-28T00:00:00"/>
    <s v="TVLGSA"/>
    <s v=""/>
    <m/>
  </r>
  <r>
    <x v="11"/>
    <s v="LOC Venue Management"/>
    <x v="0"/>
    <x v="16"/>
    <x v="31"/>
    <s v="Printing"/>
    <x v="2"/>
    <x v="4"/>
    <d v="2025-09-15T00:00:00"/>
    <d v="2025-11-28T00:00:00"/>
    <s v="MFDDNW"/>
    <s v=""/>
    <s v="This is for the use of LOC team at the VOC"/>
  </r>
  <r>
    <x v="11"/>
    <s v="LOC Venue Management"/>
    <x v="0"/>
    <x v="16"/>
    <x v="31"/>
    <s v="WiFi"/>
    <x v="8"/>
    <x v="4"/>
    <d v="2025-09-15T00:00:00"/>
    <d v="2025-11-28T00:00:00"/>
    <s v="WANGEN"/>
    <s v=""/>
    <m/>
  </r>
  <r>
    <x v="11"/>
    <s v="LOC Venue Management"/>
    <x v="0"/>
    <x v="8"/>
    <x v="30"/>
    <s v="AV"/>
    <x v="10"/>
    <x v="4"/>
    <d v="2025-07-31T00:00:00"/>
    <d v="2025-11-28T00:00:00"/>
    <s v="TVLGSA"/>
    <s v=""/>
    <m/>
  </r>
  <r>
    <x v="11"/>
    <s v="LOC Venue Management"/>
    <x v="0"/>
    <x v="8"/>
    <x v="30"/>
    <s v="CATV_IPTV"/>
    <x v="9"/>
    <x v="4"/>
    <d v="2025-09-15T00:00:00"/>
    <d v="2025-11-28T00:00:00"/>
    <s v="TVLGIP"/>
    <s v=""/>
    <m/>
  </r>
  <r>
    <x v="11"/>
    <s v="LOC Venue Management"/>
    <x v="0"/>
    <x v="8"/>
    <x v="30"/>
    <s v="EU_Equipment"/>
    <x v="12"/>
    <x v="5"/>
    <d v="2025-07-31T00:00:00"/>
    <d v="2025-11-28T00:00:00"/>
    <s v="DSKMNT"/>
    <s v=""/>
    <s v="For offices on Ground floor"/>
  </r>
  <r>
    <x v="11"/>
    <s v="LOC Venue Management"/>
    <x v="0"/>
    <x v="8"/>
    <x v="30"/>
    <s v="Printing"/>
    <x v="3"/>
    <x v="4"/>
    <d v="2025-07-31T00:00:00"/>
    <d v="2025-11-28T00:00:00"/>
    <s v="MFDLNW"/>
    <s v=""/>
    <s v="This is for the use of LOC staff at Super Club on Ground floor"/>
  </r>
  <r>
    <x v="12"/>
    <s v="LOC Workforce"/>
    <x v="1"/>
    <x v="17"/>
    <x v="32"/>
    <s v="EU_Equipment"/>
    <x v="4"/>
    <x v="6"/>
    <d v="2025-11-01T00:00:00"/>
    <d v="2025-11-30T00:00:00"/>
    <s v="LAPOPS"/>
    <s v=""/>
    <s v="Venue space still TBC "/>
  </r>
  <r>
    <x v="12"/>
    <s v="LOC Workforce"/>
    <x v="1"/>
    <x v="17"/>
    <x v="33"/>
    <s v="EU_Equipment"/>
    <x v="5"/>
    <x v="6"/>
    <d v="2025-11-01T00:00:00"/>
    <d v="2025-11-30T00:00:00"/>
    <s v="ACCBAR"/>
    <s v=""/>
    <s v="Venue space still TBC "/>
  </r>
  <r>
    <x v="12"/>
    <s v="LOC Workforce"/>
    <x v="1"/>
    <x v="17"/>
    <x v="33"/>
    <s v="EU_Equipment"/>
    <x v="12"/>
    <x v="6"/>
    <d v="2025-11-01T00:00:00"/>
    <d v="2025-11-30T00:00:00"/>
    <s v="DSKMNT"/>
    <s v=""/>
    <s v="Venue space still TBC "/>
  </r>
  <r>
    <x v="12"/>
    <s v="LOC Workforce"/>
    <x v="1"/>
    <x v="17"/>
    <x v="34"/>
    <s v="AV"/>
    <x v="13"/>
    <x v="8"/>
    <d v="2025-11-01T00:00:00"/>
    <d v="2025-11-30T00:00:00"/>
    <s v="PORSPE"/>
    <s v=""/>
    <s v="With mircophone x 2 "/>
  </r>
  <r>
    <x v="12"/>
    <s v="LOC Workforce"/>
    <x v="1"/>
    <x v="17"/>
    <x v="34"/>
    <s v="AV"/>
    <x v="10"/>
    <x v="6"/>
    <d v="2025-11-01T00:00:00"/>
    <d v="2025-11-30T00:00:00"/>
    <s v="TVLGSA"/>
    <s v=""/>
    <s v="Venue space still TBC "/>
  </r>
  <r>
    <x v="12"/>
    <s v="LOC Workforce"/>
    <x v="1"/>
    <x v="17"/>
    <x v="34"/>
    <s v="WiFi"/>
    <x v="8"/>
    <x v="4"/>
    <d v="2025-11-01T00:00:00"/>
    <d v="2025-11-30T00:00:00"/>
    <s v="WANGEN"/>
    <s v=""/>
    <s v="Venue space still TBC "/>
  </r>
  <r>
    <x v="12"/>
    <s v="LOC Workforce"/>
    <x v="1"/>
    <x v="17"/>
    <x v="33"/>
    <s v="Printing"/>
    <x v="3"/>
    <x v="4"/>
    <d v="2025-11-01T00:00:00"/>
    <d v="2025-11-30T00:00:00"/>
    <s v="MFDLNW"/>
    <s v=""/>
    <s v="Purpose of printing training materials during operational delivery "/>
  </r>
  <r>
    <x v="12"/>
    <s v="LOC Workforce"/>
    <x v="1"/>
    <x v="17"/>
    <x v="35"/>
    <s v="EU_Equipment"/>
    <x v="6"/>
    <x v="4"/>
    <d v="2025-11-01T00:00:00"/>
    <d v="2025-11-30T00:00:00"/>
    <s v="EUQSPE"/>
    <s v="not submitted into FIFA TEAP, not clear what is this"/>
    <s v="Unclear if VIP/ hospitality rooms have projector screens avaliable. 2 x large LED screens will be required to be able to have presentations in 2 seperate rooms "/>
  </r>
  <r>
    <x v="12"/>
    <s v="LOC Workforce"/>
    <x v="2"/>
    <x v="0"/>
    <x v="36"/>
    <s v="EU_Equipment"/>
    <x v="4"/>
    <x v="3"/>
    <d v="2025-10-01T00:00:00"/>
    <d v="2025-12-18T00:00:00"/>
    <s v="LAPOPS"/>
    <s v="moved to FAC TEAP. ID=FAC01057"/>
    <s v="To be utilised for FAC25 as well. "/>
  </r>
  <r>
    <x v="12"/>
    <s v="LOC Workforce"/>
    <x v="2"/>
    <x v="0"/>
    <x v="36"/>
    <s v="EU_Equipment"/>
    <x v="12"/>
    <x v="3"/>
    <d v="2025-10-01T00:00:00"/>
    <d v="2025-12-18T00:00:00"/>
    <s v="DSKMNT"/>
    <s v="moved to FAC TEAP. ID=FAC01058"/>
    <s v="To be utilised for FAC25 as well. "/>
  </r>
  <r>
    <x v="12"/>
    <s v="LOC Workforce"/>
    <x v="2"/>
    <x v="0"/>
    <x v="36"/>
    <s v="CATV_IPTV"/>
    <x v="9"/>
    <x v="3"/>
    <d v="2025-10-01T00:00:00"/>
    <d v="2025-12-18T00:00:00"/>
    <s v="TVLGIP"/>
    <s v="moved to FAC TEAP. ID=FAC01059"/>
    <s v="To be utilised for FAC25 as well. "/>
  </r>
  <r>
    <x v="12"/>
    <s v="LOC Workforce"/>
    <x v="2"/>
    <x v="0"/>
    <x v="36"/>
    <s v="Network"/>
    <x v="7"/>
    <x v="3"/>
    <d v="2025-10-01T00:00:00"/>
    <d v="2025-12-18T00:00:00"/>
    <s v="WRDGEN"/>
    <s v="moved to FAC TEAP. ID=FAC01060"/>
    <s v="To be utilised for FAC25 as well. "/>
  </r>
  <r>
    <x v="12"/>
    <s v="LOC Workforce"/>
    <x v="2"/>
    <x v="0"/>
    <x v="36"/>
    <s v="Printing"/>
    <x v="3"/>
    <x v="3"/>
    <d v="2025-10-01T00:00:00"/>
    <d v="2025-12-18T00:00:00"/>
    <s v="MFDLNW"/>
    <s v="moved to FAC TEAP. ID=FAC01061"/>
    <s v="To be utilised for FAC25 as well. _x000a_We need to print information for our call center as it is essential for supporting the day-to-day needs of our volunteer operations team"/>
  </r>
  <r>
    <x v="12"/>
    <s v="LOC Workforce"/>
    <x v="2"/>
    <x v="0"/>
    <x v="36"/>
    <s v="SIM_Telco"/>
    <x v="14"/>
    <x v="3"/>
    <d v="2025-09-01T00:00:00"/>
    <d v="2025-12-18T00:00:00"/>
    <s v="SPEREQ"/>
    <s v="moved to FAC TEAP. ID=FAC01062"/>
    <s v="To be utilised for FAC25 as well. _x000a_Mobile Phones and full package sim cards_x000a_The volunteer  call center is handling all the calls for the volunteer program and excuting all the calls requests from all  FAs."/>
  </r>
  <r>
    <x v="12"/>
    <s v="LOC Workforce"/>
    <x v="2"/>
    <x v="0"/>
    <x v="36"/>
    <s v="WiFi"/>
    <x v="8"/>
    <x v="3"/>
    <d v="2025-10-01T00:00:00"/>
    <d v="2025-12-18T00:00:00"/>
    <s v="WANGEN"/>
    <s v="moved to FAC TEAP. ID=FAC01063"/>
    <s v="To be utilised for FAC25 as well."/>
  </r>
  <r>
    <x v="12"/>
    <s v="LOC Workforce"/>
    <x v="2"/>
    <x v="0"/>
    <x v="36"/>
    <s v="EU_Equipment"/>
    <x v="6"/>
    <x v="3"/>
    <d v="2025-10-01T00:00:00"/>
    <d v="2025-12-18T00:00:00"/>
    <s v="EUQSPE"/>
    <s v="moved to FAC TEAP. ID=FAC01064"/>
    <s v="To be utilised for FAC25 as well. _x000a_For use with the laptops"/>
  </r>
  <r>
    <x v="12"/>
    <s v="LOC Workforce"/>
    <x v="2"/>
    <x v="0"/>
    <x v="36"/>
    <s v="AV"/>
    <x v="10"/>
    <x v="3"/>
    <d v="2025-10-01T00:00:00"/>
    <d v="2025-12-18T00:00:00"/>
    <s v="TVLGSA"/>
    <s v="moved to FAC TEAP. ID=FAC01065"/>
    <s v="To be utilised for FAC25 as well. _x000a_Required to display  the stats on the screen"/>
  </r>
  <r>
    <x v="12"/>
    <s v="LOC Workforce"/>
    <x v="2"/>
    <x v="0"/>
    <x v="36"/>
    <s v="AV"/>
    <x v="15"/>
    <x v="3"/>
    <d v="2025-10-01T00:00:00"/>
    <d v="2025-12-18T00:00:00"/>
    <s v="AVRSPE"/>
    <s v="moved to FAC TEAP. ID=FAC01066"/>
    <s v="To be utilised for FAC25 as well. _x000a_Headset _x000a_To be used in the call center for volunteers who are handling the calls"/>
  </r>
  <r>
    <x v="12"/>
    <s v="LOC Workforce"/>
    <x v="2"/>
    <x v="18"/>
    <x v="37"/>
    <s v="WiFi"/>
    <x v="8"/>
    <x v="3"/>
    <d v="2025-10-01T00:00:00"/>
    <d v="2025-12-18T00:00:00"/>
    <s v="WANGEN"/>
    <s v="moved to FAC TEAP. ID=FAC01067"/>
    <s v="To be utilised for FAC25 as well."/>
  </r>
  <r>
    <x v="12"/>
    <s v="LOC Workforce"/>
    <x v="2"/>
    <x v="18"/>
    <x v="37"/>
    <s v="Printing"/>
    <x v="2"/>
    <x v="3"/>
    <d v="2025-10-01T00:00:00"/>
    <d v="2025-12-18T00:00:00"/>
    <s v="MFDDNW"/>
    <s v="moved to FAC TEAP. ID=FAC01068"/>
    <s v="To be utilised for FAC25 as well. _x000a_Prinetr to be shared between 2 volunteers at check-in (3)_x000a_In case of individual prinetr implemented for each agent,the number will be increased to 5"/>
  </r>
  <r>
    <x v="12"/>
    <s v="LOC Workforce"/>
    <x v="2"/>
    <x v="18"/>
    <x v="37"/>
    <s v="EU_Equipment"/>
    <x v="4"/>
    <x v="3"/>
    <d v="2025-10-01T00:00:00"/>
    <d v="2025-12-18T00:00:00"/>
    <s v="LAPOPS"/>
    <s v="moved to FAC TEAP. ID=FAC01069"/>
    <s v="To be utilised for FAC25 as well."/>
  </r>
  <r>
    <x v="12"/>
    <s v="LOC Workforce"/>
    <x v="2"/>
    <x v="18"/>
    <x v="37"/>
    <s v="EU_Equipment"/>
    <x v="12"/>
    <x v="3"/>
    <d v="2025-10-01T00:00:00"/>
    <d v="2025-12-18T00:00:00"/>
    <s v="DSKMNT"/>
    <s v="moved to FAC TEAP. ID=FAC01070"/>
    <s v="To be utilised for FAC25 as well."/>
  </r>
  <r>
    <x v="12"/>
    <s v="LOC Workforce"/>
    <x v="2"/>
    <x v="18"/>
    <x v="37"/>
    <s v="EU_Equipment"/>
    <x v="5"/>
    <x v="3"/>
    <d v="2025-10-01T00:00:00"/>
    <d v="2025-12-18T00:00:00"/>
    <s v="ACCBAR"/>
    <s v="moved to FAC TEAP. ID=FAC01071"/>
    <s v="To be utilised for FAC25 as well."/>
  </r>
  <r>
    <x v="12"/>
    <s v="LOC Workforce"/>
    <x v="2"/>
    <x v="18"/>
    <x v="37"/>
    <s v="AV"/>
    <x v="10"/>
    <x v="3"/>
    <d v="2025-10-01T00:00:00"/>
    <d v="2025-12-18T00:00:00"/>
    <s v="TVLGSA"/>
    <s v="moved to FAC TEAP. ID=FAC01072"/>
    <s v="To be utilised for FAC25 as well. _x000a_Required to support Training sessions RST, VST for Uni &amp; ACR volunteers"/>
  </r>
  <r>
    <x v="12"/>
    <s v="LOC Workforce"/>
    <x v="2"/>
    <x v="18"/>
    <x v="38"/>
    <s v="EU_Equipment"/>
    <x v="4"/>
    <x v="3"/>
    <d v="2025-10-01T00:00:00"/>
    <d v="2025-12-18T00:00:00"/>
    <s v="LAPOPS"/>
    <s v="moved to FAC TEAP. ID=FAC01073"/>
    <s v="To be utilised for FAC25 as well."/>
  </r>
  <r>
    <x v="12"/>
    <s v="LOC Workforce"/>
    <x v="2"/>
    <x v="18"/>
    <x v="38"/>
    <s v="WiFi"/>
    <x v="8"/>
    <x v="3"/>
    <d v="2025-10-01T00:00:00"/>
    <d v="2025-12-18T00:00:00"/>
    <s v="WANGEN"/>
    <s v="moved to FAC TEAP. ID=FAC01074"/>
    <s v="To be utilised for FAC25 as well."/>
  </r>
  <r>
    <x v="12"/>
    <s v="LOC Workforce"/>
    <x v="2"/>
    <x v="18"/>
    <x v="38"/>
    <s v="SIM_Telco"/>
    <x v="14"/>
    <x v="3"/>
    <d v="2025-09-25T00:00:00"/>
    <d v="2025-12-18T00:00:00"/>
    <s v="SPEREQ"/>
    <s v="moved to FAC TEAP. ID=FAC01075"/>
    <s v="To be utilised for FAC25 as well. _x000a_Mobile Phones and full package sim cards_x000a_To contact volunteers for shift fulfilment "/>
  </r>
  <r>
    <x v="12"/>
    <s v="LOC Workforce"/>
    <x v="2"/>
    <x v="18"/>
    <x v="38"/>
    <s v="CATV_IPTV"/>
    <x v="9"/>
    <x v="3"/>
    <d v="2025-10-01T00:00:00"/>
    <d v="2025-12-18T00:00:00"/>
    <s v="TVLGIP"/>
    <s v="moved to FAC TEAP. ID=FAC01076"/>
    <s v="To be utilised for FAC25 as well."/>
  </r>
  <r>
    <x v="12"/>
    <s v="LOC Workforce"/>
    <x v="2"/>
    <x v="18"/>
    <x v="38"/>
    <s v="AV"/>
    <x v="13"/>
    <x v="3"/>
    <d v="2025-10-01T00:00:00"/>
    <d v="2025-12-18T00:00:00"/>
    <s v="PORSPE"/>
    <s v="moved to FAC TEAP. ID=FAC01077"/>
    <s v="To be utilised for FAC25 as well."/>
  </r>
  <r>
    <x v="13"/>
    <s v="LOC Competition"/>
    <x v="0"/>
    <x v="19"/>
    <x v="39"/>
    <s v="WiFi"/>
    <x v="16"/>
    <x v="4"/>
    <d v="2025-10-28T00:00:00"/>
    <d v="2025-11-28T00:00:00"/>
    <s v="WANTMS"/>
    <m/>
    <m/>
  </r>
  <r>
    <x v="13"/>
    <s v="LOC Competition"/>
    <x v="0"/>
    <x v="19"/>
    <x v="39"/>
    <s v="CATV_IPTV"/>
    <x v="9"/>
    <x v="4"/>
    <d v="2025-10-28T00:00:00"/>
    <d v="2025-11-28T00:00:00"/>
    <s v="TVLGIP"/>
    <m/>
    <m/>
  </r>
  <r>
    <x v="14"/>
    <s v="LOC Mobility"/>
    <x v="0"/>
    <x v="3"/>
    <x v="40"/>
    <s v="WiFi"/>
    <x v="8"/>
    <x v="1"/>
    <d v="2025-10-01T00:00:00"/>
    <d v="2025-11-28T00:00:00"/>
    <s v="WANGEN"/>
    <m/>
    <s v="For our both external office locations next to GA parking  and 1 more location "/>
  </r>
  <r>
    <x v="14"/>
    <s v="LOC Mobility"/>
    <x v="0"/>
    <x v="3"/>
    <x v="40"/>
    <s v="Printing"/>
    <x v="2"/>
    <x v="4"/>
    <d v="2025-10-01T00:00:00"/>
    <d v="2025-11-28T00:00:00"/>
    <s v="MFDDNW"/>
    <s v=""/>
    <s v="FOR PRINTING SCHEDULES, AND ASSIGNED FLEET DETAILS ON A DAILY BASIS"/>
  </r>
  <r>
    <x v="14"/>
    <s v="LOC Mobility"/>
    <x v="2"/>
    <x v="20"/>
    <x v="41"/>
    <s v="Printing"/>
    <x v="2"/>
    <x v="3"/>
    <d v="2025-10-01T00:00:00"/>
    <d v="2025-11-28T00:00:00"/>
    <s v="MFDDNW"/>
    <s v="moved to FAC TEAP. ID=FAC01078"/>
    <m/>
  </r>
  <r>
    <x v="14"/>
    <s v="LOC Mobility"/>
    <x v="2"/>
    <x v="20"/>
    <x v="41"/>
    <s v="EU_Equipment"/>
    <x v="4"/>
    <x v="3"/>
    <d v="2025-10-01T00:00:00"/>
    <d v="2025-11-28T00:00:00"/>
    <s v="LAPOPS"/>
    <s v="moved to FAC TEAP. ID=FAC01079"/>
    <m/>
  </r>
  <r>
    <x v="14"/>
    <s v="LOC Mobility"/>
    <x v="2"/>
    <x v="20"/>
    <x v="41"/>
    <s v="EU_Equipment"/>
    <x v="12"/>
    <x v="3"/>
    <d v="2025-10-01T00:00:00"/>
    <d v="2025-11-28T00:00:00"/>
    <s v="DSKMNT"/>
    <s v="moved to FAC TEAP. ID=FAC01080"/>
    <m/>
  </r>
  <r>
    <x v="14"/>
    <s v="LOC Mobility"/>
    <x v="2"/>
    <x v="20"/>
    <x v="41"/>
    <s v="WiFi"/>
    <x v="8"/>
    <x v="3"/>
    <d v="2025-10-01T00:00:00"/>
    <d v="2025-11-28T00:00:00"/>
    <s v="WANGEN"/>
    <s v="moved to FAC TEAP. ID=FAC01081"/>
    <m/>
  </r>
  <r>
    <x v="14"/>
    <s v="LOC Mobility"/>
    <x v="2"/>
    <x v="20"/>
    <x v="41"/>
    <s v="EU_Equipment"/>
    <x v="5"/>
    <x v="3"/>
    <d v="2025-10-01T00:00:00"/>
    <d v="2025-11-28T00:00:00"/>
    <s v="ACCBAR"/>
    <s v="moved to FAC TEAP. ID=FAC01082"/>
    <m/>
  </r>
  <r>
    <x v="14"/>
    <s v="LOC Mobility"/>
    <x v="2"/>
    <x v="20"/>
    <x v="42"/>
    <s v="CATV_IPTV"/>
    <x v="9"/>
    <x v="3"/>
    <d v="2025-10-01T00:00:00"/>
    <d v="2025-11-28T00:00:00"/>
    <s v="TVLGIP"/>
    <s v="moved to FAC TEAP. ID=FAC01083"/>
    <m/>
  </r>
  <r>
    <x v="14"/>
    <s v="LOC Mobility"/>
    <x v="2"/>
    <x v="20"/>
    <x v="42"/>
    <s v="AV"/>
    <x v="10"/>
    <x v="3"/>
    <d v="2025-10-01T00:00:00"/>
    <d v="2025-11-28T00:00:00"/>
    <s v="TVLGSA"/>
    <s v="moved to FAC TEAP. ID=FAC01084"/>
    <m/>
  </r>
  <r>
    <x v="14"/>
    <s v="LOC Mobility"/>
    <x v="2"/>
    <x v="20"/>
    <x v="42"/>
    <s v="Network"/>
    <x v="17"/>
    <x v="3"/>
    <d v="2025-10-01T00:00:00"/>
    <d v="2025-11-28T00:00:00"/>
    <s v="WRDSPE"/>
    <s v="moved to FAC TEAP. ID=FAC01085"/>
    <s v="For live tracking  and updated feeds from all the fleets and busses used for this tournament "/>
  </r>
  <r>
    <x v="14"/>
    <s v="LOC Mobility"/>
    <x v="2"/>
    <x v="20"/>
    <x v="42"/>
    <s v="Printing"/>
    <x v="3"/>
    <x v="3"/>
    <d v="2025-10-01T00:00:00"/>
    <d v="2025-11-28T00:00:00"/>
    <s v="MFDLNW"/>
    <s v="moved to FAC TEAP. ID=FAC01086"/>
    <s v="multiple schedule printing and no access to the OPS center for unauthorized personnals"/>
  </r>
  <r>
    <x v="14"/>
    <s v="LOC Mobility"/>
    <x v="2"/>
    <x v="20"/>
    <x v="42"/>
    <s v="SIM_Telco"/>
    <x v="14"/>
    <x v="3"/>
    <d v="2025-10-01T00:00:00"/>
    <d v="2025-11-28T00:00:00"/>
    <s v="SPEREQ"/>
    <s v="moved to FAC TEAP. ID=FAC01087"/>
    <s v="used as a hotline nnumber on the operatonal center in 2 shifts."/>
  </r>
  <r>
    <x v="14"/>
    <s v="LOC Mobility"/>
    <x v="0"/>
    <x v="3"/>
    <x v="43"/>
    <s v="EU_Equipment"/>
    <x v="6"/>
    <x v="6"/>
    <d v="2025-10-01T00:00:00"/>
    <d v="2025-11-28T00:00:00"/>
    <s v="EUQSPE"/>
    <s v="not submitted into FIFA TEAP"/>
    <s v="RFID readers and 1 writer for the tournament access permit urpose"/>
  </r>
  <r>
    <x v="15"/>
    <s v="LOC Ticketing"/>
    <x v="0"/>
    <x v="3"/>
    <x v="44"/>
    <s v="Network"/>
    <x v="17"/>
    <x v="9"/>
    <d v="2025-10-20T00:00:00"/>
    <d v="2025-11-28T00:00:00"/>
    <s v="WRDSPE"/>
    <s v="PK 18.09: 2 STC, 4 cables for Laptop + 1 Printer each"/>
    <s v="5 x wired connections x each STC (4) - 4 x laptops &amp; 1 x printer_x000a_EACS network - TBC, Dedicated VLAN - TBD - Internet access is required"/>
  </r>
  <r>
    <x v="15"/>
    <s v="LOC Ticketing"/>
    <x v="0"/>
    <x v="3"/>
    <x v="44"/>
    <s v="WiFi"/>
    <x v="8"/>
    <x v="1"/>
    <d v="2025-10-20T00:00:00"/>
    <d v="2025-11-28T00:00:00"/>
    <s v="WANGEN"/>
    <s v="PK 18.09: 2 STC, wifi in each"/>
    <s v="1 x wireless connection for up 10 devices x each STC (4)_x000a_EACS network - TBC, Dedicated VLAN - TBD - Internet access is required"/>
  </r>
  <r>
    <x v="15"/>
    <s v="LOC Ticketing"/>
    <x v="0"/>
    <x v="3"/>
    <x v="44"/>
    <s v="Printing"/>
    <x v="2"/>
    <x v="1"/>
    <d v="2025-10-20T00:00:00"/>
    <d v="2025-11-28T00:00:00"/>
    <s v="MFDDNW"/>
    <s v="PK 18.09: 2 STC 1 priter each"/>
    <s v="1 x A4 printer x each STC (4)"/>
  </r>
  <r>
    <x v="15"/>
    <s v="LOC Ticketing"/>
    <x v="0"/>
    <x v="3"/>
    <x v="44"/>
    <s v="SIM_Telco"/>
    <x v="1"/>
    <x v="1"/>
    <d v="2025-10-20T00:00:00"/>
    <d v="2025-11-28T00:00:00"/>
    <s v="ITSR4G"/>
    <s v="PK 18.09: 2 STC 1 mifi each"/>
    <s v="1 x MIFI Router x each STC (4) - Data traffic TBC"/>
  </r>
  <r>
    <x v="15"/>
    <s v="LOC Ticketing"/>
    <x v="0"/>
    <x v="3"/>
    <x v="44"/>
    <s v="EU_Equipment"/>
    <x v="4"/>
    <x v="3"/>
    <d v="2025-10-20T00:00:00"/>
    <d v="2025-11-28T00:00:00"/>
    <s v="LAPOPS"/>
    <s v="laptops from supplier"/>
    <s v="4 x laptops for each STC (4) - TBC with appointed Ticketing Service Provider"/>
  </r>
  <r>
    <x v="15"/>
    <s v="LOC Ticketing"/>
    <x v="0"/>
    <x v="3"/>
    <x v="45"/>
    <s v="WiFi"/>
    <x v="8"/>
    <x v="1"/>
    <d v="2025-10-20T00:00:00"/>
    <d v="2025-11-28T00:00:00"/>
    <s v="WANGEN"/>
    <s v=""/>
    <s v="1 x wireless connection for up 10 devices per each entry point (2)_x000a_EACS network - TBC, Dedicated VLAN - TBD - Internet access is required"/>
  </r>
  <r>
    <x v="15"/>
    <s v="LOC Ticketing"/>
    <x v="0"/>
    <x v="3"/>
    <x v="45"/>
    <s v="SIM_Telco"/>
    <x v="0"/>
    <x v="10"/>
    <d v="2025-10-20T00:00:00"/>
    <d v="2025-11-28T00:00:00"/>
    <s v="SIMDAT"/>
    <s v="In Haya request"/>
    <s v="TBC - Depending on company appointed for access control_x000a_1 x each PDA scanner, Q-ty TBC"/>
  </r>
  <r>
    <x v="15"/>
    <s v="LOC Ticketing"/>
    <x v="0"/>
    <x v="21"/>
    <x v="46"/>
    <s v="Network"/>
    <x v="17"/>
    <x v="3"/>
    <d v="2025-10-20T00:00:00"/>
    <d v="2025-11-28T00:00:00"/>
    <s v="WRDSPE"/>
    <s v=""/>
    <s v="2 x wired connections for each TRP/helpdesk tables (Location TBC)_x000a_EACS network - TBC, Dedicated VLAN - TBD - Internet access is required"/>
  </r>
  <r>
    <x v="15"/>
    <s v="LOC Ticketing"/>
    <x v="0"/>
    <x v="21"/>
    <x v="46"/>
    <s v="WiFi"/>
    <x v="8"/>
    <x v="3"/>
    <d v="2025-10-20T00:00:00"/>
    <d v="2025-11-28T00:00:00"/>
    <s v="WANGEN"/>
    <s v=""/>
    <s v="1 x wireless connection for each TRP/helpdesk tables for up 10 devices _x000a_EACS network - TBC, Dedicated VLAN - TBD - Internet access is required"/>
  </r>
  <r>
    <x v="15"/>
    <s v="LOC Ticketing"/>
    <x v="0"/>
    <x v="21"/>
    <x v="46"/>
    <s v="SIM_Telco"/>
    <x v="1"/>
    <x v="3"/>
    <d v="2025-10-20T00:00:00"/>
    <d v="2025-11-28T00:00:00"/>
    <s v="ITSR4G"/>
    <s v=""/>
    <s v="1 x MIFI router for for each TRP/helpdesk tables"/>
  </r>
  <r>
    <x v="15"/>
    <s v="LOC Ticketing"/>
    <x v="0"/>
    <x v="21"/>
    <x v="46"/>
    <s v="EU_Equipment"/>
    <x v="4"/>
    <x v="3"/>
    <d v="2025-10-20T00:00:00"/>
    <d v="2025-11-28T00:00:00"/>
    <s v="LAPOPS"/>
    <s v=""/>
    <s v="2 x laptops for each TRP (4) - TBC with appointed Ticketing Service Provider"/>
  </r>
  <r>
    <x v="15"/>
    <s v="LOC Ticketing"/>
    <x v="0"/>
    <x v="21"/>
    <x v="47"/>
    <s v="WiFi"/>
    <x v="8"/>
    <x v="11"/>
    <d v="2025-10-20T00:00:00"/>
    <d v="2025-11-28T00:00:00"/>
    <s v="WANGEN"/>
    <s v="Pitch 5&amp;7"/>
    <s v="Pitches requiring additional scanning - TBC_x000a_1 x wireless connection for up to 5 PDA scanners per each entry (8)_x000a_EACS network - TBC, Dedicated VLAN - TBD - Internet access is required"/>
  </r>
  <r>
    <x v="15"/>
    <s v="LOC Ticketing"/>
    <x v="0"/>
    <x v="21"/>
    <x v="47"/>
    <s v="SIM_Telco"/>
    <x v="0"/>
    <x v="9"/>
    <d v="2025-10-20T00:00:00"/>
    <d v="2025-11-28T00:00:00"/>
    <s v="SIMDAT"/>
    <s v="Not in Haya request"/>
    <s v="TBC - Depending on company appointed for access control_x000a_1 x SIM with data per each PDA scanners (up to 4 at each entry point)"/>
  </r>
  <r>
    <x v="15"/>
    <s v="LOC Ticketing"/>
    <x v="0"/>
    <x v="0"/>
    <x v="48"/>
    <s v="WiFi"/>
    <x v="8"/>
    <x v="3"/>
    <d v="2025-10-15T00:00:00"/>
    <d v="2025-11-28T00:00:00"/>
    <s v="WANGEN"/>
    <s v=""/>
    <s v="Venue Ticketing Office - TBC_x000a_1 x wireless connection for up 15 devices _x000a_EACS network - TBC, Dedicated VLAN - TBD - Internet access is required"/>
  </r>
  <r>
    <x v="15"/>
    <s v="LOC Ticketing"/>
    <x v="0"/>
    <x v="0"/>
    <x v="48"/>
    <s v="Network"/>
    <x v="17"/>
    <x v="3"/>
    <d v="2025-10-15T00:00:00"/>
    <d v="2025-11-28T00:00:00"/>
    <s v="WRDSPE"/>
    <s v=""/>
    <s v="Venue Ticketing Office - TBC_x000a_6 x wired connections for 5 x laptops &amp; 1 x printer_x000a_EACS network - TBC, Dedicated VLAN - TBD - internet access is required"/>
  </r>
  <r>
    <x v="15"/>
    <s v="LOC Ticketing"/>
    <x v="0"/>
    <x v="0"/>
    <x v="48"/>
    <s v="Printing"/>
    <x v="3"/>
    <x v="3"/>
    <d v="2025-10-15T00:00:00"/>
    <d v="2025-11-28T00:00:00"/>
    <s v="MFDLNW"/>
    <s v=""/>
    <s v="Venue Ticketing Office - TBC_x000a_1 x A3 printer"/>
  </r>
  <r>
    <x v="15"/>
    <s v="LOC Ticketing"/>
    <x v="0"/>
    <x v="0"/>
    <x v="48"/>
    <s v="AV"/>
    <x v="10"/>
    <x v="3"/>
    <d v="2025-10-15T00:00:00"/>
    <d v="2025-11-28T00:00:00"/>
    <s v="TVLGSA"/>
    <s v=""/>
    <s v="Venue Ticketing Office - TBC_x000a_1 x TV with HDMI"/>
  </r>
  <r>
    <x v="15"/>
    <s v="LOC Ticketing"/>
    <x v="0"/>
    <x v="0"/>
    <x v="49"/>
    <s v="Network"/>
    <x v="17"/>
    <x v="3"/>
    <d v="2025-10-15T00:00:00"/>
    <d v="2025-11-28T00:00:00"/>
    <s v="WRDSPE"/>
    <s v=""/>
    <s v="Venue EACS office - TBC_x000a_5 x wired connections for  2 x workstations/laptops, 2 x EACS servers(TBC), 1 x printer _x000a_EACS network - TBC, Dedicated VLAN - TBD - Internet access is required"/>
  </r>
  <r>
    <x v="15"/>
    <s v="LOC Ticketing"/>
    <x v="0"/>
    <x v="0"/>
    <x v="49"/>
    <s v="WiFi"/>
    <x v="8"/>
    <x v="3"/>
    <d v="2025-10-15T00:00:00"/>
    <d v="2025-11-28T00:00:00"/>
    <s v="WANGEN"/>
    <s v=""/>
    <s v="Venue EACS office - TBC_x000a_1 x wireless connection for up to 20 devices_x000a_EACS network - TBC, Dedicated VLAN - TBD - Internet access is required"/>
  </r>
  <r>
    <x v="15"/>
    <s v="LOC Ticketing"/>
    <x v="0"/>
    <x v="0"/>
    <x v="49"/>
    <s v="Printing"/>
    <x v="2"/>
    <x v="3"/>
    <d v="2025-10-15T00:00:00"/>
    <d v="2025-11-28T00:00:00"/>
    <s v="MFDDNW"/>
    <s v=""/>
    <s v="Venue EACS office - TBC_x000a_1 x A4 printer"/>
  </r>
  <r>
    <x v="15"/>
    <s v="LOC Ticketing"/>
    <x v="0"/>
    <x v="0"/>
    <x v="50"/>
    <s v="Network"/>
    <x v="17"/>
    <x v="1"/>
    <d v="2025-10-25T00:00:00"/>
    <d v="2025-11-28T00:00:00"/>
    <s v="WRDSPE"/>
    <s v=""/>
    <s v="2 x wired ports for 2 x laptops_x000a_EACS network - TBC, Dedicated VLAN - TBD"/>
  </r>
  <r>
    <x v="15"/>
    <s v="LOC Ticketing"/>
    <x v="0"/>
    <x v="0"/>
    <x v="50"/>
    <s v="EU_Equipment"/>
    <x v="4"/>
    <x v="1"/>
    <d v="2025-10-25T00:00:00"/>
    <d v="2025-11-28T00:00:00"/>
    <s v="LAPOPS"/>
    <s v=""/>
    <s v="2 x laptops to provide entry statistics (main and secondary)"/>
  </r>
  <r>
    <x v="15"/>
    <s v="LOC Ticketing"/>
    <x v="0"/>
    <x v="0"/>
    <x v="50"/>
    <s v="AV"/>
    <x v="10"/>
    <x v="4"/>
    <d v="2025-10-25T00:00:00"/>
    <d v="2025-11-28T00:00:00"/>
    <s v="TVLGSA"/>
    <s v="depends on VOC setup"/>
    <s v="1 x TV with HDMI (TBC - in case is not available in VOC)"/>
  </r>
  <r>
    <x v="15"/>
    <s v="LOC Ticketing"/>
    <x v="1"/>
    <x v="4"/>
    <x v="51"/>
    <s v="Network"/>
    <x v="17"/>
    <x v="12"/>
    <d v="2025-11-15T00:00:00"/>
    <d v="2025-11-28T00:00:00"/>
    <s v="WRDSPE"/>
    <s v=""/>
    <s v="5 x wired connections x each STC (6) - 4 x laptops &amp; 1 x printer_x000a_EACS network - TBC, Dedicated VLAN - TBD - Internet access is required"/>
  </r>
  <r>
    <x v="15"/>
    <s v="LOC Ticketing"/>
    <x v="1"/>
    <x v="4"/>
    <x v="51"/>
    <s v="WiFi"/>
    <x v="8"/>
    <x v="5"/>
    <d v="2025-11-15T00:00:00"/>
    <d v="2025-11-28T00:00:00"/>
    <s v="WANGEN"/>
    <s v=""/>
    <s v="1 x wireless connection for up 10 devices x each STC (6)_x000a_EACS network - TBC, Dedicated VLAN - TBD - Internet access is required"/>
  </r>
  <r>
    <x v="15"/>
    <s v="LOC Ticketing"/>
    <x v="1"/>
    <x v="4"/>
    <x v="51"/>
    <s v="Printing"/>
    <x v="2"/>
    <x v="5"/>
    <d v="2025-11-15T00:00:00"/>
    <d v="2025-11-28T00:00:00"/>
    <s v="MFDDNW"/>
    <s v=""/>
    <s v="1 x A4 printer x each STC (6)"/>
  </r>
  <r>
    <x v="15"/>
    <s v="LOC Ticketing"/>
    <x v="1"/>
    <x v="4"/>
    <x v="51"/>
    <s v="SIM_Telco"/>
    <x v="1"/>
    <x v="5"/>
    <d v="2025-11-15T00:00:00"/>
    <d v="2025-11-28T00:00:00"/>
    <s v="ITSR4G"/>
    <s v=""/>
    <s v="1 x MIFI Router x each STC (6) - Data traffic TBC"/>
  </r>
  <r>
    <x v="15"/>
    <s v="LOC Ticketing"/>
    <x v="1"/>
    <x v="4"/>
    <x v="51"/>
    <s v="EU_Equipment"/>
    <x v="4"/>
    <x v="13"/>
    <d v="2025-11-15T00:00:00"/>
    <d v="2025-11-28T00:00:00"/>
    <s v="LAPOPS"/>
    <s v=""/>
    <s v="4 x laptops for each STC (6) - TBC with appointed Ticketing Service Provider"/>
  </r>
  <r>
    <x v="15"/>
    <s v="LOC Ticketing"/>
    <x v="1"/>
    <x v="4"/>
    <x v="52"/>
    <s v="WiFi"/>
    <x v="8"/>
    <x v="5"/>
    <d v="2025-11-15T00:00:00"/>
    <d v="2025-11-28T00:00:00"/>
    <s v="WANGEN"/>
    <s v=""/>
    <s v="1 x wireless connection x each M&amp;B coverding whole entry area_x000a_Quantity of equipment to be connected - TBC_x000a_EACS network - TBC, Dedicated VLAN - TBD - Internet access is required"/>
  </r>
  <r>
    <x v="15"/>
    <s v="LOC Ticketing"/>
    <x v="1"/>
    <x v="4"/>
    <x v="52"/>
    <s v="SIM_Telco"/>
    <x v="0"/>
    <x v="14"/>
    <d v="2025-11-15T00:00:00"/>
    <d v="2025-11-28T00:00:00"/>
    <s v="SIMDAT"/>
    <s v=""/>
    <s v="TBC - Depending on company appointed for access control_x000a_1 x SIM with data x each PDA scanner (Q-ty TBC)"/>
  </r>
  <r>
    <x v="15"/>
    <s v="LOC Ticketing"/>
    <x v="1"/>
    <x v="14"/>
    <x v="53"/>
    <s v="Network"/>
    <x v="17"/>
    <x v="11"/>
    <d v="2025-11-15T00:00:00"/>
    <d v="2025-11-28T00:00:00"/>
    <s v="WRDSPE"/>
    <s v=""/>
    <s v="2 x wired EACS network connections per each TRP_x000a_EACS network and internet access is required"/>
  </r>
  <r>
    <x v="15"/>
    <s v="LOC Ticketing"/>
    <x v="1"/>
    <x v="14"/>
    <x v="53"/>
    <s v="WiFi"/>
    <x v="8"/>
    <x v="6"/>
    <d v="2025-11-15T00:00:00"/>
    <d v="2025-11-28T00:00:00"/>
    <s v="WANGEN"/>
    <s v=""/>
    <s v="1 x wireless connection for up 10 devices _x000a_EACS network - TBC, Dedicated VLAN - TBD - Internet access is required"/>
  </r>
  <r>
    <x v="15"/>
    <s v="LOC Ticketing"/>
    <x v="1"/>
    <x v="14"/>
    <x v="53"/>
    <s v="SIM_Telco"/>
    <x v="1"/>
    <x v="6"/>
    <d v="2025-11-15T00:00:00"/>
    <d v="2025-11-28T00:00:00"/>
    <s v="ITSR4G"/>
    <s v=""/>
    <s v="1 x MIFI router x each TRP"/>
  </r>
  <r>
    <x v="15"/>
    <s v="LOC Ticketing"/>
    <x v="1"/>
    <x v="14"/>
    <x v="53"/>
    <s v="EU_Equipment"/>
    <x v="4"/>
    <x v="11"/>
    <d v="2025-11-15T00:00:00"/>
    <d v="2025-11-28T00:00:00"/>
    <s v="LAPOPS"/>
    <s v=""/>
    <s v="2 x laptops for each TRP (4) - TBC with appointed Ticketing Service Provider"/>
  </r>
  <r>
    <x v="15"/>
    <s v="LOC Ticketing"/>
    <x v="1"/>
    <x v="14"/>
    <x v="54"/>
    <s v="WiFi"/>
    <x v="8"/>
    <x v="4"/>
    <d v="2025-11-15T00:00:00"/>
    <d v="2025-11-28T00:00:00"/>
    <s v="WANGEN"/>
    <s v=""/>
    <s v="Certain gates located on the inner perimeter will need to be covered with wireless connection to support PDA scanners with access to the EACS network. Specific gates TBC"/>
  </r>
  <r>
    <x v="15"/>
    <s v="LOC Ticketing"/>
    <x v="1"/>
    <x v="15"/>
    <x v="48"/>
    <s v="WiFi"/>
    <x v="8"/>
    <x v="4"/>
    <d v="2025-11-15T00:00:00"/>
    <d v="2025-11-28T00:00:00"/>
    <s v="WANGEN"/>
    <s v=""/>
    <s v="Venue Ticketing Office - TBC_x000a_1 x wireless connection for up 15 devices _x000a_EACS network - TBC, Dedicated VLAN - TBD - Internet access is required"/>
  </r>
  <r>
    <x v="15"/>
    <s v="LOC Ticketing"/>
    <x v="1"/>
    <x v="15"/>
    <x v="48"/>
    <s v="Network"/>
    <x v="17"/>
    <x v="5"/>
    <d v="2025-11-10T00:00:00"/>
    <d v="2025-11-28T00:00:00"/>
    <s v="WRDSPE"/>
    <s v=""/>
    <s v="Venue Ticketing Office - TBC_x000a_6 x wired connections for 5 x laptops &amp; 1 x printer_x000a_EACS network - TBC, Dedicated VLAN - TBD - internet access is required"/>
  </r>
  <r>
    <x v="15"/>
    <s v="LOC Ticketing"/>
    <x v="1"/>
    <x v="15"/>
    <x v="48"/>
    <s v="Printing"/>
    <x v="3"/>
    <x v="4"/>
    <d v="2025-11-10T00:00:00"/>
    <d v="2025-11-28T00:00:00"/>
    <s v="MFDLNW"/>
    <s v=""/>
    <s v="Venue Ticketing Office - TBC_x000a_1 x A3 printer"/>
  </r>
  <r>
    <x v="15"/>
    <s v="LOC Ticketing"/>
    <x v="1"/>
    <x v="15"/>
    <x v="48"/>
    <s v="AV"/>
    <x v="10"/>
    <x v="4"/>
    <d v="2025-11-10T00:00:00"/>
    <d v="2025-11-28T00:00:00"/>
    <s v="TVLGSA"/>
    <s v=""/>
    <s v="Venue Ticketing Office - TBC_x000a_1 x TV with HDMI"/>
  </r>
  <r>
    <x v="15"/>
    <s v="LOC Ticketing"/>
    <x v="1"/>
    <x v="15"/>
    <x v="49"/>
    <s v="Network"/>
    <x v="17"/>
    <x v="8"/>
    <d v="2025-11-15T00:00:00"/>
    <d v="2025-11-28T00:00:00"/>
    <s v="WRDSPE"/>
    <s v=""/>
    <s v="Venue EACS office_x000a_3 x wired connections for  2 x workstations/laptops, 1 x printer _x000a_EACS network - TBC, Dedicated VLAN - TBD - Internet access is required"/>
  </r>
  <r>
    <x v="15"/>
    <s v="LOC Ticketing"/>
    <x v="1"/>
    <x v="15"/>
    <x v="49"/>
    <s v="WiFi"/>
    <x v="8"/>
    <x v="4"/>
    <d v="2025-11-15T00:00:00"/>
    <d v="2025-11-28T00:00:00"/>
    <s v="WANGEN"/>
    <s v=""/>
    <s v="Venue EACS office_x000a_1 x wireless connection for up to 20 devices_x000a_EACS network - TBC, Dedicated VLAN - TBD - Internet access is required"/>
  </r>
  <r>
    <x v="15"/>
    <s v="LOC Ticketing"/>
    <x v="1"/>
    <x v="15"/>
    <x v="49"/>
    <s v="Printing"/>
    <x v="2"/>
    <x v="4"/>
    <d v="2025-11-15T00:00:00"/>
    <d v="2025-11-28T00:00:00"/>
    <s v="MFDDNW"/>
    <s v=""/>
    <s v="Venue EACS office_x000a_1 x A4 printer"/>
  </r>
  <r>
    <x v="15"/>
    <s v="LOC Ticketing"/>
    <x v="1"/>
    <x v="15"/>
    <x v="50"/>
    <s v="Network"/>
    <x v="17"/>
    <x v="1"/>
    <d v="2025-11-20T00:00:00"/>
    <d v="2025-11-28T00:00:00"/>
    <s v="WRDSPE"/>
    <s v=""/>
    <s v="2 x wired ports for 2 x laptops_x000a_EACS network - TBC, Dedicated VLAN - TBD"/>
  </r>
  <r>
    <x v="15"/>
    <s v="LOC Ticketing"/>
    <x v="1"/>
    <x v="15"/>
    <x v="50"/>
    <s v="EU_Equipment"/>
    <x v="4"/>
    <x v="1"/>
    <d v="2025-11-20T00:00:00"/>
    <d v="2025-11-28T00:00:00"/>
    <s v="LAPOPS"/>
    <s v=""/>
    <s v="2 x laptops to provide entry statistics (main and secondary)"/>
  </r>
  <r>
    <x v="15"/>
    <s v="LOC Ticketing"/>
    <x v="1"/>
    <x v="15"/>
    <x v="50"/>
    <s v="AV"/>
    <x v="10"/>
    <x v="4"/>
    <d v="2025-11-20T00:00:00"/>
    <d v="2025-11-28T00:00:00"/>
    <s v="TVLGSA"/>
    <s v=""/>
    <s v="1 x TV with HDMI (TBC - in case is not available in VOC)"/>
  </r>
  <r>
    <x v="15"/>
    <s v="LOC Ticketing"/>
    <x v="2"/>
    <x v="0"/>
    <x v="55"/>
    <s v="AV"/>
    <x v="10"/>
    <x v="3"/>
    <d v="2025-09-15T00:00:00"/>
    <d v="2025-11-28T00:00:00"/>
    <s v="TVLGSA"/>
    <s v="moved to FAC TEAP. ID=FAC01088"/>
    <s v="4 x TV with HDMI "/>
  </r>
  <r>
    <x v="15"/>
    <s v="LOC Ticketing"/>
    <x v="2"/>
    <x v="0"/>
    <x v="55"/>
    <s v="EU_Equipment"/>
    <x v="4"/>
    <x v="3"/>
    <d v="2025-09-15T00:00:00"/>
    <d v="2025-11-28T00:00:00"/>
    <s v="LAPOPS"/>
    <s v="moved to FAC TEAP. ID=FAC01089"/>
    <s v="to be connected to TV-Large-Standalone"/>
  </r>
  <r>
    <x v="15"/>
    <s v="LOC Ticketing"/>
    <x v="2"/>
    <x v="0"/>
    <x v="55"/>
    <s v="Network"/>
    <x v="7"/>
    <x v="3"/>
    <d v="2025-09-15T00:00:00"/>
    <d v="2025-11-28T00:00:00"/>
    <s v="WRDGEN"/>
    <s v="moved to FAC TEAP. ID=FAC01090"/>
    <m/>
  </r>
  <r>
    <x v="15"/>
    <s v="LOC Ticketing"/>
    <x v="2"/>
    <x v="0"/>
    <x v="55"/>
    <s v="WiFi"/>
    <x v="8"/>
    <x v="3"/>
    <d v="2025-09-15T00:00:00"/>
    <d v="2025-11-28T00:00:00"/>
    <s v="WANGEN"/>
    <s v="moved to FAC TEAP. ID=FAC01091"/>
    <s v="1 x Wireless connection for up to 50 devices"/>
  </r>
  <r>
    <x v="15"/>
    <s v="LOC Ticketing"/>
    <x v="2"/>
    <x v="0"/>
    <x v="55"/>
    <s v="SIM_Telco"/>
    <x v="1"/>
    <x v="3"/>
    <d v="2025-09-15T00:00:00"/>
    <d v="2025-11-28T00:00:00"/>
    <s v="ITSR4G"/>
    <s v="moved to FAC TEAP. ID=FAC01092"/>
    <s v="Backup"/>
  </r>
  <r>
    <x v="15"/>
    <s v="LOC Ticketing"/>
    <x v="2"/>
    <x v="0"/>
    <x v="55"/>
    <s v="Printing"/>
    <x v="3"/>
    <x v="3"/>
    <d v="2025-09-15T00:00:00"/>
    <d v="2025-11-28T00:00:00"/>
    <s v="MFDLNW"/>
    <s v="moved to FAC TEAP. ID=FAC01093"/>
    <s v="A3 printer for Ticketing HQ (TBC)"/>
  </r>
  <r>
    <x v="15"/>
    <s v="LOC Ticketing"/>
    <x v="2"/>
    <x v="0"/>
    <x v="55"/>
    <s v="Printing"/>
    <x v="2"/>
    <x v="3"/>
    <d v="2025-09-15T00:00:00"/>
    <d v="2025-11-28T00:00:00"/>
    <s v="MFDDNW"/>
    <s v="moved to FAC TEAP. ID=FAC01094"/>
    <s v="A4 printer for Ticketing HQ (TBC)"/>
  </r>
  <r>
    <x v="15"/>
    <s v="LOC Ticketing"/>
    <x v="2"/>
    <x v="0"/>
    <x v="55"/>
    <s v="EU_Equipment"/>
    <x v="12"/>
    <x v="3"/>
    <d v="2025-09-15T00:00:00"/>
    <d v="2025-11-28T00:00:00"/>
    <s v="DSKMNT"/>
    <s v="moved to FAC TEAP. ID=FAC01095"/>
    <s v="Monitor 27&quot; with cable for connection (HDMI, Thunderbolt(type-c), etc.)"/>
  </r>
  <r>
    <x v="15"/>
    <s v="LOC Ticketing"/>
    <x v="2"/>
    <x v="0"/>
    <x v="55"/>
    <s v="AV"/>
    <x v="15"/>
    <x v="3"/>
    <d v="2025-09-15T00:00:00"/>
    <d v="2025-11-28T00:00:00"/>
    <s v="AVRSPE"/>
    <s v="moved to FAC TEAP. ID=FAC01096"/>
    <s v="Projector FHD with HDMI cable and screen - TBC"/>
  </r>
  <r>
    <x v="16"/>
    <s v="#CALC!"/>
    <x v="2"/>
    <x v="0"/>
    <x v="56"/>
    <s v="Printing"/>
    <x v="2"/>
    <x v="3"/>
    <d v="2025-10-20T00:00:00"/>
    <d v="2025-12-20T00:00:00"/>
    <s v="MFDDNW"/>
    <s v="moved to FAC TEAP. ID=FAC01097"/>
    <m/>
  </r>
  <r>
    <x v="16"/>
    <s v="#CALC!"/>
    <x v="2"/>
    <x v="0"/>
    <x v="56"/>
    <s v="SIM_Telco"/>
    <x v="0"/>
    <x v="3"/>
    <d v="2025-10-20T00:00:00"/>
    <d v="2025-12-20T00:00:00"/>
    <s v="SIMDAT"/>
    <s v="moved to FAC TEAP. ID=FAC01098"/>
    <m/>
  </r>
  <r>
    <x v="16"/>
    <s v="#CALC!"/>
    <x v="2"/>
    <x v="0"/>
    <x v="56"/>
    <s v="EU_Equipment"/>
    <x v="12"/>
    <x v="3"/>
    <d v="2025-10-20T00:00:00"/>
    <d v="2025-12-20T00:00:00"/>
    <s v="DSKMNT"/>
    <s v="moved to FAC TEAP. ID=FAC0109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D4C751D-7B05-469A-8BEC-BEBABF1F9670}"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84" firstHeaderRow="1" firstDataRow="2" firstDataCol="1"/>
  <pivotFields count="21">
    <pivotField showAll="0"/>
    <pivotField showAll="0"/>
    <pivotField showAll="0"/>
    <pivotField showAll="0"/>
    <pivotField showAll="0"/>
    <pivotField showAll="0"/>
    <pivotField axis="axisCol" showAll="0">
      <items count="43">
        <item h="1" x="41"/>
        <item h="1" x="32"/>
        <item h="1" x="34"/>
        <item h="1" x="10"/>
        <item h="1" x="33"/>
        <item h="1" x="27"/>
        <item h="1" x="0"/>
        <item h="1" x="24"/>
        <item h="1" x="30"/>
        <item h="1" x="1"/>
        <item h="1" x="31"/>
        <item h="1" x="35"/>
        <item h="1" x="38"/>
        <item h="1" x="25"/>
        <item h="1" x="18"/>
        <item h="1" x="40"/>
        <item h="1" x="19"/>
        <item h="1" x="11"/>
        <item h="1" x="17"/>
        <item h="1" x="2"/>
        <item h="1" x="36"/>
        <item h="1" x="14"/>
        <item h="1" x="28"/>
        <item h="1" x="39"/>
        <item h="1" x="20"/>
        <item h="1" x="21"/>
        <item h="1" x="22"/>
        <item h="1" x="7"/>
        <item h="1" x="23"/>
        <item x="5"/>
        <item x="15"/>
        <item x="26"/>
        <item h="1" x="6"/>
        <item h="1" x="37"/>
        <item h="1" x="13"/>
        <item h="1" x="8"/>
        <item h="1" x="3"/>
        <item h="1" x="12"/>
        <item h="1" x="9"/>
        <item h="1" x="4"/>
        <item h="1" x="29"/>
        <item h="1" x="16"/>
        <item t="default"/>
      </items>
    </pivotField>
    <pivotField showAll="0"/>
    <pivotField showAll="0"/>
    <pivotField showAll="0"/>
    <pivotField dataField="1" showAll="0"/>
    <pivotField showAll="0"/>
    <pivotField showAll="0"/>
    <pivotField showAll="0"/>
    <pivotField axis="axisRow" showAll="0">
      <items count="5">
        <item x="0"/>
        <item x="1"/>
        <item x="2"/>
        <item x="3"/>
        <item t="default"/>
      </items>
    </pivotField>
    <pivotField axis="axisRow" showAll="0">
      <items count="51">
        <item x="27"/>
        <item x="35"/>
        <item x="29"/>
        <item x="30"/>
        <item x="10"/>
        <item x="11"/>
        <item x="14"/>
        <item x="15"/>
        <item x="12"/>
        <item x="40"/>
        <item x="39"/>
        <item x="18"/>
        <item x="31"/>
        <item x="16"/>
        <item x="48"/>
        <item x="43"/>
        <item x="47"/>
        <item x="34"/>
        <item x="17"/>
        <item x="24"/>
        <item x="46"/>
        <item x="33"/>
        <item x="36"/>
        <item x="0"/>
        <item x="9"/>
        <item x="1"/>
        <item x="2"/>
        <item x="3"/>
        <item x="4"/>
        <item x="5"/>
        <item x="6"/>
        <item x="7"/>
        <item x="45"/>
        <item x="19"/>
        <item x="25"/>
        <item x="38"/>
        <item x="28"/>
        <item x="42"/>
        <item x="23"/>
        <item x="8"/>
        <item x="37"/>
        <item x="32"/>
        <item x="13"/>
        <item x="26"/>
        <item x="20"/>
        <item x="21"/>
        <item x="44"/>
        <item x="22"/>
        <item x="41"/>
        <item x="49"/>
        <item t="default"/>
      </items>
    </pivotField>
    <pivotField axis="axisRow" showAll="0">
      <items count="127">
        <item x="94"/>
        <item x="124"/>
        <item x="112"/>
        <item x="36"/>
        <item x="37"/>
        <item x="68"/>
        <item x="65"/>
        <item x="66"/>
        <item x="67"/>
        <item x="2"/>
        <item x="4"/>
        <item x="5"/>
        <item x="72"/>
        <item x="110"/>
        <item x="46"/>
        <item x="15"/>
        <item x="3"/>
        <item x="0"/>
        <item x="122"/>
        <item x="77"/>
        <item x="76"/>
        <item x="69"/>
        <item x="38"/>
        <item x="39"/>
        <item x="61"/>
        <item x="62"/>
        <item x="1"/>
        <item x="60"/>
        <item x="23"/>
        <item x="50"/>
        <item x="32"/>
        <item x="29"/>
        <item x="30"/>
        <item x="31"/>
        <item x="25"/>
        <item x="26"/>
        <item x="28"/>
        <item x="27"/>
        <item x="125"/>
        <item x="51"/>
        <item x="80"/>
        <item x="98"/>
        <item x="63"/>
        <item x="78"/>
        <item x="79"/>
        <item x="73"/>
        <item x="19"/>
        <item x="21"/>
        <item x="42"/>
        <item x="35"/>
        <item x="99"/>
        <item x="74"/>
        <item x="43"/>
        <item x="44"/>
        <item x="108"/>
        <item x="6"/>
        <item x="7"/>
        <item x="8"/>
        <item x="9"/>
        <item x="113"/>
        <item x="16"/>
        <item x="10"/>
        <item x="11"/>
        <item x="100"/>
        <item x="120"/>
        <item x="40"/>
        <item x="41"/>
        <item x="53"/>
        <item x="115"/>
        <item x="85"/>
        <item x="82"/>
        <item x="83"/>
        <item x="56"/>
        <item x="22"/>
        <item x="34"/>
        <item x="58"/>
        <item x="49"/>
        <item x="48"/>
        <item x="52"/>
        <item x="88"/>
        <item x="17"/>
        <item x="12"/>
        <item x="13"/>
        <item x="54"/>
        <item x="71"/>
        <item x="20"/>
        <item x="14"/>
        <item x="84"/>
        <item x="87"/>
        <item x="89"/>
        <item x="90"/>
        <item x="45"/>
        <item x="111"/>
        <item x="119"/>
        <item x="55"/>
        <item x="47"/>
        <item x="123"/>
        <item x="114"/>
        <item x="121"/>
        <item x="102"/>
        <item x="103"/>
        <item x="24"/>
        <item x="18"/>
        <item x="106"/>
        <item x="109"/>
        <item x="96"/>
        <item x="91"/>
        <item x="92"/>
        <item x="117"/>
        <item x="57"/>
        <item x="101"/>
        <item x="118"/>
        <item x="95"/>
        <item x="93"/>
        <item x="116"/>
        <item x="33"/>
        <item x="81"/>
        <item x="59"/>
        <item x="105"/>
        <item x="86"/>
        <item x="104"/>
        <item x="97"/>
        <item x="75"/>
        <item x="107"/>
        <item x="64"/>
        <item x="70"/>
        <item t="default"/>
      </items>
    </pivotField>
    <pivotField showAll="0"/>
    <pivotField showAll="0"/>
    <pivotField showAll="0"/>
    <pivotField showAll="0"/>
  </pivotFields>
  <rowFields count="3">
    <field x="14"/>
    <field x="15"/>
    <field x="16"/>
  </rowFields>
  <rowItems count="80">
    <i>
      <x/>
    </i>
    <i r="1">
      <x/>
    </i>
    <i r="2">
      <x v="110"/>
    </i>
    <i r="1">
      <x v="1"/>
    </i>
    <i r="2">
      <x v="41"/>
    </i>
    <i r="2">
      <x v="50"/>
    </i>
    <i r="2">
      <x v="63"/>
    </i>
    <i r="1">
      <x v="3"/>
    </i>
    <i r="2">
      <x v="117"/>
    </i>
    <i r="2">
      <x v="124"/>
    </i>
    <i r="1">
      <x v="4"/>
    </i>
    <i r="2">
      <x v="26"/>
    </i>
    <i r="2">
      <x v="28"/>
    </i>
    <i r="1">
      <x v="21"/>
    </i>
    <i r="2">
      <x v="106"/>
    </i>
    <i r="2">
      <x v="111"/>
    </i>
    <i r="2">
      <x v="113"/>
    </i>
    <i r="2">
      <x v="114"/>
    </i>
    <i r="1">
      <x v="22"/>
    </i>
    <i r="2">
      <x v="20"/>
    </i>
    <i r="1">
      <x v="23"/>
    </i>
    <i r="2">
      <x v="71"/>
    </i>
    <i r="1">
      <x v="30"/>
    </i>
    <i r="2">
      <x v="70"/>
    </i>
    <i r="1">
      <x v="32"/>
    </i>
    <i r="2">
      <x v="72"/>
    </i>
    <i r="1">
      <x v="34"/>
    </i>
    <i r="2">
      <x v="14"/>
    </i>
    <i r="2">
      <x v="29"/>
    </i>
    <i r="2">
      <x v="67"/>
    </i>
    <i r="2">
      <x v="76"/>
    </i>
    <i r="2">
      <x v="77"/>
    </i>
    <i r="2">
      <x v="95"/>
    </i>
    <i r="1">
      <x v="38"/>
    </i>
    <i r="2">
      <x v="86"/>
    </i>
    <i r="1">
      <x v="42"/>
    </i>
    <i r="2">
      <x v="16"/>
    </i>
    <i r="2">
      <x v="46"/>
    </i>
    <i r="2">
      <x v="63"/>
    </i>
    <i r="2">
      <x v="115"/>
    </i>
    <i r="1">
      <x v="43"/>
    </i>
    <i r="2">
      <x v="39"/>
    </i>
    <i r="1">
      <x v="44"/>
    </i>
    <i r="2">
      <x v="101"/>
    </i>
    <i>
      <x v="1"/>
    </i>
    <i r="1">
      <x v="8"/>
    </i>
    <i r="2">
      <x v="16"/>
    </i>
    <i r="2">
      <x v="46"/>
    </i>
    <i r="2">
      <x v="47"/>
    </i>
    <i r="1">
      <x v="9"/>
    </i>
    <i r="2">
      <x v="69"/>
    </i>
    <i r="1">
      <x v="15"/>
    </i>
    <i r="2">
      <x v="120"/>
    </i>
    <i r="1">
      <x v="19"/>
    </i>
    <i r="2">
      <x v="53"/>
    </i>
    <i r="1">
      <x v="33"/>
    </i>
    <i r="2">
      <x v="73"/>
    </i>
    <i r="1">
      <x v="38"/>
    </i>
    <i r="2">
      <x v="91"/>
    </i>
    <i r="1">
      <x v="39"/>
    </i>
    <i r="2">
      <x v="106"/>
    </i>
    <i r="2">
      <x v="111"/>
    </i>
    <i r="2">
      <x v="114"/>
    </i>
    <i r="1">
      <x v="40"/>
    </i>
    <i r="2">
      <x v="20"/>
    </i>
    <i r="1">
      <x v="47"/>
    </i>
    <i r="2">
      <x v="115"/>
    </i>
    <i>
      <x v="2"/>
    </i>
    <i r="1">
      <x v="17"/>
    </i>
    <i r="2">
      <x v="51"/>
    </i>
    <i r="1">
      <x v="20"/>
    </i>
    <i r="2">
      <x v="13"/>
    </i>
    <i r="1">
      <x v="21"/>
    </i>
    <i r="2">
      <x v="40"/>
    </i>
    <i r="2">
      <x v="96"/>
    </i>
    <i r="2">
      <x v="118"/>
    </i>
    <i r="1">
      <x v="46"/>
    </i>
    <i r="2">
      <x v="103"/>
    </i>
    <i r="2">
      <x v="123"/>
    </i>
    <i t="grand">
      <x/>
    </i>
  </rowItems>
  <colFields count="1">
    <field x="6"/>
  </colFields>
  <colItems count="4">
    <i>
      <x v="29"/>
    </i>
    <i>
      <x v="30"/>
    </i>
    <i>
      <x v="31"/>
    </i>
    <i t="grand">
      <x/>
    </i>
  </colItems>
  <dataFields count="1">
    <dataField name="Sum of New Quantity" fld="10" baseField="1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664816-18D6-4112-9D3F-65CCAC411C83}" name="PivotTable3"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1" firstHeaderRow="1" firstDataRow="1" firstDataCol="1"/>
  <pivotFields count="21">
    <pivotField showAll="0"/>
    <pivotField showAll="0"/>
    <pivotField showAll="0"/>
    <pivotField showAll="0"/>
    <pivotField showAll="0"/>
    <pivotField axis="axisRow" showAll="0" measureFilter="1">
      <items count="41">
        <item x="0"/>
        <item x="25"/>
        <item x="30"/>
        <item x="39"/>
        <item x="35"/>
        <item x="2"/>
        <item x="23"/>
        <item x="17"/>
        <item x="11"/>
        <item x="22"/>
        <item x="16"/>
        <item x="38"/>
        <item x="10"/>
        <item x="34"/>
        <item x="5"/>
        <item x="15"/>
        <item x="19"/>
        <item x="18"/>
        <item x="20"/>
        <item x="24"/>
        <item x="26"/>
        <item x="14"/>
        <item x="7"/>
        <item x="32"/>
        <item x="37"/>
        <item x="21"/>
        <item x="6"/>
        <item x="31"/>
        <item x="12"/>
        <item x="4"/>
        <item x="13"/>
        <item x="8"/>
        <item x="3"/>
        <item x="9"/>
        <item x="27"/>
        <item x="33"/>
        <item x="29"/>
        <item x="1"/>
        <item x="36"/>
        <item x="28"/>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5"/>
  </rowFields>
  <rowItems count="8">
    <i>
      <x v="10"/>
    </i>
    <i>
      <x v="11"/>
    </i>
    <i>
      <x v="16"/>
    </i>
    <i>
      <x v="17"/>
    </i>
    <i>
      <x v="18"/>
    </i>
    <i>
      <x v="22"/>
    </i>
    <i>
      <x v="25"/>
    </i>
    <i t="grand">
      <x/>
    </i>
  </rowItems>
  <colItems count="1">
    <i/>
  </colItems>
  <dataFields count="1">
    <dataField name="Sum of SIM Cards2" fld="12" baseField="0" baseItem="0"/>
  </dataFields>
  <pivotTableStyleInfo name="PivotStyleLight16" showRowHeaders="1" showColHeaders="1" showRowStripes="0" showColStripes="0" showLastColumn="1"/>
  <filters count="1">
    <filter fld="5"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457321-C900-4CF0-A407-B8A591FC0019}" name="PivotTable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O239" firstHeaderRow="1" firstDataRow="2" firstDataCol="1"/>
  <pivotFields count="21">
    <pivotField showAll="0"/>
    <pivotField showAll="0"/>
    <pivotField showAll="0"/>
    <pivotField showAll="0"/>
    <pivotField showAll="0"/>
    <pivotField axis="axisCol" showAll="0" measureFilter="1">
      <items count="41">
        <item x="0"/>
        <item x="25"/>
        <item x="30"/>
        <item x="39"/>
        <item x="35"/>
        <item x="2"/>
        <item x="23"/>
        <item x="17"/>
        <item x="11"/>
        <item x="22"/>
        <item x="16"/>
        <item x="38"/>
        <item x="10"/>
        <item x="34"/>
        <item x="5"/>
        <item x="15"/>
        <item x="19"/>
        <item x="18"/>
        <item x="20"/>
        <item x="24"/>
        <item x="26"/>
        <item x="14"/>
        <item x="7"/>
        <item x="32"/>
        <item x="37"/>
        <item x="21"/>
        <item x="6"/>
        <item x="31"/>
        <item x="12"/>
        <item x="4"/>
        <item x="13"/>
        <item x="8"/>
        <item x="3"/>
        <item x="9"/>
        <item x="27"/>
        <item x="33"/>
        <item x="29"/>
        <item x="1"/>
        <item x="36"/>
        <item x="28"/>
        <item t="default"/>
      </items>
    </pivotField>
    <pivotField showAll="0"/>
    <pivotField showAll="0"/>
    <pivotField showAll="0"/>
    <pivotField showAll="0"/>
    <pivotField showAll="0"/>
    <pivotField dataField="1" showAll="0"/>
    <pivotField showAll="0"/>
    <pivotField showAll="0"/>
    <pivotField axis="axisRow" showAll="0">
      <items count="4">
        <item x="0"/>
        <item x="1"/>
        <item h="1" sd="0" x="2"/>
        <item t="default"/>
      </items>
    </pivotField>
    <pivotField axis="axisRow" showAll="0">
      <items count="49">
        <item x="27"/>
        <item x="35"/>
        <item x="29"/>
        <item x="30"/>
        <item x="10"/>
        <item x="11"/>
        <item x="14"/>
        <item x="15"/>
        <item x="12"/>
        <item x="40"/>
        <item x="39"/>
        <item x="18"/>
        <item x="31"/>
        <item x="16"/>
        <item x="43"/>
        <item x="47"/>
        <item x="34"/>
        <item x="17"/>
        <item x="24"/>
        <item x="46"/>
        <item x="33"/>
        <item x="36"/>
        <item x="0"/>
        <item x="9"/>
        <item x="1"/>
        <item x="2"/>
        <item x="3"/>
        <item x="4"/>
        <item x="5"/>
        <item x="6"/>
        <item x="7"/>
        <item x="45"/>
        <item x="19"/>
        <item x="25"/>
        <item x="38"/>
        <item x="28"/>
        <item x="42"/>
        <item x="23"/>
        <item x="8"/>
        <item x="37"/>
        <item x="32"/>
        <item x="13"/>
        <item x="26"/>
        <item x="20"/>
        <item x="21"/>
        <item x="44"/>
        <item x="22"/>
        <item x="41"/>
        <item t="default"/>
      </items>
    </pivotField>
    <pivotField axis="axisRow" showAll="0">
      <items count="126">
        <item x="94"/>
        <item x="124"/>
        <item x="112"/>
        <item x="36"/>
        <item x="37"/>
        <item x="68"/>
        <item x="65"/>
        <item x="66"/>
        <item x="67"/>
        <item x="2"/>
        <item x="4"/>
        <item x="5"/>
        <item x="72"/>
        <item x="110"/>
        <item x="46"/>
        <item x="15"/>
        <item x="3"/>
        <item x="0"/>
        <item x="122"/>
        <item x="77"/>
        <item x="76"/>
        <item x="69"/>
        <item x="38"/>
        <item x="39"/>
        <item x="61"/>
        <item x="62"/>
        <item x="1"/>
        <item x="60"/>
        <item x="23"/>
        <item x="50"/>
        <item x="32"/>
        <item x="29"/>
        <item x="30"/>
        <item x="31"/>
        <item x="25"/>
        <item x="26"/>
        <item x="28"/>
        <item x="27"/>
        <item x="51"/>
        <item x="80"/>
        <item x="98"/>
        <item x="63"/>
        <item x="78"/>
        <item x="79"/>
        <item x="73"/>
        <item x="19"/>
        <item x="21"/>
        <item x="42"/>
        <item x="35"/>
        <item x="99"/>
        <item x="74"/>
        <item x="43"/>
        <item x="44"/>
        <item x="108"/>
        <item x="6"/>
        <item x="7"/>
        <item x="8"/>
        <item x="9"/>
        <item x="113"/>
        <item x="16"/>
        <item x="10"/>
        <item x="11"/>
        <item x="100"/>
        <item x="120"/>
        <item x="40"/>
        <item x="41"/>
        <item x="53"/>
        <item x="115"/>
        <item x="85"/>
        <item x="82"/>
        <item x="83"/>
        <item x="56"/>
        <item x="22"/>
        <item x="34"/>
        <item x="58"/>
        <item x="49"/>
        <item x="48"/>
        <item x="52"/>
        <item x="88"/>
        <item x="17"/>
        <item x="12"/>
        <item x="13"/>
        <item x="54"/>
        <item x="71"/>
        <item x="20"/>
        <item x="14"/>
        <item x="84"/>
        <item x="87"/>
        <item x="89"/>
        <item x="90"/>
        <item x="45"/>
        <item x="111"/>
        <item x="119"/>
        <item x="55"/>
        <item x="47"/>
        <item x="123"/>
        <item x="114"/>
        <item x="121"/>
        <item x="102"/>
        <item x="103"/>
        <item x="24"/>
        <item x="18"/>
        <item x="106"/>
        <item x="109"/>
        <item x="96"/>
        <item x="91"/>
        <item x="92"/>
        <item x="117"/>
        <item x="57"/>
        <item x="101"/>
        <item x="118"/>
        <item x="95"/>
        <item x="93"/>
        <item x="116"/>
        <item x="33"/>
        <item x="81"/>
        <item x="59"/>
        <item x="105"/>
        <item x="86"/>
        <item x="104"/>
        <item x="97"/>
        <item x="75"/>
        <item x="107"/>
        <item x="64"/>
        <item x="70"/>
        <item t="default"/>
      </items>
    </pivotField>
    <pivotField showAll="0"/>
    <pivotField showAll="0"/>
    <pivotField showAll="0"/>
    <pivotField showAll="0"/>
  </pivotFields>
  <rowFields count="3">
    <field x="14"/>
    <field x="15"/>
    <field x="16"/>
  </rowFields>
  <rowItems count="235">
    <i>
      <x/>
    </i>
    <i r="1">
      <x/>
    </i>
    <i r="2">
      <x v="82"/>
    </i>
    <i r="2">
      <x v="109"/>
    </i>
    <i r="2">
      <x v="110"/>
    </i>
    <i r="1">
      <x v="1"/>
    </i>
    <i r="2">
      <x v="40"/>
    </i>
    <i r="2">
      <x v="49"/>
    </i>
    <i r="2">
      <x v="62"/>
    </i>
    <i r="2">
      <x v="78"/>
    </i>
    <i r="2">
      <x v="88"/>
    </i>
    <i r="2">
      <x v="89"/>
    </i>
    <i r="2">
      <x v="121"/>
    </i>
    <i r="1">
      <x v="2"/>
    </i>
    <i r="2">
      <x v="74"/>
    </i>
    <i r="1">
      <x v="3"/>
    </i>
    <i r="2">
      <x v="27"/>
    </i>
    <i r="2">
      <x v="41"/>
    </i>
    <i r="2">
      <x v="116"/>
    </i>
    <i r="2">
      <x v="123"/>
    </i>
    <i r="1">
      <x v="4"/>
    </i>
    <i r="2">
      <x v="24"/>
    </i>
    <i r="2">
      <x v="25"/>
    </i>
    <i r="2">
      <x v="26"/>
    </i>
    <i r="2">
      <x v="28"/>
    </i>
    <i r="2">
      <x v="124"/>
    </i>
    <i r="1">
      <x v="6"/>
    </i>
    <i r="2">
      <x v="10"/>
    </i>
    <i r="2">
      <x v="31"/>
    </i>
    <i r="2">
      <x v="34"/>
    </i>
    <i r="2">
      <x v="35"/>
    </i>
    <i r="2">
      <x v="37"/>
    </i>
    <i r="2">
      <x v="60"/>
    </i>
    <i r="2">
      <x v="80"/>
    </i>
    <i r="1">
      <x v="7"/>
    </i>
    <i r="2">
      <x v="11"/>
    </i>
    <i r="2">
      <x v="32"/>
    </i>
    <i r="2">
      <x v="36"/>
    </i>
    <i r="2">
      <x v="61"/>
    </i>
    <i r="2">
      <x v="81"/>
    </i>
    <i r="1">
      <x v="8"/>
    </i>
    <i r="2">
      <x v="71"/>
    </i>
    <i r="2">
      <x v="93"/>
    </i>
    <i r="1">
      <x v="10"/>
    </i>
    <i r="2">
      <x v="86"/>
    </i>
    <i r="1">
      <x v="11"/>
    </i>
    <i r="2">
      <x v="64"/>
    </i>
    <i r="2">
      <x v="65"/>
    </i>
    <i r="1">
      <x v="13"/>
    </i>
    <i r="2">
      <x v="85"/>
    </i>
    <i r="1">
      <x v="15"/>
    </i>
    <i r="2">
      <x v="67"/>
    </i>
    <i r="2">
      <x v="96"/>
    </i>
    <i r="1">
      <x v="17"/>
    </i>
    <i r="2">
      <x v="48"/>
    </i>
    <i r="1">
      <x v="20"/>
    </i>
    <i r="2">
      <x/>
    </i>
    <i r="2">
      <x v="42"/>
    </i>
    <i r="2">
      <x v="105"/>
    </i>
    <i r="2">
      <x v="106"/>
    </i>
    <i r="2">
      <x v="107"/>
    </i>
    <i r="2">
      <x v="110"/>
    </i>
    <i r="2">
      <x v="112"/>
    </i>
    <i r="2">
      <x v="113"/>
    </i>
    <i r="2">
      <x v="124"/>
    </i>
    <i r="1">
      <x v="21"/>
    </i>
    <i r="2">
      <x v="2"/>
    </i>
    <i r="2">
      <x v="20"/>
    </i>
    <i r="2">
      <x v="53"/>
    </i>
    <i r="2">
      <x v="58"/>
    </i>
    <i r="2">
      <x v="91"/>
    </i>
    <i r="1">
      <x v="22"/>
    </i>
    <i r="2">
      <x v="17"/>
    </i>
    <i r="2">
      <x v="22"/>
    </i>
    <i r="2">
      <x v="23"/>
    </i>
    <i r="2">
      <x v="70"/>
    </i>
    <i r="1">
      <x v="23"/>
    </i>
    <i r="2">
      <x v="3"/>
    </i>
    <i r="2">
      <x v="4"/>
    </i>
    <i r="2">
      <x v="17"/>
    </i>
    <i r="1">
      <x v="24"/>
    </i>
    <i r="2">
      <x v="17"/>
    </i>
    <i r="2">
      <x v="19"/>
    </i>
    <i r="2">
      <x v="22"/>
    </i>
    <i r="2">
      <x v="23"/>
    </i>
    <i r="1">
      <x v="25"/>
    </i>
    <i r="2">
      <x v="17"/>
    </i>
    <i r="2">
      <x v="22"/>
    </i>
    <i r="2">
      <x v="23"/>
    </i>
    <i r="2">
      <x v="84"/>
    </i>
    <i r="1">
      <x v="26"/>
    </i>
    <i r="2">
      <x v="17"/>
    </i>
    <i r="2">
      <x v="22"/>
    </i>
    <i r="2">
      <x v="23"/>
    </i>
    <i r="1">
      <x v="27"/>
    </i>
    <i r="2">
      <x v="17"/>
    </i>
    <i r="2">
      <x v="19"/>
    </i>
    <i r="2">
      <x v="22"/>
    </i>
    <i r="2">
      <x v="23"/>
    </i>
    <i r="2">
      <x v="54"/>
    </i>
    <i r="2">
      <x v="55"/>
    </i>
    <i r="2">
      <x v="56"/>
    </i>
    <i r="2">
      <x v="57"/>
    </i>
    <i r="2">
      <x v="84"/>
    </i>
    <i r="1">
      <x v="28"/>
    </i>
    <i r="2">
      <x v="17"/>
    </i>
    <i r="2">
      <x v="22"/>
    </i>
    <i r="2">
      <x v="23"/>
    </i>
    <i r="2">
      <x v="54"/>
    </i>
    <i r="2">
      <x v="55"/>
    </i>
    <i r="2">
      <x v="56"/>
    </i>
    <i r="2">
      <x v="57"/>
    </i>
    <i r="1">
      <x v="29"/>
    </i>
    <i r="2">
      <x v="17"/>
    </i>
    <i r="2">
      <x v="22"/>
    </i>
    <i r="2">
      <x v="23"/>
    </i>
    <i r="2">
      <x v="69"/>
    </i>
    <i r="2">
      <x v="84"/>
    </i>
    <i r="1">
      <x v="30"/>
    </i>
    <i r="2">
      <x v="17"/>
    </i>
    <i r="2">
      <x v="22"/>
    </i>
    <i r="2">
      <x v="23"/>
    </i>
    <i r="2">
      <x v="84"/>
    </i>
    <i r="1">
      <x v="31"/>
    </i>
    <i r="2">
      <x v="71"/>
    </i>
    <i r="1">
      <x v="33"/>
    </i>
    <i r="2">
      <x v="14"/>
    </i>
    <i r="2">
      <x v="29"/>
    </i>
    <i r="2">
      <x v="66"/>
    </i>
    <i r="2">
      <x v="75"/>
    </i>
    <i r="2">
      <x v="76"/>
    </i>
    <i r="2">
      <x v="77"/>
    </i>
    <i r="2">
      <x v="94"/>
    </i>
    <i r="1">
      <x v="37"/>
    </i>
    <i r="2">
      <x v="85"/>
    </i>
    <i r="1">
      <x v="40"/>
    </i>
    <i r="2">
      <x v="6"/>
    </i>
    <i r="2">
      <x v="7"/>
    </i>
    <i r="2">
      <x v="8"/>
    </i>
    <i r="1">
      <x v="41"/>
    </i>
    <i r="2">
      <x v="16"/>
    </i>
    <i r="2">
      <x v="45"/>
    </i>
    <i r="2">
      <x v="62"/>
    </i>
    <i r="2">
      <x v="73"/>
    </i>
    <i r="2">
      <x v="114"/>
    </i>
    <i r="2">
      <x v="115"/>
    </i>
    <i r="1">
      <x v="42"/>
    </i>
    <i r="2">
      <x v="38"/>
    </i>
    <i r="1">
      <x v="43"/>
    </i>
    <i r="2">
      <x v="100"/>
    </i>
    <i r="1">
      <x v="44"/>
    </i>
    <i r="2">
      <x v="100"/>
    </i>
    <i>
      <x v="1"/>
    </i>
    <i r="1">
      <x v="5"/>
    </i>
    <i r="2">
      <x v="9"/>
    </i>
    <i r="2">
      <x v="30"/>
    </i>
    <i r="2">
      <x v="33"/>
    </i>
    <i r="2">
      <x v="59"/>
    </i>
    <i r="2">
      <x v="79"/>
    </i>
    <i r="1">
      <x v="8"/>
    </i>
    <i r="2">
      <x v="16"/>
    </i>
    <i r="2">
      <x v="45"/>
    </i>
    <i r="2">
      <x v="46"/>
    </i>
    <i r="2">
      <x v="93"/>
    </i>
    <i r="1">
      <x v="9"/>
    </i>
    <i r="2">
      <x v="68"/>
    </i>
    <i r="1">
      <x v="11"/>
    </i>
    <i r="2">
      <x v="3"/>
    </i>
    <i r="2">
      <x v="4"/>
    </i>
    <i r="2">
      <x v="21"/>
    </i>
    <i r="2">
      <x v="22"/>
    </i>
    <i r="2">
      <x v="23"/>
    </i>
    <i r="2">
      <x v="54"/>
    </i>
    <i r="2">
      <x v="55"/>
    </i>
    <i r="2">
      <x v="56"/>
    </i>
    <i r="2">
      <x v="57"/>
    </i>
    <i r="2">
      <x v="64"/>
    </i>
    <i r="2">
      <x v="65"/>
    </i>
    <i r="1">
      <x v="12"/>
    </i>
    <i r="2">
      <x v="26"/>
    </i>
    <i r="1">
      <x v="13"/>
    </i>
    <i r="2">
      <x v="101"/>
    </i>
    <i r="1">
      <x v="14"/>
    </i>
    <i r="2">
      <x v="98"/>
    </i>
    <i r="2">
      <x v="99"/>
    </i>
    <i r="2">
      <x v="119"/>
    </i>
    <i r="1">
      <x v="17"/>
    </i>
    <i r="2">
      <x v="15"/>
    </i>
    <i r="2">
      <x v="48"/>
    </i>
    <i r="2">
      <x v="100"/>
    </i>
    <i r="1">
      <x v="18"/>
    </i>
    <i r="2">
      <x v="52"/>
    </i>
    <i r="1">
      <x v="20"/>
    </i>
    <i r="2">
      <x v="42"/>
    </i>
    <i r="2">
      <x v="121"/>
    </i>
    <i r="2">
      <x v="124"/>
    </i>
    <i r="1">
      <x v="32"/>
    </i>
    <i r="2">
      <x v="72"/>
    </i>
    <i r="1">
      <x v="35"/>
    </i>
    <i r="2">
      <x v="82"/>
    </i>
    <i r="1">
      <x v="36"/>
    </i>
    <i r="2">
      <x v="18"/>
    </i>
    <i r="2">
      <x v="87"/>
    </i>
    <i r="2">
      <x v="97"/>
    </i>
    <i r="1">
      <x v="37"/>
    </i>
    <i r="2">
      <x v="47"/>
    </i>
    <i r="2">
      <x v="51"/>
    </i>
    <i r="2">
      <x v="90"/>
    </i>
    <i r="1">
      <x v="38"/>
    </i>
    <i r="2">
      <x/>
    </i>
    <i r="2">
      <x v="17"/>
    </i>
    <i r="2">
      <x v="28"/>
    </i>
    <i r="2">
      <x v="78"/>
    </i>
    <i r="2">
      <x v="88"/>
    </i>
    <i r="2">
      <x v="104"/>
    </i>
    <i r="2">
      <x v="105"/>
    </i>
    <i r="2">
      <x v="107"/>
    </i>
    <i r="2">
      <x v="108"/>
    </i>
    <i r="2">
      <x v="110"/>
    </i>
    <i r="2">
      <x v="111"/>
    </i>
    <i r="2">
      <x v="112"/>
    </i>
    <i r="2">
      <x v="113"/>
    </i>
    <i r="1">
      <x v="39"/>
    </i>
    <i r="2">
      <x v="20"/>
    </i>
    <i r="2">
      <x v="63"/>
    </i>
    <i r="2">
      <x v="92"/>
    </i>
    <i r="1">
      <x v="40"/>
    </i>
    <i r="2">
      <x v="5"/>
    </i>
    <i r="1">
      <x v="46"/>
    </i>
    <i r="2">
      <x v="73"/>
    </i>
    <i r="2">
      <x v="114"/>
    </i>
    <i r="1">
      <x v="47"/>
    </i>
    <i r="2">
      <x v="115"/>
    </i>
    <i r="2">
      <x v="118"/>
    </i>
    <i t="grand">
      <x/>
    </i>
  </rowItems>
  <colFields count="1">
    <field x="5"/>
  </colFields>
  <colItems count="14">
    <i>
      <x v="4"/>
    </i>
    <i>
      <x v="5"/>
    </i>
    <i>
      <x v="6"/>
    </i>
    <i>
      <x v="9"/>
    </i>
    <i>
      <x v="13"/>
    </i>
    <i>
      <x v="14"/>
    </i>
    <i>
      <x v="28"/>
    </i>
    <i>
      <x v="29"/>
    </i>
    <i>
      <x v="30"/>
    </i>
    <i>
      <x v="31"/>
    </i>
    <i>
      <x v="32"/>
    </i>
    <i>
      <x v="33"/>
    </i>
    <i>
      <x v="34"/>
    </i>
    <i t="grand">
      <x/>
    </i>
  </colItems>
  <dataFields count="1">
    <dataField name="Sum of Network Drops2" fld="11" baseField="16" baseItem="49"/>
  </dataFields>
  <formats count="2">
    <format dxfId="107">
      <pivotArea dataOnly="0" labelOnly="1" fieldPosition="0">
        <references count="1">
          <reference field="5" count="13">
            <x v="4"/>
            <x v="5"/>
            <x v="6"/>
            <x v="9"/>
            <x v="13"/>
            <x v="14"/>
            <x v="28"/>
            <x v="29"/>
            <x v="30"/>
            <x v="31"/>
            <x v="32"/>
            <x v="33"/>
            <x v="34"/>
          </reference>
        </references>
      </pivotArea>
    </format>
    <format dxfId="106">
      <pivotArea dataOnly="0" labelOnly="1" grandCol="1" outline="0" fieldPosition="0"/>
    </format>
  </formats>
  <pivotTableStyleInfo name="PivotStyleLight16" showRowHeaders="1" showColHeaders="1" showRowStripes="0" showColStripes="0" showLastColumn="1"/>
  <filters count="1">
    <filter fld="5"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78C183B-5FC2-4E16-9806-58041BB7D71E}"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G23" firstHeaderRow="1" firstDataRow="2" firstDataCol="1" rowPageCount="2" colPageCount="1"/>
  <pivotFields count="21">
    <pivotField showAll="0"/>
    <pivotField showAll="0"/>
    <pivotField showAll="0"/>
    <pivotField showAll="0"/>
    <pivotField showAll="0"/>
    <pivotField axis="axisCol" showAll="0">
      <items count="42">
        <item x="0"/>
        <item x="25"/>
        <item h="1" x="30"/>
        <item x="39"/>
        <item h="1" x="35"/>
        <item h="1" x="2"/>
        <item h="1" x="23"/>
        <item x="17"/>
        <item h="1" x="11"/>
        <item h="1" x="22"/>
        <item h="1" x="16"/>
        <item h="1" x="38"/>
        <item h="1" x="10"/>
        <item h="1" x="34"/>
        <item h="1" x="5"/>
        <item h="1" x="15"/>
        <item h="1" x="19"/>
        <item h="1" x="18"/>
        <item h="1" x="20"/>
        <item h="1" x="24"/>
        <item h="1" x="26"/>
        <item h="1" x="14"/>
        <item x="7"/>
        <item h="1" x="32"/>
        <item h="1" x="37"/>
        <item h="1" x="21"/>
        <item h="1" x="6"/>
        <item h="1" x="31"/>
        <item h="1" x="12"/>
        <item h="1" x="4"/>
        <item h="1" x="13"/>
        <item h="1" x="8"/>
        <item h="1" x="3"/>
        <item h="1" x="9"/>
        <item h="1" x="27"/>
        <item h="1" x="33"/>
        <item h="1" x="29"/>
        <item h="1" x="1"/>
        <item h="1" x="36"/>
        <item h="1" x="28"/>
        <item h="1" x="40"/>
        <item t="default"/>
      </items>
    </pivotField>
    <pivotField showAll="0">
      <items count="42">
        <item x="39"/>
        <item x="30"/>
        <item x="32"/>
        <item x="10"/>
        <item x="31"/>
        <item x="25"/>
        <item x="0"/>
        <item x="22"/>
        <item x="28"/>
        <item x="1"/>
        <item x="29"/>
        <item x="33"/>
        <item x="36"/>
        <item x="23"/>
        <item x="16"/>
        <item x="38"/>
        <item x="17"/>
        <item x="11"/>
        <item x="2"/>
        <item x="34"/>
        <item x="14"/>
        <item x="26"/>
        <item x="37"/>
        <item x="18"/>
        <item x="19"/>
        <item x="20"/>
        <item x="7"/>
        <item x="21"/>
        <item x="5"/>
        <item x="15"/>
        <item x="24"/>
        <item x="6"/>
        <item x="35"/>
        <item x="13"/>
        <item x="8"/>
        <item x="3"/>
        <item x="12"/>
        <item x="9"/>
        <item x="4"/>
        <item x="27"/>
        <item x="40"/>
        <item t="default"/>
      </items>
    </pivotField>
    <pivotField showAll="0"/>
    <pivotField showAll="0"/>
    <pivotField showAll="0"/>
    <pivotField dataField="1" showAll="0"/>
    <pivotField showAll="0"/>
    <pivotField showAll="0"/>
    <pivotField axis="axisPage" showAll="0">
      <items count="4">
        <item x="1"/>
        <item x="0"/>
        <item x="2"/>
        <item t="default"/>
      </items>
    </pivotField>
    <pivotField axis="axisPage" showAll="0">
      <items count="5">
        <item x="0"/>
        <item x="1"/>
        <item x="2"/>
        <item x="3"/>
        <item t="default"/>
      </items>
    </pivotField>
    <pivotField showAll="0"/>
    <pivotField showAll="0"/>
    <pivotField axis="axisRow" showAll="0">
      <items count="40">
        <item x="0"/>
        <item x="2"/>
        <item x="3"/>
        <item x="4"/>
        <item x="1"/>
        <item x="5"/>
        <item x="6"/>
        <item x="7"/>
        <item x="8"/>
        <item x="9"/>
        <item x="10"/>
        <item x="11"/>
        <item x="12"/>
        <item x="13"/>
        <item x="14"/>
        <item x="15"/>
        <item x="16"/>
        <item x="17"/>
        <item x="18"/>
        <item x="19"/>
        <item x="22"/>
        <item x="23"/>
        <item x="37"/>
        <item x="24"/>
        <item x="34"/>
        <item x="25"/>
        <item x="26"/>
        <item x="27"/>
        <item x="28"/>
        <item x="35"/>
        <item x="29"/>
        <item x="30"/>
        <item x="31"/>
        <item x="36"/>
        <item x="32"/>
        <item x="33"/>
        <item x="20"/>
        <item x="21"/>
        <item x="38"/>
        <item t="default"/>
      </items>
    </pivotField>
    <pivotField showAll="0"/>
    <pivotField showAll="0"/>
    <pivotField showAll="0"/>
  </pivotFields>
  <rowFields count="1">
    <field x="17"/>
  </rowFields>
  <rowItems count="18">
    <i>
      <x/>
    </i>
    <i>
      <x v="3"/>
    </i>
    <i>
      <x v="4"/>
    </i>
    <i>
      <x v="5"/>
    </i>
    <i>
      <x v="6"/>
    </i>
    <i>
      <x v="7"/>
    </i>
    <i>
      <x v="8"/>
    </i>
    <i>
      <x v="9"/>
    </i>
    <i>
      <x v="12"/>
    </i>
    <i>
      <x v="15"/>
    </i>
    <i>
      <x v="16"/>
    </i>
    <i>
      <x v="19"/>
    </i>
    <i>
      <x v="23"/>
    </i>
    <i>
      <x v="25"/>
    </i>
    <i>
      <x v="30"/>
    </i>
    <i>
      <x v="33"/>
    </i>
    <i>
      <x v="34"/>
    </i>
    <i t="grand">
      <x/>
    </i>
  </rowItems>
  <colFields count="1">
    <field x="5"/>
  </colFields>
  <colItems count="6">
    <i>
      <x/>
    </i>
    <i>
      <x v="1"/>
    </i>
    <i>
      <x v="3"/>
    </i>
    <i>
      <x v="7"/>
    </i>
    <i>
      <x v="22"/>
    </i>
    <i t="grand">
      <x/>
    </i>
  </colItems>
  <pageFields count="2">
    <pageField fld="14" item="0" hier="-1"/>
    <pageField fld="13" item="1" hier="-1"/>
  </pageFields>
  <dataFields count="1">
    <dataField name="Sum of New Quantity"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56C8F6C-D998-445F-989C-03A682EDFD9A}" name="PivotTable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D19" firstHeaderRow="1" firstDataRow="2" firstDataCol="1" rowPageCount="2" colPageCount="1"/>
  <pivotFields count="21">
    <pivotField showAll="0"/>
    <pivotField showAll="0"/>
    <pivotField axis="axisPage" showAll="0">
      <items count="11">
        <item x="8"/>
        <item x="3"/>
        <item x="5"/>
        <item x="4"/>
        <item x="6"/>
        <item x="1"/>
        <item x="0"/>
        <item x="9"/>
        <item x="2"/>
        <item x="7"/>
        <item t="default"/>
      </items>
    </pivotField>
    <pivotField showAll="0"/>
    <pivotField showAll="0"/>
    <pivotField axis="axisCol" showAll="0">
      <items count="41">
        <item x="0"/>
        <item x="25"/>
        <item x="30"/>
        <item x="39"/>
        <item x="35"/>
        <item x="2"/>
        <item x="23"/>
        <item x="17"/>
        <item x="11"/>
        <item x="22"/>
        <item x="16"/>
        <item x="38"/>
        <item x="10"/>
        <item x="34"/>
        <item x="5"/>
        <item x="15"/>
        <item x="19"/>
        <item x="18"/>
        <item x="20"/>
        <item x="24"/>
        <item x="26"/>
        <item x="14"/>
        <item x="7"/>
        <item x="32"/>
        <item x="37"/>
        <item x="21"/>
        <item x="6"/>
        <item x="31"/>
        <item x="12"/>
        <item x="4"/>
        <item x="13"/>
        <item x="8"/>
        <item x="3"/>
        <item x="9"/>
        <item x="27"/>
        <item x="33"/>
        <item x="29"/>
        <item x="1"/>
        <item x="36"/>
        <item x="28"/>
        <item t="default"/>
      </items>
    </pivotField>
    <pivotField showAll="0">
      <items count="41">
        <item x="39"/>
        <item x="30"/>
        <item x="32"/>
        <item x="10"/>
        <item x="31"/>
        <item x="25"/>
        <item x="0"/>
        <item x="22"/>
        <item x="28"/>
        <item x="1"/>
        <item x="29"/>
        <item x="33"/>
        <item x="36"/>
        <item x="23"/>
        <item x="16"/>
        <item x="38"/>
        <item x="17"/>
        <item x="11"/>
        <item x="2"/>
        <item x="34"/>
        <item x="14"/>
        <item x="26"/>
        <item x="37"/>
        <item x="18"/>
        <item x="19"/>
        <item x="20"/>
        <item x="7"/>
        <item x="21"/>
        <item x="5"/>
        <item x="15"/>
        <item x="24"/>
        <item x="6"/>
        <item x="35"/>
        <item x="13"/>
        <item x="8"/>
        <item x="3"/>
        <item x="12"/>
        <item x="9"/>
        <item x="4"/>
        <item x="27"/>
        <item t="default"/>
      </items>
    </pivotField>
    <pivotField showAll="0"/>
    <pivotField showAll="0"/>
    <pivotField showAll="0"/>
    <pivotField dataField="1" showAll="0"/>
    <pivotField showAll="0"/>
    <pivotField showAll="0"/>
    <pivotField showAll="0"/>
    <pivotField axis="axisPage" showAll="0">
      <items count="4">
        <item x="0"/>
        <item x="1"/>
        <item x="2"/>
        <item t="default"/>
      </items>
    </pivotField>
    <pivotField showAll="0"/>
    <pivotField showAll="0"/>
    <pivotField axis="axisRow" showAll="0">
      <items count="39">
        <item x="0"/>
        <item x="2"/>
        <item x="3"/>
        <item x="4"/>
        <item x="1"/>
        <item x="5"/>
        <item x="6"/>
        <item x="7"/>
        <item x="8"/>
        <item x="9"/>
        <item x="10"/>
        <item x="11"/>
        <item x="12"/>
        <item x="13"/>
        <item x="14"/>
        <item x="15"/>
        <item x="16"/>
        <item x="17"/>
        <item x="18"/>
        <item x="19"/>
        <item x="22"/>
        <item x="23"/>
        <item x="37"/>
        <item x="24"/>
        <item x="34"/>
        <item x="25"/>
        <item x="26"/>
        <item x="27"/>
        <item x="28"/>
        <item x="35"/>
        <item x="29"/>
        <item x="30"/>
        <item x="31"/>
        <item x="36"/>
        <item x="32"/>
        <item x="33"/>
        <item x="20"/>
        <item x="21"/>
        <item t="default"/>
      </items>
    </pivotField>
    <pivotField showAll="0"/>
    <pivotField showAll="0"/>
    <pivotField showAll="0"/>
  </pivotFields>
  <rowFields count="1">
    <field x="17"/>
  </rowFields>
  <rowItems count="14">
    <i>
      <x v="2"/>
    </i>
    <i>
      <x v="3"/>
    </i>
    <i>
      <x v="10"/>
    </i>
    <i>
      <x v="12"/>
    </i>
    <i>
      <x v="17"/>
    </i>
    <i>
      <x v="18"/>
    </i>
    <i>
      <x v="25"/>
    </i>
    <i>
      <x v="27"/>
    </i>
    <i>
      <x v="29"/>
    </i>
    <i>
      <x v="30"/>
    </i>
    <i>
      <x v="31"/>
    </i>
    <i>
      <x v="33"/>
    </i>
    <i>
      <x v="34"/>
    </i>
    <i t="grand">
      <x/>
    </i>
  </rowItems>
  <colFields count="1">
    <field x="5"/>
  </colFields>
  <colItems count="3">
    <i>
      <x v="5"/>
    </i>
    <i>
      <x v="13"/>
    </i>
    <i t="grand">
      <x/>
    </i>
  </colItems>
  <pageFields count="2">
    <pageField fld="14" item="0" hier="-1"/>
    <pageField fld="2" item="8" hier="-1"/>
  </pageFields>
  <dataFields count="1">
    <dataField name="Sum of New Quantity"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E140B12-4467-48F4-93AC-25EC55A21152}"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4" firstHeaderRow="1" firstDataRow="1" firstDataCol="1" rowPageCount="1" colPageCount="1"/>
  <pivotFields count="13">
    <pivotField axis="axisPage" showAll="0">
      <items count="18">
        <item x="1"/>
        <item x="0"/>
        <item x="16"/>
        <item x="2"/>
        <item x="13"/>
        <item x="3"/>
        <item x="4"/>
        <item x="5"/>
        <item x="6"/>
        <item x="14"/>
        <item x="7"/>
        <item x="8"/>
        <item x="9"/>
        <item x="15"/>
        <item x="10"/>
        <item x="11"/>
        <item x="12"/>
        <item t="default"/>
      </items>
    </pivotField>
    <pivotField showAll="0"/>
    <pivotField axis="axisRow" showAll="0">
      <items count="4">
        <item x="0"/>
        <item h="1" x="1"/>
        <item h="1" x="2"/>
        <item t="default"/>
      </items>
    </pivotField>
    <pivotField axis="axisRow" showAll="0">
      <items count="23">
        <item x="16"/>
        <item x="2"/>
        <item x="12"/>
        <item x="11"/>
        <item x="17"/>
        <item x="21"/>
        <item x="1"/>
        <item x="20"/>
        <item x="0"/>
        <item x="3"/>
        <item x="10"/>
        <item x="5"/>
        <item x="6"/>
        <item x="9"/>
        <item x="19"/>
        <item x="7"/>
        <item x="14"/>
        <item x="15"/>
        <item x="4"/>
        <item x="8"/>
        <item x="18"/>
        <item x="13"/>
        <item t="default"/>
      </items>
    </pivotField>
    <pivotField axis="axisRow" showAll="0" measureFilter="1">
      <items count="58">
        <item x="24"/>
        <item x="56"/>
        <item x="45"/>
        <item x="2"/>
        <item x="42"/>
        <item x="54"/>
        <item x="43"/>
        <item x="7"/>
        <item x="6"/>
        <item x="10"/>
        <item x="28"/>
        <item x="8"/>
        <item x="9"/>
        <item x="3"/>
        <item x="29"/>
        <item x="4"/>
        <item x="40"/>
        <item x="30"/>
        <item x="52"/>
        <item x="47"/>
        <item x="15"/>
        <item x="12"/>
        <item x="13"/>
        <item x="39"/>
        <item x="18"/>
        <item x="1"/>
        <item x="14"/>
        <item x="17"/>
        <item x="19"/>
        <item x="20"/>
        <item x="44"/>
        <item x="51"/>
        <item x="55"/>
        <item x="46"/>
        <item x="53"/>
        <item x="32"/>
        <item x="35"/>
        <item x="33"/>
        <item x="37"/>
        <item x="41"/>
        <item x="26"/>
        <item x="21"/>
        <item x="22"/>
        <item x="49"/>
        <item x="31"/>
        <item x="50"/>
        <item x="25"/>
        <item x="23"/>
        <item x="48"/>
        <item x="11"/>
        <item x="36"/>
        <item x="16"/>
        <item x="34"/>
        <item x="27"/>
        <item x="5"/>
        <item x="38"/>
        <item x="0"/>
        <item t="default"/>
      </items>
    </pivotField>
    <pivotField showAll="0"/>
    <pivotField axis="axisRow" showAll="0">
      <items count="19">
        <item x="13"/>
        <item x="15"/>
        <item x="10"/>
        <item x="5"/>
        <item x="4"/>
        <item x="12"/>
        <item x="6"/>
        <item x="17"/>
        <item x="7"/>
        <item x="11"/>
        <item x="3"/>
        <item x="2"/>
        <item x="14"/>
        <item x="1"/>
        <item x="0"/>
        <item x="9"/>
        <item x="16"/>
        <item x="8"/>
        <item t="default"/>
      </items>
    </pivotField>
    <pivotField dataField="1" showAll="0">
      <items count="16">
        <item x="3"/>
        <item x="4"/>
        <item x="1"/>
        <item x="8"/>
        <item x="6"/>
        <item x="7"/>
        <item x="5"/>
        <item x="11"/>
        <item x="9"/>
        <item x="10"/>
        <item x="13"/>
        <item x="12"/>
        <item x="0"/>
        <item x="2"/>
        <item x="14"/>
        <item t="default"/>
      </items>
    </pivotField>
    <pivotField showAll="0"/>
    <pivotField showAll="0"/>
    <pivotField showAll="0"/>
    <pivotField showAll="0"/>
    <pivotField showAll="0"/>
  </pivotFields>
  <rowFields count="4">
    <field x="2"/>
    <field x="3"/>
    <field x="4"/>
    <field x="6"/>
  </rowFields>
  <rowItems count="21">
    <i>
      <x/>
    </i>
    <i r="1">
      <x v="5"/>
    </i>
    <i r="2">
      <x v="19"/>
    </i>
    <i r="3">
      <x v="14"/>
    </i>
    <i r="3">
      <x v="17"/>
    </i>
    <i r="1">
      <x v="8"/>
    </i>
    <i r="2">
      <x v="45"/>
    </i>
    <i r="3">
      <x v="2"/>
    </i>
    <i r="3">
      <x v="4"/>
    </i>
    <i r="3">
      <x v="7"/>
    </i>
    <i r="1">
      <x v="9"/>
    </i>
    <i r="2">
      <x v="2"/>
    </i>
    <i r="3">
      <x v="14"/>
    </i>
    <i r="3">
      <x v="17"/>
    </i>
    <i r="2">
      <x v="30"/>
    </i>
    <i r="3">
      <x v="4"/>
    </i>
    <i r="3">
      <x v="7"/>
    </i>
    <i r="3">
      <x v="11"/>
    </i>
    <i r="3">
      <x v="13"/>
    </i>
    <i r="3">
      <x v="17"/>
    </i>
    <i t="grand">
      <x/>
    </i>
  </rowItems>
  <colItems count="1">
    <i/>
  </colItems>
  <pageFields count="1">
    <pageField fld="0" item="13" hier="-1"/>
  </pageFields>
  <dataFields count="1">
    <dataField name="Sum of Quantity " fld="7" baseField="0" baseItem="0"/>
  </dataFields>
  <pivotTableStyleInfo name="PivotStyleLight16" showRowHeaders="1" showColHeaders="1" showRowStripes="0" showColStripes="0" showLastColumn="1"/>
  <filters count="1">
    <filter fld="4"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RichData</xxpvi:lastUpdateFeature>
      </xxpvi:pivotVersionInfo>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5E18C6A-CF8A-4B76-A505-315E56003F69}" name="PivotTable3"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D55" firstHeaderRow="1" firstDataRow="2" firstDataCol="1" rowPageCount="1" colPageCount="1"/>
  <pivotFields count="20">
    <pivotField showAll="0"/>
    <pivotField axis="axisRow" multipleItemSelectionAllowed="1" showAll="0">
      <items count="41">
        <item x="30"/>
        <item x="39"/>
        <item x="23"/>
        <item x="16"/>
        <item x="38"/>
        <item x="17"/>
        <item x="11"/>
        <item x="10"/>
        <item x="2"/>
        <item x="34"/>
        <item x="26"/>
        <item x="14"/>
        <item x="37"/>
        <item x="18"/>
        <item x="19"/>
        <item x="20"/>
        <item x="21"/>
        <item x="5"/>
        <item x="15"/>
        <item x="6"/>
        <item x="31"/>
        <item x="35"/>
        <item x="12"/>
        <item x="4"/>
        <item x="13"/>
        <item x="8"/>
        <item x="3"/>
        <item x="9"/>
        <item x="27"/>
        <item x="29"/>
        <item x="1"/>
        <item x="36"/>
        <item x="7"/>
        <item x="28"/>
        <item x="0"/>
        <item x="22"/>
        <item x="24"/>
        <item x="32"/>
        <item x="25"/>
        <item x="33"/>
        <item t="default"/>
      </items>
    </pivotField>
    <pivotField showAll="0"/>
    <pivotField showAll="0"/>
    <pivotField showAll="0"/>
    <pivotField showAll="0"/>
    <pivotField showAll="0"/>
    <pivotField showAll="0"/>
    <pivotField showAll="0"/>
    <pivotField showAll="0"/>
    <pivotField dataField="1" showAll="0"/>
    <pivotField showAll="0"/>
    <pivotField showAll="0"/>
    <pivotField axis="axisCol" showAll="0">
      <items count="3">
        <item x="1"/>
        <item x="0"/>
        <item t="default"/>
      </items>
    </pivotField>
    <pivotField axis="axisRow" multipleItemSelectionAllowed="1" showAll="0">
      <items count="6">
        <item h="1" x="1"/>
        <item x="0"/>
        <item h="1" x="2"/>
        <item m="1" x="3"/>
        <item h="1" m="1" x="4"/>
        <item t="default"/>
      </items>
    </pivotField>
    <pivotField axis="axisRow" showAll="0">
      <items count="49">
        <item x="27"/>
        <item x="35"/>
        <item x="29"/>
        <item x="30"/>
        <item x="10"/>
        <item x="11"/>
        <item x="14"/>
        <item x="15"/>
        <item x="12"/>
        <item x="40"/>
        <item x="39"/>
        <item x="18"/>
        <item x="31"/>
        <item x="16"/>
        <item x="43"/>
        <item x="47"/>
        <item x="34"/>
        <item x="17"/>
        <item x="24"/>
        <item x="46"/>
        <item x="33"/>
        <item x="36"/>
        <item x="0"/>
        <item x="9"/>
        <item x="1"/>
        <item x="2"/>
        <item x="3"/>
        <item x="4"/>
        <item x="5"/>
        <item x="6"/>
        <item x="7"/>
        <item x="45"/>
        <item x="19"/>
        <item x="25"/>
        <item x="38"/>
        <item x="28"/>
        <item x="42"/>
        <item x="23"/>
        <item x="8"/>
        <item x="37"/>
        <item x="32"/>
        <item x="13"/>
        <item x="26"/>
        <item x="20"/>
        <item x="21"/>
        <item x="44"/>
        <item x="22"/>
        <item x="41"/>
        <item t="default"/>
      </items>
    </pivotField>
    <pivotField axis="axisRow" showAll="0">
      <items count="128">
        <item x="94"/>
        <item x="124"/>
        <item x="112"/>
        <item x="36"/>
        <item x="37"/>
        <item x="68"/>
        <item x="65"/>
        <item x="66"/>
        <item x="67"/>
        <item x="2"/>
        <item x="4"/>
        <item x="5"/>
        <item x="72"/>
        <item x="110"/>
        <item x="46"/>
        <item x="15"/>
        <item x="3"/>
        <item x="0"/>
        <item x="122"/>
        <item x="77"/>
        <item x="76"/>
        <item x="69"/>
        <item x="38"/>
        <item x="39"/>
        <item x="61"/>
        <item x="62"/>
        <item x="1"/>
        <item x="60"/>
        <item x="23"/>
        <item x="50"/>
        <item x="32"/>
        <item x="29"/>
        <item x="30"/>
        <item x="31"/>
        <item x="25"/>
        <item x="26"/>
        <item x="28"/>
        <item x="27"/>
        <item x="51"/>
        <item x="80"/>
        <item x="98"/>
        <item x="63"/>
        <item x="78"/>
        <item x="79"/>
        <item x="73"/>
        <item x="19"/>
        <item x="21"/>
        <item x="42"/>
        <item x="35"/>
        <item x="99"/>
        <item x="74"/>
        <item x="43"/>
        <item x="44"/>
        <item x="108"/>
        <item x="6"/>
        <item x="7"/>
        <item x="8"/>
        <item x="9"/>
        <item x="113"/>
        <item x="16"/>
        <item m="1" x="125"/>
        <item m="1" x="126"/>
        <item x="100"/>
        <item x="120"/>
        <item x="40"/>
        <item x="41"/>
        <item x="53"/>
        <item x="115"/>
        <item x="85"/>
        <item x="82"/>
        <item x="83"/>
        <item x="56"/>
        <item x="22"/>
        <item x="34"/>
        <item x="58"/>
        <item x="49"/>
        <item x="48"/>
        <item x="52"/>
        <item x="88"/>
        <item x="17"/>
        <item x="12"/>
        <item x="13"/>
        <item x="54"/>
        <item x="71"/>
        <item x="20"/>
        <item x="14"/>
        <item x="84"/>
        <item x="87"/>
        <item x="89"/>
        <item x="90"/>
        <item x="45"/>
        <item x="111"/>
        <item x="119"/>
        <item x="55"/>
        <item x="47"/>
        <item x="123"/>
        <item x="114"/>
        <item x="121"/>
        <item x="102"/>
        <item x="103"/>
        <item x="24"/>
        <item x="18"/>
        <item x="106"/>
        <item x="109"/>
        <item x="96"/>
        <item x="91"/>
        <item x="92"/>
        <item x="117"/>
        <item x="57"/>
        <item x="101"/>
        <item x="118"/>
        <item x="95"/>
        <item x="93"/>
        <item x="116"/>
        <item x="33"/>
        <item x="81"/>
        <item x="59"/>
        <item x="105"/>
        <item x="86"/>
        <item x="104"/>
        <item x="97"/>
        <item x="75"/>
        <item x="107"/>
        <item x="64"/>
        <item x="70"/>
        <item x="10"/>
        <item x="11"/>
        <item t="default"/>
      </items>
    </pivotField>
    <pivotField axis="axisPage" multipleItemSelectionAllowed="1" showAll="0">
      <items count="39">
        <item h="1" x="2"/>
        <item h="1" x="4"/>
        <item h="1" x="5"/>
        <item h="1" x="7"/>
        <item h="1" x="8"/>
        <item h="1" x="9"/>
        <item h="1" x="10"/>
        <item h="1" x="11"/>
        <item x="12"/>
        <item h="1" x="13"/>
        <item h="1" x="14"/>
        <item h="1" x="15"/>
        <item h="1" x="16"/>
        <item h="1" x="17"/>
        <item h="1" x="18"/>
        <item h="1" x="19"/>
        <item h="1" x="0"/>
        <item h="1" x="6"/>
        <item h="1" x="3"/>
        <item h="1" x="20"/>
        <item h="1" x="21"/>
        <item h="1" x="1"/>
        <item h="1" x="22"/>
        <item h="1" x="23"/>
        <item h="1" x="24"/>
        <item h="1" x="25"/>
        <item h="1" x="26"/>
        <item h="1" x="27"/>
        <item h="1" x="28"/>
        <item h="1" x="29"/>
        <item h="1" x="30"/>
        <item h="1" x="31"/>
        <item h="1" x="32"/>
        <item h="1" x="33"/>
        <item h="1" x="34"/>
        <item h="1" x="35"/>
        <item h="1" x="36"/>
        <item h="1" x="37"/>
        <item t="default"/>
      </items>
    </pivotField>
    <pivotField showAll="0"/>
    <pivotField showAll="0"/>
  </pivotFields>
  <rowFields count="4">
    <field x="14"/>
    <field x="15"/>
    <field x="16"/>
    <field x="1"/>
  </rowFields>
  <rowItems count="49">
    <i>
      <x v="1"/>
    </i>
    <i r="1">
      <x v="33"/>
    </i>
    <i r="2">
      <x v="14"/>
    </i>
    <i r="3">
      <x v="10"/>
    </i>
    <i r="3">
      <x v="17"/>
    </i>
    <i r="3">
      <x v="19"/>
    </i>
    <i r="3">
      <x v="25"/>
    </i>
    <i r="3">
      <x v="37"/>
    </i>
    <i r="3">
      <x v="39"/>
    </i>
    <i r="2">
      <x v="29"/>
    </i>
    <i r="3">
      <x v="8"/>
    </i>
    <i r="3">
      <x v="17"/>
    </i>
    <i r="3">
      <x v="19"/>
    </i>
    <i r="3">
      <x v="34"/>
    </i>
    <i r="3">
      <x v="39"/>
    </i>
    <i r="2">
      <x v="66"/>
    </i>
    <i r="3">
      <x v="17"/>
    </i>
    <i r="3">
      <x v="19"/>
    </i>
    <i r="3">
      <x v="39"/>
    </i>
    <i r="2">
      <x v="75"/>
    </i>
    <i r="3">
      <x v="17"/>
    </i>
    <i r="3">
      <x v="19"/>
    </i>
    <i r="3">
      <x v="34"/>
    </i>
    <i r="3">
      <x v="39"/>
    </i>
    <i r="2">
      <x v="76"/>
    </i>
    <i r="3">
      <x v="9"/>
    </i>
    <i r="3">
      <x v="17"/>
    </i>
    <i r="3">
      <x v="19"/>
    </i>
    <i r="3">
      <x v="34"/>
    </i>
    <i r="3">
      <x v="39"/>
    </i>
    <i r="2">
      <x v="77"/>
    </i>
    <i r="3">
      <x v="6"/>
    </i>
    <i r="3">
      <x v="16"/>
    </i>
    <i r="3">
      <x v="39"/>
    </i>
    <i r="2">
      <x v="94"/>
    </i>
    <i r="3">
      <x v="8"/>
    </i>
    <i r="3">
      <x v="14"/>
    </i>
    <i r="3">
      <x v="17"/>
    </i>
    <i r="3">
      <x v="19"/>
    </i>
    <i r="3">
      <x v="21"/>
    </i>
    <i r="3">
      <x v="34"/>
    </i>
    <i r="3">
      <x v="39"/>
    </i>
    <i r="1">
      <x v="42"/>
    </i>
    <i r="2">
      <x v="38"/>
    </i>
    <i r="3">
      <x v="3"/>
    </i>
    <i r="3">
      <x v="18"/>
    </i>
    <i r="3">
      <x v="19"/>
    </i>
    <i r="3">
      <x v="39"/>
    </i>
    <i t="grand">
      <x/>
    </i>
  </rowItems>
  <colFields count="1">
    <field x="13"/>
  </colFields>
  <colItems count="3">
    <i>
      <x/>
    </i>
    <i>
      <x v="1"/>
    </i>
    <i t="grand">
      <x/>
    </i>
  </colItems>
  <pageFields count="1">
    <pageField fld="17" hier="-1"/>
  </pageFields>
  <dataFields count="1">
    <dataField name="Sum of New Quantity"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63C42BF-BABC-4670-9988-E189EF0608CC}" name="PivotTable2" cacheId="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K7:N49" firstHeaderRow="1" firstDataRow="2" firstDataCol="1" rowPageCount="1" colPageCount="1"/>
  <pivotFields count="20">
    <pivotField compact="0" outline="0" showAll="0" insertBlankRow="1">
      <extLst>
        <ext xmlns:x14="http://schemas.microsoft.com/office/spreadsheetml/2009/9/main" uri="{2946ED86-A175-432a-8AC1-64E0C546D7DE}">
          <x14:pivotField fillDownLabels="1"/>
        </ext>
      </extLst>
    </pivotField>
    <pivotField axis="axisRow" compact="0" outline="0" showAll="0" insertBlankRow="1" sortType="descending">
      <items count="72">
        <item m="1" x="40"/>
        <item m="1" x="60"/>
        <item x="28"/>
        <item x="36"/>
        <item x="1"/>
        <item x="29"/>
        <item m="1" x="46"/>
        <item x="33"/>
        <item m="1" x="55"/>
        <item sd="0" x="27"/>
        <item m="1" x="49"/>
        <item m="1" x="47"/>
        <item x="9"/>
        <item sd="0" m="1" x="41"/>
        <item sd="0" x="3"/>
        <item sd="0" x="8"/>
        <item sd="0" x="13"/>
        <item x="4"/>
        <item sd="0" x="12"/>
        <item m="1" x="44"/>
        <item sd="0" x="35"/>
        <item x="31"/>
        <item m="1" x="52"/>
        <item m="1" x="59"/>
        <item m="1" x="66"/>
        <item x="6"/>
        <item m="1" x="48"/>
        <item x="24"/>
        <item m="1" x="45"/>
        <item x="15"/>
        <item x="5"/>
        <item m="1" x="70"/>
        <item x="21"/>
        <item m="1" x="53"/>
        <item x="7"/>
        <item m="1" x="43"/>
        <item x="20"/>
        <item x="19"/>
        <item x="18"/>
        <item sd="0" x="37"/>
        <item m="1" x="50"/>
        <item m="1" x="42"/>
        <item m="1" x="65"/>
        <item sd="0" m="1" x="68"/>
        <item sd="0" m="1" x="67"/>
        <item x="14"/>
        <item m="1" x="64"/>
        <item m="1" x="63"/>
        <item x="26"/>
        <item x="34"/>
        <item m="1" x="56"/>
        <item x="2"/>
        <item x="10"/>
        <item x="11"/>
        <item m="1" x="58"/>
        <item x="17"/>
        <item m="1" x="62"/>
        <item m="1" x="57"/>
        <item m="1" x="61"/>
        <item x="38"/>
        <item x="16"/>
        <item x="23"/>
        <item x="22"/>
        <item m="1" x="69"/>
        <item m="1" x="51"/>
        <item x="39"/>
        <item x="32"/>
        <item x="30"/>
        <item x="25"/>
        <item x="0"/>
        <item m="1" x="54"/>
        <item t="default"/>
      </items>
      <extLst>
        <ext xmlns:x14="http://schemas.microsoft.com/office/spreadsheetml/2009/9/main" uri="{2946ED86-A175-432a-8AC1-64E0C546D7DE}">
          <x14:pivotField fillDownLabels="1"/>
        </ext>
      </extLst>
    </pivotField>
    <pivotField compact="0" outline="0" multipleItemSelectionAllowed="1" showAll="0" insertBlankRow="1">
      <extLst>
        <ext xmlns:x14="http://schemas.microsoft.com/office/spreadsheetml/2009/9/main" uri="{2946ED86-A175-432a-8AC1-64E0C546D7DE}">
          <x14:pivotField fillDownLabels="1"/>
        </ext>
      </extLst>
    </pivotField>
    <pivotField compact="0" outline="0" showAll="0" insertBlankRow="1">
      <extLst>
        <ext xmlns:x14="http://schemas.microsoft.com/office/spreadsheetml/2009/9/main" uri="{2946ED86-A175-432a-8AC1-64E0C546D7DE}">
          <x14:pivotField fillDownLabels="1"/>
        </ext>
      </extLst>
    </pivotField>
    <pivotField compact="0" outline="0" showAll="0" insertBlankRow="1">
      <extLst>
        <ext xmlns:x14="http://schemas.microsoft.com/office/spreadsheetml/2009/9/main" uri="{2946ED86-A175-432a-8AC1-64E0C546D7DE}">
          <x14:pivotField fillDownLabels="1"/>
        </ext>
      </extLst>
    </pivotField>
    <pivotField compact="0" outline="0" showAll="0" insertBlankRow="1" sortType="descending">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showAll="0" insertBlankRow="1">
      <extLst>
        <ext xmlns:x14="http://schemas.microsoft.com/office/spreadsheetml/2009/9/main" uri="{2946ED86-A175-432a-8AC1-64E0C546D7DE}">
          <x14:pivotField fillDownLabels="1"/>
        </ext>
      </extLst>
    </pivotField>
    <pivotField compact="0" outline="0" showAll="0" insertBlankRow="1">
      <extLst>
        <ext xmlns:x14="http://schemas.microsoft.com/office/spreadsheetml/2009/9/main" uri="{2946ED86-A175-432a-8AC1-64E0C546D7DE}">
          <x14:pivotField fillDownLabels="1"/>
        </ext>
      </extLst>
    </pivotField>
    <pivotField compact="0" outline="0" showAll="0" insertBlankRow="1">
      <extLst>
        <ext xmlns:x14="http://schemas.microsoft.com/office/spreadsheetml/2009/9/main" uri="{2946ED86-A175-432a-8AC1-64E0C546D7DE}">
          <x14:pivotField fillDownLabels="1"/>
        </ext>
      </extLst>
    </pivotField>
    <pivotField compact="0" outline="0" showAll="0" insertBlankRow="1">
      <extLst>
        <ext xmlns:x14="http://schemas.microsoft.com/office/spreadsheetml/2009/9/main" uri="{2946ED86-A175-432a-8AC1-64E0C546D7DE}">
          <x14:pivotField fillDownLabels="1"/>
        </ext>
      </extLst>
    </pivotField>
    <pivotField dataField="1" compact="0" outline="0" showAll="0" insertBlankRow="1">
      <extLst>
        <ext xmlns:x14="http://schemas.microsoft.com/office/spreadsheetml/2009/9/main" uri="{2946ED86-A175-432a-8AC1-64E0C546D7DE}">
          <x14:pivotField fillDownLabels="1"/>
        </ext>
      </extLst>
    </pivotField>
    <pivotField compact="0" outline="0" showAll="0" insertBlankRow="1">
      <extLst>
        <ext xmlns:x14="http://schemas.microsoft.com/office/spreadsheetml/2009/9/main" uri="{2946ED86-A175-432a-8AC1-64E0C546D7DE}">
          <x14:pivotField fillDownLabels="1"/>
        </ext>
      </extLst>
    </pivotField>
    <pivotField compact="0" outline="0" showAll="0" insertBlankRow="1">
      <extLst>
        <ext xmlns:x14="http://schemas.microsoft.com/office/spreadsheetml/2009/9/main" uri="{2946ED86-A175-432a-8AC1-64E0C546D7DE}">
          <x14:pivotField fillDownLabels="1"/>
        </ext>
      </extLst>
    </pivotField>
    <pivotField axis="axisCol" compact="0" outline="0" multipleItemSelectionAllowed="1" showAll="0" insertBlankRow="1">
      <items count="5">
        <item x="1"/>
        <item x="0"/>
        <item m="1" x="3"/>
        <item m="1" x="2"/>
        <item t="default"/>
      </items>
      <extLst>
        <ext xmlns:x14="http://schemas.microsoft.com/office/spreadsheetml/2009/9/main" uri="{2946ED86-A175-432a-8AC1-64E0C546D7DE}">
          <x14:pivotField fillDownLabels="1"/>
        </ext>
      </extLst>
    </pivotField>
    <pivotField axis="axisPage" compact="0" outline="0" multipleItemSelectionAllowed="1" showAll="0" insertBlankRow="1" sortType="descending">
      <items count="20">
        <item sd="0" m="1" x="16"/>
        <item m="1" x="17"/>
        <item x="1"/>
        <item m="1" x="18"/>
        <item x="0"/>
        <item m="1" x="15"/>
        <item h="1" m="1" x="3"/>
        <item h="1" m="1" x="4"/>
        <item h="1" m="1" x="5"/>
        <item h="1" m="1" x="6"/>
        <item h="1" m="1" x="7"/>
        <item h="1" m="1" x="8"/>
        <item h="1" m="1" x="9"/>
        <item h="1" m="1" x="10"/>
        <item h="1" m="1" x="11"/>
        <item h="1" m="1" x="12"/>
        <item h="1" m="1" x="13"/>
        <item h="1" m="1" x="14"/>
        <item h="1" x="2"/>
        <item t="default"/>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multipleItemSelectionAllowed="1" showAll="0" insertBlankRow="1">
      <extLst>
        <ext xmlns:x14="http://schemas.microsoft.com/office/spreadsheetml/2009/9/main" uri="{2946ED86-A175-432a-8AC1-64E0C546D7DE}">
          <x14:pivotField fillDownLabels="1"/>
        </ext>
      </extLst>
    </pivotField>
    <pivotField compact="0" outline="0" showAll="0" insertBlankRow="1">
      <extLst>
        <ext xmlns:x14="http://schemas.microsoft.com/office/spreadsheetml/2009/9/main" uri="{2946ED86-A175-432a-8AC1-64E0C546D7DE}">
          <x14:pivotField fillDownLabels="1"/>
        </ext>
      </extLst>
    </pivotField>
    <pivotField compact="0" outline="0" multipleItemSelectionAllowed="1" showAll="0" insertBlankRow="1">
      <extLst>
        <ext xmlns:x14="http://schemas.microsoft.com/office/spreadsheetml/2009/9/main" uri="{2946ED86-A175-432a-8AC1-64E0C546D7DE}">
          <x14:pivotField fillDownLabels="1"/>
        </ext>
      </extLst>
    </pivotField>
    <pivotField compact="0" outline="0" showAll="0" insertBlankRow="1">
      <extLst>
        <ext xmlns:x14="http://schemas.microsoft.com/office/spreadsheetml/2009/9/main" uri="{2946ED86-A175-432a-8AC1-64E0C546D7DE}">
          <x14:pivotField fillDownLabels="1"/>
        </ext>
      </extLst>
    </pivotField>
    <pivotField compact="0" outline="0" showAll="0" insertBlankRow="1">
      <extLst>
        <ext xmlns:x14="http://schemas.microsoft.com/office/spreadsheetml/2009/9/main" uri="{2946ED86-A175-432a-8AC1-64E0C546D7DE}">
          <x14:pivotField fillDownLabels="1"/>
        </ext>
      </extLst>
    </pivotField>
  </pivotFields>
  <rowFields count="1">
    <field x="1"/>
  </rowFields>
  <rowItems count="41">
    <i>
      <x v="2"/>
    </i>
    <i>
      <x v="3"/>
    </i>
    <i>
      <x v="4"/>
    </i>
    <i>
      <x v="5"/>
    </i>
    <i>
      <x v="7"/>
    </i>
    <i>
      <x v="9"/>
    </i>
    <i>
      <x v="12"/>
    </i>
    <i>
      <x v="14"/>
    </i>
    <i>
      <x v="15"/>
    </i>
    <i>
      <x v="16"/>
    </i>
    <i>
      <x v="17"/>
    </i>
    <i>
      <x v="18"/>
    </i>
    <i>
      <x v="20"/>
    </i>
    <i>
      <x v="21"/>
    </i>
    <i>
      <x v="25"/>
    </i>
    <i>
      <x v="27"/>
    </i>
    <i>
      <x v="29"/>
    </i>
    <i>
      <x v="30"/>
    </i>
    <i>
      <x v="32"/>
    </i>
    <i>
      <x v="34"/>
    </i>
    <i>
      <x v="36"/>
    </i>
    <i>
      <x v="37"/>
    </i>
    <i>
      <x v="38"/>
    </i>
    <i>
      <x v="39"/>
    </i>
    <i>
      <x v="45"/>
    </i>
    <i>
      <x v="48"/>
    </i>
    <i>
      <x v="49"/>
    </i>
    <i>
      <x v="51"/>
    </i>
    <i>
      <x v="52"/>
    </i>
    <i>
      <x v="53"/>
    </i>
    <i>
      <x v="55"/>
    </i>
    <i>
      <x v="59"/>
    </i>
    <i>
      <x v="60"/>
    </i>
    <i>
      <x v="61"/>
    </i>
    <i>
      <x v="62"/>
    </i>
    <i>
      <x v="65"/>
    </i>
    <i>
      <x v="66"/>
    </i>
    <i>
      <x v="67"/>
    </i>
    <i>
      <x v="68"/>
    </i>
    <i>
      <x v="69"/>
    </i>
    <i t="grand">
      <x/>
    </i>
  </rowItems>
  <colFields count="1">
    <field x="13"/>
  </colFields>
  <colItems count="3">
    <i>
      <x/>
    </i>
    <i>
      <x v="1"/>
    </i>
    <i t="grand">
      <x/>
    </i>
  </colItems>
  <pageFields count="1">
    <pageField fld="14" hier="-1"/>
  </pageFields>
  <dataFields count="1">
    <dataField name="Sum of Quantity2" fld="10" baseField="0" baseItem="0"/>
  </dataFields>
  <formats count="6">
    <format dxfId="72">
      <pivotArea field="1" type="button" dataOnly="0" labelOnly="1" outline="0" axis="axisRow" fieldPosition="0"/>
    </format>
    <format dxfId="71">
      <pivotArea outline="0" collapsedLevelsAreSubtotals="1" fieldPosition="0"/>
    </format>
    <format dxfId="70">
      <pivotArea outline="0" collapsedLevelsAreSubtotals="1" fieldPosition="0"/>
    </format>
    <format dxfId="69">
      <pivotArea dataOnly="0" labelOnly="1" grandCol="1" outline="0" fieldPosition="0"/>
    </format>
    <format dxfId="68">
      <pivotArea collapsedLevelsAreSubtotals="1" fieldPosition="0">
        <references count="1">
          <reference field="1" count="8">
            <x v="26"/>
            <x v="30"/>
            <x v="31"/>
            <x v="37"/>
            <x v="39"/>
            <x v="42"/>
            <x v="49"/>
            <x v="51"/>
          </reference>
        </references>
      </pivotArea>
    </format>
    <format dxfId="67">
      <pivotArea dataOnly="0" labelOnly="1" fieldPosition="0">
        <references count="1">
          <reference field="1" count="8">
            <x v="26"/>
            <x v="30"/>
            <x v="31"/>
            <x v="37"/>
            <x v="39"/>
            <x v="42"/>
            <x v="49"/>
            <x v="5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InsertBlankRowDefault="1"/>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3B5D160-DAD6-42B9-B181-CF8A9B29F357}"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B14" firstHeaderRow="1" firstDataRow="1" firstDataCol="1" rowPageCount="4" colPageCount="1"/>
  <pivotFields count="20">
    <pivotField showAll="0"/>
    <pivotField axis="axisRow" showAll="0" sortType="descending">
      <items count="72">
        <item m="1" x="40"/>
        <item m="1" x="60"/>
        <item x="28"/>
        <item x="36"/>
        <item x="1"/>
        <item x="29"/>
        <item m="1" x="46"/>
        <item x="33"/>
        <item m="1" x="55"/>
        <item sd="0" x="27"/>
        <item m="1" x="49"/>
        <item m="1" x="47"/>
        <item x="9"/>
        <item sd="0" m="1" x="41"/>
        <item sd="0" x="3"/>
        <item sd="0" x="8"/>
        <item sd="0" x="13"/>
        <item x="4"/>
        <item sd="0" x="12"/>
        <item m="1" x="44"/>
        <item sd="0" x="35"/>
        <item x="31"/>
        <item m="1" x="52"/>
        <item m="1" x="59"/>
        <item m="1" x="66"/>
        <item x="6"/>
        <item m="1" x="48"/>
        <item x="24"/>
        <item m="1" x="45"/>
        <item x="15"/>
        <item x="5"/>
        <item m="1" x="70"/>
        <item x="21"/>
        <item m="1" x="53"/>
        <item x="7"/>
        <item m="1" x="43"/>
        <item x="20"/>
        <item x="19"/>
        <item x="18"/>
        <item sd="0" x="37"/>
        <item m="1" x="50"/>
        <item m="1" x="42"/>
        <item m="1" x="65"/>
        <item sd="0" m="1" x="68"/>
        <item sd="0" m="1" x="67"/>
        <item x="14"/>
        <item m="1" x="64"/>
        <item m="1" x="63"/>
        <item x="26"/>
        <item x="34"/>
        <item m="1" x="56"/>
        <item x="2"/>
        <item x="10"/>
        <item x="11"/>
        <item m="1" x="58"/>
        <item x="17"/>
        <item m="1" x="62"/>
        <item m="1" x="57"/>
        <item m="1" x="61"/>
        <item x="38"/>
        <item x="16"/>
        <item x="23"/>
        <item x="22"/>
        <item m="1" x="69"/>
        <item m="1" x="51"/>
        <item x="39"/>
        <item x="32"/>
        <item x="30"/>
        <item x="25"/>
        <item x="0"/>
        <item m="1" x="54"/>
        <item t="default"/>
      </items>
    </pivotField>
    <pivotField axis="axisPage" multipleItemSelectionAllowed="1" showAll="0">
      <items count="13">
        <item h="1" x="3"/>
        <item h="1" x="5"/>
        <item h="1" x="4"/>
        <item h="1" x="6"/>
        <item h="1" x="1"/>
        <item h="1" x="0"/>
        <item x="2"/>
        <item h="1" x="7"/>
        <item h="1" x="9"/>
        <item h="1" x="8"/>
        <item h="1" m="1" x="10"/>
        <item m="1" x="11"/>
        <item t="default"/>
      </items>
    </pivotField>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pivotField axis="axisPage" multipleItemSelectionAllowed="1" showAll="0">
      <items count="5">
        <item x="1"/>
        <item x="0"/>
        <item m="1" x="3"/>
        <item h="1" m="1" x="2"/>
        <item t="default"/>
      </items>
    </pivotField>
    <pivotField axis="axisRow" showAll="0" sortType="descending">
      <items count="20">
        <item sd="0" m="1" x="16"/>
        <item m="1" x="17"/>
        <item sd="0" x="1"/>
        <item m="1" x="18"/>
        <item sd="0" x="0"/>
        <item m="1" x="15"/>
        <item m="1" x="3"/>
        <item m="1" x="4"/>
        <item m="1" x="5"/>
        <item m="1" x="6"/>
        <item m="1" x="7"/>
        <item m="1" x="8"/>
        <item m="1" x="9"/>
        <item m="1" x="10"/>
        <item m="1" x="11"/>
        <item m="1" x="12"/>
        <item m="1" x="13"/>
        <item m="1" x="14"/>
        <item x="2"/>
        <item t="default"/>
      </items>
      <autoSortScope>
        <pivotArea dataOnly="0" outline="0" fieldPosition="0">
          <references count="1">
            <reference field="4294967294" count="1" selected="0">
              <x v="0"/>
            </reference>
          </references>
        </pivotArea>
      </autoSortScope>
    </pivotField>
    <pivotField axis="axisPage" showAll="0">
      <items count="76">
        <item x="11"/>
        <item x="17"/>
        <item x="24"/>
        <item m="1" x="38"/>
        <item x="19"/>
        <item x="28"/>
        <item x="23"/>
        <item x="8"/>
        <item x="32"/>
        <item m="1" x="39"/>
        <item m="1" x="57"/>
        <item x="12"/>
        <item m="1" x="73"/>
        <item m="1" x="74"/>
        <item m="1" x="44"/>
        <item x="22"/>
        <item m="1" x="64"/>
        <item x="18"/>
        <item m="1" x="60"/>
        <item m="1" x="65"/>
        <item m="1" x="61"/>
        <item m="1" x="41"/>
        <item m="1" x="66"/>
        <item m="1" x="62"/>
        <item m="1" x="67"/>
        <item m="1" x="63"/>
        <item m="1" x="68"/>
        <item x="13"/>
        <item m="1" x="70"/>
        <item m="1" x="71"/>
        <item m="1" x="72"/>
        <item m="1" x="40"/>
        <item m="1" x="55"/>
        <item x="16"/>
        <item m="1" x="47"/>
        <item m="1" x="51"/>
        <item x="14"/>
        <item x="15"/>
        <item m="1" x="59"/>
        <item m="1" x="52"/>
        <item m="1" x="48"/>
        <item m="1" x="49"/>
        <item m="1" x="69"/>
        <item m="1" x="42"/>
        <item m="1" x="50"/>
        <item x="3"/>
        <item x="0"/>
        <item x="1"/>
        <item x="2"/>
        <item x="4"/>
        <item x="5"/>
        <item m="1" x="53"/>
        <item m="1" x="54"/>
        <item x="27"/>
        <item m="1" x="56"/>
        <item m="1" x="58"/>
        <item x="31"/>
        <item x="10"/>
        <item x="30"/>
        <item x="29"/>
        <item x="25"/>
        <item m="1" x="45"/>
        <item x="6"/>
        <item x="7"/>
        <item m="1" x="37"/>
        <item m="1" x="46"/>
        <item m="1" x="43"/>
        <item x="20"/>
        <item x="21"/>
        <item x="26"/>
        <item x="9"/>
        <item x="33"/>
        <item x="34"/>
        <item x="35"/>
        <item x="36"/>
        <item t="default"/>
      </items>
    </pivotField>
    <pivotField axis="axisRow" showAll="0">
      <items count="146">
        <item m="1" x="129"/>
        <item m="1" x="91"/>
        <item m="1" x="130"/>
        <item x="38"/>
        <item x="39"/>
        <item m="1" x="131"/>
        <item m="1" x="137"/>
        <item m="1" x="77"/>
        <item x="21"/>
        <item x="42"/>
        <item x="35"/>
        <item x="44"/>
        <item m="1" x="118"/>
        <item m="1" x="139"/>
        <item x="40"/>
        <item x="41"/>
        <item x="22"/>
        <item x="54"/>
        <item x="45"/>
        <item x="24"/>
        <item m="1" x="143"/>
        <item x="59"/>
        <item x="19"/>
        <item m="1" x="117"/>
        <item x="69"/>
        <item x="68"/>
        <item x="55"/>
        <item x="32"/>
        <item x="8"/>
        <item x="9"/>
        <item x="6"/>
        <item x="7"/>
        <item m="1" x="134"/>
        <item m="1" x="135"/>
        <item m="1" x="136"/>
        <item m="1" x="80"/>
        <item m="1" x="132"/>
        <item x="51"/>
        <item m="1" x="90"/>
        <item m="1" x="133"/>
        <item m="1" x="95"/>
        <item m="1" x="96"/>
        <item m="1" x="121"/>
        <item m="1" x="122"/>
        <item m="1" x="111"/>
        <item x="43"/>
        <item x="17"/>
        <item x="16"/>
        <item m="1" x="98"/>
        <item m="1" x="99"/>
        <item m="1" x="100"/>
        <item m="1" x="109"/>
        <item m="1" x="101"/>
        <item m="1" x="115"/>
        <item m="1" x="138"/>
        <item m="1" x="140"/>
        <item m="1" x="141"/>
        <item m="1" x="142"/>
        <item m="1" x="107"/>
        <item m="1" x="108"/>
        <item m="1" x="110"/>
        <item m="1" x="144"/>
        <item m="1" x="113"/>
        <item x="14"/>
        <item x="36"/>
        <item x="37"/>
        <item m="1" x="119"/>
        <item m="1" x="116"/>
        <item x="70"/>
        <item m="1" x="123"/>
        <item x="75"/>
        <item m="1" x="124"/>
        <item m="1" x="120"/>
        <item m="1" x="125"/>
        <item m="1" x="126"/>
        <item m="1" x="127"/>
        <item m="1" x="128"/>
        <item x="3"/>
        <item m="1" x="97"/>
        <item x="1"/>
        <item x="18"/>
        <item x="0"/>
        <item x="2"/>
        <item m="1" x="102"/>
        <item m="1" x="103"/>
        <item m="1" x="93"/>
        <item m="1" x="78"/>
        <item m="1" x="104"/>
        <item m="1" x="94"/>
        <item m="1" x="105"/>
        <item m="1" x="106"/>
        <item x="12"/>
        <item x="4"/>
        <item x="13"/>
        <item x="10"/>
        <item x="5"/>
        <item x="11"/>
        <item m="1" x="114"/>
        <item m="1" x="86"/>
        <item m="1" x="87"/>
        <item m="1" x="88"/>
        <item x="50"/>
        <item m="1" x="85"/>
        <item x="31"/>
        <item x="65"/>
        <item x="66"/>
        <item x="67"/>
        <item m="1" x="81"/>
        <item m="1" x="82"/>
        <item m="1" x="89"/>
        <item x="34"/>
        <item x="33"/>
        <item m="1" x="112"/>
        <item x="58"/>
        <item x="57"/>
        <item x="60"/>
        <item x="61"/>
        <item x="62"/>
        <item x="63"/>
        <item x="56"/>
        <item x="64"/>
        <item x="23"/>
        <item x="52"/>
        <item m="1" x="92"/>
        <item m="1" x="79"/>
        <item m="1" x="83"/>
        <item m="1" x="84"/>
        <item x="15"/>
        <item x="20"/>
        <item x="25"/>
        <item x="26"/>
        <item x="27"/>
        <item x="28"/>
        <item x="29"/>
        <item x="30"/>
        <item x="46"/>
        <item x="47"/>
        <item x="48"/>
        <item x="49"/>
        <item x="53"/>
        <item x="71"/>
        <item x="72"/>
        <item x="73"/>
        <item x="74"/>
        <item x="76"/>
        <item t="default"/>
      </items>
    </pivotField>
    <pivotField axis="axisPage" showAll="0">
      <items count="36">
        <item m="1" x="32"/>
        <item x="2"/>
        <item x="4"/>
        <item x="7"/>
        <item x="9"/>
        <item x="10"/>
        <item m="1" x="34"/>
        <item x="11"/>
        <item x="12"/>
        <item x="13"/>
        <item m="1" x="33"/>
        <item x="19"/>
        <item x="17"/>
        <item x="18"/>
        <item x="14"/>
        <item x="8"/>
        <item x="16"/>
        <item x="15"/>
        <item x="5"/>
        <item x="0"/>
        <item m="1" x="30"/>
        <item x="6"/>
        <item m="1" x="28"/>
        <item m="1" x="26"/>
        <item m="1" x="29"/>
        <item m="1" x="31"/>
        <item x="3"/>
        <item x="20"/>
        <item m="1" x="27"/>
        <item x="21"/>
        <item x="1"/>
        <item x="22"/>
        <item x="23"/>
        <item x="24"/>
        <item x="25"/>
        <item t="default"/>
      </items>
    </pivotField>
    <pivotField showAll="0"/>
    <pivotField showAll="0"/>
  </pivotFields>
  <rowFields count="3">
    <field x="14"/>
    <field x="16"/>
    <field x="1"/>
  </rowFields>
  <rowItems count="8">
    <i>
      <x v="18"/>
    </i>
    <i r="1">
      <x v="140"/>
    </i>
    <i r="2">
      <x v="51"/>
    </i>
    <i r="1">
      <x v="141"/>
    </i>
    <i r="2">
      <x v="49"/>
    </i>
    <i>
      <x v="4"/>
    </i>
    <i>
      <x v="2"/>
    </i>
    <i t="grand">
      <x/>
    </i>
  </rowItems>
  <colItems count="1">
    <i/>
  </colItems>
  <pageFields count="4">
    <pageField fld="2" hier="-1"/>
    <pageField fld="15" hier="-1"/>
    <pageField fld="17" hier="-1"/>
    <pageField fld="13" hier="-1"/>
  </pageFields>
  <dataFields count="1">
    <dataField name="Sum of Quantity2" fld="10" baseField="0" baseItem="0"/>
  </dataFields>
  <formats count="14">
    <format dxfId="86">
      <pivotArea field="1" type="button" dataOnly="0" labelOnly="1" outline="0" axis="axisRow" fieldPosition="2"/>
    </format>
    <format dxfId="85">
      <pivotArea outline="0" collapsedLevelsAreSubtotals="1" fieldPosition="0"/>
    </format>
    <format dxfId="84">
      <pivotArea outline="0" collapsedLevelsAreSubtotals="1" fieldPosition="0"/>
    </format>
    <format dxfId="83">
      <pivotArea dataOnly="0" labelOnly="1" grandCol="1" outline="0" fieldPosition="0"/>
    </format>
    <format dxfId="82">
      <pivotArea collapsedLevelsAreSubtotals="1" fieldPosition="0">
        <references count="1">
          <reference field="1" count="8">
            <x v="26"/>
            <x v="30"/>
            <x v="31"/>
            <x v="37"/>
            <x v="39"/>
            <x v="42"/>
            <x v="49"/>
            <x v="51"/>
          </reference>
        </references>
      </pivotArea>
    </format>
    <format dxfId="81">
      <pivotArea dataOnly="0" labelOnly="1" fieldPosition="0">
        <references count="1">
          <reference field="1" count="8">
            <x v="26"/>
            <x v="30"/>
            <x v="31"/>
            <x v="37"/>
            <x v="39"/>
            <x v="42"/>
            <x v="49"/>
            <x v="51"/>
          </reference>
        </references>
      </pivotArea>
    </format>
    <format dxfId="80">
      <pivotArea collapsedLevelsAreSubtotals="1" fieldPosition="0">
        <references count="2">
          <reference field="1" count="1" selected="0">
            <x v="26"/>
          </reference>
          <reference field="16" count="1">
            <x v="10"/>
          </reference>
        </references>
      </pivotArea>
    </format>
    <format dxfId="79">
      <pivotArea dataOnly="0" labelOnly="1" fieldPosition="0">
        <references count="2">
          <reference field="1" count="1" selected="0">
            <x v="26"/>
          </reference>
          <reference field="16" count="1">
            <x v="10"/>
          </reference>
        </references>
      </pivotArea>
    </format>
    <format dxfId="78">
      <pivotArea collapsedLevelsAreSubtotals="1" fieldPosition="0">
        <references count="2">
          <reference field="1" count="1" selected="0">
            <x v="26"/>
          </reference>
          <reference field="16" count="1">
            <x v="1"/>
          </reference>
        </references>
      </pivotArea>
    </format>
    <format dxfId="77">
      <pivotArea dataOnly="0" labelOnly="1" fieldPosition="0">
        <references count="2">
          <reference field="1" count="1" selected="0">
            <x v="26"/>
          </reference>
          <reference field="16" count="1">
            <x v="1"/>
          </reference>
        </references>
      </pivotArea>
    </format>
    <format dxfId="76">
      <pivotArea collapsedLevelsAreSubtotals="1" fieldPosition="0">
        <references count="2">
          <reference field="1" count="1" selected="0">
            <x v="26"/>
          </reference>
          <reference field="16" count="1">
            <x v="1"/>
          </reference>
        </references>
      </pivotArea>
    </format>
    <format dxfId="75">
      <pivotArea dataOnly="0" labelOnly="1" fieldPosition="0">
        <references count="2">
          <reference field="1" count="1" selected="0">
            <x v="26"/>
          </reference>
          <reference field="16" count="1">
            <x v="1"/>
          </reference>
        </references>
      </pivotArea>
    </format>
    <format dxfId="74">
      <pivotArea collapsedLevelsAreSubtotals="1" fieldPosition="0">
        <references count="2">
          <reference field="1" count="1" selected="0">
            <x v="26"/>
          </reference>
          <reference field="16" count="1">
            <x v="10"/>
          </reference>
        </references>
      </pivotArea>
    </format>
    <format dxfId="73">
      <pivotArea dataOnly="0" labelOnly="1" fieldPosition="0">
        <references count="2">
          <reference field="1" count="1" selected="0">
            <x v="26"/>
          </reference>
          <reference field="16" count="1">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F57CD6E-BCCB-4D2A-981B-57780DCE5716}" name="PivotTable1" cacheId="5" applyNumberFormats="0" applyBorderFormats="0" applyFontFormats="0" applyPatternFormats="0" applyAlignmentFormats="0" applyWidthHeightFormats="1" dataCaption="Values" updatedVersion="8" minRefreshableVersion="3" useAutoFormatting="1" rowGrandTotals="0" itemPrintTitles="1" createdVersion="6" indent="0" compact="0" compactData="0" multipleFieldFilters="0">
  <location ref="B7:E12" firstHeaderRow="1" firstDataRow="1" firstDataCol="3" rowPageCount="1" colPageCount="1"/>
  <pivotFields count="18">
    <pivotField compact="0" outline="0" showAll="0"/>
    <pivotField compact="0" outline="0" showAll="0" defaultSubtotal="0"/>
    <pivotField compact="0" outline="0" showAll="0" defaultSubtotal="0"/>
    <pivotField compact="0" outline="0" showAll="0"/>
    <pivotField compact="0" outline="0" showAll="0"/>
    <pivotField axis="axisRow" compact="0" outline="0" showAll="0">
      <items count="40">
        <item x="2"/>
        <item x="17"/>
        <item x="34"/>
        <item x="5"/>
        <item x="19"/>
        <item x="20"/>
        <item x="21"/>
        <item x="31"/>
        <item x="8"/>
        <item x="3"/>
        <item x="26"/>
        <item x="18"/>
        <item x="10"/>
        <item x="14"/>
        <item x="12"/>
        <item x="13"/>
        <item x="27"/>
        <item x="11"/>
        <item x="30"/>
        <item x="37"/>
        <item x="6"/>
        <item x="15"/>
        <item x="35"/>
        <item x="16"/>
        <item x="1"/>
        <item x="36"/>
        <item x="9"/>
        <item x="23"/>
        <item x="4"/>
        <item x="29"/>
        <item x="7"/>
        <item x="28"/>
        <item x="0"/>
        <item x="24"/>
        <item x="22"/>
        <item x="32"/>
        <item x="25"/>
        <item x="33"/>
        <item m="1" x="38"/>
        <item t="default"/>
      </items>
    </pivotField>
    <pivotField compact="0" outline="0" showAll="0"/>
    <pivotField compact="0" outline="0" showAll="0"/>
    <pivotField compact="0" outline="0" showAll="0" defaultSubtotal="0"/>
    <pivotField compact="0" outline="0" showAll="0" defaultSubtotal="0"/>
    <pivotField name="Qty." dataField="1"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
        <item x="0"/>
        <item x="1"/>
      </items>
    </pivotField>
    <pivotField compact="0" outline="0" showAll="0" sortType="ascending" defaultSubtotal="0"/>
    <pivotField axis="axisRow" compact="0" outline="0" showAll="0" defaultSubtotal="0">
      <items count="74">
        <item x="38"/>
        <item x="39"/>
        <item m="1" x="71"/>
        <item x="35"/>
        <item x="44"/>
        <item x="40"/>
        <item x="41"/>
        <item x="22"/>
        <item x="45"/>
        <item x="24"/>
        <item x="54"/>
        <item x="59"/>
        <item x="42"/>
        <item x="19"/>
        <item x="21"/>
        <item x="69"/>
        <item x="51"/>
        <item x="68"/>
        <item x="55"/>
        <item x="32"/>
        <item x="8"/>
        <item x="9"/>
        <item x="6"/>
        <item x="7"/>
        <item m="1" x="70"/>
        <item x="17"/>
        <item x="16"/>
        <item x="43"/>
        <item x="36"/>
        <item x="37"/>
        <item x="14"/>
        <item x="0"/>
        <item x="2"/>
        <item x="12"/>
        <item x="4"/>
        <item x="13"/>
        <item x="10"/>
        <item x="5"/>
        <item x="11"/>
        <item x="18"/>
        <item x="1"/>
        <item x="31"/>
        <item x="3"/>
        <item x="50"/>
        <item m="1" x="72"/>
        <item x="65"/>
        <item x="66"/>
        <item x="67"/>
        <item x="34"/>
        <item x="33"/>
        <item x="58"/>
        <item x="57"/>
        <item x="52"/>
        <item x="23"/>
        <item x="56"/>
        <item x="64"/>
        <item x="60"/>
        <item x="61"/>
        <item x="62"/>
        <item x="63"/>
        <item m="1" x="73"/>
        <item x="15"/>
        <item x="46"/>
        <item x="47"/>
        <item x="48"/>
        <item x="49"/>
        <item x="53"/>
        <item x="25"/>
        <item x="26"/>
        <item x="27"/>
        <item x="28"/>
        <item x="29"/>
        <item x="30"/>
        <item x="20"/>
      </items>
    </pivotField>
    <pivotField axis="axisPage" compact="0" outline="0" multipleItemSelectionAllowed="1" showAll="0" defaultSubtotal="0">
      <items count="23">
        <item h="1" x="4"/>
        <item h="1" x="9"/>
        <item h="1" x="10"/>
        <item h="1" x="11"/>
        <item h="1" x="12"/>
        <item h="1" x="7"/>
        <item h="1" x="13"/>
        <item h="1" x="19"/>
        <item h="1" x="2"/>
        <item h="1" x="17"/>
        <item h="1" x="18"/>
        <item h="1" x="16"/>
        <item h="1" x="15"/>
        <item h="1" x="14"/>
        <item x="8"/>
        <item h="1" x="5"/>
        <item h="1" x="0"/>
        <item x="6"/>
        <item h="1" x="3"/>
        <item h="1" x="20"/>
        <item h="1" x="21"/>
        <item h="1" m="1" x="22"/>
        <item x="1"/>
      </items>
    </pivotField>
  </pivotFields>
  <rowFields count="3">
    <field x="14"/>
    <field x="16"/>
    <field x="5"/>
  </rowFields>
  <rowItems count="5">
    <i>
      <x/>
      <x v="40"/>
      <x v="24"/>
    </i>
    <i r="2">
      <x v="28"/>
    </i>
    <i r="2">
      <x v="32"/>
    </i>
    <i>
      <x v="1"/>
      <x v="32"/>
      <x v="28"/>
    </i>
    <i r="2">
      <x v="32"/>
    </i>
  </rowItems>
  <colItems count="1">
    <i/>
  </colItems>
  <pageFields count="1">
    <pageField fld="17" hier="-1"/>
  </pageFields>
  <dataFields count="1">
    <dataField name="Quantity" fld="10" baseField="4" baseItem="2"/>
  </dataFields>
  <formats count="11">
    <format dxfId="50">
      <pivotArea field="14" type="button" dataOnly="0" labelOnly="1" outline="0" axis="axisRow" fieldPosition="0"/>
    </format>
    <format dxfId="49">
      <pivotArea field="16" type="button" dataOnly="0" labelOnly="1" outline="0" axis="axisRow" fieldPosition="1"/>
    </format>
    <format dxfId="48">
      <pivotArea dataOnly="0" labelOnly="1" outline="0" axis="axisValues" fieldPosition="0"/>
    </format>
    <format dxfId="47">
      <pivotArea dataOnly="0" labelOnly="1" outline="0" axis="axisValues" fieldPosition="0"/>
    </format>
    <format dxfId="46">
      <pivotArea field="5" type="button" dataOnly="0" labelOnly="1" outline="0" axis="axisRow" fieldPosition="2"/>
    </format>
    <format dxfId="45">
      <pivotArea outline="0" fieldPosition="0">
        <references count="1">
          <reference field="14" count="1" selected="0">
            <x v="1"/>
          </reference>
        </references>
      </pivotArea>
    </format>
    <format dxfId="44">
      <pivotArea dataOnly="0" labelOnly="1" outline="0" fieldPosition="0">
        <references count="1">
          <reference field="14" count="1">
            <x v="1"/>
          </reference>
        </references>
      </pivotArea>
    </format>
    <format dxfId="43">
      <pivotArea dataOnly="0" labelOnly="1" outline="0" fieldPosition="0">
        <references count="2">
          <reference field="14" count="1" selected="0">
            <x v="1"/>
          </reference>
          <reference field="16" count="1">
            <x v="18"/>
          </reference>
        </references>
      </pivotArea>
    </format>
    <format dxfId="42">
      <pivotArea dataOnly="0" labelOnly="1" outline="0" fieldPosition="0">
        <references count="3">
          <reference field="5" count="1">
            <x v="25"/>
          </reference>
          <reference field="14" count="1" selected="0">
            <x v="1"/>
          </reference>
          <reference field="16" count="1" selected="0">
            <x v="18"/>
          </reference>
        </references>
      </pivotArea>
    </format>
    <format dxfId="41">
      <pivotArea outline="0" fieldPosition="0">
        <references count="3">
          <reference field="5" count="1" selected="0">
            <x v="29"/>
          </reference>
          <reference field="14" count="1" selected="0">
            <x v="1"/>
          </reference>
          <reference field="16" count="1" selected="0">
            <x v="0"/>
          </reference>
        </references>
      </pivotArea>
    </format>
    <format dxfId="40">
      <pivotArea dataOnly="0" labelOnly="1" outline="0" fieldPosition="0">
        <references count="3">
          <reference field="5" count="1">
            <x v="29"/>
          </reference>
          <reference field="14" count="1" selected="0">
            <x v="1"/>
          </reference>
          <reference field="16" count="1" selected="0">
            <x v="0"/>
          </reference>
        </references>
      </pivotArea>
    </format>
  </formats>
  <pivotTableStyleInfo name="PivotStyleMedium7" showRowHeaders="0"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D4FB562-C83D-4EC8-9D18-DD8A93FA002F}" name="PivotTable1" cacheId="4" applyNumberFormats="0" applyBorderFormats="0" applyFontFormats="0" applyPatternFormats="0" applyAlignmentFormats="0" applyWidthHeightFormats="1" dataCaption="Values" updatedVersion="8" minRefreshableVersion="3" useAutoFormatting="1" rowGrandTotals="0" itemPrintTitles="1" createdVersion="6" indent="0" compact="0" compactData="0" multipleFieldFilters="0">
  <location ref="B7:G253" firstHeaderRow="0" firstDataRow="1" firstDataCol="4" rowPageCount="1" colPageCount="1"/>
  <pivotFields count="18">
    <pivotField compact="0" outline="0" showAll="0"/>
    <pivotField compact="0" outline="0" showAll="0" defaultSubtotal="0"/>
    <pivotField compact="0" outline="0" showAll="0" defaultSubtotal="0"/>
    <pivotField compact="0" outline="0" showAll="0"/>
    <pivotField compact="0" outline="0" showAll="0"/>
    <pivotField axis="axisRow" compact="0" outline="0" showAll="0">
      <items count="72">
        <item m="1" x="54"/>
        <item m="1" x="64"/>
        <item x="35"/>
        <item m="1" x="42"/>
        <item x="3"/>
        <item m="1" x="61"/>
        <item x="19"/>
        <item m="1" x="48"/>
        <item m="1" x="60"/>
        <item x="2"/>
        <item x="5"/>
        <item x="22"/>
        <item m="1" x="44"/>
        <item m="1" x="46"/>
        <item x="23"/>
        <item x="6"/>
        <item m="1" x="57"/>
        <item m="1" x="69"/>
        <item x="32"/>
        <item m="1" x="40"/>
        <item x="8"/>
        <item x="4"/>
        <item m="1" x="65"/>
        <item x="28"/>
        <item m="1" x="67"/>
        <item m="1" x="68"/>
        <item x="20"/>
        <item x="13"/>
        <item m="1" x="62"/>
        <item m="1" x="63"/>
        <item m="1" x="66"/>
        <item m="1" x="59"/>
        <item x="16"/>
        <item x="21"/>
        <item x="15"/>
        <item x="10"/>
        <item x="29"/>
        <item x="37"/>
        <item x="14"/>
        <item x="31"/>
        <item x="17"/>
        <item m="1" x="38"/>
        <item x="18"/>
        <item x="1"/>
        <item m="1" x="43"/>
        <item x="36"/>
        <item x="12"/>
        <item x="11"/>
        <item x="25"/>
        <item x="9"/>
        <item m="1" x="53"/>
        <item m="1" x="52"/>
        <item m="1" x="45"/>
        <item m="1" x="47"/>
        <item m="1" x="55"/>
        <item m="1" x="49"/>
        <item m="1" x="50"/>
        <item m="1" x="56"/>
        <item m="1" x="58"/>
        <item x="7"/>
        <item x="30"/>
        <item m="1" x="41"/>
        <item m="1" x="70"/>
        <item x="0"/>
        <item m="1" x="51"/>
        <item x="26"/>
        <item x="24"/>
        <item x="33"/>
        <item m="1" x="39"/>
        <item x="27"/>
        <item x="34"/>
        <item t="default"/>
      </items>
    </pivotField>
    <pivotField compact="0" outline="0" showAll="0"/>
    <pivotField dataField="1" compact="0" outline="0" showAll="0"/>
    <pivotField compact="0" outline="0" showAll="0" defaultSubtotal="0"/>
    <pivotField compact="0" outline="0" showAll="0" defaultSubtotal="0"/>
    <pivotField name="Current Qty." dataField="1" compact="0" outline="0" showAll="0" defaultSubtotal="0"/>
    <pivotField compact="0" outline="0" showAll="0" defaultSubtotal="0"/>
    <pivotField compact="0" outline="0" showAll="0" defaultSubtotal="0"/>
    <pivotField axis="axisPage" compact="0" outline="0" multipleItemSelectionAllowed="1" showAll="0" defaultSubtotal="0">
      <items count="4">
        <item x="0"/>
        <item h="1" x="1"/>
        <item h="1" m="1" x="2"/>
        <item h="1" m="1" x="3"/>
      </items>
    </pivotField>
    <pivotField axis="axisRow" compact="0" outline="0" showAll="0" sortType="ascending" defaultSubtotal="0">
      <items count="21">
        <item m="1" x="17"/>
        <item m="1" x="12"/>
        <item m="1" x="11"/>
        <item m="1" x="18"/>
        <item x="0"/>
        <item m="1" x="20"/>
        <item m="1" x="19"/>
        <item x="1"/>
        <item m="1" x="15"/>
        <item m="1" x="16"/>
        <item m="1" x="2"/>
        <item m="1" x="3"/>
        <item m="1" x="4"/>
        <item m="1" x="5"/>
        <item m="1" x="6"/>
        <item m="1" x="7"/>
        <item m="1" x="8"/>
        <item m="1" x="9"/>
        <item m="1" x="10"/>
        <item sd="0" m="1" x="13"/>
        <item m="1" x="14"/>
      </items>
    </pivotField>
    <pivotField axis="axisRow" compact="0" outline="0" showAll="0" sortType="ascending" defaultSubtotal="0">
      <items count="62">
        <item x="29"/>
        <item x="31"/>
        <item x="32"/>
        <item x="19"/>
        <item m="1" x="52"/>
        <item x="15"/>
        <item x="11"/>
        <item x="12"/>
        <item m="1" x="40"/>
        <item x="9"/>
        <item x="17"/>
        <item m="1" x="56"/>
        <item x="20"/>
        <item x="14"/>
        <item m="1" x="49"/>
        <item x="16"/>
        <item x="26"/>
        <item m="1" x="39"/>
        <item m="1" x="34"/>
        <item x="0"/>
        <item m="1" x="37"/>
        <item m="1" x="38"/>
        <item x="13"/>
        <item m="1" x="43"/>
        <item m="1" x="46"/>
        <item x="25"/>
        <item x="1"/>
        <item m="1" x="44"/>
        <item x="2"/>
        <item x="3"/>
        <item x="4"/>
        <item m="1" x="45"/>
        <item x="5"/>
        <item x="6"/>
        <item x="7"/>
        <item m="1" x="36"/>
        <item m="1" x="58"/>
        <item x="18"/>
        <item m="1" x="61"/>
        <item x="27"/>
        <item x="30"/>
        <item x="24"/>
        <item m="1" x="51"/>
        <item x="8"/>
        <item m="1" x="60"/>
        <item x="33"/>
        <item m="1" x="50"/>
        <item x="10"/>
        <item m="1" x="53"/>
        <item x="28"/>
        <item m="1" x="41"/>
        <item m="1" x="47"/>
        <item m="1" x="42"/>
        <item x="21"/>
        <item x="22"/>
        <item m="1" x="55"/>
        <item x="23"/>
        <item m="1" x="35"/>
        <item m="1" x="48"/>
        <item m="1" x="54"/>
        <item m="1" x="57"/>
        <item m="1" x="59"/>
      </items>
    </pivotField>
    <pivotField axis="axisRow" compact="0" outline="0" showAll="0" defaultSubtotal="0">
      <items count="150">
        <item m="1" x="124"/>
        <item m="1" x="83"/>
        <item x="41"/>
        <item x="42"/>
        <item x="0"/>
        <item x="38"/>
        <item x="47"/>
        <item x="43"/>
        <item x="44"/>
        <item x="23"/>
        <item x="48"/>
        <item x="27"/>
        <item m="1" x="133"/>
        <item x="57"/>
        <item x="22"/>
        <item m="1" x="115"/>
        <item x="62"/>
        <item m="1" x="129"/>
        <item m="1" x="132"/>
        <item m="1" x="127"/>
        <item x="45"/>
        <item x="19"/>
        <item m="1" x="114"/>
        <item x="72"/>
        <item x="54"/>
        <item x="71"/>
        <item x="58"/>
        <item x="35"/>
        <item x="7"/>
        <item x="8"/>
        <item x="5"/>
        <item x="6"/>
        <item m="1" x="139"/>
        <item m="1" x="140"/>
        <item m="1" x="141"/>
        <item x="25"/>
        <item m="1" x="125"/>
        <item m="1" x="106"/>
        <item m="1" x="95"/>
        <item m="1" x="82"/>
        <item m="1" x="134"/>
        <item m="1" x="136"/>
        <item m="1" x="126"/>
        <item m="1" x="135"/>
        <item x="17"/>
        <item x="16"/>
        <item m="1" x="111"/>
        <item m="1" x="92"/>
        <item m="1" x="93"/>
        <item m="1" x="121"/>
        <item m="1" x="122"/>
        <item m="1" x="103"/>
        <item x="46"/>
        <item m="1" x="96"/>
        <item m="1" x="97"/>
        <item m="1" x="101"/>
        <item m="1" x="98"/>
        <item m="1" x="109"/>
        <item m="1" x="99"/>
        <item m="1" x="100"/>
        <item m="1" x="102"/>
        <item m="1" x="137"/>
        <item m="1" x="138"/>
        <item m="1" x="105"/>
        <item x="39"/>
        <item x="40"/>
        <item m="1" x="112"/>
        <item m="1" x="107"/>
        <item m="1" x="120"/>
        <item m="1" x="108"/>
        <item m="1" x="123"/>
        <item x="13"/>
        <item m="1" x="113"/>
        <item m="1" x="116"/>
        <item m="1" x="117"/>
        <item m="1" x="118"/>
        <item m="1" x="119"/>
        <item x="1"/>
        <item m="1" x="94"/>
        <item x="24"/>
        <item x="18"/>
        <item x="4"/>
        <item x="14"/>
        <item m="1" x="87"/>
        <item m="1" x="88"/>
        <item m="1" x="84"/>
        <item x="20"/>
        <item m="1" x="89"/>
        <item m="1" x="85"/>
        <item m="1" x="90"/>
        <item m="1" x="91"/>
        <item x="11"/>
        <item x="2"/>
        <item x="12"/>
        <item x="9"/>
        <item x="3"/>
        <item x="10"/>
        <item m="1" x="110"/>
        <item m="1" x="78"/>
        <item m="1" x="79"/>
        <item m="1" x="80"/>
        <item x="53"/>
        <item m="1" x="77"/>
        <item x="34"/>
        <item x="68"/>
        <item x="69"/>
        <item x="70"/>
        <item m="1" x="73"/>
        <item m="1" x="74"/>
        <item m="1" x="81"/>
        <item x="37"/>
        <item x="36"/>
        <item m="1" x="104"/>
        <item m="1" x="128"/>
        <item m="1" x="130"/>
        <item m="1" x="131"/>
        <item m="1" x="142"/>
        <item m="1" x="143"/>
        <item m="1" x="144"/>
        <item m="1" x="145"/>
        <item m="1" x="146"/>
        <item m="1" x="147"/>
        <item m="1" x="148"/>
        <item m="1" x="149"/>
        <item x="61"/>
        <item x="60"/>
        <item x="55"/>
        <item x="26"/>
        <item x="59"/>
        <item x="67"/>
        <item x="63"/>
        <item x="64"/>
        <item x="65"/>
        <item x="66"/>
        <item m="1" x="75"/>
        <item m="1" x="76"/>
        <item m="1" x="86"/>
        <item x="21"/>
        <item x="15"/>
        <item x="49"/>
        <item x="50"/>
        <item x="51"/>
        <item x="52"/>
        <item x="56"/>
        <item x="28"/>
        <item x="29"/>
        <item x="30"/>
        <item x="31"/>
        <item x="32"/>
        <item x="33"/>
      </items>
    </pivotField>
    <pivotField compact="0" outline="0" showAll="0" defaultSubtotal="0"/>
  </pivotFields>
  <rowFields count="4">
    <field x="14"/>
    <field x="15"/>
    <field x="16"/>
    <field x="5"/>
  </rowFields>
  <rowItems count="246">
    <i>
      <x v="4"/>
      <x/>
      <x v="13"/>
      <x v="43"/>
    </i>
    <i r="1">
      <x v="1"/>
      <x v="79"/>
      <x v="9"/>
    </i>
    <i r="3">
      <x v="43"/>
    </i>
    <i r="2">
      <x v="124"/>
      <x v="37"/>
    </i>
    <i r="1">
      <x v="2"/>
      <x v="16"/>
      <x v="4"/>
    </i>
    <i r="3">
      <x v="6"/>
    </i>
    <i r="3">
      <x v="10"/>
    </i>
    <i r="3">
      <x v="15"/>
    </i>
    <i r="3">
      <x v="43"/>
    </i>
    <i r="2">
      <x v="129"/>
      <x v="10"/>
    </i>
    <i r="3">
      <x v="15"/>
    </i>
    <i r="3">
      <x v="43"/>
    </i>
    <i r="2">
      <x v="133"/>
      <x v="43"/>
    </i>
    <i r="1">
      <x v="3"/>
      <x v="79"/>
      <x v="10"/>
    </i>
    <i r="3">
      <x v="11"/>
    </i>
    <i r="3">
      <x v="15"/>
    </i>
    <i r="3">
      <x v="20"/>
    </i>
    <i r="3">
      <x v="26"/>
    </i>
    <i r="3">
      <x v="33"/>
    </i>
    <i r="3">
      <x v="40"/>
    </i>
    <i r="3">
      <x v="42"/>
    </i>
    <i r="3">
      <x v="43"/>
    </i>
    <i r="3">
      <x v="63"/>
    </i>
    <i r="2">
      <x v="127"/>
      <x v="15"/>
    </i>
    <i r="3">
      <x v="20"/>
    </i>
    <i r="3">
      <x v="48"/>
    </i>
    <i r="3">
      <x v="63"/>
    </i>
    <i r="3">
      <x v="65"/>
    </i>
    <i r="3">
      <x v="66"/>
    </i>
    <i r="2">
      <x v="130"/>
      <x v="43"/>
    </i>
    <i r="2">
      <x v="131"/>
      <x v="43"/>
    </i>
    <i r="2">
      <x v="132"/>
      <x v="43"/>
    </i>
    <i r="1">
      <x v="6"/>
      <x v="35"/>
      <x v="43"/>
    </i>
    <i r="3">
      <x v="49"/>
    </i>
    <i r="3">
      <x v="63"/>
    </i>
    <i r="2">
      <x v="91"/>
      <x v="20"/>
    </i>
    <i r="3">
      <x v="46"/>
    </i>
    <i r="2">
      <x v="92"/>
      <x v="4"/>
    </i>
    <i r="3">
      <x v="20"/>
    </i>
    <i r="3">
      <x v="43"/>
    </i>
    <i r="3">
      <x v="49"/>
    </i>
    <i r="2">
      <x v="94"/>
      <x v="20"/>
    </i>
    <i r="2">
      <x v="144"/>
      <x v="35"/>
    </i>
    <i r="3">
      <x v="43"/>
    </i>
    <i r="2">
      <x v="145"/>
      <x v="35"/>
    </i>
    <i r="3">
      <x v="43"/>
    </i>
    <i r="2">
      <x v="146"/>
      <x v="35"/>
    </i>
    <i r="3">
      <x v="43"/>
    </i>
    <i r="2">
      <x v="148"/>
      <x v="35"/>
    </i>
    <i r="1">
      <x v="7"/>
      <x v="93"/>
      <x v="20"/>
    </i>
    <i r="3">
      <x v="46"/>
    </i>
    <i r="2">
      <x v="95"/>
      <x v="4"/>
    </i>
    <i r="3">
      <x v="20"/>
    </i>
    <i r="3">
      <x v="43"/>
    </i>
    <i r="3">
      <x v="49"/>
    </i>
    <i r="2">
      <x v="96"/>
      <x v="20"/>
    </i>
    <i r="2">
      <x v="147"/>
      <x v="35"/>
    </i>
    <i r="3">
      <x v="43"/>
    </i>
    <i r="2">
      <x v="149"/>
      <x v="35"/>
    </i>
    <i r="1">
      <x v="9"/>
      <x v="26"/>
      <x v="45"/>
    </i>
    <i r="2">
      <x v="128"/>
      <x v="45"/>
    </i>
    <i r="1">
      <x v="10"/>
      <x v="7"/>
      <x v="47"/>
    </i>
    <i r="2">
      <x v="8"/>
      <x v="47"/>
    </i>
    <i r="1">
      <x v="13"/>
      <x v="71"/>
      <x v="21"/>
    </i>
    <i r="1">
      <x v="15"/>
      <x v="5"/>
      <x v="47"/>
    </i>
    <i r="1">
      <x v="19"/>
      <x v="2"/>
      <x v="47"/>
    </i>
    <i r="2">
      <x v="3"/>
      <x v="47"/>
    </i>
    <i r="2">
      <x v="4"/>
      <x v="21"/>
    </i>
    <i r="3">
      <x v="63"/>
    </i>
    <i r="1">
      <x v="22"/>
      <x v="28"/>
      <x v="47"/>
    </i>
    <i r="2">
      <x v="29"/>
      <x v="47"/>
    </i>
    <i r="2">
      <x v="30"/>
      <x v="47"/>
    </i>
    <i r="2">
      <x v="31"/>
      <x v="47"/>
    </i>
    <i r="1">
      <x v="25"/>
      <x v="64"/>
      <x v="47"/>
    </i>
    <i r="2">
      <x v="65"/>
      <x v="47"/>
    </i>
    <i r="1">
      <x v="26"/>
      <x v="2"/>
      <x v="47"/>
    </i>
    <i r="2">
      <x v="3"/>
      <x v="47"/>
    </i>
    <i r="2">
      <x v="4"/>
      <x v="21"/>
    </i>
    <i r="3">
      <x v="63"/>
    </i>
    <i r="1">
      <x v="28"/>
      <x v="2"/>
      <x v="47"/>
    </i>
    <i r="2">
      <x v="3"/>
      <x v="47"/>
    </i>
    <i r="2">
      <x v="4"/>
      <x v="21"/>
    </i>
    <i r="3">
      <x v="63"/>
    </i>
    <i r="1">
      <x v="29"/>
      <x v="2"/>
      <x v="47"/>
    </i>
    <i r="2">
      <x v="3"/>
      <x v="47"/>
    </i>
    <i r="2">
      <x v="4"/>
      <x v="9"/>
    </i>
    <i r="3">
      <x v="21"/>
    </i>
    <i r="3">
      <x v="43"/>
    </i>
    <i r="3">
      <x v="63"/>
    </i>
    <i r="2">
      <x v="86"/>
      <x v="4"/>
    </i>
    <i r="1">
      <x v="30"/>
      <x v="2"/>
      <x v="47"/>
    </i>
    <i r="2">
      <x v="3"/>
      <x v="47"/>
    </i>
    <i r="2">
      <x v="4"/>
      <x v="21"/>
    </i>
    <i r="3">
      <x v="63"/>
    </i>
    <i r="1">
      <x v="32"/>
      <x v="2"/>
      <x v="47"/>
    </i>
    <i r="2">
      <x v="3"/>
      <x v="47"/>
    </i>
    <i r="2">
      <x v="4"/>
      <x v="21"/>
    </i>
    <i r="3">
      <x v="63"/>
    </i>
    <i r="1">
      <x v="33"/>
      <x v="2"/>
      <x v="47"/>
    </i>
    <i r="2">
      <x v="3"/>
      <x v="47"/>
    </i>
    <i r="2">
      <x v="4"/>
      <x v="9"/>
    </i>
    <i r="3">
      <x v="21"/>
    </i>
    <i r="3">
      <x v="63"/>
    </i>
    <i r="2">
      <x v="137"/>
      <x v="4"/>
    </i>
    <i r="1">
      <x v="34"/>
      <x v="2"/>
      <x v="47"/>
    </i>
    <i r="2">
      <x v="3"/>
      <x v="47"/>
    </i>
    <i r="2">
      <x v="4"/>
      <x v="21"/>
    </i>
    <i r="3">
      <x v="63"/>
    </i>
    <i r="1">
      <x v="39"/>
      <x v="101"/>
      <x v="4"/>
    </i>
    <i r="3">
      <x v="10"/>
    </i>
    <i r="3">
      <x v="15"/>
    </i>
    <i r="3">
      <x v="63"/>
    </i>
    <i r="3">
      <x v="70"/>
    </i>
    <i r="2">
      <x v="126"/>
      <x v="70"/>
    </i>
    <i r="2">
      <x v="139"/>
      <x v="10"/>
    </i>
    <i r="3">
      <x v="15"/>
    </i>
    <i r="3">
      <x v="20"/>
    </i>
    <i r="3">
      <x v="23"/>
    </i>
    <i r="3">
      <x v="67"/>
    </i>
    <i r="3">
      <x v="70"/>
    </i>
    <i r="2">
      <x v="140"/>
      <x v="2"/>
    </i>
    <i r="3">
      <x v="4"/>
    </i>
    <i r="3">
      <x v="10"/>
    </i>
    <i r="3">
      <x v="15"/>
    </i>
    <i r="3">
      <x v="33"/>
    </i>
    <i r="3">
      <x v="63"/>
    </i>
    <i r="3">
      <x v="70"/>
    </i>
    <i r="2">
      <x v="141"/>
      <x v="9"/>
    </i>
    <i r="3">
      <x v="10"/>
    </i>
    <i r="3">
      <x v="15"/>
    </i>
    <i r="3">
      <x v="63"/>
    </i>
    <i r="3">
      <x v="70"/>
    </i>
    <i r="2">
      <x v="142"/>
      <x v="10"/>
    </i>
    <i r="3">
      <x v="15"/>
    </i>
    <i r="3">
      <x v="63"/>
    </i>
    <i r="3">
      <x v="70"/>
    </i>
    <i r="2">
      <x v="143"/>
      <x v="10"/>
    </i>
    <i r="3">
      <x v="15"/>
    </i>
    <i r="3">
      <x v="70"/>
    </i>
    <i r="1">
      <x v="41"/>
      <x v="71"/>
      <x v="10"/>
    </i>
    <i r="3">
      <x v="15"/>
    </i>
    <i r="3">
      <x v="21"/>
    </i>
    <i r="3">
      <x v="47"/>
    </i>
    <i r="1">
      <x v="43"/>
      <x v="81"/>
      <x v="20"/>
    </i>
    <i r="3">
      <x v="35"/>
    </i>
    <i r="3">
      <x v="43"/>
    </i>
    <i r="1">
      <x v="45"/>
      <x v="104"/>
      <x v="43"/>
    </i>
    <i r="2">
      <x v="105"/>
      <x v="43"/>
    </i>
    <i r="2">
      <x v="106"/>
      <x v="43"/>
    </i>
    <i r="1">
      <x v="47"/>
      <x v="21"/>
      <x v="4"/>
    </i>
    <i r="3">
      <x v="10"/>
    </i>
    <i r="3">
      <x v="15"/>
    </i>
    <i r="3">
      <x v="43"/>
    </i>
    <i r="3">
      <x v="63"/>
    </i>
    <i r="2">
      <x v="77"/>
      <x v="10"/>
    </i>
    <i r="3">
      <x v="15"/>
    </i>
    <i r="3">
      <x v="43"/>
    </i>
    <i r="2">
      <x v="110"/>
      <x v="4"/>
    </i>
    <i r="3">
      <x v="43"/>
    </i>
    <i r="2">
      <x v="111"/>
      <x v="10"/>
    </i>
    <i r="3">
      <x v="15"/>
    </i>
    <i r="3">
      <x v="60"/>
    </i>
    <i r="1">
      <x v="49"/>
      <x v="24"/>
      <x v="15"/>
    </i>
    <i r="3">
      <x v="40"/>
    </i>
    <i r="3">
      <x v="42"/>
    </i>
    <i r="3">
      <x v="70"/>
    </i>
    <i r="1">
      <x v="53"/>
      <x v="11"/>
      <x v="10"/>
    </i>
    <i r="3">
      <x v="15"/>
    </i>
    <i r="3">
      <x v="36"/>
    </i>
    <i r="3">
      <x v="43"/>
    </i>
    <i r="3">
      <x v="69"/>
    </i>
    <i r="1">
      <x v="54"/>
      <x v="11"/>
      <x v="23"/>
    </i>
    <i r="3">
      <x v="43"/>
    </i>
    <i>
      <x v="7"/>
      <x v="5"/>
      <x v="27"/>
      <x v="35"/>
    </i>
    <i r="2">
      <x v="44"/>
      <x v="20"/>
    </i>
    <i r="3">
      <x v="46"/>
    </i>
    <i r="2">
      <x v="45"/>
      <x v="20"/>
    </i>
    <i r="2">
      <x v="82"/>
      <x v="4"/>
    </i>
    <i r="3">
      <x v="20"/>
    </i>
    <i r="3">
      <x v="43"/>
    </i>
    <i r="3">
      <x v="49"/>
    </i>
    <i r="2">
      <x v="103"/>
      <x v="35"/>
    </i>
    <i r="3">
      <x v="43"/>
    </i>
    <i r="1">
      <x v="9"/>
      <x v="14"/>
      <x v="15"/>
    </i>
    <i r="3">
      <x v="40"/>
    </i>
    <i r="3">
      <x v="43"/>
    </i>
    <i r="2">
      <x v="21"/>
      <x v="4"/>
    </i>
    <i r="3">
      <x v="10"/>
    </i>
    <i r="3">
      <x v="15"/>
    </i>
    <i r="3">
      <x v="43"/>
    </i>
    <i r="2">
      <x v="26"/>
      <x v="45"/>
    </i>
    <i r="2">
      <x v="77"/>
      <x v="10"/>
    </i>
    <i r="3">
      <x v="15"/>
    </i>
    <i r="3">
      <x v="43"/>
    </i>
    <i r="1">
      <x v="10"/>
      <x v="2"/>
      <x v="21"/>
    </i>
    <i r="3">
      <x v="47"/>
    </i>
    <i r="2">
      <x v="3"/>
      <x v="21"/>
    </i>
    <i r="3">
      <x v="47"/>
    </i>
    <i r="2">
      <x v="7"/>
      <x v="47"/>
    </i>
    <i r="2">
      <x v="8"/>
      <x v="47"/>
    </i>
    <i r="2">
      <x v="23"/>
      <x v="21"/>
    </i>
    <i r="2">
      <x v="28"/>
      <x v="21"/>
    </i>
    <i r="2">
      <x v="29"/>
      <x v="21"/>
    </i>
    <i r="2">
      <x v="30"/>
      <x v="21"/>
    </i>
    <i r="2">
      <x v="31"/>
      <x v="21"/>
    </i>
    <i r="2">
      <x v="64"/>
      <x v="47"/>
    </i>
    <i r="2">
      <x v="65"/>
      <x v="47"/>
    </i>
    <i r="1">
      <x v="12"/>
      <x v="79"/>
      <x v="43"/>
    </i>
    <i r="2">
      <x v="127"/>
      <x v="20"/>
    </i>
    <i r="3">
      <x v="48"/>
    </i>
    <i r="1">
      <x v="13"/>
      <x v="80"/>
      <x v="21"/>
    </i>
    <i r="1">
      <x v="15"/>
      <x v="5"/>
      <x v="47"/>
    </i>
    <i r="2">
      <x v="11"/>
      <x v="36"/>
    </i>
    <i r="2">
      <x v="138"/>
      <x v="21"/>
    </i>
    <i r="3">
      <x v="34"/>
    </i>
    <i r="1">
      <x v="16"/>
      <x v="6"/>
      <x v="10"/>
    </i>
    <i r="3">
      <x v="15"/>
    </i>
    <i r="3">
      <x v="47"/>
    </i>
    <i r="1">
      <x v="37"/>
      <x v="9"/>
      <x v="15"/>
    </i>
    <i r="3">
      <x v="26"/>
    </i>
    <i r="3">
      <x v="35"/>
    </i>
    <i r="3">
      <x v="40"/>
    </i>
    <i r="3">
      <x v="43"/>
    </i>
    <i r="3">
      <x v="47"/>
    </i>
    <i r="1">
      <x v="40"/>
      <x v="13"/>
      <x v="43"/>
    </i>
    <i r="1">
      <x v="41"/>
      <x v="10"/>
      <x v="10"/>
    </i>
    <i r="3">
      <x v="15"/>
    </i>
    <i r="3">
      <x v="21"/>
    </i>
    <i r="3">
      <x v="47"/>
    </i>
    <i r="2">
      <x v="20"/>
      <x v="47"/>
    </i>
    <i r="2">
      <x v="52"/>
      <x v="47"/>
    </i>
    <i r="1">
      <x v="43"/>
      <x v="4"/>
      <x v="4"/>
    </i>
    <i r="3">
      <x v="21"/>
    </i>
    <i r="3">
      <x v="43"/>
    </i>
    <i r="3">
      <x v="63"/>
    </i>
    <i r="2">
      <x v="81"/>
      <x v="20"/>
    </i>
    <i r="3">
      <x v="35"/>
    </i>
    <i r="3">
      <x v="43"/>
    </i>
    <i r="2">
      <x v="125"/>
      <x v="4"/>
    </i>
    <i r="3">
      <x v="43"/>
    </i>
    <i r="1">
      <x v="45"/>
      <x v="25"/>
      <x v="42"/>
    </i>
    <i r="1">
      <x v="56"/>
      <x v="110"/>
      <x v="4"/>
    </i>
    <i r="3">
      <x v="43"/>
    </i>
    <i r="2">
      <x v="111"/>
      <x v="10"/>
    </i>
    <i r="3">
      <x v="15"/>
    </i>
    <i r="3">
      <x v="60"/>
    </i>
  </rowItems>
  <colFields count="1">
    <field x="-2"/>
  </colFields>
  <colItems count="2">
    <i>
      <x/>
    </i>
    <i i="1">
      <x v="1"/>
    </i>
  </colItems>
  <pageFields count="1">
    <pageField fld="13" hier="-1"/>
  </pageFields>
  <dataFields count="2">
    <dataField name="Prev. Qty" fld="7" baseField="0" baseItem="0"/>
    <dataField name="Curr. Qty." fld="10" baseField="4" baseItem="49"/>
  </dataFields>
  <formats count="5">
    <format dxfId="39">
      <pivotArea field="14" type="button" dataOnly="0" labelOnly="1" outline="0" axis="axisRow" fieldPosition="0"/>
    </format>
    <format dxfId="38">
      <pivotArea field="15" type="button" dataOnly="0" labelOnly="1" outline="0" axis="axisRow" fieldPosition="1"/>
    </format>
    <format dxfId="37">
      <pivotArea field="16" type="button" dataOnly="0" labelOnly="1" outline="0" axis="axisRow" fieldPosition="2"/>
    </format>
    <format dxfId="36">
      <pivotArea dataOnly="0" labelOnly="1" outline="0" fieldPosition="0">
        <references count="1">
          <reference field="4294967294" count="1">
            <x v="1"/>
          </reference>
        </references>
      </pivotArea>
    </format>
    <format dxfId="35">
      <pivotArea field="5" type="button" dataOnly="0" labelOnly="1" outline="0" axis="axisRow" fieldPosition="3"/>
    </format>
  </formats>
  <pivotTableStyleInfo name="PivotStyleMedium7" showRowHeaders="0"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06B4383-4939-431E-9A5E-9DE2938D548F}" name="PivotTable4" cacheId="3" applyNumberFormats="0" applyBorderFormats="0" applyFontFormats="0" applyPatternFormats="0" applyAlignmentFormats="0" applyWidthHeightFormats="1" dataCaption="Values" updatedVersion="8" minRefreshableVersion="3" useAutoFormatting="1" rowGrandTotals="0" itemPrintTitles="1" createdVersion="6" indent="0" compact="0" compactData="0" multipleFieldFilters="0">
  <location ref="H7:J15" firstHeaderRow="1" firstDataRow="1" firstDataCol="2" rowPageCount="1" colPageCount="1"/>
  <pivotFields count="20">
    <pivotField compact="0" outline="0" showAll="0"/>
    <pivotField axis="axisRow" compact="0" outline="0" showAll="0" defaultSubtotal="0">
      <items count="71">
        <item m="1" x="54"/>
        <item m="1" x="48"/>
        <item m="1" x="61"/>
        <item m="1" x="62"/>
        <item x="2"/>
        <item x="3"/>
        <item x="34"/>
        <item x="20"/>
        <item x="21"/>
        <item x="22"/>
        <item m="1" x="70"/>
        <item x="6"/>
        <item m="1" x="43"/>
        <item x="7"/>
        <item m="1" x="57"/>
        <item x="31"/>
        <item x="35"/>
        <item m="1" x="41"/>
        <item x="5"/>
        <item m="1" x="40"/>
        <item m="1" x="65"/>
        <item m="1" x="66"/>
        <item x="27"/>
        <item m="1" x="68"/>
        <item m="1" x="69"/>
        <item x="19"/>
        <item x="13"/>
        <item m="1" x="63"/>
        <item m="1" x="64"/>
        <item m="1" x="67"/>
        <item m="1" x="60"/>
        <item x="16"/>
        <item m="1" x="46"/>
        <item x="15"/>
        <item x="8"/>
        <item x="10"/>
        <item x="28"/>
        <item m="1" x="45"/>
        <item m="1" x="47"/>
        <item x="12"/>
        <item m="1" x="55"/>
        <item x="14"/>
        <item x="30"/>
        <item x="18"/>
        <item x="1"/>
        <item x="36"/>
        <item x="38"/>
        <item m="1" x="53"/>
        <item x="11"/>
        <item x="24"/>
        <item x="37"/>
        <item x="9"/>
        <item x="17"/>
        <item m="1" x="44"/>
        <item m="1" x="59"/>
        <item m="1" x="50"/>
        <item m="1" x="51"/>
        <item m="1" x="56"/>
        <item m="1" x="58"/>
        <item x="4"/>
        <item x="29"/>
        <item m="1" x="42"/>
        <item m="1" x="49"/>
        <item x="0"/>
        <item x="25"/>
        <item x="23"/>
        <item m="1" x="52"/>
        <item x="32"/>
        <item m="1" x="39"/>
        <item x="26"/>
        <item x="33"/>
      </items>
    </pivotField>
    <pivotField axis="axisRow" compact="0" outline="0" showAll="0" defaultSubtotal="0">
      <items count="11">
        <item x="4"/>
        <item x="2"/>
        <item x="6"/>
        <item x="1"/>
        <item x="0"/>
        <item x="3"/>
        <item x="7"/>
        <item x="5"/>
        <item x="8"/>
        <item x="9"/>
        <item m="1" x="10"/>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name="Current Qty." dataField="1" compact="0" outline="0" showAll="0" defaultSubtotal="0"/>
    <pivotField compact="0" outline="0" showAll="0" defaultSubtotal="0"/>
    <pivotField compact="0" outline="0" showAll="0" defaultSubtotal="0"/>
    <pivotField axis="axisPage" compact="0" outline="0" showAll="0" defaultSubtotal="0">
      <items count="3">
        <item h="1" x="0"/>
        <item x="1"/>
        <item h="1" m="1" x="2"/>
      </items>
    </pivotField>
    <pivotField compact="0" outline="0" showAll="0" defaultSubtotal="0"/>
    <pivotField compact="0" outline="0" showAll="0" sortType="ascending" defaultSubtotal="0"/>
    <pivotField compact="0" outline="0" showAll="0" defaultSubtotal="0"/>
    <pivotField compact="0" outline="0" showAll="0" defaultSubtotal="0"/>
    <pivotField compact="0" outline="0" showAll="0"/>
    <pivotField compact="0" outline="0" showAll="0"/>
  </pivotFields>
  <rowFields count="2">
    <field x="2"/>
    <field x="1"/>
  </rowFields>
  <rowItems count="8">
    <i>
      <x v="1"/>
      <x v="4"/>
    </i>
    <i r="1">
      <x v="41"/>
    </i>
    <i r="1">
      <x v="59"/>
    </i>
    <i>
      <x v="4"/>
      <x v="15"/>
    </i>
    <i r="1">
      <x v="26"/>
    </i>
    <i r="1">
      <x v="31"/>
    </i>
    <i>
      <x v="6"/>
      <x v="9"/>
    </i>
    <i>
      <x v="8"/>
      <x v="42"/>
    </i>
  </rowItems>
  <colItems count="1">
    <i/>
  </colItems>
  <pageFields count="1">
    <pageField fld="13" item="1" hier="-1"/>
  </pageFields>
  <dataFields count="1">
    <dataField name="Curr. Qty." fld="10" baseField="4" baseItem="49"/>
  </dataFields>
  <formats count="6">
    <format dxfId="27">
      <pivotArea dataOnly="0" labelOnly="1" outline="0" axis="axisValues" fieldPosition="0"/>
    </format>
    <format dxfId="26">
      <pivotArea dataOnly="0" labelOnly="1" outline="0" axis="axisValues" fieldPosition="0"/>
    </format>
    <format dxfId="25">
      <pivotArea field="2" type="button" dataOnly="0" labelOnly="1" outline="0" axis="axisRow" fieldPosition="0"/>
    </format>
    <format dxfId="24">
      <pivotArea field="1" type="button" dataOnly="0" labelOnly="1" outline="0" axis="axisRow" fieldPosition="1"/>
    </format>
    <format dxfId="23">
      <pivotArea dataOnly="0" labelOnly="1" outline="0" axis="axisValues" fieldPosition="0"/>
    </format>
    <format dxfId="22">
      <pivotArea dataOnly="0" labelOnly="1" outline="0" axis="axisValues" fieldPosition="0"/>
    </format>
  </formats>
  <pivotTableStyleInfo name="PivotStyleMedium7" showRowHeaders="0"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9D34119-C39C-4858-BEF8-184BE54FFAE0}" name="PivotTable1" cacheId="2" applyNumberFormats="0" applyBorderFormats="0" applyFontFormats="0" applyPatternFormats="0" applyAlignmentFormats="0" applyWidthHeightFormats="1" dataCaption="Values" updatedVersion="8" minRefreshableVersion="3" useAutoFormatting="1" rowGrandTotals="0" itemPrintTitles="1" createdVersion="6" indent="0" compact="0" compactData="0" multipleFieldFilters="0">
  <location ref="B7:E67" firstHeaderRow="1" firstDataRow="1" firstDataCol="3" rowPageCount="1" colPageCount="1"/>
  <pivotFields count="20">
    <pivotField compact="0" outline="0" showAll="0"/>
    <pivotField axis="axisRow" compact="0" outline="0" showAll="0" defaultSubtotal="0">
      <items count="52">
        <item m="1" x="48"/>
        <item x="2"/>
        <item x="3"/>
        <item x="34"/>
        <item x="20"/>
        <item x="21"/>
        <item x="22"/>
        <item x="6"/>
        <item x="31"/>
        <item x="5"/>
        <item m="1" x="40"/>
        <item x="27"/>
        <item x="19"/>
        <item x="13"/>
        <item x="16"/>
        <item m="1" x="46"/>
        <item x="15"/>
        <item x="8"/>
        <item x="10"/>
        <item x="28"/>
        <item x="12"/>
        <item x="14"/>
        <item x="30"/>
        <item x="37"/>
        <item x="7"/>
        <item m="1" x="41"/>
        <item x="17"/>
        <item x="38"/>
        <item x="35"/>
        <item m="1" x="44"/>
        <item x="18"/>
        <item x="1"/>
        <item m="1" x="43"/>
        <item x="36"/>
        <item x="11"/>
        <item x="24"/>
        <item x="9"/>
        <item m="1" x="45"/>
        <item m="1" x="47"/>
        <item m="1" x="50"/>
        <item m="1" x="51"/>
        <item x="4"/>
        <item x="29"/>
        <item m="1" x="42"/>
        <item m="1" x="49"/>
        <item x="0"/>
        <item x="25"/>
        <item x="23"/>
        <item x="32"/>
        <item m="1" x="39"/>
        <item x="26"/>
        <item x="33"/>
      </items>
    </pivotField>
    <pivotField axis="axisRow" compact="0" outline="0" showAll="0" defaultSubtotal="0">
      <items count="10">
        <item x="4"/>
        <item x="2"/>
        <item x="6"/>
        <item x="1"/>
        <item x="0"/>
        <item x="3"/>
        <item x="7"/>
        <item x="5"/>
        <item x="8"/>
        <item x="9"/>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name="Current Qty." dataField="1" compact="0" outline="0" showAll="0" defaultSubtotal="0"/>
    <pivotField compact="0" outline="0" showAll="0" defaultSubtotal="0"/>
    <pivotField compact="0" outline="0" showAll="0" defaultSubtotal="0"/>
    <pivotField axis="axisPage" compact="0" outline="0" showAll="0" defaultSubtotal="0">
      <items count="3">
        <item x="0"/>
        <item x="1"/>
        <item m="1" x="2"/>
      </items>
    </pivotField>
    <pivotField axis="axisRow" compact="0" outline="0" showAll="0" defaultSubtotal="0">
      <items count="14">
        <item x="1"/>
        <item x="0"/>
        <item m="1" x="13"/>
        <item m="1" x="2"/>
        <item m="1" x="3"/>
        <item m="1" x="4"/>
        <item m="1" x="5"/>
        <item m="1" x="6"/>
        <item m="1" x="7"/>
        <item m="1" x="8"/>
        <item m="1" x="9"/>
        <item m="1" x="10"/>
        <item m="1" x="11"/>
        <item m="1" x="12"/>
      </items>
    </pivotField>
    <pivotField compact="0" outline="0" showAll="0" sortType="ascending" defaultSubtotal="0"/>
    <pivotField compact="0" outline="0" showAll="0" defaultSubtotal="0"/>
    <pivotField compact="0" outline="0" showAll="0" defaultSubtotal="0"/>
    <pivotField compact="0" outline="0" showAll="0"/>
    <pivotField compact="0" outline="0" showAll="0"/>
  </pivotFields>
  <rowFields count="3">
    <field x="14"/>
    <field x="2"/>
    <field x="1"/>
  </rowFields>
  <rowItems count="60">
    <i>
      <x/>
      <x/>
      <x v="7"/>
    </i>
    <i r="1">
      <x v="1"/>
      <x v="1"/>
    </i>
    <i r="2">
      <x v="21"/>
    </i>
    <i r="1">
      <x v="2"/>
      <x v="30"/>
    </i>
    <i r="1">
      <x v="3"/>
      <x v="9"/>
    </i>
    <i r="2">
      <x v="16"/>
    </i>
    <i r="2">
      <x v="17"/>
    </i>
    <i r="2">
      <x v="18"/>
    </i>
    <i r="2">
      <x v="19"/>
    </i>
    <i r="2">
      <x v="20"/>
    </i>
    <i r="2">
      <x v="31"/>
    </i>
    <i r="2">
      <x v="33"/>
    </i>
    <i r="2">
      <x v="34"/>
    </i>
    <i r="2">
      <x v="35"/>
    </i>
    <i r="2">
      <x v="36"/>
    </i>
    <i r="2">
      <x v="42"/>
    </i>
    <i r="1">
      <x v="4"/>
      <x v="8"/>
    </i>
    <i r="2">
      <x v="13"/>
    </i>
    <i r="2">
      <x v="24"/>
    </i>
    <i r="1">
      <x v="5"/>
      <x v="2"/>
    </i>
    <i r="1">
      <x v="6"/>
      <x v="6"/>
    </i>
    <i r="2">
      <x v="12"/>
    </i>
    <i r="1">
      <x v="7"/>
      <x v="26"/>
    </i>
    <i r="1">
      <x v="8"/>
      <x v="22"/>
    </i>
    <i>
      <x v="1"/>
      <x/>
      <x v="7"/>
    </i>
    <i r="2">
      <x v="46"/>
    </i>
    <i r="1">
      <x v="1"/>
      <x v="1"/>
    </i>
    <i r="2">
      <x v="21"/>
    </i>
    <i r="2">
      <x v="41"/>
    </i>
    <i r="1">
      <x v="2"/>
      <x v="30"/>
    </i>
    <i r="1">
      <x v="3"/>
      <x v="9"/>
    </i>
    <i r="2">
      <x v="17"/>
    </i>
    <i r="2">
      <x v="18"/>
    </i>
    <i r="2">
      <x v="19"/>
    </i>
    <i r="2">
      <x v="20"/>
    </i>
    <i r="2">
      <x v="28"/>
    </i>
    <i r="2">
      <x v="31"/>
    </i>
    <i r="2">
      <x v="33"/>
    </i>
    <i r="2">
      <x v="34"/>
    </i>
    <i r="2">
      <x v="35"/>
    </i>
    <i r="2">
      <x v="36"/>
    </i>
    <i r="2">
      <x v="42"/>
    </i>
    <i r="2">
      <x v="47"/>
    </i>
    <i r="2">
      <x v="51"/>
    </i>
    <i r="1">
      <x v="4"/>
      <x v="13"/>
    </i>
    <i r="2">
      <x v="14"/>
    </i>
    <i r="2">
      <x v="24"/>
    </i>
    <i r="2">
      <x v="27"/>
    </i>
    <i r="2">
      <x v="45"/>
    </i>
    <i r="2">
      <x v="50"/>
    </i>
    <i r="1">
      <x v="5"/>
      <x v="2"/>
    </i>
    <i r="2">
      <x v="3"/>
    </i>
    <i r="1">
      <x v="6"/>
      <x v="4"/>
    </i>
    <i r="2">
      <x v="5"/>
    </i>
    <i r="2">
      <x v="6"/>
    </i>
    <i r="2">
      <x v="12"/>
    </i>
    <i r="1">
      <x v="7"/>
      <x v="11"/>
    </i>
    <i r="2">
      <x v="26"/>
    </i>
    <i r="1">
      <x v="8"/>
      <x v="48"/>
    </i>
    <i r="1">
      <x v="9"/>
      <x v="23"/>
    </i>
  </rowItems>
  <colItems count="1">
    <i/>
  </colItems>
  <pageFields count="1">
    <pageField fld="13" hier="-1"/>
  </pageFields>
  <dataFields count="1">
    <dataField name="Curr. Qty." fld="10" baseField="4" baseItem="49"/>
  </dataFields>
  <formats count="7">
    <format dxfId="34">
      <pivotArea dataOnly="0" labelOnly="1" outline="0" axis="axisValues" fieldPosition="0"/>
    </format>
    <format dxfId="33">
      <pivotArea dataOnly="0" labelOnly="1" outline="0" axis="axisValues" fieldPosition="0"/>
    </format>
    <format dxfId="32">
      <pivotArea field="14" type="button" dataOnly="0" labelOnly="1" outline="0" axis="axisRow" fieldPosition="0"/>
    </format>
    <format dxfId="31">
      <pivotArea field="2" type="button" dataOnly="0" labelOnly="1" outline="0" axis="axisRow" fieldPosition="1"/>
    </format>
    <format dxfId="30">
      <pivotArea field="1" type="button" dataOnly="0" labelOnly="1" outline="0" axis="axisRow" fieldPosition="2"/>
    </format>
    <format dxfId="29">
      <pivotArea dataOnly="0" labelOnly="1" outline="0" axis="axisValues" fieldPosition="0"/>
    </format>
    <format dxfId="28">
      <pivotArea dataOnly="0" labelOnly="1" outline="0" axis="axisValues" fieldPosition="0"/>
    </format>
  </formats>
  <pivotTableStyleInfo name="PivotStyleMedium7" showRowHeaders="0"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 cacheId="0" applyNumberFormats="0" applyBorderFormats="0" applyFontFormats="0" applyPatternFormats="0" applyAlignmentFormats="0" applyWidthHeightFormats="1" dataCaption="Values" updatedVersion="8" minRefreshableVersion="3" useAutoFormatting="1" rowGrandTotals="0" itemPrintTitles="1" createdVersion="6" indent="0" compact="0" compactData="0" multipleFieldFilters="0">
  <location ref="B7:G7" firstHeaderRow="0" firstDataRow="1" firstDataCol="4" rowPageCount="1" colPageCount="1"/>
  <pivotFields count="17">
    <pivotField compact="0" outline="0" showAll="0"/>
    <pivotField compact="0" outline="0" showAll="0" defaultSubtotal="0"/>
    <pivotField compact="0" outline="0" showAll="0" defaultSubtotal="0"/>
    <pivotField compact="0" outline="0" showAll="0"/>
    <pivotField compact="0" outline="0" showAll="0"/>
    <pivotField name="Previous Qty." compact="0" outline="0" showAll="0" defaultSubtotal="0"/>
    <pivotField compact="0" outline="0" showAll="0" defaultSubtotal="0"/>
    <pivotField compact="0" outline="0" showAll="0" defaultSubtotal="0"/>
    <pivotField name="Current Qty." dataField="1" compact="0" outline="0" showAll="0" defaultSubtotal="0"/>
    <pivotField dataField="1" compact="0" outline="0" showAll="0" defaultSubtotal="0"/>
    <pivotField compact="0" outline="0" showAll="0" defaultSubtotal="0"/>
    <pivotField axis="axisPage" compact="0" outline="0" showAll="0" defaultSubtotal="0">
      <items count="3">
        <item x="0"/>
        <item m="1" x="2"/>
        <item m="1" x="1"/>
      </items>
    </pivotField>
    <pivotField axis="axisRow" compact="0" outline="0" showAll="0" defaultSubtotal="0">
      <items count="26">
        <item m="1" x="23"/>
        <item m="1" x="21"/>
        <item h="1" m="1" x="2"/>
        <item h="1" m="1" x="14"/>
        <item h="1" m="1" x="12"/>
        <item h="1" m="1" x="8"/>
        <item h="1" m="1" x="16"/>
        <item h="1" m="1" x="17"/>
        <item h="1" m="1" x="4"/>
        <item h="1" m="1" x="19"/>
        <item h="1" m="1" x="11"/>
        <item h="1" m="1" x="25"/>
        <item h="1" m="1" x="15"/>
        <item h="1" m="1" x="10"/>
        <item h="1" m="1" x="18"/>
        <item h="1" m="1" x="9"/>
        <item h="1" m="1" x="22"/>
        <item h="1" m="1" x="6"/>
        <item h="1" m="1" x="20"/>
        <item h="1" m="1" x="13"/>
        <item h="1" m="1" x="7"/>
        <item h="1" m="1" x="5"/>
        <item h="1" m="1" x="3"/>
        <item h="1" m="1" x="24"/>
        <item h="1" m="1" x="1"/>
        <item h="1" x="0"/>
      </items>
    </pivotField>
    <pivotField axis="axisRow" compact="0" outline="0" showAll="0" sortType="ascending" defaultSubtotal="0">
      <items count="23">
        <item m="1" x="6"/>
        <item m="1" x="17"/>
        <item m="1" x="10"/>
        <item x="1"/>
        <item m="1" x="13"/>
        <item m="1" x="22"/>
        <item x="3"/>
        <item m="1" x="14"/>
        <item m="1" x="9"/>
        <item m="1" x="16"/>
        <item m="1" x="19"/>
        <item m="1" x="11"/>
        <item m="1" x="12"/>
        <item m="1" x="21"/>
        <item m="1" x="8"/>
        <item x="5"/>
        <item x="2"/>
        <item x="0"/>
        <item m="1" x="20"/>
        <item m="1" x="18"/>
        <item x="4"/>
        <item m="1" x="15"/>
        <item m="1" x="7"/>
      </items>
    </pivotField>
    <pivotField axis="axisRow" compact="0" outline="0" showAll="0" defaultSubtotal="0">
      <items count="88">
        <item x="0"/>
        <item m="1" x="44"/>
        <item m="1" x="33"/>
        <item x="5"/>
        <item m="1" x="24"/>
        <item m="1" x="62"/>
        <item m="1" x="81"/>
        <item m="1" x="18"/>
        <item m="1" x="43"/>
        <item m="1" x="86"/>
        <item m="1" x="83"/>
        <item m="1" x="29"/>
        <item m="1" x="82"/>
        <item m="1" x="75"/>
        <item m="1" x="21"/>
        <item m="1" x="69"/>
        <item m="1" x="74"/>
        <item m="1" x="23"/>
        <item m="1" x="36"/>
        <item m="1" x="28"/>
        <item m="1" x="84"/>
        <item m="1" x="54"/>
        <item x="8"/>
        <item m="1" x="27"/>
        <item m="1" x="17"/>
        <item m="1" x="30"/>
        <item m="1" x="39"/>
        <item m="1" x="77"/>
        <item x="4"/>
        <item x="6"/>
        <item m="1" x="65"/>
        <item m="1" x="58"/>
        <item m="1" x="20"/>
        <item m="1" x="52"/>
        <item m="1" x="16"/>
        <item m="1" x="85"/>
        <item m="1" x="73"/>
        <item m="1" x="57"/>
        <item m="1" x="38"/>
        <item m="1" x="42"/>
        <item m="1" x="37"/>
        <item m="1" x="64"/>
        <item x="1"/>
        <item m="1" x="79"/>
        <item m="1" x="48"/>
        <item m="1" x="34"/>
        <item m="1" x="53"/>
        <item m="1" x="26"/>
        <item m="1" x="70"/>
        <item x="12"/>
        <item m="1" x="72"/>
        <item m="1" x="13"/>
        <item m="1" x="87"/>
        <item m="1" x="51"/>
        <item m="1" x="41"/>
        <item m="1" x="76"/>
        <item m="1" x="61"/>
        <item m="1" x="32"/>
        <item m="1" x="68"/>
        <item m="1" x="49"/>
        <item m="1" x="80"/>
        <item m="1" x="15"/>
        <item m="1" x="45"/>
        <item m="1" x="22"/>
        <item m="1" x="19"/>
        <item m="1" x="40"/>
        <item m="1" x="46"/>
        <item x="2"/>
        <item m="1" x="25"/>
        <item m="1" x="63"/>
        <item m="1" x="56"/>
        <item m="1" x="67"/>
        <item m="1" x="60"/>
        <item m="1" x="71"/>
        <item m="1" x="50"/>
        <item m="1" x="78"/>
        <item m="1" x="47"/>
        <item m="1" x="31"/>
        <item m="1" x="66"/>
        <item m="1" x="14"/>
        <item m="1" x="55"/>
        <item m="1" x="59"/>
        <item m="1" x="35"/>
        <item x="7"/>
        <item x="9"/>
        <item x="10"/>
        <item x="3"/>
        <item x="11"/>
      </items>
    </pivotField>
    <pivotField axis="axisRow" compact="0" outline="0" showAll="0" defaultSubtotal="0">
      <items count="22">
        <item x="0"/>
        <item x="2"/>
        <item m="1" x="12"/>
        <item x="4"/>
        <item x="6"/>
        <item x="7"/>
        <item x="8"/>
        <item m="1" x="14"/>
        <item m="1" x="19"/>
        <item x="5"/>
        <item m="1" x="21"/>
        <item m="1" x="17"/>
        <item m="1" x="10"/>
        <item m="1" x="20"/>
        <item x="3"/>
        <item m="1" x="15"/>
        <item m="1" x="11"/>
        <item m="1" x="16"/>
        <item x="1"/>
        <item m="1" x="18"/>
        <item m="1" x="9"/>
        <item m="1" x="13"/>
      </items>
    </pivotField>
    <pivotField compact="0" outline="0" showAll="0"/>
  </pivotFields>
  <rowFields count="4">
    <field x="12"/>
    <field x="13"/>
    <field x="14"/>
    <field x="15"/>
  </rowFields>
  <colFields count="1">
    <field x="-2"/>
  </colFields>
  <colItems count="2">
    <i>
      <x/>
    </i>
    <i i="1">
      <x v="1"/>
    </i>
  </colItems>
  <pageFields count="1">
    <pageField fld="11" item="0" hier="-1"/>
  </pageFields>
  <dataFields count="2">
    <dataField name="Curr. Qty." fld="8" baseField="4" baseItem="49"/>
    <dataField name="Qty. LAN Drops" fld="9" baseField="5" baseItem="46"/>
  </dataFields>
  <formats count="9">
    <format dxfId="21">
      <pivotArea dataOnly="0" labelOnly="1" outline="0" axis="axisValues" fieldPosition="0"/>
    </format>
    <format dxfId="20">
      <pivotArea dataOnly="0" labelOnly="1" outline="0" axis="axisValues" fieldPosition="0"/>
    </format>
    <format dxfId="19">
      <pivotArea dataOnly="0" labelOnly="1" outline="0" fieldPosition="0">
        <references count="1">
          <reference field="4294967294" count="1">
            <x v="1"/>
          </reference>
        </references>
      </pivotArea>
    </format>
    <format dxfId="18">
      <pivotArea dataOnly="0" labelOnly="1" outline="0" fieldPosition="0">
        <references count="1">
          <reference field="4294967294" count="1">
            <x v="0"/>
          </reference>
        </references>
      </pivotArea>
    </format>
    <format dxfId="17">
      <pivotArea field="12" type="button" dataOnly="0" labelOnly="1" outline="0" axis="axisRow" fieldPosition="0"/>
    </format>
    <format dxfId="16">
      <pivotArea field="13" type="button" dataOnly="0" labelOnly="1" outline="0" axis="axisRow" fieldPosition="1"/>
    </format>
    <format dxfId="15">
      <pivotArea field="14" type="button" dataOnly="0" labelOnly="1" outline="0" axis="axisRow" fieldPosition="2"/>
    </format>
    <format dxfId="14">
      <pivotArea field="15" type="button" dataOnly="0" labelOnly="1" outline="0" axis="axisRow" fieldPosition="3"/>
    </format>
    <format dxfId="13">
      <pivotArea dataOnly="0" labelOnly="1" outline="0" fieldPosition="0">
        <references count="1">
          <reference field="4294967294" count="2">
            <x v="0"/>
            <x v="1"/>
          </reference>
        </references>
      </pivotArea>
    </format>
  </formats>
  <pivotTableStyleInfo name="PivotStyleMedium7" showRowHeaders="0"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1" cacheId="1" applyNumberFormats="0" applyBorderFormats="0" applyFontFormats="0" applyPatternFormats="0" applyAlignmentFormats="0" applyWidthHeightFormats="1" dataCaption="Values" updatedVersion="8" minRefreshableVersion="3" useAutoFormatting="1" rowGrandTotals="0" itemPrintTitles="1" createdVersion="6" indent="0" compact="0" compactData="0" multipleFieldFilters="0">
  <location ref="B5:G319" firstHeaderRow="1" firstDataRow="1" firstDataCol="5"/>
  <pivotFields count="11">
    <pivotField compact="0" outline="0" showAll="0" defaultSubtotal="0"/>
    <pivotField axis="axisRow" compact="0" outline="0" showAll="0" defaultSubtotal="0">
      <items count="45">
        <item x="1"/>
        <item m="1" x="31"/>
        <item m="1" x="29"/>
        <item x="2"/>
        <item x="18"/>
        <item x="4"/>
        <item m="1" x="33"/>
        <item x="3"/>
        <item x="25"/>
        <item x="20"/>
        <item x="5"/>
        <item m="1" x="28"/>
        <item m="1" x="32"/>
        <item x="6"/>
        <item m="1" x="34"/>
        <item x="17"/>
        <item m="1" x="43"/>
        <item m="1" x="35"/>
        <item m="1" x="36"/>
        <item m="1" x="39"/>
        <item m="1" x="30"/>
        <item m="1" x="42"/>
        <item x="7"/>
        <item x="8"/>
        <item m="1" x="41"/>
        <item m="1" x="37"/>
        <item m="1" x="38"/>
        <item m="1" x="44"/>
        <item m="1" x="40"/>
        <item x="0"/>
        <item x="9"/>
        <item x="10"/>
        <item x="11"/>
        <item x="12"/>
        <item x="13"/>
        <item x="14"/>
        <item x="15"/>
        <item x="16"/>
        <item x="19"/>
        <item x="21"/>
        <item x="22"/>
        <item x="23"/>
        <item x="24"/>
        <item x="26"/>
        <item x="27"/>
      </items>
    </pivotField>
    <pivotField axis="axisRow" compact="0" outline="0" showAll="0" defaultSubtotal="0">
      <items count="88">
        <item m="1" x="81"/>
        <item x="48"/>
        <item x="2"/>
        <item m="1" x="68"/>
        <item m="1" x="71"/>
        <item m="1" x="84"/>
        <item x="46"/>
        <item m="1" x="83"/>
        <item m="1" x="80"/>
        <item x="15"/>
        <item x="16"/>
        <item x="56"/>
        <item x="17"/>
        <item m="1" x="86"/>
        <item m="1" x="64"/>
        <item m="1" x="65"/>
        <item m="1" x="82"/>
        <item x="1"/>
        <item m="1" x="67"/>
        <item x="10"/>
        <item x="58"/>
        <item x="12"/>
        <item x="13"/>
        <item x="27"/>
        <item x="44"/>
        <item x="34"/>
        <item x="33"/>
        <item x="55"/>
        <item x="28"/>
        <item x="20"/>
        <item m="1" x="69"/>
        <item x="11"/>
        <item m="1" x="70"/>
        <item m="1" x="77"/>
        <item x="6"/>
        <item x="7"/>
        <item x="30"/>
        <item x="32"/>
        <item x="31"/>
        <item x="4"/>
        <item x="47"/>
        <item x="25"/>
        <item m="1" x="76"/>
        <item x="22"/>
        <item x="19"/>
        <item m="1" x="73"/>
        <item m="1" x="66"/>
        <item x="21"/>
        <item x="9"/>
        <item x="26"/>
        <item x="45"/>
        <item m="1" x="61"/>
        <item x="24"/>
        <item m="1" x="85"/>
        <item x="5"/>
        <item x="29"/>
        <item x="43"/>
        <item m="1" x="72"/>
        <item m="1" x="78"/>
        <item m="1" x="60"/>
        <item m="1" x="63"/>
        <item x="40"/>
        <item m="1" x="79"/>
        <item x="36"/>
        <item x="35"/>
        <item x="37"/>
        <item m="1" x="87"/>
        <item x="39"/>
        <item x="57"/>
        <item x="3"/>
        <item m="1" x="62"/>
        <item x="0"/>
        <item m="1" x="74"/>
        <item m="1" x="75"/>
        <item x="18"/>
        <item x="23"/>
        <item x="8"/>
        <item x="14"/>
        <item x="38"/>
        <item x="41"/>
        <item x="42"/>
        <item x="49"/>
        <item x="50"/>
        <item x="51"/>
        <item x="52"/>
        <item x="53"/>
        <item x="54"/>
        <item x="59"/>
      </items>
    </pivotField>
    <pivotField axis="axisRow" compact="0" outline="0" showAll="0" defaultSubtotal="0">
      <items count="54">
        <item x="0"/>
        <item x="7"/>
        <item x="1"/>
        <item x="2"/>
        <item x="3"/>
        <item x="4"/>
        <item x="5"/>
        <item x="6"/>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s>
    </pivotField>
    <pivotField axis="axisRow" compact="0" outline="0" showAll="0" defaultSubtotal="0">
      <items count="247">
        <item x="0"/>
        <item x="38"/>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s>
    </pivotField>
    <pivotField compact="0" outline="0" showAll="0" defaultSubtotal="0"/>
    <pivotField compact="0" outline="0" showAll="0" defaultSubtotal="0"/>
    <pivotField name="Previous Qty." dataField="1" compact="0" outline="0" showAll="0" defaultSubtotal="0"/>
    <pivotField compact="0" outline="0" showAll="0" defaultSubtotal="0"/>
    <pivotField axis="axisRow" compact="0" outline="0" showAll="0" defaultSubtotal="0">
      <items count="28">
        <item x="0"/>
        <item m="1" x="27"/>
        <item x="1"/>
        <item x="2"/>
        <item x="3"/>
        <item x="4"/>
        <item x="5"/>
        <item x="6"/>
        <item x="7"/>
        <item x="8"/>
        <item x="9"/>
        <item x="10"/>
        <item x="11"/>
        <item x="12"/>
        <item x="13"/>
        <item x="14"/>
        <item x="15"/>
        <item x="16"/>
        <item x="17"/>
        <item x="18"/>
        <item x="19"/>
        <item x="20"/>
        <item x="21"/>
        <item x="22"/>
        <item x="23"/>
        <item x="24"/>
        <item x="25"/>
        <item x="26"/>
      </items>
    </pivotField>
    <pivotField compact="0" outline="0" showAll="0" defaultSubtotal="0"/>
  </pivotFields>
  <rowFields count="5">
    <field x="9"/>
    <field x="1"/>
    <field x="2"/>
    <field x="3"/>
    <field x="4"/>
  </rowFields>
  <rowItems count="314">
    <i>
      <x/>
      <x v="29"/>
      <x v="71"/>
      <x/>
      <x/>
    </i>
    <i>
      <x v="2"/>
      <x/>
      <x v="71"/>
      <x v="2"/>
      <x v="2"/>
    </i>
    <i r="3">
      <x v="3"/>
      <x v="3"/>
    </i>
    <i r="3">
      <x v="4"/>
      <x v="4"/>
    </i>
    <i r="3">
      <x v="5"/>
      <x v="5"/>
    </i>
    <i r="3">
      <x v="6"/>
      <x v="6"/>
    </i>
    <i r="3">
      <x v="7"/>
      <x v="7"/>
    </i>
    <i r="1">
      <x v="22"/>
      <x v="9"/>
      <x v="1"/>
      <x v="1"/>
    </i>
    <i r="2">
      <x v="10"/>
      <x v="1"/>
      <x v="1"/>
    </i>
    <i r="2">
      <x v="12"/>
      <x v="1"/>
      <x v="1"/>
    </i>
    <i r="2">
      <x v="29"/>
      <x v="1"/>
      <x v="1"/>
    </i>
    <i r="2">
      <x v="43"/>
      <x v="1"/>
      <x v="1"/>
    </i>
    <i r="2">
      <x v="44"/>
      <x v="1"/>
      <x v="1"/>
    </i>
    <i r="2">
      <x v="47"/>
      <x v="1"/>
      <x v="1"/>
    </i>
    <i r="2">
      <x v="74"/>
      <x v="1"/>
      <x v="1"/>
    </i>
    <i r="2">
      <x v="75"/>
      <x v="1"/>
      <x v="1"/>
    </i>
    <i r="1">
      <x v="23"/>
      <x v="1"/>
      <x v="1"/>
      <x v="1"/>
    </i>
    <i r="2">
      <x v="6"/>
      <x v="1"/>
      <x v="1"/>
    </i>
    <i r="2">
      <x v="25"/>
      <x v="1"/>
      <x v="1"/>
    </i>
    <i r="2">
      <x v="40"/>
      <x v="1"/>
      <x v="1"/>
    </i>
    <i r="2">
      <x v="41"/>
      <x v="1"/>
      <x v="1"/>
    </i>
    <i r="2">
      <x v="52"/>
      <x v="1"/>
      <x v="1"/>
    </i>
    <i r="2">
      <x v="55"/>
      <x v="1"/>
      <x v="1"/>
    </i>
    <i r="2">
      <x v="56"/>
      <x v="1"/>
      <x v="1"/>
    </i>
    <i r="2">
      <x v="61"/>
      <x v="1"/>
      <x v="1"/>
    </i>
    <i r="2">
      <x v="63"/>
      <x v="1"/>
      <x v="1"/>
    </i>
    <i r="2">
      <x v="64"/>
      <x v="1"/>
      <x v="1"/>
    </i>
    <i r="2">
      <x v="65"/>
      <x v="1"/>
      <x v="1"/>
    </i>
    <i r="2">
      <x v="67"/>
      <x v="1"/>
      <x v="1"/>
    </i>
    <i r="2">
      <x v="78"/>
      <x v="1"/>
      <x v="1"/>
    </i>
    <i r="2">
      <x v="79"/>
      <x v="1"/>
      <x v="1"/>
    </i>
    <i r="2">
      <x v="80"/>
      <x v="1"/>
      <x v="1"/>
    </i>
    <i r="1">
      <x v="30"/>
      <x v="81"/>
      <x v="1"/>
      <x v="1"/>
    </i>
    <i>
      <x v="3"/>
      <x/>
      <x v="71"/>
      <x v="7"/>
      <x v="7"/>
    </i>
    <i>
      <x v="4"/>
      <x v="3"/>
      <x v="2"/>
      <x v="1"/>
      <x v="10"/>
    </i>
    <i r="4">
      <x v="11"/>
    </i>
    <i r="4">
      <x v="12"/>
    </i>
    <i r="4">
      <x v="13"/>
    </i>
    <i r="2">
      <x v="17"/>
      <x v="1"/>
      <x v="8"/>
    </i>
    <i r="4">
      <x v="9"/>
    </i>
    <i r="2">
      <x v="19"/>
      <x v="1"/>
      <x v="1"/>
    </i>
    <i r="2">
      <x v="35"/>
      <x v="1"/>
      <x v="1"/>
    </i>
    <i r="2">
      <x v="48"/>
      <x v="1"/>
      <x v="1"/>
    </i>
    <i r="2">
      <x v="54"/>
      <x v="1"/>
      <x v="38"/>
    </i>
    <i>
      <x v="5"/>
      <x v="3"/>
      <x v="34"/>
      <x v="1"/>
      <x v="1"/>
    </i>
    <i r="2">
      <x v="39"/>
      <x v="1"/>
      <x v="36"/>
    </i>
    <i r="4">
      <x v="37"/>
    </i>
    <i r="2">
      <x v="69"/>
      <x v="1"/>
      <x v="14"/>
    </i>
    <i r="4">
      <x v="15"/>
    </i>
    <i r="4">
      <x v="16"/>
    </i>
    <i r="4">
      <x v="17"/>
    </i>
    <i r="4">
      <x v="18"/>
    </i>
    <i r="4">
      <x v="19"/>
    </i>
    <i r="4">
      <x v="20"/>
    </i>
    <i r="4">
      <x v="21"/>
    </i>
    <i r="4">
      <x v="22"/>
    </i>
    <i r="4">
      <x v="23"/>
    </i>
    <i r="4">
      <x v="24"/>
    </i>
    <i r="4">
      <x v="25"/>
    </i>
    <i r="4">
      <x v="26"/>
    </i>
    <i r="4">
      <x v="27"/>
    </i>
    <i r="4">
      <x v="28"/>
    </i>
    <i r="4">
      <x v="29"/>
    </i>
    <i r="4">
      <x v="30"/>
    </i>
    <i r="4">
      <x v="31"/>
    </i>
    <i r="4">
      <x v="32"/>
    </i>
    <i r="4">
      <x v="33"/>
    </i>
    <i r="4">
      <x v="34"/>
    </i>
    <i r="4">
      <x v="35"/>
    </i>
    <i r="2">
      <x v="76"/>
      <x v="1"/>
      <x v="1"/>
    </i>
    <i r="1">
      <x v="5"/>
      <x v="21"/>
      <x v="1"/>
      <x v="39"/>
    </i>
    <i r="4">
      <x v="40"/>
    </i>
    <i r="1">
      <x v="7"/>
      <x v="31"/>
      <x v="1"/>
      <x v="1"/>
    </i>
    <i>
      <x v="6"/>
      <x v="10"/>
      <x v="22"/>
      <x v="8"/>
      <x v="41"/>
    </i>
    <i r="3">
      <x v="9"/>
      <x v="42"/>
    </i>
    <i r="3">
      <x v="10"/>
      <x v="43"/>
    </i>
    <i r="3">
      <x v="11"/>
      <x v="44"/>
    </i>
    <i r="3">
      <x v="12"/>
      <x v="45"/>
    </i>
    <i r="3">
      <x v="13"/>
      <x v="46"/>
    </i>
    <i r="3">
      <x v="14"/>
      <x v="47"/>
    </i>
    <i r="3">
      <x v="15"/>
      <x v="48"/>
    </i>
    <i r="3">
      <x v="16"/>
      <x v="49"/>
    </i>
    <i r="3">
      <x v="17"/>
      <x v="50"/>
    </i>
    <i r="1">
      <x v="13"/>
      <x v="68"/>
      <x v="1"/>
      <x v="231"/>
    </i>
    <i r="4">
      <x v="232"/>
    </i>
    <i r="4">
      <x v="233"/>
    </i>
    <i r="4">
      <x v="234"/>
    </i>
    <i r="1">
      <x v="23"/>
      <x v="23"/>
      <x v="1"/>
      <x v="1"/>
    </i>
    <i r="2">
      <x v="24"/>
      <x v="1"/>
      <x v="1"/>
    </i>
    <i r="2">
      <x v="26"/>
      <x v="1"/>
      <x v="1"/>
    </i>
    <i r="2">
      <x v="28"/>
      <x v="1"/>
      <x v="1"/>
    </i>
    <i r="2">
      <x v="36"/>
      <x v="1"/>
      <x v="1"/>
    </i>
    <i r="2">
      <x v="37"/>
      <x v="1"/>
      <x v="1"/>
    </i>
    <i r="2">
      <x v="38"/>
      <x v="1"/>
      <x v="1"/>
    </i>
    <i r="2">
      <x v="50"/>
      <x v="1"/>
      <x v="1"/>
    </i>
    <i r="1">
      <x v="32"/>
      <x v="83"/>
      <x v="1"/>
      <x v="1"/>
    </i>
    <i>
      <x v="7"/>
      <x v="10"/>
      <x v="22"/>
      <x v="18"/>
      <x v="51"/>
    </i>
    <i r="3">
      <x v="19"/>
      <x v="52"/>
    </i>
    <i r="3">
      <x v="20"/>
      <x v="53"/>
    </i>
    <i r="3">
      <x v="21"/>
      <x v="54"/>
    </i>
    <i r="3">
      <x v="22"/>
      <x v="55"/>
    </i>
    <i r="3">
      <x v="23"/>
      <x v="56"/>
    </i>
    <i r="3">
      <x v="24"/>
      <x v="57"/>
    </i>
    <i r="3">
      <x v="25"/>
      <x v="58"/>
    </i>
    <i r="3">
      <x v="26"/>
      <x v="59"/>
    </i>
    <i r="3">
      <x v="27"/>
      <x v="60"/>
    </i>
    <i>
      <x v="8"/>
      <x v="10"/>
      <x v="22"/>
      <x v="28"/>
      <x v="61"/>
    </i>
    <i r="3">
      <x v="29"/>
      <x v="62"/>
    </i>
    <i r="3">
      <x v="30"/>
      <x v="63"/>
    </i>
    <i r="3">
      <x v="31"/>
      <x v="64"/>
    </i>
    <i r="3">
      <x v="32"/>
      <x v="65"/>
    </i>
    <i r="3">
      <x v="33"/>
      <x v="66"/>
    </i>
    <i r="3">
      <x v="34"/>
      <x v="67"/>
    </i>
    <i r="1">
      <x v="31"/>
      <x v="82"/>
      <x v="1"/>
      <x v="1"/>
    </i>
    <i>
      <x v="9"/>
      <x v="10"/>
      <x v="22"/>
      <x v="35"/>
      <x v="68"/>
    </i>
    <i r="3">
      <x v="36"/>
      <x v="69"/>
    </i>
    <i r="3">
      <x v="37"/>
      <x v="70"/>
    </i>
    <i r="3">
      <x v="38"/>
      <x v="71"/>
    </i>
    <i r="3">
      <x v="39"/>
      <x v="72"/>
    </i>
    <i r="3">
      <x v="40"/>
      <x v="73"/>
    </i>
    <i r="3">
      <x v="41"/>
      <x v="74"/>
    </i>
    <i r="3">
      <x v="42"/>
      <x v="75"/>
    </i>
    <i r="3">
      <x v="43"/>
      <x v="76"/>
    </i>
    <i r="3">
      <x v="44"/>
      <x v="77"/>
    </i>
    <i>
      <x v="10"/>
      <x v="10"/>
      <x v="22"/>
      <x v="45"/>
      <x v="78"/>
    </i>
    <i r="3">
      <x v="46"/>
      <x v="79"/>
    </i>
    <i r="1">
      <x v="23"/>
      <x v="48"/>
      <x v="1"/>
      <x v="1"/>
    </i>
    <i r="2">
      <x v="49"/>
      <x v="1"/>
      <x v="1"/>
    </i>
    <i>
      <x v="11"/>
      <x v="13"/>
      <x v="77"/>
      <x v="1"/>
      <x v="80"/>
    </i>
    <i r="4">
      <x v="81"/>
    </i>
    <i r="4">
      <x v="82"/>
    </i>
    <i r="4">
      <x v="83"/>
    </i>
    <i r="4">
      <x v="84"/>
    </i>
    <i r="4">
      <x v="85"/>
    </i>
    <i r="4">
      <x v="86"/>
    </i>
    <i r="4">
      <x v="87"/>
    </i>
    <i r="4">
      <x v="88"/>
    </i>
    <i r="4">
      <x v="89"/>
    </i>
    <i>
      <x v="12"/>
      <x v="13"/>
      <x v="77"/>
      <x v="1"/>
      <x v="90"/>
    </i>
    <i r="4">
      <x v="91"/>
    </i>
    <i r="4">
      <x v="92"/>
    </i>
    <i r="4">
      <x v="93"/>
    </i>
    <i r="4">
      <x v="94"/>
    </i>
    <i r="4">
      <x v="95"/>
    </i>
    <i r="4">
      <x v="96"/>
    </i>
    <i r="4">
      <x v="97"/>
    </i>
    <i r="4">
      <x v="98"/>
    </i>
    <i r="4">
      <x v="99"/>
    </i>
    <i>
      <x v="13"/>
      <x v="13"/>
      <x v="77"/>
      <x v="1"/>
      <x v="100"/>
    </i>
    <i r="4">
      <x v="101"/>
    </i>
    <i r="4">
      <x v="102"/>
    </i>
    <i r="4">
      <x v="103"/>
    </i>
    <i r="4">
      <x v="104"/>
    </i>
    <i r="4">
      <x v="105"/>
    </i>
    <i r="4">
      <x v="106"/>
    </i>
    <i r="4">
      <x v="107"/>
    </i>
    <i r="4">
      <x v="108"/>
    </i>
    <i r="4">
      <x v="109"/>
    </i>
    <i>
      <x v="14"/>
      <x v="13"/>
      <x v="77"/>
      <x v="1"/>
      <x v="110"/>
    </i>
    <i r="4">
      <x v="111"/>
    </i>
    <i r="4">
      <x v="112"/>
    </i>
    <i r="4">
      <x v="113"/>
    </i>
    <i r="4">
      <x v="114"/>
    </i>
    <i r="4">
      <x v="115"/>
    </i>
    <i r="4">
      <x v="116"/>
    </i>
    <i r="4">
      <x v="117"/>
    </i>
    <i r="4">
      <x v="118"/>
    </i>
    <i r="4">
      <x v="119"/>
    </i>
    <i>
      <x v="15"/>
      <x v="13"/>
      <x v="77"/>
      <x v="1"/>
      <x v="120"/>
    </i>
    <i r="4">
      <x v="121"/>
    </i>
    <i r="4">
      <x v="122"/>
    </i>
    <i r="4">
      <x v="123"/>
    </i>
    <i r="4">
      <x v="124"/>
    </i>
    <i r="4">
      <x v="125"/>
    </i>
    <i r="4">
      <x v="126"/>
    </i>
    <i r="4">
      <x v="127"/>
    </i>
    <i r="4">
      <x v="128"/>
    </i>
    <i r="4">
      <x v="129"/>
    </i>
    <i>
      <x v="16"/>
      <x v="13"/>
      <x v="77"/>
      <x v="1"/>
      <x v="130"/>
    </i>
    <i r="4">
      <x v="131"/>
    </i>
    <i r="4">
      <x v="132"/>
    </i>
    <i r="4">
      <x v="133"/>
    </i>
    <i r="4">
      <x v="134"/>
    </i>
    <i r="4">
      <x v="135"/>
    </i>
    <i r="4">
      <x v="136"/>
    </i>
    <i r="4">
      <x v="137"/>
    </i>
    <i r="4">
      <x v="138"/>
    </i>
    <i r="4">
      <x v="139"/>
    </i>
    <i>
      <x v="17"/>
      <x v="13"/>
      <x v="77"/>
      <x v="1"/>
      <x v="140"/>
    </i>
    <i r="4">
      <x v="141"/>
    </i>
    <i r="4">
      <x v="142"/>
    </i>
    <i r="4">
      <x v="143"/>
    </i>
    <i r="4">
      <x v="144"/>
    </i>
    <i r="4">
      <x v="145"/>
    </i>
    <i r="4">
      <x v="146"/>
    </i>
    <i r="4">
      <x v="147"/>
    </i>
    <i r="4">
      <x v="148"/>
    </i>
    <i r="4">
      <x v="149"/>
    </i>
    <i>
      <x v="18"/>
      <x v="13"/>
      <x v="77"/>
      <x v="1"/>
      <x v="150"/>
    </i>
    <i r="4">
      <x v="151"/>
    </i>
    <i r="4">
      <x v="152"/>
    </i>
    <i r="4">
      <x v="153"/>
    </i>
    <i r="4">
      <x v="154"/>
    </i>
    <i r="4">
      <x v="155"/>
    </i>
    <i r="4">
      <x v="156"/>
    </i>
    <i r="4">
      <x v="157"/>
    </i>
    <i r="4">
      <x v="158"/>
    </i>
    <i r="4">
      <x v="159"/>
    </i>
    <i>
      <x v="19"/>
      <x v="13"/>
      <x v="77"/>
      <x v="1"/>
      <x v="160"/>
    </i>
    <i r="4">
      <x v="161"/>
    </i>
    <i r="4">
      <x v="162"/>
    </i>
    <i r="4">
      <x v="163"/>
    </i>
    <i r="4">
      <x v="164"/>
    </i>
    <i r="4">
      <x v="165"/>
    </i>
    <i r="4">
      <x v="166"/>
    </i>
    <i r="4">
      <x v="167"/>
    </i>
    <i r="4">
      <x v="168"/>
    </i>
    <i r="4">
      <x v="169"/>
    </i>
    <i>
      <x v="20"/>
      <x v="13"/>
      <x v="77"/>
      <x v="1"/>
      <x v="170"/>
    </i>
    <i r="4">
      <x v="171"/>
    </i>
    <i r="4">
      <x v="172"/>
    </i>
    <i r="4">
      <x v="173"/>
    </i>
    <i r="4">
      <x v="174"/>
    </i>
    <i r="4">
      <x v="175"/>
    </i>
    <i r="4">
      <x v="176"/>
    </i>
    <i r="4">
      <x v="177"/>
    </i>
    <i r="4">
      <x v="178"/>
    </i>
    <i r="4">
      <x v="179"/>
    </i>
    <i>
      <x v="21"/>
      <x v="13"/>
      <x v="77"/>
      <x v="1"/>
      <x v="180"/>
    </i>
    <i r="4">
      <x v="181"/>
    </i>
    <i r="4">
      <x v="182"/>
    </i>
    <i r="4">
      <x v="183"/>
    </i>
    <i r="4">
      <x v="184"/>
    </i>
    <i r="4">
      <x v="185"/>
    </i>
    <i r="4">
      <x v="186"/>
    </i>
    <i r="4">
      <x v="187"/>
    </i>
    <i r="4">
      <x v="188"/>
    </i>
    <i r="4">
      <x v="189"/>
    </i>
    <i>
      <x v="22"/>
      <x v="13"/>
      <x v="77"/>
      <x v="1"/>
      <x v="190"/>
    </i>
    <i r="4">
      <x v="191"/>
    </i>
    <i r="4">
      <x v="192"/>
    </i>
    <i r="4">
      <x v="193"/>
    </i>
    <i r="4">
      <x v="194"/>
    </i>
    <i r="4">
      <x v="195"/>
    </i>
    <i r="4">
      <x v="196"/>
    </i>
    <i r="4">
      <x v="197"/>
    </i>
    <i r="4">
      <x v="198"/>
    </i>
    <i r="4">
      <x v="199"/>
    </i>
    <i>
      <x v="23"/>
      <x v="13"/>
      <x v="77"/>
      <x v="1"/>
      <x v="200"/>
    </i>
    <i r="4">
      <x v="201"/>
    </i>
    <i r="4">
      <x v="202"/>
    </i>
    <i r="4">
      <x v="203"/>
    </i>
    <i r="4">
      <x v="204"/>
    </i>
    <i r="4">
      <x v="205"/>
    </i>
    <i r="4">
      <x v="206"/>
    </i>
    <i r="4">
      <x v="207"/>
    </i>
    <i r="4">
      <x v="208"/>
    </i>
    <i r="4">
      <x v="209"/>
    </i>
    <i>
      <x v="24"/>
      <x v="13"/>
      <x v="77"/>
      <x v="1"/>
      <x v="210"/>
    </i>
    <i r="4">
      <x v="211"/>
    </i>
    <i r="4">
      <x v="212"/>
    </i>
    <i r="4">
      <x v="213"/>
    </i>
    <i r="4">
      <x v="214"/>
    </i>
    <i r="4">
      <x v="215"/>
    </i>
    <i r="4">
      <x v="216"/>
    </i>
    <i r="4">
      <x v="217"/>
    </i>
    <i r="4">
      <x v="218"/>
    </i>
    <i r="4">
      <x v="219"/>
    </i>
    <i>
      <x v="25"/>
      <x v="10"/>
      <x v="22"/>
      <x v="1"/>
      <x v="230"/>
    </i>
    <i r="3">
      <x v="53"/>
      <x v="229"/>
    </i>
    <i r="1">
      <x v="15"/>
      <x v="27"/>
      <x v="1"/>
      <x v="1"/>
    </i>
    <i r="1">
      <x v="33"/>
      <x v="84"/>
      <x v="1"/>
      <x v="220"/>
    </i>
    <i r="4">
      <x v="221"/>
    </i>
    <i r="1">
      <x v="34"/>
      <x v="85"/>
      <x v="1"/>
      <x v="1"/>
    </i>
    <i r="1">
      <x v="35"/>
      <x v="86"/>
      <x v="1"/>
      <x v="1"/>
    </i>
    <i r="1">
      <x v="36"/>
      <x v="71"/>
      <x v="1"/>
      <x v="1"/>
    </i>
    <i r="1">
      <x v="37"/>
      <x v="71"/>
      <x v="1"/>
      <x v="1"/>
    </i>
    <i r="1">
      <x v="39"/>
      <x v="71"/>
      <x v="1"/>
      <x v="1"/>
    </i>
    <i>
      <x v="26"/>
      <x v="3"/>
      <x v="34"/>
      <x v="1"/>
      <x v="1"/>
    </i>
    <i r="2">
      <x v="35"/>
      <x v="1"/>
      <x v="1"/>
    </i>
    <i r="1">
      <x v="4"/>
      <x v="11"/>
      <x v="1"/>
      <x v="222"/>
    </i>
    <i r="1">
      <x v="7"/>
      <x v="31"/>
      <x v="1"/>
      <x v="1"/>
    </i>
    <i r="1">
      <x v="9"/>
      <x v="22"/>
      <x v="47"/>
      <x v="223"/>
    </i>
    <i r="3">
      <x v="48"/>
      <x v="224"/>
    </i>
    <i r="3">
      <x v="49"/>
      <x v="225"/>
    </i>
    <i r="3">
      <x v="50"/>
      <x v="226"/>
    </i>
    <i r="3">
      <x v="51"/>
      <x v="227"/>
    </i>
    <i r="3">
      <x v="52"/>
      <x v="228"/>
    </i>
    <i r="1">
      <x v="15"/>
      <x v="27"/>
      <x v="1"/>
      <x v="1"/>
    </i>
    <i r="1">
      <x v="23"/>
      <x v="24"/>
      <x v="1"/>
      <x v="1"/>
    </i>
    <i r="2">
      <x v="55"/>
      <x v="1"/>
      <x v="1"/>
    </i>
    <i r="1">
      <x v="38"/>
      <x v="71"/>
      <x v="1"/>
      <x v="1"/>
    </i>
    <i r="1">
      <x v="40"/>
      <x v="71"/>
      <x v="1"/>
      <x v="1"/>
    </i>
    <i r="1">
      <x v="41"/>
      <x v="71"/>
      <x v="1"/>
      <x v="1"/>
    </i>
    <i r="1">
      <x v="42"/>
      <x v="71"/>
      <x v="1"/>
      <x v="1"/>
    </i>
    <i>
      <x v="27"/>
      <x v="3"/>
      <x v="34"/>
      <x v="1"/>
      <x v="1"/>
    </i>
    <i r="2">
      <x v="35"/>
      <x v="1"/>
      <x v="1"/>
    </i>
    <i r="1">
      <x v="5"/>
      <x v="21"/>
      <x v="1"/>
      <x v="236"/>
    </i>
    <i r="1">
      <x v="7"/>
      <x v="31"/>
      <x v="1"/>
      <x v="235"/>
    </i>
    <i r="1">
      <x v="8"/>
      <x v="20"/>
      <x v="1"/>
      <x v="237"/>
    </i>
    <i r="4">
      <x v="238"/>
    </i>
    <i r="4">
      <x v="239"/>
    </i>
    <i r="4">
      <x v="240"/>
    </i>
    <i r="4">
      <x v="241"/>
    </i>
    <i r="1">
      <x v="23"/>
      <x v="34"/>
      <x v="1"/>
      <x v="1"/>
    </i>
    <i r="2">
      <x v="35"/>
      <x v="1"/>
      <x v="1"/>
    </i>
    <i r="1">
      <x v="40"/>
      <x v="71"/>
      <x v="1"/>
      <x v="1"/>
    </i>
    <i r="1">
      <x v="42"/>
      <x v="71"/>
      <x v="1"/>
      <x v="1"/>
    </i>
    <i r="1">
      <x v="43"/>
      <x v="87"/>
      <x v="1"/>
      <x v="242"/>
    </i>
    <i r="4">
      <x v="243"/>
    </i>
    <i r="4">
      <x v="244"/>
    </i>
    <i r="4">
      <x v="245"/>
    </i>
    <i r="4">
      <x v="246"/>
    </i>
    <i r="1">
      <x v="44"/>
      <x v="71"/>
      <x v="1"/>
      <x v="1"/>
    </i>
  </rowItems>
  <colItems count="1">
    <i/>
  </colItems>
  <dataFields count="1">
    <dataField name="Quantity" fld="7" baseField="1" baseItem="26"/>
  </dataFields>
  <formats count="9">
    <format dxfId="12">
      <pivotArea dataOnly="0" labelOnly="1" outline="0" axis="axisValues" fieldPosition="0"/>
    </format>
    <format dxfId="11">
      <pivotArea dataOnly="0" labelOnly="1" outline="0" axis="axisValues" fieldPosition="0"/>
    </format>
    <format dxfId="10">
      <pivotArea field="9" type="button" dataOnly="0" labelOnly="1" outline="0" axis="axisRow" fieldPosition="0"/>
    </format>
    <format dxfId="9">
      <pivotArea field="1" type="button" dataOnly="0" labelOnly="1" outline="0" axis="axisRow" fieldPosition="1"/>
    </format>
    <format dxfId="8">
      <pivotArea field="2" type="button" dataOnly="0" labelOnly="1" outline="0" axis="axisRow" fieldPosition="2"/>
    </format>
    <format dxfId="7">
      <pivotArea field="3" type="button" dataOnly="0" labelOnly="1" outline="0" axis="axisRow" fieldPosition="3"/>
    </format>
    <format dxfId="6">
      <pivotArea field="4" type="button" dataOnly="0" labelOnly="1" outline="0" axis="axisRow" fieldPosition="4"/>
    </format>
    <format dxfId="5">
      <pivotArea dataOnly="0" labelOnly="1" outline="0" axis="axisValues" fieldPosition="0"/>
    </format>
    <format dxfId="4">
      <pivotArea dataOnly="0" labelOnly="1" outline="0" axis="axisValues" fieldPosition="0"/>
    </format>
  </formats>
  <pivotTableStyleInfo name="PivotStyleMedium7" showRowHeaders="0"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1" cacheId="0" applyNumberFormats="0" applyBorderFormats="0" applyFontFormats="0" applyPatternFormats="0" applyAlignmentFormats="0" applyWidthHeightFormats="1" dataCaption="Values" updatedVersion="8" minRefreshableVersion="3" useAutoFormatting="1" rowGrandTotals="0" itemPrintTitles="1" createdVersion="6" indent="0" compact="0" compactData="0" multipleFieldFilters="0">
  <location ref="B7:E16" firstHeaderRow="1" firstDataRow="1" firstDataCol="3" rowPageCount="2" colPageCount="1"/>
  <pivotFields count="17">
    <pivotField axis="axisRow" compact="0" outline="0" showAll="0" defaultSubtotal="0">
      <items count="70">
        <item m="1" x="20"/>
        <item m="1" x="21"/>
        <item x="4"/>
        <item m="1" x="32"/>
        <item m="1" x="67"/>
        <item m="1" x="62"/>
        <item m="1" x="42"/>
        <item m="1" x="15"/>
        <item m="1" x="16"/>
        <item m="1" x="39"/>
        <item m="1" x="33"/>
        <item m="1" x="17"/>
        <item m="1" x="25"/>
        <item x="8"/>
        <item m="1" x="48"/>
        <item m="1" x="41"/>
        <item m="1" x="55"/>
        <item m="1" x="66"/>
        <item m="1" x="65"/>
        <item m="1" x="63"/>
        <item m="1" x="58"/>
        <item x="7"/>
        <item m="1" x="53"/>
        <item m="1" x="37"/>
        <item x="6"/>
        <item m="1" x="45"/>
        <item m="1" x="51"/>
        <item m="1" x="59"/>
        <item x="9"/>
        <item x="11"/>
        <item x="13"/>
        <item m="1" x="29"/>
        <item m="1" x="52"/>
        <item m="1" x="34"/>
        <item m="1" x="38"/>
        <item x="2"/>
        <item m="1" x="61"/>
        <item m="1" x="19"/>
        <item m="1" x="35"/>
        <item m="1" x="31"/>
        <item m="1" x="46"/>
        <item m="1" x="23"/>
        <item m="1" x="24"/>
        <item m="1" x="57"/>
        <item m="1" x="44"/>
        <item m="1" x="18"/>
        <item x="0"/>
        <item x="1"/>
        <item m="1" x="22"/>
        <item m="1" x="69"/>
        <item m="1" x="64"/>
        <item m="1" x="47"/>
        <item m="1" x="68"/>
        <item x="12"/>
        <item m="1" x="49"/>
        <item m="1" x="36"/>
        <item m="1" x="56"/>
        <item x="5"/>
        <item m="1" x="40"/>
        <item m="1" x="60"/>
        <item m="1" x="54"/>
        <item m="1" x="43"/>
        <item m="1" x="28"/>
        <item m="1" x="27"/>
        <item m="1" x="30"/>
        <item m="1" x="26"/>
        <item m="1" x="50"/>
        <item x="14"/>
        <item x="3"/>
        <item x="10"/>
      </items>
    </pivotField>
    <pivotField axis="axisRow" compact="0" outline="0" showAll="0" defaultSubtotal="0">
      <items count="74">
        <item m="1" x="29"/>
        <item x="4"/>
        <item m="1" x="67"/>
        <item m="1" x="65"/>
        <item m="1" x="49"/>
        <item m="1" x="47"/>
        <item m="1" x="15"/>
        <item m="1" x="50"/>
        <item m="1" x="16"/>
        <item m="1" x="33"/>
        <item m="1" x="17"/>
        <item m="1" x="25"/>
        <item x="8"/>
        <item m="1" x="52"/>
        <item m="1" x="32"/>
        <item m="1" x="46"/>
        <item m="1" x="34"/>
        <item m="1" x="53"/>
        <item m="1" x="54"/>
        <item x="7"/>
        <item m="1" x="68"/>
        <item m="1" x="64"/>
        <item x="6"/>
        <item m="1" x="20"/>
        <item m="1" x="21"/>
        <item m="1" x="42"/>
        <item m="1" x="73"/>
        <item m="1" x="51"/>
        <item m="1" x="48"/>
        <item x="11"/>
        <item x="13"/>
        <item m="1" x="43"/>
        <item m="1" x="63"/>
        <item m="1" x="39"/>
        <item m="1" x="70"/>
        <item x="2"/>
        <item m="1" x="41"/>
        <item m="1" x="19"/>
        <item m="1" x="38"/>
        <item m="1" x="66"/>
        <item m="1" x="40"/>
        <item m="1" x="23"/>
        <item m="1" x="24"/>
        <item m="1" x="36"/>
        <item m="1" x="35"/>
        <item m="1" x="18"/>
        <item x="0"/>
        <item x="1"/>
        <item m="1" x="22"/>
        <item m="1" x="72"/>
        <item m="1" x="58"/>
        <item m="1" x="59"/>
        <item m="1" x="69"/>
        <item m="1" x="56"/>
        <item m="1" x="71"/>
        <item x="12"/>
        <item m="1" x="31"/>
        <item m="1" x="55"/>
        <item m="1" x="60"/>
        <item x="5"/>
        <item x="9"/>
        <item m="1" x="45"/>
        <item m="1" x="61"/>
        <item m="1" x="57"/>
        <item m="1" x="62"/>
        <item m="1" x="28"/>
        <item m="1" x="27"/>
        <item m="1" x="44"/>
        <item m="1" x="26"/>
        <item m="1" x="37"/>
        <item m="1" x="30"/>
        <item x="14"/>
        <item x="3"/>
        <item x="10"/>
      </items>
    </pivotField>
    <pivotField axis="axisPage" compact="0" outline="0" multipleItemSelectionAllowed="1" showAll="0" defaultSubtotal="0">
      <items count="12">
        <item m="1" x="6"/>
        <item x="3"/>
        <item m="1" x="10"/>
        <item m="1" x="5"/>
        <item x="4"/>
        <item h="1" x="2"/>
        <item x="0"/>
        <item x="1"/>
        <item m="1" x="8"/>
        <item h="1" m="1" x="9"/>
        <item h="1" m="1" x="7"/>
        <item h="1" m="1" x="11"/>
      </items>
    </pivotField>
    <pivotField compact="0" outline="0" showAll="0"/>
    <pivotField compact="0" outline="0" showAll="0"/>
    <pivotField name="Previous Qty." compact="0" outline="0" showAll="0" defaultSubtotal="0"/>
    <pivotField compact="0" outline="0" showAll="0" defaultSubtotal="0"/>
    <pivotField compact="0" outline="0" showAll="0" defaultSubtotal="0"/>
    <pivotField name="Current Qty." dataField="1" compact="0" outline="0" showAll="0" defaultSubtotal="0"/>
    <pivotField compact="0" outline="0" showAll="0" defaultSubtotal="0"/>
    <pivotField compact="0" outline="0" showAll="0" defaultSubtotal="0"/>
    <pivotField axis="axisPage" compact="0" outline="0" showAll="0" defaultSubtotal="0">
      <items count="3">
        <item x="0"/>
        <item m="1" x="2"/>
        <item m="1" x="1"/>
      </items>
    </pivotField>
    <pivotField axis="axisRow" compact="0" outline="0" showAll="0" defaultSubtotal="0">
      <items count="26">
        <item m="1" x="23"/>
        <item m="1" x="21"/>
        <item m="1" x="2"/>
        <item m="1" x="14"/>
        <item m="1" x="12"/>
        <item m="1" x="8"/>
        <item m="1" x="16"/>
        <item m="1" x="17"/>
        <item m="1" x="4"/>
        <item m="1" x="19"/>
        <item m="1" x="11"/>
        <item m="1" x="25"/>
        <item m="1" x="15"/>
        <item m="1" x="10"/>
        <item m="1" x="18"/>
        <item m="1" x="9"/>
        <item m="1" x="22"/>
        <item m="1" x="6"/>
        <item m="1" x="20"/>
        <item m="1" x="13"/>
        <item m="1" x="7"/>
        <item m="1" x="5"/>
        <item m="1" x="3"/>
        <item m="1" x="24"/>
        <item m="1" x="1"/>
        <item x="0"/>
      </items>
    </pivotField>
    <pivotField compact="0" outline="0" showAll="0" sortType="ascending" defaultSubtotal="0"/>
    <pivotField compact="0" outline="0" showAll="0" defaultSubtotal="0"/>
    <pivotField compact="0" outline="0" showAll="0" defaultSubtotal="0"/>
    <pivotField compact="0" outline="0" showAll="0"/>
  </pivotFields>
  <rowFields count="3">
    <field x="12"/>
    <field x="0"/>
    <field x="1"/>
  </rowFields>
  <rowItems count="9">
    <i>
      <x v="25"/>
      <x v="2"/>
      <x v="1"/>
    </i>
    <i r="1">
      <x v="13"/>
      <x v="12"/>
    </i>
    <i r="1">
      <x v="21"/>
      <x v="19"/>
    </i>
    <i r="1">
      <x v="24"/>
      <x v="22"/>
    </i>
    <i r="1">
      <x v="35"/>
      <x v="35"/>
    </i>
    <i r="1">
      <x v="46"/>
      <x v="46"/>
    </i>
    <i r="1">
      <x v="47"/>
      <x v="47"/>
    </i>
    <i r="1">
      <x v="53"/>
      <x v="55"/>
    </i>
    <i r="1">
      <x v="67"/>
      <x v="71"/>
    </i>
  </rowItems>
  <colItems count="1">
    <i/>
  </colItems>
  <pageFields count="2">
    <pageField fld="11" hier="-1"/>
    <pageField fld="2" hier="-1"/>
  </pageFields>
  <dataFields count="1">
    <dataField name="Curr. Qty." fld="8" baseField="4" baseItem="49"/>
  </dataFields>
  <formats count="3">
    <format dxfId="2">
      <pivotArea dataOnly="0" labelOnly="1" outline="0" axis="axisValues" fieldPosition="0"/>
    </format>
    <format dxfId="1">
      <pivotArea dataOnly="0" labelOnly="1" outline="0" axis="axisValues" fieldPosition="0"/>
    </format>
    <format dxfId="0">
      <pivotArea dataOnly="0" labelOnly="1" outline="0" fieldPosition="0">
        <references count="1">
          <reference field="4294967294" count="1">
            <x v="0"/>
          </reference>
        </references>
      </pivotArea>
    </format>
  </formats>
  <pivotTableStyleInfo name="PivotStyleMedium1" showRowHeaders="0"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1">
  <a r="199">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e">#NULL!</v>
    <v t="r">1</v>
    <v t="r">1</v>
    <v t="r">1</v>
    <v t="i">2</v>
  </a>
</arrayData>
</file>

<file path=xl/richData/rdrichvalue.xml><?xml version="1.0" encoding="utf-8"?>
<rvData xmlns="http://schemas.microsoft.com/office/spreadsheetml/2017/richdata" count="4">
  <rv s="0">
    <v>13</v>
    <v>3</v>
  </rv>
  <rv s="1">
    <v>13</v>
    <v>1</v>
  </rv>
  <rv s="2">
    <v>0</v>
  </rv>
  <rv s="3">
    <v>{7BBA9C96-605B-46B5-A44E-50CE79ABB6B1}</v>
    <v>0</v>
    <v>0</v>
    <v>2</v>
  </rv>
</rvData>
</file>

<file path=xl/richData/rdrichvaluestructure.xml><?xml version="1.0" encoding="utf-8"?>
<rvStructures xmlns="http://schemas.microsoft.com/office/spreadsheetml/2017/richdata" count="4">
  <s t="_error">
    <k n="errorType" t="i"/>
    <k n="subType" t="i"/>
  </s>
  <s t="_error">
    <k n="errorType" t="i"/>
    <k n="propagated" t="b"/>
  </s>
  <s t="_array">
    <k n="array" t="a"/>
  </s>
  <s t="_datasourcecontainer">
    <k n="%XLUID" t="s"/>
    <k n="_CRID" t="i"/>
    <k n="_Display" t="spb"/>
    <k n="FA Name" t="r"/>
  </s>
</rvStructures>
</file>

<file path=xl/richData/rdsupportingpropertybag.xml><?xml version="1.0" encoding="utf-8"?>
<supportingPropertyBags xmlns="http://schemas.microsoft.com/office/spreadsheetml/2017/richdata2">
  <spbArrays count="1">
    <a count="4">
      <v t="s">FA Name</v>
      <v t="s">_CRID</v>
      <v t="s">%XLUID</v>
      <v t="s">_Display</v>
    </a>
  </spbArrays>
  <spbData count="1">
    <spb s="0">
      <v>0</v>
    </spb>
  </spbData>
</supportingPropertyBags>
</file>

<file path=xl/richData/rdsupportingpropertybagstructure.xml><?xml version="1.0" encoding="utf-8"?>
<spbStructures xmlns="http://schemas.microsoft.com/office/spreadsheetml/2017/richdata2" count="1">
  <s>
    <k n="^Order" t="spba"/>
  </s>
</spb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0E090A-9B50-4750-BFDF-907DF26E1024}" name="t_requirements" displayName="t_requirements" ref="A3:M201" totalsRowShown="0" headerRowDxfId="113">
  <autoFilter ref="A3:M201" xr:uid="{110E090A-9B50-4750-BFDF-907DF26E1024}">
    <filterColumn colId="0">
      <filters>
        <filter val="MED"/>
      </filters>
    </filterColumn>
  </autoFilter>
  <tableColumns count="13">
    <tableColumn id="1" xr3:uid="{9B53BC8D-27C5-42BC-9229-E8626AD582BE}" name="FA" dataDxfId="112"/>
    <tableColumn id="13" xr3:uid="{3D738697-E24D-463C-A984-7AE0717C4DCC}" name="FA Name" dataDxfId="111">
      <calculatedColumnFormula array="1">_xlfn.CONCAT("LOC ",_xlfn._xlws.FILTER(t_FA[FA Name],t_FA[FA]=t_requirements[[#This Row],[FA]]))</calculatedColumnFormula>
    </tableColumn>
    <tableColumn id="2" xr3:uid="{57A685C8-66F5-40A3-B318-951DBEC2C604}" name="Venue"/>
    <tableColumn id="3" xr3:uid="{7569C8D4-2A08-4DE2-8AB8-59AE78CA2387}" name="Area"/>
    <tableColumn id="4" xr3:uid="{446BF8E5-C3C4-4B63-880A-FDB1A6806B24}" name="Space"/>
    <tableColumn id="5" xr3:uid="{08648B53-A5A6-4D0D-A940-B96AFF716495}" name="Category"/>
    <tableColumn id="6" xr3:uid="{C5537E65-6CDB-4200-AE8C-95207CBD8C38}" name="Item"/>
    <tableColumn id="7" xr3:uid="{8DDDFE88-5692-4CAA-8B80-0E6D12DF5A2A}" name="Quantity " dataDxfId="110"/>
    <tableColumn id="8" xr3:uid="{8E0CE3F6-448F-45BF-ABD3-C185F8B71BAC}" name="Start Date" dataDxfId="109"/>
    <tableColumn id="9" xr3:uid="{A759F220-FD05-41CE-BB99-054063FF3314}" name="End Date" dataDxfId="108"/>
    <tableColumn id="10" xr3:uid="{E4C7B385-56E9-4721-B4D0-0A68E7B02E6F}" name="Code"/>
    <tableColumn id="11" xr3:uid="{752E80BB-3BC9-4B3B-86B2-15E5DD6C56F7}" name="ICT Comment"/>
    <tableColumn id="12" xr3:uid="{BD6DA1CA-92DE-4DE6-98E1-A33686F4614C}" name="Notes"/>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4BE0874-7616-433A-A76F-685A3291D1F1}" name="t_Contact" displayName="t_Contact" ref="A1:F37" totalsRowShown="0" headerRowDxfId="102" headerRowBorderDxfId="101" tableBorderDxfId="100" totalsRowBorderDxfId="99">
  <autoFilter ref="A1:F37" xr:uid="{74BE0874-7616-433A-A76F-685A3291D1F1}"/>
  <tableColumns count="6">
    <tableColumn id="1" xr3:uid="{B6CB869C-01B6-4F56-A72E-FB7DE248D6FE}" name="FA Name" dataDxfId="98"/>
    <tableColumn id="2" xr3:uid="{5E038040-B537-4AB1-A8A4-AD5946A5C6D4}" name="FA" dataDxfId="97"/>
    <tableColumn id="3" xr3:uid="{41C691AC-B9C3-4EBD-9ABE-D11EEBDD29A7}" name="Position" dataDxfId="96"/>
    <tableColumn id="4" xr3:uid="{F8D84F7C-AB8B-48D6-A5EB-0636433280D2}" name="Name" dataDxfId="95"/>
    <tableColumn id="5" xr3:uid="{F53939CA-2EB3-426C-BB68-B919A7B56A25}" name="Phone" dataDxfId="94"/>
    <tableColumn id="6" xr3:uid="{EA0A778D-683F-41BA-A28A-C9AB0591FCB2}" name="Email" dataDxfId="93" dataCellStyle="Hyperlink"/>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4451CA-6D06-40BA-9181-D0E5757D1A05}" name="t_FA" displayName="t_FA" ref="I1:J17" totalsRowShown="0" headerRowDxfId="92" headerRowBorderDxfId="91" tableBorderDxfId="90" totalsRowBorderDxfId="89">
  <autoFilter ref="I1:J17" xr:uid="{104451CA-6D06-40BA-9181-D0E5757D1A05}"/>
  <tableColumns count="2">
    <tableColumn id="1" xr3:uid="{24AF9B96-84B7-4C34-A62D-10903E4D5A8C}" name="FA Name" dataDxfId="88"/>
    <tableColumn id="2" xr3:uid="{CE1A50CF-881E-4C40-835C-87EBC95787B6}" name="FA" dataDxfId="87"/>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8" Type="http://schemas.openxmlformats.org/officeDocument/2006/relationships/hyperlink" Target="mailto:s.albatesh@sc.qa" TargetMode="External"/><Relationship Id="rId13" Type="http://schemas.openxmlformats.org/officeDocument/2006/relationships/hyperlink" Target="mailto:d.solonenkin@sc.qa" TargetMode="External"/><Relationship Id="rId18" Type="http://schemas.openxmlformats.org/officeDocument/2006/relationships/hyperlink" Target="mailto:KLokhanin@ssoc.gov.qa" TargetMode="External"/><Relationship Id="rId26" Type="http://schemas.openxmlformats.org/officeDocument/2006/relationships/hyperlink" Target="mailto:mabdulazeem@qfa.qa" TargetMode="External"/><Relationship Id="rId3" Type="http://schemas.openxmlformats.org/officeDocument/2006/relationships/hyperlink" Target="mailto:g.nievas@loc.qa" TargetMode="External"/><Relationship Id="rId21" Type="http://schemas.openxmlformats.org/officeDocument/2006/relationships/hyperlink" Target="mailto:r.hachem@loc.qa" TargetMode="External"/><Relationship Id="rId7" Type="http://schemas.openxmlformats.org/officeDocument/2006/relationships/hyperlink" Target="mailto:l.kayed@sc.qa" TargetMode="External"/><Relationship Id="rId12" Type="http://schemas.openxmlformats.org/officeDocument/2006/relationships/hyperlink" Target="mailto:m.silva@sc.qa" TargetMode="External"/><Relationship Id="rId17" Type="http://schemas.openxmlformats.org/officeDocument/2006/relationships/hyperlink" Target="mailto:KLokhanin@ssoc.gov.qa" TargetMode="External"/><Relationship Id="rId25" Type="http://schemas.openxmlformats.org/officeDocument/2006/relationships/hyperlink" Target="mailto:a.jumayeva@sc.qa" TargetMode="External"/><Relationship Id="rId2" Type="http://schemas.openxmlformats.org/officeDocument/2006/relationships/hyperlink" Target="mailto:b.halajian@sc.qa" TargetMode="External"/><Relationship Id="rId16" Type="http://schemas.openxmlformats.org/officeDocument/2006/relationships/hyperlink" Target="mailto:maha.mohamed@sc.qa" TargetMode="External"/><Relationship Id="rId20" Type="http://schemas.openxmlformats.org/officeDocument/2006/relationships/hyperlink" Target="mailto:m.koutra@sc.qa" TargetMode="External"/><Relationship Id="rId29" Type="http://schemas.openxmlformats.org/officeDocument/2006/relationships/hyperlink" Target="mailto:i.vermeulen@sc.qa" TargetMode="External"/><Relationship Id="rId1" Type="http://schemas.openxmlformats.org/officeDocument/2006/relationships/hyperlink" Target="mailto:b.halajian@sc.qa" TargetMode="External"/><Relationship Id="rId6" Type="http://schemas.openxmlformats.org/officeDocument/2006/relationships/hyperlink" Target="mailto:m.berrebbah@sc.qa" TargetMode="External"/><Relationship Id="rId11" Type="http://schemas.openxmlformats.org/officeDocument/2006/relationships/hyperlink" Target="mailto:c.fontes@gmail.com" TargetMode="External"/><Relationship Id="rId24" Type="http://schemas.openxmlformats.org/officeDocument/2006/relationships/hyperlink" Target="mailto:k.yasinzade@sc.qa" TargetMode="External"/><Relationship Id="rId32" Type="http://schemas.openxmlformats.org/officeDocument/2006/relationships/table" Target="../tables/table3.xml"/><Relationship Id="rId5" Type="http://schemas.openxmlformats.org/officeDocument/2006/relationships/hyperlink" Target="mailto:n.ziedan@sc.qa" TargetMode="External"/><Relationship Id="rId15" Type="http://schemas.openxmlformats.org/officeDocument/2006/relationships/hyperlink" Target="mailto:maha.mohamed@sc.qa" TargetMode="External"/><Relationship Id="rId23" Type="http://schemas.openxmlformats.org/officeDocument/2006/relationships/hyperlink" Target="mailto:g.musiienko@sc.qa" TargetMode="External"/><Relationship Id="rId28" Type="http://schemas.openxmlformats.org/officeDocument/2006/relationships/hyperlink" Target="mailto:t.sayid@sc.qa" TargetMode="External"/><Relationship Id="rId10" Type="http://schemas.openxmlformats.org/officeDocument/2006/relationships/hyperlink" Target="mailto:c.maalouly@sc.qa" TargetMode="External"/><Relationship Id="rId19" Type="http://schemas.openxmlformats.org/officeDocument/2006/relationships/hyperlink" Target="mailto:y.shabsough@sc.qa" TargetMode="External"/><Relationship Id="rId31" Type="http://schemas.openxmlformats.org/officeDocument/2006/relationships/table" Target="../tables/table2.xml"/><Relationship Id="rId4" Type="http://schemas.openxmlformats.org/officeDocument/2006/relationships/hyperlink" Target="mailto:g.nievas@loc.qa" TargetMode="External"/><Relationship Id="rId9" Type="http://schemas.openxmlformats.org/officeDocument/2006/relationships/hyperlink" Target="mailto:t.kemulariya@sc.qa" TargetMode="External"/><Relationship Id="rId14" Type="http://schemas.openxmlformats.org/officeDocument/2006/relationships/hyperlink" Target="mailto:d.solonenkin@sc.qa" TargetMode="External"/><Relationship Id="rId22" Type="http://schemas.openxmlformats.org/officeDocument/2006/relationships/hyperlink" Target="mailto:z.joseph@sc.qa" TargetMode="External"/><Relationship Id="rId27" Type="http://schemas.openxmlformats.org/officeDocument/2006/relationships/hyperlink" Target="mailto:ab.fakhroo@sc.qa" TargetMode="External"/><Relationship Id="rId30"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7.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0.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1.xm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1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1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tint="0.249977111117893"/>
    <pageSetUpPr fitToPage="1"/>
  </sheetPr>
  <dimension ref="A1:M259"/>
  <sheetViews>
    <sheetView workbookViewId="0"/>
  </sheetViews>
  <sheetFormatPr defaultColWidth="8.6640625" defaultRowHeight="14.4"/>
  <cols>
    <col min="1" max="1" width="3" style="37" customWidth="1"/>
    <col min="2" max="2" width="2.44140625" style="37" customWidth="1"/>
    <col min="3" max="3" width="24.6640625" customWidth="1"/>
    <col min="4" max="4" width="2.44140625" style="37" customWidth="1"/>
    <col min="5" max="5" width="30.44140625" style="37" customWidth="1"/>
    <col min="6" max="6" width="32.44140625" customWidth="1"/>
    <col min="7" max="7" width="58.44140625" style="37" customWidth="1"/>
    <col min="8" max="8" width="26" style="37" customWidth="1"/>
    <col min="9" max="9" width="3.6640625" customWidth="1"/>
    <col min="11" max="11" width="17.44140625" bestFit="1" customWidth="1"/>
  </cols>
  <sheetData>
    <row r="1" spans="1:13" s="60" customFormat="1" ht="35.25" customHeight="1">
      <c r="A1" s="70"/>
      <c r="B1" s="75" t="s">
        <v>0</v>
      </c>
      <c r="C1" s="75"/>
      <c r="D1" s="72"/>
      <c r="E1" s="72"/>
      <c r="F1" s="71"/>
      <c r="G1" s="72"/>
      <c r="H1" s="73" t="s">
        <v>1</v>
      </c>
      <c r="I1" s="74"/>
    </row>
    <row r="2" spans="1:13" ht="7.2" customHeight="1"/>
    <row r="3" spans="1:13">
      <c r="B3" s="37" t="s">
        <v>2</v>
      </c>
      <c r="C3" s="37"/>
    </row>
    <row r="4" spans="1:13">
      <c r="B4" s="37" t="s">
        <v>3</v>
      </c>
      <c r="C4" s="37"/>
    </row>
    <row r="5" spans="1:13">
      <c r="C5" s="37"/>
    </row>
    <row r="6" spans="1:13" ht="15" customHeight="1">
      <c r="B6" s="56" t="s">
        <v>4</v>
      </c>
      <c r="C6" s="56"/>
      <c r="D6" s="56"/>
      <c r="E6" s="56"/>
      <c r="F6" s="56"/>
      <c r="G6" s="56"/>
      <c r="H6" s="56"/>
    </row>
    <row r="7" spans="1:13" ht="7.2" customHeight="1"/>
    <row r="8" spans="1:13">
      <c r="B8" s="77" t="s">
        <v>5</v>
      </c>
      <c r="C8" s="37"/>
    </row>
    <row r="9" spans="1:13">
      <c r="B9" s="77" t="s">
        <v>6</v>
      </c>
      <c r="C9" s="37"/>
    </row>
    <row r="10" spans="1:13" ht="7.2" customHeight="1"/>
    <row r="11" spans="1:13">
      <c r="C11" s="56" t="s">
        <v>7</v>
      </c>
      <c r="E11" s="37" t="s">
        <v>8</v>
      </c>
      <c r="K11" s="43"/>
    </row>
    <row r="12" spans="1:13" ht="7.2" customHeight="1"/>
    <row r="13" spans="1:13" ht="15" customHeight="1">
      <c r="C13" s="66" t="s">
        <v>9</v>
      </c>
      <c r="E13" s="37" t="s">
        <v>10</v>
      </c>
      <c r="K13" s="43"/>
    </row>
    <row r="14" spans="1:13" ht="7.2" customHeight="1"/>
    <row r="15" spans="1:13" ht="15" customHeight="1">
      <c r="C15" s="208" t="s">
        <v>11</v>
      </c>
      <c r="E15" s="37" t="s">
        <v>12</v>
      </c>
      <c r="K15" s="43"/>
      <c r="M15" s="122"/>
    </row>
    <row r="16" spans="1:13" ht="7.2" customHeight="1"/>
    <row r="17" spans="2:11">
      <c r="B17" s="77" t="s">
        <v>13</v>
      </c>
      <c r="C17" s="37"/>
      <c r="K17" s="43"/>
    </row>
    <row r="18" spans="2:11" ht="7.2" customHeight="1"/>
    <row r="19" spans="2:11">
      <c r="C19" s="57" t="s">
        <v>14</v>
      </c>
      <c r="E19" s="37" t="s">
        <v>15</v>
      </c>
      <c r="K19" s="43"/>
    </row>
    <row r="20" spans="2:11" ht="7.2" customHeight="1"/>
    <row r="21" spans="2:11" ht="15" customHeight="1">
      <c r="C21" s="58" t="s">
        <v>16</v>
      </c>
      <c r="E21" s="37" t="s">
        <v>17</v>
      </c>
      <c r="K21" s="43"/>
    </row>
    <row r="22" spans="2:11" ht="7.2" customHeight="1"/>
    <row r="23" spans="2:11">
      <c r="B23" s="79" t="s">
        <v>18</v>
      </c>
      <c r="C23" s="1"/>
    </row>
    <row r="24" spans="2:11">
      <c r="C24" s="37" t="s">
        <v>19</v>
      </c>
    </row>
    <row r="25" spans="2:11">
      <c r="C25" s="37" t="s">
        <v>20</v>
      </c>
    </row>
    <row r="26" spans="2:11">
      <c r="C26" s="37" t="s">
        <v>21</v>
      </c>
      <c r="K26" s="43"/>
    </row>
    <row r="27" spans="2:11" ht="15" customHeight="1"/>
    <row r="28" spans="2:11" ht="15" customHeight="1">
      <c r="B28" s="76" t="s">
        <v>22</v>
      </c>
      <c r="C28" s="66"/>
      <c r="D28" s="64"/>
      <c r="E28" s="64"/>
      <c r="F28" s="65"/>
      <c r="G28" s="64"/>
      <c r="H28" s="64"/>
      <c r="K28" s="43"/>
    </row>
    <row r="29" spans="2:11" ht="7.2" customHeight="1"/>
    <row r="30" spans="2:11" ht="15" customHeight="1">
      <c r="B30" s="77" t="s">
        <v>23</v>
      </c>
      <c r="C30" s="37"/>
      <c r="K30" s="43"/>
    </row>
    <row r="31" spans="2:11">
      <c r="C31" s="42"/>
    </row>
    <row r="32" spans="2:11" ht="12" customHeight="1">
      <c r="C32" s="37"/>
      <c r="F32" s="37"/>
      <c r="K32" s="43"/>
    </row>
    <row r="33" spans="3:11" ht="12" customHeight="1">
      <c r="C33" s="37"/>
      <c r="F33" s="37"/>
    </row>
    <row r="34" spans="3:11" ht="12" customHeight="1">
      <c r="C34" s="37"/>
      <c r="E34" s="37" t="s">
        <v>24</v>
      </c>
      <c r="F34" s="37" t="s">
        <v>25</v>
      </c>
      <c r="K34" s="43"/>
    </row>
    <row r="35" spans="3:11" ht="12" customHeight="1">
      <c r="C35" s="42"/>
      <c r="F35" s="37"/>
    </row>
    <row r="36" spans="3:11" ht="12" customHeight="1">
      <c r="C36" s="37"/>
      <c r="F36" s="37" t="s">
        <v>26</v>
      </c>
    </row>
    <row r="37" spans="3:11" ht="12" customHeight="1">
      <c r="C37" s="37"/>
      <c r="F37" s="37"/>
    </row>
    <row r="38" spans="3:11" ht="12" customHeight="1">
      <c r="C38" s="37"/>
      <c r="F38" s="37" t="s">
        <v>27</v>
      </c>
      <c r="K38" s="43"/>
    </row>
    <row r="39" spans="3:11" ht="12" customHeight="1">
      <c r="C39" s="42"/>
      <c r="F39" s="37"/>
    </row>
    <row r="40" spans="3:11" ht="12" customHeight="1">
      <c r="C40" s="37"/>
      <c r="F40" s="37" t="s">
        <v>28</v>
      </c>
    </row>
    <row r="41" spans="3:11" ht="12" customHeight="1">
      <c r="C41" s="37"/>
      <c r="F41" s="37"/>
    </row>
    <row r="42" spans="3:11" ht="12" customHeight="1">
      <c r="C42" s="37"/>
      <c r="F42" s="37" t="s">
        <v>29</v>
      </c>
      <c r="K42" s="43"/>
    </row>
    <row r="43" spans="3:11" ht="12" customHeight="1">
      <c r="C43" s="42"/>
      <c r="F43" s="37"/>
    </row>
    <row r="44" spans="3:11" ht="12" customHeight="1">
      <c r="C44" s="37"/>
      <c r="F44" s="37" t="s">
        <v>30</v>
      </c>
    </row>
    <row r="45" spans="3:11" ht="12" customHeight="1">
      <c r="C45" s="37"/>
      <c r="F45" s="37"/>
    </row>
    <row r="46" spans="3:11" ht="12" customHeight="1">
      <c r="C46" s="37"/>
      <c r="F46" s="37"/>
      <c r="K46" s="43"/>
    </row>
    <row r="47" spans="3:11" ht="12" customHeight="1">
      <c r="C47" s="42"/>
      <c r="F47" s="37"/>
    </row>
    <row r="48" spans="3:11" ht="12" customHeight="1">
      <c r="C48" s="37"/>
      <c r="F48" s="37"/>
    </row>
    <row r="49" spans="2:11" ht="12" customHeight="1">
      <c r="C49" s="37"/>
      <c r="F49" s="37"/>
    </row>
    <row r="50" spans="2:11" ht="12" customHeight="1">
      <c r="C50" s="37"/>
      <c r="F50" s="37"/>
      <c r="K50" s="43"/>
    </row>
    <row r="51" spans="2:11" ht="12" customHeight="1">
      <c r="C51" s="42"/>
      <c r="F51" s="37"/>
    </row>
    <row r="52" spans="2:11" ht="12" customHeight="1">
      <c r="C52" s="37"/>
      <c r="F52" s="37"/>
    </row>
    <row r="53" spans="2:11" ht="12" customHeight="1">
      <c r="C53" s="37"/>
      <c r="F53" s="37"/>
    </row>
    <row r="54" spans="2:11" ht="12" customHeight="1">
      <c r="C54" s="37"/>
      <c r="F54" s="37"/>
      <c r="K54" s="43"/>
    </row>
    <row r="55" spans="2:11" ht="12" customHeight="1">
      <c r="C55" s="42"/>
      <c r="F55" s="37"/>
    </row>
    <row r="56" spans="2:11" ht="12" customHeight="1">
      <c r="C56" s="37"/>
      <c r="F56" s="37"/>
    </row>
    <row r="57" spans="2:11" ht="12" customHeight="1">
      <c r="C57" s="37"/>
      <c r="F57" s="37"/>
    </row>
    <row r="58" spans="2:11" ht="12" customHeight="1">
      <c r="C58" s="37"/>
      <c r="F58" s="37"/>
      <c r="K58" s="43"/>
    </row>
    <row r="59" spans="2:11" ht="15" customHeight="1"/>
    <row r="60" spans="2:11" ht="15" customHeight="1">
      <c r="B60" s="76" t="s">
        <v>31</v>
      </c>
      <c r="C60" s="66"/>
      <c r="D60" s="64"/>
      <c r="E60" s="64"/>
      <c r="F60" s="65"/>
      <c r="G60" s="64"/>
      <c r="H60" s="64"/>
      <c r="K60" s="43"/>
    </row>
    <row r="61" spans="2:11" ht="7.2" customHeight="1"/>
    <row r="62" spans="2:11" ht="15" customHeight="1">
      <c r="B62" s="77" t="s">
        <v>32</v>
      </c>
      <c r="C62" s="37"/>
      <c r="K62" s="43"/>
    </row>
    <row r="63" spans="2:11" ht="7.2" customHeight="1"/>
    <row r="64" spans="2:11">
      <c r="B64" s="39"/>
      <c r="C64" s="80" t="s">
        <v>33</v>
      </c>
      <c r="D64" s="39"/>
      <c r="E64" s="39" t="s">
        <v>34</v>
      </c>
      <c r="F64" s="39"/>
      <c r="G64" s="39"/>
      <c r="H64" s="39"/>
      <c r="I64" s="39"/>
      <c r="K64" s="43"/>
    </row>
    <row r="65" spans="2:11">
      <c r="B65" s="39"/>
      <c r="C65" s="40"/>
      <c r="D65" s="39"/>
      <c r="E65" s="39" t="s">
        <v>35</v>
      </c>
      <c r="F65" s="39"/>
      <c r="G65" s="39"/>
      <c r="H65" s="39"/>
      <c r="I65" s="39"/>
      <c r="K65" s="43"/>
    </row>
    <row r="66" spans="2:11" ht="7.2" customHeight="1"/>
    <row r="67" spans="2:11">
      <c r="B67" s="39"/>
      <c r="C67" s="81" t="s">
        <v>36</v>
      </c>
      <c r="D67" s="39"/>
      <c r="E67" s="39" t="s">
        <v>37</v>
      </c>
      <c r="F67" s="39"/>
      <c r="G67" s="39"/>
      <c r="H67" s="39"/>
      <c r="I67" s="39"/>
      <c r="K67" s="43"/>
    </row>
    <row r="68" spans="2:11" ht="7.2" customHeight="1"/>
    <row r="69" spans="2:11">
      <c r="B69" s="39"/>
      <c r="C69" s="81" t="s">
        <v>38</v>
      </c>
      <c r="D69" s="39"/>
      <c r="E69" s="39" t="s">
        <v>39</v>
      </c>
      <c r="F69" s="39"/>
      <c r="G69" s="39"/>
      <c r="H69" s="39"/>
      <c r="I69" s="39"/>
      <c r="K69" s="43"/>
    </row>
    <row r="70" spans="2:11" ht="7.2" customHeight="1"/>
    <row r="71" spans="2:11">
      <c r="B71" s="39"/>
      <c r="C71" s="81" t="s">
        <v>40</v>
      </c>
      <c r="D71" s="39"/>
      <c r="E71" s="39" t="s">
        <v>41</v>
      </c>
      <c r="F71" s="39"/>
      <c r="G71" s="39"/>
      <c r="H71" s="39"/>
      <c r="I71" s="39"/>
      <c r="K71" s="43"/>
    </row>
    <row r="72" spans="2:11" ht="7.2" customHeight="1"/>
    <row r="73" spans="2:11" ht="15" customHeight="1">
      <c r="B73" s="39"/>
      <c r="C73" s="81" t="s">
        <v>42</v>
      </c>
      <c r="D73" s="39"/>
      <c r="E73" s="39" t="s">
        <v>43</v>
      </c>
      <c r="F73" s="39"/>
      <c r="G73" s="39"/>
      <c r="H73" s="39"/>
      <c r="I73" s="39"/>
      <c r="K73" s="43"/>
    </row>
    <row r="74" spans="2:11" ht="7.2" customHeight="1"/>
    <row r="75" spans="2:11">
      <c r="B75" s="39"/>
      <c r="C75" s="81" t="s">
        <v>44</v>
      </c>
      <c r="D75" s="39"/>
      <c r="E75" s="39" t="s">
        <v>45</v>
      </c>
      <c r="F75" s="39"/>
      <c r="G75" s="39"/>
      <c r="H75" s="39"/>
      <c r="I75" s="39"/>
    </row>
    <row r="76" spans="2:11">
      <c r="B76" s="39"/>
      <c r="C76" s="38"/>
      <c r="D76" s="39"/>
      <c r="E76" s="39" t="s">
        <v>46</v>
      </c>
      <c r="F76" s="39"/>
      <c r="G76" s="39"/>
      <c r="H76" s="39"/>
      <c r="I76" s="39"/>
    </row>
    <row r="77" spans="2:11" ht="7.2" customHeight="1"/>
    <row r="78" spans="2:11" ht="15" customHeight="1">
      <c r="B78" s="39"/>
      <c r="C78" s="81" t="s">
        <v>47</v>
      </c>
      <c r="D78" s="39"/>
      <c r="E78" s="39" t="s">
        <v>48</v>
      </c>
      <c r="F78" s="39"/>
      <c r="G78" s="39"/>
      <c r="H78" s="39"/>
      <c r="I78" s="39"/>
    </row>
    <row r="79" spans="2:11">
      <c r="B79" s="39"/>
      <c r="C79" s="38"/>
      <c r="D79" s="39"/>
      <c r="E79" s="39" t="s">
        <v>49</v>
      </c>
      <c r="F79" s="39"/>
      <c r="G79" s="39"/>
      <c r="H79" s="39"/>
      <c r="I79" s="39"/>
    </row>
    <row r="80" spans="2:11" ht="7.2" customHeight="1"/>
    <row r="81" spans="2:9">
      <c r="B81" s="39"/>
      <c r="C81" s="82" t="s">
        <v>50</v>
      </c>
      <c r="D81" s="39"/>
      <c r="E81" s="39" t="s">
        <v>51</v>
      </c>
      <c r="F81" s="39"/>
      <c r="G81" s="39"/>
      <c r="H81" s="39"/>
      <c r="I81" s="39"/>
    </row>
    <row r="82" spans="2:9">
      <c r="B82" s="39"/>
      <c r="C82" s="38"/>
      <c r="D82" s="39"/>
      <c r="E82" s="39" t="s">
        <v>52</v>
      </c>
      <c r="F82" s="39"/>
      <c r="G82" s="39"/>
      <c r="H82" s="39"/>
      <c r="I82" s="39"/>
    </row>
    <row r="83" spans="2:9" ht="7.2" customHeight="1"/>
    <row r="84" spans="2:9">
      <c r="B84" s="39"/>
      <c r="C84" s="83" t="s">
        <v>53</v>
      </c>
      <c r="D84" s="39"/>
      <c r="E84" s="39" t="s">
        <v>54</v>
      </c>
      <c r="F84" s="39"/>
      <c r="G84" s="39"/>
      <c r="H84" s="39"/>
      <c r="I84" s="39"/>
    </row>
    <row r="85" spans="2:9">
      <c r="B85" s="39"/>
      <c r="C85" s="38"/>
      <c r="D85" s="39"/>
      <c r="E85" s="39" t="s">
        <v>55</v>
      </c>
      <c r="F85" s="39"/>
      <c r="G85" s="39"/>
      <c r="H85" s="39"/>
      <c r="I85" s="39"/>
    </row>
    <row r="86" spans="2:9" ht="7.2" customHeight="1"/>
    <row r="87" spans="2:9">
      <c r="B87" s="39"/>
      <c r="C87" s="84" t="s">
        <v>56</v>
      </c>
      <c r="D87" s="39"/>
      <c r="E87" s="39" t="s">
        <v>57</v>
      </c>
      <c r="F87" s="39"/>
      <c r="G87" s="39"/>
      <c r="H87" s="39"/>
      <c r="I87" s="39"/>
    </row>
    <row r="88" spans="2:9" ht="7.2" customHeight="1"/>
    <row r="89" spans="2:9">
      <c r="B89" s="39"/>
      <c r="C89" s="84" t="s">
        <v>58</v>
      </c>
      <c r="D89" s="39"/>
      <c r="E89" s="39" t="s">
        <v>59</v>
      </c>
      <c r="F89" s="39"/>
      <c r="G89" s="39"/>
      <c r="H89" s="39"/>
      <c r="I89" s="39"/>
    </row>
    <row r="90" spans="2:9" ht="7.2" customHeight="1"/>
    <row r="91" spans="2:9">
      <c r="B91" s="39"/>
      <c r="C91" s="85" t="s">
        <v>60</v>
      </c>
      <c r="D91" s="39"/>
      <c r="E91" s="39" t="s">
        <v>61</v>
      </c>
      <c r="F91" s="39"/>
      <c r="G91" s="39"/>
      <c r="H91" s="39"/>
      <c r="I91" s="39"/>
    </row>
    <row r="92" spans="2:9" ht="7.2" customHeight="1"/>
    <row r="93" spans="2:9">
      <c r="B93" s="39"/>
      <c r="C93" s="83" t="s">
        <v>53</v>
      </c>
      <c r="D93" s="39"/>
      <c r="E93" s="39" t="s">
        <v>62</v>
      </c>
      <c r="F93" s="39"/>
      <c r="G93" s="39"/>
      <c r="H93" s="39"/>
      <c r="I93" s="39"/>
    </row>
    <row r="94" spans="2:9">
      <c r="B94" s="39"/>
      <c r="C94" s="38"/>
      <c r="D94" s="39"/>
      <c r="E94" s="39" t="s">
        <v>63</v>
      </c>
      <c r="F94" s="39"/>
      <c r="G94" s="39"/>
      <c r="H94" s="39"/>
      <c r="I94" s="39"/>
    </row>
    <row r="95" spans="2:9" ht="7.2" customHeight="1"/>
    <row r="96" spans="2:9">
      <c r="B96" s="39"/>
      <c r="C96" s="84" t="s">
        <v>56</v>
      </c>
      <c r="D96" s="39"/>
      <c r="E96" s="39" t="s">
        <v>64</v>
      </c>
      <c r="F96" s="39"/>
      <c r="G96" s="39"/>
      <c r="H96" s="39"/>
      <c r="I96" s="39"/>
    </row>
    <row r="97" spans="2:9" ht="7.2" customHeight="1"/>
    <row r="98" spans="2:9">
      <c r="B98" s="39"/>
      <c r="C98" s="84" t="s">
        <v>58</v>
      </c>
      <c r="D98" s="39"/>
      <c r="E98" s="39" t="s">
        <v>65</v>
      </c>
      <c r="F98" s="39"/>
      <c r="G98" s="39"/>
      <c r="H98" s="39"/>
      <c r="I98" s="39"/>
    </row>
    <row r="99" spans="2:9" ht="7.2" customHeight="1"/>
    <row r="100" spans="2:9">
      <c r="B100" s="39"/>
      <c r="C100" s="83" t="s">
        <v>66</v>
      </c>
      <c r="D100" s="39"/>
      <c r="E100" s="39" t="s">
        <v>67</v>
      </c>
      <c r="F100" s="39"/>
      <c r="G100" s="39"/>
      <c r="H100" s="39"/>
      <c r="I100" s="39"/>
    </row>
    <row r="101" spans="2:9">
      <c r="B101" s="39"/>
      <c r="C101" s="38"/>
      <c r="D101" s="39"/>
      <c r="E101" s="37" t="s">
        <v>68</v>
      </c>
      <c r="F101" s="39"/>
      <c r="G101" s="39"/>
      <c r="H101" s="39"/>
      <c r="I101" s="39"/>
    </row>
    <row r="102" spans="2:9" ht="7.2" customHeight="1"/>
    <row r="103" spans="2:9">
      <c r="B103" s="39"/>
      <c r="C103" s="83" t="s">
        <v>69</v>
      </c>
      <c r="D103" s="39"/>
      <c r="E103" s="39" t="s">
        <v>70</v>
      </c>
      <c r="F103" s="39"/>
      <c r="G103" s="39"/>
      <c r="H103" s="39"/>
      <c r="I103" s="39"/>
    </row>
    <row r="104" spans="2:9" ht="7.2" customHeight="1"/>
    <row r="105" spans="2:9">
      <c r="B105" s="39"/>
      <c r="C105" s="83" t="s">
        <v>71</v>
      </c>
      <c r="D105" s="39"/>
      <c r="E105" s="39" t="s">
        <v>72</v>
      </c>
      <c r="F105" s="39"/>
      <c r="G105" s="39"/>
      <c r="H105" s="39"/>
      <c r="I105" s="39"/>
    </row>
    <row r="106" spans="2:9" ht="7.2" customHeight="1"/>
    <row r="107" spans="2:9">
      <c r="B107" s="39"/>
      <c r="C107" s="83" t="s">
        <v>73</v>
      </c>
      <c r="D107" s="39"/>
      <c r="E107" s="39" t="s">
        <v>74</v>
      </c>
      <c r="F107" s="39"/>
      <c r="G107" s="39"/>
      <c r="H107" s="39"/>
      <c r="I107" s="39"/>
    </row>
    <row r="108" spans="2:9" ht="7.2" customHeight="1"/>
    <row r="109" spans="2:9">
      <c r="B109" s="39"/>
      <c r="C109" s="41" t="s">
        <v>75</v>
      </c>
      <c r="D109" s="39"/>
      <c r="E109" s="39" t="s">
        <v>76</v>
      </c>
      <c r="F109" s="39"/>
      <c r="G109" s="39"/>
      <c r="H109" s="39"/>
      <c r="I109" s="39"/>
    </row>
    <row r="110" spans="2:9" ht="7.2" customHeight="1"/>
    <row r="111" spans="2:9">
      <c r="B111" s="39"/>
      <c r="C111" s="84" t="s">
        <v>77</v>
      </c>
      <c r="D111" s="39"/>
      <c r="E111" s="39" t="s">
        <v>78</v>
      </c>
      <c r="F111" s="39"/>
      <c r="G111" s="39"/>
      <c r="H111" s="39"/>
      <c r="I111" s="39"/>
    </row>
    <row r="112" spans="2:9" ht="7.2" customHeight="1"/>
    <row r="113" spans="2:11">
      <c r="B113" s="39"/>
      <c r="C113" s="83" t="s">
        <v>79</v>
      </c>
      <c r="D113" s="39"/>
      <c r="E113" s="39" t="s">
        <v>80</v>
      </c>
      <c r="F113" s="39"/>
      <c r="G113" s="39"/>
      <c r="H113" s="39"/>
      <c r="I113" s="39"/>
    </row>
    <row r="114" spans="2:11" ht="15" customHeight="1"/>
    <row r="115" spans="2:11" ht="15" customHeight="1">
      <c r="B115" s="76" t="s">
        <v>81</v>
      </c>
      <c r="C115" s="66"/>
      <c r="D115" s="64"/>
      <c r="E115" s="64"/>
      <c r="F115" s="65"/>
      <c r="G115" s="64"/>
      <c r="H115" s="64"/>
      <c r="K115" s="43"/>
    </row>
    <row r="116" spans="2:11" ht="7.2" customHeight="1">
      <c r="C116" s="37"/>
      <c r="F116" s="37"/>
    </row>
    <row r="117" spans="2:11">
      <c r="B117" s="77" t="s">
        <v>82</v>
      </c>
      <c r="D117" s="39"/>
      <c r="E117" s="39"/>
      <c r="F117" s="39"/>
      <c r="G117" s="39"/>
      <c r="H117" s="39"/>
    </row>
    <row r="118" spans="2:11">
      <c r="B118" s="77" t="s">
        <v>83</v>
      </c>
      <c r="D118" s="39"/>
      <c r="E118" s="39"/>
      <c r="F118" s="39"/>
      <c r="G118" s="39"/>
      <c r="H118" s="39"/>
    </row>
    <row r="119" spans="2:11" ht="7.2" customHeight="1">
      <c r="B119" s="77"/>
      <c r="F119" s="37"/>
    </row>
    <row r="120" spans="2:11">
      <c r="B120" s="77" t="s">
        <v>84</v>
      </c>
      <c r="D120" s="39"/>
      <c r="E120" s="39"/>
      <c r="F120" s="39"/>
      <c r="G120" s="39"/>
      <c r="H120" s="39"/>
    </row>
    <row r="121" spans="2:11">
      <c r="B121" s="77" t="s">
        <v>85</v>
      </c>
      <c r="D121" s="39"/>
      <c r="E121" s="39"/>
      <c r="F121" s="39"/>
      <c r="G121" s="39"/>
      <c r="H121" s="39"/>
    </row>
    <row r="122" spans="2:11">
      <c r="B122" s="77" t="s">
        <v>86</v>
      </c>
      <c r="D122" s="39"/>
      <c r="E122" s="39"/>
      <c r="F122" s="39"/>
      <c r="G122" s="39"/>
      <c r="H122" s="39"/>
    </row>
    <row r="123" spans="2:11">
      <c r="B123" s="77" t="s">
        <v>87</v>
      </c>
      <c r="D123" s="39"/>
      <c r="E123" s="39"/>
      <c r="F123" s="39"/>
      <c r="G123" s="39"/>
      <c r="H123" s="39"/>
    </row>
    <row r="124" spans="2:11" ht="7.2" customHeight="1">
      <c r="B124" s="77"/>
      <c r="F124" s="37"/>
    </row>
    <row r="125" spans="2:11">
      <c r="B125" s="77" t="s">
        <v>88</v>
      </c>
      <c r="D125" s="39"/>
      <c r="E125" s="39"/>
      <c r="F125" s="39"/>
      <c r="G125" s="39"/>
      <c r="H125" s="39"/>
    </row>
    <row r="126" spans="2:11">
      <c r="B126" s="77" t="s">
        <v>89</v>
      </c>
      <c r="D126" s="39"/>
      <c r="E126" s="39"/>
      <c r="F126" s="39"/>
      <c r="G126" s="39"/>
      <c r="H126" s="39"/>
    </row>
    <row r="127" spans="2:11" ht="7.2" customHeight="1">
      <c r="C127" s="37"/>
      <c r="F127" s="37"/>
    </row>
    <row r="128" spans="2:11" ht="15" customHeight="1">
      <c r="C128" s="37"/>
      <c r="F128" s="37"/>
    </row>
    <row r="129" spans="2:11" ht="15" customHeight="1"/>
    <row r="130" spans="2:11" ht="15" customHeight="1"/>
    <row r="131" spans="2:11" ht="15" customHeight="1"/>
    <row r="132" spans="2:11" ht="15" customHeight="1"/>
    <row r="133" spans="2:11" ht="15" customHeight="1"/>
    <row r="134" spans="2:11" ht="15" customHeight="1"/>
    <row r="135" spans="2:11" ht="15" customHeight="1"/>
    <row r="136" spans="2:11" ht="15" customHeight="1"/>
    <row r="137" spans="2:11" ht="15" customHeight="1"/>
    <row r="138" spans="2:11" ht="15" customHeight="1"/>
    <row r="139" spans="2:11" ht="15" customHeight="1"/>
    <row r="140" spans="2:11" ht="15" customHeight="1"/>
    <row r="141" spans="2:11" ht="15" customHeight="1"/>
    <row r="142" spans="2:11">
      <c r="B142" s="77" t="s">
        <v>90</v>
      </c>
    </row>
    <row r="143" spans="2:11" ht="15" customHeight="1"/>
    <row r="144" spans="2:11" ht="15" customHeight="1">
      <c r="B144" s="76" t="s">
        <v>91</v>
      </c>
      <c r="C144" s="66"/>
      <c r="D144" s="64"/>
      <c r="E144" s="64"/>
      <c r="F144" s="65"/>
      <c r="G144" s="64"/>
      <c r="H144" s="64"/>
      <c r="K144" s="43"/>
    </row>
    <row r="145" spans="2:8" ht="7.2" customHeight="1">
      <c r="C145" s="37"/>
      <c r="F145" s="37"/>
    </row>
    <row r="146" spans="2:8">
      <c r="B146" s="77" t="s">
        <v>92</v>
      </c>
      <c r="C146" s="37"/>
      <c r="D146" s="39"/>
      <c r="E146" s="39"/>
      <c r="F146" s="39"/>
      <c r="G146" s="39"/>
      <c r="H146" s="39"/>
    </row>
    <row r="147" spans="2:8">
      <c r="B147" s="77" t="s">
        <v>93</v>
      </c>
      <c r="C147" s="37"/>
      <c r="D147" s="39"/>
      <c r="E147" s="39"/>
      <c r="F147" s="39"/>
      <c r="G147" s="39"/>
      <c r="H147" s="39"/>
    </row>
    <row r="148" spans="2:8">
      <c r="B148" s="39"/>
      <c r="C148" s="37"/>
      <c r="D148" s="39"/>
      <c r="E148" s="39"/>
      <c r="F148" s="39"/>
      <c r="G148" s="39"/>
      <c r="H148" s="39"/>
    </row>
    <row r="149" spans="2:8">
      <c r="B149" s="39"/>
      <c r="C149" s="37"/>
      <c r="D149" s="39"/>
      <c r="E149" s="39"/>
      <c r="F149" s="39"/>
      <c r="G149" s="39"/>
      <c r="H149" s="39"/>
    </row>
    <row r="150" spans="2:8">
      <c r="B150" s="39"/>
      <c r="C150" s="37"/>
      <c r="D150" s="39"/>
      <c r="E150" s="39"/>
      <c r="F150" s="39"/>
      <c r="G150" s="39" t="s">
        <v>94</v>
      </c>
      <c r="H150" s="39"/>
    </row>
    <row r="151" spans="2:8">
      <c r="B151" s="39"/>
      <c r="C151" s="37"/>
      <c r="D151" s="39"/>
      <c r="E151" s="39"/>
      <c r="F151" s="39"/>
      <c r="G151" s="39"/>
      <c r="H151" s="39"/>
    </row>
    <row r="152" spans="2:8">
      <c r="B152" s="39"/>
      <c r="C152" s="37"/>
      <c r="D152" s="39"/>
      <c r="E152" s="39"/>
      <c r="F152" s="39"/>
      <c r="G152" s="39"/>
      <c r="H152" s="39"/>
    </row>
    <row r="153" spans="2:8">
      <c r="B153" s="39"/>
      <c r="C153" s="37"/>
      <c r="D153" s="39"/>
      <c r="E153" s="39"/>
      <c r="F153" s="39"/>
      <c r="G153" s="39"/>
      <c r="H153" s="39"/>
    </row>
    <row r="154" spans="2:8">
      <c r="B154" s="39"/>
      <c r="C154" s="37"/>
      <c r="D154" s="39"/>
      <c r="E154" s="39"/>
      <c r="F154" s="39"/>
      <c r="G154" s="39"/>
      <c r="H154" s="39"/>
    </row>
    <row r="155" spans="2:8">
      <c r="B155" s="39"/>
      <c r="C155" s="37"/>
      <c r="D155" s="39"/>
      <c r="E155" s="39"/>
      <c r="F155" s="39"/>
      <c r="G155" s="39"/>
      <c r="H155" s="39"/>
    </row>
    <row r="156" spans="2:8">
      <c r="B156" s="39"/>
      <c r="C156" s="37"/>
      <c r="D156" s="39"/>
      <c r="E156" s="39"/>
      <c r="F156" s="39"/>
      <c r="G156" s="39"/>
      <c r="H156" s="39"/>
    </row>
    <row r="157" spans="2:8">
      <c r="B157" s="39"/>
      <c r="C157" s="37"/>
      <c r="D157" s="39"/>
      <c r="E157" s="39"/>
      <c r="F157" s="39"/>
      <c r="G157" s="39" t="s">
        <v>95</v>
      </c>
      <c r="H157" s="39"/>
    </row>
    <row r="158" spans="2:8">
      <c r="B158" s="39"/>
      <c r="C158" s="37"/>
      <c r="D158" s="39"/>
      <c r="E158" s="39"/>
      <c r="F158" s="39"/>
      <c r="G158" s="39"/>
      <c r="H158" s="39"/>
    </row>
    <row r="159" spans="2:8">
      <c r="B159" s="39"/>
      <c r="C159" s="37"/>
      <c r="D159" s="39"/>
      <c r="E159" s="39"/>
      <c r="F159" s="39"/>
      <c r="G159" s="39"/>
      <c r="H159" s="39"/>
    </row>
    <row r="160" spans="2:8">
      <c r="B160" s="39"/>
      <c r="C160" s="37"/>
      <c r="D160" s="39"/>
      <c r="E160" s="39"/>
      <c r="F160" s="39"/>
      <c r="G160" s="39"/>
      <c r="H160" s="39"/>
    </row>
    <row r="161" spans="2:8">
      <c r="B161" s="39"/>
      <c r="C161" s="37"/>
      <c r="D161" s="39"/>
      <c r="E161" s="39"/>
      <c r="F161" s="39"/>
      <c r="G161" s="39"/>
      <c r="H161" s="39"/>
    </row>
    <row r="162" spans="2:8">
      <c r="B162" s="39"/>
      <c r="C162" s="37"/>
      <c r="D162" s="39"/>
      <c r="E162" s="39"/>
      <c r="F162" s="39"/>
      <c r="G162" s="39"/>
      <c r="H162" s="39"/>
    </row>
    <row r="163" spans="2:8">
      <c r="B163" s="39"/>
      <c r="C163" s="37"/>
      <c r="D163" s="39"/>
      <c r="E163" s="39"/>
      <c r="F163" s="39"/>
      <c r="G163" s="39"/>
      <c r="H163" s="39"/>
    </row>
    <row r="164" spans="2:8">
      <c r="B164" s="39"/>
      <c r="C164" s="37"/>
      <c r="D164" s="39"/>
      <c r="E164" s="39"/>
      <c r="F164" s="39"/>
      <c r="G164" s="39"/>
      <c r="H164" s="39"/>
    </row>
    <row r="165" spans="2:8">
      <c r="B165" s="39"/>
      <c r="C165" s="37"/>
      <c r="D165" s="39"/>
      <c r="E165" s="39"/>
      <c r="F165" s="39"/>
      <c r="G165" s="39"/>
      <c r="H165" s="39"/>
    </row>
    <row r="166" spans="2:8">
      <c r="B166" s="39"/>
      <c r="C166" s="37"/>
      <c r="D166" s="39"/>
      <c r="E166" s="39"/>
      <c r="F166" s="39"/>
      <c r="G166" s="39"/>
      <c r="H166" s="39"/>
    </row>
    <row r="167" spans="2:8">
      <c r="B167" s="39"/>
      <c r="C167" s="37"/>
      <c r="D167" s="39"/>
      <c r="E167" s="39"/>
      <c r="F167" s="39"/>
      <c r="G167" s="39"/>
      <c r="H167" s="39"/>
    </row>
    <row r="168" spans="2:8">
      <c r="B168" s="39"/>
      <c r="C168" s="37"/>
      <c r="D168" s="39"/>
      <c r="E168" s="39"/>
      <c r="F168" s="39"/>
      <c r="G168" s="39"/>
      <c r="H168" s="39"/>
    </row>
    <row r="169" spans="2:8">
      <c r="B169" s="39"/>
      <c r="C169" s="37"/>
      <c r="D169" s="39"/>
      <c r="E169" s="39"/>
      <c r="F169" s="39"/>
      <c r="G169" s="39"/>
      <c r="H169" s="39"/>
    </row>
    <row r="170" spans="2:8">
      <c r="B170" s="39"/>
      <c r="C170" s="37"/>
      <c r="D170" s="39"/>
      <c r="E170" s="39"/>
      <c r="F170" s="39"/>
      <c r="G170" s="39"/>
      <c r="H170" s="39"/>
    </row>
    <row r="171" spans="2:8">
      <c r="B171" s="39"/>
      <c r="C171" s="37"/>
      <c r="D171" s="39"/>
      <c r="E171" s="39"/>
      <c r="F171" s="39"/>
      <c r="G171" s="39"/>
      <c r="H171" s="39"/>
    </row>
    <row r="172" spans="2:8">
      <c r="B172" s="39"/>
      <c r="C172" s="37"/>
      <c r="D172" s="39"/>
      <c r="E172" s="39"/>
      <c r="F172" s="39"/>
      <c r="G172" s="39"/>
      <c r="H172" s="39"/>
    </row>
    <row r="173" spans="2:8">
      <c r="B173" s="39"/>
      <c r="C173" s="37"/>
      <c r="D173" s="39"/>
      <c r="E173" s="39"/>
      <c r="F173" s="39"/>
      <c r="G173" s="39"/>
      <c r="H173" s="39"/>
    </row>
    <row r="174" spans="2:8">
      <c r="B174" s="39"/>
      <c r="C174" s="37"/>
      <c r="D174" s="39"/>
      <c r="E174" s="39"/>
      <c r="F174" s="39"/>
      <c r="G174" s="39"/>
      <c r="H174" s="39"/>
    </row>
    <row r="175" spans="2:8">
      <c r="B175" s="39"/>
      <c r="C175" s="37"/>
      <c r="D175" s="39"/>
      <c r="E175" s="39"/>
      <c r="F175" s="39"/>
      <c r="G175" s="39"/>
      <c r="H175" s="39"/>
    </row>
    <row r="176" spans="2:8">
      <c r="B176" s="77"/>
    </row>
    <row r="177" spans="2:8" ht="15" customHeight="1">
      <c r="B177" s="201" t="s">
        <v>96</v>
      </c>
      <c r="C177" s="202"/>
      <c r="D177" s="203"/>
      <c r="E177" s="203"/>
      <c r="F177" s="204"/>
      <c r="G177" s="203"/>
      <c r="H177" s="203"/>
    </row>
    <row r="178" spans="2:8" ht="7.2" customHeight="1">
      <c r="B178" s="77"/>
      <c r="C178" s="37"/>
      <c r="F178" s="37"/>
    </row>
    <row r="179" spans="2:8">
      <c r="B179" s="77" t="s">
        <v>97</v>
      </c>
    </row>
    <row r="180" spans="2:8">
      <c r="B180" s="77"/>
      <c r="C180" s="37" t="s">
        <v>98</v>
      </c>
    </row>
    <row r="181" spans="2:8">
      <c r="B181" s="77"/>
      <c r="C181" s="37" t="s">
        <v>99</v>
      </c>
    </row>
    <row r="182" spans="2:8">
      <c r="B182" s="77"/>
      <c r="C182" s="37" t="s">
        <v>100</v>
      </c>
    </row>
    <row r="183" spans="2:8" ht="7.2" customHeight="1">
      <c r="C183" s="37"/>
      <c r="F183" s="37"/>
    </row>
    <row r="184" spans="2:8">
      <c r="B184" s="77" t="s">
        <v>101</v>
      </c>
    </row>
    <row r="185" spans="2:8" ht="15" customHeight="1"/>
    <row r="186" spans="2:8" ht="15" customHeight="1">
      <c r="B186" s="201" t="s">
        <v>102</v>
      </c>
      <c r="C186" s="202"/>
      <c r="D186" s="203"/>
      <c r="E186" s="203"/>
      <c r="F186" s="204"/>
      <c r="G186" s="203"/>
      <c r="H186" s="203"/>
    </row>
    <row r="187" spans="2:8" ht="7.2" customHeight="1">
      <c r="B187" s="77"/>
      <c r="C187" s="37"/>
      <c r="F187" s="37"/>
    </row>
    <row r="188" spans="2:8">
      <c r="B188" s="77" t="s">
        <v>103</v>
      </c>
      <c r="C188" s="37"/>
    </row>
    <row r="189" spans="2:8" ht="7.2" customHeight="1">
      <c r="C189" s="37"/>
      <c r="F189" s="37"/>
    </row>
    <row r="190" spans="2:8">
      <c r="C190" s="201" t="s">
        <v>104</v>
      </c>
      <c r="E190" s="37" t="s">
        <v>105</v>
      </c>
    </row>
    <row r="191" spans="2:8">
      <c r="C191" s="37"/>
      <c r="E191" s="37" t="s">
        <v>106</v>
      </c>
    </row>
    <row r="192" spans="2:8" ht="7.2" customHeight="1">
      <c r="B192" s="77"/>
      <c r="C192" s="37"/>
      <c r="F192" s="37"/>
    </row>
    <row r="193" spans="2:8">
      <c r="C193" s="201" t="s">
        <v>107</v>
      </c>
      <c r="E193" s="37" t="s">
        <v>108</v>
      </c>
    </row>
    <row r="194" spans="2:8" ht="7.2" customHeight="1">
      <c r="B194" s="77"/>
      <c r="C194" s="37"/>
      <c r="F194" s="37"/>
    </row>
    <row r="195" spans="2:8">
      <c r="C195" s="201" t="s">
        <v>109</v>
      </c>
      <c r="E195" s="37" t="s">
        <v>110</v>
      </c>
    </row>
    <row r="196" spans="2:8" ht="7.2" customHeight="1">
      <c r="B196" s="77"/>
      <c r="C196" s="37"/>
      <c r="F196" s="37"/>
    </row>
    <row r="197" spans="2:8">
      <c r="C197" s="201" t="s">
        <v>111</v>
      </c>
      <c r="E197" s="37" t="s">
        <v>112</v>
      </c>
    </row>
    <row r="199" spans="2:8" ht="15" customHeight="1">
      <c r="B199" s="201" t="s">
        <v>113</v>
      </c>
      <c r="C199" s="202"/>
      <c r="D199" s="203"/>
      <c r="E199" s="203"/>
      <c r="F199" s="204"/>
      <c r="G199" s="203"/>
      <c r="H199" s="203"/>
    </row>
    <row r="200" spans="2:8" ht="7.2" customHeight="1">
      <c r="B200" s="77"/>
      <c r="C200" s="37"/>
      <c r="F200" s="37"/>
    </row>
    <row r="201" spans="2:8">
      <c r="B201" s="77" t="s">
        <v>114</v>
      </c>
      <c r="C201" s="37"/>
    </row>
    <row r="202" spans="2:8">
      <c r="B202" s="77"/>
      <c r="C202" s="37"/>
    </row>
    <row r="203" spans="2:8">
      <c r="B203" s="77"/>
      <c r="C203" s="37"/>
    </row>
    <row r="204" spans="2:8">
      <c r="B204" s="77"/>
      <c r="C204" s="37"/>
    </row>
    <row r="205" spans="2:8">
      <c r="B205" s="77" t="s">
        <v>115</v>
      </c>
      <c r="C205" s="37"/>
    </row>
    <row r="206" spans="2:8">
      <c r="B206" s="77"/>
      <c r="C206" s="37"/>
    </row>
    <row r="207" spans="2:8">
      <c r="B207" s="77"/>
      <c r="C207" s="37"/>
    </row>
    <row r="208" spans="2:8">
      <c r="B208" s="77"/>
      <c r="C208" s="37"/>
    </row>
    <row r="209" spans="2:6">
      <c r="B209" s="77"/>
      <c r="C209" s="37"/>
    </row>
    <row r="210" spans="2:6">
      <c r="B210" s="77"/>
      <c r="C210" s="37"/>
    </row>
    <row r="211" spans="2:6">
      <c r="B211" s="77"/>
      <c r="C211" s="37"/>
    </row>
    <row r="212" spans="2:6">
      <c r="B212" s="77"/>
      <c r="C212" s="37"/>
    </row>
    <row r="213" spans="2:6">
      <c r="B213" s="77"/>
      <c r="C213" s="37"/>
    </row>
    <row r="214" spans="2:6">
      <c r="B214" s="77" t="s">
        <v>116</v>
      </c>
      <c r="C214" s="37"/>
    </row>
    <row r="215" spans="2:6">
      <c r="B215" s="77"/>
      <c r="C215" s="37" t="s">
        <v>117</v>
      </c>
    </row>
    <row r="216" spans="2:6">
      <c r="B216" s="77"/>
      <c r="C216" s="37" t="s">
        <v>118</v>
      </c>
    </row>
    <row r="217" spans="2:6">
      <c r="B217" s="77"/>
      <c r="C217" s="37" t="s">
        <v>119</v>
      </c>
    </row>
    <row r="218" spans="2:6">
      <c r="B218" s="77"/>
      <c r="C218" s="37" t="s">
        <v>120</v>
      </c>
    </row>
    <row r="219" spans="2:6">
      <c r="B219" s="77"/>
      <c r="C219" s="37" t="s">
        <v>121</v>
      </c>
    </row>
    <row r="220" spans="2:6">
      <c r="B220" s="77"/>
      <c r="C220" s="37" t="s">
        <v>122</v>
      </c>
    </row>
    <row r="221" spans="2:6">
      <c r="B221" s="77"/>
      <c r="C221" s="37" t="s">
        <v>123</v>
      </c>
    </row>
    <row r="222" spans="2:6">
      <c r="B222" s="77"/>
      <c r="C222" s="37" t="s">
        <v>124</v>
      </c>
    </row>
    <row r="223" spans="2:6" ht="7.2" customHeight="1">
      <c r="B223" s="77"/>
      <c r="C223" s="37"/>
      <c r="F223" s="37"/>
    </row>
    <row r="224" spans="2:6">
      <c r="B224" s="77"/>
      <c r="C224" s="37" t="s">
        <v>125</v>
      </c>
    </row>
    <row r="225" spans="2:3">
      <c r="B225" s="77"/>
      <c r="C225" s="37" t="s">
        <v>126</v>
      </c>
    </row>
    <row r="226" spans="2:3">
      <c r="B226" s="77"/>
      <c r="C226" s="37"/>
    </row>
    <row r="227" spans="2:3">
      <c r="B227" s="77" t="s">
        <v>127</v>
      </c>
      <c r="C227" s="37"/>
    </row>
    <row r="228" spans="2:3">
      <c r="B228" s="77"/>
      <c r="C228" s="37"/>
    </row>
    <row r="229" spans="2:3">
      <c r="B229" s="77"/>
      <c r="C229" s="37"/>
    </row>
    <row r="230" spans="2:3">
      <c r="B230" s="77"/>
      <c r="C230" s="37"/>
    </row>
    <row r="231" spans="2:3">
      <c r="B231" s="77" t="s">
        <v>115</v>
      </c>
      <c r="C231" s="37"/>
    </row>
    <row r="232" spans="2:3">
      <c r="B232" s="77"/>
      <c r="C232" s="37"/>
    </row>
    <row r="233" spans="2:3">
      <c r="B233" s="77"/>
      <c r="C233" s="37"/>
    </row>
    <row r="234" spans="2:3">
      <c r="B234" s="77"/>
      <c r="C234" s="37"/>
    </row>
    <row r="235" spans="2:3">
      <c r="B235" s="77"/>
      <c r="C235" s="37"/>
    </row>
    <row r="236" spans="2:3">
      <c r="B236" s="77"/>
      <c r="C236" s="37"/>
    </row>
    <row r="237" spans="2:3">
      <c r="B237" s="77"/>
      <c r="C237" s="37"/>
    </row>
    <row r="238" spans="2:3">
      <c r="B238" s="77"/>
      <c r="C238" s="37"/>
    </row>
    <row r="239" spans="2:3">
      <c r="B239" s="77"/>
      <c r="C239" s="37"/>
    </row>
    <row r="240" spans="2:3">
      <c r="B240" s="77" t="s">
        <v>128</v>
      </c>
      <c r="C240" s="37"/>
    </row>
    <row r="241" spans="2:8" ht="15" customHeight="1"/>
    <row r="242" spans="2:8" ht="15" customHeight="1">
      <c r="B242" s="201" t="s">
        <v>129</v>
      </c>
      <c r="C242" s="202"/>
      <c r="D242" s="203"/>
      <c r="E242" s="203"/>
      <c r="F242" s="204"/>
      <c r="G242" s="203"/>
      <c r="H242" s="203"/>
    </row>
    <row r="243" spans="2:8" ht="7.2" customHeight="1">
      <c r="B243" s="77"/>
      <c r="C243" s="37"/>
      <c r="F243" s="37"/>
    </row>
    <row r="244" spans="2:8">
      <c r="B244" s="77" t="s">
        <v>130</v>
      </c>
      <c r="C244" s="37"/>
    </row>
    <row r="245" spans="2:8">
      <c r="B245" s="77" t="s">
        <v>131</v>
      </c>
      <c r="C245" s="37"/>
    </row>
    <row r="246" spans="2:8">
      <c r="B246" s="77"/>
      <c r="C246" s="37"/>
    </row>
    <row r="247" spans="2:8" ht="15" customHeight="1">
      <c r="B247" s="78" t="s">
        <v>132</v>
      </c>
      <c r="C247" s="53"/>
      <c r="D247" s="54"/>
      <c r="E247" s="54"/>
      <c r="F247" s="55"/>
      <c r="G247" s="54"/>
      <c r="H247" s="54"/>
    </row>
    <row r="248" spans="2:8" ht="7.2" customHeight="1">
      <c r="B248" s="77"/>
      <c r="C248" s="37"/>
      <c r="F248" s="37"/>
    </row>
    <row r="249" spans="2:8">
      <c r="B249" s="77" t="s">
        <v>133</v>
      </c>
      <c r="C249" s="37"/>
    </row>
    <row r="250" spans="2:8">
      <c r="B250" s="77"/>
    </row>
    <row r="251" spans="2:8" ht="15" customHeight="1">
      <c r="B251" s="78" t="s">
        <v>134</v>
      </c>
      <c r="C251" s="53"/>
      <c r="D251" s="54"/>
      <c r="E251" s="54"/>
      <c r="F251" s="55"/>
      <c r="G251" s="54"/>
      <c r="H251" s="54"/>
    </row>
    <row r="252" spans="2:8" ht="7.2" customHeight="1">
      <c r="B252" s="77"/>
      <c r="C252" s="37"/>
      <c r="F252" s="37"/>
    </row>
    <row r="253" spans="2:8">
      <c r="B253" s="77" t="s">
        <v>135</v>
      </c>
    </row>
    <row r="254" spans="2:8">
      <c r="B254" s="77" t="s">
        <v>136</v>
      </c>
    </row>
    <row r="255" spans="2:8">
      <c r="B255" s="77"/>
    </row>
    <row r="256" spans="2:8" ht="15" customHeight="1">
      <c r="B256" s="78" t="s">
        <v>137</v>
      </c>
      <c r="C256" s="53"/>
      <c r="D256" s="54"/>
      <c r="E256" s="54"/>
      <c r="F256" s="55"/>
      <c r="G256" s="54"/>
      <c r="H256" s="54"/>
    </row>
    <row r="257" spans="2:6" ht="7.2" customHeight="1">
      <c r="B257" s="77"/>
      <c r="C257" s="37"/>
      <c r="F257" s="37"/>
    </row>
    <row r="258" spans="2:6">
      <c r="B258" s="77" t="s">
        <v>138</v>
      </c>
      <c r="C258" s="37"/>
    </row>
    <row r="259" spans="2:6">
      <c r="C259" s="37"/>
    </row>
  </sheetData>
  <pageMargins left="0.7" right="0.7" top="0.75" bottom="0.75" header="0.3" footer="0.3"/>
  <pageSetup paperSize="8" scale="72" fitToHeight="0" orientation="portrait" r:id="rId1"/>
  <headerFooter>
    <oddHeader>&amp;L&amp;"Calibri"&amp;12&amp;K008000 SC Classification:GENERAL BUSINESS\Other General Business&amp;1#_x000D_</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249977111117893"/>
  </sheetPr>
  <dimension ref="B2:E54"/>
  <sheetViews>
    <sheetView topLeftCell="A6" workbookViewId="0">
      <selection activeCell="D13" sqref="D13"/>
    </sheetView>
  </sheetViews>
  <sheetFormatPr defaultColWidth="8.6640625" defaultRowHeight="14.4"/>
  <cols>
    <col min="1" max="2" width="3.44140625" customWidth="1"/>
    <col min="3" max="3" width="22.6640625" customWidth="1"/>
    <col min="4" max="4" width="38.33203125" bestFit="1" customWidth="1"/>
    <col min="5" max="5" width="3.44140625" customWidth="1"/>
    <col min="6" max="6" width="16.44140625" bestFit="1" customWidth="1"/>
    <col min="7" max="7" width="13.33203125" bestFit="1" customWidth="1"/>
    <col min="8" max="8" width="4.44140625" customWidth="1"/>
  </cols>
  <sheetData>
    <row r="2" spans="2:5" ht="17.25" customHeight="1">
      <c r="B2" s="90" t="s">
        <v>139</v>
      </c>
      <c r="C2" s="91"/>
      <c r="D2" s="91"/>
      <c r="E2" s="92"/>
    </row>
    <row r="3" spans="2:5">
      <c r="B3" s="93"/>
      <c r="C3" s="94"/>
      <c r="D3" s="94"/>
      <c r="E3" s="95"/>
    </row>
    <row r="4" spans="2:5" s="4" customFormat="1">
      <c r="B4" s="96"/>
      <c r="C4" s="67" t="s">
        <v>140</v>
      </c>
      <c r="D4" s="130" t="s">
        <v>141</v>
      </c>
      <c r="E4" s="97"/>
    </row>
    <row r="5" spans="2:5">
      <c r="B5" s="98"/>
      <c r="C5" s="63"/>
      <c r="D5" s="68"/>
      <c r="E5" s="99"/>
    </row>
    <row r="6" spans="2:5" s="4" customFormat="1">
      <c r="B6" s="96"/>
      <c r="C6" s="67" t="s">
        <v>142</v>
      </c>
      <c r="D6" s="87" t="str">
        <f>VLOOKUP(su_tournament,lu_tournament_table,2,0)&amp;su_year</f>
        <v>FU17WC2025</v>
      </c>
      <c r="E6" s="97"/>
    </row>
    <row r="7" spans="2:5">
      <c r="B7" s="98"/>
      <c r="C7" s="63"/>
      <c r="D7" s="68"/>
      <c r="E7" s="99"/>
    </row>
    <row r="8" spans="2:5" s="4" customFormat="1">
      <c r="B8" s="96"/>
      <c r="C8" s="67" t="s">
        <v>143</v>
      </c>
      <c r="D8" s="130" t="s">
        <v>144</v>
      </c>
      <c r="E8" s="97"/>
    </row>
    <row r="9" spans="2:5">
      <c r="B9" s="98"/>
      <c r="C9" s="63"/>
      <c r="D9" s="68"/>
      <c r="E9" s="99"/>
    </row>
    <row r="10" spans="2:5" s="4" customFormat="1">
      <c r="B10" s="96"/>
      <c r="C10" s="67" t="s">
        <v>145</v>
      </c>
      <c r="D10" s="86">
        <v>2025</v>
      </c>
      <c r="E10" s="97"/>
    </row>
    <row r="11" spans="2:5">
      <c r="B11" s="98"/>
      <c r="C11" s="63"/>
      <c r="D11" s="5"/>
      <c r="E11" s="99"/>
    </row>
    <row r="12" spans="2:5" s="4" customFormat="1">
      <c r="B12" s="96"/>
      <c r="C12" s="67" t="s">
        <v>146</v>
      </c>
      <c r="D12" s="88" t="s">
        <v>147</v>
      </c>
      <c r="E12" s="97"/>
    </row>
    <row r="13" spans="2:5">
      <c r="B13" s="98"/>
      <c r="C13" s="63"/>
      <c r="D13" s="68"/>
      <c r="E13" s="99"/>
    </row>
    <row r="14" spans="2:5" ht="15.75" customHeight="1">
      <c r="B14" s="98"/>
      <c r="C14" s="67" t="s">
        <v>148</v>
      </c>
      <c r="D14" s="123" t="s">
        <v>149</v>
      </c>
      <c r="E14" s="99"/>
    </row>
    <row r="15" spans="2:5" s="4" customFormat="1">
      <c r="B15" s="96"/>
      <c r="C15" s="63"/>
      <c r="D15" s="59" t="s">
        <v>150</v>
      </c>
      <c r="E15" s="97"/>
    </row>
    <row r="16" spans="2:5" s="4" customFormat="1">
      <c r="B16" s="96"/>
      <c r="C16" s="63"/>
      <c r="D16" s="59" t="s">
        <v>151</v>
      </c>
      <c r="E16" s="97"/>
    </row>
    <row r="17" spans="2:5" s="4" customFormat="1">
      <c r="B17" s="96"/>
      <c r="C17" s="63"/>
      <c r="D17" s="59" t="s">
        <v>152</v>
      </c>
      <c r="E17" s="97"/>
    </row>
    <row r="18" spans="2:5" s="4" customFormat="1">
      <c r="B18" s="96"/>
      <c r="C18" s="63"/>
      <c r="D18" s="59" t="s">
        <v>153</v>
      </c>
      <c r="E18" s="97"/>
    </row>
    <row r="19" spans="2:5" s="4" customFormat="1">
      <c r="B19" s="96"/>
      <c r="C19" s="63"/>
      <c r="D19" s="59" t="s">
        <v>154</v>
      </c>
      <c r="E19" s="97"/>
    </row>
    <row r="20" spans="2:5" s="4" customFormat="1">
      <c r="B20" s="96"/>
      <c r="C20" s="63"/>
      <c r="D20" s="59" t="s">
        <v>155</v>
      </c>
      <c r="E20" s="97"/>
    </row>
    <row r="21" spans="2:5" s="4" customFormat="1">
      <c r="B21" s="96"/>
      <c r="C21" s="63"/>
      <c r="D21" s="59" t="s">
        <v>156</v>
      </c>
      <c r="E21" s="97"/>
    </row>
    <row r="22" spans="2:5" s="4" customFormat="1">
      <c r="B22" s="96"/>
      <c r="C22" s="63"/>
      <c r="D22" s="59" t="s">
        <v>157</v>
      </c>
      <c r="E22" s="97"/>
    </row>
    <row r="23" spans="2:5" s="4" customFormat="1">
      <c r="B23" s="96"/>
      <c r="C23" s="63"/>
      <c r="D23" s="59" t="s">
        <v>158</v>
      </c>
      <c r="E23" s="97"/>
    </row>
    <row r="24" spans="2:5" s="4" customFormat="1">
      <c r="B24" s="96"/>
      <c r="C24" s="63"/>
      <c r="D24" s="59" t="s">
        <v>159</v>
      </c>
      <c r="E24" s="97"/>
    </row>
    <row r="25" spans="2:5" s="4" customFormat="1">
      <c r="B25" s="96"/>
      <c r="C25" s="63"/>
      <c r="D25" s="59" t="s">
        <v>160</v>
      </c>
      <c r="E25" s="97"/>
    </row>
    <row r="26" spans="2:5" s="4" customFormat="1">
      <c r="B26" s="96"/>
      <c r="C26" s="63"/>
      <c r="D26" s="59" t="s">
        <v>161</v>
      </c>
      <c r="E26" s="97"/>
    </row>
    <row r="27" spans="2:5" s="4" customFormat="1">
      <c r="B27" s="96"/>
      <c r="C27" s="63"/>
      <c r="D27" s="59" t="s">
        <v>162</v>
      </c>
      <c r="E27" s="97"/>
    </row>
    <row r="28" spans="2:5" s="4" customFormat="1">
      <c r="B28" s="96"/>
      <c r="C28" s="63"/>
      <c r="D28" s="59" t="s">
        <v>163</v>
      </c>
      <c r="E28" s="97"/>
    </row>
    <row r="29" spans="2:5" s="4" customFormat="1">
      <c r="B29" s="96"/>
      <c r="C29" s="63"/>
      <c r="D29" s="59" t="s">
        <v>164</v>
      </c>
      <c r="E29" s="97"/>
    </row>
    <row r="30" spans="2:5" s="4" customFormat="1">
      <c r="B30" s="96"/>
      <c r="C30" s="63"/>
      <c r="D30" s="59"/>
      <c r="E30" s="97"/>
    </row>
    <row r="31" spans="2:5" s="4" customFormat="1">
      <c r="B31" s="96"/>
      <c r="C31" s="63"/>
      <c r="D31" s="59"/>
      <c r="E31" s="97"/>
    </row>
    <row r="32" spans="2:5" s="4" customFormat="1">
      <c r="B32" s="96"/>
      <c r="C32" s="63"/>
      <c r="D32" s="59"/>
      <c r="E32" s="97"/>
    </row>
    <row r="33" spans="2:5" s="4" customFormat="1">
      <c r="B33" s="96"/>
      <c r="C33" s="63"/>
      <c r="D33" s="59"/>
      <c r="E33" s="97"/>
    </row>
    <row r="34" spans="2:5" s="4" customFormat="1">
      <c r="B34" s="96"/>
      <c r="C34" s="63"/>
      <c r="D34" s="59"/>
      <c r="E34" s="97"/>
    </row>
    <row r="35" spans="2:5" s="4" customFormat="1">
      <c r="B35" s="96"/>
      <c r="C35" s="63"/>
      <c r="D35" s="59"/>
      <c r="E35" s="97"/>
    </row>
    <row r="36" spans="2:5" s="4" customFormat="1">
      <c r="B36" s="96"/>
      <c r="C36" s="63"/>
      <c r="D36" s="59"/>
      <c r="E36" s="97"/>
    </row>
    <row r="37" spans="2:5" s="4" customFormat="1">
      <c r="B37" s="96"/>
      <c r="C37" s="63"/>
      <c r="D37" s="59"/>
      <c r="E37" s="97"/>
    </row>
    <row r="38" spans="2:5" s="4" customFormat="1">
      <c r="B38" s="96"/>
      <c r="C38" s="63"/>
      <c r="D38" s="59"/>
      <c r="E38" s="97"/>
    </row>
    <row r="39" spans="2:5" s="4" customFormat="1">
      <c r="B39" s="96"/>
      <c r="C39" s="63"/>
      <c r="D39" s="59"/>
      <c r="E39" s="97"/>
    </row>
    <row r="40" spans="2:5" s="4" customFormat="1">
      <c r="B40" s="96"/>
      <c r="C40" s="63"/>
      <c r="D40" s="59"/>
      <c r="E40" s="97"/>
    </row>
    <row r="41" spans="2:5" s="4" customFormat="1">
      <c r="B41" s="96"/>
      <c r="C41" s="63"/>
      <c r="D41" s="59"/>
      <c r="E41" s="97"/>
    </row>
    <row r="42" spans="2:5" s="4" customFormat="1">
      <c r="B42" s="96"/>
      <c r="C42" s="63"/>
      <c r="D42" s="59"/>
      <c r="E42" s="97"/>
    </row>
    <row r="43" spans="2:5" s="4" customFormat="1">
      <c r="B43" s="96"/>
      <c r="C43" s="63"/>
      <c r="D43" s="59"/>
      <c r="E43" s="97"/>
    </row>
    <row r="44" spans="2:5" s="4" customFormat="1">
      <c r="B44" s="96"/>
      <c r="C44" s="63"/>
      <c r="D44" s="59"/>
      <c r="E44" s="97"/>
    </row>
    <row r="45" spans="2:5" s="4" customFormat="1">
      <c r="B45" s="96"/>
      <c r="C45" s="63"/>
      <c r="D45" s="59"/>
      <c r="E45" s="97"/>
    </row>
    <row r="46" spans="2:5" s="4" customFormat="1">
      <c r="B46" s="96"/>
      <c r="C46" s="63"/>
      <c r="D46" s="59"/>
      <c r="E46" s="97"/>
    </row>
    <row r="47" spans="2:5" s="4" customFormat="1">
      <c r="B47" s="96"/>
      <c r="C47" s="63"/>
      <c r="D47" s="59"/>
      <c r="E47" s="97"/>
    </row>
    <row r="48" spans="2:5" s="4" customFormat="1">
      <c r="B48" s="96"/>
      <c r="C48" s="63"/>
      <c r="D48" s="59"/>
      <c r="E48" s="97"/>
    </row>
    <row r="49" spans="2:5" s="4" customFormat="1">
      <c r="B49" s="96"/>
      <c r="C49" s="63"/>
      <c r="D49" s="59"/>
      <c r="E49" s="97"/>
    </row>
    <row r="50" spans="2:5" s="4" customFormat="1">
      <c r="B50" s="96"/>
      <c r="C50" s="63"/>
      <c r="D50" s="59"/>
      <c r="E50" s="97"/>
    </row>
    <row r="51" spans="2:5" s="4" customFormat="1">
      <c r="B51" s="96"/>
      <c r="C51" s="63"/>
      <c r="D51" s="59"/>
      <c r="E51" s="97"/>
    </row>
    <row r="52" spans="2:5" s="4" customFormat="1">
      <c r="B52" s="96"/>
      <c r="C52" s="63"/>
      <c r="D52" s="33"/>
      <c r="E52" s="97"/>
    </row>
    <row r="53" spans="2:5" s="4" customFormat="1">
      <c r="B53" s="96"/>
      <c r="C53" s="63"/>
      <c r="D53" s="89"/>
      <c r="E53" s="97"/>
    </row>
    <row r="54" spans="2:5">
      <c r="B54" s="100"/>
      <c r="C54" s="101"/>
      <c r="D54" s="102"/>
      <c r="E54" s="103"/>
    </row>
  </sheetData>
  <phoneticPr fontId="38" type="noConversion"/>
  <dataValidations count="1">
    <dataValidation type="list" allowBlank="1" showInputMessage="1" showErrorMessage="1" sqref="D4" xr:uid="{00000000-0002-0000-0100-000000000000}">
      <formula1>lu_tournaments</formula1>
    </dataValidation>
  </dataValidations>
  <pageMargins left="0.7" right="0.7" top="0.75" bottom="0.75" header="0.3" footer="0.3"/>
  <pageSetup paperSize="9" orientation="portrait" r:id="rId1"/>
  <headerFooter>
    <oddHeader>&amp;L&amp;"Calibri"&amp;12&amp;K008000 SC Classification:GENERAL BUSINESS\Other General Business&amp;1#_x000D_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249977111117893"/>
    <pageSetUpPr fitToPage="1"/>
  </sheetPr>
  <dimension ref="B1:F40"/>
  <sheetViews>
    <sheetView workbookViewId="0">
      <selection activeCell="C16" sqref="C16"/>
    </sheetView>
  </sheetViews>
  <sheetFormatPr defaultColWidth="8.6640625" defaultRowHeight="14.4"/>
  <cols>
    <col min="1" max="1" width="3.44140625" customWidth="1"/>
    <col min="2" max="2" width="11.44140625" style="37" customWidth="1"/>
    <col min="3" max="3" width="99.44140625" customWidth="1"/>
    <col min="4" max="4" width="20.44140625" style="37" customWidth="1"/>
    <col min="5" max="5" width="16.44140625" style="37" customWidth="1"/>
    <col min="6" max="6" width="3.6640625" customWidth="1"/>
    <col min="8" max="8" width="17.44140625" bestFit="1" customWidth="1"/>
  </cols>
  <sheetData>
    <row r="1" spans="2:6" s="121" customFormat="1" ht="35.25" customHeight="1">
      <c r="B1" s="75" t="str">
        <f>su_tournament&amp;" "&amp;su_host_country&amp;" "&amp;su_year&amp;": TEAP v"&amp;su_version&amp;" Release Notes"</f>
        <v>FIFA U-17 World Cup Qatar 2025: TEAP v0.9 Release Notes</v>
      </c>
      <c r="C1" s="119"/>
      <c r="D1" s="119"/>
      <c r="E1" s="119"/>
      <c r="F1" s="120"/>
    </row>
    <row r="2" spans="2:6" ht="35.25" customHeight="1"/>
    <row r="3" spans="2:6" s="1" customFormat="1" ht="28.8">
      <c r="B3" s="106" t="s">
        <v>165</v>
      </c>
      <c r="C3" s="107" t="s">
        <v>166</v>
      </c>
      <c r="D3" s="108" t="s">
        <v>167</v>
      </c>
      <c r="E3" s="109" t="s">
        <v>168</v>
      </c>
    </row>
    <row r="4" spans="2:6">
      <c r="B4" s="450" t="str">
        <f>"v"&amp;su_version</f>
        <v>v0.9</v>
      </c>
      <c r="C4" s="110" t="s">
        <v>169</v>
      </c>
      <c r="D4" s="449" t="s">
        <v>170</v>
      </c>
      <c r="E4" s="452" t="s">
        <v>171</v>
      </c>
    </row>
    <row r="5" spans="2:6">
      <c r="B5" s="450"/>
      <c r="C5" s="111"/>
      <c r="D5" s="449"/>
      <c r="E5" s="452"/>
    </row>
    <row r="6" spans="2:6">
      <c r="B6" s="450"/>
      <c r="C6" s="111"/>
      <c r="D6" s="449"/>
      <c r="E6" s="452"/>
    </row>
    <row r="7" spans="2:6">
      <c r="B7" s="450"/>
      <c r="C7" s="111"/>
      <c r="D7" s="449"/>
      <c r="E7" s="452"/>
    </row>
    <row r="8" spans="2:6">
      <c r="B8" s="450"/>
      <c r="C8" s="112"/>
      <c r="D8" s="449"/>
      <c r="E8" s="452"/>
    </row>
    <row r="9" spans="2:6" ht="35.25" customHeight="1"/>
    <row r="10" spans="2:6" s="1" customFormat="1" ht="28.8">
      <c r="B10" s="106" t="s">
        <v>172</v>
      </c>
      <c r="C10" s="107" t="s">
        <v>166</v>
      </c>
      <c r="D10" s="108" t="s">
        <v>167</v>
      </c>
      <c r="E10" s="109" t="s">
        <v>168</v>
      </c>
    </row>
    <row r="11" spans="2:6">
      <c r="B11" s="451">
        <v>45729</v>
      </c>
      <c r="C11" s="110" t="s">
        <v>173</v>
      </c>
      <c r="D11" s="449" t="s">
        <v>170</v>
      </c>
      <c r="E11" s="452">
        <v>45729</v>
      </c>
    </row>
    <row r="12" spans="2:6">
      <c r="B12" s="448"/>
      <c r="D12" s="449"/>
      <c r="E12" s="452"/>
    </row>
    <row r="13" spans="2:6">
      <c r="B13" s="448"/>
      <c r="C13" s="116"/>
      <c r="D13" s="449"/>
      <c r="E13" s="452"/>
    </row>
    <row r="14" spans="2:6">
      <c r="B14" s="448"/>
      <c r="C14" s="111"/>
      <c r="D14" s="449"/>
      <c r="E14" s="452"/>
    </row>
    <row r="15" spans="2:6">
      <c r="B15" s="448"/>
      <c r="C15" s="112"/>
      <c r="D15" s="449"/>
      <c r="E15" s="452"/>
    </row>
    <row r="16" spans="2:6">
      <c r="B16" s="451">
        <v>45790</v>
      </c>
      <c r="C16" s="116" t="s">
        <v>174</v>
      </c>
      <c r="D16" s="449" t="s">
        <v>170</v>
      </c>
      <c r="E16" s="452">
        <v>45790</v>
      </c>
    </row>
    <row r="17" spans="2:5" ht="14.7" customHeight="1">
      <c r="B17" s="448"/>
      <c r="C17" s="116"/>
      <c r="D17" s="449"/>
      <c r="E17" s="452"/>
    </row>
    <row r="18" spans="2:5" ht="14.7" customHeight="1">
      <c r="B18" s="448"/>
      <c r="C18" s="116"/>
      <c r="D18" s="449"/>
      <c r="E18" s="452"/>
    </row>
    <row r="19" spans="2:5" ht="14.7" customHeight="1">
      <c r="B19" s="448"/>
      <c r="C19" s="111"/>
      <c r="D19" s="449"/>
      <c r="E19" s="452"/>
    </row>
    <row r="20" spans="2:5" ht="14.7" customHeight="1">
      <c r="B20" s="448"/>
      <c r="C20" s="112"/>
      <c r="D20" s="449"/>
      <c r="E20" s="452"/>
    </row>
    <row r="21" spans="2:5">
      <c r="B21" s="451">
        <v>45845</v>
      </c>
      <c r="C21" s="116" t="s">
        <v>175</v>
      </c>
      <c r="D21" s="449" t="s">
        <v>170</v>
      </c>
      <c r="E21" s="452">
        <v>45845</v>
      </c>
    </row>
    <row r="22" spans="2:5">
      <c r="B22" s="448"/>
      <c r="C22" s="116"/>
      <c r="D22" s="449"/>
      <c r="E22" s="452"/>
    </row>
    <row r="23" spans="2:5">
      <c r="B23" s="448"/>
      <c r="C23" s="116"/>
      <c r="D23" s="449"/>
      <c r="E23" s="452"/>
    </row>
    <row r="24" spans="2:5">
      <c r="B24" s="448"/>
      <c r="C24" s="111"/>
      <c r="D24" s="449"/>
      <c r="E24" s="452"/>
    </row>
    <row r="25" spans="2:5">
      <c r="B25" s="448"/>
      <c r="C25" s="112"/>
      <c r="D25" s="449"/>
      <c r="E25" s="452"/>
    </row>
    <row r="26" spans="2:5">
      <c r="B26" s="448"/>
      <c r="C26" s="110"/>
      <c r="D26" s="449"/>
      <c r="E26" s="452"/>
    </row>
    <row r="27" spans="2:5">
      <c r="B27" s="448"/>
      <c r="C27" s="116"/>
      <c r="D27" s="449"/>
      <c r="E27" s="452"/>
    </row>
    <row r="28" spans="2:5">
      <c r="B28" s="448"/>
      <c r="C28" s="116"/>
      <c r="D28" s="449"/>
      <c r="E28" s="452"/>
    </row>
    <row r="29" spans="2:5">
      <c r="B29" s="448"/>
      <c r="C29" s="111"/>
      <c r="D29" s="449"/>
      <c r="E29" s="452"/>
    </row>
    <row r="30" spans="2:5">
      <c r="B30" s="448"/>
      <c r="C30" s="112"/>
      <c r="D30" s="449"/>
      <c r="E30" s="452"/>
    </row>
    <row r="31" spans="2:5">
      <c r="B31" s="448"/>
      <c r="C31" s="110"/>
      <c r="D31" s="449"/>
      <c r="E31" s="452"/>
    </row>
    <row r="32" spans="2:5">
      <c r="B32" s="448"/>
      <c r="C32" s="116"/>
      <c r="D32" s="449"/>
      <c r="E32" s="452"/>
    </row>
    <row r="33" spans="2:5">
      <c r="B33" s="448"/>
      <c r="C33" s="116"/>
      <c r="D33" s="449"/>
      <c r="E33" s="452"/>
    </row>
    <row r="34" spans="2:5">
      <c r="B34" s="448"/>
      <c r="C34" s="111"/>
      <c r="D34" s="449"/>
      <c r="E34" s="452"/>
    </row>
    <row r="35" spans="2:5">
      <c r="B35" s="448"/>
      <c r="C35" s="112"/>
      <c r="D35" s="449"/>
      <c r="E35" s="452"/>
    </row>
    <row r="36" spans="2:5">
      <c r="B36" s="448"/>
      <c r="C36" s="110"/>
      <c r="D36" s="449"/>
      <c r="E36" s="452"/>
    </row>
    <row r="37" spans="2:5">
      <c r="B37" s="448"/>
      <c r="C37" s="116"/>
      <c r="D37" s="449"/>
      <c r="E37" s="452"/>
    </row>
    <row r="38" spans="2:5">
      <c r="B38" s="448"/>
      <c r="C38" s="116"/>
      <c r="D38" s="449"/>
      <c r="E38" s="452"/>
    </row>
    <row r="39" spans="2:5">
      <c r="B39" s="448"/>
      <c r="C39" s="111"/>
      <c r="D39" s="449"/>
      <c r="E39" s="452"/>
    </row>
    <row r="40" spans="2:5">
      <c r="B40" s="448"/>
      <c r="C40" s="112"/>
      <c r="D40" s="449"/>
      <c r="E40" s="452"/>
    </row>
  </sheetData>
  <mergeCells count="21">
    <mergeCell ref="B31:B35"/>
    <mergeCell ref="D31:D35"/>
    <mergeCell ref="E31:E35"/>
    <mergeCell ref="B36:B40"/>
    <mergeCell ref="D36:D40"/>
    <mergeCell ref="E36:E40"/>
    <mergeCell ref="B26:B30"/>
    <mergeCell ref="D26:D30"/>
    <mergeCell ref="B4:B8"/>
    <mergeCell ref="B11:B15"/>
    <mergeCell ref="E26:E30"/>
    <mergeCell ref="E4:E8"/>
    <mergeCell ref="D4:D8"/>
    <mergeCell ref="D11:D15"/>
    <mergeCell ref="E11:E15"/>
    <mergeCell ref="B16:B20"/>
    <mergeCell ref="D16:D20"/>
    <mergeCell ref="E16:E20"/>
    <mergeCell ref="B21:B25"/>
    <mergeCell ref="D21:D25"/>
    <mergeCell ref="E21:E25"/>
  </mergeCells>
  <pageMargins left="0.7" right="0.7" top="0.75" bottom="0.75" header="0.3" footer="0.3"/>
  <pageSetup paperSize="9" scale="61" fitToHeight="0" orientation="portrait" r:id="rId1"/>
  <headerFooter>
    <oddHeader>&amp;L&amp;"Calibri"&amp;12&amp;K008000 SC Classification:GENERAL BUSINESS\Other General Business&amp;1#_x000D_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553E4-9AD5-49B9-98B5-9CD3608C0287}">
  <sheetPr>
    <tabColor rgb="FF92D050"/>
  </sheetPr>
  <dimension ref="A3:M201"/>
  <sheetViews>
    <sheetView workbookViewId="0">
      <selection activeCell="D47" sqref="D42:D47"/>
    </sheetView>
  </sheetViews>
  <sheetFormatPr defaultRowHeight="14.4"/>
  <cols>
    <col min="1" max="1" width="10.33203125" customWidth="1"/>
    <col min="2" max="2" width="33.5546875" bestFit="1" customWidth="1"/>
    <col min="3" max="3" width="29.44140625" bestFit="1" customWidth="1"/>
    <col min="4" max="4" width="23.88671875" customWidth="1"/>
    <col min="5" max="5" width="45.109375" customWidth="1"/>
    <col min="6" max="6" width="17.44140625" customWidth="1"/>
    <col min="7" max="7" width="35.6640625" bestFit="1" customWidth="1"/>
    <col min="8" max="8" width="12.44140625" customWidth="1"/>
    <col min="9" max="9" width="11.33203125" customWidth="1"/>
    <col min="10" max="10" width="11" customWidth="1"/>
    <col min="11" max="11" width="30.33203125" hidden="1" customWidth="1"/>
    <col min="12" max="12" width="60.5546875" bestFit="1" customWidth="1"/>
    <col min="13" max="13" width="124.6640625" customWidth="1"/>
  </cols>
  <sheetData>
    <row r="3" spans="1:13" ht="15.6">
      <c r="A3" t="s">
        <v>176</v>
      </c>
      <c r="B3" t="s">
        <v>177</v>
      </c>
      <c r="C3" s="375" t="s">
        <v>69</v>
      </c>
      <c r="D3" s="375" t="s">
        <v>71</v>
      </c>
      <c r="E3" s="376" t="s">
        <v>73</v>
      </c>
      <c r="F3" s="375" t="s">
        <v>38</v>
      </c>
      <c r="G3" s="375" t="s">
        <v>178</v>
      </c>
      <c r="H3" s="376" t="s">
        <v>179</v>
      </c>
      <c r="I3" s="376" t="s">
        <v>180</v>
      </c>
      <c r="J3" s="376" t="s">
        <v>181</v>
      </c>
      <c r="K3" s="377" t="s">
        <v>33</v>
      </c>
      <c r="L3" s="378" t="s">
        <v>182</v>
      </c>
      <c r="M3" s="376" t="s">
        <v>79</v>
      </c>
    </row>
    <row r="4" spans="1:13" hidden="1">
      <c r="A4" t="s">
        <v>183</v>
      </c>
      <c r="B4" t="str" cm="1">
        <f t="array" ref="B4">_xlfn.CONCAT("LOC ",_xlfn._xlws.FILTER(t_FA[FA Name],t_FA[FA]=t_requirements[[#This Row],[FA]]))</f>
        <v xml:space="preserve">LOC Access Management </v>
      </c>
      <c r="C4" s="379" t="s">
        <v>184</v>
      </c>
      <c r="D4" s="379" t="s">
        <v>185</v>
      </c>
      <c r="E4" s="379"/>
      <c r="F4" s="379" t="s">
        <v>186</v>
      </c>
      <c r="G4" s="379" t="s">
        <v>187</v>
      </c>
      <c r="H4" s="380">
        <v>37</v>
      </c>
      <c r="I4" s="381">
        <v>45949</v>
      </c>
      <c r="J4" s="381">
        <v>45988</v>
      </c>
      <c r="K4" s="382" t="s">
        <v>188</v>
      </c>
      <c r="L4" s="383"/>
      <c r="M4" s="384" t="s">
        <v>189</v>
      </c>
    </row>
    <row r="5" spans="1:13" hidden="1">
      <c r="A5" t="s">
        <v>183</v>
      </c>
      <c r="B5" t="str" cm="1">
        <f t="array" ref="B5">_xlfn.CONCAT("LOC ",_xlfn._xlws.FILTER(t_FA[FA Name],t_FA[FA]=t_requirements[[#This Row],[FA]]))</f>
        <v xml:space="preserve">LOC Access Management </v>
      </c>
      <c r="C5" s="379" t="s">
        <v>184</v>
      </c>
      <c r="D5" s="379" t="s">
        <v>185</v>
      </c>
      <c r="E5" s="379"/>
      <c r="F5" s="379" t="s">
        <v>186</v>
      </c>
      <c r="G5" s="379" t="s">
        <v>190</v>
      </c>
      <c r="H5" s="380">
        <v>2</v>
      </c>
      <c r="I5" s="381">
        <v>45949</v>
      </c>
      <c r="J5" s="381">
        <v>45988</v>
      </c>
      <c r="K5" s="382" t="s">
        <v>191</v>
      </c>
      <c r="L5" s="383"/>
      <c r="M5" s="384" t="s">
        <v>192</v>
      </c>
    </row>
    <row r="6" spans="1:13" hidden="1">
      <c r="A6" t="s">
        <v>183</v>
      </c>
      <c r="B6" t="str" cm="1">
        <f t="array" ref="B6">_xlfn.CONCAT("LOC ",_xlfn._xlws.FILTER(t_FA[FA Name],t_FA[FA]=t_requirements[[#This Row],[FA]]))</f>
        <v xml:space="preserve">LOC Access Management </v>
      </c>
      <c r="C6" s="379" t="s">
        <v>193</v>
      </c>
      <c r="D6" s="379" t="s">
        <v>185</v>
      </c>
      <c r="E6" s="379"/>
      <c r="F6" s="379" t="s">
        <v>186</v>
      </c>
      <c r="G6" s="379" t="s">
        <v>187</v>
      </c>
      <c r="H6" s="380">
        <v>90</v>
      </c>
      <c r="I6" s="381">
        <v>45949</v>
      </c>
      <c r="J6" s="381">
        <v>46009</v>
      </c>
      <c r="K6" s="382" t="s">
        <v>188</v>
      </c>
      <c r="L6" s="383"/>
      <c r="M6" s="379" t="s">
        <v>194</v>
      </c>
    </row>
    <row r="7" spans="1:13" hidden="1">
      <c r="A7" t="s">
        <v>183</v>
      </c>
      <c r="B7" t="str" cm="1">
        <f t="array" ref="B7">_xlfn.CONCAT("LOC ",_xlfn._xlws.FILTER(t_FA[FA Name],t_FA[FA]=t_requirements[[#This Row],[FA]]))</f>
        <v xml:space="preserve">LOC Access Management </v>
      </c>
      <c r="C7" s="379" t="s">
        <v>193</v>
      </c>
      <c r="D7" s="379" t="s">
        <v>185</v>
      </c>
      <c r="E7" s="379"/>
      <c r="F7" s="379" t="s">
        <v>186</v>
      </c>
      <c r="G7" s="379" t="s">
        <v>190</v>
      </c>
      <c r="H7" s="380">
        <v>2</v>
      </c>
      <c r="I7" s="381">
        <v>45949</v>
      </c>
      <c r="J7" s="381">
        <v>46009</v>
      </c>
      <c r="K7" s="382" t="s">
        <v>191</v>
      </c>
      <c r="L7" s="383"/>
      <c r="M7" s="384" t="s">
        <v>195</v>
      </c>
    </row>
    <row r="8" spans="1:13" hidden="1">
      <c r="A8" t="s">
        <v>196</v>
      </c>
      <c r="B8" t="str" cm="1">
        <f t="array" ref="B8">_xlfn.CONCAT("LOC ",_xlfn._xlws.FILTER(t_FA[FA Name],t_FA[FA]=t_requirements[[#This Row],[FA]]))</f>
        <v>LOC Accreditation</v>
      </c>
      <c r="C8" s="385" t="s">
        <v>197</v>
      </c>
      <c r="D8" s="379" t="s">
        <v>198</v>
      </c>
      <c r="E8" s="379" t="s">
        <v>199</v>
      </c>
      <c r="F8" s="379" t="s">
        <v>200</v>
      </c>
      <c r="G8" s="379" t="s">
        <v>201</v>
      </c>
      <c r="H8" s="380">
        <v>0</v>
      </c>
      <c r="I8" s="381">
        <v>45923</v>
      </c>
      <c r="J8" s="381">
        <v>46010</v>
      </c>
      <c r="K8" s="382" t="s">
        <v>202</v>
      </c>
      <c r="L8" t="s">
        <v>203</v>
      </c>
      <c r="M8" s="386" t="s">
        <v>204</v>
      </c>
    </row>
    <row r="9" spans="1:13" hidden="1">
      <c r="A9" t="s">
        <v>196</v>
      </c>
      <c r="B9" t="str" cm="1">
        <f t="array" ref="B9">_xlfn.CONCAT("LOC ",_xlfn._xlws.FILTER(t_FA[FA Name],t_FA[FA]=t_requirements[[#This Row],[FA]]))</f>
        <v>LOC Accreditation</v>
      </c>
      <c r="C9" s="385" t="s">
        <v>197</v>
      </c>
      <c r="D9" s="379" t="s">
        <v>198</v>
      </c>
      <c r="E9" s="379" t="s">
        <v>205</v>
      </c>
      <c r="F9" s="379" t="s">
        <v>200</v>
      </c>
      <c r="G9" s="379" t="s">
        <v>206</v>
      </c>
      <c r="H9" s="380">
        <v>0</v>
      </c>
      <c r="I9" s="381">
        <v>45923</v>
      </c>
      <c r="J9" s="381">
        <v>46010</v>
      </c>
      <c r="K9" s="382" t="s">
        <v>207</v>
      </c>
      <c r="L9" t="s">
        <v>208</v>
      </c>
      <c r="M9" s="386" t="s">
        <v>209</v>
      </c>
    </row>
    <row r="10" spans="1:13" hidden="1">
      <c r="A10" t="s">
        <v>196</v>
      </c>
      <c r="B10" t="str" cm="1">
        <f t="array" ref="B10">_xlfn.CONCAT("LOC ",_xlfn._xlws.FILTER(t_FA[FA Name],t_FA[FA]=t_requirements[[#This Row],[FA]]))</f>
        <v>LOC Accreditation</v>
      </c>
      <c r="C10" s="385" t="s">
        <v>197</v>
      </c>
      <c r="D10" s="379" t="s">
        <v>198</v>
      </c>
      <c r="E10" s="379" t="s">
        <v>199</v>
      </c>
      <c r="F10" s="379" t="s">
        <v>210</v>
      </c>
      <c r="G10" s="379" t="s">
        <v>211</v>
      </c>
      <c r="H10" s="380">
        <v>0</v>
      </c>
      <c r="I10" s="381">
        <v>45923</v>
      </c>
      <c r="J10" s="381">
        <v>46010</v>
      </c>
      <c r="K10" s="382" t="s">
        <v>212</v>
      </c>
      <c r="L10" t="s">
        <v>213</v>
      </c>
      <c r="M10" s="386" t="s">
        <v>214</v>
      </c>
    </row>
    <row r="11" spans="1:13" hidden="1">
      <c r="A11" t="s">
        <v>196</v>
      </c>
      <c r="B11" t="str" cm="1">
        <f t="array" ref="B11">_xlfn.CONCAT("LOC ",_xlfn._xlws.FILTER(t_FA[FA Name],t_FA[FA]=t_requirements[[#This Row],[FA]]))</f>
        <v>LOC Accreditation</v>
      </c>
      <c r="C11" s="385" t="s">
        <v>197</v>
      </c>
      <c r="D11" s="379" t="s">
        <v>198</v>
      </c>
      <c r="E11" s="379" t="s">
        <v>199</v>
      </c>
      <c r="F11" s="379" t="s">
        <v>210</v>
      </c>
      <c r="G11" s="379" t="s">
        <v>215</v>
      </c>
      <c r="H11" s="380">
        <v>0</v>
      </c>
      <c r="I11" s="381">
        <v>45923</v>
      </c>
      <c r="J11" s="381">
        <v>46010</v>
      </c>
      <c r="K11" s="382" t="s">
        <v>216</v>
      </c>
      <c r="L11" t="s">
        <v>217</v>
      </c>
      <c r="M11" s="386" t="s">
        <v>218</v>
      </c>
    </row>
    <row r="12" spans="1:13" hidden="1">
      <c r="A12" t="s">
        <v>196</v>
      </c>
      <c r="B12" t="str" cm="1">
        <f t="array" ref="B12">_xlfn.CONCAT("LOC ",_xlfn._xlws.FILTER(t_FA[FA Name],t_FA[FA]=t_requirements[[#This Row],[FA]]))</f>
        <v>LOC Accreditation</v>
      </c>
      <c r="C12" s="385" t="s">
        <v>197</v>
      </c>
      <c r="D12" s="379" t="s">
        <v>198</v>
      </c>
      <c r="E12" s="379" t="s">
        <v>199</v>
      </c>
      <c r="F12" s="379" t="s">
        <v>210</v>
      </c>
      <c r="G12" s="379" t="s">
        <v>219</v>
      </c>
      <c r="H12" s="380">
        <v>0</v>
      </c>
      <c r="I12" s="381">
        <v>45923</v>
      </c>
      <c r="J12" s="381">
        <v>46010</v>
      </c>
      <c r="K12" s="382" t="s">
        <v>220</v>
      </c>
      <c r="L12" t="s">
        <v>221</v>
      </c>
      <c r="M12" s="386" t="s">
        <v>222</v>
      </c>
    </row>
    <row r="13" spans="1:13" hidden="1">
      <c r="A13" t="s">
        <v>196</v>
      </c>
      <c r="B13" t="str" cm="1">
        <f t="array" ref="B13">_xlfn.CONCAT("LOC ",_xlfn._xlws.FILTER(t_FA[FA Name],t_FA[FA]=t_requirements[[#This Row],[FA]]))</f>
        <v>LOC Accreditation</v>
      </c>
      <c r="C13" s="385" t="s">
        <v>197</v>
      </c>
      <c r="D13" s="379" t="s">
        <v>198</v>
      </c>
      <c r="E13" s="379" t="s">
        <v>199</v>
      </c>
      <c r="F13" s="379" t="s">
        <v>223</v>
      </c>
      <c r="G13" s="379" t="s">
        <v>224</v>
      </c>
      <c r="H13" s="380">
        <v>0</v>
      </c>
      <c r="I13" s="381">
        <v>45923</v>
      </c>
      <c r="J13" s="381">
        <v>46010</v>
      </c>
      <c r="K13" s="382" t="s">
        <v>225</v>
      </c>
      <c r="L13" t="s">
        <v>226</v>
      </c>
      <c r="M13" s="386" t="s">
        <v>227</v>
      </c>
    </row>
    <row r="14" spans="1:13" hidden="1">
      <c r="A14" t="s">
        <v>196</v>
      </c>
      <c r="B14" t="str" cm="1">
        <f t="array" ref="B14">_xlfn.CONCAT("LOC ",_xlfn._xlws.FILTER(t_FA[FA Name],t_FA[FA]=t_requirements[[#This Row],[FA]]))</f>
        <v>LOC Accreditation</v>
      </c>
      <c r="C14" s="385" t="s">
        <v>197</v>
      </c>
      <c r="D14" s="379" t="s">
        <v>198</v>
      </c>
      <c r="E14" s="379" t="s">
        <v>228</v>
      </c>
      <c r="F14" s="379" t="s">
        <v>229</v>
      </c>
      <c r="G14" s="379" t="s">
        <v>230</v>
      </c>
      <c r="H14" s="380">
        <v>0</v>
      </c>
      <c r="I14" s="381">
        <v>45923</v>
      </c>
      <c r="J14" s="381">
        <v>46010</v>
      </c>
      <c r="K14" s="382" t="s">
        <v>231</v>
      </c>
      <c r="L14" t="s">
        <v>232</v>
      </c>
      <c r="M14" s="386" t="s">
        <v>233</v>
      </c>
    </row>
    <row r="15" spans="1:13" hidden="1">
      <c r="A15" t="s">
        <v>196</v>
      </c>
      <c r="B15" t="str" cm="1">
        <f t="array" ref="B15">_xlfn.CONCAT("LOC ",_xlfn._xlws.FILTER(t_FA[FA Name],t_FA[FA]=t_requirements[[#This Row],[FA]]))</f>
        <v>LOC Accreditation</v>
      </c>
      <c r="C15" s="385" t="s">
        <v>197</v>
      </c>
      <c r="D15" s="379" t="s">
        <v>198</v>
      </c>
      <c r="E15" s="379" t="s">
        <v>234</v>
      </c>
      <c r="F15" s="379" t="s">
        <v>235</v>
      </c>
      <c r="G15" s="379" t="s">
        <v>236</v>
      </c>
      <c r="H15" s="380">
        <v>0</v>
      </c>
      <c r="I15" s="381">
        <v>45923</v>
      </c>
      <c r="J15" s="381">
        <v>46010</v>
      </c>
      <c r="K15" s="382" t="s">
        <v>237</v>
      </c>
      <c r="L15" t="s">
        <v>238</v>
      </c>
      <c r="M15" s="386" t="s">
        <v>239</v>
      </c>
    </row>
    <row r="16" spans="1:13" hidden="1">
      <c r="A16" t="s">
        <v>240</v>
      </c>
      <c r="B16" t="str" cm="1">
        <f t="array" ref="B16">_xlfn.CONCAT("LOC ",_xlfn._xlws.FILTER(t_FA[FA Name],t_FA[FA]=t_requirements[[#This Row],[FA]]))</f>
        <v>LOC Catering</v>
      </c>
      <c r="C16" s="379" t="s">
        <v>184</v>
      </c>
      <c r="D16" s="379" t="s">
        <v>241</v>
      </c>
      <c r="E16" s="379" t="s">
        <v>242</v>
      </c>
      <c r="F16" s="379" t="s">
        <v>210</v>
      </c>
      <c r="G16" s="379" t="s">
        <v>211</v>
      </c>
      <c r="H16" s="380">
        <v>2</v>
      </c>
      <c r="I16" s="387">
        <v>45962</v>
      </c>
      <c r="J16" s="381">
        <v>45988</v>
      </c>
      <c r="K16" s="382" t="s">
        <v>212</v>
      </c>
      <c r="L16" s="383"/>
      <c r="M16" s="379" t="s">
        <v>243</v>
      </c>
    </row>
    <row r="17" spans="1:13" hidden="1">
      <c r="A17" t="s">
        <v>240</v>
      </c>
      <c r="B17" t="str" cm="1">
        <f t="array" ref="B17">_xlfn.CONCAT("LOC ",_xlfn._xlws.FILTER(t_FA[FA Name],t_FA[FA]=t_requirements[[#This Row],[FA]]))</f>
        <v>LOC Catering</v>
      </c>
      <c r="C17" s="379" t="s">
        <v>193</v>
      </c>
      <c r="D17" s="379" t="s">
        <v>185</v>
      </c>
      <c r="E17" s="379" t="s">
        <v>242</v>
      </c>
      <c r="F17" s="379" t="s">
        <v>210</v>
      </c>
      <c r="G17" s="379" t="s">
        <v>211</v>
      </c>
      <c r="H17" s="380">
        <v>2</v>
      </c>
      <c r="I17" s="387">
        <v>45962</v>
      </c>
      <c r="J17" s="381">
        <v>45988</v>
      </c>
      <c r="K17" s="382" t="s">
        <v>212</v>
      </c>
      <c r="L17" s="383"/>
      <c r="M17" s="379" t="s">
        <v>243</v>
      </c>
    </row>
    <row r="18" spans="1:13" hidden="1">
      <c r="A18" t="s">
        <v>240</v>
      </c>
      <c r="B18" t="str" cm="1">
        <f t="array" ref="B18">_xlfn.CONCAT("LOC ",_xlfn._xlws.FILTER(t_FA[FA Name],t_FA[FA]=t_requirements[[#This Row],[FA]]))</f>
        <v>LOC Catering</v>
      </c>
      <c r="C18" s="379" t="s">
        <v>184</v>
      </c>
      <c r="D18" s="379" t="s">
        <v>241</v>
      </c>
      <c r="E18" s="379" t="s">
        <v>242</v>
      </c>
      <c r="F18" s="379" t="s">
        <v>210</v>
      </c>
      <c r="G18" s="379" t="s">
        <v>215</v>
      </c>
      <c r="H18" s="380">
        <v>2</v>
      </c>
      <c r="I18" s="387">
        <v>45962</v>
      </c>
      <c r="J18" s="381">
        <v>45988</v>
      </c>
      <c r="K18" s="382" t="s">
        <v>216</v>
      </c>
      <c r="L18" s="383"/>
      <c r="M18" s="379" t="s">
        <v>243</v>
      </c>
    </row>
    <row r="19" spans="1:13" hidden="1">
      <c r="A19" t="s">
        <v>240</v>
      </c>
      <c r="B19" t="str" cm="1">
        <f t="array" ref="B19">_xlfn.CONCAT("LOC ",_xlfn._xlws.FILTER(t_FA[FA Name],t_FA[FA]=t_requirements[[#This Row],[FA]]))</f>
        <v>LOC Catering</v>
      </c>
      <c r="C19" s="379" t="s">
        <v>193</v>
      </c>
      <c r="D19" s="379" t="s">
        <v>185</v>
      </c>
      <c r="E19" s="379" t="s">
        <v>242</v>
      </c>
      <c r="F19" s="379" t="s">
        <v>210</v>
      </c>
      <c r="G19" s="379" t="s">
        <v>215</v>
      </c>
      <c r="H19" s="380">
        <v>2</v>
      </c>
      <c r="I19" s="387">
        <v>45962</v>
      </c>
      <c r="J19" s="381">
        <v>45988</v>
      </c>
      <c r="K19" s="382" t="s">
        <v>216</v>
      </c>
      <c r="L19" s="383"/>
      <c r="M19" s="379" t="s">
        <v>243</v>
      </c>
    </row>
    <row r="20" spans="1:13" hidden="1">
      <c r="A20" t="s">
        <v>244</v>
      </c>
      <c r="B20" t="str" cm="1">
        <f t="array" ref="B20">_xlfn.CONCAT("LOC ",_xlfn._xlws.FILTER(t_FA[FA Name],t_FA[FA]=t_requirements[[#This Row],[FA]]))</f>
        <v xml:space="preserve">LOC Events and Community Relations </v>
      </c>
      <c r="C20" t="s">
        <v>184</v>
      </c>
      <c r="D20" t="s">
        <v>245</v>
      </c>
      <c r="E20" t="s">
        <v>246</v>
      </c>
      <c r="F20" t="s">
        <v>247</v>
      </c>
      <c r="G20" t="s">
        <v>248</v>
      </c>
      <c r="H20" s="388">
        <v>1</v>
      </c>
      <c r="I20" s="387">
        <v>45956</v>
      </c>
      <c r="J20" s="381">
        <v>45988</v>
      </c>
      <c r="K20" s="382" t="s">
        <v>249</v>
      </c>
      <c r="L20" s="383"/>
      <c r="M20" t="s">
        <v>250</v>
      </c>
    </row>
    <row r="21" spans="1:13" hidden="1">
      <c r="A21" t="s">
        <v>244</v>
      </c>
      <c r="B21" t="str" cm="1">
        <f t="array" ref="B21">_xlfn.CONCAT("LOC ",_xlfn._xlws.FILTER(t_FA[FA Name],t_FA[FA]=t_requirements[[#This Row],[FA]]))</f>
        <v xml:space="preserve">LOC Events and Community Relations </v>
      </c>
      <c r="C21" t="s">
        <v>184</v>
      </c>
      <c r="D21" t="s">
        <v>245</v>
      </c>
      <c r="E21" t="s">
        <v>246</v>
      </c>
      <c r="F21" t="s">
        <v>210</v>
      </c>
      <c r="G21" t="s">
        <v>211</v>
      </c>
      <c r="H21" s="388">
        <v>2</v>
      </c>
      <c r="I21" s="387">
        <v>45956</v>
      </c>
      <c r="J21" s="381">
        <v>45988</v>
      </c>
      <c r="K21" s="382" t="s">
        <v>212</v>
      </c>
      <c r="L21" s="383"/>
    </row>
    <row r="22" spans="1:13" hidden="1">
      <c r="A22" t="s">
        <v>244</v>
      </c>
      <c r="B22" t="str" cm="1">
        <f t="array" ref="B22">_xlfn.CONCAT("LOC ",_xlfn._xlws.FILTER(t_FA[FA Name],t_FA[FA]=t_requirements[[#This Row],[FA]]))</f>
        <v xml:space="preserve">LOC Events and Community Relations </v>
      </c>
      <c r="C22" t="s">
        <v>184</v>
      </c>
      <c r="D22" t="s">
        <v>245</v>
      </c>
      <c r="E22" t="s">
        <v>246</v>
      </c>
      <c r="F22" t="s">
        <v>200</v>
      </c>
      <c r="G22" t="s">
        <v>201</v>
      </c>
      <c r="H22" s="388">
        <v>1</v>
      </c>
      <c r="I22" s="387">
        <v>45956</v>
      </c>
      <c r="J22" s="381">
        <v>45988</v>
      </c>
      <c r="K22" s="382" t="s">
        <v>202</v>
      </c>
      <c r="L22" s="383"/>
      <c r="M22" t="s">
        <v>251</v>
      </c>
    </row>
    <row r="23" spans="1:13" hidden="1">
      <c r="A23" t="s">
        <v>244</v>
      </c>
      <c r="B23" t="str" cm="1">
        <f t="array" ref="B23">_xlfn.CONCAT("LOC ",_xlfn._xlws.FILTER(t_FA[FA Name],t_FA[FA]=t_requirements[[#This Row],[FA]]))</f>
        <v xml:space="preserve">LOC Events and Community Relations </v>
      </c>
      <c r="C23" t="s">
        <v>184</v>
      </c>
      <c r="D23" t="s">
        <v>245</v>
      </c>
      <c r="E23" t="s">
        <v>246</v>
      </c>
      <c r="F23" t="s">
        <v>229</v>
      </c>
      <c r="G23" t="s">
        <v>230</v>
      </c>
      <c r="H23" s="388">
        <v>2</v>
      </c>
      <c r="I23" s="387">
        <v>45956</v>
      </c>
      <c r="J23" s="381">
        <v>45988</v>
      </c>
      <c r="K23" s="382" t="s">
        <v>231</v>
      </c>
      <c r="L23" s="383"/>
      <c r="M23" t="s">
        <v>252</v>
      </c>
    </row>
    <row r="24" spans="1:13" hidden="1">
      <c r="A24" t="s">
        <v>244</v>
      </c>
      <c r="B24" t="str" cm="1">
        <f t="array" ref="B24">_xlfn.CONCAT("LOC ",_xlfn._xlws.FILTER(t_FA[FA Name],t_FA[FA]=t_requirements[[#This Row],[FA]]))</f>
        <v xml:space="preserve">LOC Events and Community Relations </v>
      </c>
      <c r="C24" t="s">
        <v>193</v>
      </c>
      <c r="D24" t="s">
        <v>253</v>
      </c>
      <c r="E24" t="s">
        <v>246</v>
      </c>
      <c r="F24" t="s">
        <v>247</v>
      </c>
      <c r="G24" t="s">
        <v>248</v>
      </c>
      <c r="H24" s="388">
        <v>1</v>
      </c>
      <c r="I24" s="387">
        <v>45984</v>
      </c>
      <c r="J24" s="381">
        <v>45988</v>
      </c>
      <c r="K24" s="382" t="s">
        <v>249</v>
      </c>
      <c r="L24" s="383"/>
      <c r="M24" t="s">
        <v>250</v>
      </c>
    </row>
    <row r="25" spans="1:13" hidden="1">
      <c r="A25" t="s">
        <v>244</v>
      </c>
      <c r="B25" t="str" cm="1">
        <f t="array" ref="B25">_xlfn.CONCAT("LOC ",_xlfn._xlws.FILTER(t_FA[FA Name],t_FA[FA]=t_requirements[[#This Row],[FA]]))</f>
        <v xml:space="preserve">LOC Events and Community Relations </v>
      </c>
      <c r="C25" t="s">
        <v>193</v>
      </c>
      <c r="D25" t="s">
        <v>253</v>
      </c>
      <c r="E25" t="s">
        <v>246</v>
      </c>
      <c r="F25" t="s">
        <v>210</v>
      </c>
      <c r="G25" t="s">
        <v>211</v>
      </c>
      <c r="H25" s="388">
        <v>2</v>
      </c>
      <c r="I25" s="387">
        <v>45984</v>
      </c>
      <c r="J25" s="381">
        <v>45988</v>
      </c>
      <c r="K25" s="382" t="s">
        <v>212</v>
      </c>
      <c r="L25" s="383"/>
    </row>
    <row r="26" spans="1:13" hidden="1">
      <c r="A26" t="s">
        <v>244</v>
      </c>
      <c r="B26" t="str" cm="1">
        <f t="array" ref="B26">_xlfn.CONCAT("LOC ",_xlfn._xlws.FILTER(t_FA[FA Name],t_FA[FA]=t_requirements[[#This Row],[FA]]))</f>
        <v xml:space="preserve">LOC Events and Community Relations </v>
      </c>
      <c r="C26" t="s">
        <v>193</v>
      </c>
      <c r="D26" t="s">
        <v>253</v>
      </c>
      <c r="E26" t="s">
        <v>246</v>
      </c>
      <c r="F26" t="s">
        <v>200</v>
      </c>
      <c r="G26" t="s">
        <v>201</v>
      </c>
      <c r="H26" s="388">
        <v>1</v>
      </c>
      <c r="I26" s="387">
        <v>45984</v>
      </c>
      <c r="J26" s="381">
        <v>45988</v>
      </c>
      <c r="K26" s="382" t="s">
        <v>202</v>
      </c>
      <c r="L26" s="383"/>
      <c r="M26" t="s">
        <v>251</v>
      </c>
    </row>
    <row r="27" spans="1:13" hidden="1">
      <c r="A27" t="s">
        <v>244</v>
      </c>
      <c r="B27" t="str" cm="1">
        <f t="array" ref="B27">_xlfn.CONCAT("LOC ",_xlfn._xlws.FILTER(t_FA[FA Name],t_FA[FA]=t_requirements[[#This Row],[FA]]))</f>
        <v xml:space="preserve">LOC Events and Community Relations </v>
      </c>
      <c r="C27" t="s">
        <v>193</v>
      </c>
      <c r="D27" t="s">
        <v>253</v>
      </c>
      <c r="E27" t="s">
        <v>246</v>
      </c>
      <c r="F27" t="s">
        <v>229</v>
      </c>
      <c r="G27" t="s">
        <v>230</v>
      </c>
      <c r="H27" s="388">
        <v>2</v>
      </c>
      <c r="I27" s="387">
        <v>45984</v>
      </c>
      <c r="J27" s="381">
        <v>45988</v>
      </c>
      <c r="K27" s="382" t="s">
        <v>231</v>
      </c>
      <c r="L27" s="383"/>
      <c r="M27" t="s">
        <v>252</v>
      </c>
    </row>
    <row r="28" spans="1:13" hidden="1">
      <c r="A28" t="s">
        <v>254</v>
      </c>
      <c r="B28" t="str" cm="1">
        <f t="array" ref="B28">_xlfn.CONCAT("LOC ",_xlfn._xlws.FILTER(t_FA[FA Name],t_FA[FA]=t_requirements[[#This Row],[FA]]))</f>
        <v>LOC Food &amp; Beverage Concessions</v>
      </c>
      <c r="C28" t="s">
        <v>184</v>
      </c>
      <c r="D28" t="s">
        <v>255</v>
      </c>
      <c r="E28" t="s">
        <v>256</v>
      </c>
      <c r="F28" t="s">
        <v>229</v>
      </c>
      <c r="G28" t="s">
        <v>230</v>
      </c>
      <c r="H28" s="388">
        <v>1</v>
      </c>
      <c r="I28" s="387">
        <v>45935</v>
      </c>
      <c r="J28" s="381">
        <v>45989</v>
      </c>
      <c r="K28" s="382" t="s">
        <v>231</v>
      </c>
      <c r="L28" s="383"/>
      <c r="M28" t="s">
        <v>257</v>
      </c>
    </row>
    <row r="29" spans="1:13" hidden="1">
      <c r="A29" t="s">
        <v>254</v>
      </c>
      <c r="B29" t="str" cm="1">
        <f t="array" ref="B29">_xlfn.CONCAT("LOC ",_xlfn._xlws.FILTER(t_FA[FA Name],t_FA[FA]=t_requirements[[#This Row],[FA]]))</f>
        <v>LOC Food &amp; Beverage Concessions</v>
      </c>
      <c r="C29" t="s">
        <v>184</v>
      </c>
      <c r="D29" t="s">
        <v>258</v>
      </c>
      <c r="E29" t="s">
        <v>256</v>
      </c>
      <c r="F29" t="s">
        <v>229</v>
      </c>
      <c r="G29" t="s">
        <v>230</v>
      </c>
      <c r="H29" s="388">
        <v>1</v>
      </c>
      <c r="I29" s="387">
        <v>45935</v>
      </c>
      <c r="J29" s="381">
        <v>45989</v>
      </c>
      <c r="K29" s="382" t="s">
        <v>231</v>
      </c>
      <c r="L29" s="383"/>
    </row>
    <row r="30" spans="1:13" hidden="1">
      <c r="A30" t="s">
        <v>259</v>
      </c>
      <c r="B30" t="str" cm="1">
        <f t="array" ref="B30">_xlfn.CONCAT("LOC ",_xlfn._xlws.FILTER(t_FA[FA Name],t_FA[FA]=t_requirements[[#This Row],[FA]]))</f>
        <v>LOC Logistics</v>
      </c>
      <c r="C30" t="s">
        <v>184</v>
      </c>
      <c r="D30" t="s">
        <v>185</v>
      </c>
      <c r="E30" t="s">
        <v>260</v>
      </c>
      <c r="F30" t="s">
        <v>229</v>
      </c>
      <c r="G30" t="s">
        <v>230</v>
      </c>
      <c r="H30" s="388">
        <v>6</v>
      </c>
      <c r="I30" s="387">
        <v>45942</v>
      </c>
      <c r="J30" s="381">
        <v>46003</v>
      </c>
      <c r="K30" s="382" t="s">
        <v>231</v>
      </c>
      <c r="L30" s="383"/>
      <c r="M30" t="s">
        <v>261</v>
      </c>
    </row>
    <row r="31" spans="1:13" hidden="1">
      <c r="A31" t="s">
        <v>259</v>
      </c>
      <c r="B31" t="str" cm="1">
        <f t="array" ref="B31">_xlfn.CONCAT("LOC ",_xlfn._xlws.FILTER(t_FA[FA Name],t_FA[FA]=t_requirements[[#This Row],[FA]]))</f>
        <v>LOC Logistics</v>
      </c>
      <c r="C31" t="s">
        <v>184</v>
      </c>
      <c r="D31" t="s">
        <v>185</v>
      </c>
      <c r="E31" t="s">
        <v>260</v>
      </c>
      <c r="F31" t="s">
        <v>200</v>
      </c>
      <c r="G31" t="s">
        <v>201</v>
      </c>
      <c r="H31" s="388">
        <v>1</v>
      </c>
      <c r="I31" s="387">
        <v>45942</v>
      </c>
      <c r="J31" s="381">
        <v>46003</v>
      </c>
      <c r="K31" s="382" t="s">
        <v>202</v>
      </c>
      <c r="L31" s="383"/>
      <c r="M31" t="s">
        <v>262</v>
      </c>
    </row>
    <row r="32" spans="1:13" hidden="1">
      <c r="A32" t="s">
        <v>259</v>
      </c>
      <c r="B32" t="str" cm="1">
        <f t="array" ref="B32">_xlfn.CONCAT("LOC ",_xlfn._xlws.FILTER(t_FA[FA Name],t_FA[FA]=t_requirements[[#This Row],[FA]]))</f>
        <v>LOC Logistics</v>
      </c>
      <c r="C32" t="s">
        <v>193</v>
      </c>
      <c r="D32" t="s">
        <v>185</v>
      </c>
      <c r="E32" t="s">
        <v>260</v>
      </c>
      <c r="F32" t="s">
        <v>229</v>
      </c>
      <c r="G32" t="s">
        <v>230</v>
      </c>
      <c r="H32" s="388">
        <v>4</v>
      </c>
      <c r="I32" s="387">
        <v>45963</v>
      </c>
      <c r="J32" s="381">
        <v>46022</v>
      </c>
      <c r="K32" s="382" t="s">
        <v>231</v>
      </c>
      <c r="L32" s="383"/>
    </row>
    <row r="33" spans="1:13" hidden="1">
      <c r="A33" t="s">
        <v>259</v>
      </c>
      <c r="B33" t="str" cm="1">
        <f t="array" ref="B33">_xlfn.CONCAT("LOC ",_xlfn._xlws.FILTER(t_FA[FA Name],t_FA[FA]=t_requirements[[#This Row],[FA]]))</f>
        <v>LOC Logistics</v>
      </c>
      <c r="C33" t="s">
        <v>193</v>
      </c>
      <c r="D33" t="s">
        <v>185</v>
      </c>
      <c r="E33" t="s">
        <v>260</v>
      </c>
      <c r="F33" t="s">
        <v>200</v>
      </c>
      <c r="G33" t="s">
        <v>201</v>
      </c>
      <c r="H33" s="388">
        <v>1</v>
      </c>
      <c r="I33" s="387">
        <v>45963</v>
      </c>
      <c r="J33" s="381">
        <v>46022</v>
      </c>
      <c r="K33" s="382" t="s">
        <v>202</v>
      </c>
      <c r="L33" s="383"/>
      <c r="M33" t="s">
        <v>263</v>
      </c>
    </row>
    <row r="34" spans="1:13" hidden="1">
      <c r="A34" t="s">
        <v>259</v>
      </c>
      <c r="B34" t="str" cm="1">
        <f t="array" ref="B34">_xlfn.CONCAT("LOC ",_xlfn._xlws.FILTER(t_FA[FA Name],t_FA[FA]=t_requirements[[#This Row],[FA]]))</f>
        <v>LOC Logistics</v>
      </c>
      <c r="C34" t="s">
        <v>197</v>
      </c>
      <c r="D34" t="s">
        <v>264</v>
      </c>
      <c r="E34" t="s">
        <v>265</v>
      </c>
      <c r="F34" t="s">
        <v>210</v>
      </c>
      <c r="G34" t="s">
        <v>211</v>
      </c>
      <c r="H34" s="388">
        <v>0</v>
      </c>
      <c r="I34" s="387">
        <v>45962</v>
      </c>
      <c r="J34" s="381">
        <v>45988</v>
      </c>
      <c r="K34" s="382" t="s">
        <v>212</v>
      </c>
      <c r="L34" t="s">
        <v>266</v>
      </c>
    </row>
    <row r="35" spans="1:13" hidden="1">
      <c r="A35" t="s">
        <v>259</v>
      </c>
      <c r="B35" t="str" cm="1">
        <f t="array" ref="B35">_xlfn.CONCAT("LOC ",_xlfn._xlws.FILTER(t_FA[FA Name],t_FA[FA]=t_requirements[[#This Row],[FA]]))</f>
        <v>LOC Logistics</v>
      </c>
      <c r="C35" t="s">
        <v>197</v>
      </c>
      <c r="D35" t="s">
        <v>264</v>
      </c>
      <c r="E35" t="s">
        <v>265</v>
      </c>
      <c r="F35" t="s">
        <v>200</v>
      </c>
      <c r="G35" t="s">
        <v>201</v>
      </c>
      <c r="H35" s="388">
        <v>0</v>
      </c>
      <c r="I35" s="387">
        <v>45962</v>
      </c>
      <c r="J35" s="381">
        <v>45988</v>
      </c>
      <c r="K35" s="382" t="s">
        <v>202</v>
      </c>
      <c r="L35" t="s">
        <v>267</v>
      </c>
      <c r="M35" t="s">
        <v>268</v>
      </c>
    </row>
    <row r="36" spans="1:13" hidden="1">
      <c r="A36" t="s">
        <v>259</v>
      </c>
      <c r="B36" t="str" cm="1">
        <f t="array" ref="B36">_xlfn.CONCAT("LOC ",_xlfn._xlws.FILTER(t_FA[FA Name],t_FA[FA]=t_requirements[[#This Row],[FA]]))</f>
        <v>LOC Logistics</v>
      </c>
      <c r="C36" t="s">
        <v>197</v>
      </c>
      <c r="D36" t="s">
        <v>264</v>
      </c>
      <c r="E36" t="s">
        <v>265</v>
      </c>
      <c r="F36" t="s">
        <v>229</v>
      </c>
      <c r="G36" t="s">
        <v>230</v>
      </c>
      <c r="H36" s="388">
        <v>0</v>
      </c>
      <c r="I36" s="387">
        <v>45962</v>
      </c>
      <c r="J36" s="381">
        <v>45988</v>
      </c>
      <c r="K36" s="382" t="s">
        <v>231</v>
      </c>
      <c r="L36" t="s">
        <v>269</v>
      </c>
      <c r="M36" t="s">
        <v>270</v>
      </c>
    </row>
    <row r="37" spans="1:13" hidden="1">
      <c r="A37" t="s">
        <v>259</v>
      </c>
      <c r="B37" t="str" cm="1">
        <f t="array" ref="B37">_xlfn.CONCAT("LOC ",_xlfn._xlws.FILTER(t_FA[FA Name],t_FA[FA]=t_requirements[[#This Row],[FA]]))</f>
        <v>LOC Logistics</v>
      </c>
      <c r="C37" t="s">
        <v>184</v>
      </c>
      <c r="D37" t="s">
        <v>185</v>
      </c>
      <c r="E37" t="s">
        <v>260</v>
      </c>
      <c r="F37" t="s">
        <v>223</v>
      </c>
      <c r="G37" t="s">
        <v>224</v>
      </c>
      <c r="H37" s="388">
        <v>6</v>
      </c>
      <c r="I37" s="387">
        <v>45942</v>
      </c>
      <c r="J37" s="381">
        <v>46003</v>
      </c>
      <c r="K37" s="382" t="s">
        <v>225</v>
      </c>
      <c r="L37" s="383"/>
    </row>
    <row r="38" spans="1:13" hidden="1">
      <c r="A38" t="s">
        <v>259</v>
      </c>
      <c r="B38" t="str" cm="1">
        <f t="array" ref="B38">_xlfn.CONCAT("LOC ",_xlfn._xlws.FILTER(t_FA[FA Name],t_FA[FA]=t_requirements[[#This Row],[FA]]))</f>
        <v>LOC Logistics</v>
      </c>
      <c r="C38" t="s">
        <v>193</v>
      </c>
      <c r="D38" t="s">
        <v>185</v>
      </c>
      <c r="E38" t="s">
        <v>260</v>
      </c>
      <c r="F38" t="s">
        <v>223</v>
      </c>
      <c r="G38" t="s">
        <v>224</v>
      </c>
      <c r="H38" s="388">
        <v>4</v>
      </c>
      <c r="I38" s="387">
        <v>45963</v>
      </c>
      <c r="J38" s="381">
        <v>46022</v>
      </c>
      <c r="K38" s="382" t="s">
        <v>225</v>
      </c>
      <c r="L38" s="383"/>
    </row>
    <row r="39" spans="1:13" hidden="1">
      <c r="A39" t="s">
        <v>259</v>
      </c>
      <c r="B39" t="str" cm="1">
        <f t="array" ref="B39">_xlfn.CONCAT("LOC ",_xlfn._xlws.FILTER(t_FA[FA Name],t_FA[FA]=t_requirements[[#This Row],[FA]]))</f>
        <v>LOC Logistics</v>
      </c>
      <c r="C39" t="s">
        <v>197</v>
      </c>
      <c r="D39" t="s">
        <v>185</v>
      </c>
      <c r="E39" t="s">
        <v>271</v>
      </c>
      <c r="F39" t="s">
        <v>235</v>
      </c>
      <c r="G39" t="s">
        <v>236</v>
      </c>
      <c r="H39" s="388">
        <v>0</v>
      </c>
      <c r="I39" s="387">
        <v>45942</v>
      </c>
      <c r="J39" s="381">
        <v>46022</v>
      </c>
      <c r="K39" s="382" t="s">
        <v>237</v>
      </c>
      <c r="L39" t="s">
        <v>272</v>
      </c>
      <c r="M39" t="s">
        <v>273</v>
      </c>
    </row>
    <row r="40" spans="1:13" hidden="1">
      <c r="A40" t="s">
        <v>259</v>
      </c>
      <c r="B40" t="str" cm="1">
        <f t="array" ref="B40">_xlfn.CONCAT("LOC ",_xlfn._xlws.FILTER(t_FA[FA Name],t_FA[FA]=t_requirements[[#This Row],[FA]]))</f>
        <v>LOC Logistics</v>
      </c>
      <c r="C40" t="s">
        <v>197</v>
      </c>
      <c r="D40" t="s">
        <v>185</v>
      </c>
      <c r="E40" t="s">
        <v>271</v>
      </c>
      <c r="F40" t="s">
        <v>223</v>
      </c>
      <c r="G40" t="s">
        <v>224</v>
      </c>
      <c r="H40" s="388">
        <v>0</v>
      </c>
      <c r="I40" s="387">
        <v>45942</v>
      </c>
      <c r="J40" s="381">
        <v>46022</v>
      </c>
      <c r="K40" s="382" t="s">
        <v>225</v>
      </c>
      <c r="L40" t="s">
        <v>274</v>
      </c>
      <c r="M40" t="s">
        <v>275</v>
      </c>
    </row>
    <row r="41" spans="1:13" hidden="1">
      <c r="A41" t="s">
        <v>259</v>
      </c>
      <c r="B41" t="str" cm="1">
        <f t="array" ref="B41">_xlfn.CONCAT("LOC ",_xlfn._xlws.FILTER(t_FA[FA Name],t_FA[FA]=t_requirements[[#This Row],[FA]]))</f>
        <v>LOC Logistics</v>
      </c>
      <c r="C41" t="s">
        <v>197</v>
      </c>
      <c r="D41" t="s">
        <v>185</v>
      </c>
      <c r="E41" t="s">
        <v>271</v>
      </c>
      <c r="F41" t="s">
        <v>200</v>
      </c>
      <c r="G41" t="s">
        <v>276</v>
      </c>
      <c r="H41" s="388">
        <v>0</v>
      </c>
      <c r="I41" s="387">
        <v>45942</v>
      </c>
      <c r="J41" s="381">
        <v>46022</v>
      </c>
      <c r="K41" s="382" t="s">
        <v>277</v>
      </c>
      <c r="L41" t="s">
        <v>278</v>
      </c>
      <c r="M41" t="s">
        <v>279</v>
      </c>
    </row>
    <row r="42" spans="1:13">
      <c r="A42" t="s">
        <v>280</v>
      </c>
      <c r="B42" t="str" cm="1">
        <f t="array" ref="B42">_xlfn.CONCAT("LOC ",_xlfn._xlws.FILTER(t_FA[FA Name],t_FA[FA]=t_requirements[[#This Row],[FA]]))</f>
        <v>LOC Medical</v>
      </c>
      <c r="C42" s="385" t="s">
        <v>184</v>
      </c>
      <c r="D42" s="379" t="s">
        <v>281</v>
      </c>
      <c r="E42" s="379" t="s">
        <v>282</v>
      </c>
      <c r="F42" s="379" t="s">
        <v>229</v>
      </c>
      <c r="G42" s="379" t="s">
        <v>230</v>
      </c>
      <c r="H42" s="380">
        <v>1</v>
      </c>
      <c r="I42" s="381">
        <v>45964</v>
      </c>
      <c r="J42" s="381">
        <v>45988</v>
      </c>
      <c r="K42" s="382" t="s">
        <v>231</v>
      </c>
      <c r="L42" s="383"/>
      <c r="M42" t="s">
        <v>283</v>
      </c>
    </row>
    <row r="43" spans="1:13">
      <c r="A43" t="s">
        <v>280</v>
      </c>
      <c r="B43" t="str" cm="1">
        <f t="array" ref="B43">_xlfn.CONCAT("LOC ",_xlfn._xlws.FILTER(t_FA[FA Name],t_FA[FA]=t_requirements[[#This Row],[FA]]))</f>
        <v>LOC Medical</v>
      </c>
      <c r="C43" s="385" t="s">
        <v>184</v>
      </c>
      <c r="D43" s="379" t="s">
        <v>284</v>
      </c>
      <c r="E43" s="379" t="s">
        <v>285</v>
      </c>
      <c r="F43" s="379" t="s">
        <v>229</v>
      </c>
      <c r="G43" s="379" t="s">
        <v>230</v>
      </c>
      <c r="H43" s="380">
        <v>1</v>
      </c>
      <c r="I43" s="381">
        <v>45964</v>
      </c>
      <c r="J43" s="381">
        <v>45988</v>
      </c>
      <c r="K43" s="382" t="s">
        <v>231</v>
      </c>
      <c r="L43" s="383"/>
      <c r="M43" t="s">
        <v>283</v>
      </c>
    </row>
    <row r="44" spans="1:13">
      <c r="A44" t="s">
        <v>280</v>
      </c>
      <c r="B44" t="str" cm="1">
        <f t="array" ref="B44">_xlfn.CONCAT("LOC ",_xlfn._xlws.FILTER(t_FA[FA Name],t_FA[FA]=t_requirements[[#This Row],[FA]]))</f>
        <v>LOC Medical</v>
      </c>
      <c r="C44" s="385" t="s">
        <v>184</v>
      </c>
      <c r="D44" s="379" t="s">
        <v>286</v>
      </c>
      <c r="E44" s="379" t="s">
        <v>287</v>
      </c>
      <c r="F44" s="379" t="s">
        <v>229</v>
      </c>
      <c r="G44" s="379" t="s">
        <v>230</v>
      </c>
      <c r="H44" s="380">
        <v>1</v>
      </c>
      <c r="I44" s="381">
        <v>45964</v>
      </c>
      <c r="J44" s="381">
        <v>45988</v>
      </c>
      <c r="K44" s="382" t="s">
        <v>231</v>
      </c>
      <c r="L44" s="383"/>
      <c r="M44" t="s">
        <v>283</v>
      </c>
    </row>
    <row r="45" spans="1:13">
      <c r="A45" t="s">
        <v>280</v>
      </c>
      <c r="B45" t="str" cm="1">
        <f t="array" ref="B45">_xlfn.CONCAT("LOC ",_xlfn._xlws.FILTER(t_FA[FA Name],t_FA[FA]=t_requirements[[#This Row],[FA]]))</f>
        <v>LOC Medical</v>
      </c>
      <c r="C45" s="385" t="s">
        <v>184</v>
      </c>
      <c r="D45" s="379" t="s">
        <v>284</v>
      </c>
      <c r="E45" s="379" t="s">
        <v>285</v>
      </c>
      <c r="F45" s="379" t="s">
        <v>235</v>
      </c>
      <c r="G45" s="379" t="s">
        <v>236</v>
      </c>
      <c r="H45" s="380">
        <v>1</v>
      </c>
      <c r="I45" s="381">
        <v>45964</v>
      </c>
      <c r="J45" s="381">
        <v>45988</v>
      </c>
      <c r="K45" s="382" t="s">
        <v>237</v>
      </c>
      <c r="L45" s="383"/>
      <c r="M45" t="s">
        <v>288</v>
      </c>
    </row>
    <row r="46" spans="1:13">
      <c r="A46" t="s">
        <v>280</v>
      </c>
      <c r="B46" t="str" cm="1">
        <f t="array" ref="B46">_xlfn.CONCAT("LOC ",_xlfn._xlws.FILTER(t_FA[FA Name],t_FA[FA]=t_requirements[[#This Row],[FA]]))</f>
        <v>LOC Medical</v>
      </c>
      <c r="C46" s="385" t="s">
        <v>184</v>
      </c>
      <c r="D46" s="379" t="s">
        <v>286</v>
      </c>
      <c r="E46" s="379" t="s">
        <v>287</v>
      </c>
      <c r="F46" s="379" t="s">
        <v>235</v>
      </c>
      <c r="G46" s="379" t="s">
        <v>236</v>
      </c>
      <c r="H46" s="380">
        <v>1</v>
      </c>
      <c r="I46" s="381">
        <v>45964</v>
      </c>
      <c r="J46" s="381">
        <v>45988</v>
      </c>
      <c r="K46" s="382" t="s">
        <v>237</v>
      </c>
      <c r="L46" s="383"/>
      <c r="M46" t="s">
        <v>288</v>
      </c>
    </row>
    <row r="47" spans="1:13">
      <c r="A47" t="s">
        <v>280</v>
      </c>
      <c r="B47" t="str" cm="1">
        <f t="array" ref="B47">_xlfn.CONCAT("LOC ",_xlfn._xlws.FILTER(t_FA[FA Name],t_FA[FA]=t_requirements[[#This Row],[FA]]))</f>
        <v>LOC Medical</v>
      </c>
      <c r="C47" s="385" t="s">
        <v>184</v>
      </c>
      <c r="D47" s="379" t="s">
        <v>289</v>
      </c>
      <c r="E47" s="379" t="s">
        <v>290</v>
      </c>
      <c r="F47" s="379" t="s">
        <v>229</v>
      </c>
      <c r="G47" s="379" t="s">
        <v>230</v>
      </c>
      <c r="H47" s="380">
        <v>1</v>
      </c>
      <c r="I47" s="381">
        <v>45964</v>
      </c>
      <c r="J47" s="381">
        <v>45988</v>
      </c>
      <c r="K47" s="382" t="s">
        <v>231</v>
      </c>
      <c r="L47" s="383"/>
      <c r="M47" t="s">
        <v>283</v>
      </c>
    </row>
    <row r="48" spans="1:13">
      <c r="A48" t="s">
        <v>280</v>
      </c>
      <c r="B48" t="str" cm="1">
        <f t="array" ref="B48">_xlfn.CONCAT("LOC ",_xlfn._xlws.FILTER(t_FA[FA Name],t_FA[FA]=t_requirements[[#This Row],[FA]]))</f>
        <v>LOC Medical</v>
      </c>
      <c r="C48" s="385" t="s">
        <v>193</v>
      </c>
      <c r="D48" s="379" t="s">
        <v>291</v>
      </c>
      <c r="E48" s="379" t="s">
        <v>292</v>
      </c>
      <c r="F48" s="379" t="s">
        <v>235</v>
      </c>
      <c r="G48" s="379" t="s">
        <v>236</v>
      </c>
      <c r="H48" s="380">
        <v>1</v>
      </c>
      <c r="I48" s="381">
        <v>45986</v>
      </c>
      <c r="J48" s="381">
        <v>45988</v>
      </c>
      <c r="K48" s="382" t="s">
        <v>237</v>
      </c>
      <c r="L48" s="383"/>
      <c r="M48" t="s">
        <v>288</v>
      </c>
    </row>
    <row r="49" spans="1:13">
      <c r="A49" t="s">
        <v>280</v>
      </c>
      <c r="B49" t="str" cm="1">
        <f t="array" ref="B49">_xlfn.CONCAT("LOC ",_xlfn._xlws.FILTER(t_FA[FA Name],t_FA[FA]=t_requirements[[#This Row],[FA]]))</f>
        <v>LOC Medical</v>
      </c>
      <c r="C49" s="385" t="s">
        <v>193</v>
      </c>
      <c r="D49" s="379" t="s">
        <v>291</v>
      </c>
      <c r="E49" s="379" t="s">
        <v>292</v>
      </c>
      <c r="F49" s="379" t="s">
        <v>229</v>
      </c>
      <c r="G49" s="379" t="s">
        <v>230</v>
      </c>
      <c r="H49" s="380">
        <v>1</v>
      </c>
      <c r="I49" s="381">
        <v>45986</v>
      </c>
      <c r="J49" s="381">
        <v>45988</v>
      </c>
      <c r="K49" s="382" t="s">
        <v>231</v>
      </c>
      <c r="L49" s="383"/>
      <c r="M49" t="s">
        <v>283</v>
      </c>
    </row>
    <row r="50" spans="1:13">
      <c r="A50" t="s">
        <v>280</v>
      </c>
      <c r="B50" t="str" cm="1">
        <f t="array" ref="B50">_xlfn.CONCAT("LOC ",_xlfn._xlws.FILTER(t_FA[FA Name],t_FA[FA]=t_requirements[[#This Row],[FA]]))</f>
        <v>LOC Medical</v>
      </c>
      <c r="C50" s="385" t="s">
        <v>193</v>
      </c>
      <c r="D50" s="379" t="s">
        <v>293</v>
      </c>
      <c r="E50" s="379" t="s">
        <v>282</v>
      </c>
      <c r="F50" s="379" t="s">
        <v>229</v>
      </c>
      <c r="G50" s="379" t="s">
        <v>230</v>
      </c>
      <c r="H50" s="380">
        <v>1</v>
      </c>
      <c r="I50" s="381">
        <v>45986</v>
      </c>
      <c r="J50" s="381">
        <v>45988</v>
      </c>
      <c r="K50" s="382" t="s">
        <v>231</v>
      </c>
      <c r="L50" s="383"/>
      <c r="M50" t="s">
        <v>283</v>
      </c>
    </row>
    <row r="51" spans="1:13">
      <c r="A51" t="s">
        <v>280</v>
      </c>
      <c r="B51" t="str" cm="1">
        <f t="array" ref="B51">_xlfn.CONCAT("LOC ",_xlfn._xlws.FILTER(t_FA[FA Name],t_FA[FA]=t_requirements[[#This Row],[FA]]))</f>
        <v>LOC Medical</v>
      </c>
      <c r="C51" s="385" t="s">
        <v>193</v>
      </c>
      <c r="D51" s="379" t="s">
        <v>293</v>
      </c>
      <c r="E51" s="379" t="s">
        <v>294</v>
      </c>
      <c r="F51" s="379" t="s">
        <v>229</v>
      </c>
      <c r="G51" s="379" t="s">
        <v>230</v>
      </c>
      <c r="H51" s="380">
        <v>1</v>
      </c>
      <c r="I51" s="381">
        <v>45986</v>
      </c>
      <c r="J51" s="381">
        <v>45988</v>
      </c>
      <c r="K51" s="382" t="s">
        <v>231</v>
      </c>
      <c r="L51" s="383"/>
      <c r="M51" t="s">
        <v>283</v>
      </c>
    </row>
    <row r="52" spans="1:13">
      <c r="A52" t="s">
        <v>280</v>
      </c>
      <c r="B52" t="str" cm="1">
        <f t="array" ref="B52">_xlfn.CONCAT("LOC ",_xlfn._xlws.FILTER(t_FA[FA Name],t_FA[FA]=t_requirements[[#This Row],[FA]]))</f>
        <v>LOC Medical</v>
      </c>
      <c r="C52" s="385" t="s">
        <v>193</v>
      </c>
      <c r="D52" s="379" t="s">
        <v>295</v>
      </c>
      <c r="E52" s="379" t="s">
        <v>296</v>
      </c>
      <c r="F52" s="379" t="s">
        <v>229</v>
      </c>
      <c r="G52" s="379" t="s">
        <v>230</v>
      </c>
      <c r="H52" s="380">
        <v>2</v>
      </c>
      <c r="I52" s="381">
        <v>45986</v>
      </c>
      <c r="J52" s="381">
        <v>45988</v>
      </c>
      <c r="K52" s="382" t="s">
        <v>231</v>
      </c>
      <c r="L52" s="383"/>
      <c r="M52" t="s">
        <v>283</v>
      </c>
    </row>
    <row r="53" spans="1:13" hidden="1">
      <c r="A53" t="s">
        <v>297</v>
      </c>
      <c r="B53" t="str" cm="1">
        <f t="array" ref="B53">_xlfn.CONCAT("LOC ",_xlfn._xlws.FILTER(t_FA[FA Name],t_FA[FA]=t_requirements[[#This Row],[FA]]))</f>
        <v>LOC Power</v>
      </c>
      <c r="C53" s="379" t="s">
        <v>184</v>
      </c>
      <c r="D53" s="379" t="s">
        <v>241</v>
      </c>
      <c r="E53" s="379"/>
      <c r="F53" s="379" t="s">
        <v>200</v>
      </c>
      <c r="G53" s="379" t="s">
        <v>276</v>
      </c>
      <c r="H53" s="380">
        <v>2</v>
      </c>
      <c r="I53" s="381">
        <v>45944</v>
      </c>
      <c r="J53" s="381">
        <v>45989</v>
      </c>
      <c r="K53" s="382" t="s">
        <v>277</v>
      </c>
      <c r="L53" s="383" t="s">
        <v>298</v>
      </c>
      <c r="M53" s="379"/>
    </row>
    <row r="54" spans="1:13" hidden="1">
      <c r="A54" t="s">
        <v>297</v>
      </c>
      <c r="B54" t="str" cm="1">
        <f t="array" ref="B54">_xlfn.CONCAT("LOC ",_xlfn._xlws.FILTER(t_FA[FA Name],t_FA[FA]=t_requirements[[#This Row],[FA]]))</f>
        <v>LOC Power</v>
      </c>
      <c r="C54" s="379" t="s">
        <v>184</v>
      </c>
      <c r="D54" s="379" t="s">
        <v>241</v>
      </c>
      <c r="E54" s="379"/>
      <c r="F54" s="379" t="s">
        <v>229</v>
      </c>
      <c r="G54" s="379" t="s">
        <v>230</v>
      </c>
      <c r="H54" s="380">
        <v>2</v>
      </c>
      <c r="I54" s="381">
        <v>45944</v>
      </c>
      <c r="J54" s="381">
        <v>45989</v>
      </c>
      <c r="K54" s="382" t="s">
        <v>231</v>
      </c>
      <c r="L54" s="383" t="s">
        <v>298</v>
      </c>
      <c r="M54" s="379"/>
    </row>
    <row r="55" spans="1:13" hidden="1">
      <c r="A55" t="s">
        <v>297</v>
      </c>
      <c r="B55" t="str" cm="1">
        <f t="array" ref="B55">_xlfn.CONCAT("LOC ",_xlfn._xlws.FILTER(t_FA[FA Name],t_FA[FA]=t_requirements[[#This Row],[FA]]))</f>
        <v>LOC Power</v>
      </c>
      <c r="C55" s="379" t="s">
        <v>193</v>
      </c>
      <c r="D55" s="379" t="s">
        <v>299</v>
      </c>
      <c r="E55" s="379"/>
      <c r="F55" s="379" t="s">
        <v>200</v>
      </c>
      <c r="G55" s="379" t="s">
        <v>276</v>
      </c>
      <c r="H55" s="380">
        <v>2</v>
      </c>
      <c r="I55" s="381">
        <v>45944</v>
      </c>
      <c r="J55" s="381">
        <v>45989</v>
      </c>
      <c r="K55" s="382" t="s">
        <v>277</v>
      </c>
      <c r="L55" s="383" t="s">
        <v>298</v>
      </c>
      <c r="M55" s="379"/>
    </row>
    <row r="56" spans="1:13" hidden="1">
      <c r="A56" t="s">
        <v>297</v>
      </c>
      <c r="B56" t="str" cm="1">
        <f t="array" ref="B56">_xlfn.CONCAT("LOC ",_xlfn._xlws.FILTER(t_FA[FA Name],t_FA[FA]=t_requirements[[#This Row],[FA]]))</f>
        <v>LOC Power</v>
      </c>
      <c r="C56" s="379" t="s">
        <v>193</v>
      </c>
      <c r="D56" s="379" t="s">
        <v>299</v>
      </c>
      <c r="E56" s="379"/>
      <c r="F56" s="379" t="s">
        <v>229</v>
      </c>
      <c r="G56" s="379" t="s">
        <v>230</v>
      </c>
      <c r="H56" s="380">
        <v>2</v>
      </c>
      <c r="I56" s="381">
        <v>45944</v>
      </c>
      <c r="J56" s="381">
        <v>45989</v>
      </c>
      <c r="K56" s="382" t="s">
        <v>231</v>
      </c>
      <c r="L56" s="383" t="s">
        <v>298</v>
      </c>
      <c r="M56" s="379"/>
    </row>
    <row r="57" spans="1:13" hidden="1">
      <c r="A57" t="s">
        <v>300</v>
      </c>
      <c r="B57" t="str" cm="1">
        <f t="array" ref="B57">_xlfn.CONCAT("LOC ",_xlfn._xlws.FILTER(t_FA[FA Name],t_FA[FA]=t_requirements[[#This Row],[FA]]))</f>
        <v>LOC Spectator Services</v>
      </c>
      <c r="C57" s="389" t="s">
        <v>184</v>
      </c>
      <c r="D57" s="389" t="s">
        <v>241</v>
      </c>
      <c r="E57" s="379" t="s">
        <v>301</v>
      </c>
      <c r="F57" s="389" t="s">
        <v>210</v>
      </c>
      <c r="G57" s="389" t="s">
        <v>215</v>
      </c>
      <c r="H57" s="390">
        <v>5</v>
      </c>
      <c r="I57" s="381">
        <v>45901</v>
      </c>
      <c r="J57" s="381">
        <v>45989</v>
      </c>
      <c r="K57" s="382" t="s">
        <v>216</v>
      </c>
      <c r="L57" s="383"/>
      <c r="M57" s="389" t="s">
        <v>302</v>
      </c>
    </row>
    <row r="58" spans="1:13" hidden="1">
      <c r="A58" t="s">
        <v>300</v>
      </c>
      <c r="B58" t="str" cm="1">
        <f t="array" ref="B58">_xlfn.CONCAT("LOC ",_xlfn._xlws.FILTER(t_FA[FA Name],t_FA[FA]=t_requirements[[#This Row],[FA]]))</f>
        <v>LOC Spectator Services</v>
      </c>
      <c r="C58" s="391" t="s">
        <v>184</v>
      </c>
      <c r="D58" s="391" t="s">
        <v>241</v>
      </c>
      <c r="E58" s="379" t="s">
        <v>301</v>
      </c>
      <c r="F58" s="391" t="s">
        <v>210</v>
      </c>
      <c r="G58" s="391" t="s">
        <v>211</v>
      </c>
      <c r="H58" s="392">
        <v>4</v>
      </c>
      <c r="I58" s="381">
        <v>45901</v>
      </c>
      <c r="J58" s="381">
        <v>45989</v>
      </c>
      <c r="K58" s="382" t="s">
        <v>212</v>
      </c>
      <c r="L58" s="383"/>
      <c r="M58" s="391" t="s">
        <v>303</v>
      </c>
    </row>
    <row r="59" spans="1:13" hidden="1">
      <c r="A59" t="s">
        <v>300</v>
      </c>
      <c r="B59" t="str" cm="1">
        <f t="array" ref="B59">_xlfn.CONCAT("LOC ",_xlfn._xlws.FILTER(t_FA[FA Name],t_FA[FA]=t_requirements[[#This Row],[FA]]))</f>
        <v>LOC Spectator Services</v>
      </c>
      <c r="C59" s="391" t="s">
        <v>184</v>
      </c>
      <c r="D59" s="391" t="s">
        <v>241</v>
      </c>
      <c r="E59" s="379" t="s">
        <v>301</v>
      </c>
      <c r="F59" s="391" t="s">
        <v>210</v>
      </c>
      <c r="G59" s="391" t="s">
        <v>219</v>
      </c>
      <c r="H59" s="392">
        <v>3</v>
      </c>
      <c r="I59" s="381">
        <v>45901</v>
      </c>
      <c r="J59" s="381">
        <v>45989</v>
      </c>
      <c r="K59" s="382" t="s">
        <v>220</v>
      </c>
      <c r="L59" s="383"/>
      <c r="M59" s="391" t="s">
        <v>304</v>
      </c>
    </row>
    <row r="60" spans="1:13" hidden="1">
      <c r="A60" t="s">
        <v>300</v>
      </c>
      <c r="B60" t="str" cm="1">
        <f t="array" ref="B60">_xlfn.CONCAT("LOC ",_xlfn._xlws.FILTER(t_FA[FA Name],t_FA[FA]=t_requirements[[#This Row],[FA]]))</f>
        <v>LOC Spectator Services</v>
      </c>
      <c r="C60" s="391" t="s">
        <v>184</v>
      </c>
      <c r="D60" s="391" t="s">
        <v>241</v>
      </c>
      <c r="E60" s="379" t="s">
        <v>301</v>
      </c>
      <c r="F60" s="391" t="s">
        <v>186</v>
      </c>
      <c r="G60" s="391" t="s">
        <v>190</v>
      </c>
      <c r="H60" s="392">
        <v>3</v>
      </c>
      <c r="I60" s="381">
        <v>45901</v>
      </c>
      <c r="J60" s="381">
        <v>45989</v>
      </c>
      <c r="K60" s="382" t="s">
        <v>191</v>
      </c>
      <c r="L60" s="383"/>
      <c r="M60" s="391"/>
    </row>
    <row r="61" spans="1:13" hidden="1">
      <c r="A61" t="s">
        <v>300</v>
      </c>
      <c r="B61" t="str" cm="1">
        <f t="array" ref="B61">_xlfn.CONCAT("LOC ",_xlfn._xlws.FILTER(t_FA[FA Name],t_FA[FA]=t_requirements[[#This Row],[FA]]))</f>
        <v>LOC Spectator Services</v>
      </c>
      <c r="C61" s="391" t="s">
        <v>184</v>
      </c>
      <c r="D61" s="391" t="s">
        <v>241</v>
      </c>
      <c r="E61" s="379" t="s">
        <v>305</v>
      </c>
      <c r="F61" s="391" t="s">
        <v>200</v>
      </c>
      <c r="G61" s="393" t="s">
        <v>201</v>
      </c>
      <c r="H61" s="394">
        <v>1</v>
      </c>
      <c r="I61" s="381">
        <v>45901</v>
      </c>
      <c r="J61" s="381">
        <v>45989</v>
      </c>
      <c r="K61" s="382" t="s">
        <v>202</v>
      </c>
      <c r="L61" s="383"/>
      <c r="M61" s="391" t="s">
        <v>306</v>
      </c>
    </row>
    <row r="62" spans="1:13" hidden="1">
      <c r="A62" t="s">
        <v>300</v>
      </c>
      <c r="B62" t="str" cm="1">
        <f t="array" ref="B62">_xlfn.CONCAT("LOC ",_xlfn._xlws.FILTER(t_FA[FA Name],t_FA[FA]=t_requirements[[#This Row],[FA]]))</f>
        <v>LOC Spectator Services</v>
      </c>
      <c r="C62" s="391" t="s">
        <v>184</v>
      </c>
      <c r="D62" s="391" t="s">
        <v>241</v>
      </c>
      <c r="E62" s="379" t="s">
        <v>305</v>
      </c>
      <c r="F62" s="391" t="s">
        <v>229</v>
      </c>
      <c r="G62" s="391" t="s">
        <v>230</v>
      </c>
      <c r="H62" s="392">
        <v>1</v>
      </c>
      <c r="I62" s="381">
        <v>45901</v>
      </c>
      <c r="J62" s="381">
        <v>45989</v>
      </c>
      <c r="K62" s="382" t="s">
        <v>231</v>
      </c>
      <c r="L62" s="383"/>
      <c r="M62" s="391" t="s">
        <v>307</v>
      </c>
    </row>
    <row r="63" spans="1:13" hidden="1">
      <c r="A63" t="s">
        <v>300</v>
      </c>
      <c r="B63" t="str" cm="1">
        <f t="array" ref="B63">_xlfn.CONCAT("LOC ",_xlfn._xlws.FILTER(t_FA[FA Name],t_FA[FA]=t_requirements[[#This Row],[FA]]))</f>
        <v>LOC Spectator Services</v>
      </c>
      <c r="C63" s="391" t="s">
        <v>184</v>
      </c>
      <c r="D63" s="391" t="s">
        <v>241</v>
      </c>
      <c r="E63" s="379" t="s">
        <v>308</v>
      </c>
      <c r="F63" s="391" t="s">
        <v>186</v>
      </c>
      <c r="G63" s="391" t="s">
        <v>187</v>
      </c>
      <c r="H63" s="392">
        <v>2</v>
      </c>
      <c r="I63" s="381">
        <v>45901</v>
      </c>
      <c r="J63" s="381">
        <v>45989</v>
      </c>
      <c r="K63" s="382" t="s">
        <v>188</v>
      </c>
      <c r="L63" s="383"/>
      <c r="M63" s="391" t="s">
        <v>309</v>
      </c>
    </row>
    <row r="64" spans="1:13" hidden="1">
      <c r="A64" t="s">
        <v>300</v>
      </c>
      <c r="B64" t="str" cm="1">
        <f t="array" ref="B64">_xlfn.CONCAT("LOC ",_xlfn._xlws.FILTER(t_FA[FA Name],t_FA[FA]=t_requirements[[#This Row],[FA]]))</f>
        <v>LOC Spectator Services</v>
      </c>
      <c r="C64" s="391" t="s">
        <v>184</v>
      </c>
      <c r="D64" s="391" t="s">
        <v>241</v>
      </c>
      <c r="E64" s="379" t="s">
        <v>308</v>
      </c>
      <c r="F64" s="391" t="s">
        <v>210</v>
      </c>
      <c r="G64" s="391" t="s">
        <v>215</v>
      </c>
      <c r="H64" s="392">
        <v>1</v>
      </c>
      <c r="I64" s="381">
        <v>45901</v>
      </c>
      <c r="J64" s="381">
        <v>45989</v>
      </c>
      <c r="K64" s="382" t="s">
        <v>216</v>
      </c>
      <c r="L64" s="383"/>
      <c r="M64" s="391"/>
    </row>
    <row r="65" spans="1:13" hidden="1">
      <c r="A65" t="s">
        <v>300</v>
      </c>
      <c r="B65" t="str" cm="1">
        <f t="array" ref="B65">_xlfn.CONCAT("LOC ",_xlfn._xlws.FILTER(t_FA[FA Name],t_FA[FA]=t_requirements[[#This Row],[FA]]))</f>
        <v>LOC Spectator Services</v>
      </c>
      <c r="C65" s="391" t="s">
        <v>193</v>
      </c>
      <c r="D65" s="391" t="s">
        <v>299</v>
      </c>
      <c r="E65" s="379" t="s">
        <v>305</v>
      </c>
      <c r="F65" s="391" t="s">
        <v>210</v>
      </c>
      <c r="G65" s="391" t="s">
        <v>215</v>
      </c>
      <c r="H65" s="392">
        <v>1</v>
      </c>
      <c r="I65" s="381">
        <v>45987</v>
      </c>
      <c r="J65" s="381">
        <v>45989</v>
      </c>
      <c r="K65" s="382" t="s">
        <v>216</v>
      </c>
      <c r="L65" s="383"/>
      <c r="M65" s="391"/>
    </row>
    <row r="66" spans="1:13" hidden="1">
      <c r="A66" t="s">
        <v>300</v>
      </c>
      <c r="B66" t="str" cm="1">
        <f t="array" ref="B66">_xlfn.CONCAT("LOC ",_xlfn._xlws.FILTER(t_FA[FA Name],t_FA[FA]=t_requirements[[#This Row],[FA]]))</f>
        <v>LOC Spectator Services</v>
      </c>
      <c r="C66" s="391" t="s">
        <v>193</v>
      </c>
      <c r="D66" s="391" t="s">
        <v>299</v>
      </c>
      <c r="E66" s="379" t="s">
        <v>305</v>
      </c>
      <c r="F66" s="379" t="s">
        <v>229</v>
      </c>
      <c r="G66" s="379" t="s">
        <v>230</v>
      </c>
      <c r="H66" s="380">
        <v>1</v>
      </c>
      <c r="I66" s="381">
        <v>45987</v>
      </c>
      <c r="J66" s="381">
        <v>45989</v>
      </c>
      <c r="K66" s="382" t="s">
        <v>231</v>
      </c>
      <c r="L66" s="383"/>
      <c r="M66" s="379"/>
    </row>
    <row r="67" spans="1:13" hidden="1">
      <c r="A67" t="s">
        <v>300</v>
      </c>
      <c r="B67" t="str" cm="1">
        <f t="array" ref="B67">_xlfn.CONCAT("LOC ",_xlfn._xlws.FILTER(t_FA[FA Name],t_FA[FA]=t_requirements[[#This Row],[FA]]))</f>
        <v>LOC Spectator Services</v>
      </c>
      <c r="C67" s="391" t="s">
        <v>193</v>
      </c>
      <c r="D67" s="391" t="s">
        <v>299</v>
      </c>
      <c r="E67" s="379" t="s">
        <v>305</v>
      </c>
      <c r="F67" s="379" t="s">
        <v>186</v>
      </c>
      <c r="G67" s="379" t="s">
        <v>187</v>
      </c>
      <c r="H67" s="380">
        <v>2</v>
      </c>
      <c r="I67" s="381">
        <v>45987</v>
      </c>
      <c r="J67" s="381">
        <v>45989</v>
      </c>
      <c r="K67" s="382" t="s">
        <v>188</v>
      </c>
      <c r="L67" s="383"/>
      <c r="M67" s="391" t="s">
        <v>306</v>
      </c>
    </row>
    <row r="68" spans="1:13" hidden="1">
      <c r="A68" t="s">
        <v>300</v>
      </c>
      <c r="B68" t="str" cm="1">
        <f t="array" ref="B68">_xlfn.CONCAT("LOC ",_xlfn._xlws.FILTER(t_FA[FA Name],t_FA[FA]=t_requirements[[#This Row],[FA]]))</f>
        <v>LOC Spectator Services</v>
      </c>
      <c r="C68" s="391" t="s">
        <v>193</v>
      </c>
      <c r="D68" s="391" t="s">
        <v>299</v>
      </c>
      <c r="E68" s="379" t="s">
        <v>305</v>
      </c>
      <c r="F68" s="379" t="s">
        <v>200</v>
      </c>
      <c r="G68" s="379" t="s">
        <v>201</v>
      </c>
      <c r="H68" s="380">
        <v>1</v>
      </c>
      <c r="I68" s="381">
        <v>45987</v>
      </c>
      <c r="J68" s="381">
        <v>45989</v>
      </c>
      <c r="K68" s="382" t="s">
        <v>202</v>
      </c>
      <c r="L68" s="383"/>
      <c r="M68" s="391" t="s">
        <v>307</v>
      </c>
    </row>
    <row r="69" spans="1:13" hidden="1">
      <c r="A69" t="s">
        <v>300</v>
      </c>
      <c r="B69" t="str" cm="1">
        <f t="array" ref="B69">_xlfn.CONCAT("LOC ",_xlfn._xlws.FILTER(t_FA[FA Name],t_FA[FA]=t_requirements[[#This Row],[FA]]))</f>
        <v>LOC Spectator Services</v>
      </c>
      <c r="C69" s="391" t="s">
        <v>193</v>
      </c>
      <c r="D69" s="391" t="s">
        <v>299</v>
      </c>
      <c r="E69" s="379" t="s">
        <v>301</v>
      </c>
      <c r="F69" s="379" t="s">
        <v>210</v>
      </c>
      <c r="G69" s="379" t="s">
        <v>215</v>
      </c>
      <c r="H69" s="380">
        <v>5</v>
      </c>
      <c r="I69" s="381">
        <v>45987</v>
      </c>
      <c r="J69" s="381">
        <v>45989</v>
      </c>
      <c r="K69" s="382" t="s">
        <v>216</v>
      </c>
      <c r="L69" s="383"/>
      <c r="M69" s="391" t="s">
        <v>310</v>
      </c>
    </row>
    <row r="70" spans="1:13" hidden="1">
      <c r="A70" t="s">
        <v>300</v>
      </c>
      <c r="B70" t="str" cm="1">
        <f t="array" ref="B70">_xlfn.CONCAT("LOC ",_xlfn._xlws.FILTER(t_FA[FA Name],t_FA[FA]=t_requirements[[#This Row],[FA]]))</f>
        <v>LOC Spectator Services</v>
      </c>
      <c r="C70" s="391" t="s">
        <v>193</v>
      </c>
      <c r="D70" s="391" t="s">
        <v>299</v>
      </c>
      <c r="E70" s="379" t="s">
        <v>301</v>
      </c>
      <c r="F70" s="379" t="s">
        <v>210</v>
      </c>
      <c r="G70" s="379" t="s">
        <v>211</v>
      </c>
      <c r="H70" s="380">
        <v>4</v>
      </c>
      <c r="I70" s="381">
        <v>45987</v>
      </c>
      <c r="J70" s="381">
        <v>45989</v>
      </c>
      <c r="K70" s="382" t="s">
        <v>212</v>
      </c>
      <c r="L70" s="383"/>
      <c r="M70" s="379"/>
    </row>
    <row r="71" spans="1:13" hidden="1">
      <c r="A71" t="s">
        <v>300</v>
      </c>
      <c r="B71" t="str" cm="1">
        <f t="array" ref="B71">_xlfn.CONCAT("LOC ",_xlfn._xlws.FILTER(t_FA[FA Name],t_FA[FA]=t_requirements[[#This Row],[FA]]))</f>
        <v>LOC Spectator Services</v>
      </c>
      <c r="C71" s="379" t="s">
        <v>193</v>
      </c>
      <c r="D71" s="379" t="s">
        <v>299</v>
      </c>
      <c r="E71" s="379" t="s">
        <v>301</v>
      </c>
      <c r="F71" s="379" t="s">
        <v>210</v>
      </c>
      <c r="G71" s="379" t="s">
        <v>219</v>
      </c>
      <c r="H71" s="380">
        <v>3</v>
      </c>
      <c r="I71" s="381">
        <v>45987</v>
      </c>
      <c r="J71" s="381">
        <v>45989</v>
      </c>
      <c r="K71" s="382" t="s">
        <v>220</v>
      </c>
      <c r="L71" s="383"/>
      <c r="M71" s="391" t="s">
        <v>304</v>
      </c>
    </row>
    <row r="72" spans="1:13" hidden="1">
      <c r="A72" t="s">
        <v>300</v>
      </c>
      <c r="B72" t="str" cm="1">
        <f t="array" ref="B72">_xlfn.CONCAT("LOC ",_xlfn._xlws.FILTER(t_FA[FA Name],t_FA[FA]=t_requirements[[#This Row],[FA]]))</f>
        <v>LOC Spectator Services</v>
      </c>
      <c r="C72" s="379" t="s">
        <v>193</v>
      </c>
      <c r="D72" s="379" t="s">
        <v>299</v>
      </c>
      <c r="E72" s="379" t="s">
        <v>301</v>
      </c>
      <c r="F72" s="379" t="s">
        <v>186</v>
      </c>
      <c r="G72" s="379" t="s">
        <v>190</v>
      </c>
      <c r="H72" s="380">
        <v>3</v>
      </c>
      <c r="I72" s="381">
        <v>45987</v>
      </c>
      <c r="J72" s="381">
        <v>45989</v>
      </c>
      <c r="K72" s="382" t="s">
        <v>191</v>
      </c>
      <c r="L72" s="383"/>
      <c r="M72" s="379"/>
    </row>
    <row r="73" spans="1:13" hidden="1">
      <c r="A73" t="s">
        <v>311</v>
      </c>
      <c r="B73" t="str" cm="1">
        <f t="array" ref="B73">_xlfn.CONCAT("LOC ",_xlfn._xlws.FILTER(t_FA[FA Name],t_FA[FA]=t_requirements[[#This Row],[FA]]))</f>
        <v>LOC SSOC</v>
      </c>
      <c r="C73" s="385" t="s">
        <v>184</v>
      </c>
      <c r="D73" s="379" t="s">
        <v>185</v>
      </c>
      <c r="E73" s="379" t="s">
        <v>312</v>
      </c>
      <c r="F73" s="379" t="s">
        <v>247</v>
      </c>
      <c r="G73" s="379" t="s">
        <v>248</v>
      </c>
      <c r="H73" s="380">
        <v>1</v>
      </c>
      <c r="I73" s="381">
        <v>45901</v>
      </c>
      <c r="J73" s="381">
        <v>45989</v>
      </c>
      <c r="K73" s="382" t="s">
        <v>249</v>
      </c>
      <c r="L73" s="383" t="s">
        <v>313</v>
      </c>
      <c r="M73" s="386"/>
    </row>
    <row r="74" spans="1:13" hidden="1">
      <c r="A74" t="s">
        <v>311</v>
      </c>
      <c r="B74" t="str" cm="1">
        <f t="array" ref="B74">_xlfn.CONCAT("LOC ",_xlfn._xlws.FILTER(t_FA[FA Name],t_FA[FA]=t_requirements[[#This Row],[FA]]))</f>
        <v>LOC SSOC</v>
      </c>
      <c r="C74" s="385" t="s">
        <v>184</v>
      </c>
      <c r="D74" s="379" t="s">
        <v>185</v>
      </c>
      <c r="E74" s="379" t="s">
        <v>312</v>
      </c>
      <c r="F74" s="379" t="s">
        <v>200</v>
      </c>
      <c r="G74" s="379" t="s">
        <v>206</v>
      </c>
      <c r="H74" s="380">
        <v>1</v>
      </c>
      <c r="I74" s="381">
        <v>45901</v>
      </c>
      <c r="J74" s="381">
        <v>45989</v>
      </c>
      <c r="K74" s="382" t="s">
        <v>207</v>
      </c>
      <c r="L74" s="383" t="s">
        <v>313</v>
      </c>
      <c r="M74" s="386" t="s">
        <v>314</v>
      </c>
    </row>
    <row r="75" spans="1:13" hidden="1">
      <c r="A75" t="s">
        <v>311</v>
      </c>
      <c r="B75" t="str" cm="1">
        <f t="array" ref="B75">_xlfn.CONCAT("LOC ",_xlfn._xlws.FILTER(t_FA[FA Name],t_FA[FA]=t_requirements[[#This Row],[FA]]))</f>
        <v>LOC SSOC</v>
      </c>
      <c r="C75" s="385" t="s">
        <v>184</v>
      </c>
      <c r="D75" s="379" t="s">
        <v>185</v>
      </c>
      <c r="E75" s="379" t="s">
        <v>315</v>
      </c>
      <c r="F75" s="379" t="s">
        <v>229</v>
      </c>
      <c r="G75" s="379" t="s">
        <v>230</v>
      </c>
      <c r="H75" s="380">
        <v>1</v>
      </c>
      <c r="I75" s="381">
        <v>45901</v>
      </c>
      <c r="J75" s="381">
        <v>45989</v>
      </c>
      <c r="K75" s="382" t="s">
        <v>231</v>
      </c>
      <c r="L75" s="383" t="s">
        <v>313</v>
      </c>
      <c r="M75" s="386"/>
    </row>
    <row r="76" spans="1:13" hidden="1">
      <c r="A76" t="s">
        <v>311</v>
      </c>
      <c r="B76" t="str" cm="1">
        <f t="array" ref="B76">_xlfn.CONCAT("LOC ",_xlfn._xlws.FILTER(t_FA[FA Name],t_FA[FA]=t_requirements[[#This Row],[FA]]))</f>
        <v>LOC SSOC</v>
      </c>
      <c r="C76" s="385" t="s">
        <v>184</v>
      </c>
      <c r="D76" s="379" t="s">
        <v>185</v>
      </c>
      <c r="E76" s="379" t="s">
        <v>316</v>
      </c>
      <c r="F76" s="379" t="s">
        <v>229</v>
      </c>
      <c r="G76" s="379" t="s">
        <v>230</v>
      </c>
      <c r="H76" s="380">
        <v>1</v>
      </c>
      <c r="I76" s="381">
        <v>45901</v>
      </c>
      <c r="J76" s="381">
        <v>45989</v>
      </c>
      <c r="K76" s="382" t="s">
        <v>231</v>
      </c>
      <c r="L76" s="383" t="s">
        <v>313</v>
      </c>
      <c r="M76" s="386"/>
    </row>
    <row r="77" spans="1:13" hidden="1">
      <c r="A77" t="s">
        <v>311</v>
      </c>
      <c r="B77" t="str" cm="1">
        <f t="array" ref="B77">_xlfn.CONCAT("LOC ",_xlfn._xlws.FILTER(t_FA[FA Name],t_FA[FA]=t_requirements[[#This Row],[FA]]))</f>
        <v>LOC SSOC</v>
      </c>
      <c r="C77" s="385" t="s">
        <v>184</v>
      </c>
      <c r="D77" s="379" t="s">
        <v>185</v>
      </c>
      <c r="E77" s="379" t="s">
        <v>316</v>
      </c>
      <c r="F77" s="379" t="s">
        <v>247</v>
      </c>
      <c r="G77" s="379" t="s">
        <v>248</v>
      </c>
      <c r="H77" s="380">
        <v>1</v>
      </c>
      <c r="I77" s="381">
        <v>45901</v>
      </c>
      <c r="J77" s="381">
        <v>45989</v>
      </c>
      <c r="K77" s="382" t="s">
        <v>249</v>
      </c>
      <c r="L77" s="383" t="s">
        <v>313</v>
      </c>
      <c r="M77" s="386"/>
    </row>
    <row r="78" spans="1:13" hidden="1">
      <c r="A78" t="s">
        <v>311</v>
      </c>
      <c r="B78" t="str" cm="1">
        <f t="array" ref="B78">_xlfn.CONCAT("LOC ",_xlfn._xlws.FILTER(t_FA[FA Name],t_FA[FA]=t_requirements[[#This Row],[FA]]))</f>
        <v>LOC SSOC</v>
      </c>
      <c r="C78" s="385" t="s">
        <v>184</v>
      </c>
      <c r="D78" s="379" t="s">
        <v>185</v>
      </c>
      <c r="E78" s="379" t="s">
        <v>316</v>
      </c>
      <c r="F78" s="379" t="s">
        <v>200</v>
      </c>
      <c r="G78" s="379" t="s">
        <v>206</v>
      </c>
      <c r="H78" s="380">
        <v>1</v>
      </c>
      <c r="I78" s="381">
        <v>45901</v>
      </c>
      <c r="J78" s="381">
        <v>45989</v>
      </c>
      <c r="K78" s="382" t="s">
        <v>207</v>
      </c>
      <c r="L78" s="383" t="s">
        <v>313</v>
      </c>
      <c r="M78" s="386" t="s">
        <v>314</v>
      </c>
    </row>
    <row r="79" spans="1:13" hidden="1">
      <c r="A79" t="s">
        <v>311</v>
      </c>
      <c r="B79" t="str" cm="1">
        <f t="array" ref="B79">_xlfn.CONCAT("LOC ",_xlfn._xlws.FILTER(t_FA[FA Name],t_FA[FA]=t_requirements[[#This Row],[FA]]))</f>
        <v>LOC SSOC</v>
      </c>
      <c r="C79" s="385" t="s">
        <v>184</v>
      </c>
      <c r="D79" s="379" t="s">
        <v>185</v>
      </c>
      <c r="E79" s="379" t="s">
        <v>317</v>
      </c>
      <c r="F79" s="379" t="s">
        <v>229</v>
      </c>
      <c r="G79" s="379" t="s">
        <v>230</v>
      </c>
      <c r="H79" s="380">
        <v>1</v>
      </c>
      <c r="I79" s="381">
        <v>45901</v>
      </c>
      <c r="J79" s="381">
        <v>45989</v>
      </c>
      <c r="K79" s="382" t="s">
        <v>231</v>
      </c>
      <c r="L79" s="383" t="s">
        <v>313</v>
      </c>
      <c r="M79" s="386"/>
    </row>
    <row r="80" spans="1:13" hidden="1">
      <c r="A80" t="s">
        <v>311</v>
      </c>
      <c r="B80" t="str" cm="1">
        <f t="array" ref="B80">_xlfn.CONCAT("LOC ",_xlfn._xlws.FILTER(t_FA[FA Name],t_FA[FA]=t_requirements[[#This Row],[FA]]))</f>
        <v>LOC SSOC</v>
      </c>
      <c r="C80" s="385" t="s">
        <v>193</v>
      </c>
      <c r="D80" s="379" t="s">
        <v>299</v>
      </c>
      <c r="E80" s="379" t="s">
        <v>318</v>
      </c>
      <c r="F80" s="379" t="s">
        <v>200</v>
      </c>
      <c r="G80" s="379" t="s">
        <v>206</v>
      </c>
      <c r="H80" s="380">
        <v>1</v>
      </c>
      <c r="I80" s="381">
        <v>45901</v>
      </c>
      <c r="J80" s="381">
        <v>45989</v>
      </c>
      <c r="K80" s="382" t="s">
        <v>207</v>
      </c>
      <c r="L80" s="383"/>
      <c r="M80" s="386"/>
    </row>
    <row r="81" spans="1:13" hidden="1">
      <c r="A81" t="s">
        <v>311</v>
      </c>
      <c r="B81" t="str" cm="1">
        <f t="array" ref="B81">_xlfn.CONCAT("LOC ",_xlfn._xlws.FILTER(t_FA[FA Name],t_FA[FA]=t_requirements[[#This Row],[FA]]))</f>
        <v>LOC SSOC</v>
      </c>
      <c r="C81" s="385" t="s">
        <v>193</v>
      </c>
      <c r="D81" s="379" t="s">
        <v>299</v>
      </c>
      <c r="E81" s="379" t="s">
        <v>316</v>
      </c>
      <c r="F81" s="379" t="s">
        <v>229</v>
      </c>
      <c r="G81" s="379" t="s">
        <v>230</v>
      </c>
      <c r="H81" s="380">
        <v>1</v>
      </c>
      <c r="I81" s="381">
        <v>45901</v>
      </c>
      <c r="J81" s="381">
        <v>45989</v>
      </c>
      <c r="K81" s="382" t="s">
        <v>231</v>
      </c>
      <c r="L81" s="383"/>
      <c r="M81" s="386"/>
    </row>
    <row r="82" spans="1:13" hidden="1">
      <c r="A82" t="s">
        <v>311</v>
      </c>
      <c r="B82" t="str" cm="1">
        <f t="array" ref="B82">_xlfn.CONCAT("LOC ",_xlfn._xlws.FILTER(t_FA[FA Name],t_FA[FA]=t_requirements[[#This Row],[FA]]))</f>
        <v>LOC SSOC</v>
      </c>
      <c r="C82" s="385" t="s">
        <v>193</v>
      </c>
      <c r="D82" s="379" t="s">
        <v>299</v>
      </c>
      <c r="E82" s="379" t="s">
        <v>319</v>
      </c>
      <c r="F82" s="379" t="s">
        <v>247</v>
      </c>
      <c r="G82" s="379" t="s">
        <v>248</v>
      </c>
      <c r="H82" s="380">
        <v>1</v>
      </c>
      <c r="I82" s="381">
        <v>45901</v>
      </c>
      <c r="J82" s="381">
        <v>45989</v>
      </c>
      <c r="K82" s="382" t="s">
        <v>249</v>
      </c>
      <c r="L82" s="383"/>
      <c r="M82" s="386"/>
    </row>
    <row r="83" spans="1:13" hidden="1">
      <c r="A83" t="s">
        <v>311</v>
      </c>
      <c r="B83" t="str" cm="1">
        <f t="array" ref="B83">_xlfn.CONCAT("LOC ",_xlfn._xlws.FILTER(t_FA[FA Name],t_FA[FA]=t_requirements[[#This Row],[FA]]))</f>
        <v>LOC SSOC</v>
      </c>
      <c r="C83" s="385" t="s">
        <v>193</v>
      </c>
      <c r="D83" s="379" t="s">
        <v>299</v>
      </c>
      <c r="E83" s="379" t="s">
        <v>320</v>
      </c>
      <c r="F83" s="379" t="s">
        <v>229</v>
      </c>
      <c r="G83" s="379" t="s">
        <v>230</v>
      </c>
      <c r="H83" s="380">
        <v>1</v>
      </c>
      <c r="I83" s="381">
        <v>45901</v>
      </c>
      <c r="J83" s="381">
        <v>45989</v>
      </c>
      <c r="K83" s="382" t="s">
        <v>231</v>
      </c>
      <c r="L83" s="383"/>
      <c r="M83" s="386"/>
    </row>
    <row r="84" spans="1:13" hidden="1">
      <c r="A84" t="s">
        <v>311</v>
      </c>
      <c r="B84" t="str" cm="1">
        <f t="array" ref="B84">_xlfn.CONCAT("LOC ",_xlfn._xlws.FILTER(t_FA[FA Name],t_FA[FA]=t_requirements[[#This Row],[FA]]))</f>
        <v>LOC SSOC</v>
      </c>
      <c r="C84" s="385" t="s">
        <v>193</v>
      </c>
      <c r="D84" s="379" t="s">
        <v>299</v>
      </c>
      <c r="E84" s="379" t="s">
        <v>317</v>
      </c>
      <c r="F84" s="379" t="s">
        <v>229</v>
      </c>
      <c r="G84" s="379" t="s">
        <v>230</v>
      </c>
      <c r="H84" s="380">
        <v>1</v>
      </c>
      <c r="I84" s="381">
        <v>45901</v>
      </c>
      <c r="J84" s="381">
        <v>45989</v>
      </c>
      <c r="K84" s="382" t="s">
        <v>231</v>
      </c>
      <c r="L84" s="383"/>
      <c r="M84" s="386"/>
    </row>
    <row r="85" spans="1:13" hidden="1">
      <c r="A85" t="s">
        <v>321</v>
      </c>
      <c r="B85" t="str" cm="1">
        <f t="array" ref="B85">_xlfn.CONCAT("LOC ",_xlfn._xlws.FILTER(t_FA[FA Name],t_FA[FA]=t_requirements[[#This Row],[FA]]))</f>
        <v>LOC Team Services</v>
      </c>
      <c r="C85" t="s">
        <v>197</v>
      </c>
      <c r="D85" t="s">
        <v>185</v>
      </c>
      <c r="E85" t="s">
        <v>322</v>
      </c>
      <c r="F85" t="s">
        <v>186</v>
      </c>
      <c r="G85" s="379" t="s">
        <v>187</v>
      </c>
      <c r="H85" s="380">
        <v>0</v>
      </c>
      <c r="I85" s="381">
        <v>45944</v>
      </c>
      <c r="J85" s="381">
        <v>45989</v>
      </c>
      <c r="K85" t="s">
        <v>188</v>
      </c>
      <c r="L85" t="s">
        <v>323</v>
      </c>
      <c r="M85" t="s">
        <v>324</v>
      </c>
    </row>
    <row r="86" spans="1:13" hidden="1">
      <c r="A86" t="s">
        <v>325</v>
      </c>
      <c r="B86" t="str" cm="1">
        <f t="array" ref="B86">_xlfn.CONCAT("LOC ",_xlfn._xlws.FILTER(t_FA[FA Name],t_FA[FA]=t_requirements[[#This Row],[FA]]))</f>
        <v>LOC Venue Management</v>
      </c>
      <c r="C86" s="385" t="s">
        <v>184</v>
      </c>
      <c r="D86" s="379" t="s">
        <v>241</v>
      </c>
      <c r="E86" s="379" t="s">
        <v>326</v>
      </c>
      <c r="F86" s="379" t="s">
        <v>247</v>
      </c>
      <c r="G86" s="379" t="s">
        <v>248</v>
      </c>
      <c r="H86" s="380">
        <v>1</v>
      </c>
      <c r="I86" s="381">
        <v>45869</v>
      </c>
      <c r="J86" s="381">
        <v>45989</v>
      </c>
      <c r="K86" s="382" t="s">
        <v>249</v>
      </c>
      <c r="L86" s="383" t="s">
        <v>313</v>
      </c>
      <c r="M86" s="386" t="s">
        <v>327</v>
      </c>
    </row>
    <row r="87" spans="1:13" hidden="1">
      <c r="A87" t="s">
        <v>325</v>
      </c>
      <c r="B87" t="str" cm="1">
        <f t="array" ref="B87">_xlfn.CONCAT("LOC ",_xlfn._xlws.FILTER(t_FA[FA Name],t_FA[FA]=t_requirements[[#This Row],[FA]]))</f>
        <v>LOC Venue Management</v>
      </c>
      <c r="C87" s="385" t="s">
        <v>184</v>
      </c>
      <c r="D87" s="379" t="s">
        <v>241</v>
      </c>
      <c r="E87" s="379" t="s">
        <v>326</v>
      </c>
      <c r="F87" s="379" t="s">
        <v>210</v>
      </c>
      <c r="G87" s="379" t="s">
        <v>328</v>
      </c>
      <c r="H87" s="380">
        <v>2</v>
      </c>
      <c r="I87" s="381">
        <v>45900</v>
      </c>
      <c r="J87" s="381">
        <v>45989</v>
      </c>
      <c r="K87" s="382" t="s">
        <v>329</v>
      </c>
      <c r="L87" s="383" t="s">
        <v>313</v>
      </c>
      <c r="M87" s="386" t="s">
        <v>327</v>
      </c>
    </row>
    <row r="88" spans="1:13" hidden="1">
      <c r="A88" t="s">
        <v>325</v>
      </c>
      <c r="B88" t="str" cm="1">
        <f t="array" ref="B88">_xlfn.CONCAT("LOC ",_xlfn._xlws.FILTER(t_FA[FA Name],t_FA[FA]=t_requirements[[#This Row],[FA]]))</f>
        <v>LOC Venue Management</v>
      </c>
      <c r="C88" s="385" t="s">
        <v>184</v>
      </c>
      <c r="D88" s="379" t="s">
        <v>241</v>
      </c>
      <c r="E88" s="379" t="s">
        <v>326</v>
      </c>
      <c r="F88" s="379" t="s">
        <v>229</v>
      </c>
      <c r="G88" s="379" t="s">
        <v>230</v>
      </c>
      <c r="H88" s="380">
        <v>1</v>
      </c>
      <c r="I88" s="381">
        <v>45839</v>
      </c>
      <c r="J88" s="381">
        <v>45995</v>
      </c>
      <c r="K88" s="382" t="s">
        <v>231</v>
      </c>
      <c r="L88" s="383" t="s">
        <v>313</v>
      </c>
      <c r="M88" s="395" t="s">
        <v>330</v>
      </c>
    </row>
    <row r="89" spans="1:13" hidden="1">
      <c r="A89" t="s">
        <v>325</v>
      </c>
      <c r="B89" t="str" cm="1">
        <f t="array" ref="B89">_xlfn.CONCAT("LOC ",_xlfn._xlws.FILTER(t_FA[FA Name],t_FA[FA]=t_requirements[[#This Row],[FA]]))</f>
        <v>LOC Venue Management</v>
      </c>
      <c r="C89" s="385" t="s">
        <v>184</v>
      </c>
      <c r="D89" s="379" t="s">
        <v>241</v>
      </c>
      <c r="E89" s="379" t="s">
        <v>331</v>
      </c>
      <c r="F89" s="379" t="s">
        <v>247</v>
      </c>
      <c r="G89" s="379" t="s">
        <v>248</v>
      </c>
      <c r="H89" s="380">
        <v>1</v>
      </c>
      <c r="I89" s="381">
        <v>45839</v>
      </c>
      <c r="J89" s="381">
        <v>45989</v>
      </c>
      <c r="K89" s="382" t="s">
        <v>249</v>
      </c>
      <c r="L89" s="383" t="s">
        <v>313</v>
      </c>
      <c r="M89" s="386"/>
    </row>
    <row r="90" spans="1:13" hidden="1">
      <c r="A90" t="s">
        <v>325</v>
      </c>
      <c r="B90" t="str" cm="1">
        <f t="array" ref="B90">_xlfn.CONCAT("LOC ",_xlfn._xlws.FILTER(t_FA[FA Name],t_FA[FA]=t_requirements[[#This Row],[FA]]))</f>
        <v>LOC Venue Management</v>
      </c>
      <c r="C90" s="385" t="s">
        <v>184</v>
      </c>
      <c r="D90" s="379" t="s">
        <v>241</v>
      </c>
      <c r="E90" s="379" t="s">
        <v>332</v>
      </c>
      <c r="F90" s="379" t="s">
        <v>247</v>
      </c>
      <c r="G90" s="379" t="s">
        <v>248</v>
      </c>
      <c r="H90" s="380">
        <v>2</v>
      </c>
      <c r="I90" s="381">
        <v>45839</v>
      </c>
      <c r="J90" s="396">
        <v>45989</v>
      </c>
      <c r="K90" s="382" t="s">
        <v>249</v>
      </c>
      <c r="L90" s="383" t="s">
        <v>313</v>
      </c>
      <c r="M90" s="386" t="s">
        <v>333</v>
      </c>
    </row>
    <row r="91" spans="1:13" hidden="1">
      <c r="A91" t="s">
        <v>325</v>
      </c>
      <c r="B91" t="str" cm="1">
        <f t="array" ref="B91">_xlfn.CONCAT("LOC ",_xlfn._xlws.FILTER(t_FA[FA Name],t_FA[FA]=t_requirements[[#This Row],[FA]]))</f>
        <v>LOC Venue Management</v>
      </c>
      <c r="C91" s="385" t="s">
        <v>184</v>
      </c>
      <c r="D91" s="379" t="s">
        <v>241</v>
      </c>
      <c r="E91" s="379" t="s">
        <v>332</v>
      </c>
      <c r="F91" s="379" t="s">
        <v>210</v>
      </c>
      <c r="G91" s="379" t="s">
        <v>328</v>
      </c>
      <c r="H91" s="380">
        <v>6</v>
      </c>
      <c r="I91" s="396">
        <v>45869</v>
      </c>
      <c r="J91" s="396">
        <v>45989</v>
      </c>
      <c r="K91" s="382" t="s">
        <v>329</v>
      </c>
      <c r="L91" s="383" t="s">
        <v>313</v>
      </c>
      <c r="M91" s="386" t="s">
        <v>333</v>
      </c>
    </row>
    <row r="92" spans="1:13" hidden="1">
      <c r="A92" t="s">
        <v>325</v>
      </c>
      <c r="B92" t="str" cm="1">
        <f t="array" ref="B92">_xlfn.CONCAT("LOC ",_xlfn._xlws.FILTER(t_FA[FA Name],t_FA[FA]=t_requirements[[#This Row],[FA]]))</f>
        <v>LOC Venue Management</v>
      </c>
      <c r="C92" s="385" t="s">
        <v>184</v>
      </c>
      <c r="D92" s="379" t="s">
        <v>241</v>
      </c>
      <c r="E92" s="379" t="s">
        <v>332</v>
      </c>
      <c r="F92" s="379" t="s">
        <v>200</v>
      </c>
      <c r="G92" s="379" t="s">
        <v>206</v>
      </c>
      <c r="H92" s="380">
        <v>1</v>
      </c>
      <c r="I92" s="396">
        <v>45869</v>
      </c>
      <c r="J92" s="396">
        <v>45989</v>
      </c>
      <c r="K92" s="382" t="s">
        <v>207</v>
      </c>
      <c r="L92" s="383" t="s">
        <v>313</v>
      </c>
      <c r="M92" s="386" t="s">
        <v>334</v>
      </c>
    </row>
    <row r="93" spans="1:13" hidden="1">
      <c r="A93" t="s">
        <v>325</v>
      </c>
      <c r="B93" t="str" cm="1">
        <f t="array" ref="B93">_xlfn.CONCAT("LOC ",_xlfn._xlws.FILTER(t_FA[FA Name],t_FA[FA]=t_requirements[[#This Row],[FA]]))</f>
        <v>LOC Venue Management</v>
      </c>
      <c r="C93" s="385" t="s">
        <v>184</v>
      </c>
      <c r="D93" s="379" t="s">
        <v>335</v>
      </c>
      <c r="E93" s="379" t="s">
        <v>336</v>
      </c>
      <c r="F93" s="379" t="s">
        <v>235</v>
      </c>
      <c r="G93" s="379" t="s">
        <v>236</v>
      </c>
      <c r="H93" s="380">
        <v>1</v>
      </c>
      <c r="I93" s="381">
        <v>45915</v>
      </c>
      <c r="J93" s="381">
        <v>45989</v>
      </c>
      <c r="K93" s="382" t="s">
        <v>237</v>
      </c>
      <c r="L93" s="383" t="s">
        <v>313</v>
      </c>
      <c r="M93" s="386"/>
    </row>
    <row r="94" spans="1:13" hidden="1">
      <c r="A94" t="s">
        <v>325</v>
      </c>
      <c r="B94" t="str" cm="1">
        <f t="array" ref="B94">_xlfn.CONCAT("LOC ",_xlfn._xlws.FILTER(t_FA[FA Name],t_FA[FA]=t_requirements[[#This Row],[FA]]))</f>
        <v>LOC Venue Management</v>
      </c>
      <c r="C94" s="385" t="s">
        <v>184</v>
      </c>
      <c r="D94" s="379" t="s">
        <v>335</v>
      </c>
      <c r="E94" s="379" t="s">
        <v>336</v>
      </c>
      <c r="F94" s="379" t="s">
        <v>247</v>
      </c>
      <c r="G94" s="379" t="s">
        <v>248</v>
      </c>
      <c r="H94" s="380">
        <v>1</v>
      </c>
      <c r="I94" s="381">
        <v>45915</v>
      </c>
      <c r="J94" s="381">
        <v>45989</v>
      </c>
      <c r="K94" s="382" t="s">
        <v>249</v>
      </c>
      <c r="L94" s="383" t="s">
        <v>313</v>
      </c>
      <c r="M94" s="386"/>
    </row>
    <row r="95" spans="1:13" hidden="1">
      <c r="A95" t="s">
        <v>325</v>
      </c>
      <c r="B95" t="str" cm="1">
        <f t="array" ref="B95">_xlfn.CONCAT("LOC ",_xlfn._xlws.FILTER(t_FA[FA Name],t_FA[FA]=t_requirements[[#This Row],[FA]]))</f>
        <v>LOC Venue Management</v>
      </c>
      <c r="C95" s="385" t="s">
        <v>184</v>
      </c>
      <c r="D95" s="379" t="s">
        <v>335</v>
      </c>
      <c r="E95" s="379" t="s">
        <v>336</v>
      </c>
      <c r="F95" s="379" t="s">
        <v>200</v>
      </c>
      <c r="G95" s="379" t="s">
        <v>201</v>
      </c>
      <c r="H95" s="380">
        <v>1</v>
      </c>
      <c r="I95" s="381">
        <v>45915</v>
      </c>
      <c r="J95" s="381">
        <v>45989</v>
      </c>
      <c r="K95" s="382" t="s">
        <v>202</v>
      </c>
      <c r="L95" s="383" t="s">
        <v>313</v>
      </c>
      <c r="M95" s="386" t="s">
        <v>337</v>
      </c>
    </row>
    <row r="96" spans="1:13" hidden="1">
      <c r="A96" t="s">
        <v>325</v>
      </c>
      <c r="B96" t="str" cm="1">
        <f t="array" ref="B96">_xlfn.CONCAT("LOC ",_xlfn._xlws.FILTER(t_FA[FA Name],t_FA[FA]=t_requirements[[#This Row],[FA]]))</f>
        <v>LOC Venue Management</v>
      </c>
      <c r="C96" s="385" t="s">
        <v>184</v>
      </c>
      <c r="D96" s="379" t="s">
        <v>335</v>
      </c>
      <c r="E96" s="379" t="s">
        <v>336</v>
      </c>
      <c r="F96" s="379" t="s">
        <v>229</v>
      </c>
      <c r="G96" s="379" t="s">
        <v>230</v>
      </c>
      <c r="H96" s="380">
        <v>1</v>
      </c>
      <c r="I96" s="381">
        <v>45915</v>
      </c>
      <c r="J96" s="381">
        <v>45989</v>
      </c>
      <c r="K96" s="397" t="s">
        <v>231</v>
      </c>
      <c r="L96" s="383" t="s">
        <v>313</v>
      </c>
      <c r="M96" s="386"/>
    </row>
    <row r="97" spans="1:13" hidden="1">
      <c r="A97" t="s">
        <v>325</v>
      </c>
      <c r="B97" t="str" cm="1">
        <f t="array" ref="B97">_xlfn.CONCAT("LOC ",_xlfn._xlws.FILTER(t_FA[FA Name],t_FA[FA]=t_requirements[[#This Row],[FA]]))</f>
        <v>LOC Venue Management</v>
      </c>
      <c r="C97" s="385" t="s">
        <v>184</v>
      </c>
      <c r="D97" s="379" t="s">
        <v>281</v>
      </c>
      <c r="E97" s="379" t="s">
        <v>332</v>
      </c>
      <c r="F97" s="379" t="s">
        <v>247</v>
      </c>
      <c r="G97" s="379" t="s">
        <v>248</v>
      </c>
      <c r="H97" s="380">
        <v>1</v>
      </c>
      <c r="I97" s="396">
        <v>45869</v>
      </c>
      <c r="J97" s="396">
        <v>45989</v>
      </c>
      <c r="K97" s="382" t="s">
        <v>249</v>
      </c>
      <c r="L97" s="383" t="s">
        <v>313</v>
      </c>
      <c r="M97" s="386"/>
    </row>
    <row r="98" spans="1:13" hidden="1">
      <c r="A98" t="s">
        <v>325</v>
      </c>
      <c r="B98" t="str" cm="1">
        <f t="array" ref="B98">_xlfn.CONCAT("LOC ",_xlfn._xlws.FILTER(t_FA[FA Name],t_FA[FA]=t_requirements[[#This Row],[FA]]))</f>
        <v>LOC Venue Management</v>
      </c>
      <c r="C98" s="385" t="s">
        <v>184</v>
      </c>
      <c r="D98" s="379" t="s">
        <v>281</v>
      </c>
      <c r="E98" s="379" t="s">
        <v>332</v>
      </c>
      <c r="F98" s="379" t="s">
        <v>235</v>
      </c>
      <c r="G98" s="379" t="s">
        <v>236</v>
      </c>
      <c r="H98" s="380">
        <v>1</v>
      </c>
      <c r="I98" s="381">
        <v>45915</v>
      </c>
      <c r="J98" s="381">
        <v>45989</v>
      </c>
      <c r="K98" s="382" t="s">
        <v>237</v>
      </c>
      <c r="L98" s="383" t="s">
        <v>313</v>
      </c>
      <c r="M98" s="386"/>
    </row>
    <row r="99" spans="1:13" hidden="1">
      <c r="A99" t="s">
        <v>325</v>
      </c>
      <c r="B99" t="str" cm="1">
        <f t="array" ref="B99">_xlfn.CONCAT("LOC ",_xlfn._xlws.FILTER(t_FA[FA Name],t_FA[FA]=t_requirements[[#This Row],[FA]]))</f>
        <v>LOC Venue Management</v>
      </c>
      <c r="C99" s="385" t="s">
        <v>184</v>
      </c>
      <c r="D99" s="379" t="s">
        <v>281</v>
      </c>
      <c r="E99" s="379" t="s">
        <v>332</v>
      </c>
      <c r="F99" s="379" t="s">
        <v>210</v>
      </c>
      <c r="G99" s="379" t="s">
        <v>328</v>
      </c>
      <c r="H99" s="380">
        <v>6</v>
      </c>
      <c r="I99" s="396">
        <v>45869</v>
      </c>
      <c r="J99" s="396">
        <v>45989</v>
      </c>
      <c r="K99" s="382" t="s">
        <v>329</v>
      </c>
      <c r="L99" s="383" t="s">
        <v>313</v>
      </c>
      <c r="M99" s="386" t="s">
        <v>338</v>
      </c>
    </row>
    <row r="100" spans="1:13" hidden="1">
      <c r="A100" t="s">
        <v>325</v>
      </c>
      <c r="B100" t="str" cm="1">
        <f t="array" ref="B100">_xlfn.CONCAT("LOC ",_xlfn._xlws.FILTER(t_FA[FA Name],t_FA[FA]=t_requirements[[#This Row],[FA]]))</f>
        <v>LOC Venue Management</v>
      </c>
      <c r="C100" s="385" t="s">
        <v>184</v>
      </c>
      <c r="D100" s="379" t="s">
        <v>281</v>
      </c>
      <c r="E100" s="379" t="s">
        <v>332</v>
      </c>
      <c r="F100" s="379" t="s">
        <v>200</v>
      </c>
      <c r="G100" s="379" t="s">
        <v>206</v>
      </c>
      <c r="H100" s="380">
        <v>1</v>
      </c>
      <c r="I100" s="396">
        <v>45869</v>
      </c>
      <c r="J100" s="396">
        <v>45989</v>
      </c>
      <c r="K100" s="382" t="s">
        <v>207</v>
      </c>
      <c r="L100" s="383" t="s">
        <v>313</v>
      </c>
      <c r="M100" s="386" t="s">
        <v>339</v>
      </c>
    </row>
    <row r="101" spans="1:13" hidden="1">
      <c r="A101" t="s">
        <v>340</v>
      </c>
      <c r="B101" t="str" cm="1">
        <f t="array" ref="B101">_xlfn.CONCAT("LOC ",_xlfn._xlws.FILTER(t_FA[FA Name],t_FA[FA]=t_requirements[[#This Row],[FA]]))</f>
        <v>LOC Workforce</v>
      </c>
      <c r="C101" t="s">
        <v>193</v>
      </c>
      <c r="D101" t="s">
        <v>341</v>
      </c>
      <c r="E101" t="s">
        <v>342</v>
      </c>
      <c r="F101" t="s">
        <v>210</v>
      </c>
      <c r="G101" s="379" t="s">
        <v>211</v>
      </c>
      <c r="H101" s="380">
        <v>3</v>
      </c>
      <c r="I101" s="396">
        <v>45942</v>
      </c>
      <c r="J101" s="396">
        <v>45956</v>
      </c>
      <c r="K101" t="s">
        <v>212</v>
      </c>
      <c r="L101" s="383" t="s">
        <v>343</v>
      </c>
      <c r="M101" t="s">
        <v>344</v>
      </c>
    </row>
    <row r="102" spans="1:13" hidden="1">
      <c r="A102" t="s">
        <v>340</v>
      </c>
      <c r="B102" t="str" cm="1">
        <f t="array" ref="B102">_xlfn.CONCAT("LOC ",_xlfn._xlws.FILTER(t_FA[FA Name],t_FA[FA]=t_requirements[[#This Row],[FA]]))</f>
        <v>LOC Workforce</v>
      </c>
      <c r="C102" t="s">
        <v>193</v>
      </c>
      <c r="D102" t="s">
        <v>341</v>
      </c>
      <c r="E102" t="s">
        <v>345</v>
      </c>
      <c r="F102" t="s">
        <v>210</v>
      </c>
      <c r="G102" s="379" t="s">
        <v>215</v>
      </c>
      <c r="H102" s="380">
        <v>3</v>
      </c>
      <c r="I102" s="396">
        <v>45942</v>
      </c>
      <c r="J102" s="396">
        <v>45956</v>
      </c>
      <c r="K102" t="s">
        <v>216</v>
      </c>
      <c r="L102" s="383" t="s">
        <v>343</v>
      </c>
      <c r="M102" t="s">
        <v>344</v>
      </c>
    </row>
    <row r="103" spans="1:13" hidden="1">
      <c r="A103" t="s">
        <v>340</v>
      </c>
      <c r="B103" t="str" cm="1">
        <f t="array" ref="B103">_xlfn.CONCAT("LOC ",_xlfn._xlws.FILTER(t_FA[FA Name],t_FA[FA]=t_requirements[[#This Row],[FA]]))</f>
        <v>LOC Workforce</v>
      </c>
      <c r="C103" t="s">
        <v>193</v>
      </c>
      <c r="D103" t="s">
        <v>341</v>
      </c>
      <c r="E103" t="s">
        <v>345</v>
      </c>
      <c r="F103" t="s">
        <v>210</v>
      </c>
      <c r="G103" s="379" t="s">
        <v>328</v>
      </c>
      <c r="H103" s="380">
        <v>0</v>
      </c>
      <c r="I103" s="396">
        <v>45942</v>
      </c>
      <c r="J103" s="396">
        <v>45956</v>
      </c>
      <c r="K103" t="s">
        <v>329</v>
      </c>
      <c r="L103" s="383" t="s">
        <v>346</v>
      </c>
      <c r="M103" t="s">
        <v>344</v>
      </c>
    </row>
    <row r="104" spans="1:13" hidden="1">
      <c r="A104" t="s">
        <v>340</v>
      </c>
      <c r="B104" t="str" cm="1">
        <f t="array" ref="B104">_xlfn.CONCAT("LOC ",_xlfn._xlws.FILTER(t_FA[FA Name],t_FA[FA]=t_requirements[[#This Row],[FA]]))</f>
        <v>LOC Workforce</v>
      </c>
      <c r="C104" t="s">
        <v>193</v>
      </c>
      <c r="D104" t="s">
        <v>341</v>
      </c>
      <c r="E104" t="s">
        <v>347</v>
      </c>
      <c r="F104" t="s">
        <v>247</v>
      </c>
      <c r="G104" s="379" t="s">
        <v>348</v>
      </c>
      <c r="H104" s="380">
        <v>1</v>
      </c>
      <c r="I104" s="396">
        <v>45942</v>
      </c>
      <c r="J104" s="396">
        <v>45956</v>
      </c>
      <c r="K104" t="s">
        <v>349</v>
      </c>
      <c r="L104" s="383" t="s">
        <v>350</v>
      </c>
      <c r="M104" t="s">
        <v>351</v>
      </c>
    </row>
    <row r="105" spans="1:13" hidden="1">
      <c r="A105" t="s">
        <v>340</v>
      </c>
      <c r="B105" t="str" cm="1">
        <f t="array" ref="B105">_xlfn.CONCAT("LOC ",_xlfn._xlws.FILTER(t_FA[FA Name],t_FA[FA]=t_requirements[[#This Row],[FA]]))</f>
        <v>LOC Workforce</v>
      </c>
      <c r="C105" t="s">
        <v>193</v>
      </c>
      <c r="D105" t="s">
        <v>341</v>
      </c>
      <c r="E105" t="s">
        <v>347</v>
      </c>
      <c r="F105" t="s">
        <v>247</v>
      </c>
      <c r="G105" s="379" t="s">
        <v>248</v>
      </c>
      <c r="H105" s="380">
        <v>2</v>
      </c>
      <c r="I105" s="396">
        <v>45942</v>
      </c>
      <c r="J105" s="396">
        <v>45956</v>
      </c>
      <c r="K105" t="s">
        <v>249</v>
      </c>
      <c r="L105" s="383" t="s">
        <v>343</v>
      </c>
      <c r="M105" t="s">
        <v>344</v>
      </c>
    </row>
    <row r="106" spans="1:13" hidden="1">
      <c r="A106" t="s">
        <v>340</v>
      </c>
      <c r="B106" t="str" cm="1">
        <f t="array" ref="B106">_xlfn.CONCAT("LOC ",_xlfn._xlws.FILTER(t_FA[FA Name],t_FA[FA]=t_requirements[[#This Row],[FA]]))</f>
        <v>LOC Workforce</v>
      </c>
      <c r="C106" t="s">
        <v>193</v>
      </c>
      <c r="D106" t="s">
        <v>341</v>
      </c>
      <c r="E106" t="s">
        <v>347</v>
      </c>
      <c r="F106" t="s">
        <v>229</v>
      </c>
      <c r="G106" s="379" t="s">
        <v>230</v>
      </c>
      <c r="H106" s="380">
        <v>1</v>
      </c>
      <c r="I106" s="396">
        <v>45942</v>
      </c>
      <c r="J106" s="396">
        <v>45956</v>
      </c>
      <c r="K106" t="s">
        <v>231</v>
      </c>
      <c r="L106" s="383" t="s">
        <v>313</v>
      </c>
      <c r="M106" t="s">
        <v>344</v>
      </c>
    </row>
    <row r="107" spans="1:13" hidden="1">
      <c r="A107" t="s">
        <v>340</v>
      </c>
      <c r="B107" t="str" cm="1">
        <f t="array" ref="B107">_xlfn.CONCAT("LOC ",_xlfn._xlws.FILTER(t_FA[FA Name],t_FA[FA]=t_requirements[[#This Row],[FA]]))</f>
        <v>LOC Workforce</v>
      </c>
      <c r="C107" t="s">
        <v>193</v>
      </c>
      <c r="D107" t="s">
        <v>341</v>
      </c>
      <c r="E107" t="s">
        <v>345</v>
      </c>
      <c r="F107" t="s">
        <v>200</v>
      </c>
      <c r="G107" s="379" t="s">
        <v>201</v>
      </c>
      <c r="H107" s="380">
        <v>1</v>
      </c>
      <c r="I107" s="396">
        <v>45942</v>
      </c>
      <c r="J107" s="396">
        <v>45956</v>
      </c>
      <c r="K107" t="s">
        <v>202</v>
      </c>
      <c r="L107" s="383" t="s">
        <v>352</v>
      </c>
      <c r="M107" t="s">
        <v>353</v>
      </c>
    </row>
    <row r="108" spans="1:13" hidden="1">
      <c r="A108" t="s">
        <v>340</v>
      </c>
      <c r="B108" t="str" cm="1">
        <f t="array" ref="B108">_xlfn.CONCAT("LOC ",_xlfn._xlws.FILTER(t_FA[FA Name],t_FA[FA]=t_requirements[[#This Row],[FA]]))</f>
        <v>LOC Workforce</v>
      </c>
      <c r="C108" t="s">
        <v>193</v>
      </c>
      <c r="D108" t="s">
        <v>341</v>
      </c>
      <c r="E108" t="s">
        <v>354</v>
      </c>
      <c r="F108" t="s">
        <v>210</v>
      </c>
      <c r="G108" s="379" t="s">
        <v>219</v>
      </c>
      <c r="H108" s="380">
        <v>0</v>
      </c>
      <c r="I108" s="396">
        <v>45942</v>
      </c>
      <c r="J108" s="396">
        <v>45956</v>
      </c>
      <c r="K108" t="s">
        <v>220</v>
      </c>
      <c r="L108" s="383" t="s">
        <v>355</v>
      </c>
      <c r="M108" t="s">
        <v>356</v>
      </c>
    </row>
    <row r="109" spans="1:13" hidden="1">
      <c r="A109" t="s">
        <v>340</v>
      </c>
      <c r="B109" t="str" cm="1">
        <f t="array" ref="B109">_xlfn.CONCAT("LOC ",_xlfn._xlws.FILTER(t_FA[FA Name],t_FA[FA]=t_requirements[[#This Row],[FA]]))</f>
        <v>LOC Workforce</v>
      </c>
      <c r="C109" t="s">
        <v>197</v>
      </c>
      <c r="D109" t="s">
        <v>185</v>
      </c>
      <c r="E109" t="s">
        <v>357</v>
      </c>
      <c r="F109" t="s">
        <v>210</v>
      </c>
      <c r="G109" s="379" t="s">
        <v>211</v>
      </c>
      <c r="H109" s="380">
        <v>0</v>
      </c>
      <c r="I109" s="396">
        <v>45931</v>
      </c>
      <c r="J109" s="396">
        <v>46009</v>
      </c>
      <c r="K109" t="s">
        <v>212</v>
      </c>
      <c r="L109" t="s">
        <v>358</v>
      </c>
      <c r="M109" t="s">
        <v>359</v>
      </c>
    </row>
    <row r="110" spans="1:13" hidden="1">
      <c r="A110" t="s">
        <v>340</v>
      </c>
      <c r="B110" t="str" cm="1">
        <f t="array" ref="B110">_xlfn.CONCAT("LOC ",_xlfn._xlws.FILTER(t_FA[FA Name],t_FA[FA]=t_requirements[[#This Row],[FA]]))</f>
        <v>LOC Workforce</v>
      </c>
      <c r="C110" t="s">
        <v>197</v>
      </c>
      <c r="D110" t="s">
        <v>185</v>
      </c>
      <c r="E110" t="s">
        <v>357</v>
      </c>
      <c r="F110" t="s">
        <v>210</v>
      </c>
      <c r="G110" s="379" t="s">
        <v>328</v>
      </c>
      <c r="H110" s="380">
        <v>0</v>
      </c>
      <c r="I110" s="396">
        <v>45931</v>
      </c>
      <c r="J110" s="396">
        <v>46009</v>
      </c>
      <c r="K110" t="s">
        <v>329</v>
      </c>
      <c r="L110" t="s">
        <v>360</v>
      </c>
      <c r="M110" t="s">
        <v>359</v>
      </c>
    </row>
    <row r="111" spans="1:13" hidden="1">
      <c r="A111" t="s">
        <v>340</v>
      </c>
      <c r="B111" t="str" cm="1">
        <f t="array" ref="B111">_xlfn.CONCAT("LOC ",_xlfn._xlws.FILTER(t_FA[FA Name],t_FA[FA]=t_requirements[[#This Row],[FA]]))</f>
        <v>LOC Workforce</v>
      </c>
      <c r="C111" t="s">
        <v>197</v>
      </c>
      <c r="D111" t="s">
        <v>185</v>
      </c>
      <c r="E111" t="s">
        <v>357</v>
      </c>
      <c r="F111" t="s">
        <v>235</v>
      </c>
      <c r="G111" s="379" t="s">
        <v>236</v>
      </c>
      <c r="H111" s="380">
        <v>0</v>
      </c>
      <c r="I111" s="396">
        <v>45931</v>
      </c>
      <c r="J111" s="396">
        <v>46009</v>
      </c>
      <c r="K111" t="s">
        <v>237</v>
      </c>
      <c r="L111" t="s">
        <v>361</v>
      </c>
      <c r="M111" t="s">
        <v>359</v>
      </c>
    </row>
    <row r="112" spans="1:13" hidden="1">
      <c r="A112" t="s">
        <v>340</v>
      </c>
      <c r="B112" t="str" cm="1">
        <f t="array" ref="B112">_xlfn.CONCAT("LOC ",_xlfn._xlws.FILTER(t_FA[FA Name],t_FA[FA]=t_requirements[[#This Row],[FA]]))</f>
        <v>LOC Workforce</v>
      </c>
      <c r="C112" t="s">
        <v>197</v>
      </c>
      <c r="D112" t="s">
        <v>185</v>
      </c>
      <c r="E112" t="s">
        <v>357</v>
      </c>
      <c r="F112" t="s">
        <v>223</v>
      </c>
      <c r="G112" s="379" t="s">
        <v>224</v>
      </c>
      <c r="H112" s="380">
        <v>0</v>
      </c>
      <c r="I112" s="396">
        <v>45931</v>
      </c>
      <c r="J112" s="396">
        <v>46009</v>
      </c>
      <c r="K112" t="s">
        <v>225</v>
      </c>
      <c r="L112" t="s">
        <v>362</v>
      </c>
      <c r="M112" t="s">
        <v>359</v>
      </c>
    </row>
    <row r="113" spans="1:13" hidden="1">
      <c r="A113" t="s">
        <v>340</v>
      </c>
      <c r="B113" t="str" cm="1">
        <f t="array" ref="B113">_xlfn.CONCAT("LOC ",_xlfn._xlws.FILTER(t_FA[FA Name],t_FA[FA]=t_requirements[[#This Row],[FA]]))</f>
        <v>LOC Workforce</v>
      </c>
      <c r="C113" t="s">
        <v>197</v>
      </c>
      <c r="D113" t="s">
        <v>185</v>
      </c>
      <c r="E113" t="s">
        <v>357</v>
      </c>
      <c r="F113" t="s">
        <v>200</v>
      </c>
      <c r="G113" s="379" t="s">
        <v>206</v>
      </c>
      <c r="H113" s="380">
        <v>0</v>
      </c>
      <c r="I113" s="396">
        <v>45931</v>
      </c>
      <c r="J113" s="396">
        <v>46009</v>
      </c>
      <c r="K113" t="s">
        <v>207</v>
      </c>
      <c r="L113" t="s">
        <v>363</v>
      </c>
      <c r="M113" t="s">
        <v>364</v>
      </c>
    </row>
    <row r="114" spans="1:13" hidden="1">
      <c r="A114" t="s">
        <v>340</v>
      </c>
      <c r="B114" t="str" cm="1">
        <f t="array" ref="B114">_xlfn.CONCAT("LOC ",_xlfn._xlws.FILTER(t_FA[FA Name],t_FA[FA]=t_requirements[[#This Row],[FA]]))</f>
        <v>LOC Workforce</v>
      </c>
      <c r="C114" t="s">
        <v>197</v>
      </c>
      <c r="D114" t="s">
        <v>185</v>
      </c>
      <c r="E114" t="s">
        <v>357</v>
      </c>
      <c r="F114" t="s">
        <v>186</v>
      </c>
      <c r="G114" s="379" t="s">
        <v>365</v>
      </c>
      <c r="H114" s="380">
        <v>0</v>
      </c>
      <c r="I114" s="396">
        <v>45901</v>
      </c>
      <c r="J114" s="396">
        <v>46009</v>
      </c>
      <c r="K114" t="s">
        <v>366</v>
      </c>
      <c r="L114" t="s">
        <v>367</v>
      </c>
      <c r="M114" t="s">
        <v>368</v>
      </c>
    </row>
    <row r="115" spans="1:13" hidden="1">
      <c r="A115" t="s">
        <v>340</v>
      </c>
      <c r="B115" t="str" cm="1">
        <f t="array" ref="B115">_xlfn.CONCAT("LOC ",_xlfn._xlws.FILTER(t_FA[FA Name],t_FA[FA]=t_requirements[[#This Row],[FA]]))</f>
        <v>LOC Workforce</v>
      </c>
      <c r="C115" t="s">
        <v>197</v>
      </c>
      <c r="D115" t="s">
        <v>185</v>
      </c>
      <c r="E115" t="s">
        <v>357</v>
      </c>
      <c r="F115" t="s">
        <v>229</v>
      </c>
      <c r="G115" s="379" t="s">
        <v>230</v>
      </c>
      <c r="H115" s="380">
        <v>0</v>
      </c>
      <c r="I115" s="396">
        <v>45931</v>
      </c>
      <c r="J115" s="396">
        <v>46009</v>
      </c>
      <c r="K115" t="s">
        <v>231</v>
      </c>
      <c r="L115" t="s">
        <v>369</v>
      </c>
      <c r="M115" t="s">
        <v>370</v>
      </c>
    </row>
    <row r="116" spans="1:13" hidden="1">
      <c r="A116" t="s">
        <v>340</v>
      </c>
      <c r="B116" t="str" cm="1">
        <f t="array" ref="B116">_xlfn.CONCAT("LOC ",_xlfn._xlws.FILTER(t_FA[FA Name],t_FA[FA]=t_requirements[[#This Row],[FA]]))</f>
        <v>LOC Workforce</v>
      </c>
      <c r="C116" t="s">
        <v>197</v>
      </c>
      <c r="D116" t="s">
        <v>185</v>
      </c>
      <c r="E116" t="s">
        <v>357</v>
      </c>
      <c r="F116" t="s">
        <v>210</v>
      </c>
      <c r="G116" s="379" t="s">
        <v>219</v>
      </c>
      <c r="H116" s="380">
        <v>0</v>
      </c>
      <c r="I116" s="396">
        <v>45931</v>
      </c>
      <c r="J116" s="396">
        <v>46009</v>
      </c>
      <c r="K116" t="s">
        <v>220</v>
      </c>
      <c r="L116" t="s">
        <v>371</v>
      </c>
      <c r="M116" t="s">
        <v>372</v>
      </c>
    </row>
    <row r="117" spans="1:13" hidden="1">
      <c r="A117" t="s">
        <v>340</v>
      </c>
      <c r="B117" t="str" cm="1">
        <f t="array" ref="B117">_xlfn.CONCAT("LOC ",_xlfn._xlws.FILTER(t_FA[FA Name],t_FA[FA]=t_requirements[[#This Row],[FA]]))</f>
        <v>LOC Workforce</v>
      </c>
      <c r="C117" t="s">
        <v>197</v>
      </c>
      <c r="D117" t="s">
        <v>185</v>
      </c>
      <c r="E117" t="s">
        <v>357</v>
      </c>
      <c r="F117" t="s">
        <v>247</v>
      </c>
      <c r="G117" s="379" t="s">
        <v>248</v>
      </c>
      <c r="H117" s="380">
        <v>0</v>
      </c>
      <c r="I117" s="396">
        <v>45931</v>
      </c>
      <c r="J117" s="396">
        <v>46009</v>
      </c>
      <c r="K117" t="s">
        <v>249</v>
      </c>
      <c r="L117" t="s">
        <v>373</v>
      </c>
      <c r="M117" t="s">
        <v>374</v>
      </c>
    </row>
    <row r="118" spans="1:13" hidden="1">
      <c r="A118" t="s">
        <v>340</v>
      </c>
      <c r="B118" t="str" cm="1">
        <f t="array" ref="B118">_xlfn.CONCAT("LOC ",_xlfn._xlws.FILTER(t_FA[FA Name],t_FA[FA]=t_requirements[[#This Row],[FA]]))</f>
        <v>LOC Workforce</v>
      </c>
      <c r="C118" t="s">
        <v>197</v>
      </c>
      <c r="D118" t="s">
        <v>185</v>
      </c>
      <c r="E118" t="s">
        <v>357</v>
      </c>
      <c r="F118" t="s">
        <v>247</v>
      </c>
      <c r="G118" s="379" t="s">
        <v>375</v>
      </c>
      <c r="H118" s="380">
        <v>0</v>
      </c>
      <c r="I118" s="396">
        <v>45931</v>
      </c>
      <c r="J118" s="396">
        <v>46009</v>
      </c>
      <c r="K118" t="s">
        <v>376</v>
      </c>
      <c r="L118" t="s">
        <v>377</v>
      </c>
      <c r="M118" t="s">
        <v>378</v>
      </c>
    </row>
    <row r="119" spans="1:13" hidden="1">
      <c r="A119" t="s">
        <v>340</v>
      </c>
      <c r="B119" t="str" cm="1">
        <f t="array" ref="B119">_xlfn.CONCAT("LOC ",_xlfn._xlws.FILTER(t_FA[FA Name],t_FA[FA]=t_requirements[[#This Row],[FA]]))</f>
        <v>LOC Workforce</v>
      </c>
      <c r="C119" t="s">
        <v>197</v>
      </c>
      <c r="D119" t="s">
        <v>379</v>
      </c>
      <c r="E119" t="s">
        <v>380</v>
      </c>
      <c r="F119" t="s">
        <v>229</v>
      </c>
      <c r="G119" s="379" t="s">
        <v>230</v>
      </c>
      <c r="H119" s="380">
        <v>0</v>
      </c>
      <c r="I119" s="396">
        <v>45931</v>
      </c>
      <c r="J119" s="396">
        <v>46009</v>
      </c>
      <c r="K119" t="s">
        <v>231</v>
      </c>
      <c r="L119" t="s">
        <v>381</v>
      </c>
      <c r="M119" t="s">
        <v>370</v>
      </c>
    </row>
    <row r="120" spans="1:13" hidden="1">
      <c r="A120" t="s">
        <v>340</v>
      </c>
      <c r="B120" t="str" cm="1">
        <f t="array" ref="B120">_xlfn.CONCAT("LOC ",_xlfn._xlws.FILTER(t_FA[FA Name],t_FA[FA]=t_requirements[[#This Row],[FA]]))</f>
        <v>LOC Workforce</v>
      </c>
      <c r="C120" t="s">
        <v>197</v>
      </c>
      <c r="D120" t="s">
        <v>379</v>
      </c>
      <c r="E120" t="s">
        <v>380</v>
      </c>
      <c r="F120" t="s">
        <v>200</v>
      </c>
      <c r="G120" s="379" t="s">
        <v>201</v>
      </c>
      <c r="H120" s="380">
        <v>0</v>
      </c>
      <c r="I120" s="396">
        <v>45931</v>
      </c>
      <c r="J120" s="396">
        <v>46009</v>
      </c>
      <c r="K120" t="s">
        <v>202</v>
      </c>
      <c r="L120" t="s">
        <v>382</v>
      </c>
      <c r="M120" t="s">
        <v>383</v>
      </c>
    </row>
    <row r="121" spans="1:13" hidden="1">
      <c r="A121" t="s">
        <v>340</v>
      </c>
      <c r="B121" t="str" cm="1">
        <f t="array" ref="B121">_xlfn.CONCAT("LOC ",_xlfn._xlws.FILTER(t_FA[FA Name],t_FA[FA]=t_requirements[[#This Row],[FA]]))</f>
        <v>LOC Workforce</v>
      </c>
      <c r="C121" t="s">
        <v>197</v>
      </c>
      <c r="D121" t="s">
        <v>379</v>
      </c>
      <c r="E121" t="s">
        <v>380</v>
      </c>
      <c r="F121" t="s">
        <v>210</v>
      </c>
      <c r="G121" s="379" t="s">
        <v>211</v>
      </c>
      <c r="H121" s="380">
        <v>0</v>
      </c>
      <c r="I121" s="396">
        <v>45931</v>
      </c>
      <c r="J121" s="396">
        <v>46009</v>
      </c>
      <c r="K121" t="s">
        <v>212</v>
      </c>
      <c r="L121" t="s">
        <v>384</v>
      </c>
      <c r="M121" t="s">
        <v>370</v>
      </c>
    </row>
    <row r="122" spans="1:13" hidden="1">
      <c r="A122" t="s">
        <v>340</v>
      </c>
      <c r="B122" t="str" cm="1">
        <f t="array" ref="B122">_xlfn.CONCAT("LOC ",_xlfn._xlws.FILTER(t_FA[FA Name],t_FA[FA]=t_requirements[[#This Row],[FA]]))</f>
        <v>LOC Workforce</v>
      </c>
      <c r="C122" t="s">
        <v>197</v>
      </c>
      <c r="D122" t="s">
        <v>379</v>
      </c>
      <c r="E122" t="s">
        <v>380</v>
      </c>
      <c r="F122" t="s">
        <v>210</v>
      </c>
      <c r="G122" s="379" t="s">
        <v>328</v>
      </c>
      <c r="H122" s="380">
        <v>0</v>
      </c>
      <c r="I122" s="396">
        <v>45931</v>
      </c>
      <c r="J122" s="396">
        <v>46009</v>
      </c>
      <c r="K122" t="s">
        <v>329</v>
      </c>
      <c r="L122" t="s">
        <v>385</v>
      </c>
      <c r="M122" t="s">
        <v>370</v>
      </c>
    </row>
    <row r="123" spans="1:13" hidden="1">
      <c r="A123" t="s">
        <v>340</v>
      </c>
      <c r="B123" t="str" cm="1">
        <f t="array" ref="B123">_xlfn.CONCAT("LOC ",_xlfn._xlws.FILTER(t_FA[FA Name],t_FA[FA]=t_requirements[[#This Row],[FA]]))</f>
        <v>LOC Workforce</v>
      </c>
      <c r="C123" t="s">
        <v>197</v>
      </c>
      <c r="D123" t="s">
        <v>379</v>
      </c>
      <c r="E123" t="s">
        <v>380</v>
      </c>
      <c r="F123" t="s">
        <v>210</v>
      </c>
      <c r="G123" s="379" t="s">
        <v>215</v>
      </c>
      <c r="H123" s="380">
        <v>0</v>
      </c>
      <c r="I123" s="396">
        <v>45931</v>
      </c>
      <c r="J123" s="396">
        <v>46009</v>
      </c>
      <c r="K123" t="s">
        <v>216</v>
      </c>
      <c r="L123" t="s">
        <v>386</v>
      </c>
      <c r="M123" t="s">
        <v>370</v>
      </c>
    </row>
    <row r="124" spans="1:13" hidden="1">
      <c r="A124" t="s">
        <v>340</v>
      </c>
      <c r="B124" t="str" cm="1">
        <f t="array" ref="B124">_xlfn.CONCAT("LOC ",_xlfn._xlws.FILTER(t_FA[FA Name],t_FA[FA]=t_requirements[[#This Row],[FA]]))</f>
        <v>LOC Workforce</v>
      </c>
      <c r="C124" t="s">
        <v>197</v>
      </c>
      <c r="D124" t="s">
        <v>379</v>
      </c>
      <c r="E124" t="s">
        <v>380</v>
      </c>
      <c r="F124" t="s">
        <v>247</v>
      </c>
      <c r="G124" s="379" t="s">
        <v>248</v>
      </c>
      <c r="H124" s="380">
        <v>0</v>
      </c>
      <c r="I124" s="396">
        <v>45931</v>
      </c>
      <c r="J124" s="396">
        <v>46009</v>
      </c>
      <c r="K124" t="s">
        <v>249</v>
      </c>
      <c r="L124" t="s">
        <v>387</v>
      </c>
      <c r="M124" t="s">
        <v>388</v>
      </c>
    </row>
    <row r="125" spans="1:13" hidden="1">
      <c r="A125" t="s">
        <v>340</v>
      </c>
      <c r="B125" t="str" cm="1">
        <f t="array" ref="B125">_xlfn.CONCAT("LOC ",_xlfn._xlws.FILTER(t_FA[FA Name],t_FA[FA]=t_requirements[[#This Row],[FA]]))</f>
        <v>LOC Workforce</v>
      </c>
      <c r="C125" t="s">
        <v>197</v>
      </c>
      <c r="D125" t="s">
        <v>379</v>
      </c>
      <c r="E125" t="s">
        <v>389</v>
      </c>
      <c r="F125" t="s">
        <v>210</v>
      </c>
      <c r="G125" s="379" t="s">
        <v>211</v>
      </c>
      <c r="H125" s="380">
        <v>0</v>
      </c>
      <c r="I125" s="396">
        <v>45931</v>
      </c>
      <c r="J125" s="396">
        <v>46009</v>
      </c>
      <c r="K125" t="s">
        <v>212</v>
      </c>
      <c r="L125" t="s">
        <v>390</v>
      </c>
      <c r="M125" t="s">
        <v>370</v>
      </c>
    </row>
    <row r="126" spans="1:13" hidden="1">
      <c r="A126" t="s">
        <v>340</v>
      </c>
      <c r="B126" t="str" cm="1">
        <f t="array" ref="B126">_xlfn.CONCAT("LOC ",_xlfn._xlws.FILTER(t_FA[FA Name],t_FA[FA]=t_requirements[[#This Row],[FA]]))</f>
        <v>LOC Workforce</v>
      </c>
      <c r="C126" t="s">
        <v>197</v>
      </c>
      <c r="D126" t="s">
        <v>379</v>
      </c>
      <c r="E126" t="s">
        <v>389</v>
      </c>
      <c r="F126" t="s">
        <v>229</v>
      </c>
      <c r="G126" s="379" t="s">
        <v>230</v>
      </c>
      <c r="H126" s="380">
        <v>0</v>
      </c>
      <c r="I126" s="396">
        <v>45931</v>
      </c>
      <c r="J126" s="396">
        <v>46009</v>
      </c>
      <c r="K126" t="s">
        <v>231</v>
      </c>
      <c r="L126" t="s">
        <v>391</v>
      </c>
      <c r="M126" t="s">
        <v>370</v>
      </c>
    </row>
    <row r="127" spans="1:13" hidden="1">
      <c r="A127" t="s">
        <v>340</v>
      </c>
      <c r="B127" t="str" cm="1">
        <f t="array" ref="B127">_xlfn.CONCAT("LOC ",_xlfn._xlws.FILTER(t_FA[FA Name],t_FA[FA]=t_requirements[[#This Row],[FA]]))</f>
        <v>LOC Workforce</v>
      </c>
      <c r="C127" t="s">
        <v>197</v>
      </c>
      <c r="D127" t="s">
        <v>379</v>
      </c>
      <c r="E127" t="s">
        <v>389</v>
      </c>
      <c r="F127" t="s">
        <v>186</v>
      </c>
      <c r="G127" s="379" t="s">
        <v>365</v>
      </c>
      <c r="H127" s="380">
        <v>0</v>
      </c>
      <c r="I127" s="396">
        <v>45925</v>
      </c>
      <c r="J127" s="396">
        <v>46009</v>
      </c>
      <c r="K127" t="s">
        <v>366</v>
      </c>
      <c r="L127" t="s">
        <v>392</v>
      </c>
      <c r="M127" t="s">
        <v>393</v>
      </c>
    </row>
    <row r="128" spans="1:13" hidden="1">
      <c r="A128" t="s">
        <v>340</v>
      </c>
      <c r="B128" t="str" cm="1">
        <f t="array" ref="B128">_xlfn.CONCAT("LOC ",_xlfn._xlws.FILTER(t_FA[FA Name],t_FA[FA]=t_requirements[[#This Row],[FA]]))</f>
        <v>LOC Workforce</v>
      </c>
      <c r="C128" t="s">
        <v>197</v>
      </c>
      <c r="D128" t="s">
        <v>379</v>
      </c>
      <c r="E128" t="s">
        <v>389</v>
      </c>
      <c r="F128" t="s">
        <v>235</v>
      </c>
      <c r="G128" s="379" t="s">
        <v>236</v>
      </c>
      <c r="H128" s="380">
        <v>0</v>
      </c>
      <c r="I128" s="396">
        <v>45931</v>
      </c>
      <c r="J128" s="396">
        <v>46009</v>
      </c>
      <c r="K128" t="s">
        <v>237</v>
      </c>
      <c r="L128" t="s">
        <v>394</v>
      </c>
      <c r="M128" t="s">
        <v>370</v>
      </c>
    </row>
    <row r="129" spans="1:13" hidden="1">
      <c r="A129" t="s">
        <v>340</v>
      </c>
      <c r="B129" t="str" cm="1">
        <f t="array" ref="B129">_xlfn.CONCAT("LOC ",_xlfn._xlws.FILTER(t_FA[FA Name],t_FA[FA]=t_requirements[[#This Row],[FA]]))</f>
        <v>LOC Workforce</v>
      </c>
      <c r="C129" t="s">
        <v>197</v>
      </c>
      <c r="D129" t="s">
        <v>379</v>
      </c>
      <c r="E129" t="s">
        <v>389</v>
      </c>
      <c r="F129" t="s">
        <v>247</v>
      </c>
      <c r="G129" s="379" t="s">
        <v>348</v>
      </c>
      <c r="H129" s="380">
        <v>0</v>
      </c>
      <c r="I129" s="396">
        <v>45931</v>
      </c>
      <c r="J129" s="396">
        <v>46009</v>
      </c>
      <c r="K129" t="s">
        <v>349</v>
      </c>
      <c r="L129" t="s">
        <v>395</v>
      </c>
      <c r="M129" t="s">
        <v>370</v>
      </c>
    </row>
    <row r="130" spans="1:13" hidden="1">
      <c r="A130" t="s">
        <v>396</v>
      </c>
      <c r="B130" t="str" cm="1">
        <f t="array" ref="B130">_xlfn.CONCAT("LOC ",_xlfn._xlws.FILTER(t_FA[FA Name],t_FA[FA]=t_requirements[[#This Row],[FA]]))</f>
        <v>LOC Competition</v>
      </c>
      <c r="C130" s="385" t="s">
        <v>184</v>
      </c>
      <c r="D130" s="379" t="s">
        <v>397</v>
      </c>
      <c r="E130" s="379" t="s">
        <v>397</v>
      </c>
      <c r="F130" s="379" t="s">
        <v>229</v>
      </c>
      <c r="G130" s="379" t="s">
        <v>398</v>
      </c>
      <c r="H130" s="380">
        <v>1</v>
      </c>
      <c r="I130" s="396">
        <v>45958</v>
      </c>
      <c r="J130" s="396">
        <v>45989</v>
      </c>
      <c r="K130" s="398" t="s">
        <v>399</v>
      </c>
      <c r="L130" s="383"/>
      <c r="M130" s="399"/>
    </row>
    <row r="131" spans="1:13" hidden="1">
      <c r="A131" t="s">
        <v>396</v>
      </c>
      <c r="B131" t="str" cm="1">
        <f t="array" ref="B131">_xlfn.CONCAT("LOC ",_xlfn._xlws.FILTER(t_FA[FA Name],t_FA[FA]=t_requirements[[#This Row],[FA]]))</f>
        <v>LOC Competition</v>
      </c>
      <c r="C131" s="400" t="s">
        <v>184</v>
      </c>
      <c r="D131" s="401" t="s">
        <v>397</v>
      </c>
      <c r="E131" s="401" t="s">
        <v>397</v>
      </c>
      <c r="F131" s="401" t="s">
        <v>235</v>
      </c>
      <c r="G131" s="379" t="s">
        <v>236</v>
      </c>
      <c r="H131" s="380">
        <v>1</v>
      </c>
      <c r="I131" s="402">
        <v>45958</v>
      </c>
      <c r="J131" s="402">
        <v>45989</v>
      </c>
      <c r="K131" s="403" t="s">
        <v>237</v>
      </c>
      <c r="L131" s="383"/>
      <c r="M131" s="404"/>
    </row>
    <row r="132" spans="1:13" hidden="1">
      <c r="A132" t="s">
        <v>400</v>
      </c>
      <c r="B132" t="str" cm="1">
        <f t="array" ref="B132">_xlfn.CONCAT("LOC ",_xlfn._xlws.FILTER(t_FA[FA Name],t_FA[FA]=t_requirements[[#This Row],[FA]]))</f>
        <v>LOC Mobility</v>
      </c>
      <c r="C132" t="s">
        <v>184</v>
      </c>
      <c r="D132" t="s">
        <v>245</v>
      </c>
      <c r="E132" t="s">
        <v>401</v>
      </c>
      <c r="F132" t="s">
        <v>229</v>
      </c>
      <c r="G132" s="379" t="s">
        <v>230</v>
      </c>
      <c r="H132" s="380">
        <v>2</v>
      </c>
      <c r="I132" s="396">
        <v>45931</v>
      </c>
      <c r="J132" s="396">
        <v>45989</v>
      </c>
      <c r="K132" t="s">
        <v>231</v>
      </c>
      <c r="L132" s="383"/>
      <c r="M132" t="s">
        <v>402</v>
      </c>
    </row>
    <row r="133" spans="1:13" hidden="1">
      <c r="A133" t="s">
        <v>400</v>
      </c>
      <c r="B133" t="str" cm="1">
        <f t="array" ref="B133">_xlfn.CONCAT("LOC ",_xlfn._xlws.FILTER(t_FA[FA Name],t_FA[FA]=t_requirements[[#This Row],[FA]]))</f>
        <v>LOC Mobility</v>
      </c>
      <c r="C133" t="s">
        <v>184</v>
      </c>
      <c r="D133" t="s">
        <v>245</v>
      </c>
      <c r="E133" t="s">
        <v>401</v>
      </c>
      <c r="F133" t="s">
        <v>200</v>
      </c>
      <c r="G133" s="379" t="s">
        <v>201</v>
      </c>
      <c r="H133" s="380">
        <v>1</v>
      </c>
      <c r="I133" s="396">
        <v>45931</v>
      </c>
      <c r="J133" s="396">
        <v>45989</v>
      </c>
      <c r="K133" t="s">
        <v>202</v>
      </c>
      <c r="L133" s="383" t="s">
        <v>313</v>
      </c>
      <c r="M133" t="s">
        <v>403</v>
      </c>
    </row>
    <row r="134" spans="1:13" hidden="1">
      <c r="A134" t="s">
        <v>400</v>
      </c>
      <c r="B134" t="str" cm="1">
        <f t="array" ref="B134">_xlfn.CONCAT("LOC ",_xlfn._xlws.FILTER(t_FA[FA Name],t_FA[FA]=t_requirements[[#This Row],[FA]]))</f>
        <v>LOC Mobility</v>
      </c>
      <c r="C134" t="s">
        <v>197</v>
      </c>
      <c r="D134" t="s">
        <v>404</v>
      </c>
      <c r="E134" t="s">
        <v>405</v>
      </c>
      <c r="F134" t="s">
        <v>200</v>
      </c>
      <c r="G134" s="379" t="s">
        <v>201</v>
      </c>
      <c r="H134" s="380">
        <v>0</v>
      </c>
      <c r="I134" s="396">
        <v>45931</v>
      </c>
      <c r="J134" s="396">
        <v>45989</v>
      </c>
      <c r="K134" t="s">
        <v>202</v>
      </c>
      <c r="L134" t="s">
        <v>406</v>
      </c>
    </row>
    <row r="135" spans="1:13" hidden="1">
      <c r="A135" t="s">
        <v>400</v>
      </c>
      <c r="B135" t="str" cm="1">
        <f t="array" ref="B135">_xlfn.CONCAT("LOC ",_xlfn._xlws.FILTER(t_FA[FA Name],t_FA[FA]=t_requirements[[#This Row],[FA]]))</f>
        <v>LOC Mobility</v>
      </c>
      <c r="C135" t="s">
        <v>197</v>
      </c>
      <c r="D135" t="s">
        <v>404</v>
      </c>
      <c r="E135" t="s">
        <v>405</v>
      </c>
      <c r="F135" t="s">
        <v>210</v>
      </c>
      <c r="G135" s="379" t="s">
        <v>211</v>
      </c>
      <c r="H135" s="380">
        <v>0</v>
      </c>
      <c r="I135" s="396">
        <v>45931</v>
      </c>
      <c r="J135" s="396">
        <v>45989</v>
      </c>
      <c r="K135" t="s">
        <v>212</v>
      </c>
      <c r="L135" t="s">
        <v>407</v>
      </c>
    </row>
    <row r="136" spans="1:13" hidden="1">
      <c r="A136" t="s">
        <v>400</v>
      </c>
      <c r="B136" t="str" cm="1">
        <f t="array" ref="B136">_xlfn.CONCAT("LOC ",_xlfn._xlws.FILTER(t_FA[FA Name],t_FA[FA]=t_requirements[[#This Row],[FA]]))</f>
        <v>LOC Mobility</v>
      </c>
      <c r="C136" t="s">
        <v>197</v>
      </c>
      <c r="D136" t="s">
        <v>404</v>
      </c>
      <c r="E136" t="s">
        <v>405</v>
      </c>
      <c r="F136" t="s">
        <v>210</v>
      </c>
      <c r="G136" s="379" t="s">
        <v>328</v>
      </c>
      <c r="H136" s="380">
        <v>0</v>
      </c>
      <c r="I136" s="396">
        <v>45931</v>
      </c>
      <c r="J136" s="396">
        <v>45989</v>
      </c>
      <c r="K136" t="s">
        <v>329</v>
      </c>
      <c r="L136" t="s">
        <v>408</v>
      </c>
    </row>
    <row r="137" spans="1:13" hidden="1">
      <c r="A137" t="s">
        <v>400</v>
      </c>
      <c r="B137" t="str" cm="1">
        <f t="array" ref="B137">_xlfn.CONCAT("LOC ",_xlfn._xlws.FILTER(t_FA[FA Name],t_FA[FA]=t_requirements[[#This Row],[FA]]))</f>
        <v>LOC Mobility</v>
      </c>
      <c r="C137" t="s">
        <v>197</v>
      </c>
      <c r="D137" t="s">
        <v>404</v>
      </c>
      <c r="E137" t="s">
        <v>405</v>
      </c>
      <c r="F137" t="s">
        <v>229</v>
      </c>
      <c r="G137" s="379" t="s">
        <v>230</v>
      </c>
      <c r="H137" s="380">
        <v>0</v>
      </c>
      <c r="I137" s="396">
        <v>45931</v>
      </c>
      <c r="J137" s="396">
        <v>45989</v>
      </c>
      <c r="K137" t="s">
        <v>231</v>
      </c>
      <c r="L137" t="s">
        <v>409</v>
      </c>
    </row>
    <row r="138" spans="1:13" hidden="1">
      <c r="A138" t="s">
        <v>400</v>
      </c>
      <c r="B138" t="str" cm="1">
        <f t="array" ref="B138">_xlfn.CONCAT("LOC ",_xlfn._xlws.FILTER(t_FA[FA Name],t_FA[FA]=t_requirements[[#This Row],[FA]]))</f>
        <v>LOC Mobility</v>
      </c>
      <c r="C138" t="s">
        <v>197</v>
      </c>
      <c r="D138" t="s">
        <v>404</v>
      </c>
      <c r="E138" t="s">
        <v>405</v>
      </c>
      <c r="F138" t="s">
        <v>210</v>
      </c>
      <c r="G138" s="379" t="s">
        <v>215</v>
      </c>
      <c r="H138" s="380">
        <v>0</v>
      </c>
      <c r="I138" s="396">
        <v>45931</v>
      </c>
      <c r="J138" s="396">
        <v>45989</v>
      </c>
      <c r="K138" t="s">
        <v>216</v>
      </c>
      <c r="L138" t="s">
        <v>410</v>
      </c>
    </row>
    <row r="139" spans="1:13" hidden="1">
      <c r="A139" t="s">
        <v>400</v>
      </c>
      <c r="B139" t="str" cm="1">
        <f t="array" ref="B139">_xlfn.CONCAT("LOC ",_xlfn._xlws.FILTER(t_FA[FA Name],t_FA[FA]=t_requirements[[#This Row],[FA]]))</f>
        <v>LOC Mobility</v>
      </c>
      <c r="C139" t="s">
        <v>197</v>
      </c>
      <c r="D139" t="s">
        <v>404</v>
      </c>
      <c r="E139" t="s">
        <v>411</v>
      </c>
      <c r="F139" t="s">
        <v>235</v>
      </c>
      <c r="G139" s="379" t="s">
        <v>236</v>
      </c>
      <c r="H139" s="380">
        <v>0</v>
      </c>
      <c r="I139" s="396">
        <v>45931</v>
      </c>
      <c r="J139" s="396">
        <v>45989</v>
      </c>
      <c r="K139" t="s">
        <v>237</v>
      </c>
      <c r="L139" t="s">
        <v>412</v>
      </c>
    </row>
    <row r="140" spans="1:13" hidden="1">
      <c r="A140" t="s">
        <v>400</v>
      </c>
      <c r="B140" t="str" cm="1">
        <f t="array" ref="B140">_xlfn.CONCAT("LOC ",_xlfn._xlws.FILTER(t_FA[FA Name],t_FA[FA]=t_requirements[[#This Row],[FA]]))</f>
        <v>LOC Mobility</v>
      </c>
      <c r="C140" t="s">
        <v>197</v>
      </c>
      <c r="D140" t="s">
        <v>404</v>
      </c>
      <c r="E140" t="s">
        <v>411</v>
      </c>
      <c r="F140" t="s">
        <v>247</v>
      </c>
      <c r="G140" s="379" t="s">
        <v>248</v>
      </c>
      <c r="H140" s="380">
        <v>0</v>
      </c>
      <c r="I140" s="396">
        <v>45931</v>
      </c>
      <c r="J140" s="396">
        <v>45989</v>
      </c>
      <c r="K140" t="s">
        <v>249</v>
      </c>
      <c r="L140" t="s">
        <v>413</v>
      </c>
    </row>
    <row r="141" spans="1:13" hidden="1">
      <c r="A141" t="s">
        <v>400</v>
      </c>
      <c r="B141" t="str" cm="1">
        <f t="array" ref="B141">_xlfn.CONCAT("LOC ",_xlfn._xlws.FILTER(t_FA[FA Name],t_FA[FA]=t_requirements[[#This Row],[FA]]))</f>
        <v>LOC Mobility</v>
      </c>
      <c r="C141" t="s">
        <v>197</v>
      </c>
      <c r="D141" t="s">
        <v>404</v>
      </c>
      <c r="E141" t="s">
        <v>411</v>
      </c>
      <c r="F141" t="s">
        <v>223</v>
      </c>
      <c r="G141" s="379" t="s">
        <v>414</v>
      </c>
      <c r="H141" s="380">
        <v>0</v>
      </c>
      <c r="I141" s="396">
        <v>45931</v>
      </c>
      <c r="J141" s="396">
        <v>45989</v>
      </c>
      <c r="K141" t="s">
        <v>415</v>
      </c>
      <c r="L141" t="s">
        <v>416</v>
      </c>
      <c r="M141" t="s">
        <v>417</v>
      </c>
    </row>
    <row r="142" spans="1:13" hidden="1">
      <c r="A142" t="s">
        <v>400</v>
      </c>
      <c r="B142" t="str" cm="1">
        <f t="array" ref="B142">_xlfn.CONCAT("LOC ",_xlfn._xlws.FILTER(t_FA[FA Name],t_FA[FA]=t_requirements[[#This Row],[FA]]))</f>
        <v>LOC Mobility</v>
      </c>
      <c r="C142" t="s">
        <v>197</v>
      </c>
      <c r="D142" t="s">
        <v>404</v>
      </c>
      <c r="E142" t="s">
        <v>411</v>
      </c>
      <c r="F142" t="s">
        <v>200</v>
      </c>
      <c r="G142" s="379" t="s">
        <v>206</v>
      </c>
      <c r="H142" s="380">
        <v>0</v>
      </c>
      <c r="I142" s="396">
        <v>45931</v>
      </c>
      <c r="J142" s="396">
        <v>45989</v>
      </c>
      <c r="K142" t="s">
        <v>207</v>
      </c>
      <c r="L142" t="s">
        <v>418</v>
      </c>
      <c r="M142" t="s">
        <v>419</v>
      </c>
    </row>
    <row r="143" spans="1:13" hidden="1">
      <c r="A143" t="s">
        <v>400</v>
      </c>
      <c r="B143" t="str" cm="1">
        <f t="array" ref="B143">_xlfn.CONCAT("LOC ",_xlfn._xlws.FILTER(t_FA[FA Name],t_FA[FA]=t_requirements[[#This Row],[FA]]))</f>
        <v>LOC Mobility</v>
      </c>
      <c r="C143" t="s">
        <v>197</v>
      </c>
      <c r="D143" t="s">
        <v>404</v>
      </c>
      <c r="E143" t="s">
        <v>411</v>
      </c>
      <c r="F143" t="s">
        <v>186</v>
      </c>
      <c r="G143" s="379" t="s">
        <v>365</v>
      </c>
      <c r="H143" s="380">
        <v>0</v>
      </c>
      <c r="I143" s="396">
        <v>45931</v>
      </c>
      <c r="J143" s="396">
        <v>45989</v>
      </c>
      <c r="K143" t="s">
        <v>366</v>
      </c>
      <c r="L143" t="s">
        <v>420</v>
      </c>
      <c r="M143" t="s">
        <v>421</v>
      </c>
    </row>
    <row r="144" spans="1:13" hidden="1">
      <c r="A144" t="s">
        <v>400</v>
      </c>
      <c r="B144" t="str" cm="1">
        <f t="array" ref="B144">_xlfn.CONCAT("LOC ",_xlfn._xlws.FILTER(t_FA[FA Name],t_FA[FA]=t_requirements[[#This Row],[FA]]))</f>
        <v>LOC Mobility</v>
      </c>
      <c r="C144" t="s">
        <v>184</v>
      </c>
      <c r="D144" t="s">
        <v>245</v>
      </c>
      <c r="E144" t="s">
        <v>422</v>
      </c>
      <c r="F144" t="s">
        <v>210</v>
      </c>
      <c r="G144" s="379" t="s">
        <v>219</v>
      </c>
      <c r="H144" s="380">
        <v>4</v>
      </c>
      <c r="I144" s="402">
        <v>45931</v>
      </c>
      <c r="J144" s="402">
        <v>45989</v>
      </c>
      <c r="K144" t="s">
        <v>220</v>
      </c>
      <c r="L144" s="383" t="s">
        <v>298</v>
      </c>
      <c r="M144" t="s">
        <v>423</v>
      </c>
    </row>
    <row r="145" spans="1:13" hidden="1">
      <c r="A145" t="s">
        <v>424</v>
      </c>
      <c r="B145" t="str" cm="1">
        <f t="array" ref="B145">_xlfn.CONCAT("LOC ",_xlfn._xlws.FILTER(t_FA[FA Name],t_FA[FA]=t_requirements[[#This Row],[FA]]))</f>
        <v>LOC Ticketing</v>
      </c>
      <c r="C145" t="s">
        <v>184</v>
      </c>
      <c r="D145" t="s">
        <v>245</v>
      </c>
      <c r="E145" t="s">
        <v>425</v>
      </c>
      <c r="F145" t="s">
        <v>223</v>
      </c>
      <c r="G145" t="s">
        <v>414</v>
      </c>
      <c r="H145" s="388">
        <v>10</v>
      </c>
      <c r="I145" s="396">
        <v>45950</v>
      </c>
      <c r="J145" s="396">
        <v>45989</v>
      </c>
      <c r="K145" t="s">
        <v>415</v>
      </c>
      <c r="L145" t="s">
        <v>426</v>
      </c>
      <c r="M145" t="s">
        <v>427</v>
      </c>
    </row>
    <row r="146" spans="1:13" hidden="1">
      <c r="A146" t="s">
        <v>424</v>
      </c>
      <c r="B146" t="str" cm="1">
        <f t="array" ref="B146">_xlfn.CONCAT("LOC ",_xlfn._xlws.FILTER(t_FA[FA Name],t_FA[FA]=t_requirements[[#This Row],[FA]]))</f>
        <v>LOC Ticketing</v>
      </c>
      <c r="C146" t="s">
        <v>184</v>
      </c>
      <c r="D146" t="s">
        <v>245</v>
      </c>
      <c r="E146" t="s">
        <v>425</v>
      </c>
      <c r="F146" t="s">
        <v>229</v>
      </c>
      <c r="G146" t="s">
        <v>230</v>
      </c>
      <c r="H146" s="388">
        <v>2</v>
      </c>
      <c r="I146" s="396">
        <v>45950</v>
      </c>
      <c r="J146" s="396">
        <v>45989</v>
      </c>
      <c r="K146" t="s">
        <v>231</v>
      </c>
      <c r="L146" t="s">
        <v>428</v>
      </c>
      <c r="M146" t="s">
        <v>429</v>
      </c>
    </row>
    <row r="147" spans="1:13" hidden="1">
      <c r="A147" t="s">
        <v>424</v>
      </c>
      <c r="B147" t="str" cm="1">
        <f t="array" ref="B147">_xlfn.CONCAT("LOC ",_xlfn._xlws.FILTER(t_FA[FA Name],t_FA[FA]=t_requirements[[#This Row],[FA]]))</f>
        <v>LOC Ticketing</v>
      </c>
      <c r="C147" t="s">
        <v>184</v>
      </c>
      <c r="D147" t="s">
        <v>245</v>
      </c>
      <c r="E147" t="s">
        <v>425</v>
      </c>
      <c r="F147" t="s">
        <v>200</v>
      </c>
      <c r="G147" t="s">
        <v>201</v>
      </c>
      <c r="H147" s="388">
        <v>2</v>
      </c>
      <c r="I147" s="396">
        <v>45950</v>
      </c>
      <c r="J147" s="396">
        <v>45989</v>
      </c>
      <c r="K147" t="s">
        <v>202</v>
      </c>
      <c r="L147" t="s">
        <v>430</v>
      </c>
      <c r="M147" t="s">
        <v>431</v>
      </c>
    </row>
    <row r="148" spans="1:13" hidden="1">
      <c r="A148" t="s">
        <v>424</v>
      </c>
      <c r="B148" t="str" cm="1">
        <f t="array" ref="B148">_xlfn.CONCAT("LOC ",_xlfn._xlws.FILTER(t_FA[FA Name],t_FA[FA]=t_requirements[[#This Row],[FA]]))</f>
        <v>LOC Ticketing</v>
      </c>
      <c r="C148" t="s">
        <v>184</v>
      </c>
      <c r="D148" t="s">
        <v>245</v>
      </c>
      <c r="E148" t="s">
        <v>425</v>
      </c>
      <c r="F148" t="s">
        <v>186</v>
      </c>
      <c r="G148" t="s">
        <v>190</v>
      </c>
      <c r="H148" s="388">
        <v>2</v>
      </c>
      <c r="I148" s="396">
        <v>45950</v>
      </c>
      <c r="J148" s="396">
        <v>45989</v>
      </c>
      <c r="K148" t="s">
        <v>191</v>
      </c>
      <c r="L148" t="s">
        <v>432</v>
      </c>
      <c r="M148" t="s">
        <v>433</v>
      </c>
    </row>
    <row r="149" spans="1:13" hidden="1">
      <c r="A149" t="s">
        <v>424</v>
      </c>
      <c r="B149" t="str" cm="1">
        <f t="array" ref="B149">_xlfn.CONCAT("LOC ",_xlfn._xlws.FILTER(t_FA[FA Name],t_FA[FA]=t_requirements[[#This Row],[FA]]))</f>
        <v>LOC Ticketing</v>
      </c>
      <c r="C149" t="s">
        <v>184</v>
      </c>
      <c r="D149" t="s">
        <v>245</v>
      </c>
      <c r="E149" t="s">
        <v>425</v>
      </c>
      <c r="F149" t="s">
        <v>210</v>
      </c>
      <c r="G149" t="s">
        <v>211</v>
      </c>
      <c r="H149" s="388">
        <v>0</v>
      </c>
      <c r="I149" s="396">
        <v>45950</v>
      </c>
      <c r="J149" s="396">
        <v>45989</v>
      </c>
      <c r="K149" t="s">
        <v>212</v>
      </c>
      <c r="L149" t="s">
        <v>434</v>
      </c>
      <c r="M149" t="s">
        <v>435</v>
      </c>
    </row>
    <row r="150" spans="1:13" hidden="1">
      <c r="A150" t="s">
        <v>424</v>
      </c>
      <c r="B150" t="str" cm="1">
        <f t="array" ref="B150">_xlfn.CONCAT("LOC ",_xlfn._xlws.FILTER(t_FA[FA Name],t_FA[FA]=t_requirements[[#This Row],[FA]]))</f>
        <v>LOC Ticketing</v>
      </c>
      <c r="C150" t="s">
        <v>184</v>
      </c>
      <c r="D150" t="s">
        <v>245</v>
      </c>
      <c r="E150" t="s">
        <v>436</v>
      </c>
      <c r="F150" t="s">
        <v>229</v>
      </c>
      <c r="G150" t="s">
        <v>230</v>
      </c>
      <c r="H150" s="388">
        <v>2</v>
      </c>
      <c r="I150" s="396">
        <v>45950</v>
      </c>
      <c r="J150" s="396">
        <v>45989</v>
      </c>
      <c r="K150" t="s">
        <v>231</v>
      </c>
      <c r="L150" t="s">
        <v>313</v>
      </c>
      <c r="M150" t="s">
        <v>437</v>
      </c>
    </row>
    <row r="151" spans="1:13" hidden="1">
      <c r="A151" t="s">
        <v>424</v>
      </c>
      <c r="B151" t="str" cm="1">
        <f t="array" ref="B151">_xlfn.CONCAT("LOC ",_xlfn._xlws.FILTER(t_FA[FA Name],t_FA[FA]=t_requirements[[#This Row],[FA]]))</f>
        <v>LOC Ticketing</v>
      </c>
      <c r="C151" t="s">
        <v>184</v>
      </c>
      <c r="D151" t="s">
        <v>245</v>
      </c>
      <c r="E151" t="s">
        <v>436</v>
      </c>
      <c r="F151" t="s">
        <v>186</v>
      </c>
      <c r="G151" t="s">
        <v>187</v>
      </c>
      <c r="H151" s="388">
        <v>15</v>
      </c>
      <c r="I151" s="396">
        <v>45950</v>
      </c>
      <c r="J151" s="396">
        <v>45989</v>
      </c>
      <c r="K151" t="s">
        <v>188</v>
      </c>
      <c r="L151" t="s">
        <v>438</v>
      </c>
      <c r="M151" t="s">
        <v>439</v>
      </c>
    </row>
    <row r="152" spans="1:13" hidden="1">
      <c r="A152" t="s">
        <v>424</v>
      </c>
      <c r="B152" t="str" cm="1">
        <f t="array" ref="B152">_xlfn.CONCAT("LOC ",_xlfn._xlws.FILTER(t_FA[FA Name],t_FA[FA]=t_requirements[[#This Row],[FA]]))</f>
        <v>LOC Ticketing</v>
      </c>
      <c r="C152" t="s">
        <v>184</v>
      </c>
      <c r="D152" t="s">
        <v>440</v>
      </c>
      <c r="E152" t="s">
        <v>441</v>
      </c>
      <c r="F152" t="s">
        <v>223</v>
      </c>
      <c r="G152" t="s">
        <v>414</v>
      </c>
      <c r="H152" s="388">
        <v>0</v>
      </c>
      <c r="I152" s="396">
        <v>45950</v>
      </c>
      <c r="J152" s="396">
        <v>45989</v>
      </c>
      <c r="K152" t="s">
        <v>415</v>
      </c>
      <c r="L152" t="s">
        <v>313</v>
      </c>
      <c r="M152" t="s">
        <v>442</v>
      </c>
    </row>
    <row r="153" spans="1:13" hidden="1">
      <c r="A153" t="s">
        <v>424</v>
      </c>
      <c r="B153" t="str" cm="1">
        <f t="array" ref="B153">_xlfn.CONCAT("LOC ",_xlfn._xlws.FILTER(t_FA[FA Name],t_FA[FA]=t_requirements[[#This Row],[FA]]))</f>
        <v>LOC Ticketing</v>
      </c>
      <c r="C153" t="s">
        <v>184</v>
      </c>
      <c r="D153" t="s">
        <v>440</v>
      </c>
      <c r="E153" t="s">
        <v>441</v>
      </c>
      <c r="F153" t="s">
        <v>229</v>
      </c>
      <c r="G153" t="s">
        <v>230</v>
      </c>
      <c r="H153" s="388">
        <v>0</v>
      </c>
      <c r="I153" s="396">
        <v>45950</v>
      </c>
      <c r="J153" s="396">
        <v>45989</v>
      </c>
      <c r="K153" t="s">
        <v>231</v>
      </c>
      <c r="L153" t="s">
        <v>313</v>
      </c>
      <c r="M153" t="s">
        <v>443</v>
      </c>
    </row>
    <row r="154" spans="1:13" hidden="1">
      <c r="A154" t="s">
        <v>424</v>
      </c>
      <c r="B154" t="str" cm="1">
        <f t="array" ref="B154">_xlfn.CONCAT("LOC ",_xlfn._xlws.FILTER(t_FA[FA Name],t_FA[FA]=t_requirements[[#This Row],[FA]]))</f>
        <v>LOC Ticketing</v>
      </c>
      <c r="C154" t="s">
        <v>184</v>
      </c>
      <c r="D154" t="s">
        <v>440</v>
      </c>
      <c r="E154" t="s">
        <v>441</v>
      </c>
      <c r="F154" t="s">
        <v>186</v>
      </c>
      <c r="G154" t="s">
        <v>190</v>
      </c>
      <c r="H154" s="388">
        <v>0</v>
      </c>
      <c r="I154" s="396">
        <v>45950</v>
      </c>
      <c r="J154" s="396">
        <v>45989</v>
      </c>
      <c r="K154" t="s">
        <v>191</v>
      </c>
      <c r="L154" t="s">
        <v>313</v>
      </c>
      <c r="M154" t="s">
        <v>444</v>
      </c>
    </row>
    <row r="155" spans="1:13" hidden="1">
      <c r="A155" t="s">
        <v>424</v>
      </c>
      <c r="B155" t="str" cm="1">
        <f t="array" ref="B155">_xlfn.CONCAT("LOC ",_xlfn._xlws.FILTER(t_FA[FA Name],t_FA[FA]=t_requirements[[#This Row],[FA]]))</f>
        <v>LOC Ticketing</v>
      </c>
      <c r="C155" t="s">
        <v>184</v>
      </c>
      <c r="D155" t="s">
        <v>440</v>
      </c>
      <c r="E155" t="s">
        <v>441</v>
      </c>
      <c r="F155" t="s">
        <v>210</v>
      </c>
      <c r="G155" t="s">
        <v>211</v>
      </c>
      <c r="H155" s="388">
        <v>0</v>
      </c>
      <c r="I155" s="396">
        <v>45950</v>
      </c>
      <c r="J155" s="396">
        <v>45989</v>
      </c>
      <c r="K155" t="s">
        <v>212</v>
      </c>
      <c r="L155" t="s">
        <v>313</v>
      </c>
      <c r="M155" t="s">
        <v>445</v>
      </c>
    </row>
    <row r="156" spans="1:13" hidden="1">
      <c r="A156" t="s">
        <v>424</v>
      </c>
      <c r="B156" t="str" cm="1">
        <f t="array" ref="B156">_xlfn.CONCAT("LOC ",_xlfn._xlws.FILTER(t_FA[FA Name],t_FA[FA]=t_requirements[[#This Row],[FA]]))</f>
        <v>LOC Ticketing</v>
      </c>
      <c r="C156" t="s">
        <v>184</v>
      </c>
      <c r="D156" t="s">
        <v>440</v>
      </c>
      <c r="E156" t="s">
        <v>446</v>
      </c>
      <c r="F156" t="s">
        <v>229</v>
      </c>
      <c r="G156" t="s">
        <v>230</v>
      </c>
      <c r="H156" s="388">
        <v>8</v>
      </c>
      <c r="I156" s="396">
        <v>45950</v>
      </c>
      <c r="J156" s="396">
        <v>45989</v>
      </c>
      <c r="K156" t="s">
        <v>231</v>
      </c>
      <c r="L156" t="s">
        <v>447</v>
      </c>
      <c r="M156" t="s">
        <v>448</v>
      </c>
    </row>
    <row r="157" spans="1:13" hidden="1">
      <c r="A157" t="s">
        <v>424</v>
      </c>
      <c r="B157" t="str" cm="1">
        <f t="array" ref="B157">_xlfn.CONCAT("LOC ",_xlfn._xlws.FILTER(t_FA[FA Name],t_FA[FA]=t_requirements[[#This Row],[FA]]))</f>
        <v>LOC Ticketing</v>
      </c>
      <c r="C157" t="s">
        <v>184</v>
      </c>
      <c r="D157" t="s">
        <v>440</v>
      </c>
      <c r="E157" t="s">
        <v>446</v>
      </c>
      <c r="F157" t="s">
        <v>186</v>
      </c>
      <c r="G157" t="s">
        <v>187</v>
      </c>
      <c r="H157" s="423">
        <v>10</v>
      </c>
      <c r="I157" s="396">
        <v>45950</v>
      </c>
      <c r="J157" s="396">
        <v>45989</v>
      </c>
      <c r="K157" t="s">
        <v>188</v>
      </c>
      <c r="L157" t="s">
        <v>449</v>
      </c>
      <c r="M157" t="s">
        <v>450</v>
      </c>
    </row>
    <row r="158" spans="1:13" hidden="1">
      <c r="A158" t="s">
        <v>424</v>
      </c>
      <c r="B158" t="str" cm="1">
        <f t="array" ref="B158">_xlfn.CONCAT("LOC ",_xlfn._xlws.FILTER(t_FA[FA Name],t_FA[FA]=t_requirements[[#This Row],[FA]]))</f>
        <v>LOC Ticketing</v>
      </c>
      <c r="C158" t="s">
        <v>184</v>
      </c>
      <c r="D158" t="s">
        <v>185</v>
      </c>
      <c r="E158" t="s">
        <v>451</v>
      </c>
      <c r="F158" t="s">
        <v>229</v>
      </c>
      <c r="G158" t="s">
        <v>230</v>
      </c>
      <c r="H158" s="388">
        <v>0</v>
      </c>
      <c r="I158" s="396">
        <v>45945</v>
      </c>
      <c r="J158" s="396">
        <v>45989</v>
      </c>
      <c r="K158" t="s">
        <v>231</v>
      </c>
      <c r="L158" t="s">
        <v>313</v>
      </c>
      <c r="M158" t="s">
        <v>452</v>
      </c>
    </row>
    <row r="159" spans="1:13" hidden="1">
      <c r="A159" t="s">
        <v>424</v>
      </c>
      <c r="B159" t="str" cm="1">
        <f t="array" ref="B159">_xlfn.CONCAT("LOC ",_xlfn._xlws.FILTER(t_FA[FA Name],t_FA[FA]=t_requirements[[#This Row],[FA]]))</f>
        <v>LOC Ticketing</v>
      </c>
      <c r="C159" t="s">
        <v>184</v>
      </c>
      <c r="D159" t="s">
        <v>185</v>
      </c>
      <c r="E159" t="s">
        <v>451</v>
      </c>
      <c r="F159" t="s">
        <v>223</v>
      </c>
      <c r="G159" t="s">
        <v>414</v>
      </c>
      <c r="H159" s="388">
        <v>0</v>
      </c>
      <c r="I159" s="396">
        <v>45945</v>
      </c>
      <c r="J159" s="396">
        <v>45989</v>
      </c>
      <c r="K159" t="s">
        <v>415</v>
      </c>
      <c r="L159" t="s">
        <v>313</v>
      </c>
      <c r="M159" t="s">
        <v>453</v>
      </c>
    </row>
    <row r="160" spans="1:13" hidden="1">
      <c r="A160" t="s">
        <v>424</v>
      </c>
      <c r="B160" t="str" cm="1">
        <f t="array" ref="B160">_xlfn.CONCAT("LOC ",_xlfn._xlws.FILTER(t_FA[FA Name],t_FA[FA]=t_requirements[[#This Row],[FA]]))</f>
        <v>LOC Ticketing</v>
      </c>
      <c r="C160" t="s">
        <v>184</v>
      </c>
      <c r="D160" t="s">
        <v>185</v>
      </c>
      <c r="E160" t="s">
        <v>451</v>
      </c>
      <c r="F160" t="s">
        <v>200</v>
      </c>
      <c r="G160" t="s">
        <v>206</v>
      </c>
      <c r="H160" s="388">
        <v>0</v>
      </c>
      <c r="I160" s="396">
        <v>45945</v>
      </c>
      <c r="J160" s="396">
        <v>45989</v>
      </c>
      <c r="K160" t="s">
        <v>207</v>
      </c>
      <c r="L160" t="s">
        <v>313</v>
      </c>
      <c r="M160" t="s">
        <v>454</v>
      </c>
    </row>
    <row r="161" spans="1:13" hidden="1">
      <c r="A161" t="s">
        <v>424</v>
      </c>
      <c r="B161" t="str" cm="1">
        <f t="array" ref="B161">_xlfn.CONCAT("LOC ",_xlfn._xlws.FILTER(t_FA[FA Name],t_FA[FA]=t_requirements[[#This Row],[FA]]))</f>
        <v>LOC Ticketing</v>
      </c>
      <c r="C161" t="s">
        <v>184</v>
      </c>
      <c r="D161" t="s">
        <v>185</v>
      </c>
      <c r="E161" t="s">
        <v>451</v>
      </c>
      <c r="F161" t="s">
        <v>247</v>
      </c>
      <c r="G161" t="s">
        <v>248</v>
      </c>
      <c r="H161" s="388">
        <v>0</v>
      </c>
      <c r="I161" s="396">
        <v>45945</v>
      </c>
      <c r="J161" s="396">
        <v>45989</v>
      </c>
      <c r="K161" t="s">
        <v>249</v>
      </c>
      <c r="L161" t="s">
        <v>313</v>
      </c>
      <c r="M161" t="s">
        <v>455</v>
      </c>
    </row>
    <row r="162" spans="1:13" hidden="1">
      <c r="A162" t="s">
        <v>424</v>
      </c>
      <c r="B162" t="str" cm="1">
        <f t="array" ref="B162">_xlfn.CONCAT("LOC ",_xlfn._xlws.FILTER(t_FA[FA Name],t_FA[FA]=t_requirements[[#This Row],[FA]]))</f>
        <v>LOC Ticketing</v>
      </c>
      <c r="C162" t="s">
        <v>184</v>
      </c>
      <c r="D162" t="s">
        <v>185</v>
      </c>
      <c r="E162" t="s">
        <v>456</v>
      </c>
      <c r="F162" t="s">
        <v>223</v>
      </c>
      <c r="G162" t="s">
        <v>414</v>
      </c>
      <c r="H162" s="388">
        <v>0</v>
      </c>
      <c r="I162" s="396">
        <v>45945</v>
      </c>
      <c r="J162" s="396">
        <v>45989</v>
      </c>
      <c r="K162" t="s">
        <v>415</v>
      </c>
      <c r="L162" t="s">
        <v>313</v>
      </c>
      <c r="M162" t="s">
        <v>457</v>
      </c>
    </row>
    <row r="163" spans="1:13" hidden="1">
      <c r="A163" t="s">
        <v>424</v>
      </c>
      <c r="B163" t="str" cm="1">
        <f t="array" ref="B163">_xlfn.CONCAT("LOC ",_xlfn._xlws.FILTER(t_FA[FA Name],t_FA[FA]=t_requirements[[#This Row],[FA]]))</f>
        <v>LOC Ticketing</v>
      </c>
      <c r="C163" t="s">
        <v>184</v>
      </c>
      <c r="D163" t="s">
        <v>185</v>
      </c>
      <c r="E163" t="s">
        <v>456</v>
      </c>
      <c r="F163" t="s">
        <v>229</v>
      </c>
      <c r="G163" t="s">
        <v>230</v>
      </c>
      <c r="H163" s="388">
        <v>0</v>
      </c>
      <c r="I163" s="396">
        <v>45945</v>
      </c>
      <c r="J163" s="396">
        <v>45989</v>
      </c>
      <c r="K163" t="s">
        <v>231</v>
      </c>
      <c r="L163" t="s">
        <v>313</v>
      </c>
      <c r="M163" t="s">
        <v>458</v>
      </c>
    </row>
    <row r="164" spans="1:13" hidden="1">
      <c r="A164" t="s">
        <v>424</v>
      </c>
      <c r="B164" t="str" cm="1">
        <f t="array" ref="B164">_xlfn.CONCAT("LOC ",_xlfn._xlws.FILTER(t_FA[FA Name],t_FA[FA]=t_requirements[[#This Row],[FA]]))</f>
        <v>LOC Ticketing</v>
      </c>
      <c r="C164" t="s">
        <v>184</v>
      </c>
      <c r="D164" t="s">
        <v>185</v>
      </c>
      <c r="E164" t="s">
        <v>456</v>
      </c>
      <c r="F164" t="s">
        <v>200</v>
      </c>
      <c r="G164" t="s">
        <v>201</v>
      </c>
      <c r="H164" s="388">
        <v>0</v>
      </c>
      <c r="I164" s="396">
        <v>45945</v>
      </c>
      <c r="J164" s="396">
        <v>45989</v>
      </c>
      <c r="K164" t="s">
        <v>202</v>
      </c>
      <c r="L164" t="s">
        <v>313</v>
      </c>
      <c r="M164" t="s">
        <v>459</v>
      </c>
    </row>
    <row r="165" spans="1:13" hidden="1">
      <c r="A165" t="s">
        <v>424</v>
      </c>
      <c r="B165" t="str" cm="1">
        <f t="array" ref="B165">_xlfn.CONCAT("LOC ",_xlfn._xlws.FILTER(t_FA[FA Name],t_FA[FA]=t_requirements[[#This Row],[FA]]))</f>
        <v>LOC Ticketing</v>
      </c>
      <c r="C165" t="s">
        <v>184</v>
      </c>
      <c r="D165" t="s">
        <v>185</v>
      </c>
      <c r="E165" t="s">
        <v>460</v>
      </c>
      <c r="F165" t="s">
        <v>223</v>
      </c>
      <c r="G165" t="s">
        <v>414</v>
      </c>
      <c r="H165" s="388">
        <v>2</v>
      </c>
      <c r="I165" s="396">
        <v>45955</v>
      </c>
      <c r="J165" s="396">
        <v>45989</v>
      </c>
      <c r="K165" t="s">
        <v>415</v>
      </c>
      <c r="L165" t="s">
        <v>313</v>
      </c>
      <c r="M165" t="s">
        <v>461</v>
      </c>
    </row>
    <row r="166" spans="1:13" hidden="1">
      <c r="A166" t="s">
        <v>424</v>
      </c>
      <c r="B166" t="str" cm="1">
        <f t="array" ref="B166">_xlfn.CONCAT("LOC ",_xlfn._xlws.FILTER(t_FA[FA Name],t_FA[FA]=t_requirements[[#This Row],[FA]]))</f>
        <v>LOC Ticketing</v>
      </c>
      <c r="C166" t="s">
        <v>184</v>
      </c>
      <c r="D166" t="s">
        <v>185</v>
      </c>
      <c r="E166" t="s">
        <v>460</v>
      </c>
      <c r="F166" t="s">
        <v>210</v>
      </c>
      <c r="G166" t="s">
        <v>211</v>
      </c>
      <c r="H166" s="388">
        <v>2</v>
      </c>
      <c r="I166" s="396">
        <v>45955</v>
      </c>
      <c r="J166" s="396">
        <v>45989</v>
      </c>
      <c r="K166" t="s">
        <v>212</v>
      </c>
      <c r="L166" t="s">
        <v>313</v>
      </c>
      <c r="M166" t="s">
        <v>462</v>
      </c>
    </row>
    <row r="167" spans="1:13" hidden="1">
      <c r="A167" t="s">
        <v>424</v>
      </c>
      <c r="B167" t="str" cm="1">
        <f t="array" ref="B167">_xlfn.CONCAT("LOC ",_xlfn._xlws.FILTER(t_FA[FA Name],t_FA[FA]=t_requirements[[#This Row],[FA]]))</f>
        <v>LOC Ticketing</v>
      </c>
      <c r="C167" t="s">
        <v>184</v>
      </c>
      <c r="D167" t="s">
        <v>185</v>
      </c>
      <c r="E167" t="s">
        <v>460</v>
      </c>
      <c r="F167" t="s">
        <v>247</v>
      </c>
      <c r="G167" t="s">
        <v>248</v>
      </c>
      <c r="H167" s="388">
        <v>1</v>
      </c>
      <c r="I167" s="396">
        <v>45955</v>
      </c>
      <c r="J167" s="396">
        <v>45989</v>
      </c>
      <c r="K167" t="s">
        <v>249</v>
      </c>
      <c r="L167" t="s">
        <v>463</v>
      </c>
      <c r="M167" t="s">
        <v>464</v>
      </c>
    </row>
    <row r="168" spans="1:13" hidden="1">
      <c r="A168" t="s">
        <v>424</v>
      </c>
      <c r="B168" t="str" cm="1">
        <f t="array" ref="B168">_xlfn.CONCAT("LOC ",_xlfn._xlws.FILTER(t_FA[FA Name],t_FA[FA]=t_requirements[[#This Row],[FA]]))</f>
        <v>LOC Ticketing</v>
      </c>
      <c r="C168" t="s">
        <v>193</v>
      </c>
      <c r="D168" t="s">
        <v>253</v>
      </c>
      <c r="E168" t="s">
        <v>465</v>
      </c>
      <c r="F168" t="s">
        <v>223</v>
      </c>
      <c r="G168" t="s">
        <v>414</v>
      </c>
      <c r="H168" s="388">
        <v>30</v>
      </c>
      <c r="I168" s="396">
        <v>45976</v>
      </c>
      <c r="J168" s="396">
        <v>45989</v>
      </c>
      <c r="K168" t="s">
        <v>415</v>
      </c>
      <c r="L168" t="s">
        <v>313</v>
      </c>
      <c r="M168" t="s">
        <v>466</v>
      </c>
    </row>
    <row r="169" spans="1:13" hidden="1">
      <c r="A169" t="s">
        <v>424</v>
      </c>
      <c r="B169" t="str" cm="1">
        <f t="array" ref="B169">_xlfn.CONCAT("LOC ",_xlfn._xlws.FILTER(t_FA[FA Name],t_FA[FA]=t_requirements[[#This Row],[FA]]))</f>
        <v>LOC Ticketing</v>
      </c>
      <c r="C169" t="s">
        <v>193</v>
      </c>
      <c r="D169" t="s">
        <v>253</v>
      </c>
      <c r="E169" t="s">
        <v>465</v>
      </c>
      <c r="F169" t="s">
        <v>229</v>
      </c>
      <c r="G169" t="s">
        <v>230</v>
      </c>
      <c r="H169" s="388">
        <v>6</v>
      </c>
      <c r="I169" s="396">
        <v>45976</v>
      </c>
      <c r="J169" s="396">
        <v>45989</v>
      </c>
      <c r="K169" t="s">
        <v>231</v>
      </c>
      <c r="L169" t="s">
        <v>313</v>
      </c>
      <c r="M169" t="s">
        <v>467</v>
      </c>
    </row>
    <row r="170" spans="1:13" hidden="1">
      <c r="A170" t="s">
        <v>424</v>
      </c>
      <c r="B170" t="str" cm="1">
        <f t="array" ref="B170">_xlfn.CONCAT("LOC ",_xlfn._xlws.FILTER(t_FA[FA Name],t_FA[FA]=t_requirements[[#This Row],[FA]]))</f>
        <v>LOC Ticketing</v>
      </c>
      <c r="C170" t="s">
        <v>193</v>
      </c>
      <c r="D170" t="s">
        <v>253</v>
      </c>
      <c r="E170" t="s">
        <v>465</v>
      </c>
      <c r="F170" t="s">
        <v>200</v>
      </c>
      <c r="G170" t="s">
        <v>201</v>
      </c>
      <c r="H170" s="388">
        <v>6</v>
      </c>
      <c r="I170" s="396">
        <v>45976</v>
      </c>
      <c r="J170" s="396">
        <v>45989</v>
      </c>
      <c r="K170" t="s">
        <v>202</v>
      </c>
      <c r="L170" t="s">
        <v>313</v>
      </c>
      <c r="M170" t="s">
        <v>468</v>
      </c>
    </row>
    <row r="171" spans="1:13" hidden="1">
      <c r="A171" t="s">
        <v>424</v>
      </c>
      <c r="B171" t="str" cm="1">
        <f t="array" ref="B171">_xlfn.CONCAT("LOC ",_xlfn._xlws.FILTER(t_FA[FA Name],t_FA[FA]=t_requirements[[#This Row],[FA]]))</f>
        <v>LOC Ticketing</v>
      </c>
      <c r="C171" t="s">
        <v>193</v>
      </c>
      <c r="D171" t="s">
        <v>253</v>
      </c>
      <c r="E171" t="s">
        <v>465</v>
      </c>
      <c r="F171" t="s">
        <v>186</v>
      </c>
      <c r="G171" t="s">
        <v>190</v>
      </c>
      <c r="H171" s="388">
        <v>6</v>
      </c>
      <c r="I171" s="396">
        <v>45976</v>
      </c>
      <c r="J171" s="396">
        <v>45989</v>
      </c>
      <c r="K171" t="s">
        <v>191</v>
      </c>
      <c r="L171" t="s">
        <v>313</v>
      </c>
      <c r="M171" t="s">
        <v>469</v>
      </c>
    </row>
    <row r="172" spans="1:13" hidden="1">
      <c r="A172" t="s">
        <v>424</v>
      </c>
      <c r="B172" t="str" cm="1">
        <f t="array" ref="B172">_xlfn.CONCAT("LOC ",_xlfn._xlws.FILTER(t_FA[FA Name],t_FA[FA]=t_requirements[[#This Row],[FA]]))</f>
        <v>LOC Ticketing</v>
      </c>
      <c r="C172" t="s">
        <v>193</v>
      </c>
      <c r="D172" t="s">
        <v>253</v>
      </c>
      <c r="E172" t="s">
        <v>465</v>
      </c>
      <c r="F172" t="s">
        <v>210</v>
      </c>
      <c r="G172" t="s">
        <v>211</v>
      </c>
      <c r="H172" s="388">
        <v>0</v>
      </c>
      <c r="I172" s="396">
        <v>45976</v>
      </c>
      <c r="J172" s="396">
        <v>45989</v>
      </c>
      <c r="K172" t="s">
        <v>212</v>
      </c>
      <c r="L172" t="s">
        <v>313</v>
      </c>
      <c r="M172" t="s">
        <v>470</v>
      </c>
    </row>
    <row r="173" spans="1:13" hidden="1">
      <c r="A173" t="s">
        <v>424</v>
      </c>
      <c r="B173" t="str" cm="1">
        <f t="array" ref="B173">_xlfn.CONCAT("LOC ",_xlfn._xlws.FILTER(t_FA[FA Name],t_FA[FA]=t_requirements[[#This Row],[FA]]))</f>
        <v>LOC Ticketing</v>
      </c>
      <c r="C173" t="s">
        <v>193</v>
      </c>
      <c r="D173" t="s">
        <v>253</v>
      </c>
      <c r="E173" t="s">
        <v>471</v>
      </c>
      <c r="F173" t="s">
        <v>229</v>
      </c>
      <c r="G173" t="s">
        <v>230</v>
      </c>
      <c r="H173" s="388">
        <v>6</v>
      </c>
      <c r="I173" s="396">
        <v>45976</v>
      </c>
      <c r="J173" s="396">
        <v>45989</v>
      </c>
      <c r="K173" t="s">
        <v>231</v>
      </c>
      <c r="L173" t="s">
        <v>313</v>
      </c>
      <c r="M173" t="s">
        <v>472</v>
      </c>
    </row>
    <row r="174" spans="1:13" hidden="1">
      <c r="A174" t="s">
        <v>424</v>
      </c>
      <c r="B174" t="str" cm="1">
        <f t="array" ref="B174">_xlfn.CONCAT("LOC ",_xlfn._xlws.FILTER(t_FA[FA Name],t_FA[FA]=t_requirements[[#This Row],[FA]]))</f>
        <v>LOC Ticketing</v>
      </c>
      <c r="C174" t="s">
        <v>193</v>
      </c>
      <c r="D174" t="s">
        <v>253</v>
      </c>
      <c r="E174" t="s">
        <v>471</v>
      </c>
      <c r="F174" t="s">
        <v>186</v>
      </c>
      <c r="G174" t="s">
        <v>187</v>
      </c>
      <c r="H174" s="388">
        <v>100</v>
      </c>
      <c r="I174" s="396">
        <v>45976</v>
      </c>
      <c r="J174" s="396">
        <v>45989</v>
      </c>
      <c r="K174" t="s">
        <v>188</v>
      </c>
      <c r="L174" t="s">
        <v>313</v>
      </c>
      <c r="M174" t="s">
        <v>473</v>
      </c>
    </row>
    <row r="175" spans="1:13" hidden="1">
      <c r="A175" t="s">
        <v>424</v>
      </c>
      <c r="B175" t="str" cm="1">
        <f t="array" ref="B175">_xlfn.CONCAT("LOC ",_xlfn._xlws.FILTER(t_FA[FA Name],t_FA[FA]=t_requirements[[#This Row],[FA]]))</f>
        <v>LOC Ticketing</v>
      </c>
      <c r="C175" t="s">
        <v>193</v>
      </c>
      <c r="D175" t="s">
        <v>295</v>
      </c>
      <c r="E175" t="s">
        <v>474</v>
      </c>
      <c r="F175" t="s">
        <v>223</v>
      </c>
      <c r="G175" t="s">
        <v>414</v>
      </c>
      <c r="H175" s="388">
        <v>8</v>
      </c>
      <c r="I175" s="396">
        <v>45976</v>
      </c>
      <c r="J175" s="396">
        <v>45989</v>
      </c>
      <c r="K175" t="s">
        <v>415</v>
      </c>
      <c r="L175" t="s">
        <v>313</v>
      </c>
      <c r="M175" t="s">
        <v>475</v>
      </c>
    </row>
    <row r="176" spans="1:13" hidden="1">
      <c r="A176" t="s">
        <v>424</v>
      </c>
      <c r="B176" t="str" cm="1">
        <f t="array" ref="B176">_xlfn.CONCAT("LOC ",_xlfn._xlws.FILTER(t_FA[FA Name],t_FA[FA]=t_requirements[[#This Row],[FA]]))</f>
        <v>LOC Ticketing</v>
      </c>
      <c r="C176" t="s">
        <v>193</v>
      </c>
      <c r="D176" t="s">
        <v>295</v>
      </c>
      <c r="E176" t="s">
        <v>474</v>
      </c>
      <c r="F176" t="s">
        <v>229</v>
      </c>
      <c r="G176" t="s">
        <v>230</v>
      </c>
      <c r="H176" s="388">
        <v>4</v>
      </c>
      <c r="I176" s="396">
        <v>45976</v>
      </c>
      <c r="J176" s="396">
        <v>45989</v>
      </c>
      <c r="K176" t="s">
        <v>231</v>
      </c>
      <c r="L176" t="s">
        <v>313</v>
      </c>
      <c r="M176" t="s">
        <v>476</v>
      </c>
    </row>
    <row r="177" spans="1:13" hidden="1">
      <c r="A177" t="s">
        <v>424</v>
      </c>
      <c r="B177" t="str" cm="1">
        <f t="array" ref="B177">_xlfn.CONCAT("LOC ",_xlfn._xlws.FILTER(t_FA[FA Name],t_FA[FA]=t_requirements[[#This Row],[FA]]))</f>
        <v>LOC Ticketing</v>
      </c>
      <c r="C177" t="s">
        <v>193</v>
      </c>
      <c r="D177" t="s">
        <v>295</v>
      </c>
      <c r="E177" t="s">
        <v>474</v>
      </c>
      <c r="F177" t="s">
        <v>186</v>
      </c>
      <c r="G177" t="s">
        <v>190</v>
      </c>
      <c r="H177" s="388">
        <v>4</v>
      </c>
      <c r="I177" s="396">
        <v>45976</v>
      </c>
      <c r="J177" s="396">
        <v>45989</v>
      </c>
      <c r="K177" t="s">
        <v>191</v>
      </c>
      <c r="L177" t="s">
        <v>313</v>
      </c>
      <c r="M177" t="s">
        <v>477</v>
      </c>
    </row>
    <row r="178" spans="1:13" hidden="1">
      <c r="A178" t="s">
        <v>424</v>
      </c>
      <c r="B178" t="str" cm="1">
        <f t="array" ref="B178">_xlfn.CONCAT("LOC ",_xlfn._xlws.FILTER(t_FA[FA Name],t_FA[FA]=t_requirements[[#This Row],[FA]]))</f>
        <v>LOC Ticketing</v>
      </c>
      <c r="C178" t="s">
        <v>193</v>
      </c>
      <c r="D178" t="s">
        <v>295</v>
      </c>
      <c r="E178" t="s">
        <v>474</v>
      </c>
      <c r="F178" t="s">
        <v>210</v>
      </c>
      <c r="G178" t="s">
        <v>211</v>
      </c>
      <c r="H178" s="388">
        <v>0</v>
      </c>
      <c r="I178" s="396">
        <v>45976</v>
      </c>
      <c r="J178" s="396">
        <v>45989</v>
      </c>
      <c r="K178" t="s">
        <v>212</v>
      </c>
      <c r="L178" t="s">
        <v>313</v>
      </c>
      <c r="M178" t="s">
        <v>445</v>
      </c>
    </row>
    <row r="179" spans="1:13" hidden="1">
      <c r="A179" t="s">
        <v>424</v>
      </c>
      <c r="B179" t="str" cm="1">
        <f t="array" ref="B179">_xlfn.CONCAT("LOC ",_xlfn._xlws.FILTER(t_FA[FA Name],t_FA[FA]=t_requirements[[#This Row],[FA]]))</f>
        <v>LOC Ticketing</v>
      </c>
      <c r="C179" t="s">
        <v>193</v>
      </c>
      <c r="D179" t="s">
        <v>295</v>
      </c>
      <c r="E179" t="s">
        <v>478</v>
      </c>
      <c r="F179" t="s">
        <v>229</v>
      </c>
      <c r="G179" t="s">
        <v>230</v>
      </c>
      <c r="H179" s="388">
        <v>1</v>
      </c>
      <c r="I179" s="396">
        <v>45976</v>
      </c>
      <c r="J179" s="396">
        <v>45989</v>
      </c>
      <c r="K179" t="s">
        <v>231</v>
      </c>
      <c r="L179" t="s">
        <v>313</v>
      </c>
      <c r="M179" t="s">
        <v>479</v>
      </c>
    </row>
    <row r="180" spans="1:13" hidden="1">
      <c r="A180" t="s">
        <v>424</v>
      </c>
      <c r="B180" t="str" cm="1">
        <f t="array" ref="B180">_xlfn.CONCAT("LOC ",_xlfn._xlws.FILTER(t_FA[FA Name],t_FA[FA]=t_requirements[[#This Row],[FA]]))</f>
        <v>LOC Ticketing</v>
      </c>
      <c r="C180" t="s">
        <v>193</v>
      </c>
      <c r="D180" t="s">
        <v>299</v>
      </c>
      <c r="E180" t="s">
        <v>451</v>
      </c>
      <c r="F180" t="s">
        <v>229</v>
      </c>
      <c r="G180" t="s">
        <v>230</v>
      </c>
      <c r="H180" s="388">
        <v>1</v>
      </c>
      <c r="I180" s="396">
        <v>45976</v>
      </c>
      <c r="J180" s="396">
        <v>45989</v>
      </c>
      <c r="K180" t="s">
        <v>231</v>
      </c>
      <c r="L180" t="s">
        <v>313</v>
      </c>
      <c r="M180" t="s">
        <v>452</v>
      </c>
    </row>
    <row r="181" spans="1:13" hidden="1">
      <c r="A181" t="s">
        <v>424</v>
      </c>
      <c r="B181" t="str" cm="1">
        <f t="array" ref="B181">_xlfn.CONCAT("LOC ",_xlfn._xlws.FILTER(t_FA[FA Name],t_FA[FA]=t_requirements[[#This Row],[FA]]))</f>
        <v>LOC Ticketing</v>
      </c>
      <c r="C181" t="s">
        <v>193</v>
      </c>
      <c r="D181" t="s">
        <v>299</v>
      </c>
      <c r="E181" t="s">
        <v>451</v>
      </c>
      <c r="F181" t="s">
        <v>223</v>
      </c>
      <c r="G181" t="s">
        <v>414</v>
      </c>
      <c r="H181" s="388">
        <v>6</v>
      </c>
      <c r="I181" s="396">
        <v>45971</v>
      </c>
      <c r="J181" s="396">
        <v>45989</v>
      </c>
      <c r="K181" t="s">
        <v>415</v>
      </c>
      <c r="L181" t="s">
        <v>313</v>
      </c>
      <c r="M181" t="s">
        <v>453</v>
      </c>
    </row>
    <row r="182" spans="1:13" hidden="1">
      <c r="A182" t="s">
        <v>424</v>
      </c>
      <c r="B182" t="str" cm="1">
        <f t="array" ref="B182">_xlfn.CONCAT("LOC ",_xlfn._xlws.FILTER(t_FA[FA Name],t_FA[FA]=t_requirements[[#This Row],[FA]]))</f>
        <v>LOC Ticketing</v>
      </c>
      <c r="C182" t="s">
        <v>193</v>
      </c>
      <c r="D182" t="s">
        <v>299</v>
      </c>
      <c r="E182" t="s">
        <v>451</v>
      </c>
      <c r="F182" t="s">
        <v>200</v>
      </c>
      <c r="G182" t="s">
        <v>206</v>
      </c>
      <c r="H182" s="388">
        <v>1</v>
      </c>
      <c r="I182" s="396">
        <v>45971</v>
      </c>
      <c r="J182" s="396">
        <v>45989</v>
      </c>
      <c r="K182" t="s">
        <v>207</v>
      </c>
      <c r="L182" t="s">
        <v>313</v>
      </c>
      <c r="M182" t="s">
        <v>454</v>
      </c>
    </row>
    <row r="183" spans="1:13" hidden="1">
      <c r="A183" t="s">
        <v>424</v>
      </c>
      <c r="B183" t="str" cm="1">
        <f t="array" ref="B183">_xlfn.CONCAT("LOC ",_xlfn._xlws.FILTER(t_FA[FA Name],t_FA[FA]=t_requirements[[#This Row],[FA]]))</f>
        <v>LOC Ticketing</v>
      </c>
      <c r="C183" t="s">
        <v>193</v>
      </c>
      <c r="D183" t="s">
        <v>299</v>
      </c>
      <c r="E183" t="s">
        <v>451</v>
      </c>
      <c r="F183" t="s">
        <v>247</v>
      </c>
      <c r="G183" t="s">
        <v>248</v>
      </c>
      <c r="H183" s="388">
        <v>1</v>
      </c>
      <c r="I183" s="396">
        <v>45971</v>
      </c>
      <c r="J183" s="396">
        <v>45989</v>
      </c>
      <c r="K183" t="s">
        <v>249</v>
      </c>
      <c r="L183" t="s">
        <v>313</v>
      </c>
      <c r="M183" t="s">
        <v>455</v>
      </c>
    </row>
    <row r="184" spans="1:13" hidden="1">
      <c r="A184" t="s">
        <v>424</v>
      </c>
      <c r="B184" t="str" cm="1">
        <f t="array" ref="B184">_xlfn.CONCAT("LOC ",_xlfn._xlws.FILTER(t_FA[FA Name],t_FA[FA]=t_requirements[[#This Row],[FA]]))</f>
        <v>LOC Ticketing</v>
      </c>
      <c r="C184" t="s">
        <v>193</v>
      </c>
      <c r="D184" t="s">
        <v>299</v>
      </c>
      <c r="E184" t="s">
        <v>456</v>
      </c>
      <c r="F184" t="s">
        <v>223</v>
      </c>
      <c r="G184" t="s">
        <v>414</v>
      </c>
      <c r="H184" s="388">
        <v>3</v>
      </c>
      <c r="I184" s="396">
        <v>45976</v>
      </c>
      <c r="J184" s="396">
        <v>45989</v>
      </c>
      <c r="K184" t="s">
        <v>415</v>
      </c>
      <c r="L184" t="s">
        <v>313</v>
      </c>
      <c r="M184" t="s">
        <v>480</v>
      </c>
    </row>
    <row r="185" spans="1:13" hidden="1">
      <c r="A185" t="s">
        <v>424</v>
      </c>
      <c r="B185" t="str" cm="1">
        <f t="array" ref="B185">_xlfn.CONCAT("LOC ",_xlfn._xlws.FILTER(t_FA[FA Name],t_FA[FA]=t_requirements[[#This Row],[FA]]))</f>
        <v>LOC Ticketing</v>
      </c>
      <c r="C185" t="s">
        <v>193</v>
      </c>
      <c r="D185" t="s">
        <v>299</v>
      </c>
      <c r="E185" t="s">
        <v>456</v>
      </c>
      <c r="F185" t="s">
        <v>229</v>
      </c>
      <c r="G185" t="s">
        <v>230</v>
      </c>
      <c r="H185" s="388">
        <v>1</v>
      </c>
      <c r="I185" s="396">
        <v>45976</v>
      </c>
      <c r="J185" s="396">
        <v>45989</v>
      </c>
      <c r="K185" t="s">
        <v>231</v>
      </c>
      <c r="L185" t="s">
        <v>313</v>
      </c>
      <c r="M185" t="s">
        <v>481</v>
      </c>
    </row>
    <row r="186" spans="1:13" hidden="1">
      <c r="A186" t="s">
        <v>424</v>
      </c>
      <c r="B186" t="str" cm="1">
        <f t="array" ref="B186">_xlfn.CONCAT("LOC ",_xlfn._xlws.FILTER(t_FA[FA Name],t_FA[FA]=t_requirements[[#This Row],[FA]]))</f>
        <v>LOC Ticketing</v>
      </c>
      <c r="C186" t="s">
        <v>193</v>
      </c>
      <c r="D186" t="s">
        <v>299</v>
      </c>
      <c r="E186" t="s">
        <v>456</v>
      </c>
      <c r="F186" t="s">
        <v>200</v>
      </c>
      <c r="G186" t="s">
        <v>201</v>
      </c>
      <c r="H186" s="388">
        <v>1</v>
      </c>
      <c r="I186" s="396">
        <v>45976</v>
      </c>
      <c r="J186" s="396">
        <v>45989</v>
      </c>
      <c r="K186" t="s">
        <v>202</v>
      </c>
      <c r="L186" t="s">
        <v>313</v>
      </c>
      <c r="M186" t="s">
        <v>482</v>
      </c>
    </row>
    <row r="187" spans="1:13" hidden="1">
      <c r="A187" t="s">
        <v>424</v>
      </c>
      <c r="B187" t="str" cm="1">
        <f t="array" ref="B187">_xlfn.CONCAT("LOC ",_xlfn._xlws.FILTER(t_FA[FA Name],t_FA[FA]=t_requirements[[#This Row],[FA]]))</f>
        <v>LOC Ticketing</v>
      </c>
      <c r="C187" t="s">
        <v>193</v>
      </c>
      <c r="D187" t="s">
        <v>299</v>
      </c>
      <c r="E187" t="s">
        <v>460</v>
      </c>
      <c r="F187" t="s">
        <v>223</v>
      </c>
      <c r="G187" t="s">
        <v>414</v>
      </c>
      <c r="H187" s="388">
        <v>2</v>
      </c>
      <c r="I187" s="396">
        <v>45981</v>
      </c>
      <c r="J187" s="396">
        <v>45989</v>
      </c>
      <c r="K187" t="s">
        <v>415</v>
      </c>
      <c r="L187" t="s">
        <v>313</v>
      </c>
      <c r="M187" t="s">
        <v>461</v>
      </c>
    </row>
    <row r="188" spans="1:13" hidden="1">
      <c r="A188" t="s">
        <v>424</v>
      </c>
      <c r="B188" t="str" cm="1">
        <f t="array" ref="B188">_xlfn.CONCAT("LOC ",_xlfn._xlws.FILTER(t_FA[FA Name],t_FA[FA]=t_requirements[[#This Row],[FA]]))</f>
        <v>LOC Ticketing</v>
      </c>
      <c r="C188" t="s">
        <v>193</v>
      </c>
      <c r="D188" t="s">
        <v>299</v>
      </c>
      <c r="E188" t="s">
        <v>460</v>
      </c>
      <c r="F188" t="s">
        <v>210</v>
      </c>
      <c r="G188" t="s">
        <v>211</v>
      </c>
      <c r="H188" s="388">
        <v>2</v>
      </c>
      <c r="I188" s="396">
        <v>45981</v>
      </c>
      <c r="J188" s="396">
        <v>45989</v>
      </c>
      <c r="K188" t="s">
        <v>212</v>
      </c>
      <c r="L188" t="s">
        <v>313</v>
      </c>
      <c r="M188" t="s">
        <v>462</v>
      </c>
    </row>
    <row r="189" spans="1:13" hidden="1">
      <c r="A189" t="s">
        <v>424</v>
      </c>
      <c r="B189" t="str" cm="1">
        <f t="array" ref="B189">_xlfn.CONCAT("LOC ",_xlfn._xlws.FILTER(t_FA[FA Name],t_FA[FA]=t_requirements[[#This Row],[FA]]))</f>
        <v>LOC Ticketing</v>
      </c>
      <c r="C189" t="s">
        <v>193</v>
      </c>
      <c r="D189" t="s">
        <v>299</v>
      </c>
      <c r="E189" t="s">
        <v>460</v>
      </c>
      <c r="F189" t="s">
        <v>247</v>
      </c>
      <c r="G189" t="s">
        <v>248</v>
      </c>
      <c r="H189" s="388">
        <v>1</v>
      </c>
      <c r="I189" s="396">
        <v>45981</v>
      </c>
      <c r="J189" s="396">
        <v>45989</v>
      </c>
      <c r="K189" t="s">
        <v>249</v>
      </c>
      <c r="L189" t="s">
        <v>313</v>
      </c>
      <c r="M189" t="s">
        <v>464</v>
      </c>
    </row>
    <row r="190" spans="1:13" hidden="1">
      <c r="A190" t="s">
        <v>424</v>
      </c>
      <c r="B190" t="str" cm="1">
        <f t="array" ref="B190">_xlfn.CONCAT("LOC ",_xlfn._xlws.FILTER(t_FA[FA Name],t_FA[FA]=t_requirements[[#This Row],[FA]]))</f>
        <v>LOC Ticketing</v>
      </c>
      <c r="C190" t="s">
        <v>197</v>
      </c>
      <c r="D190" t="s">
        <v>185</v>
      </c>
      <c r="E190" t="s">
        <v>483</v>
      </c>
      <c r="F190" t="s">
        <v>247</v>
      </c>
      <c r="G190" t="s">
        <v>248</v>
      </c>
      <c r="H190" s="388">
        <v>0</v>
      </c>
      <c r="I190" s="396">
        <v>45915</v>
      </c>
      <c r="J190" s="396">
        <v>45989</v>
      </c>
      <c r="K190" t="s">
        <v>249</v>
      </c>
      <c r="L190" t="s">
        <v>484</v>
      </c>
      <c r="M190" t="s">
        <v>485</v>
      </c>
    </row>
    <row r="191" spans="1:13" hidden="1">
      <c r="A191" t="s">
        <v>424</v>
      </c>
      <c r="B191" t="str" cm="1">
        <f t="array" ref="B191">_xlfn.CONCAT("LOC ",_xlfn._xlws.FILTER(t_FA[FA Name],t_FA[FA]=t_requirements[[#This Row],[FA]]))</f>
        <v>LOC Ticketing</v>
      </c>
      <c r="C191" t="s">
        <v>197</v>
      </c>
      <c r="D191" t="s">
        <v>185</v>
      </c>
      <c r="E191" t="s">
        <v>483</v>
      </c>
      <c r="F191" t="s">
        <v>210</v>
      </c>
      <c r="G191" t="s">
        <v>211</v>
      </c>
      <c r="H191" s="388">
        <v>0</v>
      </c>
      <c r="I191" s="396">
        <v>45915</v>
      </c>
      <c r="J191" s="396">
        <v>45989</v>
      </c>
      <c r="K191" t="s">
        <v>212</v>
      </c>
      <c r="L191" t="s">
        <v>486</v>
      </c>
      <c r="M191" t="s">
        <v>487</v>
      </c>
    </row>
    <row r="192" spans="1:13" hidden="1">
      <c r="A192" t="s">
        <v>424</v>
      </c>
      <c r="B192" t="str" cm="1">
        <f t="array" ref="B192">_xlfn.CONCAT("LOC ",_xlfn._xlws.FILTER(t_FA[FA Name],t_FA[FA]=t_requirements[[#This Row],[FA]]))</f>
        <v>LOC Ticketing</v>
      </c>
      <c r="C192" t="s">
        <v>197</v>
      </c>
      <c r="D192" t="s">
        <v>185</v>
      </c>
      <c r="E192" t="s">
        <v>483</v>
      </c>
      <c r="F192" t="s">
        <v>223</v>
      </c>
      <c r="G192" t="s">
        <v>224</v>
      </c>
      <c r="H192" s="388">
        <v>0</v>
      </c>
      <c r="I192" s="396">
        <v>45915</v>
      </c>
      <c r="J192" s="396">
        <v>45989</v>
      </c>
      <c r="K192" t="s">
        <v>225</v>
      </c>
      <c r="L192" t="s">
        <v>488</v>
      </c>
    </row>
    <row r="193" spans="1:13" hidden="1">
      <c r="A193" t="s">
        <v>424</v>
      </c>
      <c r="B193" t="str" cm="1">
        <f t="array" ref="B193">_xlfn.CONCAT("LOC ",_xlfn._xlws.FILTER(t_FA[FA Name],t_FA[FA]=t_requirements[[#This Row],[FA]]))</f>
        <v>LOC Ticketing</v>
      </c>
      <c r="C193" t="s">
        <v>197</v>
      </c>
      <c r="D193" t="s">
        <v>185</v>
      </c>
      <c r="E193" t="s">
        <v>483</v>
      </c>
      <c r="F193" t="s">
        <v>229</v>
      </c>
      <c r="G193" t="s">
        <v>230</v>
      </c>
      <c r="H193" s="388">
        <v>0</v>
      </c>
      <c r="I193" s="396">
        <v>45915</v>
      </c>
      <c r="J193" s="396">
        <v>45989</v>
      </c>
      <c r="K193" t="s">
        <v>231</v>
      </c>
      <c r="L193" t="s">
        <v>489</v>
      </c>
      <c r="M193" t="s">
        <v>490</v>
      </c>
    </row>
    <row r="194" spans="1:13" hidden="1">
      <c r="A194" t="s">
        <v>424</v>
      </c>
      <c r="B194" t="str" cm="1">
        <f t="array" ref="B194">_xlfn.CONCAT("LOC ",_xlfn._xlws.FILTER(t_FA[FA Name],t_FA[FA]=t_requirements[[#This Row],[FA]]))</f>
        <v>LOC Ticketing</v>
      </c>
      <c r="C194" t="s">
        <v>197</v>
      </c>
      <c r="D194" t="s">
        <v>185</v>
      </c>
      <c r="E194" t="s">
        <v>483</v>
      </c>
      <c r="F194" t="s">
        <v>186</v>
      </c>
      <c r="G194" t="s">
        <v>190</v>
      </c>
      <c r="H194" s="388">
        <v>0</v>
      </c>
      <c r="I194" s="396">
        <v>45915</v>
      </c>
      <c r="J194" s="396">
        <v>45989</v>
      </c>
      <c r="K194" t="s">
        <v>191</v>
      </c>
      <c r="L194" t="s">
        <v>491</v>
      </c>
      <c r="M194" t="s">
        <v>492</v>
      </c>
    </row>
    <row r="195" spans="1:13" hidden="1">
      <c r="A195" t="s">
        <v>424</v>
      </c>
      <c r="B195" t="str" cm="1">
        <f t="array" ref="B195">_xlfn.CONCAT("LOC ",_xlfn._xlws.FILTER(t_FA[FA Name],t_FA[FA]=t_requirements[[#This Row],[FA]]))</f>
        <v>LOC Ticketing</v>
      </c>
      <c r="C195" t="s">
        <v>197</v>
      </c>
      <c r="D195" t="s">
        <v>185</v>
      </c>
      <c r="E195" t="s">
        <v>483</v>
      </c>
      <c r="F195" t="s">
        <v>200</v>
      </c>
      <c r="G195" t="s">
        <v>206</v>
      </c>
      <c r="H195" s="388">
        <v>0</v>
      </c>
      <c r="I195" s="396">
        <v>45915</v>
      </c>
      <c r="J195" s="396">
        <v>45989</v>
      </c>
      <c r="K195" t="s">
        <v>207</v>
      </c>
      <c r="L195" t="s">
        <v>493</v>
      </c>
      <c r="M195" t="s">
        <v>494</v>
      </c>
    </row>
    <row r="196" spans="1:13" hidden="1">
      <c r="A196" t="s">
        <v>424</v>
      </c>
      <c r="B196" t="str" cm="1">
        <f t="array" ref="B196">_xlfn.CONCAT("LOC ",_xlfn._xlws.FILTER(t_FA[FA Name],t_FA[FA]=t_requirements[[#This Row],[FA]]))</f>
        <v>LOC Ticketing</v>
      </c>
      <c r="C196" t="s">
        <v>197</v>
      </c>
      <c r="D196" t="s">
        <v>185</v>
      </c>
      <c r="E196" t="s">
        <v>483</v>
      </c>
      <c r="F196" t="s">
        <v>200</v>
      </c>
      <c r="G196" t="s">
        <v>201</v>
      </c>
      <c r="H196" s="388">
        <v>0</v>
      </c>
      <c r="I196" s="396">
        <v>45915</v>
      </c>
      <c r="J196" s="396">
        <v>45989</v>
      </c>
      <c r="K196" t="s">
        <v>202</v>
      </c>
      <c r="L196" t="s">
        <v>495</v>
      </c>
      <c r="M196" t="s">
        <v>496</v>
      </c>
    </row>
    <row r="197" spans="1:13" hidden="1">
      <c r="A197" t="s">
        <v>424</v>
      </c>
      <c r="B197" t="str" cm="1">
        <f t="array" ref="B197">_xlfn.CONCAT("LOC ",_xlfn._xlws.FILTER(t_FA[FA Name],t_FA[FA]=t_requirements[[#This Row],[FA]]))</f>
        <v>LOC Ticketing</v>
      </c>
      <c r="C197" t="s">
        <v>197</v>
      </c>
      <c r="D197" t="s">
        <v>185</v>
      </c>
      <c r="E197" t="s">
        <v>483</v>
      </c>
      <c r="F197" t="s">
        <v>210</v>
      </c>
      <c r="G197" t="s">
        <v>328</v>
      </c>
      <c r="H197" s="388">
        <v>0</v>
      </c>
      <c r="I197" s="396">
        <v>45915</v>
      </c>
      <c r="J197" s="396">
        <v>45989</v>
      </c>
      <c r="K197" t="s">
        <v>329</v>
      </c>
      <c r="L197" t="s">
        <v>497</v>
      </c>
      <c r="M197" t="s">
        <v>498</v>
      </c>
    </row>
    <row r="198" spans="1:13" hidden="1">
      <c r="A198" t="s">
        <v>424</v>
      </c>
      <c r="B198" t="str" cm="1">
        <f t="array" ref="B198">_xlfn.CONCAT("LOC ",_xlfn._xlws.FILTER(t_FA[FA Name],t_FA[FA]=t_requirements[[#This Row],[FA]]))</f>
        <v>LOC Ticketing</v>
      </c>
      <c r="C198" t="s">
        <v>197</v>
      </c>
      <c r="D198" t="s">
        <v>185</v>
      </c>
      <c r="E198" t="s">
        <v>483</v>
      </c>
      <c r="F198" t="s">
        <v>247</v>
      </c>
      <c r="G198" t="s">
        <v>375</v>
      </c>
      <c r="H198" s="388">
        <v>0</v>
      </c>
      <c r="I198" s="402">
        <v>45915</v>
      </c>
      <c r="J198" s="402">
        <v>45989</v>
      </c>
      <c r="K198" t="s">
        <v>376</v>
      </c>
      <c r="L198" t="s">
        <v>499</v>
      </c>
      <c r="M198" t="s">
        <v>500</v>
      </c>
    </row>
    <row r="199" spans="1:13" hidden="1">
      <c r="A199" t="s">
        <v>501</v>
      </c>
      <c r="B199" t="e" cm="1" vm="1">
        <f t="array" ref="B199">_xlfn.CONCAT("LOC ",_xlfn._xlws.FILTER(t_FA[FA Name],t_FA[FA]=t_requirements[[#This Row],[FA]]))</f>
        <v>#VALUE!</v>
      </c>
      <c r="C199" t="s">
        <v>197</v>
      </c>
      <c r="D199" t="s">
        <v>185</v>
      </c>
      <c r="E199" s="379" t="s">
        <v>502</v>
      </c>
      <c r="F199" s="379" t="s">
        <v>200</v>
      </c>
      <c r="G199" s="379" t="s">
        <v>201</v>
      </c>
      <c r="H199" s="380">
        <v>0</v>
      </c>
      <c r="I199" s="381">
        <v>45950</v>
      </c>
      <c r="J199" s="381">
        <v>46011</v>
      </c>
      <c r="K199" t="s">
        <v>202</v>
      </c>
      <c r="L199" t="s">
        <v>503</v>
      </c>
    </row>
    <row r="200" spans="1:13" hidden="1">
      <c r="A200" t="s">
        <v>501</v>
      </c>
      <c r="B200" t="e" cm="1" vm="1">
        <f t="array" ref="B200">_xlfn.CONCAT("LOC ",_xlfn._xlws.FILTER(t_FA[FA Name],t_FA[FA]=t_requirements[[#This Row],[FA]]))</f>
        <v>#VALUE!</v>
      </c>
      <c r="C200" t="s">
        <v>197</v>
      </c>
      <c r="D200" t="s">
        <v>185</v>
      </c>
      <c r="E200" s="379" t="s">
        <v>502</v>
      </c>
      <c r="F200" s="379" t="s">
        <v>186</v>
      </c>
      <c r="G200" s="379" t="s">
        <v>187</v>
      </c>
      <c r="H200" s="380">
        <v>0</v>
      </c>
      <c r="I200" s="381">
        <v>45950</v>
      </c>
      <c r="J200" s="381">
        <v>46011</v>
      </c>
      <c r="K200" t="s">
        <v>188</v>
      </c>
      <c r="L200" t="s">
        <v>504</v>
      </c>
    </row>
    <row r="201" spans="1:13" hidden="1">
      <c r="A201" t="s">
        <v>501</v>
      </c>
      <c r="B201" t="e" cm="1" vm="1">
        <f t="array" ref="B201">_xlfn.CONCAT("LOC ",_xlfn._xlws.FILTER(t_FA[FA Name],t_FA[FA]=t_requirements[[#This Row],[FA]]))</f>
        <v>#VALUE!</v>
      </c>
      <c r="C201" t="s">
        <v>197</v>
      </c>
      <c r="D201" t="s">
        <v>185</v>
      </c>
      <c r="E201" s="379" t="s">
        <v>502</v>
      </c>
      <c r="F201" s="379" t="s">
        <v>210</v>
      </c>
      <c r="G201" s="379" t="s">
        <v>328</v>
      </c>
      <c r="H201" s="380">
        <v>0</v>
      </c>
      <c r="I201" s="381">
        <v>45950</v>
      </c>
      <c r="J201" s="381">
        <v>46011</v>
      </c>
      <c r="K201" t="s">
        <v>329</v>
      </c>
      <c r="L201" t="s">
        <v>505</v>
      </c>
    </row>
  </sheetData>
  <conditionalFormatting sqref="E199:E201">
    <cfRule type="expression" dxfId="119" priority="6">
      <formula>AND(NOT(ISBLANK($A199)),ISBLANK($C199))</formula>
    </cfRule>
  </conditionalFormatting>
  <conditionalFormatting sqref="F199:F201">
    <cfRule type="expression" dxfId="118" priority="5">
      <formula>AND(NOT(ISBLANK($A199)),ISBLANK($D199))</formula>
    </cfRule>
  </conditionalFormatting>
  <conditionalFormatting sqref="G199:G201">
    <cfRule type="expression" dxfId="117" priority="4">
      <formula>AND(NOT(ISBLANK($A199)),ISBLANK($E199))</formula>
    </cfRule>
  </conditionalFormatting>
  <conditionalFormatting sqref="H199:H201">
    <cfRule type="expression" dxfId="116" priority="3">
      <formula>AND(NOT(ISBLANK($A199)),ISBLANK($F199))</formula>
    </cfRule>
  </conditionalFormatting>
  <conditionalFormatting sqref="I145:I201">
    <cfRule type="expression" dxfId="115" priority="2">
      <formula>AND(NOT(ISBLANK($A145)),ISBLANK($G145))</formula>
    </cfRule>
  </conditionalFormatting>
  <conditionalFormatting sqref="J145:J201">
    <cfRule type="expression" dxfId="114" priority="1">
      <formula>AND(NOT(ISBLANK($A145)),ISBLANK($H145))</formula>
    </cfRule>
  </conditionalFormatting>
  <dataValidations disablePrompts="1" count="1">
    <dataValidation type="list" allowBlank="1" showInputMessage="1" showErrorMessage="1" sqref="G199:G201" xr:uid="{216918D0-1557-451F-9640-785EAB79AF32}">
      <formula1>INDIRECT($D199)</formula1>
    </dataValidation>
  </dataValidations>
  <pageMargins left="0.7" right="0.7" top="0.75" bottom="0.75" header="0.3" footer="0.3"/>
  <pageSetup paperSize="9" orientation="landscape" r:id="rId1"/>
  <headerFooter>
    <oddHeader>&amp;L&amp;"Calibri"&amp;12&amp;K008000 SC Classification:GENERAL BUSINESS\Other General Business&amp;1#_x000D_</oddHead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5B308-605E-4F8F-8DED-DCDA83A33BA3}">
  <sheetPr codeName="Sheet3" filterMode="1">
    <tabColor theme="5" tint="-0.249977111117893"/>
    <pageSetUpPr fitToPage="1"/>
  </sheetPr>
  <dimension ref="A1:V486"/>
  <sheetViews>
    <sheetView tabSelected="1" topLeftCell="A2" zoomScale="71" zoomScaleNormal="71" workbookViewId="0">
      <pane xSplit="1" ySplit="1" topLeftCell="B64" activePane="bottomRight" state="frozen"/>
      <selection pane="topRight" activeCell="B2" sqref="B2"/>
      <selection pane="bottomLeft" activeCell="A3" sqref="A3"/>
      <selection pane="bottomRight" activeCell="P313" sqref="P313"/>
    </sheetView>
  </sheetViews>
  <sheetFormatPr defaultColWidth="9.33203125" defaultRowHeight="14.4"/>
  <cols>
    <col min="1" max="1" width="15.44140625" style="220" customWidth="1"/>
    <col min="2" max="2" width="57.44140625" style="240" customWidth="1"/>
    <col min="3" max="3" width="15.33203125" style="241" customWidth="1"/>
    <col min="4" max="4" width="15.44140625" style="241" hidden="1" customWidth="1"/>
    <col min="5" max="5" width="30.44140625" style="241" hidden="1" customWidth="1"/>
    <col min="6" max="6" width="60.44140625" style="241" hidden="1" customWidth="1"/>
    <col min="7" max="7" width="71.44140625" style="241" hidden="1" customWidth="1"/>
    <col min="8" max="8" width="14" style="242" hidden="1" customWidth="1"/>
    <col min="9" max="10" width="8.44140625" style="242" hidden="1" customWidth="1"/>
    <col min="11" max="11" width="14" style="242" customWidth="1"/>
    <col min="12" max="12" width="15.44140625" style="242" customWidth="1"/>
    <col min="13" max="13" width="17" style="242" hidden="1" customWidth="1"/>
    <col min="14" max="14" width="19.5546875" style="242" bestFit="1" customWidth="1"/>
    <col min="15" max="15" width="32.33203125" style="220" customWidth="1"/>
    <col min="16" max="16" width="28.44140625" style="220" customWidth="1"/>
    <col min="17" max="17" width="26.44140625" style="220" customWidth="1"/>
    <col min="18" max="18" width="39.44140625" style="220" customWidth="1"/>
    <col min="19" max="19" width="29.33203125" style="220" customWidth="1"/>
    <col min="20" max="20" width="24.33203125" style="220" bestFit="1" customWidth="1"/>
    <col min="21" max="21" width="106.6640625" style="220" customWidth="1"/>
    <col min="22" max="22" width="21.6640625" style="220" customWidth="1"/>
    <col min="23" max="16384" width="9.33203125" style="220"/>
  </cols>
  <sheetData>
    <row r="1" spans="1:22" ht="19.5" customHeight="1">
      <c r="H1" s="453" t="s">
        <v>50</v>
      </c>
      <c r="I1" s="453"/>
      <c r="J1" s="453"/>
      <c r="K1" s="454" t="s">
        <v>60</v>
      </c>
      <c r="L1" s="454"/>
      <c r="M1" s="454"/>
      <c r="N1" s="446"/>
    </row>
    <row r="2" spans="1:22" s="259" customFormat="1" ht="90" customHeight="1">
      <c r="A2" s="255" t="s">
        <v>33</v>
      </c>
      <c r="B2" s="256" t="s">
        <v>36</v>
      </c>
      <c r="C2" s="257" t="s">
        <v>38</v>
      </c>
      <c r="D2" s="257" t="s">
        <v>40</v>
      </c>
      <c r="E2" s="265" t="s">
        <v>42</v>
      </c>
      <c r="F2" s="265" t="s">
        <v>506</v>
      </c>
      <c r="G2" s="265" t="s">
        <v>47</v>
      </c>
      <c r="H2" s="255" t="s">
        <v>507</v>
      </c>
      <c r="I2" s="258" t="s">
        <v>56</v>
      </c>
      <c r="J2" s="258" t="s">
        <v>508</v>
      </c>
      <c r="K2" s="255" t="s">
        <v>509</v>
      </c>
      <c r="L2" s="258" t="s">
        <v>56</v>
      </c>
      <c r="M2" s="258" t="s">
        <v>508</v>
      </c>
      <c r="N2" s="258" t="s">
        <v>1938</v>
      </c>
      <c r="O2" s="255" t="s">
        <v>66</v>
      </c>
      <c r="P2" s="255" t="s">
        <v>69</v>
      </c>
      <c r="Q2" s="255" t="s">
        <v>71</v>
      </c>
      <c r="R2" s="255" t="s">
        <v>73</v>
      </c>
      <c r="S2" s="255" t="s">
        <v>75</v>
      </c>
      <c r="T2" s="257" t="s">
        <v>77</v>
      </c>
      <c r="U2" s="255" t="s">
        <v>79</v>
      </c>
      <c r="V2" s="370" t="s">
        <v>510</v>
      </c>
    </row>
    <row r="3" spans="1:22" customFormat="1" ht="15.75" hidden="1" customHeight="1">
      <c r="A3" s="352" t="s">
        <v>329</v>
      </c>
      <c r="B3" s="359" t="str">
        <f t="shared" ref="B3:C22" si="0">IF($A3="","",VLOOKUP($A3,ps_table,MATCH(B$2,ps_headers,0),FALSE))</f>
        <v>24" Monitor - HDMI/DP</v>
      </c>
      <c r="C3" s="359" t="str">
        <f t="shared" si="0"/>
        <v>Peripherals</v>
      </c>
      <c r="D3" s="359" t="str">
        <f t="shared" ref="D3:D34" si="1">IF(OR($A3="",$O3&lt;&gt;"FIFA Event Technology"),"",IF(VLOOKUP($A3,ps_table,MATCH(D$2,ps_headers,0),FALSE)&lt;&gt;"",VLOOKUP($A3,ps_table,MATCH(D$2,ps_headers,0),FALSE),""))</f>
        <v/>
      </c>
      <c r="E3" s="359" t="str">
        <f t="shared" ref="E3:E34" si="2">IF($A3="","",IF(VLOOKUP($A3,ps_table,MATCH(E$2,ps_headers,0),FALSE)&lt;&gt;"",VLOOKUP($A3,ps_table,MATCH(E$2,ps_headers,0),FALSE),""))</f>
        <v/>
      </c>
      <c r="F3" s="359" t="str">
        <f t="shared" ref="F3:F34" si="3">IF($A3="","",VLOOKUP($A3,ps_table,MATCH(F$2,ps_headers,0),FALSE))</f>
        <v>24" PC Monitor</v>
      </c>
      <c r="G3" s="359" t="str">
        <f t="shared" ref="G3:G34" si="4">IF($A3="","",IF(E3&lt;&gt;"",A3&amp;" - "&amp;B3&amp;" ("&amp;E3&amp;")",A3&amp;" - "&amp;B3))</f>
        <v>DSKMNT - 24" Monitor - HDMI/DP</v>
      </c>
      <c r="H3" s="353">
        <v>5</v>
      </c>
      <c r="I3" s="360">
        <f t="shared" ref="I3:J22" si="5">IF($A3="","",$K3*VLOOKUP($A3,ps_table,MATCH(I$2,ps_headers,0),FALSE))</f>
        <v>0</v>
      </c>
      <c r="J3" s="360">
        <f t="shared" si="5"/>
        <v>0</v>
      </c>
      <c r="K3" s="353">
        <v>1</v>
      </c>
      <c r="L3" s="360">
        <f t="shared" ref="L3:M22" si="6">IF($A3="","",$K3*VLOOKUP($A3,ps_table,MATCH(L$2,ps_headers,0),FALSE))</f>
        <v>0</v>
      </c>
      <c r="M3" s="360">
        <f t="shared" si="6"/>
        <v>0</v>
      </c>
      <c r="N3" s="360">
        <v>0</v>
      </c>
      <c r="O3" s="354" t="s">
        <v>511</v>
      </c>
      <c r="P3" s="355" t="s">
        <v>149</v>
      </c>
      <c r="Q3" s="272" t="s">
        <v>286</v>
      </c>
      <c r="R3" s="272" t="s">
        <v>512</v>
      </c>
      <c r="S3" s="356" t="s">
        <v>513</v>
      </c>
      <c r="T3" s="357" t="str">
        <f t="shared" ref="T3:T66" si="7">IF(S3="","",S3)</f>
        <v>Entertainment</v>
      </c>
      <c r="U3" s="358"/>
      <c r="V3" s="358" t="s">
        <v>514</v>
      </c>
    </row>
    <row r="4" spans="1:22" customFormat="1" ht="15.75" hidden="1" customHeight="1">
      <c r="A4" s="352" t="s">
        <v>329</v>
      </c>
      <c r="B4" s="359" t="str">
        <f t="shared" si="0"/>
        <v>24" Monitor - HDMI/DP</v>
      </c>
      <c r="C4" s="359" t="str">
        <f t="shared" si="0"/>
        <v>Peripherals</v>
      </c>
      <c r="D4" s="359" t="str">
        <f t="shared" si="1"/>
        <v/>
      </c>
      <c r="E4" s="359" t="str">
        <f t="shared" si="2"/>
        <v/>
      </c>
      <c r="F4" s="359" t="str">
        <f t="shared" si="3"/>
        <v>24" PC Monitor</v>
      </c>
      <c r="G4" s="359" t="str">
        <f t="shared" si="4"/>
        <v>DSKMNT - 24" Monitor - HDMI/DP</v>
      </c>
      <c r="H4" s="353">
        <v>5</v>
      </c>
      <c r="I4" s="360">
        <f t="shared" si="5"/>
        <v>0</v>
      </c>
      <c r="J4" s="360">
        <f t="shared" si="5"/>
        <v>0</v>
      </c>
      <c r="K4" s="353">
        <v>1</v>
      </c>
      <c r="L4" s="360">
        <f t="shared" si="6"/>
        <v>0</v>
      </c>
      <c r="M4" s="360">
        <f t="shared" si="6"/>
        <v>0</v>
      </c>
      <c r="N4" s="360">
        <v>0</v>
      </c>
      <c r="O4" s="354" t="s">
        <v>511</v>
      </c>
      <c r="P4" s="355" t="s">
        <v>149</v>
      </c>
      <c r="Q4" s="272" t="s">
        <v>255</v>
      </c>
      <c r="R4" s="272" t="s">
        <v>512</v>
      </c>
      <c r="S4" s="356" t="s">
        <v>513</v>
      </c>
      <c r="T4" s="357" t="str">
        <f t="shared" si="7"/>
        <v>Entertainment</v>
      </c>
      <c r="U4" s="358"/>
      <c r="V4" s="358" t="s">
        <v>514</v>
      </c>
    </row>
    <row r="5" spans="1:22" customFormat="1" ht="15.75" hidden="1" customHeight="1">
      <c r="A5" s="352" t="s">
        <v>329</v>
      </c>
      <c r="B5" s="359" t="str">
        <f t="shared" si="0"/>
        <v>24" Monitor - HDMI/DP</v>
      </c>
      <c r="C5" s="359" t="str">
        <f t="shared" si="0"/>
        <v>Peripherals</v>
      </c>
      <c r="D5" s="359" t="str">
        <f t="shared" si="1"/>
        <v/>
      </c>
      <c r="E5" s="359" t="str">
        <f t="shared" si="2"/>
        <v/>
      </c>
      <c r="F5" s="359" t="str">
        <f t="shared" si="3"/>
        <v>24" PC Monitor</v>
      </c>
      <c r="G5" s="359" t="str">
        <f t="shared" si="4"/>
        <v>DSKMNT - 24" Monitor - HDMI/DP</v>
      </c>
      <c r="H5" s="353">
        <v>5</v>
      </c>
      <c r="I5" s="360">
        <f t="shared" si="5"/>
        <v>0</v>
      </c>
      <c r="J5" s="360">
        <f t="shared" si="5"/>
        <v>0</v>
      </c>
      <c r="K5" s="353">
        <v>1</v>
      </c>
      <c r="L5" s="360">
        <f t="shared" si="6"/>
        <v>0</v>
      </c>
      <c r="M5" s="360">
        <f t="shared" si="6"/>
        <v>0</v>
      </c>
      <c r="N5" s="360">
        <v>0</v>
      </c>
      <c r="O5" s="354" t="s">
        <v>511</v>
      </c>
      <c r="P5" s="355" t="s">
        <v>149</v>
      </c>
      <c r="Q5" s="272" t="s">
        <v>515</v>
      </c>
      <c r="R5" s="272" t="s">
        <v>512</v>
      </c>
      <c r="S5" s="356" t="s">
        <v>513</v>
      </c>
      <c r="T5" s="357" t="str">
        <f t="shared" si="7"/>
        <v>Entertainment</v>
      </c>
      <c r="U5" s="358"/>
      <c r="V5" s="358" t="s">
        <v>514</v>
      </c>
    </row>
    <row r="6" spans="1:22" customFormat="1" ht="15.75" hidden="1" customHeight="1">
      <c r="A6" s="352" t="s">
        <v>329</v>
      </c>
      <c r="B6" s="359" t="str">
        <f t="shared" si="0"/>
        <v>24" Monitor - HDMI/DP</v>
      </c>
      <c r="C6" s="359" t="str">
        <f t="shared" si="0"/>
        <v>Peripherals</v>
      </c>
      <c r="D6" s="359" t="str">
        <f t="shared" si="1"/>
        <v/>
      </c>
      <c r="E6" s="359" t="str">
        <f t="shared" si="2"/>
        <v/>
      </c>
      <c r="F6" s="359" t="str">
        <f t="shared" si="3"/>
        <v>24" PC Monitor</v>
      </c>
      <c r="G6" s="359" t="str">
        <f t="shared" si="4"/>
        <v>DSKMNT - 24" Monitor - HDMI/DP</v>
      </c>
      <c r="H6" s="353">
        <v>5</v>
      </c>
      <c r="I6" s="360">
        <f t="shared" si="5"/>
        <v>0</v>
      </c>
      <c r="J6" s="360">
        <f t="shared" si="5"/>
        <v>0</v>
      </c>
      <c r="K6" s="353">
        <v>1</v>
      </c>
      <c r="L6" s="360">
        <f t="shared" si="6"/>
        <v>0</v>
      </c>
      <c r="M6" s="360">
        <f t="shared" si="6"/>
        <v>0</v>
      </c>
      <c r="N6" s="360">
        <v>0</v>
      </c>
      <c r="O6" s="354" t="s">
        <v>511</v>
      </c>
      <c r="P6" s="355" t="s">
        <v>149</v>
      </c>
      <c r="Q6" s="272" t="s">
        <v>516</v>
      </c>
      <c r="R6" s="272" t="s">
        <v>512</v>
      </c>
      <c r="S6" s="356" t="s">
        <v>513</v>
      </c>
      <c r="T6" s="357" t="str">
        <f t="shared" si="7"/>
        <v>Entertainment</v>
      </c>
      <c r="U6" s="358"/>
      <c r="V6" s="358" t="s">
        <v>514</v>
      </c>
    </row>
    <row r="7" spans="1:22" customFormat="1" ht="15.75" hidden="1" customHeight="1">
      <c r="A7" s="352" t="s">
        <v>329</v>
      </c>
      <c r="B7" s="359" t="str">
        <f t="shared" si="0"/>
        <v>24" Monitor - HDMI/DP</v>
      </c>
      <c r="C7" s="359" t="str">
        <f t="shared" si="0"/>
        <v>Peripherals</v>
      </c>
      <c r="D7" s="359" t="str">
        <f t="shared" si="1"/>
        <v/>
      </c>
      <c r="E7" s="359" t="str">
        <f t="shared" si="2"/>
        <v/>
      </c>
      <c r="F7" s="359" t="str">
        <f t="shared" si="3"/>
        <v>24" PC Monitor</v>
      </c>
      <c r="G7" s="359" t="str">
        <f t="shared" si="4"/>
        <v>DSKMNT - 24" Monitor - HDMI/DP</v>
      </c>
      <c r="H7" s="353">
        <v>5</v>
      </c>
      <c r="I7" s="360">
        <f t="shared" si="5"/>
        <v>0</v>
      </c>
      <c r="J7" s="360">
        <f t="shared" si="5"/>
        <v>0</v>
      </c>
      <c r="K7" s="353">
        <v>1</v>
      </c>
      <c r="L7" s="360">
        <f t="shared" si="6"/>
        <v>0</v>
      </c>
      <c r="M7" s="360">
        <f t="shared" si="6"/>
        <v>0</v>
      </c>
      <c r="N7" s="360">
        <v>0</v>
      </c>
      <c r="O7" s="354" t="s">
        <v>511</v>
      </c>
      <c r="P7" s="355" t="s">
        <v>149</v>
      </c>
      <c r="Q7" s="272" t="s">
        <v>258</v>
      </c>
      <c r="R7" s="272" t="s">
        <v>512</v>
      </c>
      <c r="S7" s="356" t="s">
        <v>513</v>
      </c>
      <c r="T7" s="357" t="str">
        <f t="shared" si="7"/>
        <v>Entertainment</v>
      </c>
      <c r="U7" s="358"/>
      <c r="V7" s="358" t="s">
        <v>514</v>
      </c>
    </row>
    <row r="8" spans="1:22" customFormat="1" ht="15.75" hidden="1" customHeight="1">
      <c r="A8" s="352" t="s">
        <v>329</v>
      </c>
      <c r="B8" s="359" t="str">
        <f t="shared" si="0"/>
        <v>24" Monitor - HDMI/DP</v>
      </c>
      <c r="C8" s="359" t="str">
        <f t="shared" si="0"/>
        <v>Peripherals</v>
      </c>
      <c r="D8" s="359" t="str">
        <f t="shared" si="1"/>
        <v/>
      </c>
      <c r="E8" s="359" t="str">
        <f t="shared" si="2"/>
        <v/>
      </c>
      <c r="F8" s="359" t="str">
        <f t="shared" si="3"/>
        <v>24" PC Monitor</v>
      </c>
      <c r="G8" s="359" t="str">
        <f t="shared" si="4"/>
        <v>DSKMNT - 24" Monitor - HDMI/DP</v>
      </c>
      <c r="H8" s="353">
        <v>5</v>
      </c>
      <c r="I8" s="360">
        <f t="shared" si="5"/>
        <v>0</v>
      </c>
      <c r="J8" s="360">
        <f t="shared" si="5"/>
        <v>0</v>
      </c>
      <c r="K8" s="353">
        <v>1</v>
      </c>
      <c r="L8" s="360">
        <f t="shared" si="6"/>
        <v>0</v>
      </c>
      <c r="M8" s="360">
        <f t="shared" si="6"/>
        <v>0</v>
      </c>
      <c r="N8" s="360">
        <v>0</v>
      </c>
      <c r="O8" s="354" t="s">
        <v>511</v>
      </c>
      <c r="P8" s="355" t="s">
        <v>149</v>
      </c>
      <c r="Q8" s="272" t="s">
        <v>517</v>
      </c>
      <c r="R8" s="272" t="s">
        <v>512</v>
      </c>
      <c r="S8" s="356" t="s">
        <v>513</v>
      </c>
      <c r="T8" s="357" t="str">
        <f t="shared" si="7"/>
        <v>Entertainment</v>
      </c>
      <c r="U8" s="358"/>
      <c r="V8" s="358" t="s">
        <v>514</v>
      </c>
    </row>
    <row r="9" spans="1:22" customFormat="1" ht="15.75" hidden="1" customHeight="1">
      <c r="A9" s="352" t="s">
        <v>329</v>
      </c>
      <c r="B9" s="359" t="str">
        <f t="shared" si="0"/>
        <v>24" Monitor - HDMI/DP</v>
      </c>
      <c r="C9" s="359" t="str">
        <f t="shared" si="0"/>
        <v>Peripherals</v>
      </c>
      <c r="D9" s="359" t="str">
        <f t="shared" si="1"/>
        <v/>
      </c>
      <c r="E9" s="359" t="str">
        <f t="shared" si="2"/>
        <v/>
      </c>
      <c r="F9" s="359" t="str">
        <f t="shared" si="3"/>
        <v>24" PC Monitor</v>
      </c>
      <c r="G9" s="359" t="str">
        <f t="shared" si="4"/>
        <v>DSKMNT - 24" Monitor - HDMI/DP</v>
      </c>
      <c r="H9" s="353">
        <v>5</v>
      </c>
      <c r="I9" s="360">
        <f t="shared" si="5"/>
        <v>0</v>
      </c>
      <c r="J9" s="360">
        <f t="shared" si="5"/>
        <v>0</v>
      </c>
      <c r="K9" s="353">
        <v>1</v>
      </c>
      <c r="L9" s="360">
        <f t="shared" si="6"/>
        <v>0</v>
      </c>
      <c r="M9" s="360">
        <f t="shared" si="6"/>
        <v>0</v>
      </c>
      <c r="N9" s="360">
        <v>0</v>
      </c>
      <c r="O9" s="354" t="s">
        <v>511</v>
      </c>
      <c r="P9" s="355" t="s">
        <v>149</v>
      </c>
      <c r="Q9" s="272" t="s">
        <v>284</v>
      </c>
      <c r="R9" s="272" t="s">
        <v>512</v>
      </c>
      <c r="S9" s="356" t="s">
        <v>513</v>
      </c>
      <c r="T9" s="357" t="str">
        <f t="shared" si="7"/>
        <v>Entertainment</v>
      </c>
      <c r="U9" s="358"/>
      <c r="V9" s="358" t="s">
        <v>514</v>
      </c>
    </row>
    <row r="10" spans="1:22" customFormat="1" ht="15.75" hidden="1" customHeight="1">
      <c r="A10" s="352" t="s">
        <v>329</v>
      </c>
      <c r="B10" s="359" t="str">
        <f t="shared" si="0"/>
        <v>24" Monitor - HDMI/DP</v>
      </c>
      <c r="C10" s="359" t="str">
        <f t="shared" si="0"/>
        <v>Peripherals</v>
      </c>
      <c r="D10" s="359" t="str">
        <f t="shared" si="1"/>
        <v/>
      </c>
      <c r="E10" s="359" t="str">
        <f t="shared" si="2"/>
        <v/>
      </c>
      <c r="F10" s="359" t="str">
        <f t="shared" si="3"/>
        <v>24" PC Monitor</v>
      </c>
      <c r="G10" s="359" t="str">
        <f t="shared" si="4"/>
        <v>DSKMNT - 24" Monitor - HDMI/DP</v>
      </c>
      <c r="H10" s="353">
        <v>5</v>
      </c>
      <c r="I10" s="360">
        <f t="shared" si="5"/>
        <v>0</v>
      </c>
      <c r="J10" s="360">
        <f t="shared" si="5"/>
        <v>0</v>
      </c>
      <c r="K10" s="353">
        <v>1</v>
      </c>
      <c r="L10" s="360">
        <f t="shared" si="6"/>
        <v>0</v>
      </c>
      <c r="M10" s="360">
        <f t="shared" si="6"/>
        <v>0</v>
      </c>
      <c r="N10" s="360">
        <v>0</v>
      </c>
      <c r="O10" s="354" t="s">
        <v>511</v>
      </c>
      <c r="P10" s="355" t="s">
        <v>149</v>
      </c>
      <c r="Q10" s="272" t="s">
        <v>518</v>
      </c>
      <c r="R10" s="272" t="s">
        <v>512</v>
      </c>
      <c r="S10" s="356" t="s">
        <v>513</v>
      </c>
      <c r="T10" s="357" t="str">
        <f t="shared" si="7"/>
        <v>Entertainment</v>
      </c>
      <c r="U10" s="358"/>
      <c r="V10" s="358" t="s">
        <v>514</v>
      </c>
    </row>
    <row r="11" spans="1:22" customFormat="1" ht="15.75" hidden="1" customHeight="1">
      <c r="A11" s="352" t="s">
        <v>519</v>
      </c>
      <c r="B11" s="359" t="str">
        <f t="shared" si="0"/>
        <v>Wireless coverage - Shared Internet Service - Wi-Fi FIFA</v>
      </c>
      <c r="C11" s="359" t="str">
        <f t="shared" si="0"/>
        <v>Network &amp; Connectivity</v>
      </c>
      <c r="D11" s="359" t="str">
        <f t="shared" si="1"/>
        <v/>
      </c>
      <c r="E11" s="359" t="str">
        <f t="shared" si="2"/>
        <v>General Internet Access</v>
      </c>
      <c r="F11" s="359" t="str">
        <f t="shared" si="3"/>
        <v>Wireless coverage - Shared Internet Service - FIFA</v>
      </c>
      <c r="G11" s="359" t="str">
        <f t="shared" si="4"/>
        <v>IS00WF - Wireless coverage - Shared Internet Service - Wi-Fi FIFA (General Internet Access)</v>
      </c>
      <c r="H11" s="353">
        <v>1</v>
      </c>
      <c r="I11" s="360">
        <f t="shared" si="5"/>
        <v>0</v>
      </c>
      <c r="J11" s="360">
        <f t="shared" si="5"/>
        <v>0</v>
      </c>
      <c r="K11" s="444">
        <v>1</v>
      </c>
      <c r="L11" s="360">
        <f t="shared" si="6"/>
        <v>0</v>
      </c>
      <c r="M11" s="360">
        <f t="shared" si="6"/>
        <v>0</v>
      </c>
      <c r="N11" s="360"/>
      <c r="O11" s="354" t="s">
        <v>511</v>
      </c>
      <c r="P11" s="355" t="s">
        <v>152</v>
      </c>
      <c r="Q11" s="354" t="s">
        <v>299</v>
      </c>
      <c r="R11" s="272" t="s">
        <v>512</v>
      </c>
      <c r="S11" s="356" t="s">
        <v>513</v>
      </c>
      <c r="T11" s="357" t="str">
        <f t="shared" si="7"/>
        <v>Entertainment</v>
      </c>
      <c r="U11" s="358"/>
      <c r="V11" s="358" t="s">
        <v>520</v>
      </c>
    </row>
    <row r="12" spans="1:22" s="276" customFormat="1" ht="15.75" hidden="1" customHeight="1">
      <c r="A12" s="267" t="s">
        <v>329</v>
      </c>
      <c r="B12" s="329" t="str">
        <f t="shared" si="0"/>
        <v>24" Monitor - HDMI/DP</v>
      </c>
      <c r="C12" s="329" t="str">
        <f t="shared" si="0"/>
        <v>Peripherals</v>
      </c>
      <c r="D12" s="329" t="str">
        <f t="shared" si="1"/>
        <v/>
      </c>
      <c r="E12" s="329" t="str">
        <f t="shared" si="2"/>
        <v/>
      </c>
      <c r="F12" s="329" t="str">
        <f t="shared" si="3"/>
        <v>24" PC Monitor</v>
      </c>
      <c r="G12" s="329" t="str">
        <f t="shared" si="4"/>
        <v>DSKMNT - 24" Monitor - HDMI/DP</v>
      </c>
      <c r="H12" s="269">
        <v>1</v>
      </c>
      <c r="I12" s="330">
        <f t="shared" si="5"/>
        <v>0</v>
      </c>
      <c r="J12" s="330">
        <f t="shared" si="5"/>
        <v>0</v>
      </c>
      <c r="K12" s="441">
        <v>1</v>
      </c>
      <c r="L12" s="330">
        <f t="shared" si="6"/>
        <v>0</v>
      </c>
      <c r="M12" s="330">
        <f t="shared" si="6"/>
        <v>0</v>
      </c>
      <c r="N12" s="330"/>
      <c r="O12" s="272" t="s">
        <v>511</v>
      </c>
      <c r="P12" s="271" t="s">
        <v>152</v>
      </c>
      <c r="Q12" s="272" t="s">
        <v>299</v>
      </c>
      <c r="R12" s="272" t="s">
        <v>512</v>
      </c>
      <c r="S12" s="273" t="s">
        <v>513</v>
      </c>
      <c r="T12" s="274" t="str">
        <f t="shared" si="7"/>
        <v>Entertainment</v>
      </c>
      <c r="U12" s="275"/>
      <c r="V12" s="358" t="s">
        <v>514</v>
      </c>
    </row>
    <row r="13" spans="1:22" s="276" customFormat="1" ht="15.75" hidden="1" customHeight="1">
      <c r="A13" s="267" t="s">
        <v>519</v>
      </c>
      <c r="B13" s="329" t="str">
        <f t="shared" si="0"/>
        <v>Wireless coverage - Shared Internet Service - Wi-Fi FIFA</v>
      </c>
      <c r="C13" s="329" t="str">
        <f t="shared" si="0"/>
        <v>Network &amp; Connectivity</v>
      </c>
      <c r="D13" s="329" t="str">
        <f t="shared" si="1"/>
        <v/>
      </c>
      <c r="E13" s="329" t="str">
        <f t="shared" si="2"/>
        <v>General Internet Access</v>
      </c>
      <c r="F13" s="329" t="str">
        <f t="shared" si="3"/>
        <v>Wireless coverage - Shared Internet Service - FIFA</v>
      </c>
      <c r="G13" s="329" t="str">
        <f t="shared" si="4"/>
        <v>IS00WF - Wireless coverage - Shared Internet Service - Wi-Fi FIFA (General Internet Access)</v>
      </c>
      <c r="H13" s="269">
        <v>1</v>
      </c>
      <c r="I13" s="330">
        <f t="shared" si="5"/>
        <v>0</v>
      </c>
      <c r="J13" s="330">
        <f t="shared" si="5"/>
        <v>0</v>
      </c>
      <c r="K13" s="269">
        <v>1</v>
      </c>
      <c r="L13" s="330">
        <f t="shared" si="6"/>
        <v>0</v>
      </c>
      <c r="M13" s="330">
        <f t="shared" si="6"/>
        <v>0</v>
      </c>
      <c r="N13" s="330">
        <v>0</v>
      </c>
      <c r="O13" s="272" t="s">
        <v>511</v>
      </c>
      <c r="P13" s="271" t="s">
        <v>149</v>
      </c>
      <c r="Q13" s="272" t="s">
        <v>521</v>
      </c>
      <c r="R13" s="272" t="s">
        <v>512</v>
      </c>
      <c r="S13" s="273" t="s">
        <v>513</v>
      </c>
      <c r="T13" s="274" t="str">
        <f t="shared" si="7"/>
        <v>Entertainment</v>
      </c>
      <c r="U13" s="275" t="s">
        <v>522</v>
      </c>
      <c r="V13" s="358" t="s">
        <v>520</v>
      </c>
    </row>
    <row r="14" spans="1:22" customFormat="1" ht="15.75" hidden="1" customHeight="1">
      <c r="A14" s="352" t="s">
        <v>202</v>
      </c>
      <c r="B14" s="359" t="str">
        <f t="shared" si="0"/>
        <v>MFD Desktop - Colour - A4 - Network</v>
      </c>
      <c r="C14" s="359" t="str">
        <f t="shared" si="0"/>
        <v>Reprographics</v>
      </c>
      <c r="D14" s="359" t="str">
        <f t="shared" si="1"/>
        <v/>
      </c>
      <c r="E14" s="359" t="str">
        <f t="shared" si="2"/>
        <v>General Internet Access</v>
      </c>
      <c r="F14" s="359" t="str">
        <f t="shared" si="3"/>
        <v>Colour Printer / Scanner (A4)</v>
      </c>
      <c r="G14" s="359" t="str">
        <f t="shared" si="4"/>
        <v>MFDDNW - MFD Desktop - Colour - A4 - Network (General Internet Access)</v>
      </c>
      <c r="H14" s="353">
        <v>1</v>
      </c>
      <c r="I14" s="360">
        <f t="shared" si="5"/>
        <v>1</v>
      </c>
      <c r="J14" s="360">
        <f t="shared" si="5"/>
        <v>0</v>
      </c>
      <c r="K14" s="444">
        <v>1</v>
      </c>
      <c r="L14" s="360">
        <f t="shared" si="6"/>
        <v>1</v>
      </c>
      <c r="M14" s="360">
        <f t="shared" si="6"/>
        <v>0</v>
      </c>
      <c r="N14" s="360"/>
      <c r="O14" s="354" t="s">
        <v>511</v>
      </c>
      <c r="P14" s="355" t="s">
        <v>152</v>
      </c>
      <c r="Q14" s="354" t="s">
        <v>299</v>
      </c>
      <c r="R14" s="272" t="s">
        <v>512</v>
      </c>
      <c r="S14" s="356" t="s">
        <v>513</v>
      </c>
      <c r="T14" s="357" t="str">
        <f t="shared" si="7"/>
        <v>Entertainment</v>
      </c>
      <c r="U14" s="358"/>
      <c r="V14" s="358" t="s">
        <v>514</v>
      </c>
    </row>
    <row r="15" spans="1:22" customFormat="1" ht="15.75" customHeight="1">
      <c r="A15" s="352" t="s">
        <v>523</v>
      </c>
      <c r="B15" s="359" t="str">
        <f t="shared" si="0"/>
        <v>Wired Port - Media Internet</v>
      </c>
      <c r="C15" s="359" t="str">
        <f t="shared" si="0"/>
        <v>Network &amp; Connectivity</v>
      </c>
      <c r="D15" s="359" t="str">
        <f t="shared" si="1"/>
        <v/>
      </c>
      <c r="E15" s="359" t="str">
        <f t="shared" si="2"/>
        <v>Media Internet Access Media</v>
      </c>
      <c r="F15" s="359" t="str">
        <f t="shared" si="3"/>
        <v>Wired Port - Internet for Media</v>
      </c>
      <c r="G15" s="359" t="str">
        <f t="shared" si="4"/>
        <v>WRDMED - Wired Port - Media Internet (Media Internet Access Media)</v>
      </c>
      <c r="H15" s="353">
        <v>2</v>
      </c>
      <c r="I15" s="360">
        <f t="shared" si="5"/>
        <v>3</v>
      </c>
      <c r="J15" s="360">
        <f t="shared" si="5"/>
        <v>0</v>
      </c>
      <c r="K15" s="444">
        <v>3</v>
      </c>
      <c r="L15" s="360">
        <f t="shared" si="6"/>
        <v>3</v>
      </c>
      <c r="M15" s="360">
        <f t="shared" si="6"/>
        <v>0</v>
      </c>
      <c r="N15" s="360"/>
      <c r="O15" s="354" t="s">
        <v>511</v>
      </c>
      <c r="P15" s="355" t="s">
        <v>152</v>
      </c>
      <c r="Q15" s="354" t="s">
        <v>299</v>
      </c>
      <c r="R15" s="272" t="s">
        <v>512</v>
      </c>
      <c r="S15" s="356" t="s">
        <v>513</v>
      </c>
      <c r="T15" s="357" t="str">
        <f t="shared" si="7"/>
        <v>Entertainment</v>
      </c>
      <c r="U15" s="358" t="s">
        <v>524</v>
      </c>
      <c r="V15" s="358" t="s">
        <v>520</v>
      </c>
    </row>
    <row r="16" spans="1:22" s="276" customFormat="1" ht="15.75" hidden="1" customHeight="1">
      <c r="A16" s="267" t="s">
        <v>523</v>
      </c>
      <c r="B16" s="329" t="str">
        <f t="shared" si="0"/>
        <v>Wired Port - Media Internet</v>
      </c>
      <c r="C16" s="329" t="str">
        <f t="shared" si="0"/>
        <v>Network &amp; Connectivity</v>
      </c>
      <c r="D16" s="329" t="str">
        <f t="shared" si="1"/>
        <v/>
      </c>
      <c r="E16" s="329" t="str">
        <f t="shared" si="2"/>
        <v>Media Internet Access Media</v>
      </c>
      <c r="F16" s="329" t="str">
        <f t="shared" si="3"/>
        <v>Wired Port - Internet for Media</v>
      </c>
      <c r="G16" s="329" t="str">
        <f t="shared" si="4"/>
        <v>WRDMED - Wired Port - Media Internet (Media Internet Access Media)</v>
      </c>
      <c r="H16" s="269">
        <v>5</v>
      </c>
      <c r="I16" s="330">
        <f t="shared" si="5"/>
        <v>3</v>
      </c>
      <c r="J16" s="330">
        <f t="shared" si="5"/>
        <v>0</v>
      </c>
      <c r="K16" s="269">
        <v>3</v>
      </c>
      <c r="L16" s="330">
        <f t="shared" si="6"/>
        <v>3</v>
      </c>
      <c r="M16" s="330">
        <f t="shared" si="6"/>
        <v>0</v>
      </c>
      <c r="N16" s="330">
        <v>0</v>
      </c>
      <c r="O16" s="272" t="s">
        <v>511</v>
      </c>
      <c r="P16" s="271" t="s">
        <v>149</v>
      </c>
      <c r="Q16" s="272" t="s">
        <v>286</v>
      </c>
      <c r="R16" s="272" t="s">
        <v>512</v>
      </c>
      <c r="S16" s="273" t="s">
        <v>513</v>
      </c>
      <c r="T16" s="274" t="str">
        <f t="shared" si="7"/>
        <v>Entertainment</v>
      </c>
      <c r="U16" s="275" t="s">
        <v>525</v>
      </c>
      <c r="V16" s="358" t="s">
        <v>520</v>
      </c>
    </row>
    <row r="17" spans="1:22" s="276" customFormat="1" ht="15.75" hidden="1" customHeight="1">
      <c r="A17" s="267" t="s">
        <v>523</v>
      </c>
      <c r="B17" s="329" t="str">
        <f t="shared" si="0"/>
        <v>Wired Port - Media Internet</v>
      </c>
      <c r="C17" s="329" t="str">
        <f t="shared" si="0"/>
        <v>Network &amp; Connectivity</v>
      </c>
      <c r="D17" s="329" t="str">
        <f t="shared" si="1"/>
        <v/>
      </c>
      <c r="E17" s="329" t="str">
        <f t="shared" si="2"/>
        <v>Media Internet Access Media</v>
      </c>
      <c r="F17" s="329" t="str">
        <f t="shared" si="3"/>
        <v>Wired Port - Internet for Media</v>
      </c>
      <c r="G17" s="329" t="str">
        <f t="shared" si="4"/>
        <v>WRDMED - Wired Port - Media Internet (Media Internet Access Media)</v>
      </c>
      <c r="H17" s="269">
        <v>5</v>
      </c>
      <c r="I17" s="330">
        <f t="shared" si="5"/>
        <v>3</v>
      </c>
      <c r="J17" s="330">
        <f t="shared" si="5"/>
        <v>0</v>
      </c>
      <c r="K17" s="269">
        <v>3</v>
      </c>
      <c r="L17" s="330">
        <f t="shared" si="6"/>
        <v>3</v>
      </c>
      <c r="M17" s="330">
        <f t="shared" si="6"/>
        <v>0</v>
      </c>
      <c r="N17" s="330">
        <v>0</v>
      </c>
      <c r="O17" s="272" t="s">
        <v>511</v>
      </c>
      <c r="P17" s="271" t="s">
        <v>149</v>
      </c>
      <c r="Q17" s="272" t="s">
        <v>255</v>
      </c>
      <c r="R17" s="272" t="s">
        <v>512</v>
      </c>
      <c r="S17" s="273" t="s">
        <v>513</v>
      </c>
      <c r="T17" s="274" t="str">
        <f t="shared" si="7"/>
        <v>Entertainment</v>
      </c>
      <c r="U17" s="275" t="s">
        <v>525</v>
      </c>
      <c r="V17" s="358" t="s">
        <v>520</v>
      </c>
    </row>
    <row r="18" spans="1:22" s="276" customFormat="1" ht="15.75" hidden="1" customHeight="1">
      <c r="A18" s="267" t="s">
        <v>523</v>
      </c>
      <c r="B18" s="329" t="str">
        <f t="shared" si="0"/>
        <v>Wired Port - Media Internet</v>
      </c>
      <c r="C18" s="329" t="str">
        <f t="shared" si="0"/>
        <v>Network &amp; Connectivity</v>
      </c>
      <c r="D18" s="329" t="str">
        <f t="shared" si="1"/>
        <v/>
      </c>
      <c r="E18" s="329" t="str">
        <f t="shared" si="2"/>
        <v>Media Internet Access Media</v>
      </c>
      <c r="F18" s="329" t="str">
        <f t="shared" si="3"/>
        <v>Wired Port - Internet for Media</v>
      </c>
      <c r="G18" s="329" t="str">
        <f t="shared" si="4"/>
        <v>WRDMED - Wired Port - Media Internet (Media Internet Access Media)</v>
      </c>
      <c r="H18" s="269">
        <v>5</v>
      </c>
      <c r="I18" s="330">
        <f t="shared" si="5"/>
        <v>3</v>
      </c>
      <c r="J18" s="330">
        <f t="shared" si="5"/>
        <v>0</v>
      </c>
      <c r="K18" s="269">
        <v>3</v>
      </c>
      <c r="L18" s="330">
        <f t="shared" si="6"/>
        <v>3</v>
      </c>
      <c r="M18" s="330">
        <f t="shared" si="6"/>
        <v>0</v>
      </c>
      <c r="N18" s="330">
        <v>0</v>
      </c>
      <c r="O18" s="272" t="s">
        <v>511</v>
      </c>
      <c r="P18" s="271" t="s">
        <v>149</v>
      </c>
      <c r="Q18" s="272" t="s">
        <v>515</v>
      </c>
      <c r="R18" s="272" t="s">
        <v>512</v>
      </c>
      <c r="S18" s="273" t="s">
        <v>513</v>
      </c>
      <c r="T18" s="274" t="str">
        <f t="shared" si="7"/>
        <v>Entertainment</v>
      </c>
      <c r="U18" s="275" t="s">
        <v>525</v>
      </c>
      <c r="V18" s="358" t="s">
        <v>520</v>
      </c>
    </row>
    <row r="19" spans="1:22" s="276" customFormat="1" ht="15.75" hidden="1" customHeight="1">
      <c r="A19" s="267" t="s">
        <v>523</v>
      </c>
      <c r="B19" s="329" t="str">
        <f t="shared" si="0"/>
        <v>Wired Port - Media Internet</v>
      </c>
      <c r="C19" s="329" t="str">
        <f t="shared" si="0"/>
        <v>Network &amp; Connectivity</v>
      </c>
      <c r="D19" s="329" t="str">
        <f t="shared" si="1"/>
        <v/>
      </c>
      <c r="E19" s="329" t="str">
        <f t="shared" si="2"/>
        <v>Media Internet Access Media</v>
      </c>
      <c r="F19" s="329" t="str">
        <f t="shared" si="3"/>
        <v>Wired Port - Internet for Media</v>
      </c>
      <c r="G19" s="329" t="str">
        <f t="shared" si="4"/>
        <v>WRDMED - Wired Port - Media Internet (Media Internet Access Media)</v>
      </c>
      <c r="H19" s="269">
        <v>5</v>
      </c>
      <c r="I19" s="330">
        <f t="shared" si="5"/>
        <v>3</v>
      </c>
      <c r="J19" s="330">
        <f t="shared" si="5"/>
        <v>0</v>
      </c>
      <c r="K19" s="269">
        <v>3</v>
      </c>
      <c r="L19" s="330">
        <f t="shared" si="6"/>
        <v>3</v>
      </c>
      <c r="M19" s="330">
        <f t="shared" si="6"/>
        <v>0</v>
      </c>
      <c r="N19" s="330">
        <v>0</v>
      </c>
      <c r="O19" s="272" t="s">
        <v>511</v>
      </c>
      <c r="P19" s="271" t="s">
        <v>149</v>
      </c>
      <c r="Q19" s="272" t="s">
        <v>516</v>
      </c>
      <c r="R19" s="272" t="s">
        <v>512</v>
      </c>
      <c r="S19" s="273" t="s">
        <v>513</v>
      </c>
      <c r="T19" s="274" t="str">
        <f t="shared" si="7"/>
        <v>Entertainment</v>
      </c>
      <c r="U19" s="275" t="s">
        <v>525</v>
      </c>
      <c r="V19" s="358" t="s">
        <v>520</v>
      </c>
    </row>
    <row r="20" spans="1:22" s="276" customFormat="1" ht="15.75" hidden="1" customHeight="1">
      <c r="A20" s="267" t="s">
        <v>523</v>
      </c>
      <c r="B20" s="329" t="str">
        <f t="shared" si="0"/>
        <v>Wired Port - Media Internet</v>
      </c>
      <c r="C20" s="329" t="str">
        <f t="shared" si="0"/>
        <v>Network &amp; Connectivity</v>
      </c>
      <c r="D20" s="329" t="str">
        <f t="shared" si="1"/>
        <v/>
      </c>
      <c r="E20" s="329" t="str">
        <f t="shared" si="2"/>
        <v>Media Internet Access Media</v>
      </c>
      <c r="F20" s="329" t="str">
        <f t="shared" si="3"/>
        <v>Wired Port - Internet for Media</v>
      </c>
      <c r="G20" s="329" t="str">
        <f t="shared" si="4"/>
        <v>WRDMED - Wired Port - Media Internet (Media Internet Access Media)</v>
      </c>
      <c r="H20" s="269">
        <v>5</v>
      </c>
      <c r="I20" s="330">
        <f t="shared" si="5"/>
        <v>3</v>
      </c>
      <c r="J20" s="330">
        <f t="shared" si="5"/>
        <v>0</v>
      </c>
      <c r="K20" s="269">
        <v>3</v>
      </c>
      <c r="L20" s="330">
        <f t="shared" si="6"/>
        <v>3</v>
      </c>
      <c r="M20" s="330">
        <f t="shared" si="6"/>
        <v>0</v>
      </c>
      <c r="N20" s="330">
        <v>0</v>
      </c>
      <c r="O20" s="272" t="s">
        <v>511</v>
      </c>
      <c r="P20" s="271" t="s">
        <v>149</v>
      </c>
      <c r="Q20" s="272" t="s">
        <v>258</v>
      </c>
      <c r="R20" s="272" t="s">
        <v>512</v>
      </c>
      <c r="S20" s="273" t="s">
        <v>513</v>
      </c>
      <c r="T20" s="274" t="str">
        <f t="shared" si="7"/>
        <v>Entertainment</v>
      </c>
      <c r="U20" s="275" t="s">
        <v>525</v>
      </c>
      <c r="V20" s="358" t="s">
        <v>520</v>
      </c>
    </row>
    <row r="21" spans="1:22" s="276" customFormat="1" ht="15.75" hidden="1" customHeight="1">
      <c r="A21" s="267" t="s">
        <v>523</v>
      </c>
      <c r="B21" s="329" t="str">
        <f t="shared" si="0"/>
        <v>Wired Port - Media Internet</v>
      </c>
      <c r="C21" s="329" t="str">
        <f t="shared" si="0"/>
        <v>Network &amp; Connectivity</v>
      </c>
      <c r="D21" s="329" t="str">
        <f t="shared" si="1"/>
        <v/>
      </c>
      <c r="E21" s="329" t="str">
        <f t="shared" si="2"/>
        <v>Media Internet Access Media</v>
      </c>
      <c r="F21" s="329" t="str">
        <f t="shared" si="3"/>
        <v>Wired Port - Internet for Media</v>
      </c>
      <c r="G21" s="329" t="str">
        <f t="shared" si="4"/>
        <v>WRDMED - Wired Port - Media Internet (Media Internet Access Media)</v>
      </c>
      <c r="H21" s="269">
        <v>5</v>
      </c>
      <c r="I21" s="330">
        <f t="shared" si="5"/>
        <v>3</v>
      </c>
      <c r="J21" s="330">
        <f t="shared" si="5"/>
        <v>0</v>
      </c>
      <c r="K21" s="269">
        <v>3</v>
      </c>
      <c r="L21" s="330">
        <f t="shared" si="6"/>
        <v>3</v>
      </c>
      <c r="M21" s="330">
        <f t="shared" si="6"/>
        <v>0</v>
      </c>
      <c r="N21" s="330">
        <v>0</v>
      </c>
      <c r="O21" s="272" t="s">
        <v>511</v>
      </c>
      <c r="P21" s="271" t="s">
        <v>149</v>
      </c>
      <c r="Q21" s="272" t="s">
        <v>517</v>
      </c>
      <c r="R21" s="272" t="s">
        <v>512</v>
      </c>
      <c r="S21" s="273" t="s">
        <v>513</v>
      </c>
      <c r="T21" s="274" t="str">
        <f t="shared" si="7"/>
        <v>Entertainment</v>
      </c>
      <c r="U21" s="275" t="s">
        <v>525</v>
      </c>
      <c r="V21" s="358" t="s">
        <v>520</v>
      </c>
    </row>
    <row r="22" spans="1:22" s="276" customFormat="1" ht="15.75" hidden="1" customHeight="1">
      <c r="A22" s="267" t="s">
        <v>523</v>
      </c>
      <c r="B22" s="329" t="str">
        <f t="shared" si="0"/>
        <v>Wired Port - Media Internet</v>
      </c>
      <c r="C22" s="329" t="str">
        <f t="shared" si="0"/>
        <v>Network &amp; Connectivity</v>
      </c>
      <c r="D22" s="329" t="str">
        <f t="shared" si="1"/>
        <v/>
      </c>
      <c r="E22" s="329" t="str">
        <f t="shared" si="2"/>
        <v>Media Internet Access Media</v>
      </c>
      <c r="F22" s="329" t="str">
        <f t="shared" si="3"/>
        <v>Wired Port - Internet for Media</v>
      </c>
      <c r="G22" s="329" t="str">
        <f t="shared" si="4"/>
        <v>WRDMED - Wired Port - Media Internet (Media Internet Access Media)</v>
      </c>
      <c r="H22" s="269">
        <v>5</v>
      </c>
      <c r="I22" s="330">
        <f t="shared" si="5"/>
        <v>3</v>
      </c>
      <c r="J22" s="330">
        <f t="shared" si="5"/>
        <v>0</v>
      </c>
      <c r="K22" s="269">
        <v>3</v>
      </c>
      <c r="L22" s="330">
        <f t="shared" si="6"/>
        <v>3</v>
      </c>
      <c r="M22" s="330">
        <f t="shared" si="6"/>
        <v>0</v>
      </c>
      <c r="N22" s="330">
        <v>0</v>
      </c>
      <c r="O22" s="272" t="s">
        <v>511</v>
      </c>
      <c r="P22" s="271" t="s">
        <v>149</v>
      </c>
      <c r="Q22" s="272" t="s">
        <v>284</v>
      </c>
      <c r="R22" s="272" t="s">
        <v>512</v>
      </c>
      <c r="S22" s="273" t="s">
        <v>513</v>
      </c>
      <c r="T22" s="274" t="str">
        <f t="shared" si="7"/>
        <v>Entertainment</v>
      </c>
      <c r="U22" s="275" t="s">
        <v>525</v>
      </c>
      <c r="V22" s="358" t="s">
        <v>520</v>
      </c>
    </row>
    <row r="23" spans="1:22" s="276" customFormat="1" ht="15.75" hidden="1" customHeight="1">
      <c r="A23" s="267" t="s">
        <v>523</v>
      </c>
      <c r="B23" s="329" t="str">
        <f t="shared" ref="B23:C42" si="8">IF($A23="","",VLOOKUP($A23,ps_table,MATCH(B$2,ps_headers,0),FALSE))</f>
        <v>Wired Port - Media Internet</v>
      </c>
      <c r="C23" s="329" t="str">
        <f t="shared" si="8"/>
        <v>Network &amp; Connectivity</v>
      </c>
      <c r="D23" s="329" t="str">
        <f t="shared" si="1"/>
        <v/>
      </c>
      <c r="E23" s="329" t="str">
        <f t="shared" si="2"/>
        <v>Media Internet Access Media</v>
      </c>
      <c r="F23" s="329" t="str">
        <f t="shared" si="3"/>
        <v>Wired Port - Internet for Media</v>
      </c>
      <c r="G23" s="329" t="str">
        <f t="shared" si="4"/>
        <v>WRDMED - Wired Port - Media Internet (Media Internet Access Media)</v>
      </c>
      <c r="H23" s="269">
        <v>5</v>
      </c>
      <c r="I23" s="330">
        <f t="shared" ref="I23:J42" si="9">IF($A23="","",$K23*VLOOKUP($A23,ps_table,MATCH(I$2,ps_headers,0),FALSE))</f>
        <v>3</v>
      </c>
      <c r="J23" s="330">
        <f t="shared" si="9"/>
        <v>0</v>
      </c>
      <c r="K23" s="269">
        <v>3</v>
      </c>
      <c r="L23" s="330">
        <f t="shared" ref="L23:M42" si="10">IF($A23="","",$K23*VLOOKUP($A23,ps_table,MATCH(L$2,ps_headers,0),FALSE))</f>
        <v>3</v>
      </c>
      <c r="M23" s="330">
        <f t="shared" si="10"/>
        <v>0</v>
      </c>
      <c r="N23" s="330">
        <v>0</v>
      </c>
      <c r="O23" s="272" t="s">
        <v>511</v>
      </c>
      <c r="P23" s="271" t="s">
        <v>149</v>
      </c>
      <c r="Q23" s="272" t="s">
        <v>518</v>
      </c>
      <c r="R23" s="272" t="s">
        <v>512</v>
      </c>
      <c r="S23" s="273" t="s">
        <v>513</v>
      </c>
      <c r="T23" s="274" t="str">
        <f t="shared" si="7"/>
        <v>Entertainment</v>
      </c>
      <c r="U23" s="275" t="s">
        <v>525</v>
      </c>
      <c r="V23" s="358" t="s">
        <v>520</v>
      </c>
    </row>
    <row r="24" spans="1:22" s="276" customFormat="1" ht="15.75" hidden="1" customHeight="1">
      <c r="A24" s="267" t="s">
        <v>526</v>
      </c>
      <c r="B24" s="329" t="str">
        <f t="shared" si="8"/>
        <v>Wired Port - Content</v>
      </c>
      <c r="C24" s="329" t="str">
        <f t="shared" si="8"/>
        <v>Network &amp; Connectivity</v>
      </c>
      <c r="D24" s="329" t="str">
        <f t="shared" si="1"/>
        <v/>
      </c>
      <c r="E24" s="329" t="str">
        <f t="shared" si="2"/>
        <v>FIFA Technical Content</v>
      </c>
      <c r="F24" s="329" t="str">
        <f t="shared" si="3"/>
        <v>Wired Port - Content</v>
      </c>
      <c r="G24" s="329" t="str">
        <f t="shared" si="4"/>
        <v>WRDSTU - Wired Port - Content (FIFA Technical Content)</v>
      </c>
      <c r="H24" s="269">
        <v>0</v>
      </c>
      <c r="I24" s="330">
        <f t="shared" si="9"/>
        <v>3</v>
      </c>
      <c r="J24" s="330">
        <f t="shared" si="9"/>
        <v>0</v>
      </c>
      <c r="K24" s="269">
        <v>3</v>
      </c>
      <c r="L24" s="330">
        <f t="shared" si="10"/>
        <v>3</v>
      </c>
      <c r="M24" s="330">
        <f t="shared" si="10"/>
        <v>0</v>
      </c>
      <c r="N24" s="330">
        <v>0</v>
      </c>
      <c r="O24" s="272" t="s">
        <v>511</v>
      </c>
      <c r="P24" s="271" t="s">
        <v>149</v>
      </c>
      <c r="Q24" s="272" t="s">
        <v>527</v>
      </c>
      <c r="R24" s="272" t="s">
        <v>528</v>
      </c>
      <c r="S24" s="273" t="s">
        <v>529</v>
      </c>
      <c r="T24" s="274" t="str">
        <f t="shared" si="7"/>
        <v>FIFA Content</v>
      </c>
      <c r="U24" s="275" t="s">
        <v>530</v>
      </c>
      <c r="V24" s="358" t="s">
        <v>520</v>
      </c>
    </row>
    <row r="25" spans="1:22" s="276" customFormat="1" ht="15.75" hidden="1" customHeight="1">
      <c r="A25" s="352" t="s">
        <v>329</v>
      </c>
      <c r="B25" s="359" t="str">
        <f t="shared" si="8"/>
        <v>24" Monitor - HDMI/DP</v>
      </c>
      <c r="C25" s="359" t="str">
        <f t="shared" si="8"/>
        <v>Peripherals</v>
      </c>
      <c r="D25" s="359" t="str">
        <f t="shared" si="1"/>
        <v/>
      </c>
      <c r="E25" s="359" t="str">
        <f t="shared" si="2"/>
        <v/>
      </c>
      <c r="F25" s="359" t="str">
        <f t="shared" si="3"/>
        <v>24" PC Monitor</v>
      </c>
      <c r="G25" s="359" t="str">
        <f t="shared" si="4"/>
        <v>DSKMNT - 24" Monitor - HDMI/DP</v>
      </c>
      <c r="H25" s="353">
        <v>0</v>
      </c>
      <c r="I25" s="360">
        <f t="shared" si="9"/>
        <v>0</v>
      </c>
      <c r="J25" s="360">
        <f t="shared" si="9"/>
        <v>0</v>
      </c>
      <c r="K25" s="353">
        <v>3</v>
      </c>
      <c r="L25" s="360">
        <f t="shared" si="10"/>
        <v>0</v>
      </c>
      <c r="M25" s="360">
        <f t="shared" si="10"/>
        <v>0</v>
      </c>
      <c r="N25" s="360">
        <v>0</v>
      </c>
      <c r="O25" s="354" t="s">
        <v>511</v>
      </c>
      <c r="P25" s="271" t="s">
        <v>149</v>
      </c>
      <c r="Q25" s="272" t="s">
        <v>527</v>
      </c>
      <c r="R25" s="272" t="s">
        <v>528</v>
      </c>
      <c r="S25" s="273" t="s">
        <v>529</v>
      </c>
      <c r="T25" s="274" t="str">
        <f t="shared" si="7"/>
        <v>FIFA Content</v>
      </c>
      <c r="U25" s="275" t="s">
        <v>530</v>
      </c>
      <c r="V25" s="358" t="s">
        <v>514</v>
      </c>
    </row>
    <row r="26" spans="1:22" s="276" customFormat="1" ht="15.75" customHeight="1">
      <c r="A26" s="267" t="s">
        <v>526</v>
      </c>
      <c r="B26" s="329" t="str">
        <f t="shared" si="8"/>
        <v>Wired Port - Content</v>
      </c>
      <c r="C26" s="329" t="str">
        <f t="shared" si="8"/>
        <v>Network &amp; Connectivity</v>
      </c>
      <c r="D26" s="329" t="str">
        <f t="shared" si="1"/>
        <v/>
      </c>
      <c r="E26" s="329" t="str">
        <f t="shared" si="2"/>
        <v>FIFA Technical Content</v>
      </c>
      <c r="F26" s="329" t="str">
        <f t="shared" si="3"/>
        <v>Wired Port - Content</v>
      </c>
      <c r="G26" s="329" t="str">
        <f t="shared" si="4"/>
        <v>WRDSTU - Wired Port - Content (FIFA Technical Content)</v>
      </c>
      <c r="H26" s="269">
        <v>0</v>
      </c>
      <c r="I26" s="330">
        <f t="shared" si="9"/>
        <v>3</v>
      </c>
      <c r="J26" s="330">
        <f t="shared" si="9"/>
        <v>0</v>
      </c>
      <c r="K26" s="441">
        <v>3</v>
      </c>
      <c r="L26" s="330">
        <f t="shared" si="10"/>
        <v>3</v>
      </c>
      <c r="M26" s="330">
        <f t="shared" si="10"/>
        <v>0</v>
      </c>
      <c r="N26" s="330"/>
      <c r="O26" s="272" t="s">
        <v>511</v>
      </c>
      <c r="P26" s="271" t="s">
        <v>152</v>
      </c>
      <c r="Q26" s="272" t="s">
        <v>531</v>
      </c>
      <c r="R26" s="336" t="s">
        <v>532</v>
      </c>
      <c r="S26" s="273" t="s">
        <v>529</v>
      </c>
      <c r="T26" s="274" t="str">
        <f t="shared" si="7"/>
        <v>FIFA Content</v>
      </c>
      <c r="U26" s="275" t="s">
        <v>533</v>
      </c>
      <c r="V26" s="358" t="s">
        <v>520</v>
      </c>
    </row>
    <row r="27" spans="1:22" s="276" customFormat="1" ht="15.75" hidden="1" customHeight="1">
      <c r="A27" s="352" t="s">
        <v>329</v>
      </c>
      <c r="B27" s="359" t="str">
        <f t="shared" si="8"/>
        <v>24" Monitor - HDMI/DP</v>
      </c>
      <c r="C27" s="359" t="str">
        <f t="shared" si="8"/>
        <v>Peripherals</v>
      </c>
      <c r="D27" s="359" t="str">
        <f t="shared" si="1"/>
        <v/>
      </c>
      <c r="E27" s="359" t="str">
        <f t="shared" si="2"/>
        <v/>
      </c>
      <c r="F27" s="359" t="str">
        <f t="shared" si="3"/>
        <v>24" PC Monitor</v>
      </c>
      <c r="G27" s="359" t="str">
        <f t="shared" si="4"/>
        <v>DSKMNT - 24" Monitor - HDMI/DP</v>
      </c>
      <c r="H27" s="353">
        <v>0</v>
      </c>
      <c r="I27" s="360">
        <f t="shared" si="9"/>
        <v>0</v>
      </c>
      <c r="J27" s="360">
        <f t="shared" si="9"/>
        <v>0</v>
      </c>
      <c r="K27" s="444">
        <v>3</v>
      </c>
      <c r="L27" s="360">
        <f t="shared" si="10"/>
        <v>0</v>
      </c>
      <c r="M27" s="360">
        <f t="shared" si="10"/>
        <v>0</v>
      </c>
      <c r="N27" s="360"/>
      <c r="O27" s="354" t="s">
        <v>511</v>
      </c>
      <c r="P27" s="271" t="s">
        <v>152</v>
      </c>
      <c r="Q27" s="272" t="s">
        <v>531</v>
      </c>
      <c r="R27" s="336" t="s">
        <v>532</v>
      </c>
      <c r="S27" s="273" t="s">
        <v>529</v>
      </c>
      <c r="T27" s="274" t="str">
        <f t="shared" si="7"/>
        <v>FIFA Content</v>
      </c>
      <c r="U27" s="275" t="s">
        <v>533</v>
      </c>
      <c r="V27" s="358" t="s">
        <v>514</v>
      </c>
    </row>
    <row r="28" spans="1:22" s="326" customFormat="1" ht="15.75" hidden="1" customHeight="1">
      <c r="A28" s="267" t="s">
        <v>519</v>
      </c>
      <c r="B28" s="332" t="str">
        <f t="shared" si="8"/>
        <v>Wireless coverage - Shared Internet Service - Wi-Fi FIFA</v>
      </c>
      <c r="C28" s="329" t="str">
        <f t="shared" si="8"/>
        <v>Network &amp; Connectivity</v>
      </c>
      <c r="D28" s="329" t="str">
        <f t="shared" si="1"/>
        <v/>
      </c>
      <c r="E28" s="329" t="str">
        <f t="shared" si="2"/>
        <v>General Internet Access</v>
      </c>
      <c r="F28" s="329" t="str">
        <f t="shared" si="3"/>
        <v>Wireless coverage - Shared Internet Service - FIFA</v>
      </c>
      <c r="G28" s="329" t="str">
        <f t="shared" si="4"/>
        <v>IS00WF - Wireless coverage - Shared Internet Service - Wi-Fi FIFA (General Internet Access)</v>
      </c>
      <c r="H28" s="269">
        <v>1</v>
      </c>
      <c r="I28" s="330">
        <f t="shared" si="9"/>
        <v>0</v>
      </c>
      <c r="J28" s="330">
        <f t="shared" si="9"/>
        <v>0</v>
      </c>
      <c r="K28" s="441">
        <v>1</v>
      </c>
      <c r="L28" s="330">
        <f t="shared" si="10"/>
        <v>0</v>
      </c>
      <c r="M28" s="330">
        <f t="shared" si="10"/>
        <v>0</v>
      </c>
      <c r="N28" s="330"/>
      <c r="O28" s="272" t="s">
        <v>511</v>
      </c>
      <c r="P28" s="271" t="s">
        <v>152</v>
      </c>
      <c r="Q28" s="331" t="s">
        <v>534</v>
      </c>
      <c r="R28" s="273" t="s">
        <v>535</v>
      </c>
      <c r="S28" s="273" t="s">
        <v>536</v>
      </c>
      <c r="T28" s="274" t="str">
        <f t="shared" si="7"/>
        <v>FIFA Anti Doping</v>
      </c>
      <c r="U28" s="275"/>
      <c r="V28" s="358" t="s">
        <v>520</v>
      </c>
    </row>
    <row r="29" spans="1:22" s="276" customFormat="1" ht="15.75" hidden="1" customHeight="1">
      <c r="A29" s="267" t="s">
        <v>237</v>
      </c>
      <c r="B29" s="332" t="str">
        <f t="shared" si="8"/>
        <v>TV - Large - IPTV</v>
      </c>
      <c r="C29" s="329" t="str">
        <f t="shared" si="8"/>
        <v>CATV</v>
      </c>
      <c r="D29" s="329" t="str">
        <f t="shared" si="1"/>
        <v/>
      </c>
      <c r="E29" s="329" t="str">
        <f t="shared" si="2"/>
        <v/>
      </c>
      <c r="F29" s="329" t="str">
        <f t="shared" si="3"/>
        <v>Large TV - CATV Feed</v>
      </c>
      <c r="G29" s="329" t="str">
        <f t="shared" si="4"/>
        <v>TVLGIP - TV - Large - IPTV</v>
      </c>
      <c r="H29" s="269">
        <v>1</v>
      </c>
      <c r="I29" s="330">
        <f t="shared" si="9"/>
        <v>1</v>
      </c>
      <c r="J29" s="330">
        <f t="shared" si="9"/>
        <v>0</v>
      </c>
      <c r="K29" s="441">
        <v>1</v>
      </c>
      <c r="L29" s="330">
        <f t="shared" si="10"/>
        <v>1</v>
      </c>
      <c r="M29" s="330">
        <f t="shared" si="10"/>
        <v>0</v>
      </c>
      <c r="N29" s="330"/>
      <c r="O29" s="272" t="s">
        <v>511</v>
      </c>
      <c r="P29" s="271" t="s">
        <v>152</v>
      </c>
      <c r="Q29" s="331" t="s">
        <v>534</v>
      </c>
      <c r="R29" s="273" t="s">
        <v>535</v>
      </c>
      <c r="S29" s="273" t="s">
        <v>536</v>
      </c>
      <c r="T29" s="274" t="str">
        <f t="shared" si="7"/>
        <v>FIFA Anti Doping</v>
      </c>
      <c r="U29" s="275"/>
      <c r="V29" s="358" t="s">
        <v>247</v>
      </c>
    </row>
    <row r="30" spans="1:22" s="276" customFormat="1" ht="15.75" hidden="1" customHeight="1">
      <c r="A30" s="267" t="s">
        <v>537</v>
      </c>
      <c r="B30" s="332" t="str">
        <f t="shared" si="8"/>
        <v>TV Stand - Medium &amp; Large TVs</v>
      </c>
      <c r="C30" s="329" t="str">
        <f t="shared" si="8"/>
        <v>Peripherals</v>
      </c>
      <c r="D30" s="329" t="str">
        <f t="shared" si="1"/>
        <v/>
      </c>
      <c r="E30" s="329" t="str">
        <f t="shared" si="2"/>
        <v/>
      </c>
      <c r="F30" s="329" t="str">
        <f t="shared" si="3"/>
        <v>TV Stand for medium and large TVs</v>
      </c>
      <c r="G30" s="329" t="str">
        <f t="shared" si="4"/>
        <v>TVSTND - TV Stand - Medium &amp; Large TVs</v>
      </c>
      <c r="H30" s="269">
        <v>1</v>
      </c>
      <c r="I30" s="330">
        <f t="shared" si="9"/>
        <v>0</v>
      </c>
      <c r="J30" s="330">
        <f t="shared" si="9"/>
        <v>0</v>
      </c>
      <c r="K30" s="442">
        <v>1</v>
      </c>
      <c r="L30" s="330">
        <f t="shared" si="10"/>
        <v>0</v>
      </c>
      <c r="M30" s="330">
        <f t="shared" si="10"/>
        <v>0</v>
      </c>
      <c r="N30" s="330"/>
      <c r="O30" s="272" t="s">
        <v>511</v>
      </c>
      <c r="P30" s="271" t="s">
        <v>152</v>
      </c>
      <c r="Q30" s="331" t="s">
        <v>534</v>
      </c>
      <c r="R30" s="273" t="s">
        <v>535</v>
      </c>
      <c r="S30" s="273" t="s">
        <v>536</v>
      </c>
      <c r="T30" s="274" t="str">
        <f t="shared" si="7"/>
        <v>FIFA Anti Doping</v>
      </c>
      <c r="U30" s="275"/>
      <c r="V30" s="358" t="s">
        <v>247</v>
      </c>
    </row>
    <row r="31" spans="1:22" s="276" customFormat="1" ht="15.75" hidden="1" customHeight="1">
      <c r="A31" s="267" t="s">
        <v>519</v>
      </c>
      <c r="B31" s="332" t="str">
        <f t="shared" si="8"/>
        <v>Wireless coverage - Shared Internet Service - Wi-Fi FIFA</v>
      </c>
      <c r="C31" s="329" t="str">
        <f t="shared" si="8"/>
        <v>Network &amp; Connectivity</v>
      </c>
      <c r="D31" s="329" t="str">
        <f t="shared" si="1"/>
        <v/>
      </c>
      <c r="E31" s="329" t="str">
        <f t="shared" si="2"/>
        <v>General Internet Access</v>
      </c>
      <c r="F31" s="329" t="str">
        <f t="shared" si="3"/>
        <v>Wireless coverage - Shared Internet Service - FIFA</v>
      </c>
      <c r="G31" s="329" t="str">
        <f t="shared" si="4"/>
        <v>IS00WF - Wireless coverage - Shared Internet Service - Wi-Fi FIFA (General Internet Access)</v>
      </c>
      <c r="H31" s="269">
        <v>1</v>
      </c>
      <c r="I31" s="330">
        <f t="shared" si="9"/>
        <v>0</v>
      </c>
      <c r="J31" s="330">
        <f t="shared" si="9"/>
        <v>0</v>
      </c>
      <c r="K31" s="269">
        <v>1</v>
      </c>
      <c r="L31" s="330">
        <f t="shared" si="10"/>
        <v>0</v>
      </c>
      <c r="M31" s="330">
        <f t="shared" si="10"/>
        <v>0</v>
      </c>
      <c r="N31" s="330"/>
      <c r="O31" s="272" t="s">
        <v>511</v>
      </c>
      <c r="P31" s="271" t="s">
        <v>149</v>
      </c>
      <c r="Q31" s="331" t="s">
        <v>281</v>
      </c>
      <c r="R31" s="273" t="s">
        <v>535</v>
      </c>
      <c r="S31" s="273" t="s">
        <v>536</v>
      </c>
      <c r="T31" s="274" t="str">
        <f t="shared" si="7"/>
        <v>FIFA Anti Doping</v>
      </c>
      <c r="U31" s="275"/>
      <c r="V31" s="358" t="s">
        <v>520</v>
      </c>
    </row>
    <row r="32" spans="1:22" s="276" customFormat="1" ht="15.75" hidden="1" customHeight="1">
      <c r="A32" s="267" t="s">
        <v>538</v>
      </c>
      <c r="B32" s="332" t="str">
        <f t="shared" si="8"/>
        <v>Tablet - FIFA Professional Tablet + 4G</v>
      </c>
      <c r="C32" s="329" t="str">
        <f t="shared" si="8"/>
        <v>FIFA IT Hardware</v>
      </c>
      <c r="D32" s="329" t="str">
        <f t="shared" si="1"/>
        <v>Single</v>
      </c>
      <c r="E32" s="329" t="str">
        <f t="shared" si="2"/>
        <v/>
      </c>
      <c r="F32" s="329" t="str">
        <f t="shared" si="3"/>
        <v>Professional Series Tablet + 4G</v>
      </c>
      <c r="G32" s="329" t="str">
        <f t="shared" si="4"/>
        <v>TABLEN - Tablet - FIFA Professional Tablet + 4G</v>
      </c>
      <c r="H32" s="269">
        <v>4</v>
      </c>
      <c r="I32" s="330">
        <f t="shared" si="9"/>
        <v>0</v>
      </c>
      <c r="J32" s="330">
        <f t="shared" si="9"/>
        <v>4</v>
      </c>
      <c r="K32" s="269">
        <v>4</v>
      </c>
      <c r="L32" s="330">
        <f t="shared" si="10"/>
        <v>0</v>
      </c>
      <c r="M32" s="330">
        <f t="shared" si="10"/>
        <v>4</v>
      </c>
      <c r="N32" s="330"/>
      <c r="O32" s="272" t="s">
        <v>539</v>
      </c>
      <c r="P32" s="271" t="s">
        <v>149</v>
      </c>
      <c r="Q32" s="331" t="s">
        <v>281</v>
      </c>
      <c r="R32" s="273" t="s">
        <v>535</v>
      </c>
      <c r="S32" s="273" t="s">
        <v>536</v>
      </c>
      <c r="T32" s="274" t="str">
        <f t="shared" si="7"/>
        <v>FIFA Anti Doping</v>
      </c>
      <c r="U32" s="275" t="s">
        <v>540</v>
      </c>
      <c r="V32" s="358" t="s">
        <v>514</v>
      </c>
    </row>
    <row r="33" spans="1:22" s="276" customFormat="1" ht="15.75" hidden="1" customHeight="1">
      <c r="A33" s="267" t="s">
        <v>237</v>
      </c>
      <c r="B33" s="332" t="str">
        <f t="shared" si="8"/>
        <v>TV - Large - IPTV</v>
      </c>
      <c r="C33" s="329" t="str">
        <f t="shared" si="8"/>
        <v>CATV</v>
      </c>
      <c r="D33" s="329" t="str">
        <f t="shared" si="1"/>
        <v/>
      </c>
      <c r="E33" s="329" t="str">
        <f t="shared" si="2"/>
        <v/>
      </c>
      <c r="F33" s="329" t="str">
        <f t="shared" si="3"/>
        <v>Large TV - CATV Feed</v>
      </c>
      <c r="G33" s="329" t="str">
        <f t="shared" si="4"/>
        <v>TVLGIP - TV - Large - IPTV</v>
      </c>
      <c r="H33" s="269">
        <v>1</v>
      </c>
      <c r="I33" s="330">
        <f t="shared" si="9"/>
        <v>1</v>
      </c>
      <c r="J33" s="330">
        <f t="shared" si="9"/>
        <v>0</v>
      </c>
      <c r="K33" s="269">
        <v>1</v>
      </c>
      <c r="L33" s="330">
        <f t="shared" si="10"/>
        <v>1</v>
      </c>
      <c r="M33" s="330">
        <f t="shared" si="10"/>
        <v>0</v>
      </c>
      <c r="N33" s="330">
        <v>0</v>
      </c>
      <c r="O33" s="272" t="s">
        <v>511</v>
      </c>
      <c r="P33" s="271" t="s">
        <v>149</v>
      </c>
      <c r="Q33" s="331" t="s">
        <v>281</v>
      </c>
      <c r="R33" s="273" t="s">
        <v>535</v>
      </c>
      <c r="S33" s="273" t="s">
        <v>536</v>
      </c>
      <c r="T33" s="274" t="str">
        <f t="shared" si="7"/>
        <v>FIFA Anti Doping</v>
      </c>
      <c r="U33" s="275" t="s">
        <v>541</v>
      </c>
      <c r="V33" s="358" t="s">
        <v>247</v>
      </c>
    </row>
    <row r="34" spans="1:22" s="276" customFormat="1" ht="15.75" hidden="1" customHeight="1">
      <c r="A34" s="267" t="s">
        <v>537</v>
      </c>
      <c r="B34" s="332" t="str">
        <f t="shared" si="8"/>
        <v>TV Stand - Medium &amp; Large TVs</v>
      </c>
      <c r="C34" s="329" t="str">
        <f t="shared" si="8"/>
        <v>Peripherals</v>
      </c>
      <c r="D34" s="329" t="str">
        <f t="shared" si="1"/>
        <v/>
      </c>
      <c r="E34" s="329" t="str">
        <f t="shared" si="2"/>
        <v/>
      </c>
      <c r="F34" s="329" t="str">
        <f t="shared" si="3"/>
        <v>TV Stand for medium and large TVs</v>
      </c>
      <c r="G34" s="329" t="str">
        <f t="shared" si="4"/>
        <v>TVSTND - TV Stand - Medium &amp; Large TVs</v>
      </c>
      <c r="H34" s="269">
        <v>1</v>
      </c>
      <c r="I34" s="330">
        <f t="shared" si="9"/>
        <v>0</v>
      </c>
      <c r="J34" s="330">
        <f t="shared" si="9"/>
        <v>0</v>
      </c>
      <c r="K34" s="269">
        <v>1</v>
      </c>
      <c r="L34" s="330">
        <f t="shared" si="10"/>
        <v>0</v>
      </c>
      <c r="M34" s="330">
        <f t="shared" si="10"/>
        <v>0</v>
      </c>
      <c r="N34" s="330">
        <v>0</v>
      </c>
      <c r="O34" s="272" t="s">
        <v>511</v>
      </c>
      <c r="P34" s="271" t="s">
        <v>149</v>
      </c>
      <c r="Q34" s="331" t="s">
        <v>281</v>
      </c>
      <c r="R34" s="273" t="s">
        <v>535</v>
      </c>
      <c r="S34" s="273" t="s">
        <v>536</v>
      </c>
      <c r="T34" s="274" t="str">
        <f t="shared" si="7"/>
        <v>FIFA Anti Doping</v>
      </c>
      <c r="U34" s="275"/>
      <c r="V34" s="358" t="s">
        <v>247</v>
      </c>
    </row>
    <row r="35" spans="1:22" s="276" customFormat="1" ht="15.75" hidden="1" customHeight="1">
      <c r="A35" s="277" t="s">
        <v>519</v>
      </c>
      <c r="B35" s="329" t="str">
        <f t="shared" si="8"/>
        <v>Wireless coverage - Shared Internet Service - Wi-Fi FIFA</v>
      </c>
      <c r="C35" s="329" t="str">
        <f t="shared" si="8"/>
        <v>Network &amp; Connectivity</v>
      </c>
      <c r="D35" s="329" t="str">
        <f t="shared" ref="D35:D66" si="11">IF(OR($A35="",$O35&lt;&gt;"FIFA Event Technology"),"",IF(VLOOKUP($A35,ps_table,MATCH(D$2,ps_headers,0),FALSE)&lt;&gt;"",VLOOKUP($A35,ps_table,MATCH(D$2,ps_headers,0),FALSE),""))</f>
        <v/>
      </c>
      <c r="E35" s="329" t="str">
        <f t="shared" ref="E35:E66" si="12">IF($A35="","",IF(VLOOKUP($A35,ps_table,MATCH(E$2,ps_headers,0),FALSE)&lt;&gt;"",VLOOKUP($A35,ps_table,MATCH(E$2,ps_headers,0),FALSE),""))</f>
        <v>General Internet Access</v>
      </c>
      <c r="F35" s="329" t="str">
        <f t="shared" ref="F35:F66" si="13">IF($A35="","",VLOOKUP($A35,ps_table,MATCH(F$2,ps_headers,0),FALSE))</f>
        <v>Wireless coverage - Shared Internet Service - FIFA</v>
      </c>
      <c r="G35" s="329" t="str">
        <f t="shared" ref="G35:G66" si="14">IF($A35="","",IF(E35&lt;&gt;"",A35&amp;" - "&amp;B35&amp;" ("&amp;E35&amp;")",A35&amp;" - "&amp;B35))</f>
        <v>IS00WF - Wireless coverage - Shared Internet Service - Wi-Fi FIFA (General Internet Access)</v>
      </c>
      <c r="H35" s="269">
        <v>1</v>
      </c>
      <c r="I35" s="330">
        <f t="shared" si="9"/>
        <v>0</v>
      </c>
      <c r="J35" s="330">
        <f t="shared" si="9"/>
        <v>0</v>
      </c>
      <c r="K35" s="269">
        <v>1</v>
      </c>
      <c r="L35" s="330">
        <f t="shared" si="10"/>
        <v>0</v>
      </c>
      <c r="M35" s="330">
        <f t="shared" si="10"/>
        <v>0</v>
      </c>
      <c r="N35" s="330"/>
      <c r="O35" s="272" t="s">
        <v>511</v>
      </c>
      <c r="P35" s="271" t="s">
        <v>149</v>
      </c>
      <c r="Q35" s="272" t="s">
        <v>542</v>
      </c>
      <c r="R35" s="336" t="s">
        <v>543</v>
      </c>
      <c r="S35" s="273" t="s">
        <v>544</v>
      </c>
      <c r="T35" s="274" t="str">
        <f t="shared" si="7"/>
        <v>FIFA Broadcast</v>
      </c>
      <c r="U35" s="275"/>
      <c r="V35" s="358" t="s">
        <v>520</v>
      </c>
    </row>
    <row r="36" spans="1:22" s="276" customFormat="1" ht="15.75" hidden="1" customHeight="1">
      <c r="A36" s="277" t="s">
        <v>202</v>
      </c>
      <c r="B36" s="329" t="str">
        <f t="shared" si="8"/>
        <v>MFD Desktop - Colour - A4 - Network</v>
      </c>
      <c r="C36" s="329" t="str">
        <f t="shared" si="8"/>
        <v>Reprographics</v>
      </c>
      <c r="D36" s="329" t="str">
        <f t="shared" si="11"/>
        <v/>
      </c>
      <c r="E36" s="329" t="str">
        <f t="shared" si="12"/>
        <v>General Internet Access</v>
      </c>
      <c r="F36" s="329" t="str">
        <f t="shared" si="13"/>
        <v>Colour Printer / Scanner (A4)</v>
      </c>
      <c r="G36" s="329" t="str">
        <f t="shared" si="14"/>
        <v>MFDDNW - MFD Desktop - Colour - A4 - Network (General Internet Access)</v>
      </c>
      <c r="H36" s="269">
        <v>1</v>
      </c>
      <c r="I36" s="330">
        <f t="shared" si="9"/>
        <v>1</v>
      </c>
      <c r="J36" s="330">
        <f t="shared" si="9"/>
        <v>0</v>
      </c>
      <c r="K36" s="269">
        <v>1</v>
      </c>
      <c r="L36" s="330">
        <f t="shared" si="10"/>
        <v>1</v>
      </c>
      <c r="M36" s="330">
        <f t="shared" si="10"/>
        <v>0</v>
      </c>
      <c r="N36" s="330">
        <v>0</v>
      </c>
      <c r="O36" s="272" t="s">
        <v>511</v>
      </c>
      <c r="P36" s="271" t="s">
        <v>149</v>
      </c>
      <c r="Q36" s="272" t="s">
        <v>542</v>
      </c>
      <c r="R36" s="336" t="s">
        <v>543</v>
      </c>
      <c r="S36" s="273" t="s">
        <v>544</v>
      </c>
      <c r="T36" s="274" t="str">
        <f t="shared" si="7"/>
        <v>FIFA Broadcast</v>
      </c>
      <c r="U36" s="275"/>
      <c r="V36" s="358" t="s">
        <v>514</v>
      </c>
    </row>
    <row r="37" spans="1:22" s="276" customFormat="1" ht="15.75" hidden="1" customHeight="1">
      <c r="A37" s="277" t="s">
        <v>225</v>
      </c>
      <c r="B37" s="329" t="str">
        <f t="shared" si="8"/>
        <v xml:space="preserve">Wired Port - General Internet </v>
      </c>
      <c r="C37" s="329" t="str">
        <f t="shared" si="8"/>
        <v>Network &amp; Connectivity</v>
      </c>
      <c r="D37" s="329" t="str">
        <f t="shared" si="11"/>
        <v/>
      </c>
      <c r="E37" s="329" t="str">
        <f t="shared" si="12"/>
        <v>General Internet Access</v>
      </c>
      <c r="F37" s="329" t="str">
        <f t="shared" si="13"/>
        <v>Wired Port - Internet</v>
      </c>
      <c r="G37" s="329" t="str">
        <f t="shared" si="14"/>
        <v>WRDGEN - Wired Port - General Internet  (General Internet Access)</v>
      </c>
      <c r="H37" s="269">
        <v>6</v>
      </c>
      <c r="I37" s="330">
        <f t="shared" si="9"/>
        <v>1</v>
      </c>
      <c r="J37" s="330">
        <f t="shared" si="9"/>
        <v>0</v>
      </c>
      <c r="K37" s="269">
        <v>1</v>
      </c>
      <c r="L37" s="330">
        <f t="shared" si="10"/>
        <v>1</v>
      </c>
      <c r="M37" s="330">
        <f t="shared" si="10"/>
        <v>0</v>
      </c>
      <c r="N37" s="330"/>
      <c r="O37" s="272" t="s">
        <v>511</v>
      </c>
      <c r="P37" s="271" t="s">
        <v>149</v>
      </c>
      <c r="Q37" s="272" t="s">
        <v>542</v>
      </c>
      <c r="R37" s="336" t="s">
        <v>543</v>
      </c>
      <c r="S37" s="273" t="s">
        <v>544</v>
      </c>
      <c r="T37" s="274" t="str">
        <f t="shared" si="7"/>
        <v>FIFA Broadcast</v>
      </c>
      <c r="U37" s="275"/>
      <c r="V37" s="358" t="s">
        <v>520</v>
      </c>
    </row>
    <row r="38" spans="1:22" s="276" customFormat="1" ht="15.75" hidden="1" customHeight="1">
      <c r="A38" s="277" t="s">
        <v>526</v>
      </c>
      <c r="B38" s="329" t="str">
        <f t="shared" si="8"/>
        <v>Wired Port - Content</v>
      </c>
      <c r="C38" s="329" t="str">
        <f t="shared" si="8"/>
        <v>Network &amp; Connectivity</v>
      </c>
      <c r="D38" s="329" t="str">
        <f t="shared" si="11"/>
        <v/>
      </c>
      <c r="E38" s="329" t="str">
        <f t="shared" si="12"/>
        <v>FIFA Technical Content</v>
      </c>
      <c r="F38" s="329" t="str">
        <f t="shared" si="13"/>
        <v>Wired Port - Content</v>
      </c>
      <c r="G38" s="329" t="str">
        <f t="shared" si="14"/>
        <v>WRDSTU - Wired Port - Content (FIFA Technical Content)</v>
      </c>
      <c r="H38" s="269">
        <v>1</v>
      </c>
      <c r="I38" s="330">
        <f t="shared" si="9"/>
        <v>1</v>
      </c>
      <c r="J38" s="330">
        <f t="shared" si="9"/>
        <v>0</v>
      </c>
      <c r="K38" s="269">
        <v>1</v>
      </c>
      <c r="L38" s="330">
        <f t="shared" si="10"/>
        <v>1</v>
      </c>
      <c r="M38" s="330">
        <f t="shared" si="10"/>
        <v>0</v>
      </c>
      <c r="N38" s="330"/>
      <c r="O38" s="272" t="s">
        <v>511</v>
      </c>
      <c r="P38" s="271" t="s">
        <v>149</v>
      </c>
      <c r="Q38" s="272" t="s">
        <v>542</v>
      </c>
      <c r="R38" s="336" t="s">
        <v>543</v>
      </c>
      <c r="S38" s="273" t="s">
        <v>544</v>
      </c>
      <c r="T38" s="274" t="str">
        <f t="shared" si="7"/>
        <v>FIFA Broadcast</v>
      </c>
      <c r="U38" s="275"/>
      <c r="V38" s="358" t="s">
        <v>520</v>
      </c>
    </row>
    <row r="39" spans="1:22" s="335" customFormat="1" ht="15.75" hidden="1" customHeight="1">
      <c r="A39" s="277" t="s">
        <v>519</v>
      </c>
      <c r="B39" s="329" t="str">
        <f t="shared" si="8"/>
        <v>Wireless coverage - Shared Internet Service - Wi-Fi FIFA</v>
      </c>
      <c r="C39" s="329" t="str">
        <f t="shared" si="8"/>
        <v>Network &amp; Connectivity</v>
      </c>
      <c r="D39" s="329" t="str">
        <f t="shared" si="11"/>
        <v/>
      </c>
      <c r="E39" s="329" t="str">
        <f t="shared" si="12"/>
        <v>General Internet Access</v>
      </c>
      <c r="F39" s="329" t="str">
        <f t="shared" si="13"/>
        <v>Wireless coverage - Shared Internet Service - FIFA</v>
      </c>
      <c r="G39" s="329" t="str">
        <f t="shared" si="14"/>
        <v>IS00WF - Wireless coverage - Shared Internet Service - Wi-Fi FIFA (General Internet Access)</v>
      </c>
      <c r="H39" s="269">
        <v>1</v>
      </c>
      <c r="I39" s="330">
        <f t="shared" si="9"/>
        <v>0</v>
      </c>
      <c r="J39" s="330">
        <f t="shared" si="9"/>
        <v>0</v>
      </c>
      <c r="K39" s="269">
        <v>1</v>
      </c>
      <c r="L39" s="330">
        <f t="shared" si="10"/>
        <v>0</v>
      </c>
      <c r="M39" s="330">
        <f t="shared" si="10"/>
        <v>0</v>
      </c>
      <c r="N39" s="330"/>
      <c r="O39" s="272" t="s">
        <v>511</v>
      </c>
      <c r="P39" s="271" t="s">
        <v>149</v>
      </c>
      <c r="Q39" s="272" t="s">
        <v>545</v>
      </c>
      <c r="R39" s="336" t="s">
        <v>546</v>
      </c>
      <c r="S39" s="273" t="s">
        <v>544</v>
      </c>
      <c r="T39" s="274" t="str">
        <f t="shared" si="7"/>
        <v>FIFA Broadcast</v>
      </c>
      <c r="U39" s="275"/>
      <c r="V39" s="358" t="s">
        <v>520</v>
      </c>
    </row>
    <row r="40" spans="1:22" s="328" customFormat="1" ht="15.75" hidden="1" customHeight="1">
      <c r="A40" s="277" t="s">
        <v>202</v>
      </c>
      <c r="B40" s="329" t="str">
        <f t="shared" si="8"/>
        <v>MFD Desktop - Colour - A4 - Network</v>
      </c>
      <c r="C40" s="329" t="str">
        <f t="shared" si="8"/>
        <v>Reprographics</v>
      </c>
      <c r="D40" s="329" t="str">
        <f t="shared" si="11"/>
        <v/>
      </c>
      <c r="E40" s="329" t="str">
        <f t="shared" si="12"/>
        <v>General Internet Access</v>
      </c>
      <c r="F40" s="329" t="str">
        <f t="shared" si="13"/>
        <v>Colour Printer / Scanner (A4)</v>
      </c>
      <c r="G40" s="329" t="str">
        <f t="shared" si="14"/>
        <v>MFDDNW - MFD Desktop - Colour - A4 - Network (General Internet Access)</v>
      </c>
      <c r="H40" s="269">
        <v>1</v>
      </c>
      <c r="I40" s="330">
        <f t="shared" si="9"/>
        <v>1</v>
      </c>
      <c r="J40" s="330">
        <f t="shared" si="9"/>
        <v>0</v>
      </c>
      <c r="K40" s="269">
        <v>1</v>
      </c>
      <c r="L40" s="330">
        <f t="shared" si="10"/>
        <v>1</v>
      </c>
      <c r="M40" s="330">
        <f t="shared" si="10"/>
        <v>0</v>
      </c>
      <c r="N40" s="330">
        <v>0</v>
      </c>
      <c r="O40" s="272" t="s">
        <v>511</v>
      </c>
      <c r="P40" s="271" t="s">
        <v>149</v>
      </c>
      <c r="Q40" s="272" t="s">
        <v>545</v>
      </c>
      <c r="R40" s="336" t="s">
        <v>546</v>
      </c>
      <c r="S40" s="273" t="s">
        <v>544</v>
      </c>
      <c r="T40" s="274" t="str">
        <f t="shared" si="7"/>
        <v>FIFA Broadcast</v>
      </c>
      <c r="U40" s="275"/>
      <c r="V40" s="358" t="s">
        <v>514</v>
      </c>
    </row>
    <row r="41" spans="1:22" s="335" customFormat="1" ht="15.75" hidden="1" customHeight="1">
      <c r="A41" s="277" t="s">
        <v>225</v>
      </c>
      <c r="B41" s="329" t="str">
        <f t="shared" si="8"/>
        <v xml:space="preserve">Wired Port - General Internet </v>
      </c>
      <c r="C41" s="329" t="str">
        <f t="shared" si="8"/>
        <v>Network &amp; Connectivity</v>
      </c>
      <c r="D41" s="329" t="str">
        <f t="shared" si="11"/>
        <v/>
      </c>
      <c r="E41" s="329" t="str">
        <f t="shared" si="12"/>
        <v>General Internet Access</v>
      </c>
      <c r="F41" s="329" t="str">
        <f t="shared" si="13"/>
        <v>Wired Port - Internet</v>
      </c>
      <c r="G41" s="329" t="str">
        <f t="shared" si="14"/>
        <v>WRDGEN - Wired Port - General Internet  (General Internet Access)</v>
      </c>
      <c r="H41" s="269">
        <v>6</v>
      </c>
      <c r="I41" s="330">
        <f t="shared" si="9"/>
        <v>1</v>
      </c>
      <c r="J41" s="330">
        <f t="shared" si="9"/>
        <v>0</v>
      </c>
      <c r="K41" s="269">
        <v>1</v>
      </c>
      <c r="L41" s="330">
        <f t="shared" si="10"/>
        <v>1</v>
      </c>
      <c r="M41" s="330">
        <f t="shared" si="10"/>
        <v>0</v>
      </c>
      <c r="N41" s="330"/>
      <c r="O41" s="272" t="s">
        <v>511</v>
      </c>
      <c r="P41" s="271" t="s">
        <v>149</v>
      </c>
      <c r="Q41" s="272" t="s">
        <v>545</v>
      </c>
      <c r="R41" s="336" t="s">
        <v>546</v>
      </c>
      <c r="S41" s="273" t="s">
        <v>544</v>
      </c>
      <c r="T41" s="274" t="str">
        <f t="shared" si="7"/>
        <v>FIFA Broadcast</v>
      </c>
      <c r="U41" s="275"/>
      <c r="V41" s="358" t="s">
        <v>520</v>
      </c>
    </row>
    <row r="42" spans="1:22" s="276" customFormat="1" ht="15.75" hidden="1" customHeight="1">
      <c r="A42" s="277" t="s">
        <v>526</v>
      </c>
      <c r="B42" s="329" t="str">
        <f t="shared" si="8"/>
        <v>Wired Port - Content</v>
      </c>
      <c r="C42" s="329" t="str">
        <f t="shared" si="8"/>
        <v>Network &amp; Connectivity</v>
      </c>
      <c r="D42" s="329" t="str">
        <f t="shared" si="11"/>
        <v/>
      </c>
      <c r="E42" s="329" t="str">
        <f t="shared" si="12"/>
        <v>FIFA Technical Content</v>
      </c>
      <c r="F42" s="329" t="str">
        <f t="shared" si="13"/>
        <v>Wired Port - Content</v>
      </c>
      <c r="G42" s="329" t="str">
        <f t="shared" si="14"/>
        <v>WRDSTU - Wired Port - Content (FIFA Technical Content)</v>
      </c>
      <c r="H42" s="269">
        <v>1</v>
      </c>
      <c r="I42" s="330">
        <f t="shared" si="9"/>
        <v>1</v>
      </c>
      <c r="J42" s="330">
        <f t="shared" si="9"/>
        <v>0</v>
      </c>
      <c r="K42" s="269">
        <v>1</v>
      </c>
      <c r="L42" s="330">
        <f t="shared" si="10"/>
        <v>1</v>
      </c>
      <c r="M42" s="330">
        <f t="shared" si="10"/>
        <v>0</v>
      </c>
      <c r="N42" s="330"/>
      <c r="O42" s="272" t="s">
        <v>511</v>
      </c>
      <c r="P42" s="271" t="s">
        <v>149</v>
      </c>
      <c r="Q42" s="272" t="s">
        <v>545</v>
      </c>
      <c r="R42" s="336" t="s">
        <v>546</v>
      </c>
      <c r="S42" s="273" t="s">
        <v>544</v>
      </c>
      <c r="T42" s="274" t="str">
        <f t="shared" si="7"/>
        <v>FIFA Broadcast</v>
      </c>
      <c r="U42" s="275"/>
      <c r="V42" s="358" t="s">
        <v>520</v>
      </c>
    </row>
    <row r="43" spans="1:22" s="276" customFormat="1" ht="15.75" hidden="1" customHeight="1">
      <c r="A43" s="361" t="s">
        <v>547</v>
      </c>
      <c r="B43" s="346" t="str">
        <f t="shared" ref="B43:C62" si="15">IF($A43="","",VLOOKUP($A43,ps_table,MATCH(B$2,ps_headers,0),FALSE))</f>
        <v>Wired Port - Stream &amp; World feed</v>
      </c>
      <c r="C43" s="329" t="str">
        <f t="shared" si="15"/>
        <v>Network &amp; Connectivity</v>
      </c>
      <c r="D43" s="329" t="str">
        <f t="shared" si="11"/>
        <v/>
      </c>
      <c r="E43" s="329" t="str">
        <f t="shared" si="12"/>
        <v>Stream Fabs &amp; W Feed</v>
      </c>
      <c r="F43" s="329" t="str">
        <f t="shared" si="13"/>
        <v>Wired Port - Stream &amp; World feed</v>
      </c>
      <c r="G43" s="329" t="str">
        <f t="shared" si="14"/>
        <v>WRDSTR - Wired Port - Stream &amp; World feed (Stream Fabs &amp; W Feed)</v>
      </c>
      <c r="H43" s="269">
        <v>1</v>
      </c>
      <c r="I43" s="330">
        <f t="shared" ref="I43:J62" si="16">IF($A43="","",$K43*VLOOKUP($A43,ps_table,MATCH(I$2,ps_headers,0),FALSE))</f>
        <v>1</v>
      </c>
      <c r="J43" s="330">
        <f t="shared" si="16"/>
        <v>0</v>
      </c>
      <c r="K43" s="269">
        <v>1</v>
      </c>
      <c r="L43" s="330">
        <f t="shared" ref="L43:M62" si="17">IF($A43="","",$K43*VLOOKUP($A43,ps_table,MATCH(L$2,ps_headers,0),FALSE))</f>
        <v>1</v>
      </c>
      <c r="M43" s="330">
        <f t="shared" si="17"/>
        <v>0</v>
      </c>
      <c r="N43" s="330"/>
      <c r="O43" s="272" t="s">
        <v>511</v>
      </c>
      <c r="P43" s="271" t="s">
        <v>149</v>
      </c>
      <c r="Q43" s="272" t="s">
        <v>517</v>
      </c>
      <c r="R43" s="272" t="s">
        <v>548</v>
      </c>
      <c r="S43" s="273" t="s">
        <v>544</v>
      </c>
      <c r="T43" s="274" t="str">
        <f t="shared" si="7"/>
        <v>FIFA Broadcast</v>
      </c>
      <c r="U43" s="275" t="s">
        <v>549</v>
      </c>
      <c r="V43" s="358" t="s">
        <v>520</v>
      </c>
    </row>
    <row r="44" spans="1:22" s="276" customFormat="1" ht="15.75" hidden="1" customHeight="1">
      <c r="A44" s="361" t="s">
        <v>547</v>
      </c>
      <c r="B44" s="346" t="str">
        <f t="shared" si="15"/>
        <v>Wired Port - Stream &amp; World feed</v>
      </c>
      <c r="C44" s="329" t="str">
        <f t="shared" si="15"/>
        <v>Network &amp; Connectivity</v>
      </c>
      <c r="D44" s="329" t="str">
        <f t="shared" si="11"/>
        <v/>
      </c>
      <c r="E44" s="329" t="str">
        <f t="shared" si="12"/>
        <v>Stream Fabs &amp; W Feed</v>
      </c>
      <c r="F44" s="329" t="str">
        <f t="shared" si="13"/>
        <v>Wired Port - Stream &amp; World feed</v>
      </c>
      <c r="G44" s="329" t="str">
        <f t="shared" si="14"/>
        <v>WRDSTR - Wired Port - Stream &amp; World feed (Stream Fabs &amp; W Feed)</v>
      </c>
      <c r="H44" s="269">
        <v>1</v>
      </c>
      <c r="I44" s="330">
        <f t="shared" si="16"/>
        <v>1</v>
      </c>
      <c r="J44" s="330">
        <f t="shared" si="16"/>
        <v>0</v>
      </c>
      <c r="K44" s="269">
        <v>1</v>
      </c>
      <c r="L44" s="330">
        <f t="shared" si="17"/>
        <v>1</v>
      </c>
      <c r="M44" s="330">
        <f t="shared" si="17"/>
        <v>0</v>
      </c>
      <c r="N44" s="330"/>
      <c r="O44" s="272" t="s">
        <v>511</v>
      </c>
      <c r="P44" s="271" t="s">
        <v>149</v>
      </c>
      <c r="Q44" s="272" t="s">
        <v>517</v>
      </c>
      <c r="R44" s="272" t="s">
        <v>550</v>
      </c>
      <c r="S44" s="273" t="s">
        <v>544</v>
      </c>
      <c r="T44" s="274" t="str">
        <f t="shared" si="7"/>
        <v>FIFA Broadcast</v>
      </c>
      <c r="U44" s="275" t="s">
        <v>549</v>
      </c>
      <c r="V44" s="358" t="s">
        <v>520</v>
      </c>
    </row>
    <row r="45" spans="1:22" s="276" customFormat="1" ht="15.75" hidden="1" customHeight="1">
      <c r="A45" s="361" t="s">
        <v>547</v>
      </c>
      <c r="B45" s="346" t="str">
        <f t="shared" si="15"/>
        <v>Wired Port - Stream &amp; World feed</v>
      </c>
      <c r="C45" s="329" t="str">
        <f t="shared" si="15"/>
        <v>Network &amp; Connectivity</v>
      </c>
      <c r="D45" s="329" t="str">
        <f t="shared" si="11"/>
        <v/>
      </c>
      <c r="E45" s="329" t="str">
        <f t="shared" si="12"/>
        <v>Stream Fabs &amp; W Feed</v>
      </c>
      <c r="F45" s="329" t="str">
        <f t="shared" si="13"/>
        <v>Wired Port - Stream &amp; World feed</v>
      </c>
      <c r="G45" s="329" t="str">
        <f t="shared" si="14"/>
        <v>WRDSTR - Wired Port - Stream &amp; World feed (Stream Fabs &amp; W Feed)</v>
      </c>
      <c r="H45" s="269">
        <v>1</v>
      </c>
      <c r="I45" s="330">
        <f t="shared" si="16"/>
        <v>1</v>
      </c>
      <c r="J45" s="330">
        <f t="shared" si="16"/>
        <v>0</v>
      </c>
      <c r="K45" s="269">
        <v>1</v>
      </c>
      <c r="L45" s="330">
        <f t="shared" si="17"/>
        <v>1</v>
      </c>
      <c r="M45" s="330">
        <f t="shared" si="17"/>
        <v>0</v>
      </c>
      <c r="N45" s="330"/>
      <c r="O45" s="272" t="s">
        <v>511</v>
      </c>
      <c r="P45" s="271" t="s">
        <v>149</v>
      </c>
      <c r="Q45" s="272" t="s">
        <v>517</v>
      </c>
      <c r="R45" s="272" t="s">
        <v>551</v>
      </c>
      <c r="S45" s="273" t="s">
        <v>544</v>
      </c>
      <c r="T45" s="274" t="str">
        <f t="shared" si="7"/>
        <v>FIFA Broadcast</v>
      </c>
      <c r="U45" s="275" t="s">
        <v>549</v>
      </c>
      <c r="V45" s="358" t="s">
        <v>520</v>
      </c>
    </row>
    <row r="46" spans="1:22" s="276" customFormat="1" ht="15.75" hidden="1" customHeight="1">
      <c r="A46" s="361" t="s">
        <v>547</v>
      </c>
      <c r="B46" s="346" t="str">
        <f t="shared" si="15"/>
        <v>Wired Port - Stream &amp; World feed</v>
      </c>
      <c r="C46" s="329" t="str">
        <f t="shared" si="15"/>
        <v>Network &amp; Connectivity</v>
      </c>
      <c r="D46" s="329" t="str">
        <f t="shared" si="11"/>
        <v/>
      </c>
      <c r="E46" s="329" t="str">
        <f t="shared" si="12"/>
        <v>Stream Fabs &amp; W Feed</v>
      </c>
      <c r="F46" s="329" t="str">
        <f t="shared" si="13"/>
        <v>Wired Port - Stream &amp; World feed</v>
      </c>
      <c r="G46" s="329" t="str">
        <f t="shared" si="14"/>
        <v>WRDSTR - Wired Port - Stream &amp; World feed (Stream Fabs &amp; W Feed)</v>
      </c>
      <c r="H46" s="269">
        <v>1</v>
      </c>
      <c r="I46" s="330">
        <f t="shared" si="16"/>
        <v>1</v>
      </c>
      <c r="J46" s="330">
        <f t="shared" si="16"/>
        <v>0</v>
      </c>
      <c r="K46" s="269">
        <v>1</v>
      </c>
      <c r="L46" s="330">
        <f t="shared" si="17"/>
        <v>1</v>
      </c>
      <c r="M46" s="330">
        <f t="shared" si="17"/>
        <v>0</v>
      </c>
      <c r="N46" s="330"/>
      <c r="O46" s="272" t="s">
        <v>511</v>
      </c>
      <c r="P46" s="271" t="s">
        <v>149</v>
      </c>
      <c r="Q46" s="272" t="s">
        <v>517</v>
      </c>
      <c r="R46" s="272" t="s">
        <v>552</v>
      </c>
      <c r="S46" s="273" t="s">
        <v>544</v>
      </c>
      <c r="T46" s="274" t="str">
        <f t="shared" si="7"/>
        <v>FIFA Broadcast</v>
      </c>
      <c r="U46" s="275" t="s">
        <v>549</v>
      </c>
      <c r="V46" s="358" t="s">
        <v>520</v>
      </c>
    </row>
    <row r="47" spans="1:22" s="276" customFormat="1" ht="15.75" hidden="1" customHeight="1">
      <c r="A47" s="361" t="s">
        <v>547</v>
      </c>
      <c r="B47" s="346" t="str">
        <f t="shared" si="15"/>
        <v>Wired Port - Stream &amp; World feed</v>
      </c>
      <c r="C47" s="329" t="str">
        <f t="shared" si="15"/>
        <v>Network &amp; Connectivity</v>
      </c>
      <c r="D47" s="329" t="str">
        <f t="shared" si="11"/>
        <v/>
      </c>
      <c r="E47" s="329" t="str">
        <f t="shared" si="12"/>
        <v>Stream Fabs &amp; W Feed</v>
      </c>
      <c r="F47" s="329" t="str">
        <f t="shared" si="13"/>
        <v>Wired Port - Stream &amp; World feed</v>
      </c>
      <c r="G47" s="329" t="str">
        <f t="shared" si="14"/>
        <v>WRDSTR - Wired Port - Stream &amp; World feed (Stream Fabs &amp; W Feed)</v>
      </c>
      <c r="H47" s="269">
        <v>1</v>
      </c>
      <c r="I47" s="330">
        <f t="shared" si="16"/>
        <v>1</v>
      </c>
      <c r="J47" s="330">
        <f t="shared" si="16"/>
        <v>0</v>
      </c>
      <c r="K47" s="269">
        <v>1</v>
      </c>
      <c r="L47" s="330">
        <f t="shared" si="17"/>
        <v>1</v>
      </c>
      <c r="M47" s="330">
        <f t="shared" si="17"/>
        <v>0</v>
      </c>
      <c r="N47" s="330"/>
      <c r="O47" s="272" t="s">
        <v>511</v>
      </c>
      <c r="P47" s="271" t="s">
        <v>149</v>
      </c>
      <c r="Q47" s="272" t="s">
        <v>258</v>
      </c>
      <c r="R47" s="272" t="s">
        <v>548</v>
      </c>
      <c r="S47" s="273" t="s">
        <v>544</v>
      </c>
      <c r="T47" s="274" t="str">
        <f t="shared" si="7"/>
        <v>FIFA Broadcast</v>
      </c>
      <c r="U47" s="275" t="s">
        <v>549</v>
      </c>
      <c r="V47" s="358" t="s">
        <v>520</v>
      </c>
    </row>
    <row r="48" spans="1:22" s="276" customFormat="1" ht="15.75" hidden="1" customHeight="1">
      <c r="A48" s="361" t="s">
        <v>547</v>
      </c>
      <c r="B48" s="346" t="str">
        <f t="shared" si="15"/>
        <v>Wired Port - Stream &amp; World feed</v>
      </c>
      <c r="C48" s="329" t="str">
        <f t="shared" si="15"/>
        <v>Network &amp; Connectivity</v>
      </c>
      <c r="D48" s="329" t="str">
        <f t="shared" si="11"/>
        <v/>
      </c>
      <c r="E48" s="329" t="str">
        <f t="shared" si="12"/>
        <v>Stream Fabs &amp; W Feed</v>
      </c>
      <c r="F48" s="329" t="str">
        <f t="shared" si="13"/>
        <v>Wired Port - Stream &amp; World feed</v>
      </c>
      <c r="G48" s="329" t="str">
        <f t="shared" si="14"/>
        <v>WRDSTR - Wired Port - Stream &amp; World feed (Stream Fabs &amp; W Feed)</v>
      </c>
      <c r="H48" s="269">
        <v>1</v>
      </c>
      <c r="I48" s="330">
        <f t="shared" si="16"/>
        <v>1</v>
      </c>
      <c r="J48" s="330">
        <f t="shared" si="16"/>
        <v>0</v>
      </c>
      <c r="K48" s="269">
        <v>1</v>
      </c>
      <c r="L48" s="330">
        <f t="shared" si="17"/>
        <v>1</v>
      </c>
      <c r="M48" s="330">
        <f t="shared" si="17"/>
        <v>0</v>
      </c>
      <c r="N48" s="330"/>
      <c r="O48" s="272" t="s">
        <v>511</v>
      </c>
      <c r="P48" s="271" t="s">
        <v>149</v>
      </c>
      <c r="Q48" s="272" t="s">
        <v>258</v>
      </c>
      <c r="R48" s="272" t="s">
        <v>550</v>
      </c>
      <c r="S48" s="273" t="s">
        <v>544</v>
      </c>
      <c r="T48" s="274" t="str">
        <f t="shared" si="7"/>
        <v>FIFA Broadcast</v>
      </c>
      <c r="U48" s="275" t="s">
        <v>549</v>
      </c>
      <c r="V48" s="358" t="s">
        <v>520</v>
      </c>
    </row>
    <row r="49" spans="1:22" s="276" customFormat="1" ht="15.75" hidden="1" customHeight="1">
      <c r="A49" s="361" t="s">
        <v>547</v>
      </c>
      <c r="B49" s="346" t="str">
        <f t="shared" si="15"/>
        <v>Wired Port - Stream &amp; World feed</v>
      </c>
      <c r="C49" s="329" t="str">
        <f t="shared" si="15"/>
        <v>Network &amp; Connectivity</v>
      </c>
      <c r="D49" s="329" t="str">
        <f t="shared" si="11"/>
        <v/>
      </c>
      <c r="E49" s="329" t="str">
        <f t="shared" si="12"/>
        <v>Stream Fabs &amp; W Feed</v>
      </c>
      <c r="F49" s="329" t="str">
        <f t="shared" si="13"/>
        <v>Wired Port - Stream &amp; World feed</v>
      </c>
      <c r="G49" s="329" t="str">
        <f t="shared" si="14"/>
        <v>WRDSTR - Wired Port - Stream &amp; World feed (Stream Fabs &amp; W Feed)</v>
      </c>
      <c r="H49" s="269">
        <v>1</v>
      </c>
      <c r="I49" s="330">
        <f t="shared" si="16"/>
        <v>1</v>
      </c>
      <c r="J49" s="330">
        <f t="shared" si="16"/>
        <v>0</v>
      </c>
      <c r="K49" s="269">
        <v>1</v>
      </c>
      <c r="L49" s="330">
        <f t="shared" si="17"/>
        <v>1</v>
      </c>
      <c r="M49" s="330">
        <f t="shared" si="17"/>
        <v>0</v>
      </c>
      <c r="N49" s="330"/>
      <c r="O49" s="272" t="s">
        <v>511</v>
      </c>
      <c r="P49" s="271" t="s">
        <v>149</v>
      </c>
      <c r="Q49" s="272" t="s">
        <v>258</v>
      </c>
      <c r="R49" s="272" t="s">
        <v>551</v>
      </c>
      <c r="S49" s="273" t="s">
        <v>544</v>
      </c>
      <c r="T49" s="274" t="str">
        <f t="shared" si="7"/>
        <v>FIFA Broadcast</v>
      </c>
      <c r="U49" s="275" t="s">
        <v>549</v>
      </c>
      <c r="V49" s="358" t="s">
        <v>520</v>
      </c>
    </row>
    <row r="50" spans="1:22" s="276" customFormat="1" ht="15.75" hidden="1" customHeight="1">
      <c r="A50" s="361" t="s">
        <v>547</v>
      </c>
      <c r="B50" s="346" t="str">
        <f t="shared" si="15"/>
        <v>Wired Port - Stream &amp; World feed</v>
      </c>
      <c r="C50" s="329" t="str">
        <f t="shared" si="15"/>
        <v>Network &amp; Connectivity</v>
      </c>
      <c r="D50" s="329" t="str">
        <f t="shared" si="11"/>
        <v/>
      </c>
      <c r="E50" s="329" t="str">
        <f t="shared" si="12"/>
        <v>Stream Fabs &amp; W Feed</v>
      </c>
      <c r="F50" s="329" t="str">
        <f t="shared" si="13"/>
        <v>Wired Port - Stream &amp; World feed</v>
      </c>
      <c r="G50" s="329" t="str">
        <f t="shared" si="14"/>
        <v>WRDSTR - Wired Port - Stream &amp; World feed (Stream Fabs &amp; W Feed)</v>
      </c>
      <c r="H50" s="269">
        <v>1</v>
      </c>
      <c r="I50" s="330">
        <f t="shared" si="16"/>
        <v>1</v>
      </c>
      <c r="J50" s="330">
        <f t="shared" si="16"/>
        <v>0</v>
      </c>
      <c r="K50" s="269">
        <v>1</v>
      </c>
      <c r="L50" s="330">
        <f t="shared" si="17"/>
        <v>1</v>
      </c>
      <c r="M50" s="330">
        <f t="shared" si="17"/>
        <v>0</v>
      </c>
      <c r="N50" s="330"/>
      <c r="O50" s="272" t="s">
        <v>511</v>
      </c>
      <c r="P50" s="271" t="s">
        <v>149</v>
      </c>
      <c r="Q50" s="272" t="s">
        <v>258</v>
      </c>
      <c r="R50" s="272" t="s">
        <v>552</v>
      </c>
      <c r="S50" s="273" t="s">
        <v>544</v>
      </c>
      <c r="T50" s="274" t="str">
        <f t="shared" si="7"/>
        <v>FIFA Broadcast</v>
      </c>
      <c r="U50" s="275" t="s">
        <v>549</v>
      </c>
      <c r="V50" s="358" t="s">
        <v>520</v>
      </c>
    </row>
    <row r="51" spans="1:22" s="276" customFormat="1" ht="15.75" hidden="1" customHeight="1">
      <c r="A51" s="267" t="s">
        <v>225</v>
      </c>
      <c r="B51" s="329" t="str">
        <f t="shared" si="15"/>
        <v xml:space="preserve">Wired Port - General Internet </v>
      </c>
      <c r="C51" s="329" t="str">
        <f t="shared" si="15"/>
        <v>Network &amp; Connectivity</v>
      </c>
      <c r="D51" s="329" t="str">
        <f t="shared" si="11"/>
        <v/>
      </c>
      <c r="E51" s="329" t="str">
        <f t="shared" si="12"/>
        <v>General Internet Access</v>
      </c>
      <c r="F51" s="329" t="str">
        <f t="shared" si="13"/>
        <v>Wired Port - Internet</v>
      </c>
      <c r="G51" s="329" t="str">
        <f t="shared" si="14"/>
        <v>WRDGEN - Wired Port - General Internet  (General Internet Access)</v>
      </c>
      <c r="H51" s="269">
        <v>2</v>
      </c>
      <c r="I51" s="330">
        <f t="shared" si="16"/>
        <v>12</v>
      </c>
      <c r="J51" s="330">
        <f t="shared" si="16"/>
        <v>0</v>
      </c>
      <c r="K51" s="269">
        <v>12</v>
      </c>
      <c r="L51" s="330">
        <f t="shared" si="17"/>
        <v>12</v>
      </c>
      <c r="M51" s="330">
        <f t="shared" si="17"/>
        <v>0</v>
      </c>
      <c r="N51" s="330"/>
      <c r="O51" s="272" t="s">
        <v>511</v>
      </c>
      <c r="P51" s="271" t="s">
        <v>149</v>
      </c>
      <c r="Q51" s="272" t="s">
        <v>542</v>
      </c>
      <c r="R51" s="331" t="s">
        <v>553</v>
      </c>
      <c r="S51" s="273" t="s">
        <v>544</v>
      </c>
      <c r="T51" s="274" t="str">
        <f t="shared" si="7"/>
        <v>FIFA Broadcast</v>
      </c>
      <c r="U51" s="275" t="s">
        <v>554</v>
      </c>
      <c r="V51" s="358" t="s">
        <v>520</v>
      </c>
    </row>
    <row r="52" spans="1:22" s="276" customFormat="1" ht="15.75" hidden="1" customHeight="1">
      <c r="A52" s="267" t="s">
        <v>225</v>
      </c>
      <c r="B52" s="329" t="str">
        <f t="shared" si="15"/>
        <v xml:space="preserve">Wired Port - General Internet </v>
      </c>
      <c r="C52" s="329" t="str">
        <f t="shared" si="15"/>
        <v>Network &amp; Connectivity</v>
      </c>
      <c r="D52" s="329" t="str">
        <f t="shared" si="11"/>
        <v/>
      </c>
      <c r="E52" s="329" t="str">
        <f t="shared" si="12"/>
        <v>General Internet Access</v>
      </c>
      <c r="F52" s="329" t="str">
        <f t="shared" si="13"/>
        <v>Wired Port - Internet</v>
      </c>
      <c r="G52" s="329" t="str">
        <f t="shared" si="14"/>
        <v>WRDGEN - Wired Port - General Internet  (General Internet Access)</v>
      </c>
      <c r="H52" s="269">
        <v>2</v>
      </c>
      <c r="I52" s="330">
        <f t="shared" si="16"/>
        <v>4</v>
      </c>
      <c r="J52" s="330">
        <f t="shared" si="16"/>
        <v>0</v>
      </c>
      <c r="K52" s="269">
        <v>4</v>
      </c>
      <c r="L52" s="330">
        <f t="shared" si="17"/>
        <v>4</v>
      </c>
      <c r="M52" s="330">
        <f t="shared" si="17"/>
        <v>0</v>
      </c>
      <c r="N52" s="330"/>
      <c r="O52" s="272" t="s">
        <v>511</v>
      </c>
      <c r="P52" s="271" t="s">
        <v>149</v>
      </c>
      <c r="Q52" s="272" t="s">
        <v>545</v>
      </c>
      <c r="R52" s="331" t="s">
        <v>555</v>
      </c>
      <c r="S52" s="273" t="s">
        <v>544</v>
      </c>
      <c r="T52" s="274" t="str">
        <f t="shared" si="7"/>
        <v>FIFA Broadcast</v>
      </c>
      <c r="U52" s="275" t="s">
        <v>556</v>
      </c>
      <c r="V52" s="358" t="s">
        <v>520</v>
      </c>
    </row>
    <row r="53" spans="1:22" s="276" customFormat="1" ht="15.75" hidden="1" customHeight="1">
      <c r="A53" s="267" t="s">
        <v>225</v>
      </c>
      <c r="B53" s="329" t="str">
        <f t="shared" si="15"/>
        <v xml:space="preserve">Wired Port - General Internet </v>
      </c>
      <c r="C53" s="329" t="str">
        <f t="shared" si="15"/>
        <v>Network &amp; Connectivity</v>
      </c>
      <c r="D53" s="329" t="str">
        <f t="shared" si="11"/>
        <v/>
      </c>
      <c r="E53" s="329" t="str">
        <f t="shared" si="12"/>
        <v>General Internet Access</v>
      </c>
      <c r="F53" s="329" t="str">
        <f t="shared" si="13"/>
        <v>Wired Port - Internet</v>
      </c>
      <c r="G53" s="329" t="str">
        <f t="shared" si="14"/>
        <v>WRDGEN - Wired Port - General Internet  (General Internet Access)</v>
      </c>
      <c r="H53" s="269">
        <v>1</v>
      </c>
      <c r="I53" s="330">
        <f t="shared" si="16"/>
        <v>1</v>
      </c>
      <c r="J53" s="330">
        <f t="shared" si="16"/>
        <v>0</v>
      </c>
      <c r="K53" s="269">
        <v>1</v>
      </c>
      <c r="L53" s="330">
        <f t="shared" si="17"/>
        <v>1</v>
      </c>
      <c r="M53" s="330">
        <f t="shared" si="17"/>
        <v>0</v>
      </c>
      <c r="N53" s="330"/>
      <c r="O53" s="272" t="s">
        <v>511</v>
      </c>
      <c r="P53" s="271" t="s">
        <v>149</v>
      </c>
      <c r="Q53" s="272" t="s">
        <v>542</v>
      </c>
      <c r="R53" s="331" t="s">
        <v>557</v>
      </c>
      <c r="S53" s="273" t="s">
        <v>544</v>
      </c>
      <c r="T53" s="274" t="str">
        <f t="shared" si="7"/>
        <v>FIFA Broadcast</v>
      </c>
      <c r="U53" s="275"/>
      <c r="V53" s="358" t="s">
        <v>520</v>
      </c>
    </row>
    <row r="54" spans="1:22" s="276" customFormat="1" ht="15.75" hidden="1" customHeight="1">
      <c r="A54" s="277" t="s">
        <v>547</v>
      </c>
      <c r="B54" s="329" t="str">
        <f t="shared" si="15"/>
        <v>Wired Port - Stream &amp; World feed</v>
      </c>
      <c r="C54" s="329" t="str">
        <f t="shared" si="15"/>
        <v>Network &amp; Connectivity</v>
      </c>
      <c r="D54" s="329" t="str">
        <f t="shared" si="11"/>
        <v/>
      </c>
      <c r="E54" s="329" t="str">
        <f t="shared" si="12"/>
        <v>Stream Fabs &amp; W Feed</v>
      </c>
      <c r="F54" s="329" t="str">
        <f t="shared" si="13"/>
        <v>Wired Port - Stream &amp; World feed</v>
      </c>
      <c r="G54" s="329" t="str">
        <f t="shared" si="14"/>
        <v>WRDSTR - Wired Port - Stream &amp; World feed (Stream Fabs &amp; W Feed)</v>
      </c>
      <c r="H54" s="269">
        <v>3</v>
      </c>
      <c r="I54" s="330">
        <f t="shared" si="16"/>
        <v>12</v>
      </c>
      <c r="J54" s="330">
        <f t="shared" si="16"/>
        <v>0</v>
      </c>
      <c r="K54" s="269">
        <v>12</v>
      </c>
      <c r="L54" s="330">
        <f t="shared" si="17"/>
        <v>12</v>
      </c>
      <c r="M54" s="330">
        <f t="shared" si="17"/>
        <v>0</v>
      </c>
      <c r="N54" s="330"/>
      <c r="O54" s="272" t="s">
        <v>511</v>
      </c>
      <c r="P54" s="271" t="s">
        <v>149</v>
      </c>
      <c r="Q54" s="272" t="s">
        <v>542</v>
      </c>
      <c r="R54" s="331" t="s">
        <v>557</v>
      </c>
      <c r="S54" s="273" t="s">
        <v>544</v>
      </c>
      <c r="T54" s="274" t="str">
        <f t="shared" si="7"/>
        <v>FIFA Broadcast</v>
      </c>
      <c r="U54" s="275" t="s">
        <v>558</v>
      </c>
      <c r="V54" s="358" t="s">
        <v>520</v>
      </c>
    </row>
    <row r="55" spans="1:22" s="276" customFormat="1" ht="15.75" hidden="1" customHeight="1">
      <c r="A55" s="267" t="s">
        <v>225</v>
      </c>
      <c r="B55" s="329" t="str">
        <f t="shared" si="15"/>
        <v xml:space="preserve">Wired Port - General Internet </v>
      </c>
      <c r="C55" s="329" t="str">
        <f t="shared" si="15"/>
        <v>Network &amp; Connectivity</v>
      </c>
      <c r="D55" s="329" t="str">
        <f t="shared" si="11"/>
        <v/>
      </c>
      <c r="E55" s="329" t="str">
        <f t="shared" si="12"/>
        <v>General Internet Access</v>
      </c>
      <c r="F55" s="329" t="str">
        <f t="shared" si="13"/>
        <v>Wired Port - Internet</v>
      </c>
      <c r="G55" s="329" t="str">
        <f t="shared" si="14"/>
        <v>WRDGEN - Wired Port - General Internet  (General Internet Access)</v>
      </c>
      <c r="H55" s="269">
        <v>1</v>
      </c>
      <c r="I55" s="330">
        <f t="shared" si="16"/>
        <v>1</v>
      </c>
      <c r="J55" s="330">
        <f t="shared" si="16"/>
        <v>0</v>
      </c>
      <c r="K55" s="269">
        <v>1</v>
      </c>
      <c r="L55" s="330">
        <f t="shared" si="17"/>
        <v>1</v>
      </c>
      <c r="M55" s="330">
        <f t="shared" si="17"/>
        <v>0</v>
      </c>
      <c r="N55" s="330"/>
      <c r="O55" s="272" t="s">
        <v>511</v>
      </c>
      <c r="P55" s="271" t="s">
        <v>149</v>
      </c>
      <c r="Q55" s="272" t="s">
        <v>545</v>
      </c>
      <c r="R55" s="331" t="s">
        <v>559</v>
      </c>
      <c r="S55" s="273" t="s">
        <v>544</v>
      </c>
      <c r="T55" s="274" t="str">
        <f t="shared" si="7"/>
        <v>FIFA Broadcast</v>
      </c>
      <c r="U55" s="275"/>
      <c r="V55" s="358" t="s">
        <v>520</v>
      </c>
    </row>
    <row r="56" spans="1:22" s="276" customFormat="1" ht="15.75" hidden="1" customHeight="1">
      <c r="A56" s="277" t="s">
        <v>547</v>
      </c>
      <c r="B56" s="329" t="str">
        <f t="shared" si="15"/>
        <v>Wired Port - Stream &amp; World feed</v>
      </c>
      <c r="C56" s="329" t="str">
        <f t="shared" si="15"/>
        <v>Network &amp; Connectivity</v>
      </c>
      <c r="D56" s="329" t="str">
        <f t="shared" si="11"/>
        <v/>
      </c>
      <c r="E56" s="329" t="str">
        <f t="shared" si="12"/>
        <v>Stream Fabs &amp; W Feed</v>
      </c>
      <c r="F56" s="329" t="str">
        <f t="shared" si="13"/>
        <v>Wired Port - Stream &amp; World feed</v>
      </c>
      <c r="G56" s="329" t="str">
        <f t="shared" si="14"/>
        <v>WRDSTR - Wired Port - Stream &amp; World feed (Stream Fabs &amp; W Feed)</v>
      </c>
      <c r="H56" s="269">
        <v>3</v>
      </c>
      <c r="I56" s="330">
        <f t="shared" si="16"/>
        <v>4</v>
      </c>
      <c r="J56" s="330">
        <f t="shared" si="16"/>
        <v>0</v>
      </c>
      <c r="K56" s="269">
        <v>4</v>
      </c>
      <c r="L56" s="330">
        <f t="shared" si="17"/>
        <v>4</v>
      </c>
      <c r="M56" s="330">
        <f t="shared" si="17"/>
        <v>0</v>
      </c>
      <c r="N56" s="330"/>
      <c r="O56" s="272" t="s">
        <v>511</v>
      </c>
      <c r="P56" s="271" t="s">
        <v>149</v>
      </c>
      <c r="Q56" s="272" t="s">
        <v>545</v>
      </c>
      <c r="R56" s="331" t="s">
        <v>559</v>
      </c>
      <c r="S56" s="273" t="s">
        <v>544</v>
      </c>
      <c r="T56" s="274" t="str">
        <f t="shared" si="7"/>
        <v>FIFA Broadcast</v>
      </c>
      <c r="U56" s="275" t="s">
        <v>558</v>
      </c>
      <c r="V56" s="358" t="s">
        <v>520</v>
      </c>
    </row>
    <row r="57" spans="1:22" s="276" customFormat="1" ht="15.75" hidden="1" customHeight="1">
      <c r="A57" s="267" t="s">
        <v>523</v>
      </c>
      <c r="B57" s="329" t="str">
        <f t="shared" si="15"/>
        <v>Wired Port - Media Internet</v>
      </c>
      <c r="C57" s="329" t="str">
        <f t="shared" si="15"/>
        <v>Network &amp; Connectivity</v>
      </c>
      <c r="D57" s="329" t="str">
        <f t="shared" si="11"/>
        <v/>
      </c>
      <c r="E57" s="329" t="str">
        <f t="shared" si="12"/>
        <v>Media Internet Access Media</v>
      </c>
      <c r="F57" s="329" t="str">
        <f t="shared" si="13"/>
        <v>Wired Port - Internet for Media</v>
      </c>
      <c r="G57" s="329" t="str">
        <f t="shared" si="14"/>
        <v>WRDMED - Wired Port - Media Internet (Media Internet Access Media)</v>
      </c>
      <c r="H57" s="269">
        <v>2</v>
      </c>
      <c r="I57" s="330">
        <f t="shared" si="16"/>
        <v>2</v>
      </c>
      <c r="J57" s="330">
        <f t="shared" si="16"/>
        <v>0</v>
      </c>
      <c r="K57" s="269">
        <v>2</v>
      </c>
      <c r="L57" s="330">
        <f t="shared" si="17"/>
        <v>2</v>
      </c>
      <c r="M57" s="330">
        <f t="shared" si="17"/>
        <v>0</v>
      </c>
      <c r="N57" s="330"/>
      <c r="O57" s="272" t="s">
        <v>511</v>
      </c>
      <c r="P57" s="271" t="s">
        <v>149</v>
      </c>
      <c r="Q57" s="272" t="s">
        <v>560</v>
      </c>
      <c r="R57" s="331" t="s">
        <v>561</v>
      </c>
      <c r="S57" s="273" t="s">
        <v>544</v>
      </c>
      <c r="T57" s="274" t="str">
        <f t="shared" si="7"/>
        <v>FIFA Broadcast</v>
      </c>
      <c r="U57" s="275"/>
      <c r="V57" s="358" t="s">
        <v>520</v>
      </c>
    </row>
    <row r="58" spans="1:22" s="276" customFormat="1" ht="15.75" hidden="1" customHeight="1">
      <c r="A58" s="277" t="s">
        <v>519</v>
      </c>
      <c r="B58" s="329" t="str">
        <f t="shared" si="15"/>
        <v>Wireless coverage - Shared Internet Service - Wi-Fi FIFA</v>
      </c>
      <c r="C58" s="329" t="str">
        <f t="shared" si="15"/>
        <v>Network &amp; Connectivity</v>
      </c>
      <c r="D58" s="329" t="str">
        <f t="shared" si="11"/>
        <v/>
      </c>
      <c r="E58" s="329" t="str">
        <f t="shared" si="12"/>
        <v>General Internet Access</v>
      </c>
      <c r="F58" s="329" t="str">
        <f t="shared" si="13"/>
        <v>Wireless coverage - Shared Internet Service - FIFA</v>
      </c>
      <c r="G58" s="329" t="str">
        <f t="shared" si="14"/>
        <v>IS00WF - Wireless coverage - Shared Internet Service - Wi-Fi FIFA (General Internet Access)</v>
      </c>
      <c r="H58" s="269">
        <v>1</v>
      </c>
      <c r="I58" s="330">
        <f t="shared" si="16"/>
        <v>0</v>
      </c>
      <c r="J58" s="330">
        <f t="shared" si="16"/>
        <v>0</v>
      </c>
      <c r="K58" s="442">
        <v>1</v>
      </c>
      <c r="L58" s="330">
        <f t="shared" si="17"/>
        <v>0</v>
      </c>
      <c r="M58" s="330">
        <f t="shared" si="17"/>
        <v>0</v>
      </c>
      <c r="N58" s="330"/>
      <c r="O58" s="272" t="s">
        <v>511</v>
      </c>
      <c r="P58" s="271" t="s">
        <v>152</v>
      </c>
      <c r="Q58" s="272" t="s">
        <v>531</v>
      </c>
      <c r="R58" s="336" t="s">
        <v>532</v>
      </c>
      <c r="S58" s="273" t="s">
        <v>544</v>
      </c>
      <c r="T58" s="274" t="str">
        <f t="shared" si="7"/>
        <v>FIFA Broadcast</v>
      </c>
      <c r="U58" s="275"/>
      <c r="V58" s="358" t="s">
        <v>520</v>
      </c>
    </row>
    <row r="59" spans="1:22" s="276" customFormat="1" ht="15.75" hidden="1" customHeight="1">
      <c r="A59" s="277" t="s">
        <v>202</v>
      </c>
      <c r="B59" s="329" t="str">
        <f t="shared" si="15"/>
        <v>MFD Desktop - Colour - A4 - Network</v>
      </c>
      <c r="C59" s="329" t="str">
        <f t="shared" si="15"/>
        <v>Reprographics</v>
      </c>
      <c r="D59" s="329" t="str">
        <f t="shared" si="11"/>
        <v/>
      </c>
      <c r="E59" s="329" t="str">
        <f t="shared" si="12"/>
        <v>General Internet Access</v>
      </c>
      <c r="F59" s="329" t="str">
        <f t="shared" si="13"/>
        <v>Colour Printer / Scanner (A4)</v>
      </c>
      <c r="G59" s="329" t="str">
        <f t="shared" si="14"/>
        <v>MFDDNW - MFD Desktop - Colour - A4 - Network (General Internet Access)</v>
      </c>
      <c r="H59" s="269">
        <v>1</v>
      </c>
      <c r="I59" s="330">
        <f t="shared" si="16"/>
        <v>1</v>
      </c>
      <c r="J59" s="330">
        <f t="shared" si="16"/>
        <v>0</v>
      </c>
      <c r="K59" s="442">
        <v>1</v>
      </c>
      <c r="L59" s="330">
        <f t="shared" si="17"/>
        <v>1</v>
      </c>
      <c r="M59" s="330">
        <f t="shared" si="17"/>
        <v>0</v>
      </c>
      <c r="N59" s="330"/>
      <c r="O59" s="272" t="s">
        <v>511</v>
      </c>
      <c r="P59" s="271" t="s">
        <v>152</v>
      </c>
      <c r="Q59" s="272" t="s">
        <v>531</v>
      </c>
      <c r="R59" s="336" t="s">
        <v>532</v>
      </c>
      <c r="S59" s="273" t="s">
        <v>544</v>
      </c>
      <c r="T59" s="274" t="str">
        <f t="shared" si="7"/>
        <v>FIFA Broadcast</v>
      </c>
      <c r="U59" s="275"/>
      <c r="V59" s="358" t="s">
        <v>514</v>
      </c>
    </row>
    <row r="60" spans="1:22" s="276" customFormat="1" ht="15.75" customHeight="1">
      <c r="A60" s="277" t="s">
        <v>225</v>
      </c>
      <c r="B60" s="329" t="str">
        <f t="shared" si="15"/>
        <v xml:space="preserve">Wired Port - General Internet </v>
      </c>
      <c r="C60" s="329" t="str">
        <f t="shared" si="15"/>
        <v>Network &amp; Connectivity</v>
      </c>
      <c r="D60" s="329" t="str">
        <f t="shared" si="11"/>
        <v/>
      </c>
      <c r="E60" s="329" t="str">
        <f t="shared" si="12"/>
        <v>General Internet Access</v>
      </c>
      <c r="F60" s="329" t="str">
        <f t="shared" si="13"/>
        <v>Wired Port - Internet</v>
      </c>
      <c r="G60" s="329" t="str">
        <f t="shared" si="14"/>
        <v>WRDGEN - Wired Port - General Internet  (General Internet Access)</v>
      </c>
      <c r="H60" s="269">
        <v>6</v>
      </c>
      <c r="I60" s="330">
        <f t="shared" si="16"/>
        <v>1</v>
      </c>
      <c r="J60" s="330">
        <f t="shared" si="16"/>
        <v>0</v>
      </c>
      <c r="K60" s="442">
        <v>1</v>
      </c>
      <c r="L60" s="330">
        <f t="shared" si="17"/>
        <v>1</v>
      </c>
      <c r="M60" s="330">
        <f t="shared" si="17"/>
        <v>0</v>
      </c>
      <c r="N60" s="330"/>
      <c r="O60" s="272" t="s">
        <v>511</v>
      </c>
      <c r="P60" s="271" t="s">
        <v>152</v>
      </c>
      <c r="Q60" s="272" t="s">
        <v>531</v>
      </c>
      <c r="R60" s="336" t="s">
        <v>532</v>
      </c>
      <c r="S60" s="273" t="s">
        <v>544</v>
      </c>
      <c r="T60" s="274" t="str">
        <f t="shared" si="7"/>
        <v>FIFA Broadcast</v>
      </c>
      <c r="U60" s="275"/>
      <c r="V60" s="358" t="s">
        <v>520</v>
      </c>
    </row>
    <row r="61" spans="1:22" s="276" customFormat="1" ht="15.75" customHeight="1">
      <c r="A61" s="277" t="s">
        <v>526</v>
      </c>
      <c r="B61" s="329" t="str">
        <f t="shared" si="15"/>
        <v>Wired Port - Content</v>
      </c>
      <c r="C61" s="329" t="str">
        <f t="shared" si="15"/>
        <v>Network &amp; Connectivity</v>
      </c>
      <c r="D61" s="329" t="str">
        <f t="shared" si="11"/>
        <v/>
      </c>
      <c r="E61" s="329" t="str">
        <f t="shared" si="12"/>
        <v>FIFA Technical Content</v>
      </c>
      <c r="F61" s="329" t="str">
        <f t="shared" si="13"/>
        <v>Wired Port - Content</v>
      </c>
      <c r="G61" s="329" t="str">
        <f t="shared" si="14"/>
        <v>WRDSTU - Wired Port - Content (FIFA Technical Content)</v>
      </c>
      <c r="H61" s="269">
        <v>1</v>
      </c>
      <c r="I61" s="330">
        <f t="shared" si="16"/>
        <v>1</v>
      </c>
      <c r="J61" s="330">
        <f t="shared" si="16"/>
        <v>0</v>
      </c>
      <c r="K61" s="441">
        <v>1</v>
      </c>
      <c r="L61" s="330">
        <f t="shared" si="17"/>
        <v>1</v>
      </c>
      <c r="M61" s="330">
        <f t="shared" si="17"/>
        <v>0</v>
      </c>
      <c r="N61" s="330"/>
      <c r="O61" s="272" t="s">
        <v>511</v>
      </c>
      <c r="P61" s="271" t="s">
        <v>152</v>
      </c>
      <c r="Q61" s="272" t="s">
        <v>531</v>
      </c>
      <c r="R61" s="336" t="s">
        <v>532</v>
      </c>
      <c r="S61" s="273" t="s">
        <v>544</v>
      </c>
      <c r="T61" s="274" t="str">
        <f t="shared" si="7"/>
        <v>FIFA Broadcast</v>
      </c>
      <c r="U61" s="275"/>
      <c r="V61" s="358" t="s">
        <v>520</v>
      </c>
    </row>
    <row r="62" spans="1:22" s="276" customFormat="1" ht="15.75" hidden="1" customHeight="1">
      <c r="A62" s="277" t="s">
        <v>562</v>
      </c>
      <c r="B62" s="329" t="str">
        <f t="shared" si="15"/>
        <v>Laptop Cable Lock</v>
      </c>
      <c r="C62" s="329" t="str">
        <f t="shared" si="15"/>
        <v>Peripherals</v>
      </c>
      <c r="D62" s="329" t="str">
        <f t="shared" si="11"/>
        <v>Multi</v>
      </c>
      <c r="E62" s="329" t="str">
        <f t="shared" si="12"/>
        <v/>
      </c>
      <c r="F62" s="329" t="str">
        <f t="shared" si="13"/>
        <v>Laptop Cable Lock</v>
      </c>
      <c r="G62" s="329" t="str">
        <f t="shared" si="14"/>
        <v>CABLOK - Laptop Cable Lock</v>
      </c>
      <c r="H62" s="269">
        <v>2</v>
      </c>
      <c r="I62" s="330">
        <f t="shared" si="16"/>
        <v>0</v>
      </c>
      <c r="J62" s="330">
        <f t="shared" si="16"/>
        <v>0</v>
      </c>
      <c r="K62" s="441">
        <v>2</v>
      </c>
      <c r="L62" s="330">
        <f t="shared" si="17"/>
        <v>0</v>
      </c>
      <c r="M62" s="330">
        <f t="shared" si="17"/>
        <v>0</v>
      </c>
      <c r="N62" s="330"/>
      <c r="O62" s="272" t="s">
        <v>539</v>
      </c>
      <c r="P62" s="271" t="s">
        <v>152</v>
      </c>
      <c r="Q62" s="331" t="s">
        <v>563</v>
      </c>
      <c r="R62" s="331" t="s">
        <v>564</v>
      </c>
      <c r="S62" s="273" t="s">
        <v>544</v>
      </c>
      <c r="T62" s="274" t="str">
        <f t="shared" si="7"/>
        <v>FIFA Broadcast</v>
      </c>
      <c r="U62" s="275"/>
      <c r="V62" s="358" t="s">
        <v>514</v>
      </c>
    </row>
    <row r="63" spans="1:22" s="276" customFormat="1" ht="15.75" hidden="1" customHeight="1">
      <c r="A63" s="277" t="s">
        <v>565</v>
      </c>
      <c r="B63" s="329" t="str">
        <f t="shared" ref="B63:C82" si="18">IF($A63="","",VLOOKUP($A63,ps_table,MATCH(B$2,ps_headers,0),FALSE))</f>
        <v>Laptop - Presentation Build</v>
      </c>
      <c r="C63" s="329" t="str">
        <f t="shared" si="18"/>
        <v>FIFA IT Hardware</v>
      </c>
      <c r="D63" s="329" t="str">
        <f t="shared" si="11"/>
        <v>Single</v>
      </c>
      <c r="E63" s="329" t="str">
        <f t="shared" si="12"/>
        <v/>
      </c>
      <c r="F63" s="329" t="str">
        <f t="shared" si="13"/>
        <v>FIFA Presentation Laptop</v>
      </c>
      <c r="G63" s="329" t="str">
        <f t="shared" si="14"/>
        <v>LAPPRE - Laptop - Presentation Build</v>
      </c>
      <c r="H63" s="269">
        <v>2</v>
      </c>
      <c r="I63" s="330">
        <f t="shared" ref="I63:J82" si="19">IF($A63="","",$K63*VLOOKUP($A63,ps_table,MATCH(I$2,ps_headers,0),FALSE))</f>
        <v>0</v>
      </c>
      <c r="J63" s="330">
        <f t="shared" si="19"/>
        <v>0</v>
      </c>
      <c r="K63" s="441">
        <v>2</v>
      </c>
      <c r="L63" s="330">
        <f t="shared" ref="L63:M84" si="20">IF($A63="","",$K63*VLOOKUP($A63,ps_table,MATCH(L$2,ps_headers,0),FALSE))</f>
        <v>0</v>
      </c>
      <c r="M63" s="330">
        <f t="shared" si="20"/>
        <v>0</v>
      </c>
      <c r="N63" s="330"/>
      <c r="O63" s="272" t="s">
        <v>539</v>
      </c>
      <c r="P63" s="271" t="s">
        <v>152</v>
      </c>
      <c r="Q63" s="331" t="s">
        <v>563</v>
      </c>
      <c r="R63" s="331" t="s">
        <v>564</v>
      </c>
      <c r="S63" s="273" t="s">
        <v>544</v>
      </c>
      <c r="T63" s="274" t="str">
        <f t="shared" si="7"/>
        <v>FIFA Broadcast</v>
      </c>
      <c r="U63" s="275"/>
      <c r="V63" s="358" t="s">
        <v>514</v>
      </c>
    </row>
    <row r="64" spans="1:22" s="276" customFormat="1" ht="15.75" customHeight="1">
      <c r="A64" s="267" t="s">
        <v>523</v>
      </c>
      <c r="B64" s="329" t="str">
        <f t="shared" si="18"/>
        <v>Wired Port - Media Internet</v>
      </c>
      <c r="C64" s="329" t="str">
        <f t="shared" si="18"/>
        <v>Network &amp; Connectivity</v>
      </c>
      <c r="D64" s="329" t="str">
        <f t="shared" si="11"/>
        <v/>
      </c>
      <c r="E64" s="329" t="str">
        <f t="shared" si="12"/>
        <v>Media Internet Access Media</v>
      </c>
      <c r="F64" s="329" t="str">
        <f t="shared" si="13"/>
        <v>Wired Port - Internet for Media</v>
      </c>
      <c r="G64" s="329" t="str">
        <f t="shared" si="14"/>
        <v>WRDMED - Wired Port - Media Internet (Media Internet Access Media)</v>
      </c>
      <c r="H64" s="269">
        <v>4</v>
      </c>
      <c r="I64" s="330">
        <f t="shared" si="19"/>
        <v>4</v>
      </c>
      <c r="J64" s="330">
        <f t="shared" si="19"/>
        <v>0</v>
      </c>
      <c r="K64" s="441">
        <v>4</v>
      </c>
      <c r="L64" s="330">
        <f t="shared" si="20"/>
        <v>4</v>
      </c>
      <c r="M64" s="330">
        <f t="shared" si="20"/>
        <v>0</v>
      </c>
      <c r="N64" s="330"/>
      <c r="O64" s="272" t="s">
        <v>511</v>
      </c>
      <c r="P64" s="271" t="s">
        <v>152</v>
      </c>
      <c r="Q64" s="272" t="s">
        <v>563</v>
      </c>
      <c r="R64" s="331" t="s">
        <v>564</v>
      </c>
      <c r="S64" s="273" t="s">
        <v>544</v>
      </c>
      <c r="T64" s="274" t="str">
        <f t="shared" si="7"/>
        <v>FIFA Broadcast</v>
      </c>
      <c r="U64" s="275" t="s">
        <v>566</v>
      </c>
      <c r="V64" s="358" t="s">
        <v>520</v>
      </c>
    </row>
    <row r="65" spans="1:22" s="276" customFormat="1" ht="15.75" customHeight="1">
      <c r="A65" s="267" t="s">
        <v>567</v>
      </c>
      <c r="B65" s="329" t="str">
        <f t="shared" si="18"/>
        <v>Wired Port - ACR-TKT-Ipcodec</v>
      </c>
      <c r="C65" s="329" t="str">
        <f t="shared" si="18"/>
        <v>Network &amp; Connectivity</v>
      </c>
      <c r="D65" s="329" t="str">
        <f t="shared" si="11"/>
        <v/>
      </c>
      <c r="E65" s="329" t="str">
        <f t="shared" si="12"/>
        <v>FIFA Standard Internet Access</v>
      </c>
      <c r="F65" s="329" t="str">
        <f t="shared" si="13"/>
        <v>Wired Port - ACR-TKT-Ipcodec</v>
      </c>
      <c r="G65" s="329" t="str">
        <f t="shared" si="14"/>
        <v>WRDSTA - Wired Port - ACR-TKT-Ipcodec (FIFA Standard Internet Access)</v>
      </c>
      <c r="H65" s="269">
        <v>2</v>
      </c>
      <c r="I65" s="330">
        <f t="shared" si="19"/>
        <v>2</v>
      </c>
      <c r="J65" s="330">
        <f t="shared" si="19"/>
        <v>0</v>
      </c>
      <c r="K65" s="441">
        <v>2</v>
      </c>
      <c r="L65" s="330">
        <f t="shared" si="20"/>
        <v>2</v>
      </c>
      <c r="M65" s="330">
        <f t="shared" si="20"/>
        <v>0</v>
      </c>
      <c r="N65" s="330"/>
      <c r="O65" s="272" t="s">
        <v>511</v>
      </c>
      <c r="P65" s="271" t="s">
        <v>152</v>
      </c>
      <c r="Q65" s="272" t="s">
        <v>563</v>
      </c>
      <c r="R65" s="331" t="s">
        <v>564</v>
      </c>
      <c r="S65" s="273" t="s">
        <v>544</v>
      </c>
      <c r="T65" s="274" t="str">
        <f t="shared" si="7"/>
        <v>FIFA Broadcast</v>
      </c>
      <c r="U65" s="275"/>
      <c r="V65" s="358" t="s">
        <v>520</v>
      </c>
    </row>
    <row r="66" spans="1:22" s="276" customFormat="1" ht="15.75" hidden="1" customHeight="1">
      <c r="A66" s="277" t="s">
        <v>519</v>
      </c>
      <c r="B66" s="329" t="str">
        <f t="shared" si="18"/>
        <v>Wireless coverage - Shared Internet Service - Wi-Fi FIFA</v>
      </c>
      <c r="C66" s="329" t="str">
        <f t="shared" si="18"/>
        <v>Network &amp; Connectivity</v>
      </c>
      <c r="D66" s="329" t="str">
        <f t="shared" si="11"/>
        <v/>
      </c>
      <c r="E66" s="329" t="str">
        <f t="shared" si="12"/>
        <v>General Internet Access</v>
      </c>
      <c r="F66" s="329" t="str">
        <f t="shared" si="13"/>
        <v>Wireless coverage - Shared Internet Service - FIFA</v>
      </c>
      <c r="G66" s="329" t="str">
        <f t="shared" si="14"/>
        <v>IS00WF - Wireless coverage - Shared Internet Service - Wi-Fi FIFA (General Internet Access)</v>
      </c>
      <c r="H66" s="269">
        <v>1</v>
      </c>
      <c r="I66" s="330">
        <f t="shared" si="19"/>
        <v>0</v>
      </c>
      <c r="J66" s="330">
        <f t="shared" si="19"/>
        <v>0</v>
      </c>
      <c r="K66" s="441">
        <v>1</v>
      </c>
      <c r="L66" s="330">
        <f t="shared" si="20"/>
        <v>0</v>
      </c>
      <c r="M66" s="330">
        <f t="shared" si="20"/>
        <v>0</v>
      </c>
      <c r="N66" s="330"/>
      <c r="O66" s="272" t="s">
        <v>511</v>
      </c>
      <c r="P66" s="271" t="s">
        <v>152</v>
      </c>
      <c r="Q66" s="272" t="s">
        <v>299</v>
      </c>
      <c r="R66" s="272" t="s">
        <v>512</v>
      </c>
      <c r="S66" s="273" t="s">
        <v>544</v>
      </c>
      <c r="T66" s="274" t="str">
        <f t="shared" si="7"/>
        <v>FIFA Broadcast</v>
      </c>
      <c r="U66" s="275"/>
      <c r="V66" s="358" t="s">
        <v>520</v>
      </c>
    </row>
    <row r="67" spans="1:22" s="276" customFormat="1" ht="15.75" customHeight="1">
      <c r="A67" s="277" t="s">
        <v>568</v>
      </c>
      <c r="B67" s="329" t="str">
        <f t="shared" si="18"/>
        <v>Wired Port - FTI</v>
      </c>
      <c r="C67" s="329" t="str">
        <f t="shared" si="18"/>
        <v>Network &amp; Connectivity</v>
      </c>
      <c r="D67" s="329" t="str">
        <f t="shared" ref="D67:D97" si="21">IF(OR($A67="",$O67&lt;&gt;"FIFA Event Technology"),"",IF(VLOOKUP($A67,ps_table,MATCH(D$2,ps_headers,0),FALSE)&lt;&gt;"",VLOOKUP($A67,ps_table,MATCH(D$2,ps_headers,0),FALSE),""))</f>
        <v/>
      </c>
      <c r="E67" s="329" t="str">
        <f t="shared" ref="E67:E97" si="22">IF($A67="","",IF(VLOOKUP($A67,ps_table,MATCH(E$2,ps_headers,0),FALSE)&lt;&gt;"",VLOOKUP($A67,ps_table,MATCH(E$2,ps_headers,0),FALSE),""))</f>
        <v>FIFA Technical FTI</v>
      </c>
      <c r="F67" s="329" t="str">
        <f t="shared" ref="F67:F97" si="23">IF($A67="","",VLOOKUP($A67,ps_table,MATCH(F$2,ps_headers,0),FALSE))</f>
        <v>Wired Port - FTI</v>
      </c>
      <c r="G67" s="329" t="str">
        <f t="shared" ref="G67:G97" si="24">IF($A67="","",IF(E67&lt;&gt;"",A67&amp;" - "&amp;B67&amp;" ("&amp;E67&amp;")",A67&amp;" - "&amp;B67))</f>
        <v>WRDFTI - Wired Port - FTI (FIFA Technical FTI)</v>
      </c>
      <c r="H67" s="269">
        <v>1</v>
      </c>
      <c r="I67" s="330">
        <f t="shared" si="19"/>
        <v>1</v>
      </c>
      <c r="J67" s="330">
        <f t="shared" si="19"/>
        <v>0</v>
      </c>
      <c r="K67" s="441">
        <v>1</v>
      </c>
      <c r="L67" s="330">
        <f t="shared" si="20"/>
        <v>1</v>
      </c>
      <c r="M67" s="330">
        <f t="shared" si="20"/>
        <v>0</v>
      </c>
      <c r="N67" s="330"/>
      <c r="O67" s="272" t="s">
        <v>511</v>
      </c>
      <c r="P67" s="271" t="s">
        <v>152</v>
      </c>
      <c r="Q67" s="272" t="s">
        <v>299</v>
      </c>
      <c r="R67" s="272" t="s">
        <v>512</v>
      </c>
      <c r="S67" s="273" t="s">
        <v>544</v>
      </c>
      <c r="T67" s="274" t="str">
        <f t="shared" ref="T67:T130" si="25">IF(S67="","",S67)</f>
        <v>FIFA Broadcast</v>
      </c>
      <c r="U67" s="275"/>
      <c r="V67" s="358" t="s">
        <v>520</v>
      </c>
    </row>
    <row r="68" spans="1:22" s="276" customFormat="1" ht="15.75" customHeight="1">
      <c r="A68" s="267" t="s">
        <v>225</v>
      </c>
      <c r="B68" s="329" t="str">
        <f t="shared" si="18"/>
        <v xml:space="preserve">Wired Port - General Internet </v>
      </c>
      <c r="C68" s="329" t="str">
        <f t="shared" si="18"/>
        <v>Network &amp; Connectivity</v>
      </c>
      <c r="D68" s="329" t="str">
        <f t="shared" si="21"/>
        <v/>
      </c>
      <c r="E68" s="329" t="str">
        <f t="shared" si="22"/>
        <v>General Internet Access</v>
      </c>
      <c r="F68" s="329" t="str">
        <f t="shared" si="23"/>
        <v>Wired Port - Internet</v>
      </c>
      <c r="G68" s="329" t="str">
        <f t="shared" si="24"/>
        <v>WRDGEN - Wired Port - General Internet  (General Internet Access)</v>
      </c>
      <c r="H68" s="269">
        <v>1</v>
      </c>
      <c r="I68" s="330">
        <f t="shared" si="19"/>
        <v>1</v>
      </c>
      <c r="J68" s="330">
        <f t="shared" si="19"/>
        <v>0</v>
      </c>
      <c r="K68" s="441">
        <v>1</v>
      </c>
      <c r="L68" s="330">
        <f t="shared" si="20"/>
        <v>1</v>
      </c>
      <c r="M68" s="330">
        <f t="shared" si="20"/>
        <v>0</v>
      </c>
      <c r="N68" s="330"/>
      <c r="O68" s="272" t="s">
        <v>511</v>
      </c>
      <c r="P68" s="271" t="s">
        <v>152</v>
      </c>
      <c r="Q68" s="272" t="s">
        <v>299</v>
      </c>
      <c r="R68" s="272" t="s">
        <v>512</v>
      </c>
      <c r="S68" s="273" t="s">
        <v>544</v>
      </c>
      <c r="T68" s="274" t="str">
        <f t="shared" si="25"/>
        <v>FIFA Broadcast</v>
      </c>
      <c r="U68" s="275"/>
      <c r="V68" s="358" t="s">
        <v>520</v>
      </c>
    </row>
    <row r="69" spans="1:22" s="276" customFormat="1" ht="15.75" customHeight="1">
      <c r="A69" s="267" t="s">
        <v>523</v>
      </c>
      <c r="B69" s="329" t="str">
        <f t="shared" si="18"/>
        <v>Wired Port - Media Internet</v>
      </c>
      <c r="C69" s="329" t="str">
        <f t="shared" si="18"/>
        <v>Network &amp; Connectivity</v>
      </c>
      <c r="D69" s="329" t="str">
        <f t="shared" si="21"/>
        <v/>
      </c>
      <c r="E69" s="329" t="str">
        <f t="shared" si="22"/>
        <v>Media Internet Access Media</v>
      </c>
      <c r="F69" s="329" t="str">
        <f t="shared" si="23"/>
        <v>Wired Port - Internet for Media</v>
      </c>
      <c r="G69" s="329" t="str">
        <f t="shared" si="24"/>
        <v>WRDMED - Wired Port - Media Internet (Media Internet Access Media)</v>
      </c>
      <c r="H69" s="269">
        <v>1</v>
      </c>
      <c r="I69" s="330">
        <f t="shared" si="19"/>
        <v>1</v>
      </c>
      <c r="J69" s="330">
        <f t="shared" si="19"/>
        <v>0</v>
      </c>
      <c r="K69" s="442">
        <v>1</v>
      </c>
      <c r="L69" s="330">
        <f t="shared" si="20"/>
        <v>1</v>
      </c>
      <c r="M69" s="330">
        <f t="shared" si="20"/>
        <v>0</v>
      </c>
      <c r="N69" s="330"/>
      <c r="O69" s="272" t="s">
        <v>511</v>
      </c>
      <c r="P69" s="271" t="s">
        <v>152</v>
      </c>
      <c r="Q69" s="272" t="s">
        <v>569</v>
      </c>
      <c r="R69" s="331" t="s">
        <v>548</v>
      </c>
      <c r="S69" s="273" t="s">
        <v>544</v>
      </c>
      <c r="T69" s="274" t="str">
        <f t="shared" si="25"/>
        <v>FIFA Broadcast</v>
      </c>
      <c r="U69" s="275" t="s">
        <v>570</v>
      </c>
      <c r="V69" s="358" t="s">
        <v>520</v>
      </c>
    </row>
    <row r="70" spans="1:22" s="276" customFormat="1" ht="15.75" customHeight="1">
      <c r="A70" s="267" t="s">
        <v>523</v>
      </c>
      <c r="B70" s="329" t="str">
        <f t="shared" si="18"/>
        <v>Wired Port - Media Internet</v>
      </c>
      <c r="C70" s="329" t="str">
        <f t="shared" si="18"/>
        <v>Network &amp; Connectivity</v>
      </c>
      <c r="D70" s="329" t="str">
        <f t="shared" si="21"/>
        <v/>
      </c>
      <c r="E70" s="329" t="str">
        <f t="shared" si="22"/>
        <v>Media Internet Access Media</v>
      </c>
      <c r="F70" s="329" t="str">
        <f t="shared" si="23"/>
        <v>Wired Port - Internet for Media</v>
      </c>
      <c r="G70" s="329" t="str">
        <f t="shared" si="24"/>
        <v>WRDMED - Wired Port - Media Internet (Media Internet Access Media)</v>
      </c>
      <c r="H70" s="269">
        <v>1</v>
      </c>
      <c r="I70" s="330">
        <f t="shared" si="19"/>
        <v>1</v>
      </c>
      <c r="J70" s="330">
        <f t="shared" si="19"/>
        <v>0</v>
      </c>
      <c r="K70" s="442">
        <v>1</v>
      </c>
      <c r="L70" s="330">
        <f t="shared" si="20"/>
        <v>1</v>
      </c>
      <c r="M70" s="330">
        <f t="shared" si="20"/>
        <v>0</v>
      </c>
      <c r="N70" s="330"/>
      <c r="O70" s="272" t="s">
        <v>511</v>
      </c>
      <c r="P70" s="271" t="s">
        <v>152</v>
      </c>
      <c r="Q70" s="272" t="s">
        <v>569</v>
      </c>
      <c r="R70" s="331" t="s">
        <v>550</v>
      </c>
      <c r="S70" s="273" t="s">
        <v>544</v>
      </c>
      <c r="T70" s="274" t="str">
        <f t="shared" si="25"/>
        <v>FIFA Broadcast</v>
      </c>
      <c r="U70" s="275" t="s">
        <v>570</v>
      </c>
      <c r="V70" s="358" t="s">
        <v>520</v>
      </c>
    </row>
    <row r="71" spans="1:22" s="276" customFormat="1" ht="15.75" customHeight="1">
      <c r="A71" s="267" t="s">
        <v>523</v>
      </c>
      <c r="B71" s="329" t="str">
        <f t="shared" si="18"/>
        <v>Wired Port - Media Internet</v>
      </c>
      <c r="C71" s="329" t="str">
        <f t="shared" si="18"/>
        <v>Network &amp; Connectivity</v>
      </c>
      <c r="D71" s="329" t="str">
        <f t="shared" si="21"/>
        <v/>
      </c>
      <c r="E71" s="329" t="str">
        <f t="shared" si="22"/>
        <v>Media Internet Access Media</v>
      </c>
      <c r="F71" s="329" t="str">
        <f t="shared" si="23"/>
        <v>Wired Port - Internet for Media</v>
      </c>
      <c r="G71" s="329" t="str">
        <f t="shared" si="24"/>
        <v>WRDMED - Wired Port - Media Internet (Media Internet Access Media)</v>
      </c>
      <c r="H71" s="269">
        <v>1</v>
      </c>
      <c r="I71" s="330">
        <f t="shared" si="19"/>
        <v>1</v>
      </c>
      <c r="J71" s="330">
        <f t="shared" si="19"/>
        <v>0</v>
      </c>
      <c r="K71" s="442">
        <v>1</v>
      </c>
      <c r="L71" s="330">
        <f t="shared" si="20"/>
        <v>1</v>
      </c>
      <c r="M71" s="330">
        <f t="shared" si="20"/>
        <v>0</v>
      </c>
      <c r="N71" s="330"/>
      <c r="O71" s="272" t="s">
        <v>511</v>
      </c>
      <c r="P71" s="271" t="s">
        <v>152</v>
      </c>
      <c r="Q71" s="272" t="s">
        <v>569</v>
      </c>
      <c r="R71" s="331" t="s">
        <v>551</v>
      </c>
      <c r="S71" s="273" t="s">
        <v>544</v>
      </c>
      <c r="T71" s="274" t="str">
        <f t="shared" si="25"/>
        <v>FIFA Broadcast</v>
      </c>
      <c r="U71" s="275" t="s">
        <v>570</v>
      </c>
      <c r="V71" s="358" t="s">
        <v>520</v>
      </c>
    </row>
    <row r="72" spans="1:22" s="276" customFormat="1" ht="15.75" customHeight="1">
      <c r="A72" s="267" t="s">
        <v>523</v>
      </c>
      <c r="B72" s="329" t="str">
        <f t="shared" si="18"/>
        <v>Wired Port - Media Internet</v>
      </c>
      <c r="C72" s="329" t="str">
        <f t="shared" si="18"/>
        <v>Network &amp; Connectivity</v>
      </c>
      <c r="D72" s="329" t="str">
        <f t="shared" si="21"/>
        <v/>
      </c>
      <c r="E72" s="329" t="str">
        <f t="shared" si="22"/>
        <v>Media Internet Access Media</v>
      </c>
      <c r="F72" s="329" t="str">
        <f t="shared" si="23"/>
        <v>Wired Port - Internet for Media</v>
      </c>
      <c r="G72" s="329" t="str">
        <f t="shared" si="24"/>
        <v>WRDMED - Wired Port - Media Internet (Media Internet Access Media)</v>
      </c>
      <c r="H72" s="269">
        <v>1</v>
      </c>
      <c r="I72" s="330">
        <f t="shared" si="19"/>
        <v>1</v>
      </c>
      <c r="J72" s="330">
        <f t="shared" si="19"/>
        <v>0</v>
      </c>
      <c r="K72" s="442">
        <v>1</v>
      </c>
      <c r="L72" s="330">
        <f t="shared" si="20"/>
        <v>1</v>
      </c>
      <c r="M72" s="330">
        <f t="shared" si="20"/>
        <v>0</v>
      </c>
      <c r="N72" s="330"/>
      <c r="O72" s="272" t="s">
        <v>511</v>
      </c>
      <c r="P72" s="271" t="s">
        <v>152</v>
      </c>
      <c r="Q72" s="272" t="s">
        <v>569</v>
      </c>
      <c r="R72" s="273" t="s">
        <v>552</v>
      </c>
      <c r="S72" s="273" t="s">
        <v>544</v>
      </c>
      <c r="T72" s="274" t="str">
        <f t="shared" si="25"/>
        <v>FIFA Broadcast</v>
      </c>
      <c r="U72" s="275" t="s">
        <v>570</v>
      </c>
      <c r="V72" s="358" t="s">
        <v>520</v>
      </c>
    </row>
    <row r="73" spans="1:22" s="276" customFormat="1" ht="15.75" customHeight="1">
      <c r="A73" s="267" t="s">
        <v>225</v>
      </c>
      <c r="B73" s="329" t="str">
        <f t="shared" si="18"/>
        <v xml:space="preserve">Wired Port - General Internet </v>
      </c>
      <c r="C73" s="329" t="str">
        <f t="shared" si="18"/>
        <v>Network &amp; Connectivity</v>
      </c>
      <c r="D73" s="329" t="str">
        <f t="shared" si="21"/>
        <v/>
      </c>
      <c r="E73" s="329" t="str">
        <f t="shared" si="22"/>
        <v>General Internet Access</v>
      </c>
      <c r="F73" s="329" t="str">
        <f t="shared" si="23"/>
        <v>Wired Port - Internet</v>
      </c>
      <c r="G73" s="329" t="str">
        <f t="shared" si="24"/>
        <v>WRDGEN - Wired Port - General Internet  (General Internet Access)</v>
      </c>
      <c r="H73" s="269">
        <v>2</v>
      </c>
      <c r="I73" s="330">
        <f t="shared" si="19"/>
        <v>2</v>
      </c>
      <c r="J73" s="330">
        <f t="shared" si="19"/>
        <v>0</v>
      </c>
      <c r="K73" s="442">
        <v>2</v>
      </c>
      <c r="L73" s="330">
        <f t="shared" si="20"/>
        <v>2</v>
      </c>
      <c r="M73" s="330">
        <f t="shared" si="20"/>
        <v>0</v>
      </c>
      <c r="N73" s="330"/>
      <c r="O73" s="272" t="s">
        <v>511</v>
      </c>
      <c r="P73" s="271" t="s">
        <v>152</v>
      </c>
      <c r="Q73" s="272" t="s">
        <v>531</v>
      </c>
      <c r="R73" s="331" t="s">
        <v>571</v>
      </c>
      <c r="S73" s="273" t="s">
        <v>544</v>
      </c>
      <c r="T73" s="274" t="str">
        <f t="shared" si="25"/>
        <v>FIFA Broadcast</v>
      </c>
      <c r="U73" s="275" t="s">
        <v>572</v>
      </c>
      <c r="V73" s="358" t="s">
        <v>520</v>
      </c>
    </row>
    <row r="74" spans="1:22" s="276" customFormat="1" ht="15.75" customHeight="1">
      <c r="A74" s="267" t="s">
        <v>225</v>
      </c>
      <c r="B74" s="329" t="str">
        <f t="shared" si="18"/>
        <v xml:space="preserve">Wired Port - General Internet </v>
      </c>
      <c r="C74" s="329" t="str">
        <f t="shared" si="18"/>
        <v>Network &amp; Connectivity</v>
      </c>
      <c r="D74" s="329" t="str">
        <f t="shared" si="21"/>
        <v/>
      </c>
      <c r="E74" s="329" t="str">
        <f t="shared" si="22"/>
        <v>General Internet Access</v>
      </c>
      <c r="F74" s="329" t="str">
        <f t="shared" si="23"/>
        <v>Wired Port - Internet</v>
      </c>
      <c r="G74" s="329" t="str">
        <f t="shared" si="24"/>
        <v>WRDGEN - Wired Port - General Internet  (General Internet Access)</v>
      </c>
      <c r="H74" s="269">
        <v>1</v>
      </c>
      <c r="I74" s="330">
        <f t="shared" si="19"/>
        <v>1</v>
      </c>
      <c r="J74" s="330">
        <f t="shared" si="19"/>
        <v>0</v>
      </c>
      <c r="K74" s="442">
        <v>1</v>
      </c>
      <c r="L74" s="330">
        <f t="shared" si="20"/>
        <v>1</v>
      </c>
      <c r="M74" s="330">
        <f t="shared" si="20"/>
        <v>0</v>
      </c>
      <c r="N74" s="330"/>
      <c r="O74" s="272" t="s">
        <v>511</v>
      </c>
      <c r="P74" s="271" t="s">
        <v>152</v>
      </c>
      <c r="Q74" s="272" t="s">
        <v>531</v>
      </c>
      <c r="R74" s="331" t="s">
        <v>573</v>
      </c>
      <c r="S74" s="273" t="s">
        <v>544</v>
      </c>
      <c r="T74" s="274" t="str">
        <f t="shared" si="25"/>
        <v>FIFA Broadcast</v>
      </c>
      <c r="U74" s="275"/>
      <c r="V74" s="358" t="s">
        <v>520</v>
      </c>
    </row>
    <row r="75" spans="1:22" s="276" customFormat="1" ht="15.75" customHeight="1">
      <c r="A75" s="277" t="s">
        <v>547</v>
      </c>
      <c r="B75" s="329" t="str">
        <f t="shared" si="18"/>
        <v>Wired Port - Stream &amp; World feed</v>
      </c>
      <c r="C75" s="329" t="str">
        <f t="shared" si="18"/>
        <v>Network &amp; Connectivity</v>
      </c>
      <c r="D75" s="329" t="str">
        <f t="shared" si="21"/>
        <v/>
      </c>
      <c r="E75" s="329" t="str">
        <f t="shared" si="22"/>
        <v>Stream Fabs &amp; W Feed</v>
      </c>
      <c r="F75" s="329" t="str">
        <f t="shared" si="23"/>
        <v>Wired Port - Stream &amp; World feed</v>
      </c>
      <c r="G75" s="329" t="str">
        <f t="shared" si="24"/>
        <v>WRDSTR - Wired Port - Stream &amp; World feed (Stream Fabs &amp; W Feed)</v>
      </c>
      <c r="H75" s="269">
        <v>3</v>
      </c>
      <c r="I75" s="330">
        <f t="shared" si="19"/>
        <v>2</v>
      </c>
      <c r="J75" s="330">
        <f t="shared" si="19"/>
        <v>0</v>
      </c>
      <c r="K75" s="442">
        <v>2</v>
      </c>
      <c r="L75" s="330">
        <f t="shared" si="20"/>
        <v>2</v>
      </c>
      <c r="M75" s="330">
        <f t="shared" si="20"/>
        <v>0</v>
      </c>
      <c r="N75" s="330"/>
      <c r="O75" s="272" t="s">
        <v>511</v>
      </c>
      <c r="P75" s="271" t="s">
        <v>152</v>
      </c>
      <c r="Q75" s="272" t="s">
        <v>531</v>
      </c>
      <c r="R75" s="331" t="s">
        <v>573</v>
      </c>
      <c r="S75" s="273" t="s">
        <v>544</v>
      </c>
      <c r="T75" s="274" t="str">
        <f t="shared" si="25"/>
        <v>FIFA Broadcast</v>
      </c>
      <c r="U75" s="275" t="s">
        <v>574</v>
      </c>
      <c r="V75" s="358" t="s">
        <v>520</v>
      </c>
    </row>
    <row r="76" spans="1:22" s="276" customFormat="1" ht="15.75" customHeight="1">
      <c r="A76" s="267" t="s">
        <v>523</v>
      </c>
      <c r="B76" s="329" t="str">
        <f t="shared" si="18"/>
        <v>Wired Port - Media Internet</v>
      </c>
      <c r="C76" s="329" t="str">
        <f t="shared" si="18"/>
        <v>Network &amp; Connectivity</v>
      </c>
      <c r="D76" s="329" t="str">
        <f t="shared" si="21"/>
        <v/>
      </c>
      <c r="E76" s="329" t="str">
        <f t="shared" si="22"/>
        <v>Media Internet Access Media</v>
      </c>
      <c r="F76" s="329" t="str">
        <f t="shared" si="23"/>
        <v>Wired Port - Internet for Media</v>
      </c>
      <c r="G76" s="329" t="str">
        <f t="shared" si="24"/>
        <v>WRDMED - Wired Port - Media Internet (Media Internet Access Media)</v>
      </c>
      <c r="H76" s="269">
        <v>2</v>
      </c>
      <c r="I76" s="330">
        <f t="shared" si="19"/>
        <v>2</v>
      </c>
      <c r="J76" s="330">
        <f t="shared" si="19"/>
        <v>0</v>
      </c>
      <c r="K76" s="441">
        <v>2</v>
      </c>
      <c r="L76" s="330">
        <f t="shared" si="20"/>
        <v>2</v>
      </c>
      <c r="M76" s="330">
        <f t="shared" si="20"/>
        <v>0</v>
      </c>
      <c r="N76" s="330"/>
      <c r="O76" s="272" t="s">
        <v>511</v>
      </c>
      <c r="P76" s="271" t="s">
        <v>152</v>
      </c>
      <c r="Q76" s="272" t="s">
        <v>560</v>
      </c>
      <c r="R76" s="331" t="s">
        <v>575</v>
      </c>
      <c r="S76" s="273" t="s">
        <v>544</v>
      </c>
      <c r="T76" s="274" t="str">
        <f t="shared" si="25"/>
        <v>FIFA Broadcast</v>
      </c>
      <c r="U76" s="275"/>
      <c r="V76" s="358" t="s">
        <v>520</v>
      </c>
    </row>
    <row r="77" spans="1:22" s="276" customFormat="1" ht="15.75" hidden="1" customHeight="1">
      <c r="A77" s="267" t="s">
        <v>329</v>
      </c>
      <c r="B77" s="329" t="str">
        <f t="shared" si="18"/>
        <v>24" Monitor - HDMI/DP</v>
      </c>
      <c r="C77" s="329" t="str">
        <f t="shared" si="18"/>
        <v>Peripherals</v>
      </c>
      <c r="D77" s="329" t="str">
        <f t="shared" si="21"/>
        <v/>
      </c>
      <c r="E77" s="329" t="str">
        <f t="shared" si="22"/>
        <v/>
      </c>
      <c r="F77" s="329" t="str">
        <f t="shared" si="23"/>
        <v>24" PC Monitor</v>
      </c>
      <c r="G77" s="329" t="str">
        <f t="shared" si="24"/>
        <v>DSKMNT - 24" Monitor - HDMI/DP</v>
      </c>
      <c r="H77" s="269">
        <v>2</v>
      </c>
      <c r="I77" s="330">
        <f t="shared" si="19"/>
        <v>0</v>
      </c>
      <c r="J77" s="330">
        <f t="shared" si="19"/>
        <v>0</v>
      </c>
      <c r="K77" s="269">
        <v>2</v>
      </c>
      <c r="L77" s="330">
        <f t="shared" si="20"/>
        <v>0</v>
      </c>
      <c r="M77" s="330">
        <f t="shared" si="20"/>
        <v>0</v>
      </c>
      <c r="N77" s="330">
        <v>0</v>
      </c>
      <c r="O77" s="272" t="s">
        <v>511</v>
      </c>
      <c r="P77" s="271" t="s">
        <v>149</v>
      </c>
      <c r="Q77" s="331" t="s">
        <v>281</v>
      </c>
      <c r="R77" s="331" t="s">
        <v>576</v>
      </c>
      <c r="S77" s="273" t="s">
        <v>577</v>
      </c>
      <c r="T77" s="274" t="str">
        <f t="shared" si="25"/>
        <v>FIFA Competitions</v>
      </c>
      <c r="U77" s="275" t="s">
        <v>578</v>
      </c>
      <c r="V77" s="358" t="s">
        <v>514</v>
      </c>
    </row>
    <row r="78" spans="1:22" s="326" customFormat="1" ht="15.75" hidden="1" customHeight="1">
      <c r="A78" s="267" t="s">
        <v>519</v>
      </c>
      <c r="B78" s="332" t="str">
        <f t="shared" si="18"/>
        <v>Wireless coverage - Shared Internet Service - Wi-Fi FIFA</v>
      </c>
      <c r="C78" s="329" t="str">
        <f t="shared" si="18"/>
        <v>Network &amp; Connectivity</v>
      </c>
      <c r="D78" s="329" t="str">
        <f t="shared" si="21"/>
        <v/>
      </c>
      <c r="E78" s="329" t="str">
        <f t="shared" si="22"/>
        <v>General Internet Access</v>
      </c>
      <c r="F78" s="329" t="str">
        <f t="shared" si="23"/>
        <v>Wireless coverage - Shared Internet Service - FIFA</v>
      </c>
      <c r="G78" s="329" t="str">
        <f t="shared" si="24"/>
        <v>IS00WF - Wireless coverage - Shared Internet Service - Wi-Fi FIFA (General Internet Access)</v>
      </c>
      <c r="H78" s="269">
        <v>1</v>
      </c>
      <c r="I78" s="330">
        <f t="shared" si="19"/>
        <v>0</v>
      </c>
      <c r="J78" s="330">
        <f t="shared" si="19"/>
        <v>0</v>
      </c>
      <c r="K78" s="269">
        <v>1</v>
      </c>
      <c r="L78" s="330">
        <f t="shared" si="20"/>
        <v>0</v>
      </c>
      <c r="M78" s="330">
        <f t="shared" si="20"/>
        <v>0</v>
      </c>
      <c r="N78" s="330"/>
      <c r="O78" s="272" t="s">
        <v>511</v>
      </c>
      <c r="P78" s="271" t="s">
        <v>149</v>
      </c>
      <c r="Q78" s="331" t="s">
        <v>281</v>
      </c>
      <c r="R78" s="331" t="s">
        <v>576</v>
      </c>
      <c r="S78" s="273" t="s">
        <v>577</v>
      </c>
      <c r="T78" s="274" t="str">
        <f t="shared" si="25"/>
        <v>FIFA Competitions</v>
      </c>
      <c r="U78" s="275"/>
      <c r="V78" s="358" t="s">
        <v>520</v>
      </c>
    </row>
    <row r="79" spans="1:22" s="326" customFormat="1" ht="15.75" hidden="1" customHeight="1">
      <c r="A79" s="277" t="s">
        <v>202</v>
      </c>
      <c r="B79" s="332" t="str">
        <f t="shared" si="18"/>
        <v>MFD Desktop - Colour - A4 - Network</v>
      </c>
      <c r="C79" s="329" t="str">
        <f t="shared" si="18"/>
        <v>Reprographics</v>
      </c>
      <c r="D79" s="329" t="str">
        <f t="shared" si="21"/>
        <v/>
      </c>
      <c r="E79" s="329" t="str">
        <f t="shared" si="22"/>
        <v>General Internet Access</v>
      </c>
      <c r="F79" s="329" t="str">
        <f t="shared" si="23"/>
        <v>Colour Printer / Scanner (A4)</v>
      </c>
      <c r="G79" s="329" t="str">
        <f t="shared" si="24"/>
        <v>MFDDNW - MFD Desktop - Colour - A4 - Network (General Internet Access)</v>
      </c>
      <c r="H79" s="269">
        <v>1</v>
      </c>
      <c r="I79" s="330">
        <f t="shared" si="19"/>
        <v>1</v>
      </c>
      <c r="J79" s="330">
        <f t="shared" si="19"/>
        <v>0</v>
      </c>
      <c r="K79" s="269">
        <v>1</v>
      </c>
      <c r="L79" s="330">
        <f t="shared" si="20"/>
        <v>1</v>
      </c>
      <c r="M79" s="330">
        <f t="shared" si="20"/>
        <v>0</v>
      </c>
      <c r="N79" s="330">
        <v>0</v>
      </c>
      <c r="O79" s="272" t="s">
        <v>511</v>
      </c>
      <c r="P79" s="271" t="s">
        <v>149</v>
      </c>
      <c r="Q79" s="331" t="s">
        <v>281</v>
      </c>
      <c r="R79" s="331" t="s">
        <v>576</v>
      </c>
      <c r="S79" s="273" t="s">
        <v>577</v>
      </c>
      <c r="T79" s="274" t="str">
        <f t="shared" si="25"/>
        <v>FIFA Competitions</v>
      </c>
      <c r="U79" s="275"/>
      <c r="V79" s="358" t="s">
        <v>514</v>
      </c>
    </row>
    <row r="80" spans="1:22" s="326" customFormat="1" ht="15.75" hidden="1" customHeight="1">
      <c r="A80" s="333" t="s">
        <v>202</v>
      </c>
      <c r="B80" s="342" t="str">
        <f t="shared" si="18"/>
        <v>MFD Desktop - Colour - A4 - Network</v>
      </c>
      <c r="C80" s="343" t="str">
        <f t="shared" si="18"/>
        <v>Reprographics</v>
      </c>
      <c r="D80" s="343" t="str">
        <f t="shared" si="21"/>
        <v/>
      </c>
      <c r="E80" s="343" t="str">
        <f t="shared" si="22"/>
        <v>General Internet Access</v>
      </c>
      <c r="F80" s="343" t="str">
        <f t="shared" si="23"/>
        <v>Colour Printer / Scanner (A4)</v>
      </c>
      <c r="G80" s="343" t="str">
        <f t="shared" si="24"/>
        <v>MFDDNW - MFD Desktop - Colour - A4 - Network (General Internet Access)</v>
      </c>
      <c r="H80" s="344">
        <v>1</v>
      </c>
      <c r="I80" s="330">
        <f t="shared" si="19"/>
        <v>1</v>
      </c>
      <c r="J80" s="330">
        <f t="shared" si="19"/>
        <v>0</v>
      </c>
      <c r="K80" s="344">
        <v>1</v>
      </c>
      <c r="L80" s="330">
        <f t="shared" si="20"/>
        <v>1</v>
      </c>
      <c r="M80" s="330">
        <f t="shared" si="20"/>
        <v>0</v>
      </c>
      <c r="N80" s="330">
        <v>1</v>
      </c>
      <c r="O80" s="338" t="s">
        <v>511</v>
      </c>
      <c r="P80" s="271" t="s">
        <v>149</v>
      </c>
      <c r="Q80" s="336" t="s">
        <v>284</v>
      </c>
      <c r="R80" s="336" t="s">
        <v>579</v>
      </c>
      <c r="S80" s="345" t="s">
        <v>577</v>
      </c>
      <c r="T80" s="274" t="str">
        <f t="shared" si="25"/>
        <v>FIFA Competitions</v>
      </c>
      <c r="U80" s="275" t="s">
        <v>580</v>
      </c>
      <c r="V80" s="358" t="s">
        <v>514</v>
      </c>
    </row>
    <row r="81" spans="1:22" s="326" customFormat="1" ht="15.75" hidden="1" customHeight="1">
      <c r="A81" s="333" t="s">
        <v>202</v>
      </c>
      <c r="B81" s="342" t="str">
        <f t="shared" si="18"/>
        <v>MFD Desktop - Colour - A4 - Network</v>
      </c>
      <c r="C81" s="343" t="str">
        <f t="shared" si="18"/>
        <v>Reprographics</v>
      </c>
      <c r="D81" s="343" t="str">
        <f t="shared" si="21"/>
        <v/>
      </c>
      <c r="E81" s="343" t="str">
        <f t="shared" si="22"/>
        <v>General Internet Access</v>
      </c>
      <c r="F81" s="343" t="str">
        <f t="shared" si="23"/>
        <v>Colour Printer / Scanner (A4)</v>
      </c>
      <c r="G81" s="343" t="str">
        <f t="shared" si="24"/>
        <v>MFDDNW - MFD Desktop - Colour - A4 - Network (General Internet Access)</v>
      </c>
      <c r="H81" s="344">
        <v>1</v>
      </c>
      <c r="I81" s="330">
        <f t="shared" si="19"/>
        <v>1</v>
      </c>
      <c r="J81" s="330">
        <f t="shared" si="19"/>
        <v>0</v>
      </c>
      <c r="K81" s="344">
        <v>1</v>
      </c>
      <c r="L81" s="330">
        <f t="shared" si="20"/>
        <v>1</v>
      </c>
      <c r="M81" s="330">
        <f t="shared" si="20"/>
        <v>0</v>
      </c>
      <c r="N81" s="330">
        <v>1</v>
      </c>
      <c r="O81" s="338" t="s">
        <v>511</v>
      </c>
      <c r="P81" s="271" t="s">
        <v>149</v>
      </c>
      <c r="Q81" s="336" t="s">
        <v>518</v>
      </c>
      <c r="R81" s="336" t="s">
        <v>579</v>
      </c>
      <c r="S81" s="345" t="s">
        <v>577</v>
      </c>
      <c r="T81" s="274" t="str">
        <f t="shared" si="25"/>
        <v>FIFA Competitions</v>
      </c>
      <c r="U81" s="275" t="s">
        <v>580</v>
      </c>
      <c r="V81" s="358" t="s">
        <v>514</v>
      </c>
    </row>
    <row r="82" spans="1:22" s="326" customFormat="1" ht="15.75" hidden="1" customHeight="1">
      <c r="A82" s="333" t="s">
        <v>202</v>
      </c>
      <c r="B82" s="342" t="str">
        <f t="shared" si="18"/>
        <v>MFD Desktop - Colour - A4 - Network</v>
      </c>
      <c r="C82" s="343" t="str">
        <f t="shared" si="18"/>
        <v>Reprographics</v>
      </c>
      <c r="D82" s="343" t="str">
        <f t="shared" si="21"/>
        <v/>
      </c>
      <c r="E82" s="343" t="str">
        <f t="shared" si="22"/>
        <v>General Internet Access</v>
      </c>
      <c r="F82" s="343" t="str">
        <f t="shared" si="23"/>
        <v>Colour Printer / Scanner (A4)</v>
      </c>
      <c r="G82" s="343" t="str">
        <f t="shared" si="24"/>
        <v>MFDDNW - MFD Desktop - Colour - A4 - Network (General Internet Access)</v>
      </c>
      <c r="H82" s="344">
        <v>1</v>
      </c>
      <c r="I82" s="330">
        <f t="shared" si="19"/>
        <v>1</v>
      </c>
      <c r="J82" s="330">
        <f t="shared" si="19"/>
        <v>0</v>
      </c>
      <c r="K82" s="344">
        <v>1</v>
      </c>
      <c r="L82" s="330">
        <f t="shared" si="20"/>
        <v>1</v>
      </c>
      <c r="M82" s="330">
        <f t="shared" si="20"/>
        <v>0</v>
      </c>
      <c r="N82" s="330">
        <v>0</v>
      </c>
      <c r="O82" s="338" t="s">
        <v>511</v>
      </c>
      <c r="P82" s="271" t="s">
        <v>149</v>
      </c>
      <c r="Q82" s="336" t="s">
        <v>258</v>
      </c>
      <c r="R82" s="336" t="s">
        <v>579</v>
      </c>
      <c r="S82" s="345" t="s">
        <v>577</v>
      </c>
      <c r="T82" s="274" t="str">
        <f t="shared" si="25"/>
        <v>FIFA Competitions</v>
      </c>
      <c r="U82" s="275" t="s">
        <v>580</v>
      </c>
      <c r="V82" s="358" t="s">
        <v>514</v>
      </c>
    </row>
    <row r="83" spans="1:22" s="326" customFormat="1" ht="15.75" hidden="1" customHeight="1">
      <c r="A83" s="333" t="s">
        <v>202</v>
      </c>
      <c r="B83" s="342" t="str">
        <f t="shared" ref="B83:C102" si="26">IF($A83="","",VLOOKUP($A83,ps_table,MATCH(B$2,ps_headers,0),FALSE))</f>
        <v>MFD Desktop - Colour - A4 - Network</v>
      </c>
      <c r="C83" s="343" t="str">
        <f t="shared" si="26"/>
        <v>Reprographics</v>
      </c>
      <c r="D83" s="343" t="str">
        <f t="shared" si="21"/>
        <v/>
      </c>
      <c r="E83" s="343" t="str">
        <f t="shared" si="22"/>
        <v>General Internet Access</v>
      </c>
      <c r="F83" s="343" t="str">
        <f t="shared" si="23"/>
        <v>Colour Printer / Scanner (A4)</v>
      </c>
      <c r="G83" s="343" t="str">
        <f t="shared" si="24"/>
        <v>MFDDNW - MFD Desktop - Colour - A4 - Network (General Internet Access)</v>
      </c>
      <c r="H83" s="344">
        <v>1</v>
      </c>
      <c r="I83" s="330">
        <f t="shared" ref="I83:J97" si="27">IF($A83="","",$K83*VLOOKUP($A83,ps_table,MATCH(I$2,ps_headers,0),FALSE))</f>
        <v>1</v>
      </c>
      <c r="J83" s="330">
        <f t="shared" si="27"/>
        <v>0</v>
      </c>
      <c r="K83" s="344">
        <v>1</v>
      </c>
      <c r="L83" s="330">
        <f t="shared" si="20"/>
        <v>1</v>
      </c>
      <c r="M83" s="330">
        <f t="shared" si="20"/>
        <v>0</v>
      </c>
      <c r="N83" s="330">
        <v>0</v>
      </c>
      <c r="O83" s="338" t="s">
        <v>511</v>
      </c>
      <c r="P83" s="271" t="s">
        <v>149</v>
      </c>
      <c r="Q83" s="336" t="s">
        <v>515</v>
      </c>
      <c r="R83" s="336" t="s">
        <v>579</v>
      </c>
      <c r="S83" s="345" t="s">
        <v>577</v>
      </c>
      <c r="T83" s="274" t="str">
        <f t="shared" si="25"/>
        <v>FIFA Competitions</v>
      </c>
      <c r="U83" s="275" t="s">
        <v>580</v>
      </c>
      <c r="V83" s="358" t="s">
        <v>514</v>
      </c>
    </row>
    <row r="84" spans="1:22" s="276" customFormat="1" ht="15.75" hidden="1" customHeight="1">
      <c r="A84" s="267" t="s">
        <v>349</v>
      </c>
      <c r="B84" s="329" t="str">
        <f t="shared" si="26"/>
        <v>Portable Speaker</v>
      </c>
      <c r="C84" s="329" t="str">
        <f t="shared" si="26"/>
        <v>Peripherals</v>
      </c>
      <c r="D84" s="329" t="str">
        <f t="shared" si="21"/>
        <v>Single</v>
      </c>
      <c r="E84" s="329" t="str">
        <f t="shared" si="22"/>
        <v/>
      </c>
      <c r="F84" s="329" t="str">
        <f t="shared" si="23"/>
        <v>Portable Speaker</v>
      </c>
      <c r="G84" s="329" t="str">
        <f t="shared" si="24"/>
        <v>PORSPE - Portable Speaker</v>
      </c>
      <c r="H84" s="269">
        <v>1</v>
      </c>
      <c r="I84" s="330">
        <f t="shared" si="27"/>
        <v>0</v>
      </c>
      <c r="J84" s="330">
        <f t="shared" si="27"/>
        <v>0</v>
      </c>
      <c r="K84" s="269">
        <v>1</v>
      </c>
      <c r="L84" s="330">
        <f t="shared" si="20"/>
        <v>0</v>
      </c>
      <c r="M84" s="330">
        <f t="shared" si="20"/>
        <v>0</v>
      </c>
      <c r="N84" s="330"/>
      <c r="O84" s="272" t="s">
        <v>539</v>
      </c>
      <c r="P84" s="271" t="s">
        <v>149</v>
      </c>
      <c r="Q84" s="331" t="s">
        <v>281</v>
      </c>
      <c r="R84" s="331" t="s">
        <v>576</v>
      </c>
      <c r="S84" s="273" t="s">
        <v>577</v>
      </c>
      <c r="T84" s="274" t="str">
        <f t="shared" si="25"/>
        <v>FIFA Competitions</v>
      </c>
      <c r="U84" s="275"/>
      <c r="V84" s="358" t="s">
        <v>514</v>
      </c>
    </row>
    <row r="85" spans="1:22" s="276" customFormat="1" ht="15.75" hidden="1" customHeight="1">
      <c r="A85" s="267" t="s">
        <v>538</v>
      </c>
      <c r="B85" s="329" t="str">
        <f t="shared" si="26"/>
        <v>Tablet - FIFA Professional Tablet + 4G</v>
      </c>
      <c r="C85" s="329" t="str">
        <f t="shared" si="26"/>
        <v>FIFA IT Hardware</v>
      </c>
      <c r="D85" s="329" t="str">
        <f t="shared" si="21"/>
        <v>Single</v>
      </c>
      <c r="E85" s="329" t="str">
        <f t="shared" si="22"/>
        <v/>
      </c>
      <c r="F85" s="329" t="str">
        <f t="shared" si="23"/>
        <v>Professional Series Tablet + 4G</v>
      </c>
      <c r="G85" s="329" t="str">
        <f t="shared" si="24"/>
        <v>TABLEN - Tablet - FIFA Professional Tablet + 4G</v>
      </c>
      <c r="H85" s="269">
        <v>2</v>
      </c>
      <c r="I85" s="330">
        <f t="shared" si="27"/>
        <v>0</v>
      </c>
      <c r="J85" s="330">
        <f t="shared" si="27"/>
        <v>8</v>
      </c>
      <c r="K85" s="269">
        <v>8</v>
      </c>
      <c r="L85" s="330">
        <f t="shared" ref="L85:L98" si="28">IF($A85="","",$K85*VLOOKUP($A85,ps_table,MATCH(L$2,ps_headers,0),FALSE))</f>
        <v>0</v>
      </c>
      <c r="M85" s="330">
        <v>0</v>
      </c>
      <c r="N85" s="330"/>
      <c r="O85" s="272" t="s">
        <v>539</v>
      </c>
      <c r="P85" s="271" t="s">
        <v>149</v>
      </c>
      <c r="Q85" s="331" t="s">
        <v>281</v>
      </c>
      <c r="R85" s="331" t="s">
        <v>576</v>
      </c>
      <c r="S85" s="273" t="s">
        <v>577</v>
      </c>
      <c r="T85" s="274" t="str">
        <f t="shared" si="25"/>
        <v>FIFA Competitions</v>
      </c>
      <c r="U85" s="275"/>
      <c r="V85" s="358" t="s">
        <v>514</v>
      </c>
    </row>
    <row r="86" spans="1:22" s="276" customFormat="1" ht="15.75" hidden="1" customHeight="1">
      <c r="A86" s="277" t="s">
        <v>237</v>
      </c>
      <c r="B86" s="332" t="str">
        <f t="shared" si="26"/>
        <v>TV - Large - IPTV</v>
      </c>
      <c r="C86" s="329" t="str">
        <f t="shared" si="26"/>
        <v>CATV</v>
      </c>
      <c r="D86" s="329" t="str">
        <f t="shared" si="21"/>
        <v/>
      </c>
      <c r="E86" s="329" t="str">
        <f t="shared" si="22"/>
        <v/>
      </c>
      <c r="F86" s="329" t="str">
        <f t="shared" si="23"/>
        <v>Large TV - CATV Feed</v>
      </c>
      <c r="G86" s="329" t="str">
        <f t="shared" si="24"/>
        <v>TVLGIP - TV - Large - IPTV</v>
      </c>
      <c r="H86" s="269">
        <v>1</v>
      </c>
      <c r="I86" s="330">
        <f t="shared" si="27"/>
        <v>1</v>
      </c>
      <c r="J86" s="330">
        <f t="shared" si="27"/>
        <v>0</v>
      </c>
      <c r="K86" s="438">
        <v>1</v>
      </c>
      <c r="L86" s="330">
        <f t="shared" si="28"/>
        <v>1</v>
      </c>
      <c r="M86" s="330">
        <f t="shared" ref="M86:M109" si="29">IF($A86="","",$K86*VLOOKUP($A86,ps_table,MATCH(M$2,ps_headers,0),FALSE))</f>
        <v>0</v>
      </c>
      <c r="N86" s="330">
        <v>0</v>
      </c>
      <c r="O86" s="272" t="s">
        <v>511</v>
      </c>
      <c r="P86" s="271" t="s">
        <v>149</v>
      </c>
      <c r="Q86" s="331" t="s">
        <v>281</v>
      </c>
      <c r="R86" s="331" t="s">
        <v>576</v>
      </c>
      <c r="S86" s="273" t="s">
        <v>577</v>
      </c>
      <c r="T86" s="274" t="str">
        <f t="shared" si="25"/>
        <v>FIFA Competitions</v>
      </c>
      <c r="U86" s="275" t="s">
        <v>581</v>
      </c>
      <c r="V86" s="358" t="s">
        <v>247</v>
      </c>
    </row>
    <row r="87" spans="1:22" s="276" customFormat="1" ht="15.75" hidden="1" customHeight="1">
      <c r="A87" s="277" t="s">
        <v>537</v>
      </c>
      <c r="B87" s="332" t="str">
        <f t="shared" si="26"/>
        <v>TV Stand - Medium &amp; Large TVs</v>
      </c>
      <c r="C87" s="329" t="str">
        <f t="shared" si="26"/>
        <v>Peripherals</v>
      </c>
      <c r="D87" s="329" t="str">
        <f t="shared" si="21"/>
        <v/>
      </c>
      <c r="E87" s="329" t="str">
        <f t="shared" si="22"/>
        <v/>
      </c>
      <c r="F87" s="329" t="str">
        <f t="shared" si="23"/>
        <v>TV Stand for medium and large TVs</v>
      </c>
      <c r="G87" s="329" t="str">
        <f t="shared" si="24"/>
        <v>TVSTND - TV Stand - Medium &amp; Large TVs</v>
      </c>
      <c r="H87" s="269">
        <v>1</v>
      </c>
      <c r="I87" s="330">
        <f t="shared" si="27"/>
        <v>0</v>
      </c>
      <c r="J87" s="330">
        <f t="shared" si="27"/>
        <v>0</v>
      </c>
      <c r="K87" s="269">
        <v>1</v>
      </c>
      <c r="L87" s="330">
        <f t="shared" si="28"/>
        <v>0</v>
      </c>
      <c r="M87" s="330">
        <f t="shared" si="29"/>
        <v>0</v>
      </c>
      <c r="N87" s="330">
        <v>1</v>
      </c>
      <c r="O87" s="272" t="s">
        <v>511</v>
      </c>
      <c r="P87" s="271" t="s">
        <v>149</v>
      </c>
      <c r="Q87" s="331" t="s">
        <v>281</v>
      </c>
      <c r="R87" s="331" t="s">
        <v>576</v>
      </c>
      <c r="S87" s="273" t="s">
        <v>577</v>
      </c>
      <c r="T87" s="274" t="str">
        <f t="shared" si="25"/>
        <v>FIFA Competitions</v>
      </c>
      <c r="U87" s="275"/>
      <c r="V87" s="358" t="s">
        <v>247</v>
      </c>
    </row>
    <row r="88" spans="1:22" s="276" customFormat="1" ht="15.75" hidden="1" customHeight="1">
      <c r="A88" s="267" t="s">
        <v>519</v>
      </c>
      <c r="B88" s="332" t="str">
        <f t="shared" si="26"/>
        <v>Wireless coverage - Shared Internet Service - Wi-Fi FIFA</v>
      </c>
      <c r="C88" s="329" t="str">
        <f t="shared" si="26"/>
        <v>Network &amp; Connectivity</v>
      </c>
      <c r="D88" s="329" t="str">
        <f t="shared" si="21"/>
        <v/>
      </c>
      <c r="E88" s="329" t="str">
        <f t="shared" si="22"/>
        <v>General Internet Access</v>
      </c>
      <c r="F88" s="329" t="str">
        <f t="shared" si="23"/>
        <v>Wireless coverage - Shared Internet Service - FIFA</v>
      </c>
      <c r="G88" s="329" t="str">
        <f t="shared" si="24"/>
        <v>IS00WF - Wireless coverage - Shared Internet Service - Wi-Fi FIFA (General Internet Access)</v>
      </c>
      <c r="H88" s="269">
        <v>1</v>
      </c>
      <c r="I88" s="330">
        <f t="shared" si="27"/>
        <v>0</v>
      </c>
      <c r="J88" s="330">
        <f t="shared" si="27"/>
        <v>0</v>
      </c>
      <c r="K88" s="442">
        <v>1</v>
      </c>
      <c r="L88" s="330">
        <f t="shared" si="28"/>
        <v>0</v>
      </c>
      <c r="M88" s="330">
        <f t="shared" si="29"/>
        <v>0</v>
      </c>
      <c r="N88" s="330"/>
      <c r="O88" s="272" t="s">
        <v>511</v>
      </c>
      <c r="P88" s="271" t="s">
        <v>152</v>
      </c>
      <c r="Q88" s="331" t="s">
        <v>534</v>
      </c>
      <c r="R88" s="331" t="s">
        <v>576</v>
      </c>
      <c r="S88" s="273" t="s">
        <v>577</v>
      </c>
      <c r="T88" s="274" t="str">
        <f t="shared" si="25"/>
        <v>FIFA Competitions</v>
      </c>
      <c r="U88" s="275"/>
      <c r="V88" s="358" t="s">
        <v>520</v>
      </c>
    </row>
    <row r="89" spans="1:22" s="276" customFormat="1" ht="15.75" hidden="1" customHeight="1">
      <c r="A89" s="267" t="s">
        <v>519</v>
      </c>
      <c r="B89" s="332" t="str">
        <f t="shared" si="26"/>
        <v>Wireless coverage - Shared Internet Service - Wi-Fi FIFA</v>
      </c>
      <c r="C89" s="329" t="str">
        <f t="shared" si="26"/>
        <v>Network &amp; Connectivity</v>
      </c>
      <c r="D89" s="329" t="str">
        <f t="shared" si="21"/>
        <v/>
      </c>
      <c r="E89" s="329" t="str">
        <f t="shared" si="22"/>
        <v>General Internet Access</v>
      </c>
      <c r="F89" s="329" t="str">
        <f t="shared" si="23"/>
        <v>Wireless coverage - Shared Internet Service - FIFA</v>
      </c>
      <c r="G89" s="329" t="str">
        <f t="shared" si="24"/>
        <v>IS00WF - Wireless coverage - Shared Internet Service - Wi-Fi FIFA (General Internet Access)</v>
      </c>
      <c r="H89" s="269">
        <v>1</v>
      </c>
      <c r="I89" s="330">
        <f t="shared" si="27"/>
        <v>0</v>
      </c>
      <c r="J89" s="330">
        <f t="shared" si="27"/>
        <v>0</v>
      </c>
      <c r="K89" s="442">
        <v>1</v>
      </c>
      <c r="L89" s="330">
        <f t="shared" si="28"/>
        <v>0</v>
      </c>
      <c r="M89" s="330">
        <f t="shared" si="29"/>
        <v>0</v>
      </c>
      <c r="N89" s="330"/>
      <c r="O89" s="272" t="s">
        <v>511</v>
      </c>
      <c r="P89" s="271" t="s">
        <v>152</v>
      </c>
      <c r="Q89" s="331" t="s">
        <v>534</v>
      </c>
      <c r="R89" s="331" t="s">
        <v>582</v>
      </c>
      <c r="S89" s="273" t="s">
        <v>577</v>
      </c>
      <c r="T89" s="274" t="str">
        <f t="shared" si="25"/>
        <v>FIFA Competitions</v>
      </c>
      <c r="U89" s="275"/>
      <c r="V89" s="358" t="s">
        <v>520</v>
      </c>
    </row>
    <row r="90" spans="1:22" s="276" customFormat="1" ht="15.75" hidden="1" customHeight="1">
      <c r="A90" s="267" t="s">
        <v>519</v>
      </c>
      <c r="B90" s="329" t="str">
        <f t="shared" si="26"/>
        <v>Wireless coverage - Shared Internet Service - Wi-Fi FIFA</v>
      </c>
      <c r="C90" s="329" t="str">
        <f t="shared" si="26"/>
        <v>Network &amp; Connectivity</v>
      </c>
      <c r="D90" s="329" t="str">
        <f t="shared" si="21"/>
        <v/>
      </c>
      <c r="E90" s="329" t="str">
        <f t="shared" si="22"/>
        <v>General Internet Access</v>
      </c>
      <c r="F90" s="329" t="str">
        <f t="shared" si="23"/>
        <v>Wireless coverage - Shared Internet Service - FIFA</v>
      </c>
      <c r="G90" s="329" t="str">
        <f t="shared" si="24"/>
        <v>IS00WF - Wireless coverage - Shared Internet Service - Wi-Fi FIFA (General Internet Access)</v>
      </c>
      <c r="H90" s="269">
        <v>1</v>
      </c>
      <c r="I90" s="330">
        <f t="shared" si="27"/>
        <v>0</v>
      </c>
      <c r="J90" s="330">
        <f t="shared" si="27"/>
        <v>0</v>
      </c>
      <c r="K90" s="442">
        <v>1</v>
      </c>
      <c r="L90" s="330">
        <f t="shared" si="28"/>
        <v>0</v>
      </c>
      <c r="M90" s="330">
        <f t="shared" si="29"/>
        <v>0</v>
      </c>
      <c r="N90" s="330"/>
      <c r="O90" s="272" t="s">
        <v>511</v>
      </c>
      <c r="P90" s="271" t="s">
        <v>152</v>
      </c>
      <c r="Q90" s="273" t="s">
        <v>583</v>
      </c>
      <c r="R90" s="273" t="s">
        <v>583</v>
      </c>
      <c r="S90" s="273" t="s">
        <v>577</v>
      </c>
      <c r="T90" s="274" t="str">
        <f t="shared" si="25"/>
        <v>FIFA Competitions</v>
      </c>
      <c r="U90" s="275"/>
      <c r="V90" s="358" t="s">
        <v>520</v>
      </c>
    </row>
    <row r="91" spans="1:22" s="276" customFormat="1" ht="15.75" hidden="1" customHeight="1">
      <c r="A91" s="277" t="s">
        <v>202</v>
      </c>
      <c r="B91" s="332" t="str">
        <f t="shared" si="26"/>
        <v>MFD Desktop - Colour - A4 - Network</v>
      </c>
      <c r="C91" s="329" t="str">
        <f t="shared" si="26"/>
        <v>Reprographics</v>
      </c>
      <c r="D91" s="329" t="str">
        <f t="shared" si="21"/>
        <v/>
      </c>
      <c r="E91" s="329" t="str">
        <f t="shared" si="22"/>
        <v>General Internet Access</v>
      </c>
      <c r="F91" s="329" t="str">
        <f t="shared" si="23"/>
        <v>Colour Printer / Scanner (A4)</v>
      </c>
      <c r="G91" s="329" t="str">
        <f t="shared" si="24"/>
        <v>MFDDNW - MFD Desktop - Colour - A4 - Network (General Internet Access)</v>
      </c>
      <c r="H91" s="269">
        <v>1</v>
      </c>
      <c r="I91" s="330">
        <f t="shared" si="27"/>
        <v>1</v>
      </c>
      <c r="J91" s="330">
        <f t="shared" si="27"/>
        <v>0</v>
      </c>
      <c r="K91" s="442">
        <v>1</v>
      </c>
      <c r="L91" s="330">
        <f t="shared" si="28"/>
        <v>1</v>
      </c>
      <c r="M91" s="330">
        <f t="shared" si="29"/>
        <v>0</v>
      </c>
      <c r="N91" s="330"/>
      <c r="O91" s="272" t="s">
        <v>511</v>
      </c>
      <c r="P91" s="271" t="s">
        <v>152</v>
      </c>
      <c r="Q91" s="331" t="s">
        <v>534</v>
      </c>
      <c r="R91" s="331" t="s">
        <v>576</v>
      </c>
      <c r="S91" s="273" t="s">
        <v>577</v>
      </c>
      <c r="T91" s="274" t="str">
        <f t="shared" si="25"/>
        <v>FIFA Competitions</v>
      </c>
      <c r="U91" s="275"/>
      <c r="V91" s="358" t="s">
        <v>514</v>
      </c>
    </row>
    <row r="92" spans="1:22" s="276" customFormat="1" ht="15.75" hidden="1" customHeight="1">
      <c r="A92" s="277" t="s">
        <v>237</v>
      </c>
      <c r="B92" s="332" t="str">
        <f t="shared" si="26"/>
        <v>TV - Large - IPTV</v>
      </c>
      <c r="C92" s="329" t="str">
        <f t="shared" si="26"/>
        <v>CATV</v>
      </c>
      <c r="D92" s="329" t="str">
        <f t="shared" si="21"/>
        <v/>
      </c>
      <c r="E92" s="329" t="str">
        <f t="shared" si="22"/>
        <v/>
      </c>
      <c r="F92" s="329" t="str">
        <f t="shared" si="23"/>
        <v>Large TV - CATV Feed</v>
      </c>
      <c r="G92" s="329" t="str">
        <f t="shared" si="24"/>
        <v>TVLGIP - TV - Large - IPTV</v>
      </c>
      <c r="H92" s="269">
        <v>1</v>
      </c>
      <c r="I92" s="330">
        <f t="shared" si="27"/>
        <v>1</v>
      </c>
      <c r="J92" s="330">
        <f t="shared" si="27"/>
        <v>0</v>
      </c>
      <c r="K92" s="442">
        <v>1</v>
      </c>
      <c r="L92" s="330">
        <f t="shared" si="28"/>
        <v>1</v>
      </c>
      <c r="M92" s="330">
        <f t="shared" si="29"/>
        <v>0</v>
      </c>
      <c r="N92" s="330"/>
      <c r="O92" s="272" t="s">
        <v>511</v>
      </c>
      <c r="P92" s="271" t="s">
        <v>152</v>
      </c>
      <c r="Q92" s="331" t="s">
        <v>534</v>
      </c>
      <c r="R92" s="331" t="s">
        <v>576</v>
      </c>
      <c r="S92" s="273" t="s">
        <v>577</v>
      </c>
      <c r="T92" s="274" t="str">
        <f t="shared" si="25"/>
        <v>FIFA Competitions</v>
      </c>
      <c r="U92" s="275"/>
      <c r="V92" s="358" t="s">
        <v>247</v>
      </c>
    </row>
    <row r="93" spans="1:22" s="276" customFormat="1" ht="15.75" hidden="1" customHeight="1">
      <c r="A93" s="277" t="s">
        <v>249</v>
      </c>
      <c r="B93" s="332" t="str">
        <f t="shared" si="26"/>
        <v>TV - Large - Standalone</v>
      </c>
      <c r="C93" s="329" t="str">
        <f t="shared" si="26"/>
        <v>Display Devices</v>
      </c>
      <c r="D93" s="329" t="str">
        <f t="shared" si="21"/>
        <v/>
      </c>
      <c r="E93" s="329" t="str">
        <f t="shared" si="22"/>
        <v/>
      </c>
      <c r="F93" s="329" t="str">
        <f t="shared" si="23"/>
        <v>Large TV - Standalone</v>
      </c>
      <c r="G93" s="329" t="str">
        <f t="shared" si="24"/>
        <v>TVLGSA - TV - Large - Standalone</v>
      </c>
      <c r="H93" s="269">
        <v>1</v>
      </c>
      <c r="I93" s="330">
        <f t="shared" si="27"/>
        <v>0</v>
      </c>
      <c r="J93" s="330">
        <f t="shared" si="27"/>
        <v>0</v>
      </c>
      <c r="K93" s="442">
        <v>1</v>
      </c>
      <c r="L93" s="330">
        <f t="shared" si="28"/>
        <v>0</v>
      </c>
      <c r="M93" s="330">
        <f t="shared" si="29"/>
        <v>0</v>
      </c>
      <c r="N93" s="330"/>
      <c r="O93" s="272" t="s">
        <v>511</v>
      </c>
      <c r="P93" s="271" t="s">
        <v>152</v>
      </c>
      <c r="Q93" s="331" t="s">
        <v>534</v>
      </c>
      <c r="R93" s="331" t="s">
        <v>582</v>
      </c>
      <c r="S93" s="273" t="s">
        <v>577</v>
      </c>
      <c r="T93" s="274" t="str">
        <f t="shared" si="25"/>
        <v>FIFA Competitions</v>
      </c>
      <c r="U93" s="340"/>
      <c r="V93" s="358" t="s">
        <v>247</v>
      </c>
    </row>
    <row r="94" spans="1:22" s="276" customFormat="1" ht="28.8" hidden="1">
      <c r="A94" s="277" t="s">
        <v>249</v>
      </c>
      <c r="B94" s="332" t="str">
        <f t="shared" si="26"/>
        <v>TV - Large - Standalone</v>
      </c>
      <c r="C94" s="329" t="str">
        <f t="shared" si="26"/>
        <v>Display Devices</v>
      </c>
      <c r="D94" s="329" t="str">
        <f t="shared" si="21"/>
        <v/>
      </c>
      <c r="E94" s="329" t="str">
        <f t="shared" si="22"/>
        <v/>
      </c>
      <c r="F94" s="329" t="str">
        <f t="shared" si="23"/>
        <v>Large TV - Standalone</v>
      </c>
      <c r="G94" s="329" t="str">
        <f t="shared" si="24"/>
        <v>TVLGSA - TV - Large - Standalone</v>
      </c>
      <c r="H94" s="269">
        <v>1</v>
      </c>
      <c r="I94" s="330">
        <f t="shared" si="27"/>
        <v>0</v>
      </c>
      <c r="J94" s="330">
        <f t="shared" si="27"/>
        <v>0</v>
      </c>
      <c r="K94" s="442">
        <v>1</v>
      </c>
      <c r="L94" s="330">
        <f t="shared" si="28"/>
        <v>0</v>
      </c>
      <c r="M94" s="330">
        <f t="shared" si="29"/>
        <v>0</v>
      </c>
      <c r="N94" s="330"/>
      <c r="O94" s="272" t="s">
        <v>511</v>
      </c>
      <c r="P94" s="271" t="s">
        <v>152</v>
      </c>
      <c r="Q94" s="273" t="s">
        <v>583</v>
      </c>
      <c r="R94" s="273" t="s">
        <v>583</v>
      </c>
      <c r="S94" s="273" t="s">
        <v>577</v>
      </c>
      <c r="T94" s="274" t="str">
        <f t="shared" si="25"/>
        <v>FIFA Competitions</v>
      </c>
      <c r="U94" s="340" t="s">
        <v>584</v>
      </c>
      <c r="V94" s="358" t="s">
        <v>247</v>
      </c>
    </row>
    <row r="95" spans="1:22" s="276" customFormat="1" ht="15.75" hidden="1" customHeight="1">
      <c r="A95" s="277" t="s">
        <v>537</v>
      </c>
      <c r="B95" s="332" t="str">
        <f t="shared" si="26"/>
        <v>TV Stand - Medium &amp; Large TVs</v>
      </c>
      <c r="C95" s="329" t="str">
        <f t="shared" si="26"/>
        <v>Peripherals</v>
      </c>
      <c r="D95" s="329" t="str">
        <f t="shared" si="21"/>
        <v/>
      </c>
      <c r="E95" s="329" t="str">
        <f t="shared" si="22"/>
        <v/>
      </c>
      <c r="F95" s="329" t="str">
        <f t="shared" si="23"/>
        <v>TV Stand for medium and large TVs</v>
      </c>
      <c r="G95" s="329" t="str">
        <f t="shared" si="24"/>
        <v>TVSTND - TV Stand - Medium &amp; Large TVs</v>
      </c>
      <c r="H95" s="269">
        <v>1</v>
      </c>
      <c r="I95" s="330">
        <f t="shared" si="27"/>
        <v>0</v>
      </c>
      <c r="J95" s="330">
        <f t="shared" si="27"/>
        <v>0</v>
      </c>
      <c r="K95" s="442">
        <v>1</v>
      </c>
      <c r="L95" s="330">
        <f t="shared" si="28"/>
        <v>0</v>
      </c>
      <c r="M95" s="330">
        <f t="shared" si="29"/>
        <v>0</v>
      </c>
      <c r="N95" s="330"/>
      <c r="O95" s="272" t="s">
        <v>511</v>
      </c>
      <c r="P95" s="271" t="s">
        <v>152</v>
      </c>
      <c r="Q95" s="331" t="s">
        <v>534</v>
      </c>
      <c r="R95" s="331" t="s">
        <v>576</v>
      </c>
      <c r="S95" s="273" t="s">
        <v>577</v>
      </c>
      <c r="T95" s="274" t="str">
        <f t="shared" si="25"/>
        <v>FIFA Competitions</v>
      </c>
      <c r="U95" s="275"/>
      <c r="V95" s="358" t="s">
        <v>247</v>
      </c>
    </row>
    <row r="96" spans="1:22" s="276" customFormat="1" ht="15.75" hidden="1" customHeight="1">
      <c r="A96" s="277" t="s">
        <v>537</v>
      </c>
      <c r="B96" s="332" t="str">
        <f t="shared" si="26"/>
        <v>TV Stand - Medium &amp; Large TVs</v>
      </c>
      <c r="C96" s="329" t="str">
        <f t="shared" si="26"/>
        <v>Peripherals</v>
      </c>
      <c r="D96" s="329" t="str">
        <f t="shared" si="21"/>
        <v/>
      </c>
      <c r="E96" s="329" t="str">
        <f t="shared" si="22"/>
        <v/>
      </c>
      <c r="F96" s="329" t="str">
        <f t="shared" si="23"/>
        <v>TV Stand for medium and large TVs</v>
      </c>
      <c r="G96" s="329" t="str">
        <f t="shared" si="24"/>
        <v>TVSTND - TV Stand - Medium &amp; Large TVs</v>
      </c>
      <c r="H96" s="269">
        <v>1</v>
      </c>
      <c r="I96" s="330">
        <f t="shared" si="27"/>
        <v>0</v>
      </c>
      <c r="J96" s="330">
        <f t="shared" si="27"/>
        <v>0</v>
      </c>
      <c r="K96" s="442">
        <v>1</v>
      </c>
      <c r="L96" s="330">
        <f t="shared" si="28"/>
        <v>0</v>
      </c>
      <c r="M96" s="330">
        <f t="shared" si="29"/>
        <v>0</v>
      </c>
      <c r="N96" s="330"/>
      <c r="O96" s="272" t="s">
        <v>511</v>
      </c>
      <c r="P96" s="271" t="s">
        <v>152</v>
      </c>
      <c r="Q96" s="331" t="s">
        <v>534</v>
      </c>
      <c r="R96" s="331" t="s">
        <v>582</v>
      </c>
      <c r="S96" s="273" t="s">
        <v>577</v>
      </c>
      <c r="T96" s="274" t="str">
        <f t="shared" si="25"/>
        <v>FIFA Competitions</v>
      </c>
      <c r="U96" s="275"/>
      <c r="V96" s="358" t="s">
        <v>247</v>
      </c>
    </row>
    <row r="97" spans="1:22" s="276" customFormat="1" ht="15.75" hidden="1" customHeight="1">
      <c r="A97" s="277" t="s">
        <v>537</v>
      </c>
      <c r="B97" s="332" t="str">
        <f t="shared" si="26"/>
        <v>TV Stand - Medium &amp; Large TVs</v>
      </c>
      <c r="C97" s="329" t="str">
        <f t="shared" si="26"/>
        <v>Peripherals</v>
      </c>
      <c r="D97" s="329" t="str">
        <f t="shared" si="21"/>
        <v/>
      </c>
      <c r="E97" s="329" t="str">
        <f t="shared" si="22"/>
        <v/>
      </c>
      <c r="F97" s="329" t="str">
        <f t="shared" si="23"/>
        <v>TV Stand for medium and large TVs</v>
      </c>
      <c r="G97" s="329" t="str">
        <f t="shared" si="24"/>
        <v>TVSTND - TV Stand - Medium &amp; Large TVs</v>
      </c>
      <c r="H97" s="269">
        <v>1</v>
      </c>
      <c r="I97" s="330">
        <f t="shared" si="27"/>
        <v>0</v>
      </c>
      <c r="J97" s="330">
        <f t="shared" si="27"/>
        <v>0</v>
      </c>
      <c r="K97" s="442">
        <v>1</v>
      </c>
      <c r="L97" s="330">
        <f t="shared" si="28"/>
        <v>0</v>
      </c>
      <c r="M97" s="330">
        <f t="shared" si="29"/>
        <v>0</v>
      </c>
      <c r="N97" s="330"/>
      <c r="O97" s="272" t="s">
        <v>511</v>
      </c>
      <c r="P97" s="271" t="s">
        <v>152</v>
      </c>
      <c r="Q97" s="273" t="s">
        <v>583</v>
      </c>
      <c r="R97" s="273" t="s">
        <v>583</v>
      </c>
      <c r="S97" s="273" t="s">
        <v>577</v>
      </c>
      <c r="T97" s="274" t="str">
        <f t="shared" si="25"/>
        <v>FIFA Competitions</v>
      </c>
      <c r="U97" s="275"/>
      <c r="V97" s="358" t="s">
        <v>247</v>
      </c>
    </row>
    <row r="98" spans="1:22" s="276" customFormat="1" ht="15.75" hidden="1" customHeight="1">
      <c r="A98" s="277" t="s">
        <v>202</v>
      </c>
      <c r="B98" s="332" t="str">
        <f t="shared" si="26"/>
        <v>MFD Desktop - Colour - A4 - Network</v>
      </c>
      <c r="C98" s="329" t="str">
        <f t="shared" si="26"/>
        <v>Reprographics</v>
      </c>
      <c r="D98" s="343"/>
      <c r="E98" s="343"/>
      <c r="F98" s="343"/>
      <c r="G98" s="343"/>
      <c r="H98" s="344"/>
      <c r="I98" s="330"/>
      <c r="J98" s="330"/>
      <c r="K98" s="344">
        <v>1</v>
      </c>
      <c r="L98" s="330">
        <f t="shared" si="28"/>
        <v>1</v>
      </c>
      <c r="M98" s="330">
        <f t="shared" si="29"/>
        <v>0</v>
      </c>
      <c r="N98" s="330">
        <v>0</v>
      </c>
      <c r="O98" s="338" t="s">
        <v>511</v>
      </c>
      <c r="P98" s="271" t="s">
        <v>149</v>
      </c>
      <c r="Q98" s="273" t="s">
        <v>284</v>
      </c>
      <c r="R98" s="336" t="s">
        <v>576</v>
      </c>
      <c r="S98" s="273" t="s">
        <v>577</v>
      </c>
      <c r="T98" s="274" t="str">
        <f t="shared" si="25"/>
        <v>FIFA Competitions</v>
      </c>
      <c r="U98" s="275" t="s">
        <v>585</v>
      </c>
      <c r="V98" s="358" t="s">
        <v>514</v>
      </c>
    </row>
    <row r="99" spans="1:22" s="276" customFormat="1" ht="15.75" hidden="1" customHeight="1">
      <c r="A99" s="277" t="s">
        <v>202</v>
      </c>
      <c r="B99" s="332" t="str">
        <f t="shared" si="26"/>
        <v>MFD Desktop - Colour - A4 - Network</v>
      </c>
      <c r="C99" s="329" t="str">
        <f t="shared" si="26"/>
        <v>Reprographics</v>
      </c>
      <c r="D99" s="344">
        <v>1</v>
      </c>
      <c r="E99" s="330" t="e">
        <f>IF($A99="","",$K99*VLOOKUP($A99,ps_table,MATCH(E$2,ps_headers,0),FALSE))</f>
        <v>#VALUE!</v>
      </c>
      <c r="F99" s="330" t="e">
        <f>IF($A99="","",$K99*VLOOKUP($A99,ps_table,MATCH(F$2,ps_headers,0),FALSE))</f>
        <v>#VALUE!</v>
      </c>
      <c r="G99" s="338" t="s">
        <v>511</v>
      </c>
      <c r="H99" s="271" t="s">
        <v>152</v>
      </c>
      <c r="I99" s="345" t="s">
        <v>583</v>
      </c>
      <c r="J99" s="345" t="s">
        <v>583</v>
      </c>
      <c r="K99" s="345" t="s">
        <v>586</v>
      </c>
      <c r="L99" s="274" t="str">
        <f>IF(K99="","",K99)</f>
        <v>1</v>
      </c>
      <c r="M99" s="330">
        <f t="shared" si="29"/>
        <v>0</v>
      </c>
      <c r="N99" s="330">
        <v>0</v>
      </c>
      <c r="O99" s="338" t="s">
        <v>511</v>
      </c>
      <c r="P99" s="271" t="s">
        <v>149</v>
      </c>
      <c r="Q99" s="273" t="s">
        <v>518</v>
      </c>
      <c r="R99" s="336" t="s">
        <v>576</v>
      </c>
      <c r="S99" s="273" t="s">
        <v>577</v>
      </c>
      <c r="T99" s="274" t="str">
        <f t="shared" si="25"/>
        <v>FIFA Competitions</v>
      </c>
      <c r="U99" s="275" t="s">
        <v>587</v>
      </c>
      <c r="V99" s="358" t="s">
        <v>514</v>
      </c>
    </row>
    <row r="100" spans="1:22" s="276" customFormat="1" ht="15.75" hidden="1" customHeight="1">
      <c r="A100" s="267" t="s">
        <v>329</v>
      </c>
      <c r="B100" s="329" t="str">
        <f t="shared" si="26"/>
        <v>24" Monitor - HDMI/DP</v>
      </c>
      <c r="C100" s="329" t="str">
        <f t="shared" si="26"/>
        <v>Peripherals</v>
      </c>
      <c r="D100" s="329" t="str">
        <f t="shared" ref="D100:D131" si="30">IF(OR($A100="",$O100&lt;&gt;"FIFA Event Technology"),"",IF(VLOOKUP($A100,ps_table,MATCH(D$2,ps_headers,0),FALSE)&lt;&gt;"",VLOOKUP($A100,ps_table,MATCH(D$2,ps_headers,0),FALSE),""))</f>
        <v/>
      </c>
      <c r="E100" s="329" t="str">
        <f t="shared" ref="E100:E131" si="31">IF($A100="","",IF(VLOOKUP($A100,ps_table,MATCH(E$2,ps_headers,0),FALSE)&lt;&gt;"",VLOOKUP($A100,ps_table,MATCH(E$2,ps_headers,0),FALSE),""))</f>
        <v/>
      </c>
      <c r="F100" s="329" t="str">
        <f t="shared" ref="F100:F131" si="32">IF($A100="","",VLOOKUP($A100,ps_table,MATCH(F$2,ps_headers,0),FALSE))</f>
        <v>24" PC Monitor</v>
      </c>
      <c r="G100" s="329" t="str">
        <f t="shared" ref="G100:G131" si="33">IF($A100="","",IF(E100&lt;&gt;"",A100&amp;" - "&amp;B100&amp;" ("&amp;E100&amp;")",A100&amp;" - "&amp;B100))</f>
        <v>DSKMNT - 24" Monitor - HDMI/DP</v>
      </c>
      <c r="H100" s="269">
        <v>2</v>
      </c>
      <c r="I100" s="330">
        <f t="shared" ref="I100:J119" si="34">IF($A100="","",$K100*VLOOKUP($A100,ps_table,MATCH(I$2,ps_headers,0),FALSE))</f>
        <v>0</v>
      </c>
      <c r="J100" s="330">
        <f t="shared" si="34"/>
        <v>0</v>
      </c>
      <c r="K100" s="269">
        <v>2</v>
      </c>
      <c r="L100" s="330">
        <f t="shared" ref="L100:L131" si="35">IF($A100="","",$K100*VLOOKUP($A100,ps_table,MATCH(L$2,ps_headers,0),FALSE))</f>
        <v>0</v>
      </c>
      <c r="M100" s="330">
        <f t="shared" si="29"/>
        <v>0</v>
      </c>
      <c r="N100" s="330">
        <v>0</v>
      </c>
      <c r="O100" s="272" t="s">
        <v>511</v>
      </c>
      <c r="P100" s="271" t="s">
        <v>149</v>
      </c>
      <c r="Q100" s="272" t="s">
        <v>527</v>
      </c>
      <c r="R100" s="272" t="s">
        <v>528</v>
      </c>
      <c r="S100" s="273" t="s">
        <v>588</v>
      </c>
      <c r="T100" s="274" t="str">
        <f t="shared" si="25"/>
        <v>FIFA Data Management</v>
      </c>
      <c r="U100" s="275"/>
      <c r="V100" s="358" t="s">
        <v>514</v>
      </c>
    </row>
    <row r="101" spans="1:22" s="276" customFormat="1" ht="15.75" hidden="1" customHeight="1">
      <c r="A101" s="267" t="s">
        <v>329</v>
      </c>
      <c r="B101" s="329" t="str">
        <f t="shared" si="26"/>
        <v>24" Monitor - HDMI/DP</v>
      </c>
      <c r="C101" s="329" t="str">
        <f t="shared" si="26"/>
        <v>Peripherals</v>
      </c>
      <c r="D101" s="329" t="str">
        <f t="shared" si="30"/>
        <v/>
      </c>
      <c r="E101" s="329" t="str">
        <f t="shared" si="31"/>
        <v/>
      </c>
      <c r="F101" s="329" t="str">
        <f t="shared" si="32"/>
        <v>24" PC Monitor</v>
      </c>
      <c r="G101" s="329" t="str">
        <f t="shared" si="33"/>
        <v>DSKMNT - 24" Monitor - HDMI/DP</v>
      </c>
      <c r="H101" s="269">
        <v>5</v>
      </c>
      <c r="I101" s="330">
        <f t="shared" si="34"/>
        <v>0</v>
      </c>
      <c r="J101" s="330">
        <f t="shared" si="34"/>
        <v>0</v>
      </c>
      <c r="K101" s="269">
        <v>3</v>
      </c>
      <c r="L101" s="330">
        <f t="shared" si="35"/>
        <v>0</v>
      </c>
      <c r="M101" s="330">
        <f t="shared" si="29"/>
        <v>0</v>
      </c>
      <c r="N101" s="330">
        <v>0</v>
      </c>
      <c r="O101" s="272" t="s">
        <v>511</v>
      </c>
      <c r="P101" s="271" t="s">
        <v>149</v>
      </c>
      <c r="Q101" s="272" t="s">
        <v>527</v>
      </c>
      <c r="R101" s="272" t="s">
        <v>528</v>
      </c>
      <c r="S101" s="331" t="s">
        <v>589</v>
      </c>
      <c r="T101" s="274" t="str">
        <f t="shared" si="25"/>
        <v>FIFA Digital Marketing</v>
      </c>
      <c r="U101" s="275" t="s">
        <v>533</v>
      </c>
      <c r="V101" s="358" t="s">
        <v>514</v>
      </c>
    </row>
    <row r="102" spans="1:22" s="276" customFormat="1" ht="15.75" hidden="1" customHeight="1">
      <c r="A102" s="267" t="s">
        <v>526</v>
      </c>
      <c r="B102" s="329" t="str">
        <f t="shared" si="26"/>
        <v>Wired Port - Content</v>
      </c>
      <c r="C102" s="329" t="str">
        <f t="shared" si="26"/>
        <v>Network &amp; Connectivity</v>
      </c>
      <c r="D102" s="329" t="str">
        <f t="shared" si="30"/>
        <v/>
      </c>
      <c r="E102" s="329" t="str">
        <f t="shared" si="31"/>
        <v>FIFA Technical Content</v>
      </c>
      <c r="F102" s="329" t="str">
        <f t="shared" si="32"/>
        <v>Wired Port - Content</v>
      </c>
      <c r="G102" s="329" t="str">
        <f t="shared" si="33"/>
        <v>WRDSTU - Wired Port - Content (FIFA Technical Content)</v>
      </c>
      <c r="H102" s="269">
        <v>5</v>
      </c>
      <c r="I102" s="330">
        <f t="shared" si="34"/>
        <v>3</v>
      </c>
      <c r="J102" s="330">
        <f t="shared" si="34"/>
        <v>0</v>
      </c>
      <c r="K102" s="269">
        <v>3</v>
      </c>
      <c r="L102" s="330">
        <f t="shared" si="35"/>
        <v>3</v>
      </c>
      <c r="M102" s="330">
        <f t="shared" si="29"/>
        <v>0</v>
      </c>
      <c r="N102" s="330"/>
      <c r="O102" s="272" t="s">
        <v>511</v>
      </c>
      <c r="P102" s="271" t="s">
        <v>149</v>
      </c>
      <c r="Q102" s="272" t="s">
        <v>527</v>
      </c>
      <c r="R102" s="272" t="s">
        <v>528</v>
      </c>
      <c r="S102" s="331" t="s">
        <v>589</v>
      </c>
      <c r="T102" s="274" t="str">
        <f t="shared" si="25"/>
        <v>FIFA Digital Marketing</v>
      </c>
      <c r="U102" s="275" t="s">
        <v>533</v>
      </c>
      <c r="V102" s="358" t="s">
        <v>520</v>
      </c>
    </row>
    <row r="103" spans="1:22" s="276" customFormat="1" ht="15.75" hidden="1" customHeight="1">
      <c r="A103" s="267" t="s">
        <v>590</v>
      </c>
      <c r="B103" s="332" t="str">
        <f t="shared" ref="B103:C122" si="36">IF($A103="","",VLOOKUP($A103,ps_table,MATCH(B$2,ps_headers,0),FALSE))</f>
        <v xml:space="preserve">IT Solution - 4G Internet backup </v>
      </c>
      <c r="C103" s="329" t="str">
        <f t="shared" si="36"/>
        <v>FIFA IT Network Solutions</v>
      </c>
      <c r="D103" s="329" t="str">
        <f t="shared" si="30"/>
        <v/>
      </c>
      <c r="E103" s="329" t="str">
        <f t="shared" si="31"/>
        <v/>
      </c>
      <c r="F103" s="329" t="str">
        <f t="shared" si="32"/>
        <v xml:space="preserve">IT Solution - 4G Internet backup </v>
      </c>
      <c r="G103" s="329" t="str">
        <f t="shared" si="33"/>
        <v xml:space="preserve">ITSIBU - IT Solution - 4G Internet backup </v>
      </c>
      <c r="H103" s="269">
        <v>10</v>
      </c>
      <c r="I103" s="330">
        <f t="shared" si="34"/>
        <v>0</v>
      </c>
      <c r="J103" s="330">
        <f t="shared" si="34"/>
        <v>10</v>
      </c>
      <c r="K103" s="269">
        <v>10</v>
      </c>
      <c r="L103" s="330">
        <f t="shared" si="35"/>
        <v>0</v>
      </c>
      <c r="M103" s="330">
        <f t="shared" si="29"/>
        <v>10</v>
      </c>
      <c r="N103" s="330"/>
      <c r="O103" s="272" t="s">
        <v>511</v>
      </c>
      <c r="P103" s="271" t="s">
        <v>149</v>
      </c>
      <c r="Q103" s="272" t="s">
        <v>527</v>
      </c>
      <c r="R103" s="331" t="s">
        <v>528</v>
      </c>
      <c r="S103" s="273" t="s">
        <v>539</v>
      </c>
      <c r="T103" s="274" t="str">
        <f t="shared" si="25"/>
        <v>FIFA Event Technology</v>
      </c>
      <c r="U103" s="275"/>
      <c r="V103" s="358" t="s">
        <v>520</v>
      </c>
    </row>
    <row r="104" spans="1:22" s="276" customFormat="1" ht="15.75" hidden="1" customHeight="1">
      <c r="A104" s="277" t="s">
        <v>591</v>
      </c>
      <c r="B104" s="329" t="str">
        <f t="shared" si="36"/>
        <v>Laptop - FIFA Event Build</v>
      </c>
      <c r="C104" s="329" t="str">
        <f t="shared" si="36"/>
        <v>FIFA IT Hardware</v>
      </c>
      <c r="D104" s="329" t="str">
        <f t="shared" si="30"/>
        <v>Single</v>
      </c>
      <c r="E104" s="329" t="str">
        <f t="shared" si="31"/>
        <v/>
      </c>
      <c r="F104" s="329" t="str">
        <f t="shared" si="32"/>
        <v>FIFA Laptop</v>
      </c>
      <c r="G104" s="329" t="str">
        <f t="shared" si="33"/>
        <v>LAPEVT - Laptop - FIFA Event Build</v>
      </c>
      <c r="H104" s="269">
        <v>2</v>
      </c>
      <c r="I104" s="330">
        <f t="shared" si="34"/>
        <v>0</v>
      </c>
      <c r="J104" s="330">
        <f t="shared" si="34"/>
        <v>0</v>
      </c>
      <c r="K104" s="269">
        <v>2</v>
      </c>
      <c r="L104" s="330">
        <f t="shared" si="35"/>
        <v>0</v>
      </c>
      <c r="M104" s="330">
        <f t="shared" si="29"/>
        <v>0</v>
      </c>
      <c r="N104" s="330"/>
      <c r="O104" s="272" t="s">
        <v>539</v>
      </c>
      <c r="P104" s="271" t="s">
        <v>149</v>
      </c>
      <c r="Q104" s="272" t="s">
        <v>527</v>
      </c>
      <c r="R104" s="331" t="s">
        <v>528</v>
      </c>
      <c r="S104" s="273" t="s">
        <v>539</v>
      </c>
      <c r="T104" s="274" t="str">
        <f t="shared" si="25"/>
        <v>FIFA Event Technology</v>
      </c>
      <c r="U104" s="275" t="s">
        <v>592</v>
      </c>
      <c r="V104" s="358" t="s">
        <v>514</v>
      </c>
    </row>
    <row r="105" spans="1:22" s="276" customFormat="1" ht="15.75" hidden="1" customHeight="1">
      <c r="A105" s="277" t="s">
        <v>565</v>
      </c>
      <c r="B105" s="329" t="str">
        <f t="shared" si="36"/>
        <v>Laptop - Presentation Build</v>
      </c>
      <c r="C105" s="329" t="str">
        <f t="shared" si="36"/>
        <v>FIFA IT Hardware</v>
      </c>
      <c r="D105" s="329" t="str">
        <f t="shared" si="30"/>
        <v>Single</v>
      </c>
      <c r="E105" s="329" t="str">
        <f t="shared" si="31"/>
        <v/>
      </c>
      <c r="F105" s="329" t="str">
        <f t="shared" si="32"/>
        <v>FIFA Presentation Laptop</v>
      </c>
      <c r="G105" s="329" t="str">
        <f t="shared" si="33"/>
        <v>LAPPRE - Laptop - Presentation Build</v>
      </c>
      <c r="H105" s="269">
        <v>4</v>
      </c>
      <c r="I105" s="330">
        <f t="shared" si="34"/>
        <v>0</v>
      </c>
      <c r="J105" s="330">
        <f t="shared" si="34"/>
        <v>0</v>
      </c>
      <c r="K105" s="269">
        <v>4</v>
      </c>
      <c r="L105" s="330">
        <f t="shared" si="35"/>
        <v>0</v>
      </c>
      <c r="M105" s="330">
        <f t="shared" si="29"/>
        <v>0</v>
      </c>
      <c r="N105" s="330"/>
      <c r="O105" s="272" t="s">
        <v>539</v>
      </c>
      <c r="P105" s="271" t="s">
        <v>149</v>
      </c>
      <c r="Q105" s="272" t="s">
        <v>527</v>
      </c>
      <c r="R105" s="331" t="s">
        <v>528</v>
      </c>
      <c r="S105" s="273" t="s">
        <v>539</v>
      </c>
      <c r="T105" s="274" t="str">
        <f t="shared" si="25"/>
        <v>FIFA Event Technology</v>
      </c>
      <c r="U105" s="275" t="s">
        <v>592</v>
      </c>
      <c r="V105" s="358" t="s">
        <v>514</v>
      </c>
    </row>
    <row r="106" spans="1:22" s="314" customFormat="1" ht="15.75" hidden="1" customHeight="1">
      <c r="A106" s="267" t="s">
        <v>349</v>
      </c>
      <c r="B106" s="332" t="str">
        <f t="shared" si="36"/>
        <v>Portable Speaker</v>
      </c>
      <c r="C106" s="329" t="str">
        <f t="shared" si="36"/>
        <v>Peripherals</v>
      </c>
      <c r="D106" s="329" t="str">
        <f t="shared" si="30"/>
        <v>Single</v>
      </c>
      <c r="E106" s="329" t="str">
        <f t="shared" si="31"/>
        <v/>
      </c>
      <c r="F106" s="329" t="str">
        <f t="shared" si="32"/>
        <v>Portable Speaker</v>
      </c>
      <c r="G106" s="329" t="str">
        <f t="shared" si="33"/>
        <v>PORSPE - Portable Speaker</v>
      </c>
      <c r="H106" s="269">
        <v>2</v>
      </c>
      <c r="I106" s="330">
        <f t="shared" si="34"/>
        <v>0</v>
      </c>
      <c r="J106" s="330">
        <f t="shared" si="34"/>
        <v>0</v>
      </c>
      <c r="K106" s="269">
        <v>2</v>
      </c>
      <c r="L106" s="330">
        <f t="shared" si="35"/>
        <v>0</v>
      </c>
      <c r="M106" s="330">
        <f t="shared" si="29"/>
        <v>0</v>
      </c>
      <c r="N106" s="330"/>
      <c r="O106" s="272" t="s">
        <v>539</v>
      </c>
      <c r="P106" s="271" t="s">
        <v>149</v>
      </c>
      <c r="Q106" s="272" t="s">
        <v>527</v>
      </c>
      <c r="R106" s="331" t="s">
        <v>528</v>
      </c>
      <c r="S106" s="273" t="s">
        <v>539</v>
      </c>
      <c r="T106" s="274" t="str">
        <f t="shared" si="25"/>
        <v>FIFA Event Technology</v>
      </c>
      <c r="U106" s="275"/>
      <c r="V106" s="358" t="s">
        <v>514</v>
      </c>
    </row>
    <row r="107" spans="1:22" s="276" customFormat="1" ht="15.75" hidden="1" customHeight="1">
      <c r="A107" s="277" t="s">
        <v>188</v>
      </c>
      <c r="B107" s="329" t="str">
        <f t="shared" si="36"/>
        <v>SIM - Data Only</v>
      </c>
      <c r="C107" s="329" t="str">
        <f t="shared" si="36"/>
        <v>Telephony</v>
      </c>
      <c r="D107" s="329" t="str">
        <f t="shared" si="30"/>
        <v/>
      </c>
      <c r="E107" s="329" t="str">
        <f t="shared" si="31"/>
        <v/>
      </c>
      <c r="F107" s="329" t="str">
        <f t="shared" si="32"/>
        <v>Local SIM Card - Data Only</v>
      </c>
      <c r="G107" s="329" t="str">
        <f t="shared" si="33"/>
        <v>SIMDAT - SIM - Data Only</v>
      </c>
      <c r="H107" s="269">
        <v>10</v>
      </c>
      <c r="I107" s="330">
        <f t="shared" si="34"/>
        <v>0</v>
      </c>
      <c r="J107" s="330">
        <f t="shared" si="34"/>
        <v>20</v>
      </c>
      <c r="K107" s="269">
        <v>20</v>
      </c>
      <c r="L107" s="330">
        <f t="shared" si="35"/>
        <v>0</v>
      </c>
      <c r="M107" s="330">
        <f t="shared" si="29"/>
        <v>20</v>
      </c>
      <c r="N107" s="330">
        <v>0</v>
      </c>
      <c r="O107" s="272" t="s">
        <v>511</v>
      </c>
      <c r="P107" s="271" t="s">
        <v>149</v>
      </c>
      <c r="Q107" s="272" t="s">
        <v>527</v>
      </c>
      <c r="R107" s="331" t="s">
        <v>528</v>
      </c>
      <c r="S107" s="273" t="s">
        <v>539</v>
      </c>
      <c r="T107" s="274" t="str">
        <f t="shared" si="25"/>
        <v>FIFA Event Technology</v>
      </c>
      <c r="U107" s="275" t="s">
        <v>593</v>
      </c>
      <c r="V107" s="358" t="s">
        <v>594</v>
      </c>
    </row>
    <row r="108" spans="1:22" s="276" customFormat="1" ht="15.75" hidden="1" customHeight="1">
      <c r="A108" s="277" t="s">
        <v>595</v>
      </c>
      <c r="B108" s="329" t="str">
        <f t="shared" si="36"/>
        <v>SIM - Domestic</v>
      </c>
      <c r="C108" s="329" t="str">
        <f t="shared" si="36"/>
        <v>Telephony</v>
      </c>
      <c r="D108" s="329" t="str">
        <f t="shared" si="30"/>
        <v/>
      </c>
      <c r="E108" s="329" t="str">
        <f t="shared" si="31"/>
        <v/>
      </c>
      <c r="F108" s="329" t="str">
        <f t="shared" si="32"/>
        <v>Local SIM Card</v>
      </c>
      <c r="G108" s="329" t="str">
        <f t="shared" si="33"/>
        <v>SIMDOM - SIM - Domestic</v>
      </c>
      <c r="H108" s="269">
        <v>80</v>
      </c>
      <c r="I108" s="330">
        <f t="shared" si="34"/>
        <v>0</v>
      </c>
      <c r="J108" s="330">
        <f t="shared" si="34"/>
        <v>100</v>
      </c>
      <c r="K108" s="269">
        <v>100</v>
      </c>
      <c r="L108" s="330">
        <f t="shared" si="35"/>
        <v>0</v>
      </c>
      <c r="M108" s="330">
        <f t="shared" si="29"/>
        <v>100</v>
      </c>
      <c r="N108" s="330">
        <v>0</v>
      </c>
      <c r="O108" s="272" t="s">
        <v>511</v>
      </c>
      <c r="P108" s="271" t="s">
        <v>149</v>
      </c>
      <c r="Q108" s="272" t="s">
        <v>527</v>
      </c>
      <c r="R108" s="331" t="s">
        <v>528</v>
      </c>
      <c r="S108" s="273" t="s">
        <v>539</v>
      </c>
      <c r="T108" s="274" t="str">
        <f t="shared" si="25"/>
        <v>FIFA Event Technology</v>
      </c>
      <c r="U108" s="275" t="s">
        <v>593</v>
      </c>
      <c r="V108" s="358" t="s">
        <v>594</v>
      </c>
    </row>
    <row r="109" spans="1:22" s="276" customFormat="1" ht="15.75" hidden="1" customHeight="1">
      <c r="A109" s="277" t="s">
        <v>596</v>
      </c>
      <c r="B109" s="329" t="str">
        <f t="shared" si="36"/>
        <v>SIM - International</v>
      </c>
      <c r="C109" s="329" t="str">
        <f t="shared" si="36"/>
        <v>Telephony</v>
      </c>
      <c r="D109" s="329" t="str">
        <f t="shared" si="30"/>
        <v/>
      </c>
      <c r="E109" s="329" t="str">
        <f t="shared" si="31"/>
        <v/>
      </c>
      <c r="F109" s="329" t="str">
        <f t="shared" si="32"/>
        <v>Local SIM Card + International</v>
      </c>
      <c r="G109" s="329" t="str">
        <f t="shared" si="33"/>
        <v>SIMINT - SIM - International</v>
      </c>
      <c r="H109" s="269">
        <v>5</v>
      </c>
      <c r="I109" s="330">
        <f t="shared" si="34"/>
        <v>0</v>
      </c>
      <c r="J109" s="330">
        <f t="shared" si="34"/>
        <v>15</v>
      </c>
      <c r="K109" s="269">
        <v>15</v>
      </c>
      <c r="L109" s="330">
        <f t="shared" si="35"/>
        <v>0</v>
      </c>
      <c r="M109" s="330">
        <f t="shared" si="29"/>
        <v>15</v>
      </c>
      <c r="N109" s="330">
        <v>0</v>
      </c>
      <c r="O109" s="272" t="s">
        <v>511</v>
      </c>
      <c r="P109" s="271" t="s">
        <v>149</v>
      </c>
      <c r="Q109" s="272" t="s">
        <v>527</v>
      </c>
      <c r="R109" s="331" t="s">
        <v>528</v>
      </c>
      <c r="S109" s="273" t="s">
        <v>539</v>
      </c>
      <c r="T109" s="274" t="str">
        <f t="shared" si="25"/>
        <v>FIFA Event Technology</v>
      </c>
      <c r="U109" s="275" t="s">
        <v>593</v>
      </c>
      <c r="V109" s="358" t="s">
        <v>594</v>
      </c>
    </row>
    <row r="110" spans="1:22" s="276" customFormat="1" ht="15.75" hidden="1" customHeight="1">
      <c r="A110" s="277" t="s">
        <v>597</v>
      </c>
      <c r="B110" s="329" t="str">
        <f t="shared" si="36"/>
        <v>Telephone - Mobile - Smart Phone</v>
      </c>
      <c r="C110" s="329" t="str">
        <f t="shared" si="36"/>
        <v>Telephony</v>
      </c>
      <c r="D110" s="329" t="str">
        <f t="shared" si="30"/>
        <v>Single</v>
      </c>
      <c r="E110" s="329" t="str">
        <f t="shared" si="31"/>
        <v/>
      </c>
      <c r="F110" s="329" t="str">
        <f t="shared" si="32"/>
        <v>Smart Phone</v>
      </c>
      <c r="G110" s="329" t="str">
        <f t="shared" si="33"/>
        <v>TELMOB - Telephone - Mobile - Smart Phone</v>
      </c>
      <c r="H110" s="269">
        <v>80</v>
      </c>
      <c r="I110" s="330">
        <f t="shared" si="34"/>
        <v>0</v>
      </c>
      <c r="J110" s="330">
        <f t="shared" si="34"/>
        <v>100</v>
      </c>
      <c r="K110" s="269">
        <v>100</v>
      </c>
      <c r="L110" s="330">
        <f t="shared" si="35"/>
        <v>0</v>
      </c>
      <c r="M110" s="330">
        <v>0</v>
      </c>
      <c r="N110" s="330"/>
      <c r="O110" s="272" t="s">
        <v>539</v>
      </c>
      <c r="P110" s="271" t="s">
        <v>149</v>
      </c>
      <c r="Q110" s="272" t="s">
        <v>527</v>
      </c>
      <c r="R110" s="331" t="s">
        <v>528</v>
      </c>
      <c r="S110" s="273" t="s">
        <v>539</v>
      </c>
      <c r="T110" s="274" t="str">
        <f t="shared" si="25"/>
        <v>FIFA Event Technology</v>
      </c>
      <c r="U110" s="275"/>
      <c r="V110" s="358" t="s">
        <v>594</v>
      </c>
    </row>
    <row r="111" spans="1:22" s="276" customFormat="1" ht="15.75" hidden="1" customHeight="1">
      <c r="A111" s="267" t="s">
        <v>225</v>
      </c>
      <c r="B111" s="332" t="str">
        <f t="shared" si="36"/>
        <v xml:space="preserve">Wired Port - General Internet </v>
      </c>
      <c r="C111" s="329" t="str">
        <f t="shared" si="36"/>
        <v>Network &amp; Connectivity</v>
      </c>
      <c r="D111" s="329" t="str">
        <f t="shared" si="30"/>
        <v/>
      </c>
      <c r="E111" s="329" t="str">
        <f t="shared" si="31"/>
        <v>General Internet Access</v>
      </c>
      <c r="F111" s="329" t="str">
        <f t="shared" si="32"/>
        <v>Wired Port - Internet</v>
      </c>
      <c r="G111" s="329" t="str">
        <f t="shared" si="33"/>
        <v>WRDGEN - Wired Port - General Internet  (General Internet Access)</v>
      </c>
      <c r="H111" s="269">
        <v>2</v>
      </c>
      <c r="I111" s="330">
        <f t="shared" si="34"/>
        <v>2</v>
      </c>
      <c r="J111" s="330">
        <f t="shared" si="34"/>
        <v>0</v>
      </c>
      <c r="K111" s="269">
        <v>2</v>
      </c>
      <c r="L111" s="330">
        <f t="shared" si="35"/>
        <v>2</v>
      </c>
      <c r="M111" s="330">
        <f t="shared" ref="M111:M142" si="37">IF($A111="","",$K111*VLOOKUP($A111,ps_table,MATCH(M$2,ps_headers,0),FALSE))</f>
        <v>0</v>
      </c>
      <c r="N111" s="330"/>
      <c r="O111" s="272" t="s">
        <v>511</v>
      </c>
      <c r="P111" s="271" t="s">
        <v>149</v>
      </c>
      <c r="Q111" s="272" t="s">
        <v>527</v>
      </c>
      <c r="R111" s="331" t="s">
        <v>528</v>
      </c>
      <c r="S111" s="273" t="s">
        <v>539</v>
      </c>
      <c r="T111" s="274" t="str">
        <f t="shared" si="25"/>
        <v>FIFA Event Technology</v>
      </c>
      <c r="U111" s="275"/>
      <c r="V111" s="358" t="s">
        <v>520</v>
      </c>
    </row>
    <row r="112" spans="1:22" s="276" customFormat="1" ht="15.75" hidden="1" customHeight="1">
      <c r="A112" s="267" t="s">
        <v>329</v>
      </c>
      <c r="B112" s="332" t="str">
        <f t="shared" si="36"/>
        <v>24" Monitor - HDMI/DP</v>
      </c>
      <c r="C112" s="329" t="str">
        <f t="shared" si="36"/>
        <v>Peripherals</v>
      </c>
      <c r="D112" s="329" t="str">
        <f t="shared" si="30"/>
        <v/>
      </c>
      <c r="E112" s="329" t="str">
        <f t="shared" si="31"/>
        <v/>
      </c>
      <c r="F112" s="329" t="str">
        <f t="shared" si="32"/>
        <v>24" PC Monitor</v>
      </c>
      <c r="G112" s="329" t="str">
        <f t="shared" si="33"/>
        <v>DSKMNT - 24" Monitor - HDMI/DP</v>
      </c>
      <c r="H112" s="269">
        <v>1</v>
      </c>
      <c r="I112" s="330">
        <f t="shared" si="34"/>
        <v>0</v>
      </c>
      <c r="J112" s="330">
        <f t="shared" si="34"/>
        <v>0</v>
      </c>
      <c r="K112" s="269">
        <v>1</v>
      </c>
      <c r="L112" s="330">
        <f t="shared" si="35"/>
        <v>0</v>
      </c>
      <c r="M112" s="330">
        <f t="shared" si="37"/>
        <v>0</v>
      </c>
      <c r="N112" s="330">
        <v>0</v>
      </c>
      <c r="O112" s="272" t="s">
        <v>511</v>
      </c>
      <c r="P112" s="271" t="s">
        <v>149</v>
      </c>
      <c r="Q112" s="272" t="s">
        <v>527</v>
      </c>
      <c r="R112" s="272" t="s">
        <v>598</v>
      </c>
      <c r="S112" s="273" t="s">
        <v>539</v>
      </c>
      <c r="T112" s="274" t="str">
        <f t="shared" si="25"/>
        <v>FIFA Event Technology</v>
      </c>
      <c r="U112" s="275"/>
      <c r="V112" s="358" t="s">
        <v>514</v>
      </c>
    </row>
    <row r="113" spans="1:22" s="276" customFormat="1" ht="15.75" hidden="1" customHeight="1">
      <c r="A113" s="267" t="s">
        <v>599</v>
      </c>
      <c r="B113" s="332" t="str">
        <f t="shared" si="36"/>
        <v>Internet Service - 50Mbps</v>
      </c>
      <c r="C113" s="329" t="str">
        <f t="shared" si="36"/>
        <v>Network &amp; Connectivity</v>
      </c>
      <c r="D113" s="329" t="str">
        <f t="shared" si="30"/>
        <v/>
      </c>
      <c r="E113" s="329" t="str">
        <f t="shared" si="31"/>
        <v/>
      </c>
      <c r="F113" s="329" t="str">
        <f t="shared" si="32"/>
        <v>Internet Service - 50Mbps</v>
      </c>
      <c r="G113" s="329" t="str">
        <f t="shared" si="33"/>
        <v>IS0050 - Internet Service - 50Mbps</v>
      </c>
      <c r="H113" s="269">
        <v>1</v>
      </c>
      <c r="I113" s="330">
        <f t="shared" si="34"/>
        <v>1</v>
      </c>
      <c r="J113" s="330">
        <f t="shared" si="34"/>
        <v>0</v>
      </c>
      <c r="K113" s="269">
        <v>1</v>
      </c>
      <c r="L113" s="330">
        <f t="shared" si="35"/>
        <v>1</v>
      </c>
      <c r="M113" s="330">
        <f t="shared" si="37"/>
        <v>0</v>
      </c>
      <c r="N113" s="330"/>
      <c r="O113" s="272" t="s">
        <v>511</v>
      </c>
      <c r="P113" s="271" t="s">
        <v>149</v>
      </c>
      <c r="Q113" s="272" t="s">
        <v>527</v>
      </c>
      <c r="R113" s="272" t="s">
        <v>598</v>
      </c>
      <c r="S113" s="273" t="s">
        <v>539</v>
      </c>
      <c r="T113" s="274" t="str">
        <f t="shared" si="25"/>
        <v>FIFA Event Technology</v>
      </c>
      <c r="U113" s="275" t="s">
        <v>600</v>
      </c>
      <c r="V113" s="358" t="s">
        <v>520</v>
      </c>
    </row>
    <row r="114" spans="1:22" s="276" customFormat="1" ht="15.75" hidden="1" customHeight="1">
      <c r="A114" s="267" t="s">
        <v>601</v>
      </c>
      <c r="B114" s="332" t="str">
        <f t="shared" si="36"/>
        <v>IT Monitoring network port</v>
      </c>
      <c r="C114" s="329" t="str">
        <f t="shared" si="36"/>
        <v>Network &amp; Connectivity</v>
      </c>
      <c r="D114" s="329" t="str">
        <f t="shared" si="30"/>
        <v/>
      </c>
      <c r="E114" s="329" t="str">
        <f t="shared" si="31"/>
        <v>Monitoring VLAN</v>
      </c>
      <c r="F114" s="329" t="str">
        <f t="shared" si="32"/>
        <v>FIFA IT Monitoring network port</v>
      </c>
      <c r="G114" s="329" t="str">
        <f t="shared" si="33"/>
        <v>ITMON - IT Monitoring network port (Monitoring VLAN)</v>
      </c>
      <c r="H114" s="269">
        <v>1</v>
      </c>
      <c r="I114" s="330">
        <f t="shared" si="34"/>
        <v>1</v>
      </c>
      <c r="J114" s="330">
        <f t="shared" si="34"/>
        <v>0</v>
      </c>
      <c r="K114" s="269">
        <v>1</v>
      </c>
      <c r="L114" s="330">
        <f t="shared" si="35"/>
        <v>1</v>
      </c>
      <c r="M114" s="330">
        <f t="shared" si="37"/>
        <v>0</v>
      </c>
      <c r="N114" s="330"/>
      <c r="O114" s="272" t="s">
        <v>511</v>
      </c>
      <c r="P114" s="271" t="s">
        <v>149</v>
      </c>
      <c r="Q114" s="272" t="s">
        <v>527</v>
      </c>
      <c r="R114" s="272" t="s">
        <v>598</v>
      </c>
      <c r="S114" s="273" t="s">
        <v>539</v>
      </c>
      <c r="T114" s="274" t="str">
        <f t="shared" si="25"/>
        <v>FIFA Event Technology</v>
      </c>
      <c r="U114" s="275"/>
      <c r="V114" s="358" t="s">
        <v>520</v>
      </c>
    </row>
    <row r="115" spans="1:22" s="314" customFormat="1" ht="15.75" customHeight="1">
      <c r="A115" s="267" t="s">
        <v>601</v>
      </c>
      <c r="B115" s="332" t="str">
        <f t="shared" si="36"/>
        <v>IT Monitoring network port</v>
      </c>
      <c r="C115" s="329" t="str">
        <f t="shared" si="36"/>
        <v>Network &amp; Connectivity</v>
      </c>
      <c r="D115" s="329" t="str">
        <f t="shared" si="30"/>
        <v/>
      </c>
      <c r="E115" s="329" t="str">
        <f t="shared" si="31"/>
        <v>Monitoring VLAN</v>
      </c>
      <c r="F115" s="329" t="str">
        <f t="shared" si="32"/>
        <v>FIFA IT Monitoring network port</v>
      </c>
      <c r="G115" s="329" t="str">
        <f t="shared" si="33"/>
        <v>ITMON - IT Monitoring network port (Monitoring VLAN)</v>
      </c>
      <c r="H115" s="269">
        <v>1</v>
      </c>
      <c r="I115" s="330">
        <f t="shared" si="34"/>
        <v>1</v>
      </c>
      <c r="J115" s="330">
        <f t="shared" si="34"/>
        <v>0</v>
      </c>
      <c r="K115" s="441">
        <v>1</v>
      </c>
      <c r="L115" s="330">
        <f t="shared" si="35"/>
        <v>1</v>
      </c>
      <c r="M115" s="330">
        <f t="shared" si="37"/>
        <v>0</v>
      </c>
      <c r="N115" s="330"/>
      <c r="O115" s="272" t="s">
        <v>511</v>
      </c>
      <c r="P115" s="271" t="s">
        <v>152</v>
      </c>
      <c r="Q115" s="272" t="s">
        <v>299</v>
      </c>
      <c r="R115" s="272" t="s">
        <v>598</v>
      </c>
      <c r="S115" s="273" t="s">
        <v>539</v>
      </c>
      <c r="T115" s="274" t="str">
        <f t="shared" si="25"/>
        <v>FIFA Event Technology</v>
      </c>
      <c r="U115" s="275"/>
      <c r="V115" s="358" t="s">
        <v>520</v>
      </c>
    </row>
    <row r="116" spans="1:22" s="249" customFormat="1" ht="15.75" hidden="1" customHeight="1">
      <c r="A116" s="267" t="s">
        <v>602</v>
      </c>
      <c r="B116" s="332" t="str">
        <f t="shared" si="36"/>
        <v>TV - Medium - Standalone</v>
      </c>
      <c r="C116" s="329" t="str">
        <f t="shared" si="36"/>
        <v>CATV</v>
      </c>
      <c r="D116" s="329" t="str">
        <f t="shared" si="30"/>
        <v/>
      </c>
      <c r="E116" s="329" t="str">
        <f t="shared" si="31"/>
        <v/>
      </c>
      <c r="F116" s="329" t="str">
        <f t="shared" si="32"/>
        <v>Medium TV - Standalone</v>
      </c>
      <c r="G116" s="329" t="str">
        <f t="shared" si="33"/>
        <v>TVMDSA - TV - Medium - Standalone</v>
      </c>
      <c r="H116" s="269">
        <v>1</v>
      </c>
      <c r="I116" s="330">
        <f t="shared" si="34"/>
        <v>0</v>
      </c>
      <c r="J116" s="330">
        <f t="shared" si="34"/>
        <v>0</v>
      </c>
      <c r="K116" s="269">
        <v>1</v>
      </c>
      <c r="L116" s="330">
        <f t="shared" si="35"/>
        <v>0</v>
      </c>
      <c r="M116" s="330">
        <f t="shared" si="37"/>
        <v>0</v>
      </c>
      <c r="N116" s="330">
        <v>0</v>
      </c>
      <c r="O116" s="272" t="s">
        <v>511</v>
      </c>
      <c r="P116" s="271" t="s">
        <v>149</v>
      </c>
      <c r="Q116" s="272" t="s">
        <v>527</v>
      </c>
      <c r="R116" s="272" t="s">
        <v>598</v>
      </c>
      <c r="S116" s="273" t="s">
        <v>539</v>
      </c>
      <c r="T116" s="274" t="str">
        <f t="shared" si="25"/>
        <v>FIFA Event Technology</v>
      </c>
      <c r="U116" s="275"/>
      <c r="V116" s="358" t="s">
        <v>247</v>
      </c>
    </row>
    <row r="117" spans="1:22" s="249" customFormat="1" ht="15.75" hidden="1" customHeight="1">
      <c r="A117" s="267" t="s">
        <v>537</v>
      </c>
      <c r="B117" s="332" t="str">
        <f t="shared" si="36"/>
        <v>TV Stand - Medium &amp; Large TVs</v>
      </c>
      <c r="C117" s="329" t="str">
        <f t="shared" si="36"/>
        <v>Peripherals</v>
      </c>
      <c r="D117" s="329" t="str">
        <f t="shared" si="30"/>
        <v/>
      </c>
      <c r="E117" s="329" t="str">
        <f t="shared" si="31"/>
        <v/>
      </c>
      <c r="F117" s="329" t="str">
        <f t="shared" si="32"/>
        <v>TV Stand for medium and large TVs</v>
      </c>
      <c r="G117" s="329" t="str">
        <f t="shared" si="33"/>
        <v>TVSTND - TV Stand - Medium &amp; Large TVs</v>
      </c>
      <c r="H117" s="269">
        <v>1</v>
      </c>
      <c r="I117" s="330">
        <f t="shared" si="34"/>
        <v>0</v>
      </c>
      <c r="J117" s="330">
        <f t="shared" si="34"/>
        <v>0</v>
      </c>
      <c r="K117" s="269">
        <v>1</v>
      </c>
      <c r="L117" s="330">
        <f t="shared" si="35"/>
        <v>0</v>
      </c>
      <c r="M117" s="330">
        <f t="shared" si="37"/>
        <v>0</v>
      </c>
      <c r="N117" s="330">
        <v>0</v>
      </c>
      <c r="O117" s="272" t="s">
        <v>511</v>
      </c>
      <c r="P117" s="271" t="s">
        <v>149</v>
      </c>
      <c r="Q117" s="272" t="s">
        <v>527</v>
      </c>
      <c r="R117" s="272" t="s">
        <v>598</v>
      </c>
      <c r="S117" s="273" t="s">
        <v>539</v>
      </c>
      <c r="T117" s="274" t="str">
        <f t="shared" si="25"/>
        <v>FIFA Event Technology</v>
      </c>
      <c r="U117" s="275"/>
      <c r="V117" s="358" t="s">
        <v>247</v>
      </c>
    </row>
    <row r="118" spans="1:22" s="249" customFormat="1" ht="15.75" customHeight="1">
      <c r="A118" s="267" t="s">
        <v>225</v>
      </c>
      <c r="B118" s="332" t="str">
        <f t="shared" si="36"/>
        <v xml:space="preserve">Wired Port - General Internet </v>
      </c>
      <c r="C118" s="329" t="str">
        <f t="shared" si="36"/>
        <v>Network &amp; Connectivity</v>
      </c>
      <c r="D118" s="329" t="str">
        <f t="shared" si="30"/>
        <v/>
      </c>
      <c r="E118" s="329" t="str">
        <f t="shared" si="31"/>
        <v>General Internet Access</v>
      </c>
      <c r="F118" s="329" t="str">
        <f t="shared" si="32"/>
        <v>Wired Port - Internet</v>
      </c>
      <c r="G118" s="329" t="str">
        <f t="shared" si="33"/>
        <v>WRDGEN - Wired Port - General Internet  (General Internet Access)</v>
      </c>
      <c r="H118" s="269">
        <v>2</v>
      </c>
      <c r="I118" s="330">
        <f t="shared" si="34"/>
        <v>2</v>
      </c>
      <c r="J118" s="330">
        <f t="shared" si="34"/>
        <v>0</v>
      </c>
      <c r="K118" s="441">
        <v>2</v>
      </c>
      <c r="L118" s="330">
        <f t="shared" si="35"/>
        <v>2</v>
      </c>
      <c r="M118" s="330">
        <f t="shared" si="37"/>
        <v>0</v>
      </c>
      <c r="N118" s="330"/>
      <c r="O118" s="272" t="s">
        <v>511</v>
      </c>
      <c r="P118" s="271" t="s">
        <v>152</v>
      </c>
      <c r="Q118" s="272" t="s">
        <v>299</v>
      </c>
      <c r="R118" s="272" t="s">
        <v>598</v>
      </c>
      <c r="S118" s="273" t="s">
        <v>539</v>
      </c>
      <c r="T118" s="274" t="str">
        <f t="shared" si="25"/>
        <v>FIFA Event Technology</v>
      </c>
      <c r="U118" s="275"/>
      <c r="V118" s="358" t="s">
        <v>520</v>
      </c>
    </row>
    <row r="119" spans="1:22" s="249" customFormat="1" ht="15.75" hidden="1" customHeight="1">
      <c r="A119" s="267" t="s">
        <v>225</v>
      </c>
      <c r="B119" s="332" t="str">
        <f t="shared" si="36"/>
        <v xml:space="preserve">Wired Port - General Internet </v>
      </c>
      <c r="C119" s="329" t="str">
        <f t="shared" si="36"/>
        <v>Network &amp; Connectivity</v>
      </c>
      <c r="D119" s="329" t="str">
        <f t="shared" si="30"/>
        <v/>
      </c>
      <c r="E119" s="329" t="str">
        <f t="shared" si="31"/>
        <v>General Internet Access</v>
      </c>
      <c r="F119" s="329" t="str">
        <f t="shared" si="32"/>
        <v>Wired Port - Internet</v>
      </c>
      <c r="G119" s="329" t="str">
        <f t="shared" si="33"/>
        <v>WRDGEN - Wired Port - General Internet  (General Internet Access)</v>
      </c>
      <c r="H119" s="269">
        <v>1</v>
      </c>
      <c r="I119" s="330">
        <f t="shared" si="34"/>
        <v>1</v>
      </c>
      <c r="J119" s="330">
        <f t="shared" si="34"/>
        <v>0</v>
      </c>
      <c r="K119" s="269">
        <v>1</v>
      </c>
      <c r="L119" s="330">
        <f t="shared" si="35"/>
        <v>1</v>
      </c>
      <c r="M119" s="330">
        <f t="shared" si="37"/>
        <v>0</v>
      </c>
      <c r="N119" s="330"/>
      <c r="O119" s="272" t="s">
        <v>511</v>
      </c>
      <c r="P119" s="271" t="s">
        <v>149</v>
      </c>
      <c r="Q119" s="272" t="s">
        <v>527</v>
      </c>
      <c r="R119" s="272" t="s">
        <v>598</v>
      </c>
      <c r="S119" s="273" t="s">
        <v>539</v>
      </c>
      <c r="T119" s="274" t="str">
        <f t="shared" si="25"/>
        <v>FIFA Event Technology</v>
      </c>
      <c r="U119" s="275"/>
      <c r="V119" s="358" t="s">
        <v>520</v>
      </c>
    </row>
    <row r="120" spans="1:22" s="314" customFormat="1" ht="15.75" hidden="1" customHeight="1">
      <c r="A120" s="267" t="s">
        <v>329</v>
      </c>
      <c r="B120" s="329" t="str">
        <f t="shared" si="36"/>
        <v>24" Monitor - HDMI/DP</v>
      </c>
      <c r="C120" s="329" t="str">
        <f t="shared" si="36"/>
        <v>Peripherals</v>
      </c>
      <c r="D120" s="329" t="str">
        <f t="shared" si="30"/>
        <v/>
      </c>
      <c r="E120" s="329" t="str">
        <f t="shared" si="31"/>
        <v/>
      </c>
      <c r="F120" s="329" t="str">
        <f t="shared" si="32"/>
        <v>24" PC Monitor</v>
      </c>
      <c r="G120" s="329" t="str">
        <f t="shared" si="33"/>
        <v>DSKMNT - 24" Monitor - HDMI/DP</v>
      </c>
      <c r="H120" s="269">
        <v>2</v>
      </c>
      <c r="I120" s="330">
        <f t="shared" ref="I120:J139" si="38">IF($A120="","",$K120*VLOOKUP($A120,ps_table,MATCH(I$2,ps_headers,0),FALSE))</f>
        <v>0</v>
      </c>
      <c r="J120" s="330">
        <f t="shared" si="38"/>
        <v>0</v>
      </c>
      <c r="K120" s="269">
        <v>2</v>
      </c>
      <c r="L120" s="330">
        <f t="shared" si="35"/>
        <v>0</v>
      </c>
      <c r="M120" s="330">
        <f t="shared" si="37"/>
        <v>0</v>
      </c>
      <c r="N120" s="330">
        <v>0</v>
      </c>
      <c r="O120" s="272" t="s">
        <v>511</v>
      </c>
      <c r="P120" s="271" t="s">
        <v>149</v>
      </c>
      <c r="Q120" s="272" t="s">
        <v>527</v>
      </c>
      <c r="R120" s="272" t="s">
        <v>528</v>
      </c>
      <c r="S120" s="331" t="s">
        <v>603</v>
      </c>
      <c r="T120" s="274" t="str">
        <f t="shared" si="25"/>
        <v>FIFA Films</v>
      </c>
      <c r="U120" s="275" t="s">
        <v>533</v>
      </c>
      <c r="V120" s="358" t="s">
        <v>514</v>
      </c>
    </row>
    <row r="121" spans="1:22" s="276" customFormat="1" ht="15.75" hidden="1" customHeight="1">
      <c r="A121" s="267" t="s">
        <v>519</v>
      </c>
      <c r="B121" s="329" t="str">
        <f t="shared" si="36"/>
        <v>Wireless coverage - Shared Internet Service - Wi-Fi FIFA</v>
      </c>
      <c r="C121" s="329" t="str">
        <f t="shared" si="36"/>
        <v>Network &amp; Connectivity</v>
      </c>
      <c r="D121" s="329" t="str">
        <f t="shared" si="30"/>
        <v/>
      </c>
      <c r="E121" s="329" t="str">
        <f t="shared" si="31"/>
        <v>General Internet Access</v>
      </c>
      <c r="F121" s="329" t="str">
        <f t="shared" si="32"/>
        <v>Wireless coverage - Shared Internet Service - FIFA</v>
      </c>
      <c r="G121" s="329" t="str">
        <f t="shared" si="33"/>
        <v>IS00WF - Wireless coverage - Shared Internet Service - Wi-Fi FIFA (General Internet Access)</v>
      </c>
      <c r="H121" s="269">
        <v>1</v>
      </c>
      <c r="I121" s="330">
        <f t="shared" si="38"/>
        <v>0</v>
      </c>
      <c r="J121" s="330">
        <f t="shared" si="38"/>
        <v>0</v>
      </c>
      <c r="K121" s="269">
        <v>1</v>
      </c>
      <c r="L121" s="330">
        <f t="shared" si="35"/>
        <v>0</v>
      </c>
      <c r="M121" s="330">
        <f t="shared" si="37"/>
        <v>0</v>
      </c>
      <c r="N121" s="330"/>
      <c r="O121" s="272" t="s">
        <v>511</v>
      </c>
      <c r="P121" s="271" t="s">
        <v>149</v>
      </c>
      <c r="Q121" s="272" t="s">
        <v>527</v>
      </c>
      <c r="R121" s="272" t="s">
        <v>528</v>
      </c>
      <c r="S121" s="331" t="s">
        <v>603</v>
      </c>
      <c r="T121" s="274" t="str">
        <f t="shared" si="25"/>
        <v>FIFA Films</v>
      </c>
      <c r="U121" s="275" t="s">
        <v>533</v>
      </c>
      <c r="V121" s="358" t="s">
        <v>520</v>
      </c>
    </row>
    <row r="122" spans="1:22" s="276" customFormat="1" ht="15.75" hidden="1" customHeight="1">
      <c r="A122" s="267" t="s">
        <v>526</v>
      </c>
      <c r="B122" s="329" t="str">
        <f t="shared" si="36"/>
        <v>Wired Port - Content</v>
      </c>
      <c r="C122" s="329" t="str">
        <f t="shared" si="36"/>
        <v>Network &amp; Connectivity</v>
      </c>
      <c r="D122" s="329" t="str">
        <f t="shared" si="30"/>
        <v/>
      </c>
      <c r="E122" s="329" t="str">
        <f t="shared" si="31"/>
        <v>FIFA Technical Content</v>
      </c>
      <c r="F122" s="329" t="str">
        <f t="shared" si="32"/>
        <v>Wired Port - Content</v>
      </c>
      <c r="G122" s="329" t="str">
        <f t="shared" si="33"/>
        <v>WRDSTU - Wired Port - Content (FIFA Technical Content)</v>
      </c>
      <c r="H122" s="269">
        <v>2</v>
      </c>
      <c r="I122" s="330">
        <f t="shared" si="38"/>
        <v>2</v>
      </c>
      <c r="J122" s="330">
        <f t="shared" si="38"/>
        <v>0</v>
      </c>
      <c r="K122" s="269">
        <v>2</v>
      </c>
      <c r="L122" s="330">
        <f t="shared" si="35"/>
        <v>2</v>
      </c>
      <c r="M122" s="330">
        <f t="shared" si="37"/>
        <v>0</v>
      </c>
      <c r="N122" s="330"/>
      <c r="O122" s="272" t="s">
        <v>511</v>
      </c>
      <c r="P122" s="271" t="s">
        <v>149</v>
      </c>
      <c r="Q122" s="272" t="s">
        <v>527</v>
      </c>
      <c r="R122" s="272" t="s">
        <v>528</v>
      </c>
      <c r="S122" s="331" t="s">
        <v>603</v>
      </c>
      <c r="T122" s="274" t="str">
        <f t="shared" si="25"/>
        <v>FIFA Films</v>
      </c>
      <c r="U122" s="275" t="s">
        <v>533</v>
      </c>
      <c r="V122" s="358" t="s">
        <v>520</v>
      </c>
    </row>
    <row r="123" spans="1:22" s="276" customFormat="1" ht="15.75" hidden="1" customHeight="1">
      <c r="A123" s="267" t="s">
        <v>604</v>
      </c>
      <c r="B123" s="329" t="str">
        <f t="shared" ref="B123:C142" si="39">IF($A123="","",VLOOKUP($A123,ps_table,MATCH(B$2,ps_headers,0),FALSE))</f>
        <v>27" Monitor - HDMI/DP</v>
      </c>
      <c r="C123" s="329" t="str">
        <f t="shared" si="39"/>
        <v>Peripherals</v>
      </c>
      <c r="D123" s="329" t="str">
        <f t="shared" si="30"/>
        <v/>
      </c>
      <c r="E123" s="329" t="str">
        <f t="shared" si="31"/>
        <v/>
      </c>
      <c r="F123" s="329" t="str">
        <f t="shared" si="32"/>
        <v>27" PC Monitor</v>
      </c>
      <c r="G123" s="329" t="str">
        <f t="shared" si="33"/>
        <v>DSK27M - 27" Monitor - HDMI/DP</v>
      </c>
      <c r="H123" s="269">
        <v>4</v>
      </c>
      <c r="I123" s="330">
        <f t="shared" si="38"/>
        <v>0</v>
      </c>
      <c r="J123" s="330">
        <f t="shared" si="38"/>
        <v>0</v>
      </c>
      <c r="K123" s="269">
        <v>4</v>
      </c>
      <c r="L123" s="330">
        <f t="shared" si="35"/>
        <v>0</v>
      </c>
      <c r="M123" s="330">
        <f t="shared" si="37"/>
        <v>0</v>
      </c>
      <c r="N123" s="330">
        <v>0</v>
      </c>
      <c r="O123" s="272" t="s">
        <v>511</v>
      </c>
      <c r="P123" s="271" t="s">
        <v>149</v>
      </c>
      <c r="Q123" s="272" t="s">
        <v>605</v>
      </c>
      <c r="R123" s="272" t="s">
        <v>606</v>
      </c>
      <c r="S123" s="272" t="s">
        <v>607</v>
      </c>
      <c r="T123" s="274" t="str">
        <f t="shared" si="25"/>
        <v>FIFA FTI</v>
      </c>
      <c r="U123" s="275"/>
      <c r="V123" s="358" t="s">
        <v>514</v>
      </c>
    </row>
    <row r="124" spans="1:22" s="326" customFormat="1" ht="15.75" hidden="1" customHeight="1">
      <c r="A124" s="267" t="s">
        <v>519</v>
      </c>
      <c r="B124" s="329" t="str">
        <f t="shared" si="39"/>
        <v>Wireless coverage - Shared Internet Service - Wi-Fi FIFA</v>
      </c>
      <c r="C124" s="329" t="str">
        <f t="shared" si="39"/>
        <v>Network &amp; Connectivity</v>
      </c>
      <c r="D124" s="329" t="str">
        <f t="shared" si="30"/>
        <v/>
      </c>
      <c r="E124" s="329" t="str">
        <f t="shared" si="31"/>
        <v>General Internet Access</v>
      </c>
      <c r="F124" s="329" t="str">
        <f t="shared" si="32"/>
        <v>Wireless coverage - Shared Internet Service - FIFA</v>
      </c>
      <c r="G124" s="329" t="str">
        <f t="shared" si="33"/>
        <v>IS00WF - Wireless coverage - Shared Internet Service - Wi-Fi FIFA (General Internet Access)</v>
      </c>
      <c r="H124" s="269">
        <v>1</v>
      </c>
      <c r="I124" s="330">
        <f t="shared" si="38"/>
        <v>0</v>
      </c>
      <c r="J124" s="330">
        <f t="shared" si="38"/>
        <v>0</v>
      </c>
      <c r="K124" s="269">
        <v>1</v>
      </c>
      <c r="L124" s="330">
        <f t="shared" si="35"/>
        <v>0</v>
      </c>
      <c r="M124" s="330">
        <f t="shared" si="37"/>
        <v>0</v>
      </c>
      <c r="N124" s="330"/>
      <c r="O124" s="272" t="s">
        <v>511</v>
      </c>
      <c r="P124" s="271" t="s">
        <v>149</v>
      </c>
      <c r="Q124" s="272" t="s">
        <v>605</v>
      </c>
      <c r="R124" s="272" t="s">
        <v>606</v>
      </c>
      <c r="S124" s="272" t="s">
        <v>607</v>
      </c>
      <c r="T124" s="274" t="str">
        <f t="shared" si="25"/>
        <v>FIFA FTI</v>
      </c>
      <c r="U124" s="275"/>
      <c r="V124" s="358" t="s">
        <v>520</v>
      </c>
    </row>
    <row r="125" spans="1:22" s="326" customFormat="1" ht="15.75" hidden="1" customHeight="1">
      <c r="A125" s="267" t="s">
        <v>519</v>
      </c>
      <c r="B125" s="329" t="str">
        <f t="shared" si="39"/>
        <v>Wireless coverage - Shared Internet Service - Wi-Fi FIFA</v>
      </c>
      <c r="C125" s="329" t="str">
        <f t="shared" si="39"/>
        <v>Network &amp; Connectivity</v>
      </c>
      <c r="D125" s="329" t="str">
        <f t="shared" si="30"/>
        <v/>
      </c>
      <c r="E125" s="329" t="str">
        <f t="shared" si="31"/>
        <v>General Internet Access</v>
      </c>
      <c r="F125" s="329" t="str">
        <f t="shared" si="32"/>
        <v>Wireless coverage - Shared Internet Service - FIFA</v>
      </c>
      <c r="G125" s="329" t="str">
        <f t="shared" si="33"/>
        <v>IS00WF - Wireless coverage - Shared Internet Service - Wi-Fi FIFA (General Internet Access)</v>
      </c>
      <c r="H125" s="269">
        <v>1</v>
      </c>
      <c r="I125" s="330">
        <f t="shared" si="38"/>
        <v>0</v>
      </c>
      <c r="J125" s="330">
        <f t="shared" si="38"/>
        <v>0</v>
      </c>
      <c r="K125" s="269">
        <v>1</v>
      </c>
      <c r="L125" s="330">
        <f t="shared" si="35"/>
        <v>0</v>
      </c>
      <c r="M125" s="330">
        <f t="shared" si="37"/>
        <v>0</v>
      </c>
      <c r="N125" s="330"/>
      <c r="O125" s="272" t="s">
        <v>511</v>
      </c>
      <c r="P125" s="271" t="s">
        <v>149</v>
      </c>
      <c r="Q125" s="272" t="s">
        <v>608</v>
      </c>
      <c r="R125" s="272" t="s">
        <v>606</v>
      </c>
      <c r="S125" s="272" t="s">
        <v>607</v>
      </c>
      <c r="T125" s="274" t="str">
        <f t="shared" si="25"/>
        <v>FIFA FTI</v>
      </c>
      <c r="U125" s="275"/>
      <c r="V125" s="358" t="s">
        <v>520</v>
      </c>
    </row>
    <row r="126" spans="1:22" s="326" customFormat="1" ht="15.75" hidden="1" customHeight="1">
      <c r="A126" s="267" t="s">
        <v>519</v>
      </c>
      <c r="B126" s="329" t="str">
        <f t="shared" si="39"/>
        <v>Wireless coverage - Shared Internet Service - Wi-Fi FIFA</v>
      </c>
      <c r="C126" s="329" t="str">
        <f t="shared" si="39"/>
        <v>Network &amp; Connectivity</v>
      </c>
      <c r="D126" s="329" t="str">
        <f t="shared" si="30"/>
        <v/>
      </c>
      <c r="E126" s="329" t="str">
        <f t="shared" si="31"/>
        <v>General Internet Access</v>
      </c>
      <c r="F126" s="329" t="str">
        <f t="shared" si="32"/>
        <v>Wireless coverage - Shared Internet Service - FIFA</v>
      </c>
      <c r="G126" s="329" t="str">
        <f t="shared" si="33"/>
        <v>IS00WF - Wireless coverage - Shared Internet Service - Wi-Fi FIFA (General Internet Access)</v>
      </c>
      <c r="H126" s="269">
        <v>1</v>
      </c>
      <c r="I126" s="330">
        <f t="shared" si="38"/>
        <v>0</v>
      </c>
      <c r="J126" s="330">
        <f t="shared" si="38"/>
        <v>0</v>
      </c>
      <c r="K126" s="269">
        <v>1</v>
      </c>
      <c r="L126" s="330">
        <f t="shared" si="35"/>
        <v>0</v>
      </c>
      <c r="M126" s="330">
        <f t="shared" si="37"/>
        <v>0</v>
      </c>
      <c r="N126" s="330"/>
      <c r="O126" s="272" t="s">
        <v>511</v>
      </c>
      <c r="P126" s="271" t="s">
        <v>149</v>
      </c>
      <c r="Q126" s="272" t="s">
        <v>542</v>
      </c>
      <c r="R126" s="331" t="s">
        <v>609</v>
      </c>
      <c r="S126" s="272" t="s">
        <v>607</v>
      </c>
      <c r="T126" s="274" t="str">
        <f t="shared" si="25"/>
        <v>FIFA FTI</v>
      </c>
      <c r="U126" s="275" t="s">
        <v>610</v>
      </c>
      <c r="V126" s="358" t="s">
        <v>520</v>
      </c>
    </row>
    <row r="127" spans="1:22" s="326" customFormat="1" ht="15.75" hidden="1" customHeight="1">
      <c r="A127" s="277" t="s">
        <v>568</v>
      </c>
      <c r="B127" s="329" t="str">
        <f t="shared" si="39"/>
        <v>Wired Port - FTI</v>
      </c>
      <c r="C127" s="329" t="str">
        <f t="shared" si="39"/>
        <v>Network &amp; Connectivity</v>
      </c>
      <c r="D127" s="329" t="str">
        <f t="shared" si="30"/>
        <v/>
      </c>
      <c r="E127" s="329" t="str">
        <f t="shared" si="31"/>
        <v>FIFA Technical FTI</v>
      </c>
      <c r="F127" s="329" t="str">
        <f t="shared" si="32"/>
        <v>Wired Port - FTI</v>
      </c>
      <c r="G127" s="329" t="str">
        <f t="shared" si="33"/>
        <v>WRDFTI - Wired Port - FTI (FIFA Technical FTI)</v>
      </c>
      <c r="H127" s="269">
        <v>1</v>
      </c>
      <c r="I127" s="330">
        <f t="shared" si="38"/>
        <v>1</v>
      </c>
      <c r="J127" s="330">
        <f t="shared" si="38"/>
        <v>0</v>
      </c>
      <c r="K127" s="269">
        <v>1</v>
      </c>
      <c r="L127" s="330">
        <f t="shared" si="35"/>
        <v>1</v>
      </c>
      <c r="M127" s="330">
        <f t="shared" si="37"/>
        <v>0</v>
      </c>
      <c r="N127" s="330"/>
      <c r="O127" s="272" t="s">
        <v>511</v>
      </c>
      <c r="P127" s="271" t="s">
        <v>149</v>
      </c>
      <c r="Q127" s="272" t="s">
        <v>542</v>
      </c>
      <c r="R127" s="331" t="s">
        <v>609</v>
      </c>
      <c r="S127" s="272" t="s">
        <v>607</v>
      </c>
      <c r="T127" s="274" t="str">
        <f t="shared" si="25"/>
        <v>FIFA FTI</v>
      </c>
      <c r="U127" s="275" t="s">
        <v>611</v>
      </c>
      <c r="V127" s="358" t="s">
        <v>520</v>
      </c>
    </row>
    <row r="128" spans="1:22" s="326" customFormat="1" ht="15.75" hidden="1" customHeight="1">
      <c r="A128" s="277" t="s">
        <v>568</v>
      </c>
      <c r="B128" s="329" t="str">
        <f t="shared" si="39"/>
        <v>Wired Port - FTI</v>
      </c>
      <c r="C128" s="329" t="str">
        <f t="shared" si="39"/>
        <v>Network &amp; Connectivity</v>
      </c>
      <c r="D128" s="329" t="str">
        <f t="shared" si="30"/>
        <v/>
      </c>
      <c r="E128" s="329" t="str">
        <f t="shared" si="31"/>
        <v>FIFA Technical FTI</v>
      </c>
      <c r="F128" s="329" t="str">
        <f t="shared" si="32"/>
        <v>Wired Port - FTI</v>
      </c>
      <c r="G128" s="329" t="str">
        <f t="shared" si="33"/>
        <v>WRDFTI - Wired Port - FTI (FIFA Technical FTI)</v>
      </c>
      <c r="H128" s="269">
        <v>2</v>
      </c>
      <c r="I128" s="330">
        <f t="shared" si="38"/>
        <v>2</v>
      </c>
      <c r="J128" s="330">
        <f t="shared" si="38"/>
        <v>0</v>
      </c>
      <c r="K128" s="269">
        <v>2</v>
      </c>
      <c r="L128" s="330">
        <f t="shared" si="35"/>
        <v>2</v>
      </c>
      <c r="M128" s="330">
        <f t="shared" si="37"/>
        <v>0</v>
      </c>
      <c r="N128" s="330"/>
      <c r="O128" s="272" t="s">
        <v>511</v>
      </c>
      <c r="P128" s="271" t="s">
        <v>149</v>
      </c>
      <c r="Q128" s="272" t="s">
        <v>542</v>
      </c>
      <c r="R128" s="331" t="s">
        <v>609</v>
      </c>
      <c r="S128" s="272" t="s">
        <v>607</v>
      </c>
      <c r="T128" s="274" t="str">
        <f t="shared" si="25"/>
        <v>FIFA FTI</v>
      </c>
      <c r="U128" s="275" t="s">
        <v>612</v>
      </c>
      <c r="V128" s="358" t="s">
        <v>520</v>
      </c>
    </row>
    <row r="129" spans="1:22" s="326" customFormat="1" ht="15.75" hidden="1" customHeight="1">
      <c r="A129" s="267" t="s">
        <v>519</v>
      </c>
      <c r="B129" s="329" t="str">
        <f t="shared" si="39"/>
        <v>Wireless coverage - Shared Internet Service - Wi-Fi FIFA</v>
      </c>
      <c r="C129" s="329" t="str">
        <f t="shared" si="39"/>
        <v>Network &amp; Connectivity</v>
      </c>
      <c r="D129" s="329" t="str">
        <f t="shared" si="30"/>
        <v/>
      </c>
      <c r="E129" s="329" t="str">
        <f t="shared" si="31"/>
        <v>General Internet Access</v>
      </c>
      <c r="F129" s="329" t="str">
        <f t="shared" si="32"/>
        <v>Wireless coverage - Shared Internet Service - FIFA</v>
      </c>
      <c r="G129" s="329" t="str">
        <f t="shared" si="33"/>
        <v>IS00WF - Wireless coverage - Shared Internet Service - Wi-Fi FIFA (General Internet Access)</v>
      </c>
      <c r="H129" s="269">
        <v>1</v>
      </c>
      <c r="I129" s="330">
        <f t="shared" si="38"/>
        <v>0</v>
      </c>
      <c r="J129" s="330">
        <f t="shared" si="38"/>
        <v>0</v>
      </c>
      <c r="K129" s="269">
        <v>1</v>
      </c>
      <c r="L129" s="330">
        <f t="shared" si="35"/>
        <v>0</v>
      </c>
      <c r="M129" s="330">
        <f t="shared" si="37"/>
        <v>0</v>
      </c>
      <c r="N129" s="330"/>
      <c r="O129" s="272" t="s">
        <v>511</v>
      </c>
      <c r="P129" s="271" t="s">
        <v>149</v>
      </c>
      <c r="Q129" s="272" t="s">
        <v>542</v>
      </c>
      <c r="R129" s="331" t="s">
        <v>613</v>
      </c>
      <c r="S129" s="272" t="s">
        <v>607</v>
      </c>
      <c r="T129" s="274" t="str">
        <f t="shared" si="25"/>
        <v>FIFA FTI</v>
      </c>
      <c r="U129" s="275" t="s">
        <v>610</v>
      </c>
      <c r="V129" s="358" t="s">
        <v>520</v>
      </c>
    </row>
    <row r="130" spans="1:22" s="326" customFormat="1" ht="15.75" hidden="1" customHeight="1">
      <c r="A130" s="277" t="s">
        <v>568</v>
      </c>
      <c r="B130" s="329" t="str">
        <f t="shared" si="39"/>
        <v>Wired Port - FTI</v>
      </c>
      <c r="C130" s="329" t="str">
        <f t="shared" si="39"/>
        <v>Network &amp; Connectivity</v>
      </c>
      <c r="D130" s="329" t="str">
        <f t="shared" si="30"/>
        <v/>
      </c>
      <c r="E130" s="329" t="str">
        <f t="shared" si="31"/>
        <v>FIFA Technical FTI</v>
      </c>
      <c r="F130" s="329" t="str">
        <f t="shared" si="32"/>
        <v>Wired Port - FTI</v>
      </c>
      <c r="G130" s="329" t="str">
        <f t="shared" si="33"/>
        <v>WRDFTI - Wired Port - FTI (FIFA Technical FTI)</v>
      </c>
      <c r="H130" s="269">
        <v>1</v>
      </c>
      <c r="I130" s="330">
        <f t="shared" si="38"/>
        <v>1</v>
      </c>
      <c r="J130" s="330">
        <f t="shared" si="38"/>
        <v>0</v>
      </c>
      <c r="K130" s="269">
        <v>1</v>
      </c>
      <c r="L130" s="330">
        <f t="shared" si="35"/>
        <v>1</v>
      </c>
      <c r="M130" s="330">
        <f t="shared" si="37"/>
        <v>0</v>
      </c>
      <c r="N130" s="330"/>
      <c r="O130" s="272" t="s">
        <v>511</v>
      </c>
      <c r="P130" s="271" t="s">
        <v>149</v>
      </c>
      <c r="Q130" s="272" t="s">
        <v>542</v>
      </c>
      <c r="R130" s="331" t="s">
        <v>613</v>
      </c>
      <c r="S130" s="272" t="s">
        <v>607</v>
      </c>
      <c r="T130" s="274" t="str">
        <f t="shared" si="25"/>
        <v>FIFA FTI</v>
      </c>
      <c r="U130" s="275" t="s">
        <v>611</v>
      </c>
      <c r="V130" s="358" t="s">
        <v>520</v>
      </c>
    </row>
    <row r="131" spans="1:22" s="326" customFormat="1" ht="15.75" hidden="1" customHeight="1">
      <c r="A131" s="277" t="s">
        <v>568</v>
      </c>
      <c r="B131" s="329" t="str">
        <f t="shared" si="39"/>
        <v>Wired Port - FTI</v>
      </c>
      <c r="C131" s="329" t="str">
        <f t="shared" si="39"/>
        <v>Network &amp; Connectivity</v>
      </c>
      <c r="D131" s="329" t="str">
        <f t="shared" si="30"/>
        <v/>
      </c>
      <c r="E131" s="329" t="str">
        <f t="shared" si="31"/>
        <v>FIFA Technical FTI</v>
      </c>
      <c r="F131" s="329" t="str">
        <f t="shared" si="32"/>
        <v>Wired Port - FTI</v>
      </c>
      <c r="G131" s="329" t="str">
        <f t="shared" si="33"/>
        <v>WRDFTI - Wired Port - FTI (FIFA Technical FTI)</v>
      </c>
      <c r="H131" s="269">
        <v>2</v>
      </c>
      <c r="I131" s="330">
        <f t="shared" si="38"/>
        <v>2</v>
      </c>
      <c r="J131" s="330">
        <f t="shared" si="38"/>
        <v>0</v>
      </c>
      <c r="K131" s="269">
        <v>2</v>
      </c>
      <c r="L131" s="330">
        <f t="shared" si="35"/>
        <v>2</v>
      </c>
      <c r="M131" s="330">
        <f t="shared" si="37"/>
        <v>0</v>
      </c>
      <c r="N131" s="330"/>
      <c r="O131" s="272" t="s">
        <v>511</v>
      </c>
      <c r="P131" s="271" t="s">
        <v>149</v>
      </c>
      <c r="Q131" s="272" t="s">
        <v>542</v>
      </c>
      <c r="R131" s="331" t="s">
        <v>613</v>
      </c>
      <c r="S131" s="272" t="s">
        <v>607</v>
      </c>
      <c r="T131" s="274" t="str">
        <f t="shared" ref="T131:T194" si="40">IF(S131="","",S131)</f>
        <v>FIFA FTI</v>
      </c>
      <c r="U131" s="275" t="s">
        <v>612</v>
      </c>
      <c r="V131" s="358" t="s">
        <v>520</v>
      </c>
    </row>
    <row r="132" spans="1:22" s="326" customFormat="1" ht="15.75" hidden="1" customHeight="1">
      <c r="A132" s="267" t="s">
        <v>519</v>
      </c>
      <c r="B132" s="329" t="str">
        <f t="shared" si="39"/>
        <v>Wireless coverage - Shared Internet Service - Wi-Fi FIFA</v>
      </c>
      <c r="C132" s="329" t="str">
        <f t="shared" si="39"/>
        <v>Network &amp; Connectivity</v>
      </c>
      <c r="D132" s="329" t="str">
        <f t="shared" ref="D132:D156" si="41">IF(OR($A132="",$O132&lt;&gt;"FIFA Event Technology"),"",IF(VLOOKUP($A132,ps_table,MATCH(D$2,ps_headers,0),FALSE)&lt;&gt;"",VLOOKUP($A132,ps_table,MATCH(D$2,ps_headers,0),FALSE),""))</f>
        <v/>
      </c>
      <c r="E132" s="329" t="str">
        <f t="shared" ref="E132:E156" si="42">IF($A132="","",IF(VLOOKUP($A132,ps_table,MATCH(E$2,ps_headers,0),FALSE)&lt;&gt;"",VLOOKUP($A132,ps_table,MATCH(E$2,ps_headers,0),FALSE),""))</f>
        <v>General Internet Access</v>
      </c>
      <c r="F132" s="329" t="str">
        <f t="shared" ref="F132:F156" si="43">IF($A132="","",VLOOKUP($A132,ps_table,MATCH(F$2,ps_headers,0),FALSE))</f>
        <v>Wireless coverage - Shared Internet Service - FIFA</v>
      </c>
      <c r="G132" s="329" t="str">
        <f t="shared" ref="G132:G156" si="44">IF($A132="","",IF(E132&lt;&gt;"",A132&amp;" - "&amp;B132&amp;" ("&amp;E132&amp;")",A132&amp;" - "&amp;B132))</f>
        <v>IS00WF - Wireless coverage - Shared Internet Service - Wi-Fi FIFA (General Internet Access)</v>
      </c>
      <c r="H132" s="269">
        <v>1</v>
      </c>
      <c r="I132" s="330">
        <f t="shared" si="38"/>
        <v>0</v>
      </c>
      <c r="J132" s="330">
        <f t="shared" si="38"/>
        <v>0</v>
      </c>
      <c r="K132" s="269">
        <v>1</v>
      </c>
      <c r="L132" s="330">
        <f t="shared" ref="L132:L163" si="45">IF($A132="","",$K132*VLOOKUP($A132,ps_table,MATCH(L$2,ps_headers,0),FALSE))</f>
        <v>0</v>
      </c>
      <c r="M132" s="330">
        <f t="shared" si="37"/>
        <v>0</v>
      </c>
      <c r="N132" s="330"/>
      <c r="O132" s="272" t="s">
        <v>511</v>
      </c>
      <c r="P132" s="271" t="s">
        <v>149</v>
      </c>
      <c r="Q132" s="272" t="s">
        <v>542</v>
      </c>
      <c r="R132" s="331" t="s">
        <v>614</v>
      </c>
      <c r="S132" s="272" t="s">
        <v>607</v>
      </c>
      <c r="T132" s="274" t="str">
        <f t="shared" si="40"/>
        <v>FIFA FTI</v>
      </c>
      <c r="U132" s="275" t="s">
        <v>610</v>
      </c>
      <c r="V132" s="358" t="s">
        <v>520</v>
      </c>
    </row>
    <row r="133" spans="1:22" s="326" customFormat="1" ht="15.75" hidden="1" customHeight="1">
      <c r="A133" s="277" t="s">
        <v>568</v>
      </c>
      <c r="B133" s="329" t="str">
        <f t="shared" si="39"/>
        <v>Wired Port - FTI</v>
      </c>
      <c r="C133" s="329" t="str">
        <f t="shared" si="39"/>
        <v>Network &amp; Connectivity</v>
      </c>
      <c r="D133" s="329" t="str">
        <f t="shared" si="41"/>
        <v/>
      </c>
      <c r="E133" s="329" t="str">
        <f t="shared" si="42"/>
        <v>FIFA Technical FTI</v>
      </c>
      <c r="F133" s="329" t="str">
        <f t="shared" si="43"/>
        <v>Wired Port - FTI</v>
      </c>
      <c r="G133" s="329" t="str">
        <f t="shared" si="44"/>
        <v>WRDFTI - Wired Port - FTI (FIFA Technical FTI)</v>
      </c>
      <c r="H133" s="269">
        <v>1</v>
      </c>
      <c r="I133" s="330">
        <f t="shared" si="38"/>
        <v>1</v>
      </c>
      <c r="J133" s="330">
        <f t="shared" si="38"/>
        <v>0</v>
      </c>
      <c r="K133" s="269">
        <v>1</v>
      </c>
      <c r="L133" s="330">
        <f t="shared" si="45"/>
        <v>1</v>
      </c>
      <c r="M133" s="330">
        <f t="shared" si="37"/>
        <v>0</v>
      </c>
      <c r="N133" s="330"/>
      <c r="O133" s="272" t="s">
        <v>511</v>
      </c>
      <c r="P133" s="271" t="s">
        <v>149</v>
      </c>
      <c r="Q133" s="272" t="s">
        <v>542</v>
      </c>
      <c r="R133" s="331" t="s">
        <v>614</v>
      </c>
      <c r="S133" s="272" t="s">
        <v>607</v>
      </c>
      <c r="T133" s="274" t="str">
        <f t="shared" si="40"/>
        <v>FIFA FTI</v>
      </c>
      <c r="U133" s="275" t="s">
        <v>611</v>
      </c>
      <c r="V133" s="358" t="s">
        <v>520</v>
      </c>
    </row>
    <row r="134" spans="1:22" s="326" customFormat="1" ht="15.75" hidden="1" customHeight="1">
      <c r="A134" s="277" t="s">
        <v>568</v>
      </c>
      <c r="B134" s="329" t="str">
        <f t="shared" si="39"/>
        <v>Wired Port - FTI</v>
      </c>
      <c r="C134" s="329" t="str">
        <f t="shared" si="39"/>
        <v>Network &amp; Connectivity</v>
      </c>
      <c r="D134" s="329" t="str">
        <f t="shared" si="41"/>
        <v/>
      </c>
      <c r="E134" s="329" t="str">
        <f t="shared" si="42"/>
        <v>FIFA Technical FTI</v>
      </c>
      <c r="F134" s="329" t="str">
        <f t="shared" si="43"/>
        <v>Wired Port - FTI</v>
      </c>
      <c r="G134" s="329" t="str">
        <f t="shared" si="44"/>
        <v>WRDFTI - Wired Port - FTI (FIFA Technical FTI)</v>
      </c>
      <c r="H134" s="269">
        <v>2</v>
      </c>
      <c r="I134" s="330">
        <f t="shared" si="38"/>
        <v>2</v>
      </c>
      <c r="J134" s="330">
        <f t="shared" si="38"/>
        <v>0</v>
      </c>
      <c r="K134" s="269">
        <v>2</v>
      </c>
      <c r="L134" s="330">
        <f t="shared" si="45"/>
        <v>2</v>
      </c>
      <c r="M134" s="330">
        <f t="shared" si="37"/>
        <v>0</v>
      </c>
      <c r="N134" s="330"/>
      <c r="O134" s="272" t="s">
        <v>511</v>
      </c>
      <c r="P134" s="271" t="s">
        <v>149</v>
      </c>
      <c r="Q134" s="272" t="s">
        <v>542</v>
      </c>
      <c r="R134" s="331" t="s">
        <v>614</v>
      </c>
      <c r="S134" s="272" t="s">
        <v>607</v>
      </c>
      <c r="T134" s="274" t="str">
        <f t="shared" si="40"/>
        <v>FIFA FTI</v>
      </c>
      <c r="U134" s="275" t="s">
        <v>612</v>
      </c>
      <c r="V134" s="358" t="s">
        <v>520</v>
      </c>
    </row>
    <row r="135" spans="1:22" s="326" customFormat="1" ht="15.75" hidden="1" customHeight="1">
      <c r="A135" s="267" t="s">
        <v>519</v>
      </c>
      <c r="B135" s="329" t="str">
        <f t="shared" si="39"/>
        <v>Wireless coverage - Shared Internet Service - Wi-Fi FIFA</v>
      </c>
      <c r="C135" s="329" t="str">
        <f t="shared" si="39"/>
        <v>Network &amp; Connectivity</v>
      </c>
      <c r="D135" s="329" t="str">
        <f t="shared" si="41"/>
        <v/>
      </c>
      <c r="E135" s="329" t="str">
        <f t="shared" si="42"/>
        <v>General Internet Access</v>
      </c>
      <c r="F135" s="329" t="str">
        <f t="shared" si="43"/>
        <v>Wireless coverage - Shared Internet Service - FIFA</v>
      </c>
      <c r="G135" s="329" t="str">
        <f t="shared" si="44"/>
        <v>IS00WF - Wireless coverage - Shared Internet Service - Wi-Fi FIFA (General Internet Access)</v>
      </c>
      <c r="H135" s="269">
        <v>1</v>
      </c>
      <c r="I135" s="330">
        <f t="shared" si="38"/>
        <v>0</v>
      </c>
      <c r="J135" s="330">
        <f t="shared" si="38"/>
        <v>0</v>
      </c>
      <c r="K135" s="269">
        <v>1</v>
      </c>
      <c r="L135" s="330">
        <f t="shared" si="45"/>
        <v>0</v>
      </c>
      <c r="M135" s="330">
        <f t="shared" si="37"/>
        <v>0</v>
      </c>
      <c r="N135" s="330"/>
      <c r="O135" s="272" t="s">
        <v>511</v>
      </c>
      <c r="P135" s="271" t="s">
        <v>149</v>
      </c>
      <c r="Q135" s="272" t="s">
        <v>545</v>
      </c>
      <c r="R135" s="331" t="s">
        <v>615</v>
      </c>
      <c r="S135" s="272" t="s">
        <v>607</v>
      </c>
      <c r="T135" s="274" t="str">
        <f t="shared" si="40"/>
        <v>FIFA FTI</v>
      </c>
      <c r="U135" s="275" t="s">
        <v>610</v>
      </c>
      <c r="V135" s="358" t="s">
        <v>520</v>
      </c>
    </row>
    <row r="136" spans="1:22" s="326" customFormat="1" ht="15.75" hidden="1" customHeight="1">
      <c r="A136" s="277" t="s">
        <v>568</v>
      </c>
      <c r="B136" s="329" t="str">
        <f t="shared" si="39"/>
        <v>Wired Port - FTI</v>
      </c>
      <c r="C136" s="329" t="str">
        <f t="shared" si="39"/>
        <v>Network &amp; Connectivity</v>
      </c>
      <c r="D136" s="329" t="str">
        <f t="shared" si="41"/>
        <v/>
      </c>
      <c r="E136" s="329" t="str">
        <f t="shared" si="42"/>
        <v>FIFA Technical FTI</v>
      </c>
      <c r="F136" s="329" t="str">
        <f t="shared" si="43"/>
        <v>Wired Port - FTI</v>
      </c>
      <c r="G136" s="329" t="str">
        <f t="shared" si="44"/>
        <v>WRDFTI - Wired Port - FTI (FIFA Technical FTI)</v>
      </c>
      <c r="H136" s="269">
        <v>1</v>
      </c>
      <c r="I136" s="330">
        <f t="shared" si="38"/>
        <v>1</v>
      </c>
      <c r="J136" s="330">
        <f t="shared" si="38"/>
        <v>0</v>
      </c>
      <c r="K136" s="269">
        <v>1</v>
      </c>
      <c r="L136" s="330">
        <f t="shared" si="45"/>
        <v>1</v>
      </c>
      <c r="M136" s="330">
        <f t="shared" si="37"/>
        <v>0</v>
      </c>
      <c r="N136" s="330"/>
      <c r="O136" s="272" t="s">
        <v>511</v>
      </c>
      <c r="P136" s="271" t="s">
        <v>149</v>
      </c>
      <c r="Q136" s="272" t="s">
        <v>545</v>
      </c>
      <c r="R136" s="331" t="s">
        <v>615</v>
      </c>
      <c r="S136" s="272" t="s">
        <v>607</v>
      </c>
      <c r="T136" s="274" t="str">
        <f t="shared" si="40"/>
        <v>FIFA FTI</v>
      </c>
      <c r="U136" s="275" t="s">
        <v>611</v>
      </c>
      <c r="V136" s="358" t="s">
        <v>520</v>
      </c>
    </row>
    <row r="137" spans="1:22" s="326" customFormat="1" ht="15.75" hidden="1" customHeight="1">
      <c r="A137" s="277" t="s">
        <v>568</v>
      </c>
      <c r="B137" s="329" t="str">
        <f t="shared" si="39"/>
        <v>Wired Port - FTI</v>
      </c>
      <c r="C137" s="329" t="str">
        <f t="shared" si="39"/>
        <v>Network &amp; Connectivity</v>
      </c>
      <c r="D137" s="329" t="str">
        <f t="shared" si="41"/>
        <v/>
      </c>
      <c r="E137" s="329" t="str">
        <f t="shared" si="42"/>
        <v>FIFA Technical FTI</v>
      </c>
      <c r="F137" s="329" t="str">
        <f t="shared" si="43"/>
        <v>Wired Port - FTI</v>
      </c>
      <c r="G137" s="329" t="str">
        <f t="shared" si="44"/>
        <v>WRDFTI - Wired Port - FTI (FIFA Technical FTI)</v>
      </c>
      <c r="H137" s="269">
        <v>0</v>
      </c>
      <c r="I137" s="330">
        <f t="shared" si="38"/>
        <v>2</v>
      </c>
      <c r="J137" s="330">
        <f t="shared" si="38"/>
        <v>0</v>
      </c>
      <c r="K137" s="269">
        <v>2</v>
      </c>
      <c r="L137" s="330">
        <f t="shared" si="45"/>
        <v>2</v>
      </c>
      <c r="M137" s="330">
        <f t="shared" si="37"/>
        <v>0</v>
      </c>
      <c r="N137" s="330"/>
      <c r="O137" s="272" t="s">
        <v>511</v>
      </c>
      <c r="P137" s="271" t="s">
        <v>149</v>
      </c>
      <c r="Q137" s="272" t="s">
        <v>545</v>
      </c>
      <c r="R137" s="331" t="s">
        <v>615</v>
      </c>
      <c r="S137" s="272" t="s">
        <v>607</v>
      </c>
      <c r="T137" s="274" t="str">
        <f t="shared" si="40"/>
        <v>FIFA FTI</v>
      </c>
      <c r="U137" s="275" t="s">
        <v>612</v>
      </c>
      <c r="V137" s="358" t="s">
        <v>520</v>
      </c>
    </row>
    <row r="138" spans="1:22" s="326" customFormat="1" ht="15.75" hidden="1" customHeight="1">
      <c r="A138" s="267" t="s">
        <v>616</v>
      </c>
      <c r="B138" s="329" t="str">
        <f t="shared" si="39"/>
        <v>Office Projector - 6K</v>
      </c>
      <c r="C138" s="329" t="str">
        <f t="shared" si="39"/>
        <v>Display Devices</v>
      </c>
      <c r="D138" s="329" t="str">
        <f t="shared" si="41"/>
        <v/>
      </c>
      <c r="E138" s="329" t="str">
        <f t="shared" si="42"/>
        <v/>
      </c>
      <c r="F138" s="329" t="str">
        <f t="shared" si="43"/>
        <v>Office Projector - 6K</v>
      </c>
      <c r="G138" s="329" t="str">
        <f t="shared" si="44"/>
        <v>PROJ6K - Office Projector - 6K</v>
      </c>
      <c r="H138" s="269">
        <v>1</v>
      </c>
      <c r="I138" s="330">
        <f t="shared" si="38"/>
        <v>0</v>
      </c>
      <c r="J138" s="330">
        <f t="shared" si="38"/>
        <v>0</v>
      </c>
      <c r="K138" s="269">
        <v>1</v>
      </c>
      <c r="L138" s="330">
        <f t="shared" si="45"/>
        <v>0</v>
      </c>
      <c r="M138" s="330">
        <f t="shared" si="37"/>
        <v>0</v>
      </c>
      <c r="N138" s="330">
        <v>0</v>
      </c>
      <c r="O138" s="272" t="s">
        <v>511</v>
      </c>
      <c r="P138" s="271" t="s">
        <v>149</v>
      </c>
      <c r="Q138" s="272" t="s">
        <v>608</v>
      </c>
      <c r="R138" s="272" t="s">
        <v>606</v>
      </c>
      <c r="S138" s="272" t="s">
        <v>607</v>
      </c>
      <c r="T138" s="274" t="str">
        <f t="shared" si="40"/>
        <v>FIFA FTI</v>
      </c>
      <c r="U138" s="275" t="s">
        <v>617</v>
      </c>
      <c r="V138" s="358" t="s">
        <v>514</v>
      </c>
    </row>
    <row r="139" spans="1:22" s="326" customFormat="1" ht="15.75" hidden="1" customHeight="1">
      <c r="A139" s="267" t="s">
        <v>237</v>
      </c>
      <c r="B139" s="329" t="str">
        <f t="shared" si="39"/>
        <v>TV - Large - IPTV</v>
      </c>
      <c r="C139" s="329" t="str">
        <f t="shared" si="39"/>
        <v>CATV</v>
      </c>
      <c r="D139" s="329" t="str">
        <f t="shared" si="41"/>
        <v/>
      </c>
      <c r="E139" s="329" t="str">
        <f t="shared" si="42"/>
        <v/>
      </c>
      <c r="F139" s="329" t="str">
        <f t="shared" si="43"/>
        <v>Large TV - CATV Feed</v>
      </c>
      <c r="G139" s="329" t="str">
        <f t="shared" si="44"/>
        <v>TVLGIP - TV - Large - IPTV</v>
      </c>
      <c r="H139" s="269">
        <v>4</v>
      </c>
      <c r="I139" s="330">
        <f t="shared" si="38"/>
        <v>4</v>
      </c>
      <c r="J139" s="330">
        <f t="shared" si="38"/>
        <v>0</v>
      </c>
      <c r="K139" s="269">
        <v>4</v>
      </c>
      <c r="L139" s="330">
        <f t="shared" si="45"/>
        <v>4</v>
      </c>
      <c r="M139" s="330">
        <f t="shared" si="37"/>
        <v>0</v>
      </c>
      <c r="N139" s="330">
        <v>0</v>
      </c>
      <c r="O139" s="272" t="s">
        <v>511</v>
      </c>
      <c r="P139" s="271" t="s">
        <v>149</v>
      </c>
      <c r="Q139" s="272" t="s">
        <v>605</v>
      </c>
      <c r="R139" s="272" t="s">
        <v>606</v>
      </c>
      <c r="S139" s="272" t="s">
        <v>607</v>
      </c>
      <c r="T139" s="274" t="str">
        <f t="shared" si="40"/>
        <v>FIFA FTI</v>
      </c>
      <c r="U139" s="275" t="s">
        <v>618</v>
      </c>
      <c r="V139" s="358" t="s">
        <v>247</v>
      </c>
    </row>
    <row r="140" spans="1:22" s="326" customFormat="1" ht="15.75" hidden="1" customHeight="1">
      <c r="A140" s="267" t="s">
        <v>537</v>
      </c>
      <c r="B140" s="329" t="str">
        <f t="shared" si="39"/>
        <v>TV Stand - Medium &amp; Large TVs</v>
      </c>
      <c r="C140" s="329" t="str">
        <f t="shared" si="39"/>
        <v>Peripherals</v>
      </c>
      <c r="D140" s="329" t="str">
        <f t="shared" si="41"/>
        <v/>
      </c>
      <c r="E140" s="329" t="str">
        <f t="shared" si="42"/>
        <v/>
      </c>
      <c r="F140" s="329" t="str">
        <f t="shared" si="43"/>
        <v>TV Stand for medium and large TVs</v>
      </c>
      <c r="G140" s="329" t="str">
        <f t="shared" si="44"/>
        <v>TVSTND - TV Stand - Medium &amp; Large TVs</v>
      </c>
      <c r="H140" s="269">
        <v>4</v>
      </c>
      <c r="I140" s="330">
        <f t="shared" ref="I140:J156" si="46">IF($A140="","",$K140*VLOOKUP($A140,ps_table,MATCH(I$2,ps_headers,0),FALSE))</f>
        <v>0</v>
      </c>
      <c r="J140" s="330">
        <f t="shared" si="46"/>
        <v>0</v>
      </c>
      <c r="K140" s="269">
        <v>4</v>
      </c>
      <c r="L140" s="330">
        <f t="shared" si="45"/>
        <v>0</v>
      </c>
      <c r="M140" s="330">
        <f t="shared" si="37"/>
        <v>0</v>
      </c>
      <c r="N140" s="330">
        <v>0</v>
      </c>
      <c r="O140" s="272" t="s">
        <v>511</v>
      </c>
      <c r="P140" s="271" t="s">
        <v>149</v>
      </c>
      <c r="Q140" s="272" t="s">
        <v>605</v>
      </c>
      <c r="R140" s="272" t="s">
        <v>606</v>
      </c>
      <c r="S140" s="272" t="s">
        <v>607</v>
      </c>
      <c r="T140" s="274" t="str">
        <f t="shared" si="40"/>
        <v>FIFA FTI</v>
      </c>
      <c r="U140" s="275"/>
      <c r="V140" s="358" t="s">
        <v>247</v>
      </c>
    </row>
    <row r="141" spans="1:22" s="326" customFormat="1" ht="57.6" hidden="1">
      <c r="A141" s="277" t="s">
        <v>568</v>
      </c>
      <c r="B141" s="329" t="str">
        <f t="shared" si="39"/>
        <v>Wired Port - FTI</v>
      </c>
      <c r="C141" s="329" t="str">
        <f t="shared" si="39"/>
        <v>Network &amp; Connectivity</v>
      </c>
      <c r="D141" s="329" t="str">
        <f t="shared" si="41"/>
        <v/>
      </c>
      <c r="E141" s="329" t="str">
        <f t="shared" si="42"/>
        <v>FIFA Technical FTI</v>
      </c>
      <c r="F141" s="329" t="str">
        <f t="shared" si="43"/>
        <v>Wired Port - FTI</v>
      </c>
      <c r="G141" s="329" t="str">
        <f t="shared" si="44"/>
        <v>WRDFTI - Wired Port - FTI (FIFA Technical FTI)</v>
      </c>
      <c r="H141" s="269">
        <v>7</v>
      </c>
      <c r="I141" s="330">
        <f t="shared" si="46"/>
        <v>6</v>
      </c>
      <c r="J141" s="330">
        <f t="shared" si="46"/>
        <v>0</v>
      </c>
      <c r="K141" s="269">
        <v>6</v>
      </c>
      <c r="L141" s="330">
        <f t="shared" si="45"/>
        <v>6</v>
      </c>
      <c r="M141" s="330">
        <f t="shared" si="37"/>
        <v>0</v>
      </c>
      <c r="N141" s="330"/>
      <c r="O141" s="272" t="s">
        <v>511</v>
      </c>
      <c r="P141" s="271" t="s">
        <v>149</v>
      </c>
      <c r="Q141" s="272" t="s">
        <v>542</v>
      </c>
      <c r="R141" s="331" t="s">
        <v>619</v>
      </c>
      <c r="S141" s="272" t="s">
        <v>607</v>
      </c>
      <c r="T141" s="274" t="str">
        <f t="shared" si="40"/>
        <v>FIFA FTI</v>
      </c>
      <c r="U141" s="340" t="s">
        <v>620</v>
      </c>
      <c r="V141" s="358" t="s">
        <v>520</v>
      </c>
    </row>
    <row r="142" spans="1:22" s="326" customFormat="1" ht="28.8" hidden="1">
      <c r="A142" s="277" t="s">
        <v>568</v>
      </c>
      <c r="B142" s="329" t="str">
        <f t="shared" si="39"/>
        <v>Wired Port - FTI</v>
      </c>
      <c r="C142" s="329" t="str">
        <f t="shared" si="39"/>
        <v>Network &amp; Connectivity</v>
      </c>
      <c r="D142" s="329" t="str">
        <f t="shared" si="41"/>
        <v/>
      </c>
      <c r="E142" s="329" t="str">
        <f t="shared" si="42"/>
        <v>FIFA Technical FTI</v>
      </c>
      <c r="F142" s="329" t="str">
        <f t="shared" si="43"/>
        <v>Wired Port - FTI</v>
      </c>
      <c r="G142" s="329" t="str">
        <f t="shared" si="44"/>
        <v>WRDFTI - Wired Port - FTI (FIFA Technical FTI)</v>
      </c>
      <c r="H142" s="269">
        <v>0</v>
      </c>
      <c r="I142" s="330">
        <f t="shared" si="46"/>
        <v>1</v>
      </c>
      <c r="J142" s="330">
        <f t="shared" si="46"/>
        <v>0</v>
      </c>
      <c r="K142" s="269">
        <v>1</v>
      </c>
      <c r="L142" s="330">
        <f t="shared" si="45"/>
        <v>1</v>
      </c>
      <c r="M142" s="330">
        <f t="shared" si="37"/>
        <v>0</v>
      </c>
      <c r="N142" s="330"/>
      <c r="O142" s="272" t="s">
        <v>511</v>
      </c>
      <c r="P142" s="271" t="s">
        <v>149</v>
      </c>
      <c r="Q142" s="272" t="s">
        <v>542</v>
      </c>
      <c r="R142" s="331" t="s">
        <v>619</v>
      </c>
      <c r="S142" s="272" t="s">
        <v>607</v>
      </c>
      <c r="T142" s="274" t="str">
        <f t="shared" si="40"/>
        <v>FIFA FTI</v>
      </c>
      <c r="U142" s="340" t="s">
        <v>621</v>
      </c>
      <c r="V142" s="358" t="s">
        <v>520</v>
      </c>
    </row>
    <row r="143" spans="1:22" s="326" customFormat="1" ht="57.6" hidden="1">
      <c r="A143" s="277" t="s">
        <v>568</v>
      </c>
      <c r="B143" s="329" t="str">
        <f t="shared" ref="B143:C162" si="47">IF($A143="","",VLOOKUP($A143,ps_table,MATCH(B$2,ps_headers,0),FALSE))</f>
        <v>Wired Port - FTI</v>
      </c>
      <c r="C143" s="329" t="str">
        <f t="shared" si="47"/>
        <v>Network &amp; Connectivity</v>
      </c>
      <c r="D143" s="329" t="str">
        <f t="shared" si="41"/>
        <v/>
      </c>
      <c r="E143" s="329" t="str">
        <f t="shared" si="42"/>
        <v>FIFA Technical FTI</v>
      </c>
      <c r="F143" s="329" t="str">
        <f t="shared" si="43"/>
        <v>Wired Port - FTI</v>
      </c>
      <c r="G143" s="329" t="str">
        <f t="shared" si="44"/>
        <v>WRDFTI - Wired Port - FTI (FIFA Technical FTI)</v>
      </c>
      <c r="H143" s="269">
        <v>4</v>
      </c>
      <c r="I143" s="330">
        <f t="shared" si="46"/>
        <v>2</v>
      </c>
      <c r="J143" s="330">
        <f t="shared" si="46"/>
        <v>0</v>
      </c>
      <c r="K143" s="269">
        <v>2</v>
      </c>
      <c r="L143" s="330">
        <f t="shared" si="45"/>
        <v>2</v>
      </c>
      <c r="M143" s="330">
        <f t="shared" ref="M143:M163" si="48">IF($A143="","",$K143*VLOOKUP($A143,ps_table,MATCH(M$2,ps_headers,0),FALSE))</f>
        <v>0</v>
      </c>
      <c r="N143" s="330"/>
      <c r="O143" s="272" t="s">
        <v>511</v>
      </c>
      <c r="P143" s="271" t="s">
        <v>149</v>
      </c>
      <c r="Q143" s="272" t="s">
        <v>545</v>
      </c>
      <c r="R143" s="331" t="s">
        <v>622</v>
      </c>
      <c r="S143" s="272" t="s">
        <v>607</v>
      </c>
      <c r="T143" s="274" t="str">
        <f t="shared" si="40"/>
        <v>FIFA FTI</v>
      </c>
      <c r="U143" s="340" t="s">
        <v>620</v>
      </c>
      <c r="V143" s="358" t="s">
        <v>520</v>
      </c>
    </row>
    <row r="144" spans="1:22" s="326" customFormat="1" ht="28.8" hidden="1">
      <c r="A144" s="277" t="s">
        <v>568</v>
      </c>
      <c r="B144" s="329" t="str">
        <f t="shared" si="47"/>
        <v>Wired Port - FTI</v>
      </c>
      <c r="C144" s="329" t="str">
        <f t="shared" si="47"/>
        <v>Network &amp; Connectivity</v>
      </c>
      <c r="D144" s="329" t="str">
        <f t="shared" si="41"/>
        <v/>
      </c>
      <c r="E144" s="329" t="str">
        <f t="shared" si="42"/>
        <v>FIFA Technical FTI</v>
      </c>
      <c r="F144" s="329" t="str">
        <f t="shared" si="43"/>
        <v>Wired Port - FTI</v>
      </c>
      <c r="G144" s="329" t="str">
        <f t="shared" si="44"/>
        <v>WRDFTI - Wired Port - FTI (FIFA Technical FTI)</v>
      </c>
      <c r="H144" s="269">
        <v>0</v>
      </c>
      <c r="I144" s="330">
        <f t="shared" si="46"/>
        <v>1</v>
      </c>
      <c r="J144" s="330">
        <f t="shared" si="46"/>
        <v>0</v>
      </c>
      <c r="K144" s="269">
        <v>1</v>
      </c>
      <c r="L144" s="330">
        <f t="shared" si="45"/>
        <v>1</v>
      </c>
      <c r="M144" s="330">
        <f t="shared" si="48"/>
        <v>0</v>
      </c>
      <c r="N144" s="330"/>
      <c r="O144" s="272" t="s">
        <v>511</v>
      </c>
      <c r="P144" s="271" t="s">
        <v>149</v>
      </c>
      <c r="Q144" s="272" t="s">
        <v>545</v>
      </c>
      <c r="R144" s="331" t="s">
        <v>622</v>
      </c>
      <c r="S144" s="272" t="s">
        <v>607</v>
      </c>
      <c r="T144" s="274" t="str">
        <f t="shared" si="40"/>
        <v>FIFA FTI</v>
      </c>
      <c r="U144" s="340" t="s">
        <v>621</v>
      </c>
      <c r="V144" s="358" t="s">
        <v>520</v>
      </c>
    </row>
    <row r="145" spans="1:22" s="276" customFormat="1" ht="15.75" hidden="1" customHeight="1">
      <c r="A145" s="267" t="s">
        <v>623</v>
      </c>
      <c r="B145" s="329" t="str">
        <f t="shared" si="47"/>
        <v>Wired Port - TSG</v>
      </c>
      <c r="C145" s="329" t="str">
        <f t="shared" si="47"/>
        <v>Network &amp; Connectivity</v>
      </c>
      <c r="D145" s="329" t="str">
        <f t="shared" si="41"/>
        <v/>
      </c>
      <c r="E145" s="329" t="str">
        <f t="shared" si="42"/>
        <v>FIFA Technical TSG</v>
      </c>
      <c r="F145" s="329" t="str">
        <f t="shared" si="43"/>
        <v>Wired Port - TSG</v>
      </c>
      <c r="G145" s="329" t="str">
        <f t="shared" si="44"/>
        <v>WRDTSG - Wired Port - TSG (FIFA Technical TSG)</v>
      </c>
      <c r="H145" s="269">
        <v>1</v>
      </c>
      <c r="I145" s="330">
        <f t="shared" si="46"/>
        <v>1</v>
      </c>
      <c r="J145" s="330">
        <f t="shared" si="46"/>
        <v>0</v>
      </c>
      <c r="K145" s="269">
        <v>1</v>
      </c>
      <c r="L145" s="330">
        <f t="shared" si="45"/>
        <v>1</v>
      </c>
      <c r="M145" s="330">
        <f t="shared" si="48"/>
        <v>0</v>
      </c>
      <c r="N145" s="330"/>
      <c r="O145" s="272" t="s">
        <v>511</v>
      </c>
      <c r="P145" s="271" t="s">
        <v>149</v>
      </c>
      <c r="Q145" s="272" t="s">
        <v>605</v>
      </c>
      <c r="R145" s="272" t="s">
        <v>606</v>
      </c>
      <c r="S145" s="272" t="s">
        <v>607</v>
      </c>
      <c r="T145" s="274" t="str">
        <f t="shared" si="40"/>
        <v>FIFA FTI</v>
      </c>
      <c r="U145" s="275" t="s">
        <v>624</v>
      </c>
      <c r="V145" s="358" t="s">
        <v>520</v>
      </c>
    </row>
    <row r="146" spans="1:22" s="276" customFormat="1" ht="15.75" hidden="1" customHeight="1">
      <c r="A146" s="267" t="s">
        <v>519</v>
      </c>
      <c r="B146" s="329" t="str">
        <f t="shared" si="47"/>
        <v>Wireless coverage - Shared Internet Service - Wi-Fi FIFA</v>
      </c>
      <c r="C146" s="329" t="str">
        <f t="shared" si="47"/>
        <v>Network &amp; Connectivity</v>
      </c>
      <c r="D146" s="329" t="str">
        <f t="shared" si="41"/>
        <v/>
      </c>
      <c r="E146" s="329" t="str">
        <f t="shared" si="42"/>
        <v>General Internet Access</v>
      </c>
      <c r="F146" s="329" t="str">
        <f t="shared" si="43"/>
        <v>Wireless coverage - Shared Internet Service - FIFA</v>
      </c>
      <c r="G146" s="329" t="str">
        <f t="shared" si="44"/>
        <v>IS00WF - Wireless coverage - Shared Internet Service - Wi-Fi FIFA (General Internet Access)</v>
      </c>
      <c r="H146" s="269">
        <v>1</v>
      </c>
      <c r="I146" s="330">
        <f t="shared" si="46"/>
        <v>0</v>
      </c>
      <c r="J146" s="330">
        <f t="shared" si="46"/>
        <v>0</v>
      </c>
      <c r="K146" s="441">
        <v>1</v>
      </c>
      <c r="L146" s="330">
        <f t="shared" si="45"/>
        <v>0</v>
      </c>
      <c r="M146" s="330">
        <f t="shared" si="48"/>
        <v>0</v>
      </c>
      <c r="N146" s="330"/>
      <c r="O146" s="272" t="s">
        <v>511</v>
      </c>
      <c r="P146" s="271" t="s">
        <v>152</v>
      </c>
      <c r="Q146" s="272" t="s">
        <v>531</v>
      </c>
      <c r="R146" s="331" t="s">
        <v>625</v>
      </c>
      <c r="S146" s="272" t="s">
        <v>607</v>
      </c>
      <c r="T146" s="274" t="str">
        <f t="shared" si="40"/>
        <v>FIFA FTI</v>
      </c>
      <c r="U146" s="275" t="s">
        <v>626</v>
      </c>
      <c r="V146" s="358" t="s">
        <v>520</v>
      </c>
    </row>
    <row r="147" spans="1:22" s="276" customFormat="1" ht="62.25" customHeight="1">
      <c r="A147" s="277" t="s">
        <v>568</v>
      </c>
      <c r="B147" s="329" t="str">
        <f t="shared" si="47"/>
        <v>Wired Port - FTI</v>
      </c>
      <c r="C147" s="329" t="str">
        <f t="shared" si="47"/>
        <v>Network &amp; Connectivity</v>
      </c>
      <c r="D147" s="329" t="str">
        <f t="shared" si="41"/>
        <v/>
      </c>
      <c r="E147" s="329" t="str">
        <f t="shared" si="42"/>
        <v>FIFA Technical FTI</v>
      </c>
      <c r="F147" s="329" t="str">
        <f t="shared" si="43"/>
        <v>Wired Port - FTI</v>
      </c>
      <c r="G147" s="329" t="str">
        <f t="shared" si="44"/>
        <v>WRDFTI - Wired Port - FTI (FIFA Technical FTI)</v>
      </c>
      <c r="H147" s="269">
        <v>2</v>
      </c>
      <c r="I147" s="330">
        <f t="shared" si="46"/>
        <v>2</v>
      </c>
      <c r="J147" s="330">
        <f t="shared" si="46"/>
        <v>0</v>
      </c>
      <c r="K147" s="441">
        <v>2</v>
      </c>
      <c r="L147" s="330">
        <f t="shared" si="45"/>
        <v>2</v>
      </c>
      <c r="M147" s="330">
        <f t="shared" si="48"/>
        <v>0</v>
      </c>
      <c r="N147" s="330"/>
      <c r="O147" s="272" t="s">
        <v>511</v>
      </c>
      <c r="P147" s="271" t="s">
        <v>152</v>
      </c>
      <c r="Q147" s="272" t="s">
        <v>531</v>
      </c>
      <c r="R147" s="331" t="s">
        <v>627</v>
      </c>
      <c r="S147" s="272" t="s">
        <v>607</v>
      </c>
      <c r="T147" s="274" t="str">
        <f t="shared" si="40"/>
        <v>FIFA FTI</v>
      </c>
      <c r="U147" s="340" t="s">
        <v>628</v>
      </c>
      <c r="V147" s="358" t="s">
        <v>520</v>
      </c>
    </row>
    <row r="148" spans="1:22" s="276" customFormat="1" ht="17.25" customHeight="1">
      <c r="A148" s="277" t="s">
        <v>568</v>
      </c>
      <c r="B148" s="329" t="str">
        <f t="shared" si="47"/>
        <v>Wired Port - FTI</v>
      </c>
      <c r="C148" s="329" t="str">
        <f t="shared" si="47"/>
        <v>Network &amp; Connectivity</v>
      </c>
      <c r="D148" s="329" t="str">
        <f t="shared" si="41"/>
        <v/>
      </c>
      <c r="E148" s="329" t="str">
        <f t="shared" si="42"/>
        <v>FIFA Technical FTI</v>
      </c>
      <c r="F148" s="329" t="str">
        <f t="shared" si="43"/>
        <v>Wired Port - FTI</v>
      </c>
      <c r="G148" s="329" t="str">
        <f t="shared" si="44"/>
        <v>WRDFTI - Wired Port - FTI (FIFA Technical FTI)</v>
      </c>
      <c r="H148" s="269">
        <v>1</v>
      </c>
      <c r="I148" s="330">
        <f t="shared" si="46"/>
        <v>1</v>
      </c>
      <c r="J148" s="330">
        <f t="shared" si="46"/>
        <v>0</v>
      </c>
      <c r="K148" s="441">
        <v>1</v>
      </c>
      <c r="L148" s="330">
        <f t="shared" si="45"/>
        <v>1</v>
      </c>
      <c r="M148" s="330">
        <f t="shared" si="48"/>
        <v>0</v>
      </c>
      <c r="N148" s="330"/>
      <c r="O148" s="272" t="s">
        <v>511</v>
      </c>
      <c r="P148" s="271" t="s">
        <v>152</v>
      </c>
      <c r="Q148" s="272" t="s">
        <v>531</v>
      </c>
      <c r="R148" s="331" t="s">
        <v>627</v>
      </c>
      <c r="S148" s="272" t="s">
        <v>607</v>
      </c>
      <c r="T148" s="274" t="str">
        <f t="shared" si="40"/>
        <v>FIFA FTI</v>
      </c>
      <c r="U148" s="275" t="s">
        <v>629</v>
      </c>
      <c r="V148" s="358" t="s">
        <v>520</v>
      </c>
    </row>
    <row r="149" spans="1:22" s="276" customFormat="1" ht="15.75" customHeight="1">
      <c r="A149" s="277" t="s">
        <v>568</v>
      </c>
      <c r="B149" s="329" t="str">
        <f t="shared" si="47"/>
        <v>Wired Port - FTI</v>
      </c>
      <c r="C149" s="329" t="str">
        <f t="shared" si="47"/>
        <v>Network &amp; Connectivity</v>
      </c>
      <c r="D149" s="329" t="str">
        <f t="shared" si="41"/>
        <v/>
      </c>
      <c r="E149" s="329" t="str">
        <f t="shared" si="42"/>
        <v>FIFA Technical FTI</v>
      </c>
      <c r="F149" s="329" t="str">
        <f t="shared" si="43"/>
        <v>Wired Port - FTI</v>
      </c>
      <c r="G149" s="329" t="str">
        <f t="shared" si="44"/>
        <v>WRDFTI - Wired Port - FTI (FIFA Technical FTI)</v>
      </c>
      <c r="H149" s="269">
        <v>1</v>
      </c>
      <c r="I149" s="330">
        <f t="shared" si="46"/>
        <v>1</v>
      </c>
      <c r="J149" s="330">
        <f t="shared" si="46"/>
        <v>0</v>
      </c>
      <c r="K149" s="441">
        <v>1</v>
      </c>
      <c r="L149" s="330">
        <f t="shared" si="45"/>
        <v>1</v>
      </c>
      <c r="M149" s="330">
        <f t="shared" si="48"/>
        <v>0</v>
      </c>
      <c r="N149" s="330"/>
      <c r="O149" s="272" t="s">
        <v>511</v>
      </c>
      <c r="P149" s="271" t="s">
        <v>152</v>
      </c>
      <c r="Q149" s="272" t="s">
        <v>531</v>
      </c>
      <c r="R149" s="331" t="s">
        <v>625</v>
      </c>
      <c r="S149" s="272" t="s">
        <v>607</v>
      </c>
      <c r="T149" s="274" t="str">
        <f t="shared" si="40"/>
        <v>FIFA FTI</v>
      </c>
      <c r="U149" s="275" t="s">
        <v>630</v>
      </c>
      <c r="V149" s="358" t="s">
        <v>520</v>
      </c>
    </row>
    <row r="150" spans="1:22" s="276" customFormat="1" ht="15.75" customHeight="1">
      <c r="A150" s="277" t="s">
        <v>568</v>
      </c>
      <c r="B150" s="329" t="str">
        <f t="shared" si="47"/>
        <v>Wired Port - FTI</v>
      </c>
      <c r="C150" s="329" t="str">
        <f t="shared" si="47"/>
        <v>Network &amp; Connectivity</v>
      </c>
      <c r="D150" s="329" t="str">
        <f t="shared" si="41"/>
        <v/>
      </c>
      <c r="E150" s="329" t="str">
        <f t="shared" si="42"/>
        <v>FIFA Technical FTI</v>
      </c>
      <c r="F150" s="329" t="str">
        <f t="shared" si="43"/>
        <v>Wired Port - FTI</v>
      </c>
      <c r="G150" s="329" t="str">
        <f t="shared" si="44"/>
        <v>WRDFTI - Wired Port - FTI (FIFA Technical FTI)</v>
      </c>
      <c r="H150" s="269">
        <v>1</v>
      </c>
      <c r="I150" s="330">
        <f t="shared" si="46"/>
        <v>1</v>
      </c>
      <c r="J150" s="330">
        <f t="shared" si="46"/>
        <v>0</v>
      </c>
      <c r="K150" s="441">
        <v>1</v>
      </c>
      <c r="L150" s="330">
        <f t="shared" si="45"/>
        <v>1</v>
      </c>
      <c r="M150" s="330">
        <f t="shared" si="48"/>
        <v>0</v>
      </c>
      <c r="N150" s="330"/>
      <c r="O150" s="272" t="s">
        <v>511</v>
      </c>
      <c r="P150" s="271" t="s">
        <v>152</v>
      </c>
      <c r="Q150" s="272" t="s">
        <v>531</v>
      </c>
      <c r="R150" s="331" t="s">
        <v>625</v>
      </c>
      <c r="S150" s="272" t="s">
        <v>607</v>
      </c>
      <c r="T150" s="274" t="str">
        <f t="shared" si="40"/>
        <v>FIFA FTI</v>
      </c>
      <c r="U150" s="275" t="s">
        <v>631</v>
      </c>
      <c r="V150" s="358" t="s">
        <v>520</v>
      </c>
    </row>
    <row r="151" spans="1:22" s="276" customFormat="1" ht="15.75" customHeight="1">
      <c r="A151" s="267" t="s">
        <v>623</v>
      </c>
      <c r="B151" s="329" t="str">
        <f t="shared" si="47"/>
        <v>Wired Port - TSG</v>
      </c>
      <c r="C151" s="329" t="str">
        <f t="shared" si="47"/>
        <v>Network &amp; Connectivity</v>
      </c>
      <c r="D151" s="329" t="str">
        <f t="shared" si="41"/>
        <v/>
      </c>
      <c r="E151" s="329" t="str">
        <f t="shared" si="42"/>
        <v>FIFA Technical TSG</v>
      </c>
      <c r="F151" s="329" t="str">
        <f t="shared" si="43"/>
        <v>Wired Port - TSG</v>
      </c>
      <c r="G151" s="329" t="str">
        <f t="shared" si="44"/>
        <v>WRDTSG - Wired Port - TSG (FIFA Technical TSG)</v>
      </c>
      <c r="H151" s="269">
        <v>8</v>
      </c>
      <c r="I151" s="330">
        <f t="shared" si="46"/>
        <v>8</v>
      </c>
      <c r="J151" s="330">
        <f t="shared" si="46"/>
        <v>0</v>
      </c>
      <c r="K151" s="441">
        <v>8</v>
      </c>
      <c r="L151" s="330">
        <f t="shared" si="45"/>
        <v>8</v>
      </c>
      <c r="M151" s="330">
        <f t="shared" si="48"/>
        <v>0</v>
      </c>
      <c r="N151" s="330"/>
      <c r="O151" s="272" t="s">
        <v>511</v>
      </c>
      <c r="P151" s="271" t="s">
        <v>152</v>
      </c>
      <c r="Q151" s="331" t="s">
        <v>563</v>
      </c>
      <c r="R151" s="272" t="s">
        <v>606</v>
      </c>
      <c r="S151" s="272" t="s">
        <v>607</v>
      </c>
      <c r="T151" s="274" t="str">
        <f t="shared" si="40"/>
        <v>FIFA FTI</v>
      </c>
      <c r="U151" s="275" t="s">
        <v>632</v>
      </c>
      <c r="V151" s="358" t="s">
        <v>520</v>
      </c>
    </row>
    <row r="152" spans="1:22" s="276" customFormat="1" ht="15.75" hidden="1" customHeight="1">
      <c r="A152" s="267" t="s">
        <v>633</v>
      </c>
      <c r="B152" s="332" t="str">
        <f t="shared" si="47"/>
        <v>Wireless coverage - Shared Internet Service - Wi-Fi VIP</v>
      </c>
      <c r="C152" s="329" t="str">
        <f t="shared" si="47"/>
        <v>Network &amp; Connectivity</v>
      </c>
      <c r="D152" s="329" t="str">
        <f t="shared" si="41"/>
        <v/>
      </c>
      <c r="E152" s="329" t="str">
        <f t="shared" si="42"/>
        <v>General Internet Access</v>
      </c>
      <c r="F152" s="329" t="str">
        <f t="shared" si="43"/>
        <v>Wireless coverage - Shared Internet Service - VIP</v>
      </c>
      <c r="G152" s="329" t="str">
        <f t="shared" si="44"/>
        <v>IS00VP - Wireless coverage - Shared Internet Service - Wi-Fi VIP (General Internet Access)</v>
      </c>
      <c r="H152" s="269">
        <v>1</v>
      </c>
      <c r="I152" s="330">
        <f t="shared" si="46"/>
        <v>0</v>
      </c>
      <c r="J152" s="330">
        <f t="shared" si="46"/>
        <v>0</v>
      </c>
      <c r="K152" s="269">
        <v>1</v>
      </c>
      <c r="L152" s="330">
        <f t="shared" si="45"/>
        <v>0</v>
      </c>
      <c r="M152" s="330">
        <f t="shared" si="48"/>
        <v>0</v>
      </c>
      <c r="N152" s="330"/>
      <c r="O152" s="272" t="s">
        <v>511</v>
      </c>
      <c r="P152" s="271" t="s">
        <v>149</v>
      </c>
      <c r="Q152" s="331" t="s">
        <v>281</v>
      </c>
      <c r="R152" s="331" t="s">
        <v>634</v>
      </c>
      <c r="S152" s="334" t="s">
        <v>635</v>
      </c>
      <c r="T152" s="274" t="str">
        <f t="shared" si="40"/>
        <v>FIFA Guest Operations</v>
      </c>
      <c r="U152" s="275"/>
      <c r="V152" s="358" t="s">
        <v>520</v>
      </c>
    </row>
    <row r="153" spans="1:22" s="276" customFormat="1" ht="15.75" hidden="1" customHeight="1">
      <c r="A153" s="267" t="s">
        <v>519</v>
      </c>
      <c r="B153" s="332" t="str">
        <f t="shared" si="47"/>
        <v>Wireless coverage - Shared Internet Service - Wi-Fi FIFA</v>
      </c>
      <c r="C153" s="329" t="str">
        <f t="shared" si="47"/>
        <v>Network &amp; Connectivity</v>
      </c>
      <c r="D153" s="329" t="str">
        <f t="shared" si="41"/>
        <v/>
      </c>
      <c r="E153" s="329" t="str">
        <f t="shared" si="42"/>
        <v>General Internet Access</v>
      </c>
      <c r="F153" s="329" t="str">
        <f t="shared" si="43"/>
        <v>Wireless coverage - Shared Internet Service - FIFA</v>
      </c>
      <c r="G153" s="329" t="str">
        <f t="shared" si="44"/>
        <v>IS00WF - Wireless coverage - Shared Internet Service - Wi-Fi FIFA (General Internet Access)</v>
      </c>
      <c r="H153" s="269">
        <v>1</v>
      </c>
      <c r="I153" s="330">
        <f t="shared" si="46"/>
        <v>0</v>
      </c>
      <c r="J153" s="330">
        <f t="shared" si="46"/>
        <v>0</v>
      </c>
      <c r="K153" s="269">
        <v>1</v>
      </c>
      <c r="L153" s="330">
        <f t="shared" si="45"/>
        <v>0</v>
      </c>
      <c r="M153" s="330">
        <f t="shared" si="48"/>
        <v>0</v>
      </c>
      <c r="N153" s="330"/>
      <c r="O153" s="272" t="s">
        <v>511</v>
      </c>
      <c r="P153" s="271" t="s">
        <v>149</v>
      </c>
      <c r="Q153" s="331" t="s">
        <v>281</v>
      </c>
      <c r="R153" s="331" t="s">
        <v>636</v>
      </c>
      <c r="S153" s="334" t="s">
        <v>635</v>
      </c>
      <c r="T153" s="274" t="str">
        <f t="shared" si="40"/>
        <v>FIFA Guest Operations</v>
      </c>
      <c r="U153" s="275"/>
      <c r="V153" s="358" t="s">
        <v>520</v>
      </c>
    </row>
    <row r="154" spans="1:22" s="276" customFormat="1" ht="15.75" hidden="1" customHeight="1">
      <c r="A154" s="277" t="s">
        <v>202</v>
      </c>
      <c r="B154" s="332" t="str">
        <f t="shared" si="47"/>
        <v>MFD Desktop - Colour - A4 - Network</v>
      </c>
      <c r="C154" s="329" t="str">
        <f t="shared" si="47"/>
        <v>Reprographics</v>
      </c>
      <c r="D154" s="329" t="str">
        <f t="shared" si="41"/>
        <v/>
      </c>
      <c r="E154" s="329" t="str">
        <f t="shared" si="42"/>
        <v>General Internet Access</v>
      </c>
      <c r="F154" s="329" t="str">
        <f t="shared" si="43"/>
        <v>Colour Printer / Scanner (A4)</v>
      </c>
      <c r="G154" s="329" t="str">
        <f t="shared" si="44"/>
        <v>MFDDNW - MFD Desktop - Colour - A4 - Network (General Internet Access)</v>
      </c>
      <c r="H154" s="269">
        <v>1</v>
      </c>
      <c r="I154" s="330">
        <f t="shared" si="46"/>
        <v>1</v>
      </c>
      <c r="J154" s="330">
        <f t="shared" si="46"/>
        <v>0</v>
      </c>
      <c r="K154" s="269">
        <v>1</v>
      </c>
      <c r="L154" s="330">
        <f t="shared" si="45"/>
        <v>1</v>
      </c>
      <c r="M154" s="330">
        <f t="shared" si="48"/>
        <v>0</v>
      </c>
      <c r="N154" s="330">
        <v>0</v>
      </c>
      <c r="O154" s="272" t="s">
        <v>511</v>
      </c>
      <c r="P154" s="271" t="s">
        <v>149</v>
      </c>
      <c r="Q154" s="331" t="s">
        <v>281</v>
      </c>
      <c r="R154" s="331" t="s">
        <v>636</v>
      </c>
      <c r="S154" s="334" t="s">
        <v>635</v>
      </c>
      <c r="T154" s="274" t="str">
        <f t="shared" si="40"/>
        <v>FIFA Guest Operations</v>
      </c>
      <c r="U154" s="275"/>
      <c r="V154" s="358" t="s">
        <v>514</v>
      </c>
    </row>
    <row r="155" spans="1:22" s="276" customFormat="1" ht="15.75" hidden="1" customHeight="1">
      <c r="A155" s="267" t="s">
        <v>237</v>
      </c>
      <c r="B155" s="332" t="str">
        <f t="shared" si="47"/>
        <v>TV - Large - IPTV</v>
      </c>
      <c r="C155" s="329" t="str">
        <f t="shared" si="47"/>
        <v>CATV</v>
      </c>
      <c r="D155" s="329" t="str">
        <f t="shared" si="41"/>
        <v/>
      </c>
      <c r="E155" s="329" t="str">
        <f t="shared" si="42"/>
        <v/>
      </c>
      <c r="F155" s="329" t="str">
        <f t="shared" si="43"/>
        <v>Large TV - CATV Feed</v>
      </c>
      <c r="G155" s="329" t="str">
        <f t="shared" si="44"/>
        <v>TVLGIP - TV - Large - IPTV</v>
      </c>
      <c r="H155" s="269">
        <v>4</v>
      </c>
      <c r="I155" s="330">
        <f t="shared" si="46"/>
        <v>4</v>
      </c>
      <c r="J155" s="330">
        <f t="shared" si="46"/>
        <v>0</v>
      </c>
      <c r="K155" s="438">
        <v>4</v>
      </c>
      <c r="L155" s="330">
        <f t="shared" si="45"/>
        <v>4</v>
      </c>
      <c r="M155" s="330">
        <f t="shared" si="48"/>
        <v>0</v>
      </c>
      <c r="N155" s="330">
        <v>4</v>
      </c>
      <c r="O155" s="272" t="s">
        <v>511</v>
      </c>
      <c r="P155" s="271" t="s">
        <v>149</v>
      </c>
      <c r="Q155" s="331" t="s">
        <v>281</v>
      </c>
      <c r="R155" s="331" t="s">
        <v>634</v>
      </c>
      <c r="S155" s="334" t="s">
        <v>635</v>
      </c>
      <c r="T155" s="274" t="str">
        <f t="shared" si="40"/>
        <v>FIFA Guest Operations</v>
      </c>
      <c r="U155" s="275"/>
      <c r="V155" s="358" t="s">
        <v>247</v>
      </c>
    </row>
    <row r="156" spans="1:22" s="276" customFormat="1" ht="15.75" hidden="1" customHeight="1">
      <c r="A156" s="267" t="s">
        <v>537</v>
      </c>
      <c r="B156" s="332" t="str">
        <f t="shared" si="47"/>
        <v>TV Stand - Medium &amp; Large TVs</v>
      </c>
      <c r="C156" s="329" t="str">
        <f t="shared" si="47"/>
        <v>Peripherals</v>
      </c>
      <c r="D156" s="329" t="str">
        <f t="shared" si="41"/>
        <v/>
      </c>
      <c r="E156" s="329" t="str">
        <f t="shared" si="42"/>
        <v/>
      </c>
      <c r="F156" s="329" t="str">
        <f t="shared" si="43"/>
        <v>TV Stand for medium and large TVs</v>
      </c>
      <c r="G156" s="329" t="str">
        <f t="shared" si="44"/>
        <v>TVSTND - TV Stand - Medium &amp; Large TVs</v>
      </c>
      <c r="H156" s="269">
        <v>4</v>
      </c>
      <c r="I156" s="330">
        <f t="shared" si="46"/>
        <v>0</v>
      </c>
      <c r="J156" s="330">
        <f t="shared" si="46"/>
        <v>0</v>
      </c>
      <c r="K156" s="269">
        <v>4</v>
      </c>
      <c r="L156" s="330">
        <f t="shared" si="45"/>
        <v>0</v>
      </c>
      <c r="M156" s="330">
        <f t="shared" si="48"/>
        <v>0</v>
      </c>
      <c r="N156" s="330">
        <v>0</v>
      </c>
      <c r="O156" s="272" t="s">
        <v>511</v>
      </c>
      <c r="P156" s="271" t="s">
        <v>149</v>
      </c>
      <c r="Q156" s="331" t="s">
        <v>281</v>
      </c>
      <c r="R156" s="331" t="s">
        <v>634</v>
      </c>
      <c r="S156" s="334" t="s">
        <v>635</v>
      </c>
      <c r="T156" s="274" t="str">
        <f t="shared" si="40"/>
        <v>FIFA Guest Operations</v>
      </c>
      <c r="U156" s="275"/>
      <c r="V156" s="358" t="s">
        <v>247</v>
      </c>
    </row>
    <row r="157" spans="1:22" s="276" customFormat="1" ht="15.75" hidden="1" customHeight="1">
      <c r="A157" s="267" t="s">
        <v>329</v>
      </c>
      <c r="B157" s="332" t="str">
        <f t="shared" si="47"/>
        <v>24" Monitor - HDMI/DP</v>
      </c>
      <c r="C157" s="329" t="str">
        <f t="shared" si="47"/>
        <v>Peripherals</v>
      </c>
      <c r="D157" s="329"/>
      <c r="E157" s="329"/>
      <c r="F157" s="329"/>
      <c r="G157" s="329"/>
      <c r="H157" s="269"/>
      <c r="I157" s="330"/>
      <c r="J157" s="330"/>
      <c r="K157" s="269">
        <v>1</v>
      </c>
      <c r="L157" s="330">
        <f t="shared" si="45"/>
        <v>0</v>
      </c>
      <c r="M157" s="330">
        <f t="shared" si="48"/>
        <v>0</v>
      </c>
      <c r="N157" s="330">
        <v>0</v>
      </c>
      <c r="O157" s="272" t="s">
        <v>511</v>
      </c>
      <c r="P157" s="271" t="s">
        <v>149</v>
      </c>
      <c r="Q157" s="331" t="s">
        <v>281</v>
      </c>
      <c r="R157" s="331" t="s">
        <v>1934</v>
      </c>
      <c r="S157" s="334" t="s">
        <v>635</v>
      </c>
      <c r="T157" s="274" t="str">
        <f t="shared" si="40"/>
        <v>FIFA Guest Operations</v>
      </c>
      <c r="U157" s="275" t="s">
        <v>1935</v>
      </c>
      <c r="V157" s="358" t="s">
        <v>514</v>
      </c>
    </row>
    <row r="158" spans="1:22" s="276" customFormat="1" ht="28.8" hidden="1">
      <c r="A158" s="267" t="s">
        <v>633</v>
      </c>
      <c r="B158" s="332" t="str">
        <f t="shared" si="47"/>
        <v>Wireless coverage - Shared Internet Service - Wi-Fi VIP</v>
      </c>
      <c r="C158" s="329" t="str">
        <f t="shared" si="47"/>
        <v>Network &amp; Connectivity</v>
      </c>
      <c r="D158" s="329" t="str">
        <f t="shared" ref="D158:D189" si="49">IF(OR($A158="",$O158&lt;&gt;"FIFA Event Technology"),"",IF(VLOOKUP($A158,ps_table,MATCH(D$2,ps_headers,0),FALSE)&lt;&gt;"",VLOOKUP($A158,ps_table,MATCH(D$2,ps_headers,0),FALSE),""))</f>
        <v/>
      </c>
      <c r="E158" s="329" t="str">
        <f t="shared" ref="E158:E189" si="50">IF($A158="","",IF(VLOOKUP($A158,ps_table,MATCH(E$2,ps_headers,0),FALSE)&lt;&gt;"",VLOOKUP($A158,ps_table,MATCH(E$2,ps_headers,0),FALSE),""))</f>
        <v>General Internet Access</v>
      </c>
      <c r="F158" s="329" t="str">
        <f t="shared" ref="F158:F189" si="51">IF($A158="","",VLOOKUP($A158,ps_table,MATCH(F$2,ps_headers,0),FALSE))</f>
        <v>Wireless coverage - Shared Internet Service - VIP</v>
      </c>
      <c r="G158" s="329" t="str">
        <f t="shared" ref="G158:G189" si="52">IF($A158="","",IF(E158&lt;&gt;"",A158&amp;" - "&amp;B158&amp;" ("&amp;E158&amp;")",A158&amp;" - "&amp;B158))</f>
        <v>IS00VP - Wireless coverage - Shared Internet Service - Wi-Fi VIP (General Internet Access)</v>
      </c>
      <c r="H158" s="269">
        <v>1</v>
      </c>
      <c r="I158" s="330">
        <f t="shared" ref="I158:J177" si="53">IF($A158="","",$K158*VLOOKUP($A158,ps_table,MATCH(I$2,ps_headers,0),FALSE))</f>
        <v>0</v>
      </c>
      <c r="J158" s="330">
        <f t="shared" si="53"/>
        <v>0</v>
      </c>
      <c r="K158" s="442">
        <v>1</v>
      </c>
      <c r="L158" s="330">
        <f t="shared" si="45"/>
        <v>0</v>
      </c>
      <c r="M158" s="330">
        <f t="shared" si="48"/>
        <v>0</v>
      </c>
      <c r="N158" s="330"/>
      <c r="O158" s="272" t="s">
        <v>511</v>
      </c>
      <c r="P158" s="271" t="s">
        <v>152</v>
      </c>
      <c r="Q158" s="272" t="s">
        <v>637</v>
      </c>
      <c r="R158" s="331" t="s">
        <v>634</v>
      </c>
      <c r="S158" s="334" t="s">
        <v>635</v>
      </c>
      <c r="T158" s="274" t="str">
        <f t="shared" si="40"/>
        <v>FIFA Guest Operations</v>
      </c>
      <c r="U158" s="275"/>
      <c r="V158" s="358" t="s">
        <v>520</v>
      </c>
    </row>
    <row r="159" spans="1:22" s="276" customFormat="1" ht="15.75" hidden="1" customHeight="1">
      <c r="A159" s="267" t="s">
        <v>519</v>
      </c>
      <c r="B159" s="332" t="str">
        <f t="shared" si="47"/>
        <v>Wireless coverage - Shared Internet Service - Wi-Fi FIFA</v>
      </c>
      <c r="C159" s="329" t="str">
        <f t="shared" si="47"/>
        <v>Network &amp; Connectivity</v>
      </c>
      <c r="D159" s="329" t="str">
        <f t="shared" si="49"/>
        <v/>
      </c>
      <c r="E159" s="329" t="str">
        <f t="shared" si="50"/>
        <v>General Internet Access</v>
      </c>
      <c r="F159" s="329" t="str">
        <f t="shared" si="51"/>
        <v>Wireless coverage - Shared Internet Service - FIFA</v>
      </c>
      <c r="G159" s="329" t="str">
        <f t="shared" si="52"/>
        <v>IS00WF - Wireless coverage - Shared Internet Service - Wi-Fi FIFA (General Internet Access)</v>
      </c>
      <c r="H159" s="269">
        <v>1</v>
      </c>
      <c r="I159" s="330">
        <f t="shared" si="53"/>
        <v>0</v>
      </c>
      <c r="J159" s="330">
        <f t="shared" si="53"/>
        <v>0</v>
      </c>
      <c r="K159" s="442">
        <v>1</v>
      </c>
      <c r="L159" s="330">
        <f t="shared" si="45"/>
        <v>0</v>
      </c>
      <c r="M159" s="330">
        <f t="shared" si="48"/>
        <v>0</v>
      </c>
      <c r="N159" s="330"/>
      <c r="O159" s="272" t="s">
        <v>511</v>
      </c>
      <c r="P159" s="271" t="s">
        <v>152</v>
      </c>
      <c r="Q159" s="272" t="s">
        <v>637</v>
      </c>
      <c r="R159" s="331" t="s">
        <v>636</v>
      </c>
      <c r="S159" s="334" t="s">
        <v>635</v>
      </c>
      <c r="T159" s="274" t="str">
        <f t="shared" si="40"/>
        <v>FIFA Guest Operations</v>
      </c>
      <c r="U159" s="275"/>
      <c r="V159" s="358" t="s">
        <v>520</v>
      </c>
    </row>
    <row r="160" spans="1:22" s="276" customFormat="1" ht="15.75" hidden="1" customHeight="1">
      <c r="A160" s="277" t="s">
        <v>202</v>
      </c>
      <c r="B160" s="332" t="str">
        <f t="shared" si="47"/>
        <v>MFD Desktop - Colour - A4 - Network</v>
      </c>
      <c r="C160" s="329" t="str">
        <f t="shared" si="47"/>
        <v>Reprographics</v>
      </c>
      <c r="D160" s="329" t="str">
        <f t="shared" si="49"/>
        <v/>
      </c>
      <c r="E160" s="329" t="str">
        <f t="shared" si="50"/>
        <v>General Internet Access</v>
      </c>
      <c r="F160" s="329" t="str">
        <f t="shared" si="51"/>
        <v>Colour Printer / Scanner (A4)</v>
      </c>
      <c r="G160" s="329" t="str">
        <f t="shared" si="52"/>
        <v>MFDDNW - MFD Desktop - Colour - A4 - Network (General Internet Access)</v>
      </c>
      <c r="H160" s="269">
        <v>1</v>
      </c>
      <c r="I160" s="330">
        <f t="shared" si="53"/>
        <v>1</v>
      </c>
      <c r="J160" s="330">
        <f t="shared" si="53"/>
        <v>0</v>
      </c>
      <c r="K160" s="442">
        <v>1</v>
      </c>
      <c r="L160" s="330">
        <f t="shared" si="45"/>
        <v>1</v>
      </c>
      <c r="M160" s="330">
        <f t="shared" si="48"/>
        <v>0</v>
      </c>
      <c r="N160" s="330"/>
      <c r="O160" s="272" t="s">
        <v>511</v>
      </c>
      <c r="P160" s="271" t="s">
        <v>152</v>
      </c>
      <c r="Q160" s="272" t="s">
        <v>637</v>
      </c>
      <c r="R160" s="331" t="s">
        <v>636</v>
      </c>
      <c r="S160" s="334" t="s">
        <v>635</v>
      </c>
      <c r="T160" s="274" t="str">
        <f t="shared" si="40"/>
        <v>FIFA Guest Operations</v>
      </c>
      <c r="U160" s="275"/>
      <c r="V160" s="358" t="s">
        <v>514</v>
      </c>
    </row>
    <row r="161" spans="1:22" s="276" customFormat="1" ht="15.75" hidden="1" customHeight="1">
      <c r="A161" s="267" t="s">
        <v>237</v>
      </c>
      <c r="B161" s="332" t="str">
        <f t="shared" si="47"/>
        <v>TV - Large - IPTV</v>
      </c>
      <c r="C161" s="329" t="str">
        <f t="shared" si="47"/>
        <v>CATV</v>
      </c>
      <c r="D161" s="329" t="str">
        <f t="shared" si="49"/>
        <v/>
      </c>
      <c r="E161" s="329" t="str">
        <f t="shared" si="50"/>
        <v/>
      </c>
      <c r="F161" s="329" t="str">
        <f t="shared" si="51"/>
        <v>Large TV - CATV Feed</v>
      </c>
      <c r="G161" s="329" t="str">
        <f t="shared" si="52"/>
        <v>TVLGIP - TV - Large - IPTV</v>
      </c>
      <c r="H161" s="269">
        <v>2</v>
      </c>
      <c r="I161" s="330">
        <f t="shared" si="53"/>
        <v>2</v>
      </c>
      <c r="J161" s="330">
        <f t="shared" si="53"/>
        <v>0</v>
      </c>
      <c r="K161" s="442">
        <v>2</v>
      </c>
      <c r="L161" s="330">
        <f t="shared" si="45"/>
        <v>2</v>
      </c>
      <c r="M161" s="330">
        <f t="shared" si="48"/>
        <v>0</v>
      </c>
      <c r="N161" s="330"/>
      <c r="O161" s="272" t="s">
        <v>511</v>
      </c>
      <c r="P161" s="271" t="s">
        <v>152</v>
      </c>
      <c r="Q161" s="272" t="s">
        <v>637</v>
      </c>
      <c r="R161" s="331" t="s">
        <v>634</v>
      </c>
      <c r="S161" s="334" t="s">
        <v>635</v>
      </c>
      <c r="T161" s="274" t="str">
        <f t="shared" si="40"/>
        <v>FIFA Guest Operations</v>
      </c>
      <c r="U161" s="275"/>
      <c r="V161" s="358" t="s">
        <v>247</v>
      </c>
    </row>
    <row r="162" spans="1:22" s="276" customFormat="1" ht="15.75" hidden="1" customHeight="1">
      <c r="A162" s="267" t="s">
        <v>537</v>
      </c>
      <c r="B162" s="332" t="str">
        <f t="shared" si="47"/>
        <v>TV Stand - Medium &amp; Large TVs</v>
      </c>
      <c r="C162" s="329" t="str">
        <f t="shared" si="47"/>
        <v>Peripherals</v>
      </c>
      <c r="D162" s="329" t="str">
        <f t="shared" si="49"/>
        <v/>
      </c>
      <c r="E162" s="329" t="str">
        <f t="shared" si="50"/>
        <v/>
      </c>
      <c r="F162" s="329" t="str">
        <f t="shared" si="51"/>
        <v>TV Stand for medium and large TVs</v>
      </c>
      <c r="G162" s="329" t="str">
        <f t="shared" si="52"/>
        <v>TVSTND - TV Stand - Medium &amp; Large TVs</v>
      </c>
      <c r="H162" s="269">
        <v>2</v>
      </c>
      <c r="I162" s="330">
        <f t="shared" si="53"/>
        <v>0</v>
      </c>
      <c r="J162" s="330">
        <f t="shared" si="53"/>
        <v>0</v>
      </c>
      <c r="K162" s="442">
        <v>2</v>
      </c>
      <c r="L162" s="330">
        <f t="shared" si="45"/>
        <v>0</v>
      </c>
      <c r="M162" s="330">
        <f t="shared" si="48"/>
        <v>0</v>
      </c>
      <c r="N162" s="330"/>
      <c r="O162" s="272" t="s">
        <v>511</v>
      </c>
      <c r="P162" s="271" t="s">
        <v>152</v>
      </c>
      <c r="Q162" s="272" t="s">
        <v>637</v>
      </c>
      <c r="R162" s="331" t="s">
        <v>634</v>
      </c>
      <c r="S162" s="334" t="s">
        <v>635</v>
      </c>
      <c r="T162" s="274" t="str">
        <f t="shared" si="40"/>
        <v>FIFA Guest Operations</v>
      </c>
      <c r="U162" s="275"/>
      <c r="V162" s="358" t="s">
        <v>247</v>
      </c>
    </row>
    <row r="163" spans="1:22" s="276" customFormat="1" ht="15.75" hidden="1" customHeight="1">
      <c r="A163" s="267" t="s">
        <v>562</v>
      </c>
      <c r="B163" s="329" t="str">
        <f t="shared" ref="B163:C182" si="54">IF($A163="","",VLOOKUP($A163,ps_table,MATCH(B$2,ps_headers,0),FALSE))</f>
        <v>Laptop Cable Lock</v>
      </c>
      <c r="C163" s="329" t="str">
        <f t="shared" si="54"/>
        <v>Peripherals</v>
      </c>
      <c r="D163" s="329" t="str">
        <f t="shared" si="49"/>
        <v>Multi</v>
      </c>
      <c r="E163" s="329" t="str">
        <f t="shared" si="50"/>
        <v/>
      </c>
      <c r="F163" s="329" t="str">
        <f t="shared" si="51"/>
        <v>Laptop Cable Lock</v>
      </c>
      <c r="G163" s="329" t="str">
        <f t="shared" si="52"/>
        <v>CABLOK - Laptop Cable Lock</v>
      </c>
      <c r="H163" s="269">
        <v>1</v>
      </c>
      <c r="I163" s="330">
        <f t="shared" si="53"/>
        <v>0</v>
      </c>
      <c r="J163" s="330">
        <f t="shared" si="53"/>
        <v>0</v>
      </c>
      <c r="K163" s="269">
        <v>1</v>
      </c>
      <c r="L163" s="330">
        <f t="shared" si="45"/>
        <v>0</v>
      </c>
      <c r="M163" s="330">
        <f t="shared" si="48"/>
        <v>0</v>
      </c>
      <c r="N163" s="330"/>
      <c r="O163" s="272" t="s">
        <v>539</v>
      </c>
      <c r="P163" s="271" t="s">
        <v>149</v>
      </c>
      <c r="Q163" s="272" t="s">
        <v>638</v>
      </c>
      <c r="R163" s="331" t="s">
        <v>561</v>
      </c>
      <c r="S163" s="272" t="s">
        <v>639</v>
      </c>
      <c r="T163" s="274" t="str">
        <f t="shared" si="40"/>
        <v>FIFA Media</v>
      </c>
      <c r="U163" s="275"/>
      <c r="V163" s="358" t="s">
        <v>514</v>
      </c>
    </row>
    <row r="164" spans="1:22" s="276" customFormat="1" ht="15.75" hidden="1" customHeight="1">
      <c r="A164" s="267" t="s">
        <v>640</v>
      </c>
      <c r="B164" s="329" t="str">
        <f t="shared" si="54"/>
        <v>Wireless coverage - Internet Service - Wi-Fi Media</v>
      </c>
      <c r="C164" s="329" t="str">
        <f t="shared" si="54"/>
        <v>Network &amp; Connectivity</v>
      </c>
      <c r="D164" s="329" t="str">
        <f t="shared" si="49"/>
        <v/>
      </c>
      <c r="E164" s="329" t="str">
        <f t="shared" si="50"/>
        <v>Media Internet Access</v>
      </c>
      <c r="F164" s="329" t="str">
        <f t="shared" si="51"/>
        <v>Wireless coverage - Internet Service - Media</v>
      </c>
      <c r="G164" s="329" t="str">
        <f t="shared" si="52"/>
        <v>IS00WM - Wireless coverage - Internet Service - Wi-Fi Media (Media Internet Access)</v>
      </c>
      <c r="H164" s="269">
        <v>1</v>
      </c>
      <c r="I164" s="330">
        <f t="shared" si="53"/>
        <v>0</v>
      </c>
      <c r="J164" s="330">
        <f t="shared" si="53"/>
        <v>0</v>
      </c>
      <c r="K164" s="269">
        <v>1</v>
      </c>
      <c r="L164" s="330">
        <f t="shared" ref="L164:L195" si="55">IF($A164="","",$K164*VLOOKUP($A164,ps_table,MATCH(L$2,ps_headers,0),FALSE))</f>
        <v>0</v>
      </c>
      <c r="M164" s="330">
        <v>0</v>
      </c>
      <c r="N164" s="330"/>
      <c r="O164" s="272" t="s">
        <v>511</v>
      </c>
      <c r="P164" s="271" t="s">
        <v>149</v>
      </c>
      <c r="Q164" s="272" t="s">
        <v>638</v>
      </c>
      <c r="R164" s="331" t="s">
        <v>561</v>
      </c>
      <c r="S164" s="272" t="s">
        <v>639</v>
      </c>
      <c r="T164" s="274" t="str">
        <f t="shared" si="40"/>
        <v>FIFA Media</v>
      </c>
      <c r="U164" s="275" t="s">
        <v>641</v>
      </c>
      <c r="V164" s="358" t="s">
        <v>520</v>
      </c>
    </row>
    <row r="165" spans="1:22" s="326" customFormat="1" ht="15.75" hidden="1" customHeight="1">
      <c r="A165" s="267" t="s">
        <v>640</v>
      </c>
      <c r="B165" s="329" t="str">
        <f t="shared" si="54"/>
        <v>Wireless coverage - Internet Service - Wi-Fi Media</v>
      </c>
      <c r="C165" s="329" t="str">
        <f t="shared" si="54"/>
        <v>Network &amp; Connectivity</v>
      </c>
      <c r="D165" s="329" t="str">
        <f t="shared" si="49"/>
        <v/>
      </c>
      <c r="E165" s="329" t="str">
        <f t="shared" si="50"/>
        <v>Media Internet Access</v>
      </c>
      <c r="F165" s="329" t="str">
        <f t="shared" si="51"/>
        <v>Wireless coverage - Internet Service - Media</v>
      </c>
      <c r="G165" s="329" t="str">
        <f t="shared" si="52"/>
        <v>IS00WM - Wireless coverage - Internet Service - Wi-Fi Media (Media Internet Access)</v>
      </c>
      <c r="H165" s="269">
        <v>1</v>
      </c>
      <c r="I165" s="330">
        <f t="shared" si="53"/>
        <v>0</v>
      </c>
      <c r="J165" s="330">
        <f t="shared" si="53"/>
        <v>0</v>
      </c>
      <c r="K165" s="269">
        <v>1</v>
      </c>
      <c r="L165" s="330">
        <f t="shared" si="55"/>
        <v>0</v>
      </c>
      <c r="M165" s="330">
        <f t="shared" ref="M165:M197" si="56">IF($A165="","",$K165*VLOOKUP($A165,ps_table,MATCH(M$2,ps_headers,0),FALSE))</f>
        <v>0</v>
      </c>
      <c r="N165" s="330"/>
      <c r="O165" s="272" t="s">
        <v>511</v>
      </c>
      <c r="P165" s="271" t="s">
        <v>149</v>
      </c>
      <c r="Q165" s="272" t="s">
        <v>563</v>
      </c>
      <c r="R165" s="331" t="s">
        <v>642</v>
      </c>
      <c r="S165" s="273" t="s">
        <v>639</v>
      </c>
      <c r="T165" s="274" t="str">
        <f t="shared" si="40"/>
        <v>FIFA Media</v>
      </c>
      <c r="U165" s="275" t="s">
        <v>643</v>
      </c>
      <c r="V165" s="358" t="s">
        <v>520</v>
      </c>
    </row>
    <row r="166" spans="1:22" s="326" customFormat="1" ht="15.75" hidden="1" customHeight="1">
      <c r="A166" s="267" t="s">
        <v>640</v>
      </c>
      <c r="B166" s="329" t="str">
        <f t="shared" si="54"/>
        <v>Wireless coverage - Internet Service - Wi-Fi Media</v>
      </c>
      <c r="C166" s="329" t="str">
        <f t="shared" si="54"/>
        <v>Network &amp; Connectivity</v>
      </c>
      <c r="D166" s="329" t="str">
        <f t="shared" si="49"/>
        <v/>
      </c>
      <c r="E166" s="329" t="str">
        <f t="shared" si="50"/>
        <v>Media Internet Access</v>
      </c>
      <c r="F166" s="329" t="str">
        <f t="shared" si="51"/>
        <v>Wireless coverage - Internet Service - Media</v>
      </c>
      <c r="G166" s="329" t="str">
        <f t="shared" si="52"/>
        <v>IS00WM - Wireless coverage - Internet Service - Wi-Fi Media (Media Internet Access)</v>
      </c>
      <c r="H166" s="269">
        <v>1</v>
      </c>
      <c r="I166" s="330">
        <f t="shared" si="53"/>
        <v>0</v>
      </c>
      <c r="J166" s="330">
        <f t="shared" si="53"/>
        <v>0</v>
      </c>
      <c r="K166" s="269">
        <v>1</v>
      </c>
      <c r="L166" s="330">
        <f t="shared" si="55"/>
        <v>0</v>
      </c>
      <c r="M166" s="330">
        <f t="shared" si="56"/>
        <v>0</v>
      </c>
      <c r="N166" s="330"/>
      <c r="O166" s="272" t="s">
        <v>511</v>
      </c>
      <c r="P166" s="271" t="s">
        <v>149</v>
      </c>
      <c r="Q166" s="331" t="s">
        <v>521</v>
      </c>
      <c r="R166" s="331" t="s">
        <v>644</v>
      </c>
      <c r="S166" s="273" t="s">
        <v>639</v>
      </c>
      <c r="T166" s="274" t="str">
        <f t="shared" si="40"/>
        <v>FIFA Media</v>
      </c>
      <c r="U166" s="275"/>
      <c r="V166" s="358" t="s">
        <v>520</v>
      </c>
    </row>
    <row r="167" spans="1:22" s="276" customFormat="1" ht="15.75" hidden="1" customHeight="1">
      <c r="A167" s="267" t="s">
        <v>640</v>
      </c>
      <c r="B167" s="329" t="str">
        <f t="shared" si="54"/>
        <v>Wireless coverage - Internet Service - Wi-Fi Media</v>
      </c>
      <c r="C167" s="329" t="str">
        <f t="shared" si="54"/>
        <v>Network &amp; Connectivity</v>
      </c>
      <c r="D167" s="329" t="str">
        <f t="shared" si="49"/>
        <v/>
      </c>
      <c r="E167" s="329" t="str">
        <f t="shared" si="50"/>
        <v>Media Internet Access</v>
      </c>
      <c r="F167" s="329" t="str">
        <f t="shared" si="51"/>
        <v>Wireless coverage - Internet Service - Media</v>
      </c>
      <c r="G167" s="329" t="str">
        <f t="shared" si="52"/>
        <v>IS00WM - Wireless coverage - Internet Service - Wi-Fi Media (Media Internet Access)</v>
      </c>
      <c r="H167" s="269">
        <v>1</v>
      </c>
      <c r="I167" s="330">
        <f t="shared" si="53"/>
        <v>0</v>
      </c>
      <c r="J167" s="330">
        <f t="shared" si="53"/>
        <v>0</v>
      </c>
      <c r="K167" s="269">
        <v>1</v>
      </c>
      <c r="L167" s="330">
        <f t="shared" si="55"/>
        <v>0</v>
      </c>
      <c r="M167" s="330">
        <f t="shared" si="56"/>
        <v>0</v>
      </c>
      <c r="N167" s="330"/>
      <c r="O167" s="272" t="s">
        <v>511</v>
      </c>
      <c r="P167" s="271" t="s">
        <v>149</v>
      </c>
      <c r="Q167" s="331" t="s">
        <v>521</v>
      </c>
      <c r="R167" s="331" t="s">
        <v>645</v>
      </c>
      <c r="S167" s="273" t="s">
        <v>639</v>
      </c>
      <c r="T167" s="274" t="str">
        <f t="shared" si="40"/>
        <v>FIFA Media</v>
      </c>
      <c r="U167" s="275"/>
      <c r="V167" s="358" t="s">
        <v>520</v>
      </c>
    </row>
    <row r="168" spans="1:22" s="276" customFormat="1" ht="15.75" hidden="1" customHeight="1">
      <c r="A168" s="267" t="s">
        <v>640</v>
      </c>
      <c r="B168" s="329" t="str">
        <f t="shared" si="54"/>
        <v>Wireless coverage - Internet Service - Wi-Fi Media</v>
      </c>
      <c r="C168" s="329" t="str">
        <f t="shared" si="54"/>
        <v>Network &amp; Connectivity</v>
      </c>
      <c r="D168" s="329" t="str">
        <f t="shared" si="49"/>
        <v/>
      </c>
      <c r="E168" s="329" t="str">
        <f t="shared" si="50"/>
        <v>Media Internet Access</v>
      </c>
      <c r="F168" s="329" t="str">
        <f t="shared" si="51"/>
        <v>Wireless coverage - Internet Service - Media</v>
      </c>
      <c r="G168" s="329" t="str">
        <f t="shared" si="52"/>
        <v>IS00WM - Wireless coverage - Internet Service - Wi-Fi Media (Media Internet Access)</v>
      </c>
      <c r="H168" s="269">
        <v>1</v>
      </c>
      <c r="I168" s="330">
        <f t="shared" si="53"/>
        <v>0</v>
      </c>
      <c r="J168" s="330">
        <f t="shared" si="53"/>
        <v>0</v>
      </c>
      <c r="K168" s="269">
        <v>1</v>
      </c>
      <c r="L168" s="330">
        <f t="shared" si="55"/>
        <v>0</v>
      </c>
      <c r="M168" s="330">
        <f t="shared" si="56"/>
        <v>0</v>
      </c>
      <c r="N168" s="330"/>
      <c r="O168" s="272" t="s">
        <v>511</v>
      </c>
      <c r="P168" s="271" t="s">
        <v>149</v>
      </c>
      <c r="Q168" s="272" t="s">
        <v>286</v>
      </c>
      <c r="R168" s="331" t="s">
        <v>646</v>
      </c>
      <c r="S168" s="273" t="s">
        <v>639</v>
      </c>
      <c r="T168" s="274" t="str">
        <f t="shared" si="40"/>
        <v>FIFA Media</v>
      </c>
      <c r="U168" s="275"/>
      <c r="V168" s="358" t="s">
        <v>520</v>
      </c>
    </row>
    <row r="169" spans="1:22" s="276" customFormat="1" ht="15.75" hidden="1" customHeight="1">
      <c r="A169" s="267" t="s">
        <v>640</v>
      </c>
      <c r="B169" s="329" t="str">
        <f t="shared" si="54"/>
        <v>Wireless coverage - Internet Service - Wi-Fi Media</v>
      </c>
      <c r="C169" s="329" t="str">
        <f t="shared" si="54"/>
        <v>Network &amp; Connectivity</v>
      </c>
      <c r="D169" s="329" t="str">
        <f t="shared" si="49"/>
        <v/>
      </c>
      <c r="E169" s="329" t="str">
        <f t="shared" si="50"/>
        <v>Media Internet Access</v>
      </c>
      <c r="F169" s="329" t="str">
        <f t="shared" si="51"/>
        <v>Wireless coverage - Internet Service - Media</v>
      </c>
      <c r="G169" s="329" t="str">
        <f t="shared" si="52"/>
        <v>IS00WM - Wireless coverage - Internet Service - Wi-Fi Media (Media Internet Access)</v>
      </c>
      <c r="H169" s="269">
        <v>1</v>
      </c>
      <c r="I169" s="330">
        <f t="shared" si="53"/>
        <v>0</v>
      </c>
      <c r="J169" s="330">
        <f t="shared" si="53"/>
        <v>0</v>
      </c>
      <c r="K169" s="269">
        <v>1</v>
      </c>
      <c r="L169" s="330">
        <f t="shared" si="55"/>
        <v>0</v>
      </c>
      <c r="M169" s="330">
        <f t="shared" si="56"/>
        <v>0</v>
      </c>
      <c r="N169" s="330"/>
      <c r="O169" s="272" t="s">
        <v>511</v>
      </c>
      <c r="P169" s="271" t="s">
        <v>149</v>
      </c>
      <c r="Q169" s="272" t="s">
        <v>286</v>
      </c>
      <c r="R169" s="273" t="s">
        <v>647</v>
      </c>
      <c r="S169" s="273" t="s">
        <v>639</v>
      </c>
      <c r="T169" s="274" t="str">
        <f t="shared" si="40"/>
        <v>FIFA Media</v>
      </c>
      <c r="U169" s="275"/>
      <c r="V169" s="358" t="s">
        <v>520</v>
      </c>
    </row>
    <row r="170" spans="1:22" s="276" customFormat="1" ht="15.75" hidden="1" customHeight="1">
      <c r="A170" s="267" t="s">
        <v>640</v>
      </c>
      <c r="B170" s="329" t="str">
        <f t="shared" si="54"/>
        <v>Wireless coverage - Internet Service - Wi-Fi Media</v>
      </c>
      <c r="C170" s="329" t="str">
        <f t="shared" si="54"/>
        <v>Network &amp; Connectivity</v>
      </c>
      <c r="D170" s="329" t="str">
        <f t="shared" si="49"/>
        <v/>
      </c>
      <c r="E170" s="329" t="str">
        <f t="shared" si="50"/>
        <v>Media Internet Access</v>
      </c>
      <c r="F170" s="329" t="str">
        <f t="shared" si="51"/>
        <v>Wireless coverage - Internet Service - Media</v>
      </c>
      <c r="G170" s="329" t="str">
        <f t="shared" si="52"/>
        <v>IS00WM - Wireless coverage - Internet Service - Wi-Fi Media (Media Internet Access)</v>
      </c>
      <c r="H170" s="269">
        <v>1</v>
      </c>
      <c r="I170" s="330">
        <f t="shared" si="53"/>
        <v>0</v>
      </c>
      <c r="J170" s="330">
        <f t="shared" si="53"/>
        <v>0</v>
      </c>
      <c r="K170" s="269">
        <v>1</v>
      </c>
      <c r="L170" s="330">
        <f t="shared" si="55"/>
        <v>0</v>
      </c>
      <c r="M170" s="330">
        <f t="shared" si="56"/>
        <v>0</v>
      </c>
      <c r="N170" s="330"/>
      <c r="O170" s="272" t="s">
        <v>511</v>
      </c>
      <c r="P170" s="271" t="s">
        <v>149</v>
      </c>
      <c r="Q170" s="272" t="s">
        <v>255</v>
      </c>
      <c r="R170" s="331" t="s">
        <v>646</v>
      </c>
      <c r="S170" s="273" t="s">
        <v>639</v>
      </c>
      <c r="T170" s="274" t="str">
        <f t="shared" si="40"/>
        <v>FIFA Media</v>
      </c>
      <c r="U170" s="275"/>
      <c r="V170" s="358" t="s">
        <v>520</v>
      </c>
    </row>
    <row r="171" spans="1:22" s="276" customFormat="1" ht="15.75" hidden="1" customHeight="1">
      <c r="A171" s="267" t="s">
        <v>640</v>
      </c>
      <c r="B171" s="329" t="str">
        <f t="shared" si="54"/>
        <v>Wireless coverage - Internet Service - Wi-Fi Media</v>
      </c>
      <c r="C171" s="329" t="str">
        <f t="shared" si="54"/>
        <v>Network &amp; Connectivity</v>
      </c>
      <c r="D171" s="329" t="str">
        <f t="shared" si="49"/>
        <v/>
      </c>
      <c r="E171" s="329" t="str">
        <f t="shared" si="50"/>
        <v>Media Internet Access</v>
      </c>
      <c r="F171" s="329" t="str">
        <f t="shared" si="51"/>
        <v>Wireless coverage - Internet Service - Media</v>
      </c>
      <c r="G171" s="329" t="str">
        <f t="shared" si="52"/>
        <v>IS00WM - Wireless coverage - Internet Service - Wi-Fi Media (Media Internet Access)</v>
      </c>
      <c r="H171" s="269">
        <v>1</v>
      </c>
      <c r="I171" s="330">
        <f t="shared" si="53"/>
        <v>0</v>
      </c>
      <c r="J171" s="330">
        <f t="shared" si="53"/>
        <v>0</v>
      </c>
      <c r="K171" s="269">
        <v>1</v>
      </c>
      <c r="L171" s="330">
        <f t="shared" si="55"/>
        <v>0</v>
      </c>
      <c r="M171" s="330">
        <f t="shared" si="56"/>
        <v>0</v>
      </c>
      <c r="N171" s="330"/>
      <c r="O171" s="272" t="s">
        <v>511</v>
      </c>
      <c r="P171" s="271" t="s">
        <v>149</v>
      </c>
      <c r="Q171" s="272" t="s">
        <v>255</v>
      </c>
      <c r="R171" s="273" t="s">
        <v>647</v>
      </c>
      <c r="S171" s="273" t="s">
        <v>639</v>
      </c>
      <c r="T171" s="274" t="str">
        <f t="shared" si="40"/>
        <v>FIFA Media</v>
      </c>
      <c r="U171" s="275"/>
      <c r="V171" s="358" t="s">
        <v>520</v>
      </c>
    </row>
    <row r="172" spans="1:22" s="276" customFormat="1" ht="15.75" hidden="1" customHeight="1">
      <c r="A172" s="267" t="s">
        <v>640</v>
      </c>
      <c r="B172" s="329" t="str">
        <f t="shared" si="54"/>
        <v>Wireless coverage - Internet Service - Wi-Fi Media</v>
      </c>
      <c r="C172" s="329" t="str">
        <f t="shared" si="54"/>
        <v>Network &amp; Connectivity</v>
      </c>
      <c r="D172" s="329" t="str">
        <f t="shared" si="49"/>
        <v/>
      </c>
      <c r="E172" s="329" t="str">
        <f t="shared" si="50"/>
        <v>Media Internet Access</v>
      </c>
      <c r="F172" s="329" t="str">
        <f t="shared" si="51"/>
        <v>Wireless coverage - Internet Service - Media</v>
      </c>
      <c r="G172" s="329" t="str">
        <f t="shared" si="52"/>
        <v>IS00WM - Wireless coverage - Internet Service - Wi-Fi Media (Media Internet Access)</v>
      </c>
      <c r="H172" s="269">
        <v>1</v>
      </c>
      <c r="I172" s="330">
        <f t="shared" si="53"/>
        <v>0</v>
      </c>
      <c r="J172" s="330">
        <f t="shared" si="53"/>
        <v>0</v>
      </c>
      <c r="K172" s="269">
        <v>1</v>
      </c>
      <c r="L172" s="330">
        <f t="shared" si="55"/>
        <v>0</v>
      </c>
      <c r="M172" s="330">
        <f t="shared" si="56"/>
        <v>0</v>
      </c>
      <c r="N172" s="330"/>
      <c r="O172" s="272" t="s">
        <v>511</v>
      </c>
      <c r="P172" s="271" t="s">
        <v>149</v>
      </c>
      <c r="Q172" s="272" t="s">
        <v>515</v>
      </c>
      <c r="R172" s="331" t="s">
        <v>646</v>
      </c>
      <c r="S172" s="273" t="s">
        <v>639</v>
      </c>
      <c r="T172" s="274" t="str">
        <f t="shared" si="40"/>
        <v>FIFA Media</v>
      </c>
      <c r="U172" s="275"/>
      <c r="V172" s="358" t="s">
        <v>520</v>
      </c>
    </row>
    <row r="173" spans="1:22" s="276" customFormat="1" ht="15.75" hidden="1" customHeight="1">
      <c r="A173" s="267" t="s">
        <v>640</v>
      </c>
      <c r="B173" s="329" t="str">
        <f t="shared" si="54"/>
        <v>Wireless coverage - Internet Service - Wi-Fi Media</v>
      </c>
      <c r="C173" s="329" t="str">
        <f t="shared" si="54"/>
        <v>Network &amp; Connectivity</v>
      </c>
      <c r="D173" s="329" t="str">
        <f t="shared" si="49"/>
        <v/>
      </c>
      <c r="E173" s="329" t="str">
        <f t="shared" si="50"/>
        <v>Media Internet Access</v>
      </c>
      <c r="F173" s="329" t="str">
        <f t="shared" si="51"/>
        <v>Wireless coverage - Internet Service - Media</v>
      </c>
      <c r="G173" s="329" t="str">
        <f t="shared" si="52"/>
        <v>IS00WM - Wireless coverage - Internet Service - Wi-Fi Media (Media Internet Access)</v>
      </c>
      <c r="H173" s="269">
        <v>1</v>
      </c>
      <c r="I173" s="330">
        <f t="shared" si="53"/>
        <v>0</v>
      </c>
      <c r="J173" s="330">
        <f t="shared" si="53"/>
        <v>0</v>
      </c>
      <c r="K173" s="269">
        <v>1</v>
      </c>
      <c r="L173" s="330">
        <f t="shared" si="55"/>
        <v>0</v>
      </c>
      <c r="M173" s="330">
        <f t="shared" si="56"/>
        <v>0</v>
      </c>
      <c r="N173" s="330"/>
      <c r="O173" s="272" t="s">
        <v>511</v>
      </c>
      <c r="P173" s="271" t="s">
        <v>149</v>
      </c>
      <c r="Q173" s="272" t="s">
        <v>515</v>
      </c>
      <c r="R173" s="273" t="s">
        <v>647</v>
      </c>
      <c r="S173" s="273" t="s">
        <v>639</v>
      </c>
      <c r="T173" s="274" t="str">
        <f t="shared" si="40"/>
        <v>FIFA Media</v>
      </c>
      <c r="U173" s="275"/>
      <c r="V173" s="358" t="s">
        <v>520</v>
      </c>
    </row>
    <row r="174" spans="1:22" s="276" customFormat="1" ht="15.75" hidden="1" customHeight="1">
      <c r="A174" s="267" t="s">
        <v>640</v>
      </c>
      <c r="B174" s="329" t="str">
        <f t="shared" si="54"/>
        <v>Wireless coverage - Internet Service - Wi-Fi Media</v>
      </c>
      <c r="C174" s="329" t="str">
        <f t="shared" si="54"/>
        <v>Network &amp; Connectivity</v>
      </c>
      <c r="D174" s="329" t="str">
        <f t="shared" si="49"/>
        <v/>
      </c>
      <c r="E174" s="329" t="str">
        <f t="shared" si="50"/>
        <v>Media Internet Access</v>
      </c>
      <c r="F174" s="329" t="str">
        <f t="shared" si="51"/>
        <v>Wireless coverage - Internet Service - Media</v>
      </c>
      <c r="G174" s="329" t="str">
        <f t="shared" si="52"/>
        <v>IS00WM - Wireless coverage - Internet Service - Wi-Fi Media (Media Internet Access)</v>
      </c>
      <c r="H174" s="269">
        <v>1</v>
      </c>
      <c r="I174" s="330">
        <f t="shared" si="53"/>
        <v>0</v>
      </c>
      <c r="J174" s="330">
        <f t="shared" si="53"/>
        <v>0</v>
      </c>
      <c r="K174" s="269">
        <v>1</v>
      </c>
      <c r="L174" s="330">
        <f t="shared" si="55"/>
        <v>0</v>
      </c>
      <c r="M174" s="330">
        <f t="shared" si="56"/>
        <v>0</v>
      </c>
      <c r="N174" s="330"/>
      <c r="O174" s="272" t="s">
        <v>511</v>
      </c>
      <c r="P174" s="271" t="s">
        <v>149</v>
      </c>
      <c r="Q174" s="272" t="s">
        <v>516</v>
      </c>
      <c r="R174" s="331" t="s">
        <v>646</v>
      </c>
      <c r="S174" s="273" t="s">
        <v>639</v>
      </c>
      <c r="T174" s="274" t="str">
        <f t="shared" si="40"/>
        <v>FIFA Media</v>
      </c>
      <c r="U174" s="275"/>
      <c r="V174" s="358" t="s">
        <v>520</v>
      </c>
    </row>
    <row r="175" spans="1:22" s="276" customFormat="1" ht="15.75" hidden="1" customHeight="1">
      <c r="A175" s="267" t="s">
        <v>640</v>
      </c>
      <c r="B175" s="329" t="str">
        <f t="shared" si="54"/>
        <v>Wireless coverage - Internet Service - Wi-Fi Media</v>
      </c>
      <c r="C175" s="329" t="str">
        <f t="shared" si="54"/>
        <v>Network &amp; Connectivity</v>
      </c>
      <c r="D175" s="329" t="str">
        <f t="shared" si="49"/>
        <v/>
      </c>
      <c r="E175" s="329" t="str">
        <f t="shared" si="50"/>
        <v>Media Internet Access</v>
      </c>
      <c r="F175" s="329" t="str">
        <f t="shared" si="51"/>
        <v>Wireless coverage - Internet Service - Media</v>
      </c>
      <c r="G175" s="329" t="str">
        <f t="shared" si="52"/>
        <v>IS00WM - Wireless coverage - Internet Service - Wi-Fi Media (Media Internet Access)</v>
      </c>
      <c r="H175" s="269">
        <v>1</v>
      </c>
      <c r="I175" s="330">
        <f t="shared" si="53"/>
        <v>0</v>
      </c>
      <c r="J175" s="330">
        <f t="shared" si="53"/>
        <v>0</v>
      </c>
      <c r="K175" s="269">
        <v>1</v>
      </c>
      <c r="L175" s="330">
        <f t="shared" si="55"/>
        <v>0</v>
      </c>
      <c r="M175" s="330">
        <f t="shared" si="56"/>
        <v>0</v>
      </c>
      <c r="N175" s="330"/>
      <c r="O175" s="272" t="s">
        <v>511</v>
      </c>
      <c r="P175" s="271" t="s">
        <v>149</v>
      </c>
      <c r="Q175" s="272" t="s">
        <v>516</v>
      </c>
      <c r="R175" s="273" t="s">
        <v>647</v>
      </c>
      <c r="S175" s="273" t="s">
        <v>639</v>
      </c>
      <c r="T175" s="274" t="str">
        <f t="shared" si="40"/>
        <v>FIFA Media</v>
      </c>
      <c r="U175" s="275"/>
      <c r="V175" s="358" t="s">
        <v>520</v>
      </c>
    </row>
    <row r="176" spans="1:22" s="326" customFormat="1" ht="15.75" hidden="1" customHeight="1">
      <c r="A176" s="267" t="s">
        <v>640</v>
      </c>
      <c r="B176" s="329" t="str">
        <f t="shared" si="54"/>
        <v>Wireless coverage - Internet Service - Wi-Fi Media</v>
      </c>
      <c r="C176" s="329" t="str">
        <f t="shared" si="54"/>
        <v>Network &amp; Connectivity</v>
      </c>
      <c r="D176" s="329" t="str">
        <f t="shared" si="49"/>
        <v/>
      </c>
      <c r="E176" s="329" t="str">
        <f t="shared" si="50"/>
        <v>Media Internet Access</v>
      </c>
      <c r="F176" s="329" t="str">
        <f t="shared" si="51"/>
        <v>Wireless coverage - Internet Service - Media</v>
      </c>
      <c r="G176" s="329" t="str">
        <f t="shared" si="52"/>
        <v>IS00WM - Wireless coverage - Internet Service - Wi-Fi Media (Media Internet Access)</v>
      </c>
      <c r="H176" s="269">
        <v>1</v>
      </c>
      <c r="I176" s="330">
        <f t="shared" si="53"/>
        <v>0</v>
      </c>
      <c r="J176" s="330">
        <f t="shared" si="53"/>
        <v>0</v>
      </c>
      <c r="K176" s="269">
        <v>1</v>
      </c>
      <c r="L176" s="330">
        <f t="shared" si="55"/>
        <v>0</v>
      </c>
      <c r="M176" s="330">
        <f t="shared" si="56"/>
        <v>0</v>
      </c>
      <c r="N176" s="330"/>
      <c r="O176" s="272" t="s">
        <v>511</v>
      </c>
      <c r="P176" s="271" t="s">
        <v>149</v>
      </c>
      <c r="Q176" s="272" t="s">
        <v>258</v>
      </c>
      <c r="R176" s="331" t="s">
        <v>646</v>
      </c>
      <c r="S176" s="273" t="s">
        <v>639</v>
      </c>
      <c r="T176" s="274" t="str">
        <f t="shared" si="40"/>
        <v>FIFA Media</v>
      </c>
      <c r="U176" s="275"/>
      <c r="V176" s="358" t="s">
        <v>520</v>
      </c>
    </row>
    <row r="177" spans="1:22" s="276" customFormat="1" ht="15.75" hidden="1" customHeight="1">
      <c r="A177" s="267" t="s">
        <v>640</v>
      </c>
      <c r="B177" s="329" t="str">
        <f t="shared" si="54"/>
        <v>Wireless coverage - Internet Service - Wi-Fi Media</v>
      </c>
      <c r="C177" s="329" t="str">
        <f t="shared" si="54"/>
        <v>Network &amp; Connectivity</v>
      </c>
      <c r="D177" s="329" t="str">
        <f t="shared" si="49"/>
        <v/>
      </c>
      <c r="E177" s="329" t="str">
        <f t="shared" si="50"/>
        <v>Media Internet Access</v>
      </c>
      <c r="F177" s="329" t="str">
        <f t="shared" si="51"/>
        <v>Wireless coverage - Internet Service - Media</v>
      </c>
      <c r="G177" s="329" t="str">
        <f t="shared" si="52"/>
        <v>IS00WM - Wireless coverage - Internet Service - Wi-Fi Media (Media Internet Access)</v>
      </c>
      <c r="H177" s="269">
        <v>1</v>
      </c>
      <c r="I177" s="330">
        <f t="shared" si="53"/>
        <v>0</v>
      </c>
      <c r="J177" s="330">
        <f t="shared" si="53"/>
        <v>0</v>
      </c>
      <c r="K177" s="269">
        <v>1</v>
      </c>
      <c r="L177" s="330">
        <f t="shared" si="55"/>
        <v>0</v>
      </c>
      <c r="M177" s="330">
        <f t="shared" si="56"/>
        <v>0</v>
      </c>
      <c r="N177" s="330"/>
      <c r="O177" s="272" t="s">
        <v>511</v>
      </c>
      <c r="P177" s="271" t="s">
        <v>149</v>
      </c>
      <c r="Q177" s="272" t="s">
        <v>258</v>
      </c>
      <c r="R177" s="273" t="s">
        <v>647</v>
      </c>
      <c r="S177" s="273" t="s">
        <v>639</v>
      </c>
      <c r="T177" s="274" t="str">
        <f t="shared" si="40"/>
        <v>FIFA Media</v>
      </c>
      <c r="U177" s="275"/>
      <c r="V177" s="358" t="s">
        <v>520</v>
      </c>
    </row>
    <row r="178" spans="1:22" s="276" customFormat="1" ht="15.75" hidden="1" customHeight="1">
      <c r="A178" s="267" t="s">
        <v>640</v>
      </c>
      <c r="B178" s="329" t="str">
        <f t="shared" si="54"/>
        <v>Wireless coverage - Internet Service - Wi-Fi Media</v>
      </c>
      <c r="C178" s="329" t="str">
        <f t="shared" si="54"/>
        <v>Network &amp; Connectivity</v>
      </c>
      <c r="D178" s="329" t="str">
        <f t="shared" si="49"/>
        <v/>
      </c>
      <c r="E178" s="329" t="str">
        <f t="shared" si="50"/>
        <v>Media Internet Access</v>
      </c>
      <c r="F178" s="329" t="str">
        <f t="shared" si="51"/>
        <v>Wireless coverage - Internet Service - Media</v>
      </c>
      <c r="G178" s="329" t="str">
        <f t="shared" si="52"/>
        <v>IS00WM - Wireless coverage - Internet Service - Wi-Fi Media (Media Internet Access)</v>
      </c>
      <c r="H178" s="269">
        <v>1</v>
      </c>
      <c r="I178" s="330">
        <f t="shared" ref="I178:J197" si="57">IF($A178="","",$K178*VLOOKUP($A178,ps_table,MATCH(I$2,ps_headers,0),FALSE))</f>
        <v>0</v>
      </c>
      <c r="J178" s="330">
        <f t="shared" si="57"/>
        <v>0</v>
      </c>
      <c r="K178" s="269">
        <v>1</v>
      </c>
      <c r="L178" s="330">
        <f t="shared" si="55"/>
        <v>0</v>
      </c>
      <c r="M178" s="330">
        <f t="shared" si="56"/>
        <v>0</v>
      </c>
      <c r="N178" s="330"/>
      <c r="O178" s="272" t="s">
        <v>511</v>
      </c>
      <c r="P178" s="271" t="s">
        <v>149</v>
      </c>
      <c r="Q178" s="272" t="s">
        <v>517</v>
      </c>
      <c r="R178" s="331" t="s">
        <v>646</v>
      </c>
      <c r="S178" s="273" t="s">
        <v>639</v>
      </c>
      <c r="T178" s="274" t="str">
        <f t="shared" si="40"/>
        <v>FIFA Media</v>
      </c>
      <c r="U178" s="275"/>
      <c r="V178" s="358" t="s">
        <v>520</v>
      </c>
    </row>
    <row r="179" spans="1:22" s="276" customFormat="1" ht="15.75" hidden="1" customHeight="1">
      <c r="A179" s="267" t="s">
        <v>640</v>
      </c>
      <c r="B179" s="329" t="str">
        <f t="shared" si="54"/>
        <v>Wireless coverage - Internet Service - Wi-Fi Media</v>
      </c>
      <c r="C179" s="329" t="str">
        <f t="shared" si="54"/>
        <v>Network &amp; Connectivity</v>
      </c>
      <c r="D179" s="329" t="str">
        <f t="shared" si="49"/>
        <v/>
      </c>
      <c r="E179" s="329" t="str">
        <f t="shared" si="50"/>
        <v>Media Internet Access</v>
      </c>
      <c r="F179" s="329" t="str">
        <f t="shared" si="51"/>
        <v>Wireless coverage - Internet Service - Media</v>
      </c>
      <c r="G179" s="329" t="str">
        <f t="shared" si="52"/>
        <v>IS00WM - Wireless coverage - Internet Service - Wi-Fi Media (Media Internet Access)</v>
      </c>
      <c r="H179" s="269">
        <v>1</v>
      </c>
      <c r="I179" s="330">
        <f t="shared" si="57"/>
        <v>0</v>
      </c>
      <c r="J179" s="330">
        <f t="shared" si="57"/>
        <v>0</v>
      </c>
      <c r="K179" s="269">
        <v>1</v>
      </c>
      <c r="L179" s="330">
        <f t="shared" si="55"/>
        <v>0</v>
      </c>
      <c r="M179" s="330">
        <f t="shared" si="56"/>
        <v>0</v>
      </c>
      <c r="N179" s="330"/>
      <c r="O179" s="272" t="s">
        <v>511</v>
      </c>
      <c r="P179" s="271" t="s">
        <v>149</v>
      </c>
      <c r="Q179" s="272" t="s">
        <v>517</v>
      </c>
      <c r="R179" s="273" t="s">
        <v>647</v>
      </c>
      <c r="S179" s="273" t="s">
        <v>639</v>
      </c>
      <c r="T179" s="274" t="str">
        <f t="shared" si="40"/>
        <v>FIFA Media</v>
      </c>
      <c r="U179" s="275"/>
      <c r="V179" s="358" t="s">
        <v>520</v>
      </c>
    </row>
    <row r="180" spans="1:22" s="276" customFormat="1" ht="15.75" hidden="1" customHeight="1">
      <c r="A180" s="267" t="s">
        <v>640</v>
      </c>
      <c r="B180" s="329" t="str">
        <f t="shared" si="54"/>
        <v>Wireless coverage - Internet Service - Wi-Fi Media</v>
      </c>
      <c r="C180" s="329" t="str">
        <f t="shared" si="54"/>
        <v>Network &amp; Connectivity</v>
      </c>
      <c r="D180" s="329" t="str">
        <f t="shared" si="49"/>
        <v/>
      </c>
      <c r="E180" s="329" t="str">
        <f t="shared" si="50"/>
        <v>Media Internet Access</v>
      </c>
      <c r="F180" s="329" t="str">
        <f t="shared" si="51"/>
        <v>Wireless coverage - Internet Service - Media</v>
      </c>
      <c r="G180" s="329" t="str">
        <f t="shared" si="52"/>
        <v>IS00WM - Wireless coverage - Internet Service - Wi-Fi Media (Media Internet Access)</v>
      </c>
      <c r="H180" s="269">
        <v>1</v>
      </c>
      <c r="I180" s="330">
        <f t="shared" si="57"/>
        <v>0</v>
      </c>
      <c r="J180" s="330">
        <f t="shared" si="57"/>
        <v>0</v>
      </c>
      <c r="K180" s="269">
        <v>1</v>
      </c>
      <c r="L180" s="330">
        <f t="shared" si="55"/>
        <v>0</v>
      </c>
      <c r="M180" s="330">
        <f t="shared" si="56"/>
        <v>0</v>
      </c>
      <c r="N180" s="330"/>
      <c r="O180" s="272" t="s">
        <v>511</v>
      </c>
      <c r="P180" s="271" t="s">
        <v>149</v>
      </c>
      <c r="Q180" s="272" t="s">
        <v>284</v>
      </c>
      <c r="R180" s="331" t="s">
        <v>646</v>
      </c>
      <c r="S180" s="273" t="s">
        <v>639</v>
      </c>
      <c r="T180" s="274" t="str">
        <f t="shared" si="40"/>
        <v>FIFA Media</v>
      </c>
      <c r="U180" s="275"/>
      <c r="V180" s="358" t="s">
        <v>520</v>
      </c>
    </row>
    <row r="181" spans="1:22" s="326" customFormat="1" ht="15.75" hidden="1" customHeight="1">
      <c r="A181" s="267" t="s">
        <v>640</v>
      </c>
      <c r="B181" s="329" t="str">
        <f t="shared" si="54"/>
        <v>Wireless coverage - Internet Service - Wi-Fi Media</v>
      </c>
      <c r="C181" s="329" t="str">
        <f t="shared" si="54"/>
        <v>Network &amp; Connectivity</v>
      </c>
      <c r="D181" s="329" t="str">
        <f t="shared" si="49"/>
        <v/>
      </c>
      <c r="E181" s="329" t="str">
        <f t="shared" si="50"/>
        <v>Media Internet Access</v>
      </c>
      <c r="F181" s="329" t="str">
        <f t="shared" si="51"/>
        <v>Wireless coverage - Internet Service - Media</v>
      </c>
      <c r="G181" s="329" t="str">
        <f t="shared" si="52"/>
        <v>IS00WM - Wireless coverage - Internet Service - Wi-Fi Media (Media Internet Access)</v>
      </c>
      <c r="H181" s="269">
        <v>1</v>
      </c>
      <c r="I181" s="330">
        <f t="shared" si="57"/>
        <v>0</v>
      </c>
      <c r="J181" s="330">
        <f t="shared" si="57"/>
        <v>0</v>
      </c>
      <c r="K181" s="269">
        <v>1</v>
      </c>
      <c r="L181" s="330">
        <f t="shared" si="55"/>
        <v>0</v>
      </c>
      <c r="M181" s="330">
        <f t="shared" si="56"/>
        <v>0</v>
      </c>
      <c r="N181" s="330"/>
      <c r="O181" s="272" t="s">
        <v>511</v>
      </c>
      <c r="P181" s="271" t="s">
        <v>149</v>
      </c>
      <c r="Q181" s="272" t="s">
        <v>284</v>
      </c>
      <c r="R181" s="273" t="s">
        <v>647</v>
      </c>
      <c r="S181" s="273" t="s">
        <v>639</v>
      </c>
      <c r="T181" s="274" t="str">
        <f t="shared" si="40"/>
        <v>FIFA Media</v>
      </c>
      <c r="U181" s="275"/>
      <c r="V181" s="358" t="s">
        <v>520</v>
      </c>
    </row>
    <row r="182" spans="1:22" s="326" customFormat="1" ht="15.75" hidden="1" customHeight="1">
      <c r="A182" s="267" t="s">
        <v>640</v>
      </c>
      <c r="B182" s="329" t="str">
        <f t="shared" si="54"/>
        <v>Wireless coverage - Internet Service - Wi-Fi Media</v>
      </c>
      <c r="C182" s="329" t="str">
        <f t="shared" si="54"/>
        <v>Network &amp; Connectivity</v>
      </c>
      <c r="D182" s="329" t="str">
        <f t="shared" si="49"/>
        <v/>
      </c>
      <c r="E182" s="329" t="str">
        <f t="shared" si="50"/>
        <v>Media Internet Access</v>
      </c>
      <c r="F182" s="329" t="str">
        <f t="shared" si="51"/>
        <v>Wireless coverage - Internet Service - Media</v>
      </c>
      <c r="G182" s="329" t="str">
        <f t="shared" si="52"/>
        <v>IS00WM - Wireless coverage - Internet Service - Wi-Fi Media (Media Internet Access)</v>
      </c>
      <c r="H182" s="269">
        <v>1</v>
      </c>
      <c r="I182" s="330">
        <f t="shared" si="57"/>
        <v>0</v>
      </c>
      <c r="J182" s="330">
        <f t="shared" si="57"/>
        <v>0</v>
      </c>
      <c r="K182" s="269">
        <v>1</v>
      </c>
      <c r="L182" s="330">
        <f t="shared" si="55"/>
        <v>0</v>
      </c>
      <c r="M182" s="330">
        <f t="shared" si="56"/>
        <v>0</v>
      </c>
      <c r="N182" s="330"/>
      <c r="O182" s="272" t="s">
        <v>511</v>
      </c>
      <c r="P182" s="271" t="s">
        <v>149</v>
      </c>
      <c r="Q182" s="272" t="s">
        <v>518</v>
      </c>
      <c r="R182" s="331" t="s">
        <v>646</v>
      </c>
      <c r="S182" s="273" t="s">
        <v>639</v>
      </c>
      <c r="T182" s="274" t="str">
        <f t="shared" si="40"/>
        <v>FIFA Media</v>
      </c>
      <c r="U182" s="275"/>
      <c r="V182" s="358" t="s">
        <v>520</v>
      </c>
    </row>
    <row r="183" spans="1:22" s="313" customFormat="1" ht="15.75" hidden="1" customHeight="1">
      <c r="A183" s="267" t="s">
        <v>640</v>
      </c>
      <c r="B183" s="329" t="str">
        <f t="shared" ref="B183:C192" si="58">IF($A183="","",VLOOKUP($A183,ps_table,MATCH(B$2,ps_headers,0),FALSE))</f>
        <v>Wireless coverage - Internet Service - Wi-Fi Media</v>
      </c>
      <c r="C183" s="329" t="str">
        <f t="shared" si="58"/>
        <v>Network &amp; Connectivity</v>
      </c>
      <c r="D183" s="329" t="str">
        <f t="shared" si="49"/>
        <v/>
      </c>
      <c r="E183" s="329" t="str">
        <f t="shared" si="50"/>
        <v>Media Internet Access</v>
      </c>
      <c r="F183" s="329" t="str">
        <f t="shared" si="51"/>
        <v>Wireless coverage - Internet Service - Media</v>
      </c>
      <c r="G183" s="329" t="str">
        <f t="shared" si="52"/>
        <v>IS00WM - Wireless coverage - Internet Service - Wi-Fi Media (Media Internet Access)</v>
      </c>
      <c r="H183" s="269">
        <v>1</v>
      </c>
      <c r="I183" s="330">
        <f t="shared" si="57"/>
        <v>0</v>
      </c>
      <c r="J183" s="330">
        <f t="shared" si="57"/>
        <v>0</v>
      </c>
      <c r="K183" s="269">
        <v>1</v>
      </c>
      <c r="L183" s="330">
        <f t="shared" si="55"/>
        <v>0</v>
      </c>
      <c r="M183" s="330">
        <f t="shared" si="56"/>
        <v>0</v>
      </c>
      <c r="N183" s="330"/>
      <c r="O183" s="272" t="s">
        <v>511</v>
      </c>
      <c r="P183" s="271" t="s">
        <v>149</v>
      </c>
      <c r="Q183" s="272" t="s">
        <v>518</v>
      </c>
      <c r="R183" s="273" t="s">
        <v>647</v>
      </c>
      <c r="S183" s="273" t="s">
        <v>639</v>
      </c>
      <c r="T183" s="274" t="str">
        <f t="shared" si="40"/>
        <v>FIFA Media</v>
      </c>
      <c r="U183" s="275"/>
      <c r="V183" s="358" t="s">
        <v>520</v>
      </c>
    </row>
    <row r="184" spans="1:22" s="326" customFormat="1" ht="15.75" hidden="1" customHeight="1">
      <c r="A184" s="267" t="s">
        <v>640</v>
      </c>
      <c r="B184" s="329" t="str">
        <f t="shared" si="58"/>
        <v>Wireless coverage - Internet Service - Wi-Fi Media</v>
      </c>
      <c r="C184" s="329" t="str">
        <f t="shared" si="58"/>
        <v>Network &amp; Connectivity</v>
      </c>
      <c r="D184" s="329" t="str">
        <f t="shared" si="49"/>
        <v/>
      </c>
      <c r="E184" s="329" t="str">
        <f t="shared" si="50"/>
        <v>Media Internet Access</v>
      </c>
      <c r="F184" s="329" t="str">
        <f t="shared" si="51"/>
        <v>Wireless coverage - Internet Service - Media</v>
      </c>
      <c r="G184" s="329" t="str">
        <f t="shared" si="52"/>
        <v>IS00WM - Wireless coverage - Internet Service - Wi-Fi Media (Media Internet Access)</v>
      </c>
      <c r="H184" s="269">
        <v>1</v>
      </c>
      <c r="I184" s="330">
        <f t="shared" si="57"/>
        <v>0</v>
      </c>
      <c r="J184" s="330">
        <f t="shared" si="57"/>
        <v>0</v>
      </c>
      <c r="K184" s="269">
        <v>1</v>
      </c>
      <c r="L184" s="330">
        <f t="shared" si="55"/>
        <v>0</v>
      </c>
      <c r="M184" s="330">
        <f t="shared" si="56"/>
        <v>0</v>
      </c>
      <c r="N184" s="330"/>
      <c r="O184" s="272" t="s">
        <v>511</v>
      </c>
      <c r="P184" s="271" t="s">
        <v>149</v>
      </c>
      <c r="Q184" s="331" t="s">
        <v>569</v>
      </c>
      <c r="R184" s="331" t="s">
        <v>648</v>
      </c>
      <c r="S184" s="273" t="s">
        <v>639</v>
      </c>
      <c r="T184" s="274" t="str">
        <f t="shared" si="40"/>
        <v>FIFA Media</v>
      </c>
      <c r="U184" s="275"/>
      <c r="V184" s="358" t="s">
        <v>520</v>
      </c>
    </row>
    <row r="185" spans="1:22" s="276" customFormat="1" ht="15.75" hidden="1" customHeight="1">
      <c r="A185" s="267" t="s">
        <v>640</v>
      </c>
      <c r="B185" s="329" t="str">
        <f t="shared" si="58"/>
        <v>Wireless coverage - Internet Service - Wi-Fi Media</v>
      </c>
      <c r="C185" s="329" t="str">
        <f t="shared" si="58"/>
        <v>Network &amp; Connectivity</v>
      </c>
      <c r="D185" s="329" t="str">
        <f t="shared" si="49"/>
        <v/>
      </c>
      <c r="E185" s="329" t="str">
        <f t="shared" si="50"/>
        <v>Media Internet Access</v>
      </c>
      <c r="F185" s="329" t="str">
        <f t="shared" si="51"/>
        <v>Wireless coverage - Internet Service - Media</v>
      </c>
      <c r="G185" s="329" t="str">
        <f t="shared" si="52"/>
        <v>IS00WM - Wireless coverage - Internet Service - Wi-Fi Media (Media Internet Access)</v>
      </c>
      <c r="H185" s="269">
        <v>1</v>
      </c>
      <c r="I185" s="330">
        <f t="shared" si="57"/>
        <v>0</v>
      </c>
      <c r="J185" s="330">
        <f t="shared" si="57"/>
        <v>0</v>
      </c>
      <c r="K185" s="269">
        <v>1</v>
      </c>
      <c r="L185" s="330">
        <f t="shared" si="55"/>
        <v>0</v>
      </c>
      <c r="M185" s="330">
        <f t="shared" si="56"/>
        <v>0</v>
      </c>
      <c r="N185" s="330"/>
      <c r="O185" s="272" t="s">
        <v>511</v>
      </c>
      <c r="P185" s="271" t="s">
        <v>149</v>
      </c>
      <c r="Q185" s="331" t="s">
        <v>569</v>
      </c>
      <c r="R185" s="331" t="s">
        <v>649</v>
      </c>
      <c r="S185" s="273" t="s">
        <v>639</v>
      </c>
      <c r="T185" s="274" t="str">
        <f t="shared" si="40"/>
        <v>FIFA Media</v>
      </c>
      <c r="U185" s="275"/>
      <c r="V185" s="358" t="s">
        <v>520</v>
      </c>
    </row>
    <row r="186" spans="1:22" s="276" customFormat="1" ht="15.75" hidden="1" customHeight="1">
      <c r="A186" s="277" t="s">
        <v>591</v>
      </c>
      <c r="B186" s="329" t="str">
        <f t="shared" si="58"/>
        <v>Laptop - FIFA Event Build</v>
      </c>
      <c r="C186" s="329" t="str">
        <f t="shared" si="58"/>
        <v>FIFA IT Hardware</v>
      </c>
      <c r="D186" s="329" t="str">
        <f t="shared" si="49"/>
        <v>Single</v>
      </c>
      <c r="E186" s="329" t="str">
        <f t="shared" si="50"/>
        <v/>
      </c>
      <c r="F186" s="329" t="str">
        <f t="shared" si="51"/>
        <v>FIFA Laptop</v>
      </c>
      <c r="G186" s="329" t="str">
        <f t="shared" si="52"/>
        <v>LAPEVT - Laptop - FIFA Event Build</v>
      </c>
      <c r="H186" s="269">
        <v>1</v>
      </c>
      <c r="I186" s="330">
        <f t="shared" si="57"/>
        <v>0</v>
      </c>
      <c r="J186" s="330">
        <f t="shared" si="57"/>
        <v>0</v>
      </c>
      <c r="K186" s="269">
        <v>1</v>
      </c>
      <c r="L186" s="330">
        <f t="shared" si="55"/>
        <v>0</v>
      </c>
      <c r="M186" s="330">
        <f t="shared" si="56"/>
        <v>0</v>
      </c>
      <c r="N186" s="330"/>
      <c r="O186" s="272" t="s">
        <v>539</v>
      </c>
      <c r="P186" s="271" t="s">
        <v>149</v>
      </c>
      <c r="Q186" s="272" t="s">
        <v>638</v>
      </c>
      <c r="R186" s="331" t="s">
        <v>561</v>
      </c>
      <c r="S186" s="273" t="s">
        <v>639</v>
      </c>
      <c r="T186" s="274" t="str">
        <f t="shared" si="40"/>
        <v>FIFA Media</v>
      </c>
      <c r="U186" s="275"/>
      <c r="V186" s="358" t="s">
        <v>514</v>
      </c>
    </row>
    <row r="187" spans="1:22" s="326" customFormat="1" ht="15.75" hidden="1" customHeight="1">
      <c r="A187" s="267" t="s">
        <v>237</v>
      </c>
      <c r="B187" s="332" t="str">
        <f t="shared" si="58"/>
        <v>TV - Large - IPTV</v>
      </c>
      <c r="C187" s="329" t="str">
        <f t="shared" si="58"/>
        <v>CATV</v>
      </c>
      <c r="D187" s="329" t="str">
        <f t="shared" si="49"/>
        <v/>
      </c>
      <c r="E187" s="329" t="str">
        <f t="shared" si="50"/>
        <v/>
      </c>
      <c r="F187" s="329" t="str">
        <f t="shared" si="51"/>
        <v>Large TV - CATV Feed</v>
      </c>
      <c r="G187" s="329" t="str">
        <f t="shared" si="52"/>
        <v>TVLGIP - TV - Large - IPTV</v>
      </c>
      <c r="H187" s="269">
        <v>2</v>
      </c>
      <c r="I187" s="330">
        <f t="shared" si="57"/>
        <v>2</v>
      </c>
      <c r="J187" s="330">
        <f t="shared" si="57"/>
        <v>0</v>
      </c>
      <c r="K187" s="438">
        <v>2</v>
      </c>
      <c r="L187" s="330">
        <f t="shared" si="55"/>
        <v>2</v>
      </c>
      <c r="M187" s="330">
        <f t="shared" si="56"/>
        <v>0</v>
      </c>
      <c r="N187" s="330">
        <v>0</v>
      </c>
      <c r="O187" s="272" t="s">
        <v>511</v>
      </c>
      <c r="P187" s="271" t="s">
        <v>149</v>
      </c>
      <c r="Q187" s="272" t="s">
        <v>638</v>
      </c>
      <c r="R187" s="331" t="s">
        <v>561</v>
      </c>
      <c r="S187" s="273" t="s">
        <v>639</v>
      </c>
      <c r="T187" s="274" t="str">
        <f t="shared" si="40"/>
        <v>FIFA Media</v>
      </c>
      <c r="U187" s="275"/>
      <c r="V187" s="358" t="s">
        <v>247</v>
      </c>
    </row>
    <row r="188" spans="1:22" s="276" customFormat="1" ht="15.75" hidden="1" customHeight="1">
      <c r="A188" s="267" t="s">
        <v>537</v>
      </c>
      <c r="B188" s="332" t="str">
        <f t="shared" si="58"/>
        <v>TV Stand - Medium &amp; Large TVs</v>
      </c>
      <c r="C188" s="329" t="str">
        <f t="shared" si="58"/>
        <v>Peripherals</v>
      </c>
      <c r="D188" s="329" t="str">
        <f t="shared" si="49"/>
        <v/>
      </c>
      <c r="E188" s="329" t="str">
        <f t="shared" si="50"/>
        <v/>
      </c>
      <c r="F188" s="329" t="str">
        <f t="shared" si="51"/>
        <v>TV Stand for medium and large TVs</v>
      </c>
      <c r="G188" s="329" t="str">
        <f t="shared" si="52"/>
        <v>TVSTND - TV Stand - Medium &amp; Large TVs</v>
      </c>
      <c r="H188" s="269">
        <v>2</v>
      </c>
      <c r="I188" s="330">
        <f t="shared" si="57"/>
        <v>0</v>
      </c>
      <c r="J188" s="330">
        <f t="shared" si="57"/>
        <v>0</v>
      </c>
      <c r="K188" s="269">
        <v>2</v>
      </c>
      <c r="L188" s="330">
        <f t="shared" si="55"/>
        <v>0</v>
      </c>
      <c r="M188" s="330">
        <f t="shared" si="56"/>
        <v>0</v>
      </c>
      <c r="N188" s="330">
        <v>0</v>
      </c>
      <c r="O188" s="272" t="s">
        <v>511</v>
      </c>
      <c r="P188" s="271" t="s">
        <v>149</v>
      </c>
      <c r="Q188" s="272" t="s">
        <v>638</v>
      </c>
      <c r="R188" s="331" t="s">
        <v>561</v>
      </c>
      <c r="S188" s="273" t="s">
        <v>639</v>
      </c>
      <c r="T188" s="274" t="str">
        <f t="shared" si="40"/>
        <v>FIFA Media</v>
      </c>
      <c r="U188" s="275"/>
      <c r="V188" s="358" t="s">
        <v>247</v>
      </c>
    </row>
    <row r="189" spans="1:22" s="276" customFormat="1" ht="15.75" hidden="1" customHeight="1">
      <c r="A189" s="267" t="s">
        <v>523</v>
      </c>
      <c r="B189" s="332" t="str">
        <f t="shared" si="58"/>
        <v>Wired Port - Media Internet</v>
      </c>
      <c r="C189" s="329" t="str">
        <f t="shared" si="58"/>
        <v>Network &amp; Connectivity</v>
      </c>
      <c r="D189" s="329" t="str">
        <f t="shared" si="49"/>
        <v/>
      </c>
      <c r="E189" s="329" t="str">
        <f t="shared" si="50"/>
        <v>Media Internet Access Media</v>
      </c>
      <c r="F189" s="329" t="str">
        <f t="shared" si="51"/>
        <v>Wired Port - Internet for Media</v>
      </c>
      <c r="G189" s="329" t="str">
        <f t="shared" si="52"/>
        <v>WRDMED - Wired Port - Media Internet (Media Internet Access Media)</v>
      </c>
      <c r="H189" s="269">
        <v>5</v>
      </c>
      <c r="I189" s="330">
        <f t="shared" si="57"/>
        <v>5</v>
      </c>
      <c r="J189" s="330">
        <f t="shared" si="57"/>
        <v>0</v>
      </c>
      <c r="K189" s="269">
        <v>5</v>
      </c>
      <c r="L189" s="330">
        <f t="shared" si="55"/>
        <v>5</v>
      </c>
      <c r="M189" s="330">
        <f t="shared" si="56"/>
        <v>0</v>
      </c>
      <c r="N189" s="330"/>
      <c r="O189" s="272" t="s">
        <v>511</v>
      </c>
      <c r="P189" s="271" t="s">
        <v>149</v>
      </c>
      <c r="Q189" s="272" t="s">
        <v>638</v>
      </c>
      <c r="R189" s="331" t="s">
        <v>561</v>
      </c>
      <c r="S189" s="273" t="s">
        <v>639</v>
      </c>
      <c r="T189" s="274" t="str">
        <f t="shared" si="40"/>
        <v>FIFA Media</v>
      </c>
      <c r="U189" s="275"/>
      <c r="V189" s="358" t="s">
        <v>520</v>
      </c>
    </row>
    <row r="190" spans="1:22" s="276" customFormat="1" ht="15.75" hidden="1" customHeight="1">
      <c r="A190" s="277" t="s">
        <v>650</v>
      </c>
      <c r="B190" s="329" t="str">
        <f t="shared" si="58"/>
        <v>Audio transformer SDI to USB</v>
      </c>
      <c r="C190" s="329" t="str">
        <f t="shared" si="58"/>
        <v>Audio</v>
      </c>
      <c r="D190" s="329" t="str">
        <f t="shared" ref="D190:D221" si="59">IF(OR($A190="",$O190&lt;&gt;"FIFA Event Technology"),"",IF(VLOOKUP($A190,ps_table,MATCH(D$2,ps_headers,0),FALSE)&lt;&gt;"",VLOOKUP($A190,ps_table,MATCH(D$2,ps_headers,0),FALSE),""))</f>
        <v/>
      </c>
      <c r="E190" s="329" t="str">
        <f t="shared" ref="E190:E221" si="60">IF($A190="","",IF(VLOOKUP($A190,ps_table,MATCH(E$2,ps_headers,0),FALSE)&lt;&gt;"",VLOOKUP($A190,ps_table,MATCH(E$2,ps_headers,0),FALSE),""))</f>
        <v/>
      </c>
      <c r="F190" s="329" t="str">
        <f t="shared" ref="F190:F221" si="61">IF($A190="","",VLOOKUP($A190,ps_table,MATCH(F$2,ps_headers,0),FALSE))</f>
        <v>Audio transformer SDI to USB</v>
      </c>
      <c r="G190" s="329" t="str">
        <f t="shared" ref="G190:G221" si="62">IF($A190="","",IF(E190&lt;&gt;"",A190&amp;" - "&amp;B190&amp;" ("&amp;E190&amp;")",A190&amp;" - "&amp;B190))</f>
        <v>AUDUSB - Audio transformer SDI to USB</v>
      </c>
      <c r="H190" s="269">
        <v>1</v>
      </c>
      <c r="I190" s="330">
        <f t="shared" si="57"/>
        <v>0</v>
      </c>
      <c r="J190" s="330">
        <f t="shared" si="57"/>
        <v>0</v>
      </c>
      <c r="K190" s="442">
        <v>1</v>
      </c>
      <c r="L190" s="330">
        <f t="shared" si="55"/>
        <v>0</v>
      </c>
      <c r="M190" s="330">
        <f t="shared" si="56"/>
        <v>0</v>
      </c>
      <c r="N190" s="330"/>
      <c r="O190" s="272" t="s">
        <v>539</v>
      </c>
      <c r="P190" s="271" t="s">
        <v>152</v>
      </c>
      <c r="Q190" s="272" t="s">
        <v>583</v>
      </c>
      <c r="R190" s="273" t="s">
        <v>583</v>
      </c>
      <c r="S190" s="272" t="s">
        <v>639</v>
      </c>
      <c r="T190" s="274" t="str">
        <f t="shared" si="40"/>
        <v>FIFA Media</v>
      </c>
      <c r="U190" s="275"/>
      <c r="V190" s="358" t="s">
        <v>247</v>
      </c>
    </row>
    <row r="191" spans="1:22" s="276" customFormat="1" ht="15.75" hidden="1" customHeight="1">
      <c r="A191" s="267" t="s">
        <v>562</v>
      </c>
      <c r="B191" s="329" t="str">
        <f t="shared" si="58"/>
        <v>Laptop Cable Lock</v>
      </c>
      <c r="C191" s="329" t="str">
        <f t="shared" si="58"/>
        <v>Peripherals</v>
      </c>
      <c r="D191" s="329" t="str">
        <f t="shared" si="59"/>
        <v>Multi</v>
      </c>
      <c r="E191" s="329" t="str">
        <f t="shared" si="60"/>
        <v/>
      </c>
      <c r="F191" s="329" t="str">
        <f t="shared" si="61"/>
        <v>Laptop Cable Lock</v>
      </c>
      <c r="G191" s="329" t="str">
        <f t="shared" si="62"/>
        <v>CABLOK - Laptop Cable Lock</v>
      </c>
      <c r="H191" s="269">
        <v>1</v>
      </c>
      <c r="I191" s="330">
        <f t="shared" si="57"/>
        <v>0</v>
      </c>
      <c r="J191" s="330">
        <f t="shared" si="57"/>
        <v>0</v>
      </c>
      <c r="K191" s="442">
        <v>1</v>
      </c>
      <c r="L191" s="330">
        <f t="shared" si="55"/>
        <v>0</v>
      </c>
      <c r="M191" s="330">
        <f t="shared" si="56"/>
        <v>0</v>
      </c>
      <c r="N191" s="330"/>
      <c r="O191" s="272" t="s">
        <v>539</v>
      </c>
      <c r="P191" s="271" t="s">
        <v>152</v>
      </c>
      <c r="Q191" s="272" t="s">
        <v>638</v>
      </c>
      <c r="R191" s="272" t="s">
        <v>651</v>
      </c>
      <c r="S191" s="272" t="s">
        <v>639</v>
      </c>
      <c r="T191" s="274" t="str">
        <f t="shared" si="40"/>
        <v>FIFA Media</v>
      </c>
      <c r="U191" s="275"/>
      <c r="V191" s="358" t="s">
        <v>514</v>
      </c>
    </row>
    <row r="192" spans="1:22" s="276" customFormat="1" ht="15.75" hidden="1" customHeight="1">
      <c r="A192" s="267" t="s">
        <v>562</v>
      </c>
      <c r="B192" s="329" t="str">
        <f t="shared" si="58"/>
        <v>Laptop Cable Lock</v>
      </c>
      <c r="C192" s="329" t="str">
        <f t="shared" si="58"/>
        <v>Peripherals</v>
      </c>
      <c r="D192" s="329" t="str">
        <f t="shared" si="59"/>
        <v>Multi</v>
      </c>
      <c r="E192" s="329" t="str">
        <f t="shared" si="60"/>
        <v/>
      </c>
      <c r="F192" s="329" t="str">
        <f t="shared" si="61"/>
        <v>Laptop Cable Lock</v>
      </c>
      <c r="G192" s="329" t="str">
        <f t="shared" si="62"/>
        <v>CABLOK - Laptop Cable Lock</v>
      </c>
      <c r="H192" s="269">
        <v>2</v>
      </c>
      <c r="I192" s="330">
        <f t="shared" si="57"/>
        <v>0</v>
      </c>
      <c r="J192" s="330">
        <f t="shared" si="57"/>
        <v>0</v>
      </c>
      <c r="K192" s="442">
        <v>2</v>
      </c>
      <c r="L192" s="330">
        <f t="shared" si="55"/>
        <v>0</v>
      </c>
      <c r="M192" s="330">
        <f t="shared" si="56"/>
        <v>0</v>
      </c>
      <c r="N192" s="330"/>
      <c r="O192" s="272" t="s">
        <v>539</v>
      </c>
      <c r="P192" s="271" t="s">
        <v>152</v>
      </c>
      <c r="Q192" s="272" t="s">
        <v>583</v>
      </c>
      <c r="R192" s="273" t="s">
        <v>583</v>
      </c>
      <c r="S192" s="272" t="s">
        <v>639</v>
      </c>
      <c r="T192" s="274" t="str">
        <f t="shared" si="40"/>
        <v>FIFA Media</v>
      </c>
      <c r="U192" s="275"/>
      <c r="V192" s="358" t="s">
        <v>514</v>
      </c>
    </row>
    <row r="193" spans="1:22" s="276" customFormat="1" ht="15.75" hidden="1" customHeight="1">
      <c r="A193" s="277" t="s">
        <v>652</v>
      </c>
      <c r="B193" s="329" t="s">
        <v>653</v>
      </c>
      <c r="C193" s="329" t="str">
        <f t="shared" ref="C193:C256" si="63">IF($A193="","",VLOOKUP($A193,ps_table,MATCH(C$2,ps_headers,0),FALSE))</f>
        <v>Peripherals</v>
      </c>
      <c r="D193" s="329" t="str">
        <f t="shared" si="59"/>
        <v>Multi</v>
      </c>
      <c r="E193" s="329" t="str">
        <f t="shared" si="60"/>
        <v/>
      </c>
      <c r="F193" s="329" t="str">
        <f t="shared" si="61"/>
        <v>Webcam</v>
      </c>
      <c r="G193" s="329" t="str">
        <f t="shared" si="62"/>
        <v>CAM001 - Webcam</v>
      </c>
      <c r="H193" s="269">
        <v>1</v>
      </c>
      <c r="I193" s="330">
        <f t="shared" si="57"/>
        <v>0</v>
      </c>
      <c r="J193" s="330">
        <f t="shared" si="57"/>
        <v>0</v>
      </c>
      <c r="K193" s="442">
        <v>1</v>
      </c>
      <c r="L193" s="330">
        <f t="shared" si="55"/>
        <v>0</v>
      </c>
      <c r="M193" s="330">
        <f t="shared" si="56"/>
        <v>0</v>
      </c>
      <c r="N193" s="330"/>
      <c r="O193" s="272" t="s">
        <v>539</v>
      </c>
      <c r="P193" s="271" t="s">
        <v>152</v>
      </c>
      <c r="Q193" s="272" t="s">
        <v>583</v>
      </c>
      <c r="R193" s="273" t="s">
        <v>583</v>
      </c>
      <c r="S193" s="272" t="s">
        <v>639</v>
      </c>
      <c r="T193" s="274" t="str">
        <f t="shared" si="40"/>
        <v>FIFA Media</v>
      </c>
      <c r="U193" s="275" t="s">
        <v>654</v>
      </c>
      <c r="V193" s="358" t="s">
        <v>514</v>
      </c>
    </row>
    <row r="194" spans="1:22" s="276" customFormat="1" ht="15.75" hidden="1" customHeight="1">
      <c r="A194" s="277" t="s">
        <v>640</v>
      </c>
      <c r="B194" s="329" t="str">
        <f t="shared" ref="B194:B257" si="64">IF($A194="","",VLOOKUP($A194,ps_table,MATCH(B$2,ps_headers,0),FALSE))</f>
        <v>Wireless coverage - Internet Service - Wi-Fi Media</v>
      </c>
      <c r="C194" s="329" t="str">
        <f t="shared" si="63"/>
        <v>Network &amp; Connectivity</v>
      </c>
      <c r="D194" s="329" t="str">
        <f t="shared" si="59"/>
        <v/>
      </c>
      <c r="E194" s="329" t="str">
        <f t="shared" si="60"/>
        <v>Media Internet Access</v>
      </c>
      <c r="F194" s="329" t="str">
        <f t="shared" si="61"/>
        <v>Wireless coverage - Internet Service - Media</v>
      </c>
      <c r="G194" s="329" t="str">
        <f t="shared" si="62"/>
        <v>IS00WM - Wireless coverage - Internet Service - Wi-Fi Media (Media Internet Access)</v>
      </c>
      <c r="H194" s="269">
        <v>1</v>
      </c>
      <c r="I194" s="330">
        <f t="shared" si="57"/>
        <v>0</v>
      </c>
      <c r="J194" s="330">
        <f t="shared" si="57"/>
        <v>0</v>
      </c>
      <c r="K194" s="442">
        <v>1</v>
      </c>
      <c r="L194" s="330">
        <f t="shared" si="55"/>
        <v>0</v>
      </c>
      <c r="M194" s="330">
        <f t="shared" si="56"/>
        <v>0</v>
      </c>
      <c r="N194" s="330"/>
      <c r="O194" s="272" t="s">
        <v>511</v>
      </c>
      <c r="P194" s="271" t="s">
        <v>152</v>
      </c>
      <c r="Q194" s="272" t="s">
        <v>638</v>
      </c>
      <c r="R194" s="272" t="s">
        <v>655</v>
      </c>
      <c r="S194" s="273" t="s">
        <v>639</v>
      </c>
      <c r="T194" s="274" t="str">
        <f t="shared" si="40"/>
        <v>FIFA Media</v>
      </c>
      <c r="U194" s="275"/>
      <c r="V194" s="358" t="s">
        <v>520</v>
      </c>
    </row>
    <row r="195" spans="1:22" s="276" customFormat="1" ht="15.75" hidden="1" customHeight="1">
      <c r="A195" s="267" t="s">
        <v>640</v>
      </c>
      <c r="B195" s="329" t="str">
        <f t="shared" si="64"/>
        <v>Wireless coverage - Internet Service - Wi-Fi Media</v>
      </c>
      <c r="C195" s="329" t="str">
        <f t="shared" si="63"/>
        <v>Network &amp; Connectivity</v>
      </c>
      <c r="D195" s="329" t="str">
        <f t="shared" si="59"/>
        <v/>
      </c>
      <c r="E195" s="329" t="str">
        <f t="shared" si="60"/>
        <v>Media Internet Access</v>
      </c>
      <c r="F195" s="329" t="str">
        <f t="shared" si="61"/>
        <v>Wireless coverage - Internet Service - Media</v>
      </c>
      <c r="G195" s="329" t="str">
        <f t="shared" si="62"/>
        <v>IS00WM - Wireless coverage - Internet Service - Wi-Fi Media (Media Internet Access)</v>
      </c>
      <c r="H195" s="269">
        <v>1</v>
      </c>
      <c r="I195" s="330">
        <f t="shared" si="57"/>
        <v>0</v>
      </c>
      <c r="J195" s="330">
        <f t="shared" si="57"/>
        <v>0</v>
      </c>
      <c r="K195" s="442">
        <v>1</v>
      </c>
      <c r="L195" s="330">
        <f t="shared" si="55"/>
        <v>0</v>
      </c>
      <c r="M195" s="330">
        <f t="shared" si="56"/>
        <v>0</v>
      </c>
      <c r="N195" s="330"/>
      <c r="O195" s="272" t="s">
        <v>511</v>
      </c>
      <c r="P195" s="271" t="s">
        <v>152</v>
      </c>
      <c r="Q195" s="272" t="s">
        <v>656</v>
      </c>
      <c r="R195" s="272" t="s">
        <v>656</v>
      </c>
      <c r="S195" s="273" t="s">
        <v>639</v>
      </c>
      <c r="T195" s="274" t="str">
        <f t="shared" ref="T195:T258" si="65">IF(S195="","",S195)</f>
        <v>FIFA Media</v>
      </c>
      <c r="U195" s="275"/>
      <c r="V195" s="358" t="s">
        <v>520</v>
      </c>
    </row>
    <row r="196" spans="1:22" s="276" customFormat="1" ht="15.75" hidden="1" customHeight="1">
      <c r="A196" s="277" t="s">
        <v>640</v>
      </c>
      <c r="B196" s="329" t="str">
        <f t="shared" si="64"/>
        <v>Wireless coverage - Internet Service - Wi-Fi Media</v>
      </c>
      <c r="C196" s="329" t="str">
        <f t="shared" si="63"/>
        <v>Network &amp; Connectivity</v>
      </c>
      <c r="D196" s="329" t="str">
        <f t="shared" si="59"/>
        <v/>
      </c>
      <c r="E196" s="329" t="str">
        <f t="shared" si="60"/>
        <v>Media Internet Access</v>
      </c>
      <c r="F196" s="329" t="str">
        <f t="shared" si="61"/>
        <v>Wireless coverage - Internet Service - Media</v>
      </c>
      <c r="G196" s="329" t="str">
        <f t="shared" si="62"/>
        <v>IS00WM - Wireless coverage - Internet Service - Wi-Fi Media (Media Internet Access)</v>
      </c>
      <c r="H196" s="269">
        <v>1</v>
      </c>
      <c r="I196" s="330">
        <f t="shared" si="57"/>
        <v>0</v>
      </c>
      <c r="J196" s="330">
        <f t="shared" si="57"/>
        <v>0</v>
      </c>
      <c r="K196" s="442">
        <v>1</v>
      </c>
      <c r="L196" s="330">
        <f t="shared" ref="L196:L217" si="66">IF($A196="","",$K196*VLOOKUP($A196,ps_table,MATCH(L$2,ps_headers,0),FALSE))</f>
        <v>0</v>
      </c>
      <c r="M196" s="330">
        <f t="shared" si="56"/>
        <v>0</v>
      </c>
      <c r="N196" s="330"/>
      <c r="O196" s="272" t="s">
        <v>511</v>
      </c>
      <c r="P196" s="271" t="s">
        <v>152</v>
      </c>
      <c r="Q196" s="272" t="s">
        <v>638</v>
      </c>
      <c r="R196" s="331" t="s">
        <v>638</v>
      </c>
      <c r="S196" s="273" t="s">
        <v>639</v>
      </c>
      <c r="T196" s="274" t="str">
        <f t="shared" si="65"/>
        <v>FIFA Media</v>
      </c>
      <c r="U196" s="275"/>
      <c r="V196" s="358" t="s">
        <v>520</v>
      </c>
    </row>
    <row r="197" spans="1:22" s="276" customFormat="1" ht="15.75" hidden="1" customHeight="1">
      <c r="A197" s="267" t="s">
        <v>640</v>
      </c>
      <c r="B197" s="329" t="str">
        <f t="shared" si="64"/>
        <v>Wireless coverage - Internet Service - Wi-Fi Media</v>
      </c>
      <c r="C197" s="329" t="str">
        <f t="shared" si="63"/>
        <v>Network &amp; Connectivity</v>
      </c>
      <c r="D197" s="329" t="str">
        <f t="shared" si="59"/>
        <v/>
      </c>
      <c r="E197" s="329" t="str">
        <f t="shared" si="60"/>
        <v>Media Internet Access</v>
      </c>
      <c r="F197" s="329" t="str">
        <f t="shared" si="61"/>
        <v>Wireless coverage - Internet Service - Media</v>
      </c>
      <c r="G197" s="329" t="str">
        <f t="shared" si="62"/>
        <v>IS00WM - Wireless coverage - Internet Service - Wi-Fi Media (Media Internet Access)</v>
      </c>
      <c r="H197" s="269">
        <v>1</v>
      </c>
      <c r="I197" s="330">
        <f t="shared" si="57"/>
        <v>0</v>
      </c>
      <c r="J197" s="330">
        <f t="shared" si="57"/>
        <v>0</v>
      </c>
      <c r="K197" s="442">
        <v>1</v>
      </c>
      <c r="L197" s="330">
        <f t="shared" si="66"/>
        <v>0</v>
      </c>
      <c r="M197" s="330">
        <f t="shared" si="56"/>
        <v>0</v>
      </c>
      <c r="N197" s="330"/>
      <c r="O197" s="331" t="s">
        <v>511</v>
      </c>
      <c r="P197" s="271" t="s">
        <v>152</v>
      </c>
      <c r="Q197" s="272" t="s">
        <v>563</v>
      </c>
      <c r="R197" s="331" t="s">
        <v>642</v>
      </c>
      <c r="S197" s="273" t="s">
        <v>639</v>
      </c>
      <c r="T197" s="274" t="str">
        <f t="shared" si="65"/>
        <v>FIFA Media</v>
      </c>
      <c r="U197" s="275" t="s">
        <v>657</v>
      </c>
      <c r="V197" s="358" t="s">
        <v>520</v>
      </c>
    </row>
    <row r="198" spans="1:22" s="276" customFormat="1" ht="15.75" hidden="1" customHeight="1">
      <c r="A198" s="267" t="s">
        <v>640</v>
      </c>
      <c r="B198" s="329" t="str">
        <f t="shared" si="64"/>
        <v>Wireless coverage - Internet Service - Wi-Fi Media</v>
      </c>
      <c r="C198" s="329" t="str">
        <f t="shared" si="63"/>
        <v>Network &amp; Connectivity</v>
      </c>
      <c r="D198" s="329" t="str">
        <f t="shared" si="59"/>
        <v/>
      </c>
      <c r="E198" s="329" t="str">
        <f t="shared" si="60"/>
        <v>Media Internet Access</v>
      </c>
      <c r="F198" s="329" t="str">
        <f t="shared" si="61"/>
        <v>Wireless coverage - Internet Service - Media</v>
      </c>
      <c r="G198" s="329" t="str">
        <f t="shared" si="62"/>
        <v>IS00WM - Wireless coverage - Internet Service - Wi-Fi Media (Media Internet Access)</v>
      </c>
      <c r="H198" s="269">
        <v>1</v>
      </c>
      <c r="I198" s="330">
        <f t="shared" ref="I198:J217" si="67">IF($A198="","",$K198*VLOOKUP($A198,ps_table,MATCH(I$2,ps_headers,0),FALSE))</f>
        <v>0</v>
      </c>
      <c r="J198" s="330">
        <f t="shared" si="67"/>
        <v>0</v>
      </c>
      <c r="K198" s="442">
        <v>1</v>
      </c>
      <c r="L198" s="330">
        <f t="shared" si="66"/>
        <v>0</v>
      </c>
      <c r="M198" s="330">
        <v>0</v>
      </c>
      <c r="N198" s="330"/>
      <c r="O198" s="272" t="s">
        <v>511</v>
      </c>
      <c r="P198" s="271" t="s">
        <v>152</v>
      </c>
      <c r="Q198" s="272" t="s">
        <v>638</v>
      </c>
      <c r="R198" s="272" t="s">
        <v>651</v>
      </c>
      <c r="S198" s="272" t="s">
        <v>639</v>
      </c>
      <c r="T198" s="274" t="str">
        <f t="shared" si="65"/>
        <v>FIFA Media</v>
      </c>
      <c r="U198" s="275"/>
      <c r="V198" s="358" t="s">
        <v>520</v>
      </c>
    </row>
    <row r="199" spans="1:22" s="276" customFormat="1" ht="15.75" hidden="1" customHeight="1">
      <c r="A199" s="267" t="s">
        <v>640</v>
      </c>
      <c r="B199" s="329" t="str">
        <f t="shared" si="64"/>
        <v>Wireless coverage - Internet Service - Wi-Fi Media</v>
      </c>
      <c r="C199" s="329" t="str">
        <f t="shared" si="63"/>
        <v>Network &amp; Connectivity</v>
      </c>
      <c r="D199" s="329" t="str">
        <f t="shared" si="59"/>
        <v/>
      </c>
      <c r="E199" s="329" t="str">
        <f t="shared" si="60"/>
        <v>Media Internet Access</v>
      </c>
      <c r="F199" s="329" t="str">
        <f t="shared" si="61"/>
        <v>Wireless coverage - Internet Service - Media</v>
      </c>
      <c r="G199" s="329" t="str">
        <f t="shared" si="62"/>
        <v>IS00WM - Wireless coverage - Internet Service - Wi-Fi Media (Media Internet Access)</v>
      </c>
      <c r="H199" s="269">
        <v>1</v>
      </c>
      <c r="I199" s="330">
        <f t="shared" si="67"/>
        <v>0</v>
      </c>
      <c r="J199" s="330">
        <f t="shared" si="67"/>
        <v>0</v>
      </c>
      <c r="K199" s="442">
        <v>1</v>
      </c>
      <c r="L199" s="330">
        <f t="shared" si="66"/>
        <v>0</v>
      </c>
      <c r="M199" s="330">
        <f t="shared" ref="M199:M207" si="68">IF($A199="","",$K199*VLOOKUP($A199,ps_table,MATCH(M$2,ps_headers,0),FALSE))</f>
        <v>0</v>
      </c>
      <c r="N199" s="330"/>
      <c r="O199" s="272" t="s">
        <v>511</v>
      </c>
      <c r="P199" s="271" t="s">
        <v>152</v>
      </c>
      <c r="Q199" s="272" t="s">
        <v>569</v>
      </c>
      <c r="R199" s="331" t="s">
        <v>644</v>
      </c>
      <c r="S199" s="273" t="s">
        <v>639</v>
      </c>
      <c r="T199" s="274" t="str">
        <f t="shared" si="65"/>
        <v>FIFA Media</v>
      </c>
      <c r="U199" s="275"/>
      <c r="V199" s="358" t="s">
        <v>520</v>
      </c>
    </row>
    <row r="200" spans="1:22" s="276" customFormat="1" ht="15.75" hidden="1" customHeight="1">
      <c r="A200" s="267" t="s">
        <v>640</v>
      </c>
      <c r="B200" s="329" t="str">
        <f t="shared" si="64"/>
        <v>Wireless coverage - Internet Service - Wi-Fi Media</v>
      </c>
      <c r="C200" s="329" t="str">
        <f t="shared" si="63"/>
        <v>Network &amp; Connectivity</v>
      </c>
      <c r="D200" s="329" t="str">
        <f t="shared" si="59"/>
        <v/>
      </c>
      <c r="E200" s="329" t="str">
        <f t="shared" si="60"/>
        <v>Media Internet Access</v>
      </c>
      <c r="F200" s="329" t="str">
        <f t="shared" si="61"/>
        <v>Wireless coverage - Internet Service - Media</v>
      </c>
      <c r="G200" s="329" t="str">
        <f t="shared" si="62"/>
        <v>IS00WM - Wireless coverage - Internet Service - Wi-Fi Media (Media Internet Access)</v>
      </c>
      <c r="H200" s="269">
        <v>1</v>
      </c>
      <c r="I200" s="330">
        <f t="shared" si="67"/>
        <v>0</v>
      </c>
      <c r="J200" s="330">
        <f t="shared" si="67"/>
        <v>0</v>
      </c>
      <c r="K200" s="442">
        <v>1</v>
      </c>
      <c r="L200" s="330">
        <f t="shared" si="66"/>
        <v>0</v>
      </c>
      <c r="M200" s="330">
        <f t="shared" si="68"/>
        <v>0</v>
      </c>
      <c r="N200" s="330"/>
      <c r="O200" s="272" t="s">
        <v>511</v>
      </c>
      <c r="P200" s="271" t="s">
        <v>152</v>
      </c>
      <c r="Q200" s="272" t="s">
        <v>569</v>
      </c>
      <c r="R200" s="331" t="s">
        <v>645</v>
      </c>
      <c r="S200" s="273" t="s">
        <v>639</v>
      </c>
      <c r="T200" s="274" t="str">
        <f t="shared" si="65"/>
        <v>FIFA Media</v>
      </c>
      <c r="U200" s="275"/>
      <c r="V200" s="358" t="s">
        <v>520</v>
      </c>
    </row>
    <row r="201" spans="1:22" s="276" customFormat="1" ht="15.75" hidden="1" customHeight="1">
      <c r="A201" s="267" t="s">
        <v>640</v>
      </c>
      <c r="B201" s="329" t="str">
        <f t="shared" si="64"/>
        <v>Wireless coverage - Internet Service - Wi-Fi Media</v>
      </c>
      <c r="C201" s="329" t="str">
        <f t="shared" si="63"/>
        <v>Network &amp; Connectivity</v>
      </c>
      <c r="D201" s="329" t="str">
        <f t="shared" si="59"/>
        <v/>
      </c>
      <c r="E201" s="329" t="str">
        <f t="shared" si="60"/>
        <v>Media Internet Access</v>
      </c>
      <c r="F201" s="329" t="str">
        <f t="shared" si="61"/>
        <v>Wireless coverage - Internet Service - Media</v>
      </c>
      <c r="G201" s="329" t="str">
        <f t="shared" si="62"/>
        <v>IS00WM - Wireless coverage - Internet Service - Wi-Fi Media (Media Internet Access)</v>
      </c>
      <c r="H201" s="269">
        <v>1</v>
      </c>
      <c r="I201" s="330">
        <f t="shared" si="67"/>
        <v>0</v>
      </c>
      <c r="J201" s="330">
        <f t="shared" si="67"/>
        <v>0</v>
      </c>
      <c r="K201" s="442">
        <v>1</v>
      </c>
      <c r="L201" s="330">
        <f t="shared" si="66"/>
        <v>0</v>
      </c>
      <c r="M201" s="330">
        <f t="shared" si="68"/>
        <v>0</v>
      </c>
      <c r="N201" s="330"/>
      <c r="O201" s="272" t="s">
        <v>511</v>
      </c>
      <c r="P201" s="271" t="s">
        <v>152</v>
      </c>
      <c r="Q201" s="272" t="s">
        <v>569</v>
      </c>
      <c r="R201" s="331" t="s">
        <v>649</v>
      </c>
      <c r="S201" s="273" t="s">
        <v>639</v>
      </c>
      <c r="T201" s="274" t="str">
        <f t="shared" si="65"/>
        <v>FIFA Media</v>
      </c>
      <c r="U201" s="275"/>
      <c r="V201" s="358" t="s">
        <v>520</v>
      </c>
    </row>
    <row r="202" spans="1:22" s="326" customFormat="1" ht="15.75" hidden="1" customHeight="1">
      <c r="A202" s="267" t="s">
        <v>640</v>
      </c>
      <c r="B202" s="329" t="str">
        <f t="shared" si="64"/>
        <v>Wireless coverage - Internet Service - Wi-Fi Media</v>
      </c>
      <c r="C202" s="329" t="str">
        <f t="shared" si="63"/>
        <v>Network &amp; Connectivity</v>
      </c>
      <c r="D202" s="329" t="str">
        <f t="shared" si="59"/>
        <v/>
      </c>
      <c r="E202" s="329" t="str">
        <f t="shared" si="60"/>
        <v>Media Internet Access</v>
      </c>
      <c r="F202" s="329" t="str">
        <f t="shared" si="61"/>
        <v>Wireless coverage - Internet Service - Media</v>
      </c>
      <c r="G202" s="329" t="str">
        <f t="shared" si="62"/>
        <v>IS00WM - Wireless coverage - Internet Service - Wi-Fi Media (Media Internet Access)</v>
      </c>
      <c r="H202" s="269">
        <v>1</v>
      </c>
      <c r="I202" s="330">
        <f t="shared" si="67"/>
        <v>0</v>
      </c>
      <c r="J202" s="330">
        <f t="shared" si="67"/>
        <v>0</v>
      </c>
      <c r="K202" s="442">
        <v>1</v>
      </c>
      <c r="L202" s="330">
        <f t="shared" si="66"/>
        <v>0</v>
      </c>
      <c r="M202" s="330">
        <f t="shared" si="68"/>
        <v>0</v>
      </c>
      <c r="N202" s="330"/>
      <c r="O202" s="272" t="s">
        <v>511</v>
      </c>
      <c r="P202" s="271" t="s">
        <v>152</v>
      </c>
      <c r="Q202" s="272" t="s">
        <v>569</v>
      </c>
      <c r="R202" s="331" t="s">
        <v>648</v>
      </c>
      <c r="S202" s="273" t="s">
        <v>639</v>
      </c>
      <c r="T202" s="274" t="str">
        <f t="shared" si="65"/>
        <v>FIFA Media</v>
      </c>
      <c r="U202" s="275"/>
      <c r="V202" s="358" t="s">
        <v>520</v>
      </c>
    </row>
    <row r="203" spans="1:22" s="326" customFormat="1" ht="15.75" hidden="1" customHeight="1">
      <c r="A203" s="267" t="s">
        <v>640</v>
      </c>
      <c r="B203" s="329" t="str">
        <f t="shared" si="64"/>
        <v>Wireless coverage - Internet Service - Wi-Fi Media</v>
      </c>
      <c r="C203" s="329" t="str">
        <f t="shared" si="63"/>
        <v>Network &amp; Connectivity</v>
      </c>
      <c r="D203" s="329" t="str">
        <f t="shared" si="59"/>
        <v/>
      </c>
      <c r="E203" s="329" t="str">
        <f t="shared" si="60"/>
        <v>Media Internet Access</v>
      </c>
      <c r="F203" s="329" t="str">
        <f t="shared" si="61"/>
        <v>Wireless coverage - Internet Service - Media</v>
      </c>
      <c r="G203" s="329" t="str">
        <f t="shared" si="62"/>
        <v>IS00WM - Wireless coverage - Internet Service - Wi-Fi Media (Media Internet Access)</v>
      </c>
      <c r="H203" s="269">
        <v>1</v>
      </c>
      <c r="I203" s="330">
        <f t="shared" si="67"/>
        <v>0</v>
      </c>
      <c r="J203" s="330">
        <f t="shared" si="67"/>
        <v>0</v>
      </c>
      <c r="K203" s="442">
        <v>1</v>
      </c>
      <c r="L203" s="330">
        <f t="shared" si="66"/>
        <v>0</v>
      </c>
      <c r="M203" s="330">
        <f t="shared" si="68"/>
        <v>0</v>
      </c>
      <c r="N203" s="330"/>
      <c r="O203" s="272" t="s">
        <v>511</v>
      </c>
      <c r="P203" s="271" t="s">
        <v>152</v>
      </c>
      <c r="Q203" s="272" t="s">
        <v>569</v>
      </c>
      <c r="R203" s="331" t="s">
        <v>646</v>
      </c>
      <c r="S203" s="273" t="s">
        <v>639</v>
      </c>
      <c r="T203" s="274" t="str">
        <f t="shared" si="65"/>
        <v>FIFA Media</v>
      </c>
      <c r="U203" s="275"/>
      <c r="V203" s="358" t="s">
        <v>520</v>
      </c>
    </row>
    <row r="204" spans="1:22" s="276" customFormat="1" ht="15.75" hidden="1" customHeight="1">
      <c r="A204" s="267" t="s">
        <v>640</v>
      </c>
      <c r="B204" s="329" t="str">
        <f t="shared" si="64"/>
        <v>Wireless coverage - Internet Service - Wi-Fi Media</v>
      </c>
      <c r="C204" s="329" t="str">
        <f t="shared" si="63"/>
        <v>Network &amp; Connectivity</v>
      </c>
      <c r="D204" s="329" t="str">
        <f t="shared" si="59"/>
        <v/>
      </c>
      <c r="E204" s="329" t="str">
        <f t="shared" si="60"/>
        <v>Media Internet Access</v>
      </c>
      <c r="F204" s="329" t="str">
        <f t="shared" si="61"/>
        <v>Wireless coverage - Internet Service - Media</v>
      </c>
      <c r="G204" s="329" t="str">
        <f t="shared" si="62"/>
        <v>IS00WM - Wireless coverage - Internet Service - Wi-Fi Media (Media Internet Access)</v>
      </c>
      <c r="H204" s="269">
        <v>1</v>
      </c>
      <c r="I204" s="330">
        <f t="shared" si="67"/>
        <v>0</v>
      </c>
      <c r="J204" s="330">
        <f t="shared" si="67"/>
        <v>0</v>
      </c>
      <c r="K204" s="442">
        <v>1</v>
      </c>
      <c r="L204" s="330">
        <f t="shared" si="66"/>
        <v>0</v>
      </c>
      <c r="M204" s="330">
        <f t="shared" si="68"/>
        <v>0</v>
      </c>
      <c r="N204" s="330"/>
      <c r="O204" s="272" t="s">
        <v>511</v>
      </c>
      <c r="P204" s="271" t="s">
        <v>152</v>
      </c>
      <c r="Q204" s="272" t="s">
        <v>569</v>
      </c>
      <c r="R204" s="273" t="s">
        <v>647</v>
      </c>
      <c r="S204" s="273" t="s">
        <v>639</v>
      </c>
      <c r="T204" s="274" t="str">
        <f t="shared" si="65"/>
        <v>FIFA Media</v>
      </c>
      <c r="U204" s="275"/>
      <c r="V204" s="358" t="s">
        <v>520</v>
      </c>
    </row>
    <row r="205" spans="1:22" s="276" customFormat="1" ht="15.75" hidden="1" customHeight="1">
      <c r="A205" s="277" t="s">
        <v>658</v>
      </c>
      <c r="B205" s="329" t="str">
        <f t="shared" si="64"/>
        <v>Wireless coverage - Internet Service - Wi-Fi Media</v>
      </c>
      <c r="C205" s="329" t="str">
        <f t="shared" si="63"/>
        <v>Network &amp; Connectivity</v>
      </c>
      <c r="D205" s="329" t="str">
        <f t="shared" si="59"/>
        <v/>
      </c>
      <c r="E205" s="329" t="str">
        <f t="shared" si="60"/>
        <v>Media Internet Access</v>
      </c>
      <c r="F205" s="329" t="str">
        <f t="shared" si="61"/>
        <v>Wireless coverage - Internet Service - Media</v>
      </c>
      <c r="G205" s="329" t="str">
        <f t="shared" si="62"/>
        <v>IS00Wm - Wireless coverage - Internet Service - Wi-Fi Media (Media Internet Access)</v>
      </c>
      <c r="H205" s="269">
        <v>1</v>
      </c>
      <c r="I205" s="330">
        <f t="shared" si="67"/>
        <v>0</v>
      </c>
      <c r="J205" s="330">
        <f t="shared" si="67"/>
        <v>0</v>
      </c>
      <c r="K205" s="442">
        <v>1</v>
      </c>
      <c r="L205" s="330">
        <f t="shared" si="66"/>
        <v>0</v>
      </c>
      <c r="M205" s="330">
        <f t="shared" si="68"/>
        <v>0</v>
      </c>
      <c r="N205" s="330"/>
      <c r="O205" s="272" t="s">
        <v>511</v>
      </c>
      <c r="P205" s="271" t="s">
        <v>152</v>
      </c>
      <c r="Q205" s="272" t="s">
        <v>583</v>
      </c>
      <c r="R205" s="272" t="s">
        <v>583</v>
      </c>
      <c r="S205" s="273" t="s">
        <v>639</v>
      </c>
      <c r="T205" s="274" t="str">
        <f t="shared" si="65"/>
        <v>FIFA Media</v>
      </c>
      <c r="U205" s="275"/>
      <c r="V205" s="358" t="s">
        <v>520</v>
      </c>
    </row>
    <row r="206" spans="1:22" s="276" customFormat="1" ht="15.75" hidden="1" customHeight="1">
      <c r="A206" s="277" t="s">
        <v>591</v>
      </c>
      <c r="B206" s="329" t="str">
        <f t="shared" si="64"/>
        <v>Laptop - FIFA Event Build</v>
      </c>
      <c r="C206" s="329" t="str">
        <f t="shared" si="63"/>
        <v>FIFA IT Hardware</v>
      </c>
      <c r="D206" s="329" t="str">
        <f t="shared" si="59"/>
        <v>Single</v>
      </c>
      <c r="E206" s="329" t="str">
        <f t="shared" si="60"/>
        <v/>
      </c>
      <c r="F206" s="329" t="str">
        <f t="shared" si="61"/>
        <v>FIFA Laptop</v>
      </c>
      <c r="G206" s="329" t="str">
        <f t="shared" si="62"/>
        <v>LAPEVT - Laptop - FIFA Event Build</v>
      </c>
      <c r="H206" s="269">
        <v>1</v>
      </c>
      <c r="I206" s="330">
        <f t="shared" si="67"/>
        <v>0</v>
      </c>
      <c r="J206" s="330">
        <f t="shared" si="67"/>
        <v>0</v>
      </c>
      <c r="K206" s="442">
        <v>1</v>
      </c>
      <c r="L206" s="330">
        <f t="shared" si="66"/>
        <v>0</v>
      </c>
      <c r="M206" s="330">
        <f t="shared" si="68"/>
        <v>0</v>
      </c>
      <c r="N206" s="330"/>
      <c r="O206" s="272" t="s">
        <v>539</v>
      </c>
      <c r="P206" s="271" t="s">
        <v>152</v>
      </c>
      <c r="Q206" s="272" t="s">
        <v>638</v>
      </c>
      <c r="R206" s="272" t="s">
        <v>651</v>
      </c>
      <c r="S206" s="273" t="s">
        <v>639</v>
      </c>
      <c r="T206" s="274" t="str">
        <f t="shared" si="65"/>
        <v>FIFA Media</v>
      </c>
      <c r="U206" s="275"/>
      <c r="V206" s="358" t="s">
        <v>514</v>
      </c>
    </row>
    <row r="207" spans="1:22" s="276" customFormat="1" ht="15.75" hidden="1" customHeight="1">
      <c r="A207" s="277" t="s">
        <v>591</v>
      </c>
      <c r="B207" s="329" t="str">
        <f t="shared" si="64"/>
        <v>Laptop - FIFA Event Build</v>
      </c>
      <c r="C207" s="329" t="str">
        <f t="shared" si="63"/>
        <v>FIFA IT Hardware</v>
      </c>
      <c r="D207" s="329" t="str">
        <f t="shared" si="59"/>
        <v>Single</v>
      </c>
      <c r="E207" s="329" t="str">
        <f t="shared" si="60"/>
        <v/>
      </c>
      <c r="F207" s="329" t="str">
        <f t="shared" si="61"/>
        <v>FIFA Laptop</v>
      </c>
      <c r="G207" s="329" t="str">
        <f t="shared" si="62"/>
        <v>LAPEVT - Laptop - FIFA Event Build</v>
      </c>
      <c r="H207" s="269">
        <v>2</v>
      </c>
      <c r="I207" s="330">
        <f t="shared" si="67"/>
        <v>0</v>
      </c>
      <c r="J207" s="330">
        <f t="shared" si="67"/>
        <v>0</v>
      </c>
      <c r="K207" s="442">
        <v>2</v>
      </c>
      <c r="L207" s="330">
        <f t="shared" si="66"/>
        <v>0</v>
      </c>
      <c r="M207" s="330">
        <f t="shared" si="68"/>
        <v>0</v>
      </c>
      <c r="N207" s="330"/>
      <c r="O207" s="272" t="s">
        <v>539</v>
      </c>
      <c r="P207" s="271" t="s">
        <v>152</v>
      </c>
      <c r="Q207" s="272" t="s">
        <v>583</v>
      </c>
      <c r="R207" s="273" t="s">
        <v>583</v>
      </c>
      <c r="S207" s="272" t="s">
        <v>639</v>
      </c>
      <c r="T207" s="274" t="str">
        <f t="shared" si="65"/>
        <v>FIFA Media</v>
      </c>
      <c r="U207" s="275"/>
      <c r="V207" s="358" t="s">
        <v>514</v>
      </c>
    </row>
    <row r="208" spans="1:22" s="276" customFormat="1" ht="15.75" hidden="1" customHeight="1">
      <c r="A208" s="267" t="s">
        <v>597</v>
      </c>
      <c r="B208" s="329" t="str">
        <f t="shared" si="64"/>
        <v>Telephone - Mobile - Smart Phone</v>
      </c>
      <c r="C208" s="329" t="str">
        <f t="shared" si="63"/>
        <v>Telephony</v>
      </c>
      <c r="D208" s="329" t="str">
        <f t="shared" si="59"/>
        <v>Single</v>
      </c>
      <c r="E208" s="329" t="str">
        <f t="shared" si="60"/>
        <v/>
      </c>
      <c r="F208" s="329" t="str">
        <f t="shared" si="61"/>
        <v>Smart Phone</v>
      </c>
      <c r="G208" s="329" t="str">
        <f t="shared" si="62"/>
        <v>TELMOB - Telephone - Mobile - Smart Phone</v>
      </c>
      <c r="H208" s="269">
        <v>6</v>
      </c>
      <c r="I208" s="330">
        <f t="shared" si="67"/>
        <v>0</v>
      </c>
      <c r="J208" s="330">
        <f t="shared" si="67"/>
        <v>6</v>
      </c>
      <c r="K208" s="442">
        <v>6</v>
      </c>
      <c r="L208" s="330">
        <f t="shared" si="66"/>
        <v>0</v>
      </c>
      <c r="M208" s="330">
        <v>6</v>
      </c>
      <c r="N208" s="330"/>
      <c r="O208" s="272" t="s">
        <v>539</v>
      </c>
      <c r="P208" s="271" t="s">
        <v>152</v>
      </c>
      <c r="Q208" s="272" t="s">
        <v>583</v>
      </c>
      <c r="R208" s="273" t="s">
        <v>583</v>
      </c>
      <c r="S208" s="272" t="s">
        <v>639</v>
      </c>
      <c r="T208" s="274" t="str">
        <f t="shared" si="65"/>
        <v>FIFA Media</v>
      </c>
      <c r="U208" s="275"/>
      <c r="V208" s="358" t="s">
        <v>594</v>
      </c>
    </row>
    <row r="209" spans="1:22" s="276" customFormat="1" ht="15.75" hidden="1" customHeight="1">
      <c r="A209" s="267" t="s">
        <v>188</v>
      </c>
      <c r="B209" s="329" t="str">
        <f t="shared" si="64"/>
        <v>SIM - Data Only</v>
      </c>
      <c r="C209" s="329" t="str">
        <f t="shared" si="63"/>
        <v>Telephony</v>
      </c>
      <c r="D209" s="329" t="str">
        <f t="shared" si="59"/>
        <v/>
      </c>
      <c r="E209" s="329" t="str">
        <f t="shared" si="60"/>
        <v/>
      </c>
      <c r="F209" s="329" t="str">
        <f t="shared" si="61"/>
        <v>Local SIM Card - Data Only</v>
      </c>
      <c r="G209" s="329" t="str">
        <f t="shared" si="62"/>
        <v>SIMDAT - SIM - Data Only</v>
      </c>
      <c r="H209" s="269">
        <v>6</v>
      </c>
      <c r="I209" s="330">
        <f t="shared" si="67"/>
        <v>0</v>
      </c>
      <c r="J209" s="330">
        <f t="shared" si="67"/>
        <v>6</v>
      </c>
      <c r="K209" s="442">
        <v>6</v>
      </c>
      <c r="L209" s="330">
        <f t="shared" si="66"/>
        <v>0</v>
      </c>
      <c r="M209" s="330">
        <v>6</v>
      </c>
      <c r="N209" s="330"/>
      <c r="O209" s="272" t="s">
        <v>511</v>
      </c>
      <c r="P209" s="271" t="s">
        <v>152</v>
      </c>
      <c r="Q209" s="272" t="s">
        <v>583</v>
      </c>
      <c r="R209" s="273" t="s">
        <v>583</v>
      </c>
      <c r="S209" s="272" t="s">
        <v>639</v>
      </c>
      <c r="T209" s="274" t="str">
        <f t="shared" si="65"/>
        <v>FIFA Media</v>
      </c>
      <c r="U209" s="275"/>
      <c r="V209" s="358" t="s">
        <v>594</v>
      </c>
    </row>
    <row r="210" spans="1:22" s="276" customFormat="1" ht="15.75" hidden="1" customHeight="1">
      <c r="A210" s="267" t="s">
        <v>237</v>
      </c>
      <c r="B210" s="332" t="str">
        <f t="shared" si="64"/>
        <v>TV - Large - IPTV</v>
      </c>
      <c r="C210" s="329" t="str">
        <f t="shared" si="63"/>
        <v>CATV</v>
      </c>
      <c r="D210" s="329" t="str">
        <f t="shared" si="59"/>
        <v/>
      </c>
      <c r="E210" s="329" t="str">
        <f t="shared" si="60"/>
        <v/>
      </c>
      <c r="F210" s="329" t="str">
        <f t="shared" si="61"/>
        <v>Large TV - CATV Feed</v>
      </c>
      <c r="G210" s="329" t="str">
        <f t="shared" si="62"/>
        <v>TVLGIP - TV - Large - IPTV</v>
      </c>
      <c r="H210" s="269">
        <v>1</v>
      </c>
      <c r="I210" s="330">
        <f t="shared" si="67"/>
        <v>1</v>
      </c>
      <c r="J210" s="330">
        <f t="shared" si="67"/>
        <v>0</v>
      </c>
      <c r="K210" s="442">
        <v>1</v>
      </c>
      <c r="L210" s="330">
        <f t="shared" si="66"/>
        <v>1</v>
      </c>
      <c r="M210" s="330">
        <f t="shared" ref="M210:M217" si="69">IF($A210="","",$K210*VLOOKUP($A210,ps_table,MATCH(M$2,ps_headers,0),FALSE))</f>
        <v>0</v>
      </c>
      <c r="N210" s="330"/>
      <c r="O210" s="272" t="s">
        <v>511</v>
      </c>
      <c r="P210" s="271" t="s">
        <v>152</v>
      </c>
      <c r="Q210" s="272" t="s">
        <v>656</v>
      </c>
      <c r="R210" s="272" t="s">
        <v>656</v>
      </c>
      <c r="S210" s="273" t="s">
        <v>639</v>
      </c>
      <c r="T210" s="274" t="str">
        <f t="shared" si="65"/>
        <v>FIFA Media</v>
      </c>
      <c r="U210" s="275"/>
      <c r="V210" s="358" t="s">
        <v>247</v>
      </c>
    </row>
    <row r="211" spans="1:22" s="276" customFormat="1" ht="15.75" hidden="1" customHeight="1">
      <c r="A211" s="267" t="s">
        <v>237</v>
      </c>
      <c r="B211" s="332" t="str">
        <f t="shared" si="64"/>
        <v>TV - Large - IPTV</v>
      </c>
      <c r="C211" s="329" t="str">
        <f t="shared" si="63"/>
        <v>CATV</v>
      </c>
      <c r="D211" s="329" t="str">
        <f t="shared" si="59"/>
        <v/>
      </c>
      <c r="E211" s="329" t="str">
        <f t="shared" si="60"/>
        <v/>
      </c>
      <c r="F211" s="329" t="str">
        <f t="shared" si="61"/>
        <v>Large TV - CATV Feed</v>
      </c>
      <c r="G211" s="329" t="str">
        <f t="shared" si="62"/>
        <v>TVLGIP - TV - Large - IPTV</v>
      </c>
      <c r="H211" s="269">
        <v>1</v>
      </c>
      <c r="I211" s="330">
        <f t="shared" si="67"/>
        <v>1</v>
      </c>
      <c r="J211" s="330">
        <f t="shared" si="67"/>
        <v>0</v>
      </c>
      <c r="K211" s="442">
        <v>1</v>
      </c>
      <c r="L211" s="330">
        <f t="shared" si="66"/>
        <v>1</v>
      </c>
      <c r="M211" s="330">
        <f t="shared" si="69"/>
        <v>0</v>
      </c>
      <c r="N211" s="330"/>
      <c r="O211" s="272" t="s">
        <v>511</v>
      </c>
      <c r="P211" s="271" t="s">
        <v>152</v>
      </c>
      <c r="Q211" s="272" t="s">
        <v>638</v>
      </c>
      <c r="R211" s="331" t="s">
        <v>638</v>
      </c>
      <c r="S211" s="273" t="s">
        <v>639</v>
      </c>
      <c r="T211" s="274" t="str">
        <f t="shared" si="65"/>
        <v>FIFA Media</v>
      </c>
      <c r="U211" s="275"/>
      <c r="V211" s="358" t="s">
        <v>247</v>
      </c>
    </row>
    <row r="212" spans="1:22" s="276" customFormat="1" ht="15.75" hidden="1" customHeight="1">
      <c r="A212" s="267" t="s">
        <v>537</v>
      </c>
      <c r="B212" s="332" t="str">
        <f t="shared" si="64"/>
        <v>TV Stand - Medium &amp; Large TVs</v>
      </c>
      <c r="C212" s="329" t="str">
        <f t="shared" si="63"/>
        <v>Peripherals</v>
      </c>
      <c r="D212" s="329" t="str">
        <f t="shared" si="59"/>
        <v/>
      </c>
      <c r="E212" s="329" t="str">
        <f t="shared" si="60"/>
        <v/>
      </c>
      <c r="F212" s="329" t="str">
        <f t="shared" si="61"/>
        <v>TV Stand for medium and large TVs</v>
      </c>
      <c r="G212" s="329" t="str">
        <f t="shared" si="62"/>
        <v>TVSTND - TV Stand - Medium &amp; Large TVs</v>
      </c>
      <c r="H212" s="269">
        <v>1</v>
      </c>
      <c r="I212" s="330">
        <f t="shared" si="67"/>
        <v>0</v>
      </c>
      <c r="J212" s="330">
        <f t="shared" si="67"/>
        <v>0</v>
      </c>
      <c r="K212" s="442">
        <v>1</v>
      </c>
      <c r="L212" s="330">
        <f t="shared" si="66"/>
        <v>0</v>
      </c>
      <c r="M212" s="330">
        <f t="shared" si="69"/>
        <v>0</v>
      </c>
      <c r="N212" s="330"/>
      <c r="O212" s="272" t="s">
        <v>511</v>
      </c>
      <c r="P212" s="271" t="s">
        <v>152</v>
      </c>
      <c r="Q212" s="272" t="s">
        <v>656</v>
      </c>
      <c r="R212" s="272" t="s">
        <v>656</v>
      </c>
      <c r="S212" s="273" t="s">
        <v>639</v>
      </c>
      <c r="T212" s="274" t="str">
        <f t="shared" si="65"/>
        <v>FIFA Media</v>
      </c>
      <c r="U212" s="275"/>
      <c r="V212" s="358" t="s">
        <v>247</v>
      </c>
    </row>
    <row r="213" spans="1:22" s="276" customFormat="1" ht="15.75" hidden="1" customHeight="1">
      <c r="A213" s="267" t="s">
        <v>537</v>
      </c>
      <c r="B213" s="332" t="str">
        <f t="shared" si="64"/>
        <v>TV Stand - Medium &amp; Large TVs</v>
      </c>
      <c r="C213" s="329" t="str">
        <f t="shared" si="63"/>
        <v>Peripherals</v>
      </c>
      <c r="D213" s="329" t="str">
        <f t="shared" si="59"/>
        <v/>
      </c>
      <c r="E213" s="329" t="str">
        <f t="shared" si="60"/>
        <v/>
      </c>
      <c r="F213" s="329" t="str">
        <f t="shared" si="61"/>
        <v>TV Stand for medium and large TVs</v>
      </c>
      <c r="G213" s="329" t="str">
        <f t="shared" si="62"/>
        <v>TVSTND - TV Stand - Medium &amp; Large TVs</v>
      </c>
      <c r="H213" s="269">
        <v>1</v>
      </c>
      <c r="I213" s="330">
        <f t="shared" si="67"/>
        <v>0</v>
      </c>
      <c r="J213" s="330">
        <f t="shared" si="67"/>
        <v>0</v>
      </c>
      <c r="K213" s="442">
        <v>1</v>
      </c>
      <c r="L213" s="330">
        <f t="shared" si="66"/>
        <v>0</v>
      </c>
      <c r="M213" s="330">
        <f t="shared" si="69"/>
        <v>0</v>
      </c>
      <c r="N213" s="330"/>
      <c r="O213" s="272" t="s">
        <v>511</v>
      </c>
      <c r="P213" s="271" t="s">
        <v>152</v>
      </c>
      <c r="Q213" s="272" t="s">
        <v>638</v>
      </c>
      <c r="R213" s="331" t="s">
        <v>638</v>
      </c>
      <c r="S213" s="273" t="s">
        <v>639</v>
      </c>
      <c r="T213" s="274" t="str">
        <f t="shared" si="65"/>
        <v>FIFA Media</v>
      </c>
      <c r="U213" s="275"/>
      <c r="V213" s="358" t="s">
        <v>247</v>
      </c>
    </row>
    <row r="214" spans="1:22" s="335" customFormat="1" ht="15.75" customHeight="1">
      <c r="A214" s="277" t="s">
        <v>568</v>
      </c>
      <c r="B214" s="329" t="str">
        <f t="shared" si="64"/>
        <v>Wired Port - FTI</v>
      </c>
      <c r="C214" s="329" t="str">
        <f t="shared" si="63"/>
        <v>Network &amp; Connectivity</v>
      </c>
      <c r="D214" s="329" t="str">
        <f t="shared" si="59"/>
        <v/>
      </c>
      <c r="E214" s="329" t="str">
        <f t="shared" si="60"/>
        <v>FIFA Technical FTI</v>
      </c>
      <c r="F214" s="329" t="str">
        <f t="shared" si="61"/>
        <v>Wired Port - FTI</v>
      </c>
      <c r="G214" s="329" t="str">
        <f t="shared" si="62"/>
        <v>WRDFTI - Wired Port - FTI (FIFA Technical FTI)</v>
      </c>
      <c r="H214" s="269">
        <v>2</v>
      </c>
      <c r="I214" s="330">
        <f t="shared" si="67"/>
        <v>2</v>
      </c>
      <c r="J214" s="330">
        <f t="shared" si="67"/>
        <v>0</v>
      </c>
      <c r="K214" s="441">
        <v>2</v>
      </c>
      <c r="L214" s="330">
        <f t="shared" si="66"/>
        <v>2</v>
      </c>
      <c r="M214" s="330">
        <f t="shared" si="69"/>
        <v>0</v>
      </c>
      <c r="N214" s="330"/>
      <c r="O214" s="272" t="s">
        <v>511</v>
      </c>
      <c r="P214" s="271" t="s">
        <v>152</v>
      </c>
      <c r="Q214" s="272" t="s">
        <v>583</v>
      </c>
      <c r="R214" s="272" t="s">
        <v>583</v>
      </c>
      <c r="S214" s="273" t="s">
        <v>639</v>
      </c>
      <c r="T214" s="274" t="str">
        <f t="shared" si="65"/>
        <v>FIFA Media</v>
      </c>
      <c r="U214" s="275"/>
      <c r="V214" s="358" t="s">
        <v>520</v>
      </c>
    </row>
    <row r="215" spans="1:22" s="335" customFormat="1" ht="15.75" customHeight="1">
      <c r="A215" s="277" t="s">
        <v>523</v>
      </c>
      <c r="B215" s="329" t="str">
        <f t="shared" si="64"/>
        <v>Wired Port - Media Internet</v>
      </c>
      <c r="C215" s="329" t="str">
        <f t="shared" si="63"/>
        <v>Network &amp; Connectivity</v>
      </c>
      <c r="D215" s="329" t="str">
        <f t="shared" si="59"/>
        <v/>
      </c>
      <c r="E215" s="329" t="str">
        <f t="shared" si="60"/>
        <v>Media Internet Access Media</v>
      </c>
      <c r="F215" s="329" t="str">
        <f t="shared" si="61"/>
        <v>Wired Port - Internet for Media</v>
      </c>
      <c r="G215" s="329" t="str">
        <f t="shared" si="62"/>
        <v>WRDMED - Wired Port - Media Internet (Media Internet Access Media)</v>
      </c>
      <c r="H215" s="269">
        <v>5</v>
      </c>
      <c r="I215" s="330">
        <f t="shared" si="67"/>
        <v>5</v>
      </c>
      <c r="J215" s="330">
        <f t="shared" si="67"/>
        <v>0</v>
      </c>
      <c r="K215" s="442">
        <v>5</v>
      </c>
      <c r="L215" s="330">
        <f t="shared" si="66"/>
        <v>5</v>
      </c>
      <c r="M215" s="330">
        <f t="shared" si="69"/>
        <v>0</v>
      </c>
      <c r="N215" s="330"/>
      <c r="O215" s="272" t="s">
        <v>511</v>
      </c>
      <c r="P215" s="271" t="s">
        <v>152</v>
      </c>
      <c r="Q215" s="272" t="s">
        <v>638</v>
      </c>
      <c r="R215" s="331" t="s">
        <v>638</v>
      </c>
      <c r="S215" s="273" t="s">
        <v>639</v>
      </c>
      <c r="T215" s="274" t="str">
        <f t="shared" si="65"/>
        <v>FIFA Media</v>
      </c>
      <c r="U215" s="275"/>
      <c r="V215" s="358" t="s">
        <v>520</v>
      </c>
    </row>
    <row r="216" spans="1:22" s="276" customFormat="1" ht="15.75" customHeight="1">
      <c r="A216" s="267" t="s">
        <v>523</v>
      </c>
      <c r="B216" s="329" t="str">
        <f t="shared" si="64"/>
        <v>Wired Port - Media Internet</v>
      </c>
      <c r="C216" s="329" t="str">
        <f t="shared" si="63"/>
        <v>Network &amp; Connectivity</v>
      </c>
      <c r="D216" s="329" t="str">
        <f t="shared" si="59"/>
        <v/>
      </c>
      <c r="E216" s="329" t="str">
        <f t="shared" si="60"/>
        <v>Media Internet Access Media</v>
      </c>
      <c r="F216" s="329" t="str">
        <f t="shared" si="61"/>
        <v>Wired Port - Internet for Media</v>
      </c>
      <c r="G216" s="329" t="str">
        <f t="shared" si="62"/>
        <v>WRDMED - Wired Port - Media Internet (Media Internet Access Media)</v>
      </c>
      <c r="H216" s="269">
        <v>1</v>
      </c>
      <c r="I216" s="330">
        <f t="shared" si="67"/>
        <v>1</v>
      </c>
      <c r="J216" s="330">
        <f t="shared" si="67"/>
        <v>0</v>
      </c>
      <c r="K216" s="442">
        <v>1</v>
      </c>
      <c r="L216" s="330">
        <f t="shared" si="66"/>
        <v>1</v>
      </c>
      <c r="M216" s="330">
        <f t="shared" si="69"/>
        <v>0</v>
      </c>
      <c r="N216" s="330"/>
      <c r="O216" s="272" t="s">
        <v>511</v>
      </c>
      <c r="P216" s="271" t="s">
        <v>152</v>
      </c>
      <c r="Q216" s="272" t="s">
        <v>569</v>
      </c>
      <c r="R216" s="273" t="s">
        <v>647</v>
      </c>
      <c r="S216" s="273" t="s">
        <v>639</v>
      </c>
      <c r="T216" s="274" t="str">
        <f t="shared" si="65"/>
        <v>FIFA Media</v>
      </c>
      <c r="U216" s="275" t="s">
        <v>659</v>
      </c>
      <c r="V216" s="358" t="s">
        <v>520</v>
      </c>
    </row>
    <row r="217" spans="1:22" s="276" customFormat="1" ht="15.75" customHeight="1">
      <c r="A217" s="267" t="s">
        <v>523</v>
      </c>
      <c r="B217" s="329" t="str">
        <f t="shared" si="64"/>
        <v>Wired Port - Media Internet</v>
      </c>
      <c r="C217" s="329" t="str">
        <f t="shared" si="63"/>
        <v>Network &amp; Connectivity</v>
      </c>
      <c r="D217" s="329" t="str">
        <f t="shared" si="59"/>
        <v/>
      </c>
      <c r="E217" s="329" t="str">
        <f t="shared" si="60"/>
        <v>Media Internet Access Media</v>
      </c>
      <c r="F217" s="329" t="str">
        <f t="shared" si="61"/>
        <v>Wired Port - Internet for Media</v>
      </c>
      <c r="G217" s="329" t="str">
        <f t="shared" si="62"/>
        <v>WRDMED - Wired Port - Media Internet (Media Internet Access Media)</v>
      </c>
      <c r="H217" s="269">
        <v>1</v>
      </c>
      <c r="I217" s="330">
        <f t="shared" si="67"/>
        <v>1</v>
      </c>
      <c r="J217" s="330">
        <f t="shared" si="67"/>
        <v>0</v>
      </c>
      <c r="K217" s="442">
        <v>1</v>
      </c>
      <c r="L217" s="330">
        <f t="shared" si="66"/>
        <v>1</v>
      </c>
      <c r="M217" s="330">
        <f t="shared" si="69"/>
        <v>0</v>
      </c>
      <c r="N217" s="330"/>
      <c r="O217" s="272" t="s">
        <v>511</v>
      </c>
      <c r="P217" s="271" t="s">
        <v>152</v>
      </c>
      <c r="Q217" s="272" t="s">
        <v>569</v>
      </c>
      <c r="R217" s="331" t="s">
        <v>646</v>
      </c>
      <c r="S217" s="273" t="s">
        <v>639</v>
      </c>
      <c r="T217" s="274" t="str">
        <f t="shared" si="65"/>
        <v>FIFA Media</v>
      </c>
      <c r="U217" s="275" t="s">
        <v>659</v>
      </c>
      <c r="V217" s="358" t="s">
        <v>520</v>
      </c>
    </row>
    <row r="218" spans="1:22" s="335" customFormat="1" ht="15.75" hidden="1" customHeight="1">
      <c r="A218" s="277" t="s">
        <v>660</v>
      </c>
      <c r="B218" s="329" t="str">
        <f t="shared" si="64"/>
        <v>AV Solution (Mics + Speakers)</v>
      </c>
      <c r="C218" s="329" t="str">
        <f t="shared" si="63"/>
        <v>Audio</v>
      </c>
      <c r="D218" s="329" t="str">
        <f t="shared" si="59"/>
        <v/>
      </c>
      <c r="E218" s="329" t="str">
        <f t="shared" si="60"/>
        <v/>
      </c>
      <c r="F218" s="329" t="str">
        <f t="shared" si="61"/>
        <v>Professional Speakers and Microphones</v>
      </c>
      <c r="G218" s="329" t="str">
        <f t="shared" si="62"/>
        <v>AVMSYS - AV Solution (Mics + Speakers)</v>
      </c>
      <c r="H218" s="269">
        <v>1</v>
      </c>
      <c r="I218" s="330">
        <v>0</v>
      </c>
      <c r="J218" s="330">
        <v>0</v>
      </c>
      <c r="K218" s="269">
        <v>1</v>
      </c>
      <c r="L218" s="330">
        <v>0</v>
      </c>
      <c r="M218" s="330">
        <v>0</v>
      </c>
      <c r="N218" s="330">
        <v>0</v>
      </c>
      <c r="O218" s="272" t="s">
        <v>511</v>
      </c>
      <c r="P218" s="271" t="s">
        <v>149</v>
      </c>
      <c r="Q218" s="272" t="s">
        <v>661</v>
      </c>
      <c r="R218" s="272" t="s">
        <v>662</v>
      </c>
      <c r="S218" s="273" t="s">
        <v>663</v>
      </c>
      <c r="T218" s="274" t="str">
        <f t="shared" si="65"/>
        <v>FIFA Referees</v>
      </c>
      <c r="U218" s="275"/>
      <c r="V218" s="358" t="s">
        <v>247</v>
      </c>
    </row>
    <row r="219" spans="1:22" s="335" customFormat="1" ht="15.75" hidden="1" customHeight="1">
      <c r="A219" s="333" t="s">
        <v>329</v>
      </c>
      <c r="B219" s="329" t="str">
        <f t="shared" si="64"/>
        <v>24" Monitor - HDMI/DP</v>
      </c>
      <c r="C219" s="329" t="str">
        <f t="shared" si="63"/>
        <v>Peripherals</v>
      </c>
      <c r="D219" s="329" t="str">
        <f t="shared" si="59"/>
        <v/>
      </c>
      <c r="E219" s="329" t="str">
        <f t="shared" si="60"/>
        <v/>
      </c>
      <c r="F219" s="329" t="str">
        <f t="shared" si="61"/>
        <v>24" PC Monitor</v>
      </c>
      <c r="G219" s="329" t="str">
        <f t="shared" si="62"/>
        <v>DSKMNT - 24" Monitor - HDMI/DP</v>
      </c>
      <c r="H219" s="269">
        <v>4</v>
      </c>
      <c r="I219" s="330">
        <f t="shared" ref="I219:J228" si="70">IF($A219="","",$K219*VLOOKUP($A219,ps_table,MATCH(I$2,ps_headers,0),FALSE))</f>
        <v>0</v>
      </c>
      <c r="J219" s="330">
        <f t="shared" si="70"/>
        <v>0</v>
      </c>
      <c r="K219" s="269">
        <v>4</v>
      </c>
      <c r="L219" s="330">
        <f t="shared" ref="L219:M228" si="71">IF($A219="","",$K219*VLOOKUP($A219,ps_table,MATCH(L$2,ps_headers,0),FALSE))</f>
        <v>0</v>
      </c>
      <c r="M219" s="330">
        <f t="shared" si="71"/>
        <v>0</v>
      </c>
      <c r="N219" s="330">
        <v>0</v>
      </c>
      <c r="O219" s="272" t="s">
        <v>511</v>
      </c>
      <c r="P219" s="271" t="s">
        <v>149</v>
      </c>
      <c r="Q219" s="272" t="s">
        <v>661</v>
      </c>
      <c r="R219" s="272" t="s">
        <v>664</v>
      </c>
      <c r="S219" s="334" t="s">
        <v>663</v>
      </c>
      <c r="T219" s="274" t="str">
        <f t="shared" si="65"/>
        <v>FIFA Referees</v>
      </c>
      <c r="U219" s="275"/>
      <c r="V219" s="358" t="s">
        <v>514</v>
      </c>
    </row>
    <row r="220" spans="1:22" s="276" customFormat="1" ht="15.75" hidden="1" customHeight="1">
      <c r="A220" s="333" t="s">
        <v>329</v>
      </c>
      <c r="B220" s="329" t="str">
        <f t="shared" si="64"/>
        <v>24" Monitor - HDMI/DP</v>
      </c>
      <c r="C220" s="329" t="str">
        <f t="shared" si="63"/>
        <v>Peripherals</v>
      </c>
      <c r="D220" s="329" t="str">
        <f t="shared" si="59"/>
        <v/>
      </c>
      <c r="E220" s="329" t="str">
        <f t="shared" si="60"/>
        <v/>
      </c>
      <c r="F220" s="329" t="str">
        <f t="shared" si="61"/>
        <v>24" PC Monitor</v>
      </c>
      <c r="G220" s="329" t="str">
        <f t="shared" si="62"/>
        <v>DSKMNT - 24" Monitor - HDMI/DP</v>
      </c>
      <c r="H220" s="269">
        <v>0</v>
      </c>
      <c r="I220" s="330">
        <f t="shared" si="70"/>
        <v>0</v>
      </c>
      <c r="J220" s="330">
        <f t="shared" si="70"/>
        <v>0</v>
      </c>
      <c r="K220" s="269">
        <v>2</v>
      </c>
      <c r="L220" s="330">
        <f t="shared" si="71"/>
        <v>0</v>
      </c>
      <c r="M220" s="330">
        <f t="shared" si="71"/>
        <v>0</v>
      </c>
      <c r="N220" s="330">
        <v>0</v>
      </c>
      <c r="O220" s="272" t="s">
        <v>511</v>
      </c>
      <c r="P220" s="271" t="s">
        <v>149</v>
      </c>
      <c r="Q220" s="272" t="s">
        <v>661</v>
      </c>
      <c r="R220" s="272" t="s">
        <v>665</v>
      </c>
      <c r="S220" s="334" t="s">
        <v>663</v>
      </c>
      <c r="T220" s="274" t="str">
        <f t="shared" si="65"/>
        <v>FIFA Referees</v>
      </c>
      <c r="U220" s="275"/>
      <c r="V220" s="358" t="s">
        <v>514</v>
      </c>
    </row>
    <row r="221" spans="1:22" s="276" customFormat="1" ht="15.75" hidden="1" customHeight="1">
      <c r="A221" s="333" t="s">
        <v>329</v>
      </c>
      <c r="B221" s="329" t="str">
        <f t="shared" si="64"/>
        <v>24" Monitor - HDMI/DP</v>
      </c>
      <c r="C221" s="329" t="str">
        <f t="shared" si="63"/>
        <v>Peripherals</v>
      </c>
      <c r="D221" s="329" t="str">
        <f t="shared" si="59"/>
        <v/>
      </c>
      <c r="E221" s="329" t="str">
        <f t="shared" si="60"/>
        <v/>
      </c>
      <c r="F221" s="329" t="str">
        <f t="shared" si="61"/>
        <v>24" PC Monitor</v>
      </c>
      <c r="G221" s="329" t="str">
        <f t="shared" si="62"/>
        <v>DSKMNT - 24" Monitor - HDMI/DP</v>
      </c>
      <c r="H221" s="269">
        <v>0</v>
      </c>
      <c r="I221" s="330">
        <f t="shared" si="70"/>
        <v>0</v>
      </c>
      <c r="J221" s="330">
        <f t="shared" si="70"/>
        <v>0</v>
      </c>
      <c r="K221" s="269">
        <v>2</v>
      </c>
      <c r="L221" s="330">
        <f t="shared" si="71"/>
        <v>0</v>
      </c>
      <c r="M221" s="330">
        <f t="shared" si="71"/>
        <v>0</v>
      </c>
      <c r="N221" s="330">
        <v>0</v>
      </c>
      <c r="O221" s="272" t="s">
        <v>511</v>
      </c>
      <c r="P221" s="271" t="s">
        <v>149</v>
      </c>
      <c r="Q221" s="272" t="s">
        <v>661</v>
      </c>
      <c r="R221" s="272" t="s">
        <v>666</v>
      </c>
      <c r="S221" s="334" t="s">
        <v>663</v>
      </c>
      <c r="T221" s="274" t="str">
        <f t="shared" si="65"/>
        <v>FIFA Referees</v>
      </c>
      <c r="U221" s="275"/>
      <c r="V221" s="358" t="s">
        <v>514</v>
      </c>
    </row>
    <row r="222" spans="1:22" s="276" customFormat="1" ht="15.75" hidden="1" customHeight="1">
      <c r="A222" s="267" t="s">
        <v>329</v>
      </c>
      <c r="B222" s="329" t="str">
        <f t="shared" si="64"/>
        <v>24" Monitor - HDMI/DP</v>
      </c>
      <c r="C222" s="329" t="str">
        <f t="shared" si="63"/>
        <v>Peripherals</v>
      </c>
      <c r="D222" s="329" t="str">
        <f t="shared" ref="D222:D253" si="72">IF(OR($A222="",$O222&lt;&gt;"FIFA Event Technology"),"",IF(VLOOKUP($A222,ps_table,MATCH(D$2,ps_headers,0),FALSE)&lt;&gt;"",VLOOKUP($A222,ps_table,MATCH(D$2,ps_headers,0),FALSE),""))</f>
        <v/>
      </c>
      <c r="E222" s="329" t="str">
        <f t="shared" ref="E222:E253" si="73">IF($A222="","",IF(VLOOKUP($A222,ps_table,MATCH(E$2,ps_headers,0),FALSE)&lt;&gt;"",VLOOKUP($A222,ps_table,MATCH(E$2,ps_headers,0),FALSE),""))</f>
        <v/>
      </c>
      <c r="F222" s="329" t="str">
        <f t="shared" ref="F222:F253" si="74">IF($A222="","",VLOOKUP($A222,ps_table,MATCH(F$2,ps_headers,0),FALSE))</f>
        <v>24" PC Monitor</v>
      </c>
      <c r="G222" s="329" t="str">
        <f t="shared" ref="G222:G253" si="75">IF($A222="","",IF(E222&lt;&gt;"",A222&amp;" - "&amp;B222&amp;" ("&amp;E222&amp;")",A222&amp;" - "&amp;B222))</f>
        <v>DSKMNT - 24" Monitor - HDMI/DP</v>
      </c>
      <c r="H222" s="269">
        <v>0</v>
      </c>
      <c r="I222" s="330">
        <f t="shared" si="70"/>
        <v>0</v>
      </c>
      <c r="J222" s="330">
        <f t="shared" si="70"/>
        <v>0</v>
      </c>
      <c r="K222" s="269">
        <v>2</v>
      </c>
      <c r="L222" s="330">
        <f t="shared" si="71"/>
        <v>0</v>
      </c>
      <c r="M222" s="330">
        <f t="shared" si="71"/>
        <v>0</v>
      </c>
      <c r="N222" s="330">
        <v>0</v>
      </c>
      <c r="O222" s="272" t="s">
        <v>511</v>
      </c>
      <c r="P222" s="271" t="s">
        <v>149</v>
      </c>
      <c r="Q222" s="272" t="s">
        <v>661</v>
      </c>
      <c r="R222" s="272" t="s">
        <v>667</v>
      </c>
      <c r="S222" s="334" t="s">
        <v>663</v>
      </c>
      <c r="T222" s="274" t="str">
        <f t="shared" si="65"/>
        <v>FIFA Referees</v>
      </c>
      <c r="U222" s="275"/>
      <c r="V222" s="358" t="s">
        <v>514</v>
      </c>
    </row>
    <row r="223" spans="1:22" s="276" customFormat="1" ht="15.75" hidden="1" customHeight="1">
      <c r="A223" s="277" t="s">
        <v>668</v>
      </c>
      <c r="B223" s="329" t="str">
        <f t="shared" si="64"/>
        <v>Wireless coverage - Internet Service -  Referees</v>
      </c>
      <c r="C223" s="329" t="str">
        <f t="shared" si="63"/>
        <v>Network &amp; Connectivity</v>
      </c>
      <c r="D223" s="329" t="str">
        <f t="shared" si="72"/>
        <v/>
      </c>
      <c r="E223" s="329" t="str">
        <f t="shared" si="73"/>
        <v>General Internet Access</v>
      </c>
      <c r="F223" s="329" t="str">
        <f t="shared" si="74"/>
        <v>Wireless coverage - Internet Service -  Referees</v>
      </c>
      <c r="G223" s="329" t="str">
        <f t="shared" si="75"/>
        <v>IS00WR - Wireless coverage - Internet Service -  Referees (General Internet Access)</v>
      </c>
      <c r="H223" s="269">
        <v>1</v>
      </c>
      <c r="I223" s="330">
        <f t="shared" si="70"/>
        <v>0</v>
      </c>
      <c r="J223" s="330">
        <f t="shared" si="70"/>
        <v>0</v>
      </c>
      <c r="K223" s="269">
        <v>1</v>
      </c>
      <c r="L223" s="330">
        <f t="shared" si="71"/>
        <v>0</v>
      </c>
      <c r="M223" s="330">
        <f t="shared" si="71"/>
        <v>0</v>
      </c>
      <c r="N223" s="330"/>
      <c r="O223" s="272" t="s">
        <v>511</v>
      </c>
      <c r="P223" s="271" t="s">
        <v>149</v>
      </c>
      <c r="Q223" s="272" t="s">
        <v>661</v>
      </c>
      <c r="R223" s="272" t="s">
        <v>664</v>
      </c>
      <c r="S223" s="334" t="s">
        <v>663</v>
      </c>
      <c r="T223" s="274" t="str">
        <f t="shared" si="65"/>
        <v>FIFA Referees</v>
      </c>
      <c r="U223" s="275"/>
      <c r="V223" s="358" t="s">
        <v>520</v>
      </c>
    </row>
    <row r="224" spans="1:22" s="276" customFormat="1" ht="15.75" hidden="1" customHeight="1">
      <c r="A224" s="277" t="s">
        <v>668</v>
      </c>
      <c r="B224" s="329" t="str">
        <f t="shared" si="64"/>
        <v>Wireless coverage - Internet Service -  Referees</v>
      </c>
      <c r="C224" s="329" t="str">
        <f t="shared" si="63"/>
        <v>Network &amp; Connectivity</v>
      </c>
      <c r="D224" s="329" t="str">
        <f t="shared" si="72"/>
        <v/>
      </c>
      <c r="E224" s="329" t="str">
        <f t="shared" si="73"/>
        <v>General Internet Access</v>
      </c>
      <c r="F224" s="329" t="str">
        <f t="shared" si="74"/>
        <v>Wireless coverage - Internet Service -  Referees</v>
      </c>
      <c r="G224" s="329" t="str">
        <f t="shared" si="75"/>
        <v>IS00WR - Wireless coverage - Internet Service -  Referees (General Internet Access)</v>
      </c>
      <c r="H224" s="269">
        <v>1</v>
      </c>
      <c r="I224" s="330">
        <f t="shared" si="70"/>
        <v>0</v>
      </c>
      <c r="J224" s="330">
        <f t="shared" si="70"/>
        <v>0</v>
      </c>
      <c r="K224" s="269">
        <v>1</v>
      </c>
      <c r="L224" s="330">
        <f t="shared" si="71"/>
        <v>0</v>
      </c>
      <c r="M224" s="330">
        <f t="shared" si="71"/>
        <v>0</v>
      </c>
      <c r="N224" s="330"/>
      <c r="O224" s="272" t="s">
        <v>511</v>
      </c>
      <c r="P224" s="271" t="s">
        <v>149</v>
      </c>
      <c r="Q224" s="331" t="s">
        <v>669</v>
      </c>
      <c r="R224" s="331" t="s">
        <v>670</v>
      </c>
      <c r="S224" s="334" t="s">
        <v>663</v>
      </c>
      <c r="T224" s="274" t="str">
        <f t="shared" si="65"/>
        <v>FIFA Referees</v>
      </c>
      <c r="U224" s="275"/>
      <c r="V224" s="358" t="s">
        <v>520</v>
      </c>
    </row>
    <row r="225" spans="1:22" s="276" customFormat="1" ht="15.75" hidden="1" customHeight="1">
      <c r="A225" s="277" t="s">
        <v>668</v>
      </c>
      <c r="B225" s="329" t="str">
        <f t="shared" si="64"/>
        <v>Wireless coverage - Internet Service -  Referees</v>
      </c>
      <c r="C225" s="329" t="str">
        <f t="shared" si="63"/>
        <v>Network &amp; Connectivity</v>
      </c>
      <c r="D225" s="329" t="str">
        <f t="shared" si="72"/>
        <v/>
      </c>
      <c r="E225" s="329" t="str">
        <f t="shared" si="73"/>
        <v>General Internet Access</v>
      </c>
      <c r="F225" s="329" t="str">
        <f t="shared" si="74"/>
        <v>Wireless coverage - Internet Service -  Referees</v>
      </c>
      <c r="G225" s="329" t="str">
        <f t="shared" si="75"/>
        <v>IS00WR - Wireless coverage - Internet Service -  Referees (General Internet Access)</v>
      </c>
      <c r="H225" s="269">
        <v>1</v>
      </c>
      <c r="I225" s="330">
        <f t="shared" si="70"/>
        <v>0</v>
      </c>
      <c r="J225" s="330">
        <f t="shared" si="70"/>
        <v>0</v>
      </c>
      <c r="K225" s="269">
        <v>1</v>
      </c>
      <c r="L225" s="330">
        <f t="shared" si="71"/>
        <v>0</v>
      </c>
      <c r="M225" s="330">
        <f t="shared" si="71"/>
        <v>0</v>
      </c>
      <c r="N225" s="330"/>
      <c r="O225" s="272" t="s">
        <v>511</v>
      </c>
      <c r="P225" s="271" t="s">
        <v>149</v>
      </c>
      <c r="Q225" s="272" t="s">
        <v>661</v>
      </c>
      <c r="R225" s="272" t="s">
        <v>665</v>
      </c>
      <c r="S225" s="334" t="s">
        <v>663</v>
      </c>
      <c r="T225" s="274" t="str">
        <f t="shared" si="65"/>
        <v>FIFA Referees</v>
      </c>
      <c r="U225" s="275"/>
      <c r="V225" s="358" t="s">
        <v>520</v>
      </c>
    </row>
    <row r="226" spans="1:22" s="276" customFormat="1" ht="15.75" hidden="1" customHeight="1">
      <c r="A226" s="277" t="s">
        <v>668</v>
      </c>
      <c r="B226" s="329" t="str">
        <f t="shared" si="64"/>
        <v>Wireless coverage - Internet Service -  Referees</v>
      </c>
      <c r="C226" s="329" t="str">
        <f t="shared" si="63"/>
        <v>Network &amp; Connectivity</v>
      </c>
      <c r="D226" s="329" t="str">
        <f t="shared" si="72"/>
        <v/>
      </c>
      <c r="E226" s="329" t="str">
        <f t="shared" si="73"/>
        <v>General Internet Access</v>
      </c>
      <c r="F226" s="329" t="str">
        <f t="shared" si="74"/>
        <v>Wireless coverage - Internet Service -  Referees</v>
      </c>
      <c r="G226" s="329" t="str">
        <f t="shared" si="75"/>
        <v>IS00WR - Wireless coverage - Internet Service -  Referees (General Internet Access)</v>
      </c>
      <c r="H226" s="269">
        <v>1</v>
      </c>
      <c r="I226" s="330">
        <f t="shared" si="70"/>
        <v>0</v>
      </c>
      <c r="J226" s="330">
        <f t="shared" si="70"/>
        <v>0</v>
      </c>
      <c r="K226" s="269">
        <v>1</v>
      </c>
      <c r="L226" s="330">
        <f t="shared" si="71"/>
        <v>0</v>
      </c>
      <c r="M226" s="330">
        <f t="shared" si="71"/>
        <v>0</v>
      </c>
      <c r="N226" s="330"/>
      <c r="O226" s="272" t="s">
        <v>511</v>
      </c>
      <c r="P226" s="271" t="s">
        <v>149</v>
      </c>
      <c r="Q226" s="272" t="s">
        <v>661</v>
      </c>
      <c r="R226" s="272" t="s">
        <v>666</v>
      </c>
      <c r="S226" s="334" t="s">
        <v>663</v>
      </c>
      <c r="T226" s="274" t="str">
        <f t="shared" si="65"/>
        <v>FIFA Referees</v>
      </c>
      <c r="U226" s="275"/>
      <c r="V226" s="358" t="s">
        <v>520</v>
      </c>
    </row>
    <row r="227" spans="1:22" s="276" customFormat="1" ht="15.75" hidden="1" customHeight="1">
      <c r="A227" s="277" t="s">
        <v>668</v>
      </c>
      <c r="B227" s="329" t="str">
        <f t="shared" si="64"/>
        <v>Wireless coverage - Internet Service -  Referees</v>
      </c>
      <c r="C227" s="329" t="str">
        <f t="shared" si="63"/>
        <v>Network &amp; Connectivity</v>
      </c>
      <c r="D227" s="329" t="str">
        <f t="shared" si="72"/>
        <v/>
      </c>
      <c r="E227" s="329" t="str">
        <f t="shared" si="73"/>
        <v>General Internet Access</v>
      </c>
      <c r="F227" s="329" t="str">
        <f t="shared" si="74"/>
        <v>Wireless coverage - Internet Service -  Referees</v>
      </c>
      <c r="G227" s="329" t="str">
        <f t="shared" si="75"/>
        <v>IS00WR - Wireless coverage - Internet Service -  Referees (General Internet Access)</v>
      </c>
      <c r="H227" s="269">
        <v>1</v>
      </c>
      <c r="I227" s="330">
        <f t="shared" si="70"/>
        <v>0</v>
      </c>
      <c r="J227" s="330">
        <f t="shared" si="70"/>
        <v>0</v>
      </c>
      <c r="K227" s="269">
        <v>1</v>
      </c>
      <c r="L227" s="330">
        <f t="shared" si="71"/>
        <v>0</v>
      </c>
      <c r="M227" s="330">
        <f t="shared" si="71"/>
        <v>0</v>
      </c>
      <c r="N227" s="330"/>
      <c r="O227" s="272" t="s">
        <v>511</v>
      </c>
      <c r="P227" s="271" t="s">
        <v>149</v>
      </c>
      <c r="Q227" s="272" t="s">
        <v>661</v>
      </c>
      <c r="R227" s="272" t="s">
        <v>667</v>
      </c>
      <c r="S227" s="334" t="s">
        <v>663</v>
      </c>
      <c r="T227" s="274" t="str">
        <f t="shared" si="65"/>
        <v>FIFA Referees</v>
      </c>
      <c r="U227" s="275"/>
      <c r="V227" s="358" t="s">
        <v>520</v>
      </c>
    </row>
    <row r="228" spans="1:22" s="276" customFormat="1" ht="15.75" hidden="1" customHeight="1">
      <c r="A228" s="277" t="s">
        <v>668</v>
      </c>
      <c r="B228" s="332" t="str">
        <f t="shared" si="64"/>
        <v>Wireless coverage - Internet Service -  Referees</v>
      </c>
      <c r="C228" s="329" t="str">
        <f t="shared" si="63"/>
        <v>Network &amp; Connectivity</v>
      </c>
      <c r="D228" s="329" t="str">
        <f t="shared" si="72"/>
        <v/>
      </c>
      <c r="E228" s="329" t="str">
        <f t="shared" si="73"/>
        <v>General Internet Access</v>
      </c>
      <c r="F228" s="329" t="str">
        <f t="shared" si="74"/>
        <v>Wireless coverage - Internet Service -  Referees</v>
      </c>
      <c r="G228" s="329" t="str">
        <f t="shared" si="75"/>
        <v>IS00WR - Wireless coverage - Internet Service -  Referees (General Internet Access)</v>
      </c>
      <c r="H228" s="269">
        <v>1</v>
      </c>
      <c r="I228" s="330">
        <f t="shared" si="70"/>
        <v>0</v>
      </c>
      <c r="J228" s="330">
        <f t="shared" si="70"/>
        <v>0</v>
      </c>
      <c r="K228" s="269">
        <v>1</v>
      </c>
      <c r="L228" s="330">
        <f t="shared" si="71"/>
        <v>0</v>
      </c>
      <c r="M228" s="330">
        <f t="shared" si="71"/>
        <v>0</v>
      </c>
      <c r="N228" s="330"/>
      <c r="O228" s="272" t="s">
        <v>511</v>
      </c>
      <c r="P228" s="271" t="s">
        <v>149</v>
      </c>
      <c r="Q228" s="272" t="s">
        <v>661</v>
      </c>
      <c r="R228" s="272" t="s">
        <v>662</v>
      </c>
      <c r="S228" s="273" t="s">
        <v>663</v>
      </c>
      <c r="T228" s="274" t="str">
        <f t="shared" si="65"/>
        <v>FIFA Referees</v>
      </c>
      <c r="U228" s="275"/>
      <c r="V228" s="358" t="s">
        <v>520</v>
      </c>
    </row>
    <row r="229" spans="1:22" s="276" customFormat="1" ht="15.75" hidden="1" customHeight="1">
      <c r="A229" s="277" t="s">
        <v>668</v>
      </c>
      <c r="B229" s="329" t="str">
        <f t="shared" si="64"/>
        <v>Wireless coverage - Internet Service -  Referees</v>
      </c>
      <c r="C229" s="329" t="str">
        <f t="shared" si="63"/>
        <v>Network &amp; Connectivity</v>
      </c>
      <c r="D229" s="329" t="str">
        <f t="shared" si="72"/>
        <v/>
      </c>
      <c r="E229" s="329" t="str">
        <f t="shared" si="73"/>
        <v>General Internet Access</v>
      </c>
      <c r="F229" s="329" t="str">
        <f t="shared" si="74"/>
        <v>Wireless coverage - Internet Service -  Referees</v>
      </c>
      <c r="G229" s="329" t="str">
        <f t="shared" si="75"/>
        <v>IS00WR - Wireless coverage - Internet Service -  Referees (General Internet Access)</v>
      </c>
      <c r="H229" s="269">
        <v>1</v>
      </c>
      <c r="I229" s="330">
        <v>0</v>
      </c>
      <c r="J229" s="330">
        <v>0</v>
      </c>
      <c r="K229" s="269">
        <v>1</v>
      </c>
      <c r="L229" s="330">
        <v>0</v>
      </c>
      <c r="M229" s="330">
        <v>0</v>
      </c>
      <c r="N229" s="330"/>
      <c r="O229" s="272" t="s">
        <v>511</v>
      </c>
      <c r="P229" s="271" t="s">
        <v>149</v>
      </c>
      <c r="Q229" s="272" t="s">
        <v>661</v>
      </c>
      <c r="R229" s="272" t="s">
        <v>661</v>
      </c>
      <c r="S229" s="273" t="s">
        <v>663</v>
      </c>
      <c r="T229" s="274" t="str">
        <f t="shared" si="65"/>
        <v>FIFA Referees</v>
      </c>
      <c r="U229" s="275"/>
      <c r="V229" s="358" t="s">
        <v>520</v>
      </c>
    </row>
    <row r="230" spans="1:22" s="276" customFormat="1" ht="15.75" hidden="1" customHeight="1">
      <c r="A230" s="277" t="s">
        <v>668</v>
      </c>
      <c r="B230" s="329" t="str">
        <f t="shared" si="64"/>
        <v>Wireless coverage - Internet Service -  Referees</v>
      </c>
      <c r="C230" s="329" t="str">
        <f t="shared" si="63"/>
        <v>Network &amp; Connectivity</v>
      </c>
      <c r="D230" s="329" t="str">
        <f t="shared" si="72"/>
        <v/>
      </c>
      <c r="E230" s="329" t="str">
        <f t="shared" si="73"/>
        <v>General Internet Access</v>
      </c>
      <c r="F230" s="329" t="str">
        <f t="shared" si="74"/>
        <v>Wireless coverage - Internet Service -  Referees</v>
      </c>
      <c r="G230" s="329" t="str">
        <f t="shared" si="75"/>
        <v>IS00WR - Wireless coverage - Internet Service -  Referees (General Internet Access)</v>
      </c>
      <c r="H230" s="269">
        <v>1</v>
      </c>
      <c r="I230" s="330">
        <f t="shared" ref="I230:J249" si="76">IF($A230="","",$K230*VLOOKUP($A230,ps_table,MATCH(I$2,ps_headers,0),FALSE))</f>
        <v>0</v>
      </c>
      <c r="J230" s="330">
        <f t="shared" si="76"/>
        <v>0</v>
      </c>
      <c r="K230" s="269">
        <v>1</v>
      </c>
      <c r="L230" s="330">
        <f t="shared" ref="L230:M261" si="77">IF($A230="","",$K230*VLOOKUP($A230,ps_table,MATCH(L$2,ps_headers,0),FALSE))</f>
        <v>0</v>
      </c>
      <c r="M230" s="330">
        <f t="shared" si="77"/>
        <v>0</v>
      </c>
      <c r="N230" s="330"/>
      <c r="O230" s="272" t="s">
        <v>511</v>
      </c>
      <c r="P230" s="271" t="s">
        <v>149</v>
      </c>
      <c r="Q230" s="272" t="s">
        <v>661</v>
      </c>
      <c r="R230" s="272" t="s">
        <v>671</v>
      </c>
      <c r="S230" s="334" t="s">
        <v>663</v>
      </c>
      <c r="T230" s="274" t="str">
        <f t="shared" si="65"/>
        <v>FIFA Referees</v>
      </c>
      <c r="U230" s="275"/>
      <c r="V230" s="358" t="s">
        <v>520</v>
      </c>
    </row>
    <row r="231" spans="1:22" s="351" customFormat="1" ht="15.75" hidden="1" customHeight="1">
      <c r="A231" s="311" t="s">
        <v>590</v>
      </c>
      <c r="B231" s="346" t="str">
        <f t="shared" si="64"/>
        <v xml:space="preserve">IT Solution - 4G Internet backup </v>
      </c>
      <c r="C231" s="346" t="str">
        <f t="shared" si="63"/>
        <v>FIFA IT Network Solutions</v>
      </c>
      <c r="D231" s="346" t="str">
        <f t="shared" si="72"/>
        <v/>
      </c>
      <c r="E231" s="346" t="str">
        <f t="shared" si="73"/>
        <v/>
      </c>
      <c r="F231" s="346" t="str">
        <f t="shared" si="74"/>
        <v xml:space="preserve">IT Solution - 4G Internet backup </v>
      </c>
      <c r="G231" s="346" t="str">
        <f t="shared" si="75"/>
        <v xml:space="preserve">ITSIBU - IT Solution - 4G Internet backup </v>
      </c>
      <c r="H231" s="347">
        <v>1</v>
      </c>
      <c r="I231" s="327">
        <f t="shared" si="76"/>
        <v>0</v>
      </c>
      <c r="J231" s="327">
        <f t="shared" si="76"/>
        <v>1</v>
      </c>
      <c r="K231" s="347">
        <v>1</v>
      </c>
      <c r="L231" s="327">
        <f t="shared" si="77"/>
        <v>0</v>
      </c>
      <c r="M231" s="327">
        <f t="shared" si="77"/>
        <v>1</v>
      </c>
      <c r="N231" s="327"/>
      <c r="O231" s="348" t="s">
        <v>511</v>
      </c>
      <c r="P231" s="308" t="s">
        <v>149</v>
      </c>
      <c r="Q231" s="349" t="s">
        <v>669</v>
      </c>
      <c r="R231" s="349" t="s">
        <v>670</v>
      </c>
      <c r="S231" s="350" t="s">
        <v>663</v>
      </c>
      <c r="T231" s="309" t="str">
        <f t="shared" si="65"/>
        <v>FIFA Referees</v>
      </c>
      <c r="U231" s="310" t="s">
        <v>672</v>
      </c>
      <c r="V231" s="358" t="s">
        <v>520</v>
      </c>
    </row>
    <row r="232" spans="1:22" s="276" customFormat="1" ht="15.75" hidden="1" customHeight="1">
      <c r="A232" s="277" t="s">
        <v>565</v>
      </c>
      <c r="B232" s="329" t="str">
        <f t="shared" si="64"/>
        <v>Laptop - Presentation Build</v>
      </c>
      <c r="C232" s="329" t="str">
        <f t="shared" si="63"/>
        <v>FIFA IT Hardware</v>
      </c>
      <c r="D232" s="329" t="str">
        <f t="shared" si="72"/>
        <v>Single</v>
      </c>
      <c r="E232" s="329" t="str">
        <f t="shared" si="73"/>
        <v/>
      </c>
      <c r="F232" s="329" t="str">
        <f t="shared" si="74"/>
        <v>FIFA Presentation Laptop</v>
      </c>
      <c r="G232" s="329" t="str">
        <f t="shared" si="75"/>
        <v>LAPPRE - Laptop - Presentation Build</v>
      </c>
      <c r="H232" s="269">
        <v>3</v>
      </c>
      <c r="I232" s="330">
        <f t="shared" si="76"/>
        <v>0</v>
      </c>
      <c r="J232" s="330">
        <f t="shared" si="76"/>
        <v>0</v>
      </c>
      <c r="K232" s="269">
        <v>3</v>
      </c>
      <c r="L232" s="330">
        <f t="shared" si="77"/>
        <v>0</v>
      </c>
      <c r="M232" s="330">
        <f t="shared" si="77"/>
        <v>0</v>
      </c>
      <c r="N232" s="330"/>
      <c r="O232" s="272" t="s">
        <v>539</v>
      </c>
      <c r="P232" s="271" t="s">
        <v>149</v>
      </c>
      <c r="Q232" s="272" t="s">
        <v>661</v>
      </c>
      <c r="R232" s="272" t="s">
        <v>661</v>
      </c>
      <c r="S232" s="273" t="s">
        <v>663</v>
      </c>
      <c r="T232" s="274" t="str">
        <f t="shared" si="65"/>
        <v>FIFA Referees</v>
      </c>
      <c r="U232" s="275" t="s">
        <v>673</v>
      </c>
      <c r="V232" s="358" t="s">
        <v>514</v>
      </c>
    </row>
    <row r="233" spans="1:22" s="276" customFormat="1" ht="15.75" hidden="1" customHeight="1">
      <c r="A233" s="277" t="s">
        <v>597</v>
      </c>
      <c r="B233" s="329" t="str">
        <f t="shared" si="64"/>
        <v>Telephone - Mobile - Smart Phone</v>
      </c>
      <c r="C233" s="329" t="str">
        <f t="shared" si="63"/>
        <v>Telephony</v>
      </c>
      <c r="D233" s="329" t="str">
        <f t="shared" si="72"/>
        <v>Single</v>
      </c>
      <c r="E233" s="329" t="str">
        <f t="shared" si="73"/>
        <v/>
      </c>
      <c r="F233" s="329" t="str">
        <f t="shared" si="74"/>
        <v>Smart Phone</v>
      </c>
      <c r="G233" s="329" t="str">
        <f t="shared" si="75"/>
        <v>TELMOB - Telephone - Mobile - Smart Phone</v>
      </c>
      <c r="H233" s="269">
        <v>0</v>
      </c>
      <c r="I233" s="330">
        <f t="shared" si="76"/>
        <v>0</v>
      </c>
      <c r="J233" s="330">
        <f t="shared" si="76"/>
        <v>10</v>
      </c>
      <c r="K233" s="269">
        <v>10</v>
      </c>
      <c r="L233" s="330">
        <f t="shared" si="77"/>
        <v>0</v>
      </c>
      <c r="M233" s="330">
        <f t="shared" si="77"/>
        <v>10</v>
      </c>
      <c r="N233" s="330"/>
      <c r="O233" s="272" t="s">
        <v>539</v>
      </c>
      <c r="P233" s="271" t="s">
        <v>149</v>
      </c>
      <c r="Q233" s="272" t="s">
        <v>661</v>
      </c>
      <c r="R233" s="272" t="s">
        <v>661</v>
      </c>
      <c r="S233" s="273" t="s">
        <v>663</v>
      </c>
      <c r="T233" s="274" t="str">
        <f t="shared" si="65"/>
        <v>FIFA Referees</v>
      </c>
      <c r="U233" s="275" t="s">
        <v>673</v>
      </c>
      <c r="V233" s="358" t="s">
        <v>594</v>
      </c>
    </row>
    <row r="234" spans="1:22" s="276" customFormat="1" ht="15.75" hidden="1" customHeight="1">
      <c r="A234" s="267" t="s">
        <v>202</v>
      </c>
      <c r="B234" s="329" t="str">
        <f t="shared" si="64"/>
        <v>MFD Desktop - Colour - A4 - Network</v>
      </c>
      <c r="C234" s="329" t="str">
        <f t="shared" si="63"/>
        <v>Reprographics</v>
      </c>
      <c r="D234" s="329" t="str">
        <f t="shared" si="72"/>
        <v/>
      </c>
      <c r="E234" s="329" t="str">
        <f t="shared" si="73"/>
        <v>General Internet Access</v>
      </c>
      <c r="F234" s="329" t="str">
        <f t="shared" si="74"/>
        <v>Colour Printer / Scanner (A4)</v>
      </c>
      <c r="G234" s="329" t="str">
        <f t="shared" si="75"/>
        <v>MFDDNW - MFD Desktop - Colour - A4 - Network (General Internet Access)</v>
      </c>
      <c r="H234" s="269">
        <v>1</v>
      </c>
      <c r="I234" s="330">
        <f t="shared" si="76"/>
        <v>1</v>
      </c>
      <c r="J234" s="330">
        <f t="shared" si="76"/>
        <v>0</v>
      </c>
      <c r="K234" s="269">
        <v>1</v>
      </c>
      <c r="L234" s="330">
        <f t="shared" si="77"/>
        <v>1</v>
      </c>
      <c r="M234" s="330">
        <f t="shared" si="77"/>
        <v>0</v>
      </c>
      <c r="N234" s="330">
        <v>0</v>
      </c>
      <c r="O234" s="272" t="s">
        <v>511</v>
      </c>
      <c r="P234" s="271" t="s">
        <v>149</v>
      </c>
      <c r="Q234" s="272" t="s">
        <v>661</v>
      </c>
      <c r="R234" s="272" t="s">
        <v>664</v>
      </c>
      <c r="S234" s="334" t="s">
        <v>663</v>
      </c>
      <c r="T234" s="274" t="str">
        <f t="shared" si="65"/>
        <v>FIFA Referees</v>
      </c>
      <c r="U234" s="275"/>
      <c r="V234" s="358" t="s">
        <v>514</v>
      </c>
    </row>
    <row r="235" spans="1:22" s="276" customFormat="1" ht="15.75" hidden="1" customHeight="1">
      <c r="A235" s="267" t="s">
        <v>595</v>
      </c>
      <c r="B235" s="329" t="str">
        <f t="shared" si="64"/>
        <v>SIM - Domestic</v>
      </c>
      <c r="C235" s="329" t="str">
        <f t="shared" si="63"/>
        <v>Telephony</v>
      </c>
      <c r="D235" s="329" t="str">
        <f t="shared" si="72"/>
        <v/>
      </c>
      <c r="E235" s="329" t="str">
        <f t="shared" si="73"/>
        <v/>
      </c>
      <c r="F235" s="329" t="str">
        <f t="shared" si="74"/>
        <v>Local SIM Card</v>
      </c>
      <c r="G235" s="329" t="str">
        <f t="shared" si="75"/>
        <v>SIMDOM - SIM - Domestic</v>
      </c>
      <c r="H235" s="269">
        <v>0</v>
      </c>
      <c r="I235" s="330">
        <f t="shared" si="76"/>
        <v>0</v>
      </c>
      <c r="J235" s="330">
        <f t="shared" si="76"/>
        <v>20</v>
      </c>
      <c r="K235" s="269">
        <v>20</v>
      </c>
      <c r="L235" s="330">
        <f t="shared" si="77"/>
        <v>0</v>
      </c>
      <c r="M235" s="330">
        <f t="shared" si="77"/>
        <v>20</v>
      </c>
      <c r="N235" s="330">
        <v>0</v>
      </c>
      <c r="O235" s="272" t="s">
        <v>511</v>
      </c>
      <c r="P235" s="271" t="s">
        <v>149</v>
      </c>
      <c r="Q235" s="272" t="s">
        <v>661</v>
      </c>
      <c r="R235" s="272" t="s">
        <v>664</v>
      </c>
      <c r="S235" s="334" t="s">
        <v>663</v>
      </c>
      <c r="T235" s="274" t="str">
        <f t="shared" si="65"/>
        <v>FIFA Referees</v>
      </c>
      <c r="U235" s="275"/>
      <c r="V235" s="358" t="s">
        <v>594</v>
      </c>
    </row>
    <row r="236" spans="1:22" s="276" customFormat="1" ht="15.75" hidden="1" customHeight="1">
      <c r="A236" s="267" t="s">
        <v>202</v>
      </c>
      <c r="B236" s="329" t="str">
        <f t="shared" si="64"/>
        <v>MFD Desktop - Colour - A4 - Network</v>
      </c>
      <c r="C236" s="329" t="str">
        <f t="shared" si="63"/>
        <v>Reprographics</v>
      </c>
      <c r="D236" s="329" t="str">
        <f t="shared" si="72"/>
        <v/>
      </c>
      <c r="E236" s="329" t="str">
        <f t="shared" si="73"/>
        <v>General Internet Access</v>
      </c>
      <c r="F236" s="329" t="str">
        <f t="shared" si="74"/>
        <v>Colour Printer / Scanner (A4)</v>
      </c>
      <c r="G236" s="329" t="str">
        <f t="shared" si="75"/>
        <v>MFDDNW - MFD Desktop - Colour - A4 - Network (General Internet Access)</v>
      </c>
      <c r="H236" s="269">
        <v>1</v>
      </c>
      <c r="I236" s="330">
        <f t="shared" si="76"/>
        <v>1</v>
      </c>
      <c r="J236" s="330">
        <f t="shared" si="76"/>
        <v>0</v>
      </c>
      <c r="K236" s="269">
        <v>1</v>
      </c>
      <c r="L236" s="330">
        <f t="shared" si="77"/>
        <v>1</v>
      </c>
      <c r="M236" s="330">
        <f t="shared" si="77"/>
        <v>0</v>
      </c>
      <c r="N236" s="330">
        <v>0</v>
      </c>
      <c r="O236" s="272" t="s">
        <v>511</v>
      </c>
      <c r="P236" s="271" t="s">
        <v>149</v>
      </c>
      <c r="Q236" s="272" t="s">
        <v>661</v>
      </c>
      <c r="R236" s="272" t="s">
        <v>667</v>
      </c>
      <c r="S236" s="334" t="s">
        <v>663</v>
      </c>
      <c r="T236" s="274" t="str">
        <f t="shared" si="65"/>
        <v>FIFA Referees</v>
      </c>
      <c r="U236" s="275"/>
      <c r="V236" s="358" t="s">
        <v>514</v>
      </c>
    </row>
    <row r="237" spans="1:22" s="276" customFormat="1" ht="15.75" hidden="1" customHeight="1">
      <c r="A237" s="267" t="s">
        <v>207</v>
      </c>
      <c r="B237" s="329" t="str">
        <f t="shared" si="64"/>
        <v>MFD Large - Colour - A3 - Network</v>
      </c>
      <c r="C237" s="329" t="str">
        <f t="shared" si="63"/>
        <v>Reprographics</v>
      </c>
      <c r="D237" s="329" t="str">
        <f t="shared" si="72"/>
        <v/>
      </c>
      <c r="E237" s="329" t="str">
        <f t="shared" si="73"/>
        <v>General Internet Access</v>
      </c>
      <c r="F237" s="329" t="str">
        <f t="shared" si="74"/>
        <v>Large Colour Printer / Scanner (A3)</v>
      </c>
      <c r="G237" s="329" t="str">
        <f t="shared" si="75"/>
        <v>MFDLNW - MFD Large - Colour - A3 - Network (General Internet Access)</v>
      </c>
      <c r="H237" s="269">
        <v>1</v>
      </c>
      <c r="I237" s="330">
        <f t="shared" si="76"/>
        <v>1</v>
      </c>
      <c r="J237" s="330">
        <f t="shared" si="76"/>
        <v>0</v>
      </c>
      <c r="K237" s="269">
        <v>1</v>
      </c>
      <c r="L237" s="330">
        <f t="shared" si="77"/>
        <v>1</v>
      </c>
      <c r="M237" s="330">
        <f t="shared" si="77"/>
        <v>0</v>
      </c>
      <c r="N237" s="330">
        <v>0</v>
      </c>
      <c r="O237" s="272" t="s">
        <v>511</v>
      </c>
      <c r="P237" s="271" t="s">
        <v>149</v>
      </c>
      <c r="Q237" s="272" t="s">
        <v>661</v>
      </c>
      <c r="R237" s="272" t="s">
        <v>665</v>
      </c>
      <c r="S237" s="334" t="s">
        <v>663</v>
      </c>
      <c r="T237" s="274" t="str">
        <f t="shared" si="65"/>
        <v>FIFA Referees</v>
      </c>
      <c r="U237" s="275"/>
      <c r="V237" s="358" t="s">
        <v>514</v>
      </c>
    </row>
    <row r="238" spans="1:22" s="276" customFormat="1" ht="15.75" hidden="1" customHeight="1">
      <c r="A238" s="267" t="s">
        <v>674</v>
      </c>
      <c r="B238" s="329" t="str">
        <f t="shared" si="64"/>
        <v>Office Projector - 6K</v>
      </c>
      <c r="C238" s="329" t="str">
        <f t="shared" si="63"/>
        <v>Display Devices</v>
      </c>
      <c r="D238" s="329" t="str">
        <f t="shared" si="72"/>
        <v/>
      </c>
      <c r="E238" s="329" t="str">
        <f t="shared" si="73"/>
        <v/>
      </c>
      <c r="F238" s="329" t="str">
        <f t="shared" si="74"/>
        <v>Office Projector - 6K</v>
      </c>
      <c r="G238" s="329" t="str">
        <f t="shared" si="75"/>
        <v>Proj6k - Office Projector - 6K</v>
      </c>
      <c r="H238" s="269">
        <v>1</v>
      </c>
      <c r="I238" s="330">
        <f t="shared" si="76"/>
        <v>0</v>
      </c>
      <c r="J238" s="330">
        <f t="shared" si="76"/>
        <v>0</v>
      </c>
      <c r="K238" s="269">
        <v>1</v>
      </c>
      <c r="L238" s="330">
        <f t="shared" si="77"/>
        <v>0</v>
      </c>
      <c r="M238" s="330">
        <f t="shared" si="77"/>
        <v>0</v>
      </c>
      <c r="N238" s="330">
        <v>0</v>
      </c>
      <c r="O238" s="272" t="s">
        <v>511</v>
      </c>
      <c r="P238" s="271" t="s">
        <v>149</v>
      </c>
      <c r="Q238" s="272" t="s">
        <v>661</v>
      </c>
      <c r="R238" s="272" t="s">
        <v>662</v>
      </c>
      <c r="S238" s="273" t="s">
        <v>663</v>
      </c>
      <c r="T238" s="274" t="str">
        <f t="shared" si="65"/>
        <v>FIFA Referees</v>
      </c>
      <c r="U238" s="275"/>
      <c r="V238" s="358" t="s">
        <v>514</v>
      </c>
    </row>
    <row r="239" spans="1:22" s="276" customFormat="1" ht="15.75" hidden="1" customHeight="1">
      <c r="A239" s="333" t="s">
        <v>237</v>
      </c>
      <c r="B239" s="329" t="str">
        <f t="shared" si="64"/>
        <v>TV - Large - IPTV</v>
      </c>
      <c r="C239" s="329" t="str">
        <f t="shared" si="63"/>
        <v>CATV</v>
      </c>
      <c r="D239" s="329" t="str">
        <f t="shared" si="72"/>
        <v/>
      </c>
      <c r="E239" s="329" t="str">
        <f t="shared" si="73"/>
        <v/>
      </c>
      <c r="F239" s="329" t="str">
        <f t="shared" si="74"/>
        <v>Large TV - CATV Feed</v>
      </c>
      <c r="G239" s="329" t="str">
        <f t="shared" si="75"/>
        <v>TVLGIP - TV - Large - IPTV</v>
      </c>
      <c r="H239" s="269">
        <v>2</v>
      </c>
      <c r="I239" s="330">
        <f t="shared" si="76"/>
        <v>2</v>
      </c>
      <c r="J239" s="330">
        <f t="shared" si="76"/>
        <v>0</v>
      </c>
      <c r="K239" s="269">
        <v>2</v>
      </c>
      <c r="L239" s="330">
        <f t="shared" si="77"/>
        <v>2</v>
      </c>
      <c r="M239" s="330">
        <f t="shared" si="77"/>
        <v>0</v>
      </c>
      <c r="N239" s="330">
        <v>0</v>
      </c>
      <c r="O239" s="272" t="s">
        <v>511</v>
      </c>
      <c r="P239" s="271" t="s">
        <v>149</v>
      </c>
      <c r="Q239" s="272" t="s">
        <v>661</v>
      </c>
      <c r="R239" s="272" t="s">
        <v>664</v>
      </c>
      <c r="S239" s="334" t="s">
        <v>663</v>
      </c>
      <c r="T239" s="274" t="str">
        <f t="shared" si="65"/>
        <v>FIFA Referees</v>
      </c>
      <c r="U239" s="275"/>
      <c r="V239" s="358" t="s">
        <v>247</v>
      </c>
    </row>
    <row r="240" spans="1:22" s="276" customFormat="1" ht="15.75" hidden="1" customHeight="1">
      <c r="A240" s="333" t="s">
        <v>237</v>
      </c>
      <c r="B240" s="329" t="str">
        <f t="shared" si="64"/>
        <v>TV - Large - IPTV</v>
      </c>
      <c r="C240" s="329" t="str">
        <f t="shared" si="63"/>
        <v>CATV</v>
      </c>
      <c r="D240" s="329" t="str">
        <f t="shared" si="72"/>
        <v/>
      </c>
      <c r="E240" s="329" t="str">
        <f t="shared" si="73"/>
        <v/>
      </c>
      <c r="F240" s="329" t="str">
        <f t="shared" si="74"/>
        <v>Large TV - CATV Feed</v>
      </c>
      <c r="G240" s="329" t="str">
        <f t="shared" si="75"/>
        <v>TVLGIP - TV - Large - IPTV</v>
      </c>
      <c r="H240" s="269">
        <v>2</v>
      </c>
      <c r="I240" s="330">
        <f t="shared" si="76"/>
        <v>2</v>
      </c>
      <c r="J240" s="330">
        <f t="shared" si="76"/>
        <v>0</v>
      </c>
      <c r="K240" s="269">
        <v>2</v>
      </c>
      <c r="L240" s="330">
        <f t="shared" si="77"/>
        <v>2</v>
      </c>
      <c r="M240" s="330">
        <f t="shared" si="77"/>
        <v>0</v>
      </c>
      <c r="N240" s="330">
        <v>0</v>
      </c>
      <c r="O240" s="272" t="s">
        <v>511</v>
      </c>
      <c r="P240" s="271" t="s">
        <v>149</v>
      </c>
      <c r="Q240" s="272" t="s">
        <v>661</v>
      </c>
      <c r="R240" s="272" t="s">
        <v>665</v>
      </c>
      <c r="S240" s="273" t="s">
        <v>663</v>
      </c>
      <c r="T240" s="274" t="str">
        <f t="shared" si="65"/>
        <v>FIFA Referees</v>
      </c>
      <c r="U240" s="275"/>
      <c r="V240" s="358" t="s">
        <v>247</v>
      </c>
    </row>
    <row r="241" spans="1:22" s="276" customFormat="1" ht="15.75" hidden="1" customHeight="1">
      <c r="A241" s="333" t="s">
        <v>237</v>
      </c>
      <c r="B241" s="329" t="str">
        <f t="shared" si="64"/>
        <v>TV - Large - IPTV</v>
      </c>
      <c r="C241" s="329" t="str">
        <f t="shared" si="63"/>
        <v>CATV</v>
      </c>
      <c r="D241" s="329" t="str">
        <f t="shared" si="72"/>
        <v/>
      </c>
      <c r="E241" s="329" t="str">
        <f t="shared" si="73"/>
        <v/>
      </c>
      <c r="F241" s="329" t="str">
        <f t="shared" si="74"/>
        <v>Large TV - CATV Feed</v>
      </c>
      <c r="G241" s="329" t="str">
        <f t="shared" si="75"/>
        <v>TVLGIP - TV - Large - IPTV</v>
      </c>
      <c r="H241" s="269">
        <v>1</v>
      </c>
      <c r="I241" s="330">
        <f t="shared" si="76"/>
        <v>1</v>
      </c>
      <c r="J241" s="330">
        <f t="shared" si="76"/>
        <v>0</v>
      </c>
      <c r="K241" s="269">
        <v>1</v>
      </c>
      <c r="L241" s="330">
        <f t="shared" si="77"/>
        <v>1</v>
      </c>
      <c r="M241" s="330">
        <f t="shared" si="77"/>
        <v>0</v>
      </c>
      <c r="N241" s="330">
        <v>0</v>
      </c>
      <c r="O241" s="272" t="s">
        <v>511</v>
      </c>
      <c r="P241" s="271" t="s">
        <v>149</v>
      </c>
      <c r="Q241" s="272" t="s">
        <v>661</v>
      </c>
      <c r="R241" s="272" t="s">
        <v>666</v>
      </c>
      <c r="S241" s="273" t="s">
        <v>663</v>
      </c>
      <c r="T241" s="274" t="str">
        <f t="shared" si="65"/>
        <v>FIFA Referees</v>
      </c>
      <c r="U241" s="275"/>
      <c r="V241" s="358" t="s">
        <v>247</v>
      </c>
    </row>
    <row r="242" spans="1:22" s="276" customFormat="1" ht="15.75" hidden="1" customHeight="1">
      <c r="A242" s="333" t="s">
        <v>237</v>
      </c>
      <c r="B242" s="329" t="str">
        <f t="shared" si="64"/>
        <v>TV - Large - IPTV</v>
      </c>
      <c r="C242" s="329" t="str">
        <f t="shared" si="63"/>
        <v>CATV</v>
      </c>
      <c r="D242" s="329" t="str">
        <f t="shared" si="72"/>
        <v/>
      </c>
      <c r="E242" s="329" t="str">
        <f t="shared" si="73"/>
        <v/>
      </c>
      <c r="F242" s="329" t="str">
        <f t="shared" si="74"/>
        <v>Large TV - CATV Feed</v>
      </c>
      <c r="G242" s="329" t="str">
        <f t="shared" si="75"/>
        <v>TVLGIP - TV - Large - IPTV</v>
      </c>
      <c r="H242" s="269">
        <v>2</v>
      </c>
      <c r="I242" s="330">
        <f t="shared" si="76"/>
        <v>2</v>
      </c>
      <c r="J242" s="330">
        <f t="shared" si="76"/>
        <v>0</v>
      </c>
      <c r="K242" s="269">
        <v>2</v>
      </c>
      <c r="L242" s="330">
        <f t="shared" si="77"/>
        <v>2</v>
      </c>
      <c r="M242" s="330">
        <f t="shared" si="77"/>
        <v>0</v>
      </c>
      <c r="N242" s="330">
        <v>0</v>
      </c>
      <c r="O242" s="272" t="s">
        <v>511</v>
      </c>
      <c r="P242" s="271" t="s">
        <v>149</v>
      </c>
      <c r="Q242" s="272" t="s">
        <v>661</v>
      </c>
      <c r="R242" s="272" t="s">
        <v>667</v>
      </c>
      <c r="S242" s="273" t="s">
        <v>663</v>
      </c>
      <c r="T242" s="274" t="str">
        <f t="shared" si="65"/>
        <v>FIFA Referees</v>
      </c>
      <c r="U242" s="275"/>
      <c r="V242" s="358" t="s">
        <v>247</v>
      </c>
    </row>
    <row r="243" spans="1:22" s="276" customFormat="1" ht="15.75" hidden="1" customHeight="1">
      <c r="A243" s="333" t="s">
        <v>237</v>
      </c>
      <c r="B243" s="329" t="str">
        <f t="shared" si="64"/>
        <v>TV - Large - IPTV</v>
      </c>
      <c r="C243" s="329" t="str">
        <f t="shared" si="63"/>
        <v>CATV</v>
      </c>
      <c r="D243" s="329" t="str">
        <f t="shared" si="72"/>
        <v/>
      </c>
      <c r="E243" s="329" t="str">
        <f t="shared" si="73"/>
        <v/>
      </c>
      <c r="F243" s="329" t="str">
        <f t="shared" si="74"/>
        <v>Large TV - CATV Feed</v>
      </c>
      <c r="G243" s="329" t="str">
        <f t="shared" si="75"/>
        <v>TVLGIP - TV - Large - IPTV</v>
      </c>
      <c r="H243" s="269">
        <v>1</v>
      </c>
      <c r="I243" s="330">
        <f t="shared" si="76"/>
        <v>1</v>
      </c>
      <c r="J243" s="330">
        <f t="shared" si="76"/>
        <v>0</v>
      </c>
      <c r="K243" s="269">
        <v>1</v>
      </c>
      <c r="L243" s="330">
        <f t="shared" si="77"/>
        <v>1</v>
      </c>
      <c r="M243" s="330">
        <f t="shared" si="77"/>
        <v>0</v>
      </c>
      <c r="N243" s="330">
        <v>0</v>
      </c>
      <c r="O243" s="272" t="s">
        <v>511</v>
      </c>
      <c r="P243" s="271" t="s">
        <v>149</v>
      </c>
      <c r="Q243" s="272" t="s">
        <v>661</v>
      </c>
      <c r="R243" s="272" t="s">
        <v>662</v>
      </c>
      <c r="S243" s="273" t="s">
        <v>663</v>
      </c>
      <c r="T243" s="274" t="str">
        <f t="shared" si="65"/>
        <v>FIFA Referees</v>
      </c>
      <c r="U243" s="275"/>
      <c r="V243" s="358" t="s">
        <v>247</v>
      </c>
    </row>
    <row r="244" spans="1:22" s="326" customFormat="1" ht="15.75" hidden="1" customHeight="1">
      <c r="A244" s="333" t="s">
        <v>237</v>
      </c>
      <c r="B244" s="329" t="str">
        <f t="shared" si="64"/>
        <v>TV - Large - IPTV</v>
      </c>
      <c r="C244" s="329" t="str">
        <f t="shared" si="63"/>
        <v>CATV</v>
      </c>
      <c r="D244" s="329" t="str">
        <f t="shared" si="72"/>
        <v/>
      </c>
      <c r="E244" s="329" t="str">
        <f t="shared" si="73"/>
        <v/>
      </c>
      <c r="F244" s="329" t="str">
        <f t="shared" si="74"/>
        <v>Large TV - CATV Feed</v>
      </c>
      <c r="G244" s="329" t="str">
        <f t="shared" si="75"/>
        <v>TVLGIP - TV - Large - IPTV</v>
      </c>
      <c r="H244" s="269">
        <v>2</v>
      </c>
      <c r="I244" s="330">
        <f t="shared" si="76"/>
        <v>2</v>
      </c>
      <c r="J244" s="330">
        <f t="shared" si="76"/>
        <v>0</v>
      </c>
      <c r="K244" s="269">
        <v>2</v>
      </c>
      <c r="L244" s="330">
        <f t="shared" si="77"/>
        <v>2</v>
      </c>
      <c r="M244" s="330">
        <f t="shared" si="77"/>
        <v>0</v>
      </c>
      <c r="N244" s="330">
        <v>0</v>
      </c>
      <c r="O244" s="272" t="s">
        <v>511</v>
      </c>
      <c r="P244" s="271" t="s">
        <v>149</v>
      </c>
      <c r="Q244" s="272" t="s">
        <v>661</v>
      </c>
      <c r="R244" s="272" t="s">
        <v>671</v>
      </c>
      <c r="S244" s="273" t="s">
        <v>663</v>
      </c>
      <c r="T244" s="274" t="str">
        <f t="shared" si="65"/>
        <v>FIFA Referees</v>
      </c>
      <c r="U244" s="275"/>
      <c r="V244" s="358" t="s">
        <v>247</v>
      </c>
    </row>
    <row r="245" spans="1:22" s="276" customFormat="1" ht="15.75" hidden="1" customHeight="1">
      <c r="A245" s="333" t="s">
        <v>249</v>
      </c>
      <c r="B245" s="329" t="str">
        <f t="shared" si="64"/>
        <v>TV - Large - Standalone</v>
      </c>
      <c r="C245" s="329" t="str">
        <f t="shared" si="63"/>
        <v>Display Devices</v>
      </c>
      <c r="D245" s="329" t="str">
        <f t="shared" si="72"/>
        <v/>
      </c>
      <c r="E245" s="329" t="str">
        <f t="shared" si="73"/>
        <v/>
      </c>
      <c r="F245" s="329" t="str">
        <f t="shared" si="74"/>
        <v>Large TV - Standalone</v>
      </c>
      <c r="G245" s="329" t="str">
        <f t="shared" si="75"/>
        <v>TVLGSA - TV - Large - Standalone</v>
      </c>
      <c r="H245" s="269">
        <v>1</v>
      </c>
      <c r="I245" s="330">
        <f t="shared" si="76"/>
        <v>0</v>
      </c>
      <c r="J245" s="330">
        <f t="shared" si="76"/>
        <v>0</v>
      </c>
      <c r="K245" s="269">
        <v>1</v>
      </c>
      <c r="L245" s="330">
        <f t="shared" si="77"/>
        <v>0</v>
      </c>
      <c r="M245" s="330">
        <f t="shared" si="77"/>
        <v>0</v>
      </c>
      <c r="N245" s="330">
        <v>0</v>
      </c>
      <c r="O245" s="272" t="s">
        <v>511</v>
      </c>
      <c r="P245" s="271" t="s">
        <v>149</v>
      </c>
      <c r="Q245" s="331" t="s">
        <v>669</v>
      </c>
      <c r="R245" s="331" t="s">
        <v>670</v>
      </c>
      <c r="S245" s="334" t="s">
        <v>663</v>
      </c>
      <c r="T245" s="274" t="str">
        <f t="shared" si="65"/>
        <v>FIFA Referees</v>
      </c>
      <c r="U245" s="275" t="s">
        <v>675</v>
      </c>
      <c r="V245" s="358" t="s">
        <v>247</v>
      </c>
    </row>
    <row r="246" spans="1:22" s="276" customFormat="1" ht="15.75" hidden="1" customHeight="1">
      <c r="A246" s="277" t="s">
        <v>537</v>
      </c>
      <c r="B246" s="329" t="str">
        <f t="shared" si="64"/>
        <v>TV Stand - Medium &amp; Large TVs</v>
      </c>
      <c r="C246" s="329" t="str">
        <f t="shared" si="63"/>
        <v>Peripherals</v>
      </c>
      <c r="D246" s="329" t="str">
        <f t="shared" si="72"/>
        <v/>
      </c>
      <c r="E246" s="329" t="str">
        <f t="shared" si="73"/>
        <v/>
      </c>
      <c r="F246" s="329" t="str">
        <f t="shared" si="74"/>
        <v>TV Stand for medium and large TVs</v>
      </c>
      <c r="G246" s="329" t="str">
        <f t="shared" si="75"/>
        <v>TVSTND - TV Stand - Medium &amp; Large TVs</v>
      </c>
      <c r="H246" s="269">
        <v>2</v>
      </c>
      <c r="I246" s="330">
        <f t="shared" si="76"/>
        <v>0</v>
      </c>
      <c r="J246" s="330">
        <f t="shared" si="76"/>
        <v>0</v>
      </c>
      <c r="K246" s="269">
        <v>2</v>
      </c>
      <c r="L246" s="330">
        <f t="shared" si="77"/>
        <v>0</v>
      </c>
      <c r="M246" s="330">
        <f t="shared" si="77"/>
        <v>0</v>
      </c>
      <c r="N246" s="330">
        <v>0</v>
      </c>
      <c r="O246" s="272" t="s">
        <v>511</v>
      </c>
      <c r="P246" s="271" t="s">
        <v>149</v>
      </c>
      <c r="Q246" s="272" t="s">
        <v>661</v>
      </c>
      <c r="R246" s="272" t="s">
        <v>664</v>
      </c>
      <c r="S246" s="334" t="s">
        <v>663</v>
      </c>
      <c r="T246" s="274" t="str">
        <f t="shared" si="65"/>
        <v>FIFA Referees</v>
      </c>
      <c r="U246" s="275"/>
      <c r="V246" s="358" t="s">
        <v>247</v>
      </c>
    </row>
    <row r="247" spans="1:22" s="276" customFormat="1" ht="15.75" hidden="1" customHeight="1">
      <c r="A247" s="333" t="s">
        <v>537</v>
      </c>
      <c r="B247" s="329" t="str">
        <f t="shared" si="64"/>
        <v>TV Stand - Medium &amp; Large TVs</v>
      </c>
      <c r="C247" s="329" t="str">
        <f t="shared" si="63"/>
        <v>Peripherals</v>
      </c>
      <c r="D247" s="329" t="str">
        <f t="shared" si="72"/>
        <v/>
      </c>
      <c r="E247" s="329" t="str">
        <f t="shared" si="73"/>
        <v/>
      </c>
      <c r="F247" s="329" t="str">
        <f t="shared" si="74"/>
        <v>TV Stand for medium and large TVs</v>
      </c>
      <c r="G247" s="329" t="str">
        <f t="shared" si="75"/>
        <v>TVSTND - TV Stand - Medium &amp; Large TVs</v>
      </c>
      <c r="H247" s="269">
        <v>1</v>
      </c>
      <c r="I247" s="330">
        <f t="shared" si="76"/>
        <v>0</v>
      </c>
      <c r="J247" s="330">
        <f t="shared" si="76"/>
        <v>0</v>
      </c>
      <c r="K247" s="269">
        <v>1</v>
      </c>
      <c r="L247" s="330">
        <f t="shared" si="77"/>
        <v>0</v>
      </c>
      <c r="M247" s="330">
        <f t="shared" si="77"/>
        <v>0</v>
      </c>
      <c r="N247" s="330">
        <v>0</v>
      </c>
      <c r="O247" s="272" t="s">
        <v>511</v>
      </c>
      <c r="P247" s="271" t="s">
        <v>149</v>
      </c>
      <c r="Q247" s="331" t="s">
        <v>669</v>
      </c>
      <c r="R247" s="331" t="s">
        <v>670</v>
      </c>
      <c r="S247" s="334" t="s">
        <v>663</v>
      </c>
      <c r="T247" s="274" t="str">
        <f t="shared" si="65"/>
        <v>FIFA Referees</v>
      </c>
      <c r="U247" s="275"/>
      <c r="V247" s="358" t="s">
        <v>247</v>
      </c>
    </row>
    <row r="248" spans="1:22" s="276" customFormat="1" ht="15.75" hidden="1" customHeight="1">
      <c r="A248" s="267" t="s">
        <v>537</v>
      </c>
      <c r="B248" s="329" t="str">
        <f t="shared" si="64"/>
        <v>TV Stand - Medium &amp; Large TVs</v>
      </c>
      <c r="C248" s="329" t="str">
        <f t="shared" si="63"/>
        <v>Peripherals</v>
      </c>
      <c r="D248" s="329" t="str">
        <f t="shared" si="72"/>
        <v/>
      </c>
      <c r="E248" s="329" t="str">
        <f t="shared" si="73"/>
        <v/>
      </c>
      <c r="F248" s="329" t="str">
        <f t="shared" si="74"/>
        <v>TV Stand for medium and large TVs</v>
      </c>
      <c r="G248" s="329" t="str">
        <f t="shared" si="75"/>
        <v>TVSTND - TV Stand - Medium &amp; Large TVs</v>
      </c>
      <c r="H248" s="269">
        <v>2</v>
      </c>
      <c r="I248" s="330">
        <f t="shared" si="76"/>
        <v>0</v>
      </c>
      <c r="J248" s="330">
        <f t="shared" si="76"/>
        <v>0</v>
      </c>
      <c r="K248" s="269">
        <v>2</v>
      </c>
      <c r="L248" s="330">
        <f t="shared" si="77"/>
        <v>0</v>
      </c>
      <c r="M248" s="330">
        <f t="shared" si="77"/>
        <v>0</v>
      </c>
      <c r="N248" s="330">
        <v>0</v>
      </c>
      <c r="O248" s="272" t="s">
        <v>511</v>
      </c>
      <c r="P248" s="271" t="s">
        <v>149</v>
      </c>
      <c r="Q248" s="272" t="s">
        <v>661</v>
      </c>
      <c r="R248" s="272" t="s">
        <v>665</v>
      </c>
      <c r="S248" s="273" t="s">
        <v>663</v>
      </c>
      <c r="T248" s="274" t="str">
        <f t="shared" si="65"/>
        <v>FIFA Referees</v>
      </c>
      <c r="U248" s="337"/>
      <c r="V248" s="358" t="s">
        <v>247</v>
      </c>
    </row>
    <row r="249" spans="1:22" s="276" customFormat="1" ht="15.75" hidden="1" customHeight="1">
      <c r="A249" s="267" t="s">
        <v>537</v>
      </c>
      <c r="B249" s="329" t="str">
        <f t="shared" si="64"/>
        <v>TV Stand - Medium &amp; Large TVs</v>
      </c>
      <c r="C249" s="329" t="str">
        <f t="shared" si="63"/>
        <v>Peripherals</v>
      </c>
      <c r="D249" s="329" t="str">
        <f t="shared" si="72"/>
        <v/>
      </c>
      <c r="E249" s="329" t="str">
        <f t="shared" si="73"/>
        <v/>
      </c>
      <c r="F249" s="329" t="str">
        <f t="shared" si="74"/>
        <v>TV Stand for medium and large TVs</v>
      </c>
      <c r="G249" s="329" t="str">
        <f t="shared" si="75"/>
        <v>TVSTND - TV Stand - Medium &amp; Large TVs</v>
      </c>
      <c r="H249" s="269">
        <v>1</v>
      </c>
      <c r="I249" s="330">
        <f t="shared" si="76"/>
        <v>0</v>
      </c>
      <c r="J249" s="330">
        <f t="shared" si="76"/>
        <v>0</v>
      </c>
      <c r="K249" s="269">
        <v>1</v>
      </c>
      <c r="L249" s="330">
        <f t="shared" si="77"/>
        <v>0</v>
      </c>
      <c r="M249" s="330">
        <f t="shared" si="77"/>
        <v>0</v>
      </c>
      <c r="N249" s="330">
        <v>0</v>
      </c>
      <c r="O249" s="272" t="s">
        <v>511</v>
      </c>
      <c r="P249" s="271" t="s">
        <v>149</v>
      </c>
      <c r="Q249" s="272" t="s">
        <v>661</v>
      </c>
      <c r="R249" s="272" t="s">
        <v>666</v>
      </c>
      <c r="S249" s="273" t="s">
        <v>663</v>
      </c>
      <c r="T249" s="274" t="str">
        <f t="shared" si="65"/>
        <v>FIFA Referees</v>
      </c>
      <c r="U249" s="275"/>
      <c r="V249" s="358" t="s">
        <v>247</v>
      </c>
    </row>
    <row r="250" spans="1:22" s="276" customFormat="1" ht="15.75" hidden="1" customHeight="1">
      <c r="A250" s="267" t="s">
        <v>537</v>
      </c>
      <c r="B250" s="329" t="str">
        <f t="shared" si="64"/>
        <v>TV Stand - Medium &amp; Large TVs</v>
      </c>
      <c r="C250" s="329" t="str">
        <f t="shared" si="63"/>
        <v>Peripherals</v>
      </c>
      <c r="D250" s="329" t="str">
        <f t="shared" si="72"/>
        <v/>
      </c>
      <c r="E250" s="329" t="str">
        <f t="shared" si="73"/>
        <v/>
      </c>
      <c r="F250" s="329" t="str">
        <f t="shared" si="74"/>
        <v>TV Stand for medium and large TVs</v>
      </c>
      <c r="G250" s="329" t="str">
        <f t="shared" si="75"/>
        <v>TVSTND - TV Stand - Medium &amp; Large TVs</v>
      </c>
      <c r="H250" s="269">
        <v>2</v>
      </c>
      <c r="I250" s="330">
        <f t="shared" ref="I250:J269" si="78">IF($A250="","",$K250*VLOOKUP($A250,ps_table,MATCH(I$2,ps_headers,0),FALSE))</f>
        <v>0</v>
      </c>
      <c r="J250" s="330">
        <f t="shared" si="78"/>
        <v>0</v>
      </c>
      <c r="K250" s="269">
        <v>2</v>
      </c>
      <c r="L250" s="330">
        <f t="shared" si="77"/>
        <v>0</v>
      </c>
      <c r="M250" s="330">
        <f t="shared" si="77"/>
        <v>0</v>
      </c>
      <c r="N250" s="330">
        <v>0</v>
      </c>
      <c r="O250" s="272" t="s">
        <v>511</v>
      </c>
      <c r="P250" s="271" t="s">
        <v>149</v>
      </c>
      <c r="Q250" s="272" t="s">
        <v>661</v>
      </c>
      <c r="R250" s="272" t="s">
        <v>667</v>
      </c>
      <c r="S250" s="273" t="s">
        <v>663</v>
      </c>
      <c r="T250" s="274" t="str">
        <f t="shared" si="65"/>
        <v>FIFA Referees</v>
      </c>
      <c r="U250" s="275"/>
      <c r="V250" s="358" t="s">
        <v>247</v>
      </c>
    </row>
    <row r="251" spans="1:22" s="276" customFormat="1" ht="15.75" hidden="1" customHeight="1">
      <c r="A251" s="267" t="s">
        <v>537</v>
      </c>
      <c r="B251" s="329" t="str">
        <f t="shared" si="64"/>
        <v>TV Stand - Medium &amp; Large TVs</v>
      </c>
      <c r="C251" s="329" t="str">
        <f t="shared" si="63"/>
        <v>Peripherals</v>
      </c>
      <c r="D251" s="329" t="str">
        <f t="shared" si="72"/>
        <v/>
      </c>
      <c r="E251" s="329" t="str">
        <f t="shared" si="73"/>
        <v/>
      </c>
      <c r="F251" s="329" t="str">
        <f t="shared" si="74"/>
        <v>TV Stand for medium and large TVs</v>
      </c>
      <c r="G251" s="329" t="str">
        <f t="shared" si="75"/>
        <v>TVSTND - TV Stand - Medium &amp; Large TVs</v>
      </c>
      <c r="H251" s="269">
        <v>1</v>
      </c>
      <c r="I251" s="330">
        <f t="shared" si="78"/>
        <v>0</v>
      </c>
      <c r="J251" s="330">
        <f t="shared" si="78"/>
        <v>0</v>
      </c>
      <c r="K251" s="269">
        <v>1</v>
      </c>
      <c r="L251" s="330">
        <f t="shared" si="77"/>
        <v>0</v>
      </c>
      <c r="M251" s="330">
        <f t="shared" si="77"/>
        <v>0</v>
      </c>
      <c r="N251" s="330">
        <v>0</v>
      </c>
      <c r="O251" s="272" t="s">
        <v>511</v>
      </c>
      <c r="P251" s="271" t="s">
        <v>149</v>
      </c>
      <c r="Q251" s="272" t="s">
        <v>661</v>
      </c>
      <c r="R251" s="272" t="s">
        <v>662</v>
      </c>
      <c r="S251" s="273" t="s">
        <v>663</v>
      </c>
      <c r="T251" s="274" t="str">
        <f t="shared" si="65"/>
        <v>FIFA Referees</v>
      </c>
      <c r="U251" s="275"/>
      <c r="V251" s="358" t="s">
        <v>247</v>
      </c>
    </row>
    <row r="252" spans="1:22" s="276" customFormat="1" ht="15.75" hidden="1" customHeight="1">
      <c r="A252" s="267" t="s">
        <v>537</v>
      </c>
      <c r="B252" s="329" t="str">
        <f t="shared" si="64"/>
        <v>TV Stand - Medium &amp; Large TVs</v>
      </c>
      <c r="C252" s="329" t="str">
        <f t="shared" si="63"/>
        <v>Peripherals</v>
      </c>
      <c r="D252" s="329" t="str">
        <f t="shared" si="72"/>
        <v/>
      </c>
      <c r="E252" s="329" t="str">
        <f t="shared" si="73"/>
        <v/>
      </c>
      <c r="F252" s="329" t="str">
        <f t="shared" si="74"/>
        <v>TV Stand for medium and large TVs</v>
      </c>
      <c r="G252" s="329" t="str">
        <f t="shared" si="75"/>
        <v>TVSTND - TV Stand - Medium &amp; Large TVs</v>
      </c>
      <c r="H252" s="269">
        <v>2</v>
      </c>
      <c r="I252" s="330">
        <f t="shared" si="78"/>
        <v>0</v>
      </c>
      <c r="J252" s="330">
        <f t="shared" si="78"/>
        <v>0</v>
      </c>
      <c r="K252" s="269">
        <v>2</v>
      </c>
      <c r="L252" s="330">
        <f t="shared" si="77"/>
        <v>0</v>
      </c>
      <c r="M252" s="330">
        <f t="shared" si="77"/>
        <v>0</v>
      </c>
      <c r="N252" s="330">
        <v>0</v>
      </c>
      <c r="O252" s="272" t="s">
        <v>511</v>
      </c>
      <c r="P252" s="271" t="s">
        <v>149</v>
      </c>
      <c r="Q252" s="272" t="s">
        <v>661</v>
      </c>
      <c r="R252" s="272" t="s">
        <v>671</v>
      </c>
      <c r="S252" s="273" t="s">
        <v>663</v>
      </c>
      <c r="T252" s="274" t="str">
        <f t="shared" si="65"/>
        <v>FIFA Referees</v>
      </c>
      <c r="U252" s="275"/>
      <c r="V252" s="358" t="s">
        <v>247</v>
      </c>
    </row>
    <row r="253" spans="1:22" s="276" customFormat="1" ht="15.75" hidden="1" customHeight="1">
      <c r="A253" s="277" t="s">
        <v>676</v>
      </c>
      <c r="B253" s="329" t="str">
        <f t="shared" si="64"/>
        <v>Wired Port - 100Mbps - guaranteed</v>
      </c>
      <c r="C253" s="329" t="str">
        <f t="shared" si="63"/>
        <v>Network &amp; Connectivity</v>
      </c>
      <c r="D253" s="329" t="str">
        <f t="shared" si="72"/>
        <v/>
      </c>
      <c r="E253" s="329" t="str">
        <f t="shared" si="73"/>
        <v>FIFA Technical Internet Access</v>
      </c>
      <c r="F253" s="329" t="str">
        <f t="shared" si="74"/>
        <v>Cabled Internet - 100Mbps</v>
      </c>
      <c r="G253" s="329" t="str">
        <f t="shared" si="75"/>
        <v>WDF100 - Wired Port - 100Mbps - guaranteed (FIFA Technical Internet Access)</v>
      </c>
      <c r="H253" s="269">
        <v>1</v>
      </c>
      <c r="I253" s="330">
        <f t="shared" si="78"/>
        <v>1</v>
      </c>
      <c r="J253" s="330">
        <f t="shared" si="78"/>
        <v>0</v>
      </c>
      <c r="K253" s="269">
        <v>1</v>
      </c>
      <c r="L253" s="330">
        <f t="shared" si="77"/>
        <v>1</v>
      </c>
      <c r="M253" s="330">
        <f t="shared" si="77"/>
        <v>0</v>
      </c>
      <c r="N253" s="330"/>
      <c r="O253" s="272" t="s">
        <v>511</v>
      </c>
      <c r="P253" s="271" t="s">
        <v>149</v>
      </c>
      <c r="Q253" s="272" t="s">
        <v>661</v>
      </c>
      <c r="R253" s="272" t="s">
        <v>664</v>
      </c>
      <c r="S253" s="334" t="s">
        <v>663</v>
      </c>
      <c r="T253" s="274" t="str">
        <f t="shared" si="65"/>
        <v>FIFA Referees</v>
      </c>
      <c r="U253" s="275" t="s">
        <v>677</v>
      </c>
      <c r="V253" s="358" t="s">
        <v>520</v>
      </c>
    </row>
    <row r="254" spans="1:22" s="276" customFormat="1" ht="15.75" hidden="1" customHeight="1">
      <c r="A254" s="267" t="s">
        <v>225</v>
      </c>
      <c r="B254" s="329" t="str">
        <f t="shared" si="64"/>
        <v xml:space="preserve">Wired Port - General Internet </v>
      </c>
      <c r="C254" s="329" t="str">
        <f t="shared" si="63"/>
        <v>Network &amp; Connectivity</v>
      </c>
      <c r="D254" s="329" t="str">
        <f t="shared" ref="D254:D285" si="79">IF(OR($A254="",$O254&lt;&gt;"FIFA Event Technology"),"",IF(VLOOKUP($A254,ps_table,MATCH(D$2,ps_headers,0),FALSE)&lt;&gt;"",VLOOKUP($A254,ps_table,MATCH(D$2,ps_headers,0),FALSE),""))</f>
        <v/>
      </c>
      <c r="E254" s="329" t="str">
        <f t="shared" ref="E254:E285" si="80">IF($A254="","",IF(VLOOKUP($A254,ps_table,MATCH(E$2,ps_headers,0),FALSE)&lt;&gt;"",VLOOKUP($A254,ps_table,MATCH(E$2,ps_headers,0),FALSE),""))</f>
        <v>General Internet Access</v>
      </c>
      <c r="F254" s="329" t="str">
        <f t="shared" ref="F254:F285" si="81">IF($A254="","",VLOOKUP($A254,ps_table,MATCH(F$2,ps_headers,0),FALSE))</f>
        <v>Wired Port - Internet</v>
      </c>
      <c r="G254" s="329" t="str">
        <f t="shared" ref="G254:G285" si="82">IF($A254="","",IF(E254&lt;&gt;"",A254&amp;" - "&amp;B254&amp;" ("&amp;E254&amp;")",A254&amp;" - "&amp;B254))</f>
        <v>WRDGEN - Wired Port - General Internet  (General Internet Access)</v>
      </c>
      <c r="H254" s="269">
        <v>2</v>
      </c>
      <c r="I254" s="330">
        <f t="shared" si="78"/>
        <v>2</v>
      </c>
      <c r="J254" s="330">
        <f t="shared" si="78"/>
        <v>0</v>
      </c>
      <c r="K254" s="269">
        <v>2</v>
      </c>
      <c r="L254" s="330">
        <f t="shared" si="77"/>
        <v>2</v>
      </c>
      <c r="M254" s="330">
        <f t="shared" si="77"/>
        <v>0</v>
      </c>
      <c r="N254" s="330"/>
      <c r="O254" s="272" t="s">
        <v>511</v>
      </c>
      <c r="P254" s="271" t="s">
        <v>149</v>
      </c>
      <c r="Q254" s="272" t="s">
        <v>661</v>
      </c>
      <c r="R254" s="272" t="s">
        <v>662</v>
      </c>
      <c r="S254" s="273" t="s">
        <v>663</v>
      </c>
      <c r="T254" s="274" t="str">
        <f t="shared" si="65"/>
        <v>FIFA Referees</v>
      </c>
      <c r="U254" s="275"/>
      <c r="V254" s="358" t="s">
        <v>520</v>
      </c>
    </row>
    <row r="255" spans="1:22" s="276" customFormat="1" ht="15.75" hidden="1" customHeight="1">
      <c r="A255" s="267" t="s">
        <v>519</v>
      </c>
      <c r="B255" s="332" t="str">
        <f t="shared" si="64"/>
        <v>Wireless coverage - Shared Internet Service - Wi-Fi FIFA</v>
      </c>
      <c r="C255" s="329" t="str">
        <f t="shared" si="63"/>
        <v>Network &amp; Connectivity</v>
      </c>
      <c r="D255" s="329" t="str">
        <f t="shared" si="79"/>
        <v/>
      </c>
      <c r="E255" s="329" t="str">
        <f t="shared" si="80"/>
        <v>General Internet Access</v>
      </c>
      <c r="F255" s="329" t="str">
        <f t="shared" si="81"/>
        <v>Wireless coverage - Shared Internet Service - FIFA</v>
      </c>
      <c r="G255" s="329" t="str">
        <f t="shared" si="82"/>
        <v>IS00WF - Wireless coverage - Shared Internet Service - Wi-Fi FIFA (General Internet Access)</v>
      </c>
      <c r="H255" s="269">
        <v>1</v>
      </c>
      <c r="I255" s="330">
        <f t="shared" si="78"/>
        <v>0</v>
      </c>
      <c r="J255" s="330">
        <f t="shared" si="78"/>
        <v>0</v>
      </c>
      <c r="K255" s="269">
        <v>1</v>
      </c>
      <c r="L255" s="330">
        <f t="shared" si="77"/>
        <v>0</v>
      </c>
      <c r="M255" s="330">
        <f t="shared" si="77"/>
        <v>0</v>
      </c>
      <c r="N255" s="330"/>
      <c r="O255" s="272" t="s">
        <v>511</v>
      </c>
      <c r="P255" s="271" t="s">
        <v>149</v>
      </c>
      <c r="Q255" s="272" t="s">
        <v>335</v>
      </c>
      <c r="R255" s="331" t="s">
        <v>678</v>
      </c>
      <c r="S255" s="273" t="s">
        <v>679</v>
      </c>
      <c r="T255" s="274" t="str">
        <f t="shared" si="65"/>
        <v>FIFA Security</v>
      </c>
      <c r="U255" s="275" t="s">
        <v>680</v>
      </c>
      <c r="V255" s="358" t="s">
        <v>520</v>
      </c>
    </row>
    <row r="256" spans="1:22" s="276" customFormat="1" ht="15.75" hidden="1" customHeight="1">
      <c r="A256" s="267" t="s">
        <v>519</v>
      </c>
      <c r="B256" s="332" t="str">
        <f t="shared" si="64"/>
        <v>Wireless coverage - Shared Internet Service - Wi-Fi FIFA</v>
      </c>
      <c r="C256" s="329" t="str">
        <f t="shared" si="63"/>
        <v>Network &amp; Connectivity</v>
      </c>
      <c r="D256" s="329" t="str">
        <f t="shared" si="79"/>
        <v/>
      </c>
      <c r="E256" s="329" t="str">
        <f t="shared" si="80"/>
        <v>General Internet Access</v>
      </c>
      <c r="F256" s="329" t="str">
        <f t="shared" si="81"/>
        <v>Wireless coverage - Shared Internet Service - FIFA</v>
      </c>
      <c r="G256" s="329" t="str">
        <f t="shared" si="82"/>
        <v>IS00WF - Wireless coverage - Shared Internet Service - Wi-Fi FIFA (General Internet Access)</v>
      </c>
      <c r="H256" s="269">
        <v>1</v>
      </c>
      <c r="I256" s="330">
        <f t="shared" si="78"/>
        <v>0</v>
      </c>
      <c r="J256" s="330">
        <f t="shared" si="78"/>
        <v>0</v>
      </c>
      <c r="K256" s="442">
        <v>1</v>
      </c>
      <c r="L256" s="330">
        <f t="shared" si="77"/>
        <v>0</v>
      </c>
      <c r="M256" s="330">
        <f t="shared" si="77"/>
        <v>0</v>
      </c>
      <c r="N256" s="330"/>
      <c r="O256" s="272" t="s">
        <v>511</v>
      </c>
      <c r="P256" s="271" t="s">
        <v>152</v>
      </c>
      <c r="Q256" s="272" t="s">
        <v>678</v>
      </c>
      <c r="R256" s="331" t="s">
        <v>678</v>
      </c>
      <c r="S256" s="273" t="s">
        <v>679</v>
      </c>
      <c r="T256" s="274" t="str">
        <f t="shared" si="65"/>
        <v>FIFA Security</v>
      </c>
      <c r="U256" s="275"/>
      <c r="V256" s="358" t="s">
        <v>520</v>
      </c>
    </row>
    <row r="257" spans="1:22" s="276" customFormat="1" ht="15.75" hidden="1" customHeight="1">
      <c r="A257" s="277" t="s">
        <v>681</v>
      </c>
      <c r="B257" s="332" t="str">
        <f t="shared" si="64"/>
        <v>Wireless coverage - Shared Internet Service - Wi-Fi FOOTBALL</v>
      </c>
      <c r="C257" s="329" t="str">
        <f t="shared" ref="C257:C320" si="83">IF($A257="","",VLOOKUP($A257,ps_table,MATCH(C$2,ps_headers,0),FALSE))</f>
        <v>Network &amp; Connectivity</v>
      </c>
      <c r="D257" s="329" t="str">
        <f t="shared" si="79"/>
        <v/>
      </c>
      <c r="E257" s="329" t="str">
        <f t="shared" si="80"/>
        <v>VIP Internet Access</v>
      </c>
      <c r="F257" s="329" t="str">
        <f t="shared" si="81"/>
        <v>Wireless coverage - Shared Internet Service - FOOTBALL</v>
      </c>
      <c r="G257" s="329" t="str">
        <f t="shared" si="82"/>
        <v>IS00WS - Wireless coverage - Shared Internet Service - Wi-Fi FOOTBALL (VIP Internet Access)</v>
      </c>
      <c r="H257" s="269">
        <v>1</v>
      </c>
      <c r="I257" s="330">
        <f t="shared" si="78"/>
        <v>0</v>
      </c>
      <c r="J257" s="330">
        <f t="shared" si="78"/>
        <v>0</v>
      </c>
      <c r="K257" s="269">
        <v>8</v>
      </c>
      <c r="L257" s="330">
        <f t="shared" si="77"/>
        <v>0</v>
      </c>
      <c r="M257" s="330">
        <f t="shared" si="77"/>
        <v>0</v>
      </c>
      <c r="N257" s="330"/>
      <c r="O257" s="272" t="s">
        <v>511</v>
      </c>
      <c r="P257" s="271" t="s">
        <v>149</v>
      </c>
      <c r="Q257" s="331" t="s">
        <v>534</v>
      </c>
      <c r="R257" s="331" t="s">
        <v>682</v>
      </c>
      <c r="S257" s="273" t="s">
        <v>683</v>
      </c>
      <c r="T257" s="274" t="str">
        <f t="shared" si="65"/>
        <v>FIFA Team Services</v>
      </c>
      <c r="U257" s="275" t="s">
        <v>684</v>
      </c>
      <c r="V257" s="358" t="s">
        <v>520</v>
      </c>
    </row>
    <row r="258" spans="1:22" s="276" customFormat="1" ht="15.75" hidden="1" customHeight="1">
      <c r="A258" s="277" t="s">
        <v>681</v>
      </c>
      <c r="B258" s="332" t="str">
        <f t="shared" ref="B258:B321" si="84">IF($A258="","",VLOOKUP($A258,ps_table,MATCH(B$2,ps_headers,0),FALSE))</f>
        <v>Wireless coverage - Shared Internet Service - Wi-Fi FOOTBALL</v>
      </c>
      <c r="C258" s="329" t="str">
        <f t="shared" si="83"/>
        <v>Network &amp; Connectivity</v>
      </c>
      <c r="D258" s="329" t="str">
        <f t="shared" si="79"/>
        <v/>
      </c>
      <c r="E258" s="329" t="str">
        <f t="shared" si="80"/>
        <v>VIP Internet Access</v>
      </c>
      <c r="F258" s="329" t="str">
        <f t="shared" si="81"/>
        <v>Wireless coverage - Shared Internet Service - FOOTBALL</v>
      </c>
      <c r="G258" s="329" t="str">
        <f t="shared" si="82"/>
        <v>IS00WS - Wireless coverage - Shared Internet Service - Wi-Fi FOOTBALL (VIP Internet Access)</v>
      </c>
      <c r="H258" s="269">
        <v>1</v>
      </c>
      <c r="I258" s="330">
        <f t="shared" si="78"/>
        <v>0</v>
      </c>
      <c r="J258" s="330">
        <f t="shared" si="78"/>
        <v>0</v>
      </c>
      <c r="K258" s="269">
        <v>1</v>
      </c>
      <c r="L258" s="330">
        <f t="shared" si="77"/>
        <v>0</v>
      </c>
      <c r="M258" s="330">
        <f t="shared" si="77"/>
        <v>0</v>
      </c>
      <c r="N258" s="330"/>
      <c r="O258" s="272" t="s">
        <v>511</v>
      </c>
      <c r="P258" s="271" t="s">
        <v>149</v>
      </c>
      <c r="Q258" s="331" t="s">
        <v>534</v>
      </c>
      <c r="R258" s="331" t="s">
        <v>397</v>
      </c>
      <c r="S258" s="273" t="s">
        <v>683</v>
      </c>
      <c r="T258" s="274" t="str">
        <f t="shared" si="65"/>
        <v>FIFA Team Services</v>
      </c>
      <c r="U258" s="275"/>
      <c r="V258" s="358" t="s">
        <v>520</v>
      </c>
    </row>
    <row r="259" spans="1:22" s="326" customFormat="1" ht="15.75" hidden="1" customHeight="1">
      <c r="A259" s="277" t="s">
        <v>681</v>
      </c>
      <c r="B259" s="332" t="str">
        <f t="shared" si="84"/>
        <v>Wireless coverage - Shared Internet Service - Wi-Fi FOOTBALL</v>
      </c>
      <c r="C259" s="329" t="str">
        <f t="shared" si="83"/>
        <v>Network &amp; Connectivity</v>
      </c>
      <c r="D259" s="329" t="str">
        <f t="shared" si="79"/>
        <v/>
      </c>
      <c r="E259" s="329" t="str">
        <f t="shared" si="80"/>
        <v>VIP Internet Access</v>
      </c>
      <c r="F259" s="329" t="str">
        <f t="shared" si="81"/>
        <v>Wireless coverage - Shared Internet Service - FOOTBALL</v>
      </c>
      <c r="G259" s="329" t="str">
        <f t="shared" si="82"/>
        <v>IS00WS - Wireless coverage - Shared Internet Service - Wi-Fi FOOTBALL (VIP Internet Access)</v>
      </c>
      <c r="H259" s="269">
        <v>1</v>
      </c>
      <c r="I259" s="330">
        <f t="shared" si="78"/>
        <v>0</v>
      </c>
      <c r="J259" s="330">
        <f t="shared" si="78"/>
        <v>0</v>
      </c>
      <c r="K259" s="442">
        <v>1</v>
      </c>
      <c r="L259" s="330">
        <f t="shared" si="77"/>
        <v>0</v>
      </c>
      <c r="M259" s="330">
        <f t="shared" si="77"/>
        <v>0</v>
      </c>
      <c r="N259" s="330"/>
      <c r="O259" s="272" t="s">
        <v>511</v>
      </c>
      <c r="P259" s="271" t="s">
        <v>152</v>
      </c>
      <c r="Q259" s="331" t="s">
        <v>534</v>
      </c>
      <c r="R259" s="331" t="s">
        <v>682</v>
      </c>
      <c r="S259" s="273" t="s">
        <v>683</v>
      </c>
      <c r="T259" s="274" t="str">
        <f t="shared" ref="T259:T322" si="85">IF(S259="","",S259)</f>
        <v>FIFA Team Services</v>
      </c>
      <c r="U259" s="275"/>
      <c r="V259" s="358" t="s">
        <v>520</v>
      </c>
    </row>
    <row r="260" spans="1:22" s="276" customFormat="1" ht="15.75" hidden="1" customHeight="1">
      <c r="A260" s="277" t="s">
        <v>565</v>
      </c>
      <c r="B260" s="329" t="str">
        <f t="shared" si="84"/>
        <v>Laptop - Presentation Build</v>
      </c>
      <c r="C260" s="329" t="str">
        <f t="shared" si="83"/>
        <v>FIFA IT Hardware</v>
      </c>
      <c r="D260" s="329" t="str">
        <f t="shared" si="79"/>
        <v>Single</v>
      </c>
      <c r="E260" s="329" t="str">
        <f t="shared" si="80"/>
        <v/>
      </c>
      <c r="F260" s="329" t="str">
        <f t="shared" si="81"/>
        <v>FIFA Presentation Laptop</v>
      </c>
      <c r="G260" s="329" t="str">
        <f t="shared" si="82"/>
        <v>LAPPRE - Laptop - Presentation Build</v>
      </c>
      <c r="H260" s="269">
        <v>1</v>
      </c>
      <c r="I260" s="330">
        <f t="shared" si="78"/>
        <v>0</v>
      </c>
      <c r="J260" s="330">
        <f t="shared" si="78"/>
        <v>0</v>
      </c>
      <c r="K260" s="269">
        <v>1</v>
      </c>
      <c r="L260" s="330">
        <f t="shared" si="77"/>
        <v>0</v>
      </c>
      <c r="M260" s="330">
        <f t="shared" si="77"/>
        <v>0</v>
      </c>
      <c r="N260" s="330"/>
      <c r="O260" s="272" t="s">
        <v>539</v>
      </c>
      <c r="P260" s="271" t="s">
        <v>149</v>
      </c>
      <c r="Q260" s="272" t="s">
        <v>527</v>
      </c>
      <c r="R260" s="272" t="s">
        <v>528</v>
      </c>
      <c r="S260" s="338" t="s">
        <v>683</v>
      </c>
      <c r="T260" s="274" t="str">
        <f t="shared" si="85"/>
        <v>FIFA Team Services</v>
      </c>
      <c r="U260" s="275"/>
      <c r="V260" s="358" t="s">
        <v>514</v>
      </c>
    </row>
    <row r="261" spans="1:22" s="276" customFormat="1" ht="15.75" hidden="1" customHeight="1">
      <c r="A261" s="267" t="s">
        <v>329</v>
      </c>
      <c r="B261" s="329" t="str">
        <f t="shared" si="84"/>
        <v>24" Monitor - HDMI/DP</v>
      </c>
      <c r="C261" s="329" t="str">
        <f t="shared" si="83"/>
        <v>Peripherals</v>
      </c>
      <c r="D261" s="329" t="str">
        <f t="shared" si="79"/>
        <v/>
      </c>
      <c r="E261" s="329" t="str">
        <f t="shared" si="80"/>
        <v/>
      </c>
      <c r="F261" s="329" t="str">
        <f t="shared" si="81"/>
        <v>24" PC Monitor</v>
      </c>
      <c r="G261" s="329" t="str">
        <f t="shared" si="82"/>
        <v>DSKMNT - 24" Monitor - HDMI/DP</v>
      </c>
      <c r="H261" s="269">
        <v>2</v>
      </c>
      <c r="I261" s="330">
        <f t="shared" si="78"/>
        <v>0</v>
      </c>
      <c r="J261" s="330">
        <f t="shared" si="78"/>
        <v>0</v>
      </c>
      <c r="K261" s="269">
        <v>2</v>
      </c>
      <c r="L261" s="330">
        <f t="shared" si="77"/>
        <v>0</v>
      </c>
      <c r="M261" s="330">
        <f t="shared" si="77"/>
        <v>0</v>
      </c>
      <c r="N261" s="330">
        <v>0</v>
      </c>
      <c r="O261" s="272" t="s">
        <v>511</v>
      </c>
      <c r="P261" s="271" t="s">
        <v>149</v>
      </c>
      <c r="Q261" s="272" t="s">
        <v>527</v>
      </c>
      <c r="R261" s="272" t="s">
        <v>528</v>
      </c>
      <c r="S261" s="273" t="s">
        <v>685</v>
      </c>
      <c r="T261" s="274" t="str">
        <f t="shared" si="85"/>
        <v>FIFA Transport</v>
      </c>
      <c r="U261" s="275"/>
      <c r="V261" s="358" t="s">
        <v>514</v>
      </c>
    </row>
    <row r="262" spans="1:22" s="276" customFormat="1" ht="15.75" hidden="1" customHeight="1">
      <c r="A262" s="267" t="s">
        <v>538</v>
      </c>
      <c r="B262" s="329" t="str">
        <f t="shared" si="84"/>
        <v>Tablet - FIFA Professional Tablet + 4G</v>
      </c>
      <c r="C262" s="329" t="str">
        <f t="shared" si="83"/>
        <v>FIFA IT Hardware</v>
      </c>
      <c r="D262" s="329" t="str">
        <f t="shared" si="79"/>
        <v>Single</v>
      </c>
      <c r="E262" s="329" t="str">
        <f t="shared" si="80"/>
        <v/>
      </c>
      <c r="F262" s="329" t="str">
        <f t="shared" si="81"/>
        <v>Professional Series Tablet + 4G</v>
      </c>
      <c r="G262" s="329" t="str">
        <f t="shared" si="82"/>
        <v>TABLEN - Tablet - FIFA Professional Tablet + 4G</v>
      </c>
      <c r="H262" s="269">
        <v>2</v>
      </c>
      <c r="I262" s="330">
        <f t="shared" si="78"/>
        <v>0</v>
      </c>
      <c r="J262" s="330">
        <f t="shared" si="78"/>
        <v>2</v>
      </c>
      <c r="K262" s="269">
        <v>2</v>
      </c>
      <c r="L262" s="330">
        <f t="shared" ref="L262:L325" si="86">IF($A262="","",$K262*VLOOKUP($A262,ps_table,MATCH(L$2,ps_headers,0),FALSE))</f>
        <v>0</v>
      </c>
      <c r="M262" s="330">
        <v>2</v>
      </c>
      <c r="N262" s="330"/>
      <c r="O262" s="272" t="s">
        <v>539</v>
      </c>
      <c r="P262" s="271" t="s">
        <v>149</v>
      </c>
      <c r="Q262" s="272" t="s">
        <v>527</v>
      </c>
      <c r="R262" s="272" t="s">
        <v>528</v>
      </c>
      <c r="S262" s="273" t="s">
        <v>685</v>
      </c>
      <c r="T262" s="274" t="str">
        <f t="shared" si="85"/>
        <v>FIFA Transport</v>
      </c>
      <c r="U262" s="275"/>
      <c r="V262" s="358" t="s">
        <v>514</v>
      </c>
    </row>
    <row r="263" spans="1:22" s="276" customFormat="1" ht="15.75" hidden="1" customHeight="1">
      <c r="A263" s="267" t="s">
        <v>329</v>
      </c>
      <c r="B263" s="329" t="str">
        <f t="shared" si="84"/>
        <v>24" Monitor - HDMI/DP</v>
      </c>
      <c r="C263" s="329" t="str">
        <f t="shared" si="83"/>
        <v>Peripherals</v>
      </c>
      <c r="D263" s="329" t="str">
        <f t="shared" si="79"/>
        <v/>
      </c>
      <c r="E263" s="329" t="str">
        <f t="shared" si="80"/>
        <v/>
      </c>
      <c r="F263" s="329" t="str">
        <f t="shared" si="81"/>
        <v>24" PC Monitor</v>
      </c>
      <c r="G263" s="329" t="str">
        <f t="shared" si="82"/>
        <v>DSKMNT - 24" Monitor - HDMI/DP</v>
      </c>
      <c r="H263" s="269">
        <v>2</v>
      </c>
      <c r="I263" s="330">
        <f t="shared" si="78"/>
        <v>0</v>
      </c>
      <c r="J263" s="330">
        <f t="shared" si="78"/>
        <v>0</v>
      </c>
      <c r="K263" s="269">
        <v>2</v>
      </c>
      <c r="L263" s="330">
        <f t="shared" si="86"/>
        <v>0</v>
      </c>
      <c r="M263" s="330">
        <f t="shared" ref="M263:M294" si="87">IF($A263="","",$K263*VLOOKUP($A263,ps_table,MATCH(M$2,ps_headers,0),FALSE))</f>
        <v>0</v>
      </c>
      <c r="N263" s="330">
        <v>0</v>
      </c>
      <c r="O263" s="272" t="s">
        <v>511</v>
      </c>
      <c r="P263" s="271" t="s">
        <v>149</v>
      </c>
      <c r="Q263" s="272" t="s">
        <v>527</v>
      </c>
      <c r="R263" s="272" t="s">
        <v>528</v>
      </c>
      <c r="S263" s="273" t="s">
        <v>686</v>
      </c>
      <c r="T263" s="274" t="str">
        <f t="shared" si="85"/>
        <v>FIFA Travel</v>
      </c>
      <c r="U263" s="275"/>
      <c r="V263" s="358" t="s">
        <v>514</v>
      </c>
    </row>
    <row r="264" spans="1:22" s="276" customFormat="1" ht="15.75" hidden="1" customHeight="1">
      <c r="A264" s="277" t="s">
        <v>519</v>
      </c>
      <c r="B264" s="268" t="str">
        <f t="shared" si="84"/>
        <v>Wireless coverage - Shared Internet Service - Wi-Fi FIFA</v>
      </c>
      <c r="C264" s="268" t="str">
        <f t="shared" si="83"/>
        <v>Network &amp; Connectivity</v>
      </c>
      <c r="D264" s="268" t="str">
        <f t="shared" si="79"/>
        <v/>
      </c>
      <c r="E264" s="268" t="str">
        <f t="shared" si="80"/>
        <v>General Internet Access</v>
      </c>
      <c r="F264" s="268" t="str">
        <f t="shared" si="81"/>
        <v>Wireless coverage - Shared Internet Service - FIFA</v>
      </c>
      <c r="G264" s="268" t="str">
        <f t="shared" si="82"/>
        <v>IS00WF - Wireless coverage - Shared Internet Service - Wi-Fi FIFA (General Internet Access)</v>
      </c>
      <c r="H264" s="269">
        <v>1</v>
      </c>
      <c r="I264" s="270">
        <f t="shared" si="78"/>
        <v>0</v>
      </c>
      <c r="J264" s="270">
        <f t="shared" si="78"/>
        <v>0</v>
      </c>
      <c r="K264" s="269">
        <v>1</v>
      </c>
      <c r="L264" s="270">
        <f t="shared" si="86"/>
        <v>0</v>
      </c>
      <c r="M264" s="270">
        <f t="shared" si="87"/>
        <v>0</v>
      </c>
      <c r="N264" s="270"/>
      <c r="O264" s="272" t="s">
        <v>511</v>
      </c>
      <c r="P264" s="271" t="s">
        <v>149</v>
      </c>
      <c r="Q264" s="272" t="s">
        <v>527</v>
      </c>
      <c r="R264" s="331" t="s">
        <v>528</v>
      </c>
      <c r="S264" s="273" t="s">
        <v>687</v>
      </c>
      <c r="T264" s="274" t="str">
        <f t="shared" si="85"/>
        <v>FIFA Venue Management</v>
      </c>
      <c r="U264" s="275"/>
      <c r="V264" s="358" t="s">
        <v>520</v>
      </c>
    </row>
    <row r="265" spans="1:22" s="276" customFormat="1" ht="15.75" hidden="1" customHeight="1">
      <c r="A265" s="277" t="s">
        <v>519</v>
      </c>
      <c r="B265" s="329" t="str">
        <f t="shared" si="84"/>
        <v>Wireless coverage - Shared Internet Service - Wi-Fi FIFA</v>
      </c>
      <c r="C265" s="329" t="str">
        <f t="shared" si="83"/>
        <v>Network &amp; Connectivity</v>
      </c>
      <c r="D265" s="268" t="str">
        <f t="shared" si="79"/>
        <v/>
      </c>
      <c r="E265" s="268" t="str">
        <f t="shared" si="80"/>
        <v>General Internet Access</v>
      </c>
      <c r="F265" s="268" t="str">
        <f t="shared" si="81"/>
        <v>Wireless coverage - Shared Internet Service - FIFA</v>
      </c>
      <c r="G265" s="268" t="str">
        <f t="shared" si="82"/>
        <v>IS00WF - Wireless coverage - Shared Internet Service - Wi-Fi FIFA (General Internet Access)</v>
      </c>
      <c r="H265" s="269">
        <v>1</v>
      </c>
      <c r="I265" s="330">
        <f t="shared" si="78"/>
        <v>0</v>
      </c>
      <c r="J265" s="330">
        <f t="shared" si="78"/>
        <v>0</v>
      </c>
      <c r="K265" s="442">
        <v>1</v>
      </c>
      <c r="L265" s="330">
        <f t="shared" si="86"/>
        <v>0</v>
      </c>
      <c r="M265" s="330">
        <f t="shared" si="87"/>
        <v>0</v>
      </c>
      <c r="N265" s="330"/>
      <c r="O265" s="272" t="s">
        <v>511</v>
      </c>
      <c r="P265" s="271" t="s">
        <v>152</v>
      </c>
      <c r="Q265" s="272" t="s">
        <v>299</v>
      </c>
      <c r="R265" s="331" t="s">
        <v>688</v>
      </c>
      <c r="S265" s="273" t="s">
        <v>687</v>
      </c>
      <c r="T265" s="274" t="str">
        <f t="shared" si="85"/>
        <v>FIFA Venue Management</v>
      </c>
      <c r="U265" s="275"/>
      <c r="V265" s="358" t="s">
        <v>520</v>
      </c>
    </row>
    <row r="266" spans="1:22" s="276" customFormat="1" ht="15.75" hidden="1" customHeight="1">
      <c r="A266" s="277" t="s">
        <v>207</v>
      </c>
      <c r="B266" s="268" t="str">
        <f t="shared" si="84"/>
        <v>MFD Large - Colour - A3 - Network</v>
      </c>
      <c r="C266" s="268" t="str">
        <f t="shared" si="83"/>
        <v>Reprographics</v>
      </c>
      <c r="D266" s="268" t="str">
        <f t="shared" si="79"/>
        <v/>
      </c>
      <c r="E266" s="268" t="str">
        <f t="shared" si="80"/>
        <v>General Internet Access</v>
      </c>
      <c r="F266" s="268" t="str">
        <f t="shared" si="81"/>
        <v>Large Colour Printer / Scanner (A3)</v>
      </c>
      <c r="G266" s="268" t="str">
        <f t="shared" si="82"/>
        <v>MFDLNW - MFD Large - Colour - A3 - Network (General Internet Access)</v>
      </c>
      <c r="H266" s="269">
        <v>1</v>
      </c>
      <c r="I266" s="270">
        <f t="shared" si="78"/>
        <v>1</v>
      </c>
      <c r="J266" s="270">
        <f t="shared" si="78"/>
        <v>0</v>
      </c>
      <c r="K266" s="269">
        <v>1</v>
      </c>
      <c r="L266" s="270">
        <f t="shared" si="86"/>
        <v>1</v>
      </c>
      <c r="M266" s="270">
        <f t="shared" si="87"/>
        <v>0</v>
      </c>
      <c r="N266" s="270">
        <v>1</v>
      </c>
      <c r="O266" s="272" t="s">
        <v>511</v>
      </c>
      <c r="P266" s="271" t="s">
        <v>149</v>
      </c>
      <c r="Q266" s="272" t="s">
        <v>527</v>
      </c>
      <c r="R266" s="331" t="s">
        <v>528</v>
      </c>
      <c r="S266" s="273" t="s">
        <v>687</v>
      </c>
      <c r="T266" s="274" t="str">
        <f t="shared" si="85"/>
        <v>FIFA Venue Management</v>
      </c>
      <c r="U266" s="275" t="s">
        <v>689</v>
      </c>
      <c r="V266" s="358" t="s">
        <v>514</v>
      </c>
    </row>
    <row r="267" spans="1:22" s="276" customFormat="1" ht="15.75" hidden="1" customHeight="1">
      <c r="A267" s="267" t="s">
        <v>202</v>
      </c>
      <c r="B267" s="329" t="str">
        <f t="shared" si="84"/>
        <v>MFD Desktop - Colour - A4 - Network</v>
      </c>
      <c r="C267" s="329" t="str">
        <f t="shared" si="83"/>
        <v>Reprographics</v>
      </c>
      <c r="D267" s="268" t="str">
        <f t="shared" si="79"/>
        <v/>
      </c>
      <c r="E267" s="268" t="str">
        <f t="shared" si="80"/>
        <v>General Internet Access</v>
      </c>
      <c r="F267" s="268" t="str">
        <f t="shared" si="81"/>
        <v>Colour Printer / Scanner (A4)</v>
      </c>
      <c r="G267" s="268" t="str">
        <f t="shared" si="82"/>
        <v>MFDDNW - MFD Desktop - Colour - A4 - Network (General Internet Access)</v>
      </c>
      <c r="H267" s="269">
        <v>1</v>
      </c>
      <c r="I267" s="330">
        <f t="shared" si="78"/>
        <v>1</v>
      </c>
      <c r="J267" s="330">
        <f t="shared" si="78"/>
        <v>0</v>
      </c>
      <c r="K267" s="442">
        <v>1</v>
      </c>
      <c r="L267" s="330">
        <f t="shared" si="86"/>
        <v>1</v>
      </c>
      <c r="M267" s="330">
        <f t="shared" si="87"/>
        <v>0</v>
      </c>
      <c r="N267" s="330"/>
      <c r="O267" s="272" t="s">
        <v>511</v>
      </c>
      <c r="P267" s="271" t="s">
        <v>152</v>
      </c>
      <c r="Q267" s="272" t="s">
        <v>299</v>
      </c>
      <c r="R267" s="331" t="s">
        <v>688</v>
      </c>
      <c r="S267" s="273" t="s">
        <v>687</v>
      </c>
      <c r="T267" s="274" t="str">
        <f t="shared" si="85"/>
        <v>FIFA Venue Management</v>
      </c>
      <c r="U267" s="275"/>
      <c r="V267" s="358" t="s">
        <v>514</v>
      </c>
    </row>
    <row r="268" spans="1:22" s="276" customFormat="1" ht="15.75" hidden="1" customHeight="1">
      <c r="A268" s="267" t="s">
        <v>690</v>
      </c>
      <c r="B268" s="329" t="str">
        <f t="shared" si="84"/>
        <v>Radio PMR In Stadium</v>
      </c>
      <c r="C268" s="329" t="str">
        <f t="shared" si="83"/>
        <v>Radio</v>
      </c>
      <c r="D268" s="268" t="str">
        <f t="shared" si="79"/>
        <v/>
      </c>
      <c r="E268" s="268" t="str">
        <f t="shared" si="80"/>
        <v/>
      </c>
      <c r="F268" s="268" t="str">
        <f t="shared" si="81"/>
        <v>Radio PMR In Stadium</v>
      </c>
      <c r="G268" s="268" t="str">
        <f t="shared" si="82"/>
        <v>RADIO - Radio PMR In Stadium</v>
      </c>
      <c r="H268" s="269">
        <v>50</v>
      </c>
      <c r="I268" s="330">
        <f t="shared" si="78"/>
        <v>0</v>
      </c>
      <c r="J268" s="330">
        <f t="shared" si="78"/>
        <v>0</v>
      </c>
      <c r="K268" s="269">
        <v>50</v>
      </c>
      <c r="L268" s="330">
        <f t="shared" si="86"/>
        <v>0</v>
      </c>
      <c r="M268" s="330">
        <f t="shared" si="87"/>
        <v>0</v>
      </c>
      <c r="N268" s="330"/>
      <c r="O268" s="272" t="s">
        <v>511</v>
      </c>
      <c r="P268" s="271" t="s">
        <v>149</v>
      </c>
      <c r="Q268" s="272" t="s">
        <v>691</v>
      </c>
      <c r="R268" s="331" t="s">
        <v>692</v>
      </c>
      <c r="S268" s="273" t="s">
        <v>687</v>
      </c>
      <c r="T268" s="274" t="str">
        <f t="shared" si="85"/>
        <v>FIFA Venue Management</v>
      </c>
      <c r="U268" s="275"/>
      <c r="V268" s="358" t="s">
        <v>693</v>
      </c>
    </row>
    <row r="269" spans="1:22" s="276" customFormat="1" ht="15.75" hidden="1" customHeight="1">
      <c r="A269" s="267" t="s">
        <v>519</v>
      </c>
      <c r="B269" s="329" t="str">
        <f t="shared" si="84"/>
        <v>Wireless coverage - Shared Internet Service - Wi-Fi FIFA</v>
      </c>
      <c r="C269" s="329" t="str">
        <f t="shared" si="83"/>
        <v>Network &amp; Connectivity</v>
      </c>
      <c r="D269" s="329" t="str">
        <f t="shared" si="79"/>
        <v/>
      </c>
      <c r="E269" s="329" t="str">
        <f t="shared" si="80"/>
        <v>General Internet Access</v>
      </c>
      <c r="F269" s="329" t="str">
        <f t="shared" si="81"/>
        <v>Wireless coverage - Shared Internet Service - FIFA</v>
      </c>
      <c r="G269" s="329" t="str">
        <f t="shared" si="82"/>
        <v>IS00WF - Wireless coverage - Shared Internet Service - Wi-Fi FIFA (General Internet Access)</v>
      </c>
      <c r="H269" s="269">
        <v>1</v>
      </c>
      <c r="I269" s="330">
        <f t="shared" si="78"/>
        <v>0</v>
      </c>
      <c r="J269" s="330">
        <f t="shared" si="78"/>
        <v>0</v>
      </c>
      <c r="K269" s="269">
        <v>1</v>
      </c>
      <c r="L269" s="330">
        <f t="shared" si="86"/>
        <v>0</v>
      </c>
      <c r="M269" s="330">
        <f t="shared" si="87"/>
        <v>0</v>
      </c>
      <c r="N269" s="330"/>
      <c r="O269" s="272" t="s">
        <v>511</v>
      </c>
      <c r="P269" s="271" t="s">
        <v>149</v>
      </c>
      <c r="Q269" s="272" t="s">
        <v>694</v>
      </c>
      <c r="R269" s="331" t="s">
        <v>695</v>
      </c>
      <c r="S269" s="273" t="s">
        <v>696</v>
      </c>
      <c r="T269" s="274" t="str">
        <f t="shared" si="85"/>
        <v>FIFA Volunteer</v>
      </c>
      <c r="U269" s="275"/>
      <c r="V269" s="358" t="s">
        <v>520</v>
      </c>
    </row>
    <row r="270" spans="1:22" s="276" customFormat="1" ht="15.75" hidden="1" customHeight="1">
      <c r="A270" s="267" t="s">
        <v>591</v>
      </c>
      <c r="B270" s="329" t="str">
        <f t="shared" si="84"/>
        <v>Laptop - FIFA Event Build</v>
      </c>
      <c r="C270" s="329" t="str">
        <f t="shared" si="83"/>
        <v>FIFA IT Hardware</v>
      </c>
      <c r="D270" s="329" t="str">
        <f t="shared" si="79"/>
        <v>Single</v>
      </c>
      <c r="E270" s="329" t="str">
        <f t="shared" si="80"/>
        <v/>
      </c>
      <c r="F270" s="329" t="str">
        <f t="shared" si="81"/>
        <v>FIFA Laptop</v>
      </c>
      <c r="G270" s="329" t="str">
        <f t="shared" si="82"/>
        <v>LAPEVT - Laptop - FIFA Event Build</v>
      </c>
      <c r="H270" s="269">
        <v>2</v>
      </c>
      <c r="I270" s="330">
        <f t="shared" ref="I270:J289" si="88">IF($A270="","",$K270*VLOOKUP($A270,ps_table,MATCH(I$2,ps_headers,0),FALSE))</f>
        <v>0</v>
      </c>
      <c r="J270" s="330">
        <f t="shared" si="88"/>
        <v>0</v>
      </c>
      <c r="K270" s="269">
        <v>3</v>
      </c>
      <c r="L270" s="330">
        <f t="shared" si="86"/>
        <v>0</v>
      </c>
      <c r="M270" s="330">
        <f t="shared" si="87"/>
        <v>0</v>
      </c>
      <c r="N270" s="330"/>
      <c r="O270" s="272" t="s">
        <v>539</v>
      </c>
      <c r="P270" s="271" t="s">
        <v>149</v>
      </c>
      <c r="Q270" s="272" t="s">
        <v>694</v>
      </c>
      <c r="R270" s="331" t="s">
        <v>695</v>
      </c>
      <c r="S270" s="273" t="s">
        <v>696</v>
      </c>
      <c r="T270" s="274" t="str">
        <f t="shared" si="85"/>
        <v>FIFA Volunteer</v>
      </c>
      <c r="U270" s="275"/>
      <c r="V270" s="358" t="s">
        <v>514</v>
      </c>
    </row>
    <row r="271" spans="1:22" s="276" customFormat="1" ht="15.75" hidden="1" customHeight="1">
      <c r="A271" s="267" t="s">
        <v>202</v>
      </c>
      <c r="B271" s="329" t="str">
        <f t="shared" si="84"/>
        <v>MFD Desktop - Colour - A4 - Network</v>
      </c>
      <c r="C271" s="329" t="str">
        <f t="shared" si="83"/>
        <v>Reprographics</v>
      </c>
      <c r="D271" s="329" t="str">
        <f t="shared" si="79"/>
        <v/>
      </c>
      <c r="E271" s="329" t="str">
        <f t="shared" si="80"/>
        <v>General Internet Access</v>
      </c>
      <c r="F271" s="329" t="str">
        <f t="shared" si="81"/>
        <v>Colour Printer / Scanner (A4)</v>
      </c>
      <c r="G271" s="329" t="str">
        <f t="shared" si="82"/>
        <v>MFDDNW - MFD Desktop - Colour - A4 - Network (General Internet Access)</v>
      </c>
      <c r="H271" s="269">
        <v>1</v>
      </c>
      <c r="I271" s="330">
        <f t="shared" si="88"/>
        <v>1</v>
      </c>
      <c r="J271" s="330">
        <f t="shared" si="88"/>
        <v>0</v>
      </c>
      <c r="K271" s="269">
        <v>1</v>
      </c>
      <c r="L271" s="330">
        <f t="shared" si="86"/>
        <v>1</v>
      </c>
      <c r="M271" s="330">
        <f t="shared" si="87"/>
        <v>0</v>
      </c>
      <c r="N271" s="330">
        <v>0</v>
      </c>
      <c r="O271" s="272" t="s">
        <v>511</v>
      </c>
      <c r="P271" s="271" t="s">
        <v>149</v>
      </c>
      <c r="Q271" s="272" t="s">
        <v>694</v>
      </c>
      <c r="R271" s="331" t="s">
        <v>695</v>
      </c>
      <c r="S271" s="273" t="s">
        <v>696</v>
      </c>
      <c r="T271" s="274" t="str">
        <f t="shared" si="85"/>
        <v>FIFA Volunteer</v>
      </c>
      <c r="U271" s="275"/>
      <c r="V271" s="358" t="s">
        <v>514</v>
      </c>
    </row>
    <row r="272" spans="1:22" s="249" customFormat="1" ht="15.75" hidden="1" customHeight="1">
      <c r="A272" s="267" t="s">
        <v>538</v>
      </c>
      <c r="B272" s="332" t="str">
        <f t="shared" si="84"/>
        <v>Tablet - FIFA Professional Tablet + 4G</v>
      </c>
      <c r="C272" s="329" t="str">
        <f t="shared" si="83"/>
        <v>FIFA IT Hardware</v>
      </c>
      <c r="D272" s="329" t="str">
        <f t="shared" si="79"/>
        <v>Single</v>
      </c>
      <c r="E272" s="329" t="str">
        <f t="shared" si="80"/>
        <v/>
      </c>
      <c r="F272" s="329" t="str">
        <f t="shared" si="81"/>
        <v>Professional Series Tablet + 4G</v>
      </c>
      <c r="G272" s="329" t="str">
        <f t="shared" si="82"/>
        <v>TABLEN - Tablet - FIFA Professional Tablet + 4G</v>
      </c>
      <c r="H272" s="269">
        <v>2</v>
      </c>
      <c r="I272" s="330">
        <f t="shared" si="88"/>
        <v>0</v>
      </c>
      <c r="J272" s="330">
        <f t="shared" si="88"/>
        <v>2</v>
      </c>
      <c r="K272" s="269">
        <v>2</v>
      </c>
      <c r="L272" s="330">
        <f t="shared" si="86"/>
        <v>0</v>
      </c>
      <c r="M272" s="330">
        <f t="shared" si="87"/>
        <v>2</v>
      </c>
      <c r="N272" s="330"/>
      <c r="O272" s="272" t="s">
        <v>539</v>
      </c>
      <c r="P272" s="271" t="s">
        <v>149</v>
      </c>
      <c r="Q272" s="272" t="s">
        <v>694</v>
      </c>
      <c r="R272" s="331" t="s">
        <v>695</v>
      </c>
      <c r="S272" s="273" t="s">
        <v>696</v>
      </c>
      <c r="T272" s="274" t="str">
        <f t="shared" si="85"/>
        <v>FIFA Volunteer</v>
      </c>
      <c r="U272" s="275"/>
      <c r="V272" s="358" t="s">
        <v>514</v>
      </c>
    </row>
    <row r="273" spans="1:22" s="276" customFormat="1" hidden="1">
      <c r="A273" s="267" t="s">
        <v>597</v>
      </c>
      <c r="B273" s="329" t="str">
        <f t="shared" si="84"/>
        <v>Telephone - Mobile - Smart Phone</v>
      </c>
      <c r="C273" s="329" t="str">
        <f t="shared" si="83"/>
        <v>Telephony</v>
      </c>
      <c r="D273" s="329" t="str">
        <f t="shared" si="79"/>
        <v>Single</v>
      </c>
      <c r="E273" s="329" t="str">
        <f t="shared" si="80"/>
        <v/>
      </c>
      <c r="F273" s="329" t="str">
        <f t="shared" si="81"/>
        <v>Smart Phone</v>
      </c>
      <c r="G273" s="329" t="str">
        <f t="shared" si="82"/>
        <v>TELMOB - Telephone - Mobile - Smart Phone</v>
      </c>
      <c r="H273" s="269">
        <v>1</v>
      </c>
      <c r="I273" s="330">
        <f t="shared" si="88"/>
        <v>0</v>
      </c>
      <c r="J273" s="330">
        <f t="shared" si="88"/>
        <v>1</v>
      </c>
      <c r="K273" s="269">
        <v>1</v>
      </c>
      <c r="L273" s="330">
        <f t="shared" si="86"/>
        <v>0</v>
      </c>
      <c r="M273" s="330">
        <f t="shared" si="87"/>
        <v>1</v>
      </c>
      <c r="N273" s="330"/>
      <c r="O273" s="272" t="s">
        <v>539</v>
      </c>
      <c r="P273" s="271" t="s">
        <v>149</v>
      </c>
      <c r="Q273" s="272" t="s">
        <v>694</v>
      </c>
      <c r="R273" s="331" t="s">
        <v>695</v>
      </c>
      <c r="S273" s="273" t="s">
        <v>696</v>
      </c>
      <c r="T273" s="274" t="str">
        <f t="shared" si="85"/>
        <v>FIFA Volunteer</v>
      </c>
      <c r="U273" s="275" t="s">
        <v>697</v>
      </c>
      <c r="V273" s="358" t="s">
        <v>594</v>
      </c>
    </row>
    <row r="274" spans="1:22" s="326" customFormat="1" hidden="1">
      <c r="A274" s="339" t="s">
        <v>597</v>
      </c>
      <c r="B274" s="329" t="str">
        <f t="shared" si="84"/>
        <v>Telephone - Mobile - Smart Phone</v>
      </c>
      <c r="C274" s="329" t="str">
        <f t="shared" si="83"/>
        <v>Telephony</v>
      </c>
      <c r="D274" s="329" t="str">
        <f t="shared" si="79"/>
        <v>Single</v>
      </c>
      <c r="E274" s="329" t="str">
        <f t="shared" si="80"/>
        <v/>
      </c>
      <c r="F274" s="329" t="str">
        <f t="shared" si="81"/>
        <v>Smart Phone</v>
      </c>
      <c r="G274" s="329" t="str">
        <f t="shared" si="82"/>
        <v>TELMOB - Telephone - Mobile - Smart Phone</v>
      </c>
      <c r="H274" s="269">
        <v>1</v>
      </c>
      <c r="I274" s="330">
        <f t="shared" si="88"/>
        <v>0</v>
      </c>
      <c r="J274" s="330">
        <f t="shared" si="88"/>
        <v>1</v>
      </c>
      <c r="K274" s="269">
        <v>1</v>
      </c>
      <c r="L274" s="330">
        <f t="shared" si="86"/>
        <v>0</v>
      </c>
      <c r="M274" s="330">
        <f t="shared" si="87"/>
        <v>1</v>
      </c>
      <c r="N274" s="330"/>
      <c r="O274" s="272" t="s">
        <v>539</v>
      </c>
      <c r="P274" s="271" t="s">
        <v>149</v>
      </c>
      <c r="Q274" s="272" t="s">
        <v>694</v>
      </c>
      <c r="R274" s="331" t="s">
        <v>695</v>
      </c>
      <c r="S274" s="273" t="s">
        <v>696</v>
      </c>
      <c r="T274" s="274" t="str">
        <f t="shared" si="85"/>
        <v>FIFA Volunteer</v>
      </c>
      <c r="U274" s="275" t="s">
        <v>698</v>
      </c>
      <c r="V274" s="358" t="s">
        <v>594</v>
      </c>
    </row>
    <row r="275" spans="1:22" s="326" customFormat="1" hidden="1">
      <c r="A275" s="267" t="s">
        <v>237</v>
      </c>
      <c r="B275" s="332" t="str">
        <f t="shared" si="84"/>
        <v>TV - Large - IPTV</v>
      </c>
      <c r="C275" s="329" t="str">
        <f t="shared" si="83"/>
        <v>CATV</v>
      </c>
      <c r="D275" s="329" t="str">
        <f t="shared" si="79"/>
        <v/>
      </c>
      <c r="E275" s="329" t="str">
        <f t="shared" si="80"/>
        <v/>
      </c>
      <c r="F275" s="329" t="str">
        <f t="shared" si="81"/>
        <v>Large TV - CATV Feed</v>
      </c>
      <c r="G275" s="329" t="str">
        <f t="shared" si="82"/>
        <v>TVLGIP - TV - Large - IPTV</v>
      </c>
      <c r="H275" s="269">
        <v>1</v>
      </c>
      <c r="I275" s="330">
        <f t="shared" si="88"/>
        <v>1</v>
      </c>
      <c r="J275" s="330">
        <f t="shared" si="88"/>
        <v>0</v>
      </c>
      <c r="K275" s="438">
        <v>1</v>
      </c>
      <c r="L275" s="330">
        <f t="shared" si="86"/>
        <v>1</v>
      </c>
      <c r="M275" s="330">
        <f t="shared" si="87"/>
        <v>0</v>
      </c>
      <c r="N275" s="330">
        <v>0</v>
      </c>
      <c r="O275" s="272" t="s">
        <v>511</v>
      </c>
      <c r="P275" s="271" t="s">
        <v>149</v>
      </c>
      <c r="Q275" s="272" t="s">
        <v>694</v>
      </c>
      <c r="R275" s="331" t="s">
        <v>695</v>
      </c>
      <c r="S275" s="273" t="s">
        <v>696</v>
      </c>
      <c r="T275" s="274" t="str">
        <f t="shared" si="85"/>
        <v>FIFA Volunteer</v>
      </c>
      <c r="U275" s="275"/>
      <c r="V275" s="358" t="s">
        <v>247</v>
      </c>
    </row>
    <row r="276" spans="1:22" s="326" customFormat="1" hidden="1">
      <c r="A276" s="267" t="s">
        <v>537</v>
      </c>
      <c r="B276" s="332" t="str">
        <f t="shared" si="84"/>
        <v>TV Stand - Medium &amp; Large TVs</v>
      </c>
      <c r="C276" s="329" t="str">
        <f t="shared" si="83"/>
        <v>Peripherals</v>
      </c>
      <c r="D276" s="329" t="str">
        <f t="shared" si="79"/>
        <v/>
      </c>
      <c r="E276" s="329" t="str">
        <f t="shared" si="80"/>
        <v/>
      </c>
      <c r="F276" s="329" t="str">
        <f t="shared" si="81"/>
        <v>TV Stand for medium and large TVs</v>
      </c>
      <c r="G276" s="329" t="str">
        <f t="shared" si="82"/>
        <v>TVSTND - TV Stand - Medium &amp; Large TVs</v>
      </c>
      <c r="H276" s="269">
        <v>1</v>
      </c>
      <c r="I276" s="330">
        <f t="shared" si="88"/>
        <v>0</v>
      </c>
      <c r="J276" s="330">
        <f t="shared" si="88"/>
        <v>0</v>
      </c>
      <c r="K276" s="269">
        <v>1</v>
      </c>
      <c r="L276" s="330">
        <f t="shared" si="86"/>
        <v>0</v>
      </c>
      <c r="M276" s="330">
        <f t="shared" si="87"/>
        <v>0</v>
      </c>
      <c r="N276" s="330">
        <v>0</v>
      </c>
      <c r="O276" s="272" t="s">
        <v>511</v>
      </c>
      <c r="P276" s="271" t="s">
        <v>149</v>
      </c>
      <c r="Q276" s="272" t="s">
        <v>694</v>
      </c>
      <c r="R276" s="331" t="s">
        <v>695</v>
      </c>
      <c r="S276" s="273" t="s">
        <v>696</v>
      </c>
      <c r="T276" s="274" t="str">
        <f t="shared" si="85"/>
        <v>FIFA Volunteer</v>
      </c>
      <c r="U276" s="275"/>
      <c r="V276" s="358" t="s">
        <v>247</v>
      </c>
    </row>
    <row r="277" spans="1:22" s="276" customFormat="1" hidden="1">
      <c r="A277" s="267" t="s">
        <v>329</v>
      </c>
      <c r="B277" s="329" t="str">
        <f t="shared" si="84"/>
        <v>24" Monitor - HDMI/DP</v>
      </c>
      <c r="C277" s="329" t="str">
        <f t="shared" si="83"/>
        <v>Peripherals</v>
      </c>
      <c r="D277" s="329" t="str">
        <f t="shared" si="79"/>
        <v/>
      </c>
      <c r="E277" s="329" t="str">
        <f t="shared" si="80"/>
        <v/>
      </c>
      <c r="F277" s="329" t="str">
        <f t="shared" si="81"/>
        <v>24" PC Monitor</v>
      </c>
      <c r="G277" s="329" t="str">
        <f t="shared" si="82"/>
        <v>DSKMNT - 24" Monitor - HDMI/DP</v>
      </c>
      <c r="H277" s="269">
        <v>1</v>
      </c>
      <c r="I277" s="330">
        <f t="shared" si="88"/>
        <v>0</v>
      </c>
      <c r="J277" s="330">
        <f t="shared" si="88"/>
        <v>0</v>
      </c>
      <c r="K277" s="269">
        <v>1</v>
      </c>
      <c r="L277" s="330">
        <f t="shared" si="86"/>
        <v>0</v>
      </c>
      <c r="M277" s="330">
        <f t="shared" si="87"/>
        <v>0</v>
      </c>
      <c r="N277" s="330">
        <v>0</v>
      </c>
      <c r="O277" s="272" t="s">
        <v>511</v>
      </c>
      <c r="P277" s="271" t="s">
        <v>149</v>
      </c>
      <c r="Q277" s="272" t="s">
        <v>527</v>
      </c>
      <c r="R277" s="272" t="s">
        <v>528</v>
      </c>
      <c r="S277" s="273" t="s">
        <v>699</v>
      </c>
      <c r="T277" s="274" t="str">
        <f t="shared" si="85"/>
        <v>FIFA Workforce</v>
      </c>
      <c r="U277" s="275"/>
      <c r="V277" s="358" t="s">
        <v>514</v>
      </c>
    </row>
    <row r="278" spans="1:22" s="276" customFormat="1" ht="28.8" hidden="1">
      <c r="A278" s="267" t="s">
        <v>519</v>
      </c>
      <c r="B278" s="332" t="str">
        <f t="shared" si="84"/>
        <v>Wireless coverage - Shared Internet Service - Wi-Fi FIFA</v>
      </c>
      <c r="C278" s="329" t="str">
        <f t="shared" si="83"/>
        <v>Network &amp; Connectivity</v>
      </c>
      <c r="D278" s="329" t="str">
        <f t="shared" si="79"/>
        <v/>
      </c>
      <c r="E278" s="329" t="str">
        <f t="shared" si="80"/>
        <v>General Internet Access</v>
      </c>
      <c r="F278" s="329" t="str">
        <f t="shared" si="81"/>
        <v>Wireless coverage - Shared Internet Service - FIFA</v>
      </c>
      <c r="G278" s="329" t="str">
        <f t="shared" si="82"/>
        <v>IS00WF - Wireless coverage - Shared Internet Service - Wi-Fi FIFA (General Internet Access)</v>
      </c>
      <c r="H278" s="269">
        <v>1</v>
      </c>
      <c r="I278" s="330">
        <f t="shared" si="88"/>
        <v>0</v>
      </c>
      <c r="J278" s="330">
        <f t="shared" si="88"/>
        <v>0</v>
      </c>
      <c r="K278" s="442">
        <v>1</v>
      </c>
      <c r="L278" s="330">
        <f t="shared" si="86"/>
        <v>0</v>
      </c>
      <c r="M278" s="330">
        <f t="shared" si="87"/>
        <v>0</v>
      </c>
      <c r="N278" s="330"/>
      <c r="O278" s="272" t="s">
        <v>511</v>
      </c>
      <c r="P278" s="271" t="s">
        <v>152</v>
      </c>
      <c r="Q278" s="273" t="s">
        <v>528</v>
      </c>
      <c r="R278" s="273" t="s">
        <v>528</v>
      </c>
      <c r="S278" s="273" t="s">
        <v>699</v>
      </c>
      <c r="T278" s="274" t="str">
        <f t="shared" si="85"/>
        <v>FIFA Workforce</v>
      </c>
      <c r="U278" s="275"/>
      <c r="V278" s="358" t="s">
        <v>520</v>
      </c>
    </row>
    <row r="279" spans="1:22" s="276" customFormat="1" ht="28.8" hidden="1">
      <c r="A279" s="267" t="s">
        <v>519</v>
      </c>
      <c r="B279" s="332" t="str">
        <f t="shared" si="84"/>
        <v>Wireless coverage - Shared Internet Service - Wi-Fi FIFA</v>
      </c>
      <c r="C279" s="329" t="str">
        <f t="shared" si="83"/>
        <v>Network &amp; Connectivity</v>
      </c>
      <c r="D279" s="329" t="str">
        <f t="shared" si="79"/>
        <v/>
      </c>
      <c r="E279" s="329" t="str">
        <f t="shared" si="80"/>
        <v>General Internet Access</v>
      </c>
      <c r="F279" s="329" t="str">
        <f t="shared" si="81"/>
        <v>Wireless coverage - Shared Internet Service - FIFA</v>
      </c>
      <c r="G279" s="329" t="str">
        <f t="shared" si="82"/>
        <v>IS00WF - Wireless coverage - Shared Internet Service - Wi-Fi FIFA (General Internet Access)</v>
      </c>
      <c r="H279" s="269">
        <v>1</v>
      </c>
      <c r="I279" s="330">
        <f t="shared" si="88"/>
        <v>0</v>
      </c>
      <c r="J279" s="330">
        <f t="shared" si="88"/>
        <v>0</v>
      </c>
      <c r="K279" s="269">
        <v>1</v>
      </c>
      <c r="L279" s="330">
        <f t="shared" si="86"/>
        <v>0</v>
      </c>
      <c r="M279" s="330">
        <f t="shared" si="87"/>
        <v>0</v>
      </c>
      <c r="N279" s="330"/>
      <c r="O279" s="272" t="s">
        <v>511</v>
      </c>
      <c r="P279" s="271" t="s">
        <v>149</v>
      </c>
      <c r="Q279" s="272" t="s">
        <v>527</v>
      </c>
      <c r="R279" s="273" t="s">
        <v>528</v>
      </c>
      <c r="S279" s="273" t="s">
        <v>699</v>
      </c>
      <c r="T279" s="274" t="str">
        <f t="shared" si="85"/>
        <v>FIFA Workforce</v>
      </c>
      <c r="U279" s="275"/>
      <c r="V279" s="358" t="s">
        <v>520</v>
      </c>
    </row>
    <row r="280" spans="1:22" s="276" customFormat="1" ht="28.8" hidden="1">
      <c r="A280" s="267" t="s">
        <v>519</v>
      </c>
      <c r="B280" s="332" t="str">
        <f t="shared" si="84"/>
        <v>Wireless coverage - Shared Internet Service - Wi-Fi FIFA</v>
      </c>
      <c r="C280" s="329" t="str">
        <f t="shared" si="83"/>
        <v>Network &amp; Connectivity</v>
      </c>
      <c r="D280" s="329" t="str">
        <f t="shared" si="79"/>
        <v/>
      </c>
      <c r="E280" s="329" t="str">
        <f t="shared" si="80"/>
        <v>General Internet Access</v>
      </c>
      <c r="F280" s="329" t="str">
        <f t="shared" si="81"/>
        <v>Wireless coverage - Shared Internet Service - FIFA</v>
      </c>
      <c r="G280" s="329" t="str">
        <f t="shared" si="82"/>
        <v>IS00WF - Wireless coverage - Shared Internet Service - Wi-Fi FIFA (General Internet Access)</v>
      </c>
      <c r="H280" s="269">
        <v>1</v>
      </c>
      <c r="I280" s="330">
        <f t="shared" si="88"/>
        <v>0</v>
      </c>
      <c r="J280" s="330">
        <f t="shared" si="88"/>
        <v>0</v>
      </c>
      <c r="K280" s="269">
        <v>1</v>
      </c>
      <c r="L280" s="330">
        <f t="shared" si="86"/>
        <v>0</v>
      </c>
      <c r="M280" s="330">
        <f t="shared" si="87"/>
        <v>0</v>
      </c>
      <c r="N280" s="330"/>
      <c r="O280" s="272" t="s">
        <v>511</v>
      </c>
      <c r="P280" s="271" t="s">
        <v>149</v>
      </c>
      <c r="Q280" s="272" t="s">
        <v>694</v>
      </c>
      <c r="R280" s="273" t="s">
        <v>700</v>
      </c>
      <c r="S280" s="273" t="s">
        <v>699</v>
      </c>
      <c r="T280" s="274" t="str">
        <f t="shared" si="85"/>
        <v>FIFA Workforce</v>
      </c>
      <c r="U280" s="275"/>
      <c r="V280" s="358" t="s">
        <v>520</v>
      </c>
    </row>
    <row r="281" spans="1:22" s="276" customFormat="1" ht="28.8" hidden="1">
      <c r="A281" s="267" t="s">
        <v>519</v>
      </c>
      <c r="B281" s="332" t="str">
        <f t="shared" si="84"/>
        <v>Wireless coverage - Shared Internet Service - Wi-Fi FIFA</v>
      </c>
      <c r="C281" s="329" t="str">
        <f t="shared" si="83"/>
        <v>Network &amp; Connectivity</v>
      </c>
      <c r="D281" s="329" t="str">
        <f t="shared" si="79"/>
        <v/>
      </c>
      <c r="E281" s="329" t="str">
        <f t="shared" si="80"/>
        <v>General Internet Access</v>
      </c>
      <c r="F281" s="329" t="str">
        <f t="shared" si="81"/>
        <v>Wireless coverage - Shared Internet Service - FIFA</v>
      </c>
      <c r="G281" s="329" t="str">
        <f t="shared" si="82"/>
        <v>IS00WF - Wireless coverage - Shared Internet Service - Wi-Fi FIFA (General Internet Access)</v>
      </c>
      <c r="H281" s="269">
        <v>1</v>
      </c>
      <c r="I281" s="330">
        <f t="shared" si="88"/>
        <v>0</v>
      </c>
      <c r="J281" s="330">
        <f t="shared" si="88"/>
        <v>0</v>
      </c>
      <c r="K281" s="269">
        <v>1</v>
      </c>
      <c r="L281" s="330">
        <f t="shared" si="86"/>
        <v>0</v>
      </c>
      <c r="M281" s="330">
        <f t="shared" si="87"/>
        <v>0</v>
      </c>
      <c r="N281" s="330"/>
      <c r="O281" s="272" t="s">
        <v>511</v>
      </c>
      <c r="P281" s="271" t="s">
        <v>149</v>
      </c>
      <c r="Q281" s="272" t="s">
        <v>527</v>
      </c>
      <c r="R281" s="273" t="s">
        <v>701</v>
      </c>
      <c r="S281" s="273" t="s">
        <v>699</v>
      </c>
      <c r="T281" s="274" t="str">
        <f t="shared" si="85"/>
        <v>FIFA Workforce</v>
      </c>
      <c r="U281" s="275" t="s">
        <v>702</v>
      </c>
      <c r="V281" s="358" t="s">
        <v>520</v>
      </c>
    </row>
    <row r="282" spans="1:22" s="276" customFormat="1" ht="28.8" hidden="1">
      <c r="A282" s="267" t="s">
        <v>519</v>
      </c>
      <c r="B282" s="332" t="str">
        <f t="shared" si="84"/>
        <v>Wireless coverage - Shared Internet Service - Wi-Fi FIFA</v>
      </c>
      <c r="C282" s="329" t="str">
        <f t="shared" si="83"/>
        <v>Network &amp; Connectivity</v>
      </c>
      <c r="D282" s="329" t="str">
        <f t="shared" si="79"/>
        <v/>
      </c>
      <c r="E282" s="329" t="str">
        <f t="shared" si="80"/>
        <v>General Internet Access</v>
      </c>
      <c r="F282" s="329" t="str">
        <f t="shared" si="81"/>
        <v>Wireless coverage - Shared Internet Service - FIFA</v>
      </c>
      <c r="G282" s="329" t="str">
        <f t="shared" si="82"/>
        <v>IS00WF - Wireless coverage - Shared Internet Service - Wi-Fi FIFA (General Internet Access)</v>
      </c>
      <c r="H282" s="269">
        <v>1</v>
      </c>
      <c r="I282" s="330">
        <f t="shared" si="88"/>
        <v>0</v>
      </c>
      <c r="J282" s="330">
        <f t="shared" si="88"/>
        <v>0</v>
      </c>
      <c r="K282" s="269">
        <v>1</v>
      </c>
      <c r="L282" s="330">
        <f t="shared" si="86"/>
        <v>0</v>
      </c>
      <c r="M282" s="330">
        <f t="shared" si="87"/>
        <v>0</v>
      </c>
      <c r="N282" s="330"/>
      <c r="O282" s="272" t="s">
        <v>511</v>
      </c>
      <c r="P282" s="271" t="s">
        <v>149</v>
      </c>
      <c r="Q282" s="272" t="s">
        <v>527</v>
      </c>
      <c r="R282" s="273" t="s">
        <v>703</v>
      </c>
      <c r="S282" s="273" t="s">
        <v>699</v>
      </c>
      <c r="T282" s="274" t="str">
        <f t="shared" si="85"/>
        <v>FIFA Workforce</v>
      </c>
      <c r="U282" s="275"/>
      <c r="V282" s="358" t="s">
        <v>520</v>
      </c>
    </row>
    <row r="283" spans="1:22" s="276" customFormat="1" ht="28.8" hidden="1">
      <c r="A283" s="267" t="s">
        <v>519</v>
      </c>
      <c r="B283" s="332" t="str">
        <f t="shared" si="84"/>
        <v>Wireless coverage - Shared Internet Service - Wi-Fi FIFA</v>
      </c>
      <c r="C283" s="329" t="str">
        <f t="shared" si="83"/>
        <v>Network &amp; Connectivity</v>
      </c>
      <c r="D283" s="329" t="str">
        <f t="shared" si="79"/>
        <v/>
      </c>
      <c r="E283" s="329" t="str">
        <f t="shared" si="80"/>
        <v>General Internet Access</v>
      </c>
      <c r="F283" s="329" t="str">
        <f t="shared" si="81"/>
        <v>Wireless coverage - Shared Internet Service - FIFA</v>
      </c>
      <c r="G283" s="329" t="str">
        <f t="shared" si="82"/>
        <v>IS00WF - Wireless coverage - Shared Internet Service - Wi-Fi FIFA (General Internet Access)</v>
      </c>
      <c r="H283" s="269">
        <v>1</v>
      </c>
      <c r="I283" s="330">
        <f t="shared" si="88"/>
        <v>0</v>
      </c>
      <c r="J283" s="330">
        <f t="shared" si="88"/>
        <v>0</v>
      </c>
      <c r="K283" s="269">
        <v>1</v>
      </c>
      <c r="L283" s="330">
        <f t="shared" si="86"/>
        <v>0</v>
      </c>
      <c r="M283" s="330">
        <f t="shared" si="87"/>
        <v>0</v>
      </c>
      <c r="N283" s="330"/>
      <c r="O283" s="272" t="s">
        <v>511</v>
      </c>
      <c r="P283" s="271" t="s">
        <v>149</v>
      </c>
      <c r="Q283" s="272" t="s">
        <v>694</v>
      </c>
      <c r="R283" s="273" t="s">
        <v>704</v>
      </c>
      <c r="S283" s="273" t="s">
        <v>699</v>
      </c>
      <c r="T283" s="274" t="str">
        <f t="shared" si="85"/>
        <v>FIFA Workforce</v>
      </c>
      <c r="U283" s="275" t="s">
        <v>702</v>
      </c>
      <c r="V283" s="358" t="s">
        <v>520</v>
      </c>
    </row>
    <row r="284" spans="1:22" s="276" customFormat="1" hidden="1">
      <c r="A284" s="277" t="s">
        <v>237</v>
      </c>
      <c r="B284" s="329" t="str">
        <f t="shared" si="84"/>
        <v>TV - Large - IPTV</v>
      </c>
      <c r="C284" s="329" t="str">
        <f t="shared" si="83"/>
        <v>CATV</v>
      </c>
      <c r="D284" s="329" t="str">
        <f t="shared" si="79"/>
        <v/>
      </c>
      <c r="E284" s="329" t="str">
        <f t="shared" si="80"/>
        <v/>
      </c>
      <c r="F284" s="329" t="str">
        <f t="shared" si="81"/>
        <v>Large TV - CATV Feed</v>
      </c>
      <c r="G284" s="329" t="str">
        <f t="shared" si="82"/>
        <v>TVLGIP - TV - Large - IPTV</v>
      </c>
      <c r="H284" s="269">
        <v>2</v>
      </c>
      <c r="I284" s="330">
        <f t="shared" si="88"/>
        <v>4</v>
      </c>
      <c r="J284" s="330">
        <f t="shared" si="88"/>
        <v>0</v>
      </c>
      <c r="K284" s="438">
        <v>4</v>
      </c>
      <c r="L284" s="330">
        <f t="shared" si="86"/>
        <v>4</v>
      </c>
      <c r="M284" s="330">
        <f t="shared" si="87"/>
        <v>0</v>
      </c>
      <c r="N284" s="330">
        <v>0</v>
      </c>
      <c r="O284" s="272" t="s">
        <v>511</v>
      </c>
      <c r="P284" s="271" t="s">
        <v>149</v>
      </c>
      <c r="Q284" s="272" t="s">
        <v>527</v>
      </c>
      <c r="R284" s="272" t="s">
        <v>528</v>
      </c>
      <c r="S284" s="273" t="s">
        <v>699</v>
      </c>
      <c r="T284" s="274" t="str">
        <f t="shared" si="85"/>
        <v>FIFA Workforce</v>
      </c>
      <c r="U284" s="275" t="s">
        <v>705</v>
      </c>
      <c r="V284" s="358" t="s">
        <v>247</v>
      </c>
    </row>
    <row r="285" spans="1:22" s="276" customFormat="1" hidden="1">
      <c r="A285" s="333" t="s">
        <v>249</v>
      </c>
      <c r="B285" s="329" t="str">
        <f t="shared" si="84"/>
        <v>TV - Large - Standalone</v>
      </c>
      <c r="C285" s="329" t="str">
        <f t="shared" si="83"/>
        <v>Display Devices</v>
      </c>
      <c r="D285" s="329" t="str">
        <f t="shared" si="79"/>
        <v/>
      </c>
      <c r="E285" s="329" t="str">
        <f t="shared" si="80"/>
        <v/>
      </c>
      <c r="F285" s="329" t="str">
        <f t="shared" si="81"/>
        <v>Large TV - Standalone</v>
      </c>
      <c r="G285" s="329" t="str">
        <f t="shared" si="82"/>
        <v>TVLGSA - TV - Large - Standalone</v>
      </c>
      <c r="H285" s="269">
        <v>1</v>
      </c>
      <c r="I285" s="330">
        <f t="shared" si="88"/>
        <v>0</v>
      </c>
      <c r="J285" s="330">
        <f t="shared" si="88"/>
        <v>0</v>
      </c>
      <c r="K285" s="269">
        <v>1</v>
      </c>
      <c r="L285" s="330">
        <f t="shared" si="86"/>
        <v>0</v>
      </c>
      <c r="M285" s="330">
        <f t="shared" si="87"/>
        <v>0</v>
      </c>
      <c r="N285" s="330">
        <v>0</v>
      </c>
      <c r="O285" s="272" t="s">
        <v>511</v>
      </c>
      <c r="P285" s="271" t="s">
        <v>149</v>
      </c>
      <c r="Q285" s="272" t="s">
        <v>527</v>
      </c>
      <c r="R285" s="272" t="s">
        <v>528</v>
      </c>
      <c r="S285" s="273" t="s">
        <v>699</v>
      </c>
      <c r="T285" s="274" t="str">
        <f t="shared" si="85"/>
        <v>FIFA Workforce</v>
      </c>
      <c r="U285" s="275" t="s">
        <v>706</v>
      </c>
      <c r="V285" s="358" t="s">
        <v>247</v>
      </c>
    </row>
    <row r="286" spans="1:22" s="276" customFormat="1" hidden="1">
      <c r="A286" s="277" t="s">
        <v>537</v>
      </c>
      <c r="B286" s="329" t="str">
        <f t="shared" si="84"/>
        <v>TV Stand - Medium &amp; Large TVs</v>
      </c>
      <c r="C286" s="329" t="str">
        <f t="shared" si="83"/>
        <v>Peripherals</v>
      </c>
      <c r="D286" s="329" t="str">
        <f t="shared" ref="D286:D317" si="89">IF(OR($A286="",$O286&lt;&gt;"FIFA Event Technology"),"",IF(VLOOKUP($A286,ps_table,MATCH(D$2,ps_headers,0),FALSE)&lt;&gt;"",VLOOKUP($A286,ps_table,MATCH(D$2,ps_headers,0),FALSE),""))</f>
        <v/>
      </c>
      <c r="E286" s="329" t="str">
        <f t="shared" ref="E286:E317" si="90">IF($A286="","",IF(VLOOKUP($A286,ps_table,MATCH(E$2,ps_headers,0),FALSE)&lt;&gt;"",VLOOKUP($A286,ps_table,MATCH(E$2,ps_headers,0),FALSE),""))</f>
        <v/>
      </c>
      <c r="F286" s="329" t="str">
        <f t="shared" ref="F286:F317" si="91">IF($A286="","",VLOOKUP($A286,ps_table,MATCH(F$2,ps_headers,0),FALSE))</f>
        <v>TV Stand for medium and large TVs</v>
      </c>
      <c r="G286" s="329" t="str">
        <f t="shared" ref="G286:G317" si="92">IF($A286="","",IF(E286&lt;&gt;"",A286&amp;" - "&amp;B286&amp;" ("&amp;E286&amp;")",A286&amp;" - "&amp;B286))</f>
        <v>TVSTND - TV Stand - Medium &amp; Large TVs</v>
      </c>
      <c r="H286" s="269">
        <v>3</v>
      </c>
      <c r="I286" s="330">
        <f t="shared" si="88"/>
        <v>0</v>
      </c>
      <c r="J286" s="330">
        <f t="shared" si="88"/>
        <v>0</v>
      </c>
      <c r="K286" s="269">
        <v>5</v>
      </c>
      <c r="L286" s="330">
        <f t="shared" si="86"/>
        <v>0</v>
      </c>
      <c r="M286" s="330">
        <f t="shared" si="87"/>
        <v>0</v>
      </c>
      <c r="N286" s="330">
        <v>0</v>
      </c>
      <c r="O286" s="272" t="s">
        <v>511</v>
      </c>
      <c r="P286" s="271" t="s">
        <v>149</v>
      </c>
      <c r="Q286" s="272" t="s">
        <v>527</v>
      </c>
      <c r="R286" s="272" t="s">
        <v>528</v>
      </c>
      <c r="S286" s="273" t="s">
        <v>699</v>
      </c>
      <c r="T286" s="274" t="str">
        <f t="shared" si="85"/>
        <v>FIFA Workforce</v>
      </c>
      <c r="U286" s="275"/>
      <c r="V286" s="358" t="s">
        <v>247</v>
      </c>
    </row>
    <row r="287" spans="1:22" s="276" customFormat="1" ht="28.8" hidden="1">
      <c r="A287" s="267" t="s">
        <v>519</v>
      </c>
      <c r="B287" s="332" t="str">
        <f t="shared" si="84"/>
        <v>Wireless coverage - Shared Internet Service - Wi-Fi FIFA</v>
      </c>
      <c r="C287" s="329" t="str">
        <f t="shared" si="83"/>
        <v>Network &amp; Connectivity</v>
      </c>
      <c r="D287" s="329" t="str">
        <f t="shared" si="89"/>
        <v/>
      </c>
      <c r="E287" s="329" t="str">
        <f t="shared" si="90"/>
        <v>General Internet Access</v>
      </c>
      <c r="F287" s="329" t="str">
        <f t="shared" si="91"/>
        <v>Wireless coverage - Shared Internet Service - FIFA</v>
      </c>
      <c r="G287" s="329" t="str">
        <f t="shared" si="92"/>
        <v>IS00WF - Wireless coverage - Shared Internet Service - Wi-Fi FIFA (General Internet Access)</v>
      </c>
      <c r="H287" s="269">
        <v>1</v>
      </c>
      <c r="I287" s="330">
        <f t="shared" si="88"/>
        <v>0</v>
      </c>
      <c r="J287" s="330">
        <f t="shared" si="88"/>
        <v>0</v>
      </c>
      <c r="K287" s="269">
        <v>1</v>
      </c>
      <c r="L287" s="330">
        <f t="shared" si="86"/>
        <v>0</v>
      </c>
      <c r="M287" s="330">
        <f t="shared" si="87"/>
        <v>0</v>
      </c>
      <c r="N287" s="330"/>
      <c r="O287" s="272" t="s">
        <v>511</v>
      </c>
      <c r="P287" s="271" t="s">
        <v>149</v>
      </c>
      <c r="Q287" s="272" t="s">
        <v>694</v>
      </c>
      <c r="R287" s="331" t="s">
        <v>707</v>
      </c>
      <c r="S287" s="272" t="s">
        <v>708</v>
      </c>
      <c r="T287" s="274" t="str">
        <f t="shared" si="85"/>
        <v>Partner Rights Delivery</v>
      </c>
      <c r="U287" s="275"/>
      <c r="V287" s="358" t="s">
        <v>520</v>
      </c>
    </row>
    <row r="288" spans="1:22" s="276" customFormat="1" ht="28.8" hidden="1">
      <c r="A288" s="267" t="s">
        <v>519</v>
      </c>
      <c r="B288" s="332" t="str">
        <f t="shared" si="84"/>
        <v>Wireless coverage - Shared Internet Service - Wi-Fi FIFA</v>
      </c>
      <c r="C288" s="329" t="str">
        <f t="shared" si="83"/>
        <v>Network &amp; Connectivity</v>
      </c>
      <c r="D288" s="329" t="str">
        <f t="shared" si="89"/>
        <v/>
      </c>
      <c r="E288" s="329" t="str">
        <f t="shared" si="90"/>
        <v>General Internet Access</v>
      </c>
      <c r="F288" s="329" t="str">
        <f t="shared" si="91"/>
        <v>Wireless coverage - Shared Internet Service - FIFA</v>
      </c>
      <c r="G288" s="329" t="str">
        <f t="shared" si="92"/>
        <v>IS00WF - Wireless coverage - Shared Internet Service - Wi-Fi FIFA (General Internet Access)</v>
      </c>
      <c r="H288" s="269">
        <v>1</v>
      </c>
      <c r="I288" s="330">
        <f t="shared" si="88"/>
        <v>0</v>
      </c>
      <c r="J288" s="330">
        <f t="shared" si="88"/>
        <v>0</v>
      </c>
      <c r="K288" s="269">
        <v>1</v>
      </c>
      <c r="L288" s="330">
        <f t="shared" si="86"/>
        <v>0</v>
      </c>
      <c r="M288" s="330">
        <f t="shared" si="87"/>
        <v>0</v>
      </c>
      <c r="N288" s="330"/>
      <c r="O288" s="272" t="s">
        <v>511</v>
      </c>
      <c r="P288" s="271" t="s">
        <v>149</v>
      </c>
      <c r="Q288" s="272" t="s">
        <v>709</v>
      </c>
      <c r="R288" s="331" t="s">
        <v>710</v>
      </c>
      <c r="S288" s="272" t="s">
        <v>708</v>
      </c>
      <c r="T288" s="274" t="str">
        <f t="shared" si="85"/>
        <v>Partner Rights Delivery</v>
      </c>
      <c r="U288" s="275" t="s">
        <v>711</v>
      </c>
      <c r="V288" s="358" t="s">
        <v>520</v>
      </c>
    </row>
    <row r="289" spans="1:22" s="276" customFormat="1" ht="28.8" hidden="1">
      <c r="A289" s="267" t="s">
        <v>519</v>
      </c>
      <c r="B289" s="332" t="str">
        <f t="shared" si="84"/>
        <v>Wireless coverage - Shared Internet Service - Wi-Fi FIFA</v>
      </c>
      <c r="C289" s="329" t="str">
        <f t="shared" si="83"/>
        <v>Network &amp; Connectivity</v>
      </c>
      <c r="D289" s="329" t="str">
        <f t="shared" si="89"/>
        <v/>
      </c>
      <c r="E289" s="329" t="str">
        <f t="shared" si="90"/>
        <v>General Internet Access</v>
      </c>
      <c r="F289" s="329" t="str">
        <f t="shared" si="91"/>
        <v>Wireless coverage - Shared Internet Service - FIFA</v>
      </c>
      <c r="G289" s="329" t="str">
        <f t="shared" si="92"/>
        <v>IS00WF - Wireless coverage - Shared Internet Service - Wi-Fi FIFA (General Internet Access)</v>
      </c>
      <c r="H289" s="269">
        <v>1</v>
      </c>
      <c r="I289" s="330">
        <f t="shared" si="88"/>
        <v>0</v>
      </c>
      <c r="J289" s="330">
        <f t="shared" si="88"/>
        <v>0</v>
      </c>
      <c r="K289" s="269">
        <v>1</v>
      </c>
      <c r="L289" s="330">
        <f t="shared" si="86"/>
        <v>0</v>
      </c>
      <c r="M289" s="330">
        <f t="shared" si="87"/>
        <v>0</v>
      </c>
      <c r="N289" s="330"/>
      <c r="O289" s="272" t="s">
        <v>511</v>
      </c>
      <c r="P289" s="271" t="s">
        <v>149</v>
      </c>
      <c r="Q289" s="272" t="s">
        <v>709</v>
      </c>
      <c r="R289" s="331" t="s">
        <v>712</v>
      </c>
      <c r="S289" s="272" t="s">
        <v>708</v>
      </c>
      <c r="T289" s="274" t="str">
        <f t="shared" si="85"/>
        <v>Partner Rights Delivery</v>
      </c>
      <c r="U289" s="275" t="s">
        <v>711</v>
      </c>
      <c r="V289" s="358" t="s">
        <v>520</v>
      </c>
    </row>
    <row r="290" spans="1:22" s="276" customFormat="1" ht="28.8" hidden="1">
      <c r="A290" s="267" t="s">
        <v>519</v>
      </c>
      <c r="B290" s="332" t="str">
        <f t="shared" si="84"/>
        <v>Wireless coverage - Shared Internet Service - Wi-Fi FIFA</v>
      </c>
      <c r="C290" s="329" t="str">
        <f t="shared" si="83"/>
        <v>Network &amp; Connectivity</v>
      </c>
      <c r="D290" s="329" t="str">
        <f t="shared" si="89"/>
        <v/>
      </c>
      <c r="E290" s="329" t="str">
        <f t="shared" si="90"/>
        <v>General Internet Access</v>
      </c>
      <c r="F290" s="329" t="str">
        <f t="shared" si="91"/>
        <v>Wireless coverage - Shared Internet Service - FIFA</v>
      </c>
      <c r="G290" s="329" t="str">
        <f t="shared" si="92"/>
        <v>IS00WF - Wireless coverage - Shared Internet Service - Wi-Fi FIFA (General Internet Access)</v>
      </c>
      <c r="H290" s="269">
        <v>1</v>
      </c>
      <c r="I290" s="330">
        <f t="shared" ref="I290:J309" si="93">IF($A290="","",$K290*VLOOKUP($A290,ps_table,MATCH(I$2,ps_headers,0),FALSE))</f>
        <v>0</v>
      </c>
      <c r="J290" s="330">
        <f t="shared" si="93"/>
        <v>0</v>
      </c>
      <c r="K290" s="269">
        <v>1</v>
      </c>
      <c r="L290" s="330">
        <f t="shared" si="86"/>
        <v>0</v>
      </c>
      <c r="M290" s="330">
        <f t="shared" si="87"/>
        <v>0</v>
      </c>
      <c r="N290" s="330"/>
      <c r="O290" s="272" t="s">
        <v>511</v>
      </c>
      <c r="P290" s="271" t="s">
        <v>149</v>
      </c>
      <c r="Q290" s="272" t="s">
        <v>709</v>
      </c>
      <c r="R290" s="331" t="s">
        <v>713</v>
      </c>
      <c r="S290" s="272" t="s">
        <v>708</v>
      </c>
      <c r="T290" s="274" t="str">
        <f t="shared" si="85"/>
        <v>Partner Rights Delivery</v>
      </c>
      <c r="U290" s="275" t="s">
        <v>711</v>
      </c>
      <c r="V290" s="358" t="s">
        <v>520</v>
      </c>
    </row>
    <row r="291" spans="1:22" s="276" customFormat="1" ht="43.2" hidden="1">
      <c r="A291" s="267" t="s">
        <v>590</v>
      </c>
      <c r="B291" s="332" t="str">
        <f t="shared" si="84"/>
        <v xml:space="preserve">IT Solution - 4G Internet backup </v>
      </c>
      <c r="C291" s="329" t="str">
        <f t="shared" si="83"/>
        <v>FIFA IT Network Solutions</v>
      </c>
      <c r="D291" s="329" t="str">
        <f t="shared" si="89"/>
        <v/>
      </c>
      <c r="E291" s="329" t="str">
        <f t="shared" si="90"/>
        <v/>
      </c>
      <c r="F291" s="329" t="str">
        <f t="shared" si="91"/>
        <v xml:space="preserve">IT Solution - 4G Internet backup </v>
      </c>
      <c r="G291" s="329" t="str">
        <f t="shared" si="92"/>
        <v xml:space="preserve">ITSIBU - IT Solution - 4G Internet backup </v>
      </c>
      <c r="H291" s="269">
        <v>4</v>
      </c>
      <c r="I291" s="330">
        <f t="shared" si="93"/>
        <v>0</v>
      </c>
      <c r="J291" s="330">
        <f t="shared" si="93"/>
        <v>1</v>
      </c>
      <c r="K291" s="441">
        <v>1</v>
      </c>
      <c r="L291" s="330">
        <f t="shared" si="86"/>
        <v>0</v>
      </c>
      <c r="M291" s="330">
        <f t="shared" si="87"/>
        <v>1</v>
      </c>
      <c r="N291" s="330"/>
      <c r="O291" s="272" t="s">
        <v>511</v>
      </c>
      <c r="P291" s="271" t="s">
        <v>152</v>
      </c>
      <c r="Q291" s="272" t="s">
        <v>709</v>
      </c>
      <c r="R291" s="341" t="s">
        <v>714</v>
      </c>
      <c r="S291" s="272" t="s">
        <v>708</v>
      </c>
      <c r="T291" s="274" t="str">
        <f t="shared" si="85"/>
        <v>Partner Rights Delivery</v>
      </c>
      <c r="U291" s="275" t="s">
        <v>715</v>
      </c>
      <c r="V291" s="358" t="s">
        <v>520</v>
      </c>
    </row>
    <row r="292" spans="1:22" s="276" customFormat="1" hidden="1">
      <c r="A292" s="267" t="s">
        <v>237</v>
      </c>
      <c r="B292" s="332" t="str">
        <f t="shared" si="84"/>
        <v>TV - Large - IPTV</v>
      </c>
      <c r="C292" s="329" t="str">
        <f t="shared" si="83"/>
        <v>CATV</v>
      </c>
      <c r="D292" s="329" t="str">
        <f t="shared" si="89"/>
        <v/>
      </c>
      <c r="E292" s="329" t="str">
        <f t="shared" si="90"/>
        <v/>
      </c>
      <c r="F292" s="329" t="str">
        <f t="shared" si="91"/>
        <v>Large TV - CATV Feed</v>
      </c>
      <c r="G292" s="329" t="str">
        <f t="shared" si="92"/>
        <v>TVLGIP - TV - Large - IPTV</v>
      </c>
      <c r="H292" s="269">
        <v>1</v>
      </c>
      <c r="I292" s="330">
        <f t="shared" si="93"/>
        <v>1</v>
      </c>
      <c r="J292" s="330">
        <f t="shared" si="93"/>
        <v>0</v>
      </c>
      <c r="K292" s="438">
        <v>1</v>
      </c>
      <c r="L292" s="330">
        <f t="shared" si="86"/>
        <v>1</v>
      </c>
      <c r="M292" s="330">
        <f t="shared" si="87"/>
        <v>0</v>
      </c>
      <c r="N292" s="330">
        <v>0</v>
      </c>
      <c r="O292" s="272" t="s">
        <v>511</v>
      </c>
      <c r="P292" s="271" t="s">
        <v>149</v>
      </c>
      <c r="Q292" s="272" t="s">
        <v>694</v>
      </c>
      <c r="R292" s="331" t="s">
        <v>707</v>
      </c>
      <c r="S292" s="272" t="s">
        <v>708</v>
      </c>
      <c r="T292" s="274" t="str">
        <f t="shared" si="85"/>
        <v>Partner Rights Delivery</v>
      </c>
      <c r="U292" s="275" t="s">
        <v>716</v>
      </c>
      <c r="V292" s="358" t="s">
        <v>247</v>
      </c>
    </row>
    <row r="293" spans="1:22" s="276" customFormat="1" ht="26.25" hidden="1" customHeight="1">
      <c r="A293" s="267" t="s">
        <v>537</v>
      </c>
      <c r="B293" s="332" t="str">
        <f t="shared" si="84"/>
        <v>TV Stand - Medium &amp; Large TVs</v>
      </c>
      <c r="C293" s="329" t="str">
        <f t="shared" si="83"/>
        <v>Peripherals</v>
      </c>
      <c r="D293" s="329" t="str">
        <f t="shared" si="89"/>
        <v/>
      </c>
      <c r="E293" s="329" t="str">
        <f t="shared" si="90"/>
        <v/>
      </c>
      <c r="F293" s="329" t="str">
        <f t="shared" si="91"/>
        <v>TV Stand for medium and large TVs</v>
      </c>
      <c r="G293" s="329" t="str">
        <f t="shared" si="92"/>
        <v>TVSTND - TV Stand - Medium &amp; Large TVs</v>
      </c>
      <c r="H293" s="269">
        <v>1</v>
      </c>
      <c r="I293" s="330">
        <f t="shared" si="93"/>
        <v>0</v>
      </c>
      <c r="J293" s="330">
        <f t="shared" si="93"/>
        <v>0</v>
      </c>
      <c r="K293" s="269">
        <v>1</v>
      </c>
      <c r="L293" s="330">
        <f t="shared" si="86"/>
        <v>0</v>
      </c>
      <c r="M293" s="330">
        <f t="shared" si="87"/>
        <v>0</v>
      </c>
      <c r="N293" s="330">
        <v>0</v>
      </c>
      <c r="O293" s="272" t="s">
        <v>511</v>
      </c>
      <c r="P293" s="271" t="s">
        <v>149</v>
      </c>
      <c r="Q293" s="272" t="s">
        <v>694</v>
      </c>
      <c r="R293" s="331" t="s">
        <v>707</v>
      </c>
      <c r="S293" s="272" t="s">
        <v>708</v>
      </c>
      <c r="T293" s="274" t="str">
        <f t="shared" si="85"/>
        <v>Partner Rights Delivery</v>
      </c>
      <c r="U293" s="275"/>
      <c r="V293" s="358" t="s">
        <v>247</v>
      </c>
    </row>
    <row r="294" spans="1:22" s="276" customFormat="1" ht="28.8">
      <c r="A294" s="267" t="s">
        <v>523</v>
      </c>
      <c r="B294" s="332" t="str">
        <f t="shared" si="84"/>
        <v>Wired Port - Media Internet</v>
      </c>
      <c r="C294" s="329" t="str">
        <f t="shared" si="83"/>
        <v>Network &amp; Connectivity</v>
      </c>
      <c r="D294" s="329" t="str">
        <f t="shared" si="89"/>
        <v/>
      </c>
      <c r="E294" s="329" t="str">
        <f t="shared" si="90"/>
        <v>Media Internet Access Media</v>
      </c>
      <c r="F294" s="329" t="str">
        <f t="shared" si="91"/>
        <v>Wired Port - Internet for Media</v>
      </c>
      <c r="G294" s="329" t="str">
        <f t="shared" si="92"/>
        <v>WRDMED - Wired Port - Media Internet (Media Internet Access Media)</v>
      </c>
      <c r="H294" s="269">
        <v>1</v>
      </c>
      <c r="I294" s="330">
        <f t="shared" si="93"/>
        <v>1</v>
      </c>
      <c r="J294" s="330">
        <f t="shared" si="93"/>
        <v>0</v>
      </c>
      <c r="K294" s="441">
        <v>1</v>
      </c>
      <c r="L294" s="330">
        <f t="shared" si="86"/>
        <v>1</v>
      </c>
      <c r="M294" s="330">
        <f t="shared" si="87"/>
        <v>0</v>
      </c>
      <c r="N294" s="330"/>
      <c r="O294" s="272" t="s">
        <v>511</v>
      </c>
      <c r="P294" s="271" t="s">
        <v>152</v>
      </c>
      <c r="Q294" s="272" t="s">
        <v>569</v>
      </c>
      <c r="R294" s="331" t="s">
        <v>717</v>
      </c>
      <c r="S294" s="272" t="s">
        <v>708</v>
      </c>
      <c r="T294" s="274" t="str">
        <f t="shared" si="85"/>
        <v>Partner Rights Delivery</v>
      </c>
      <c r="U294" s="275" t="s">
        <v>718</v>
      </c>
      <c r="V294" s="358" t="s">
        <v>520</v>
      </c>
    </row>
    <row r="295" spans="1:22" s="276" customFormat="1" ht="28.8" hidden="1">
      <c r="A295" s="267" t="s">
        <v>538</v>
      </c>
      <c r="B295" s="329" t="str">
        <f t="shared" si="84"/>
        <v>Tablet - FIFA Professional Tablet + 4G</v>
      </c>
      <c r="C295" s="329" t="str">
        <f t="shared" si="83"/>
        <v>FIFA IT Hardware</v>
      </c>
      <c r="D295" s="329" t="str">
        <f t="shared" si="89"/>
        <v>Single</v>
      </c>
      <c r="E295" s="329" t="str">
        <f t="shared" si="90"/>
        <v/>
      </c>
      <c r="F295" s="329" t="str">
        <f t="shared" si="91"/>
        <v>Professional Series Tablet + 4G</v>
      </c>
      <c r="G295" s="329" t="str">
        <f t="shared" si="92"/>
        <v>TABLEN - Tablet - FIFA Professional Tablet + 4G</v>
      </c>
      <c r="H295" s="269">
        <v>1</v>
      </c>
      <c r="I295" s="330">
        <f t="shared" si="93"/>
        <v>0</v>
      </c>
      <c r="J295" s="330">
        <f t="shared" si="93"/>
        <v>1</v>
      </c>
      <c r="K295" s="269">
        <v>1</v>
      </c>
      <c r="L295" s="330">
        <f t="shared" si="86"/>
        <v>0</v>
      </c>
      <c r="M295" s="330">
        <v>1</v>
      </c>
      <c r="N295" s="330"/>
      <c r="O295" s="272" t="s">
        <v>539</v>
      </c>
      <c r="P295" s="271" t="s">
        <v>149</v>
      </c>
      <c r="Q295" s="272" t="s">
        <v>527</v>
      </c>
      <c r="R295" s="367"/>
      <c r="S295" s="273" t="s">
        <v>719</v>
      </c>
      <c r="T295" s="274" t="str">
        <f t="shared" si="85"/>
        <v>Safeguarding</v>
      </c>
      <c r="U295" s="275"/>
      <c r="V295" s="358" t="s">
        <v>514</v>
      </c>
    </row>
    <row r="296" spans="1:22" s="276" customFormat="1" hidden="1">
      <c r="A296" s="362" t="s">
        <v>188</v>
      </c>
      <c r="B296" s="329" t="str">
        <f t="shared" si="84"/>
        <v>SIM - Data Only</v>
      </c>
      <c r="C296" s="329" t="str">
        <f t="shared" si="83"/>
        <v>Telephony</v>
      </c>
      <c r="D296" s="329" t="str">
        <f t="shared" si="89"/>
        <v/>
      </c>
      <c r="E296" s="329" t="str">
        <f t="shared" si="90"/>
        <v/>
      </c>
      <c r="F296" s="329" t="str">
        <f t="shared" si="91"/>
        <v>Local SIM Card - Data Only</v>
      </c>
      <c r="G296" s="329" t="str">
        <f t="shared" si="92"/>
        <v>SIMDAT - SIM - Data Only</v>
      </c>
      <c r="H296" s="269"/>
      <c r="I296" s="330">
        <f t="shared" si="93"/>
        <v>0</v>
      </c>
      <c r="J296" s="330">
        <f t="shared" si="93"/>
        <v>37</v>
      </c>
      <c r="K296" s="364">
        <v>37</v>
      </c>
      <c r="L296" s="330">
        <f t="shared" si="86"/>
        <v>0</v>
      </c>
      <c r="M296" s="330">
        <f t="shared" ref="M296:M327" si="94">IF($A296="","",$K296*VLOOKUP($A296,ps_table,MATCH(M$2,ps_headers,0),FALSE))</f>
        <v>37</v>
      </c>
      <c r="N296" s="447">
        <v>0</v>
      </c>
      <c r="O296" s="366" t="s">
        <v>511</v>
      </c>
      <c r="P296" s="367" t="s">
        <v>149</v>
      </c>
      <c r="Q296" s="366" t="s">
        <v>185</v>
      </c>
      <c r="R296" s="367"/>
      <c r="S296" s="367" t="s">
        <v>720</v>
      </c>
      <c r="T296" s="274" t="str">
        <f t="shared" si="85"/>
        <v xml:space="preserve">LOC Access Management </v>
      </c>
      <c r="U296" s="275"/>
      <c r="V296" s="358" t="s">
        <v>594</v>
      </c>
    </row>
    <row r="297" spans="1:22" s="276" customFormat="1" ht="15" hidden="1" customHeight="1">
      <c r="A297" s="362" t="s">
        <v>191</v>
      </c>
      <c r="B297" s="329" t="str">
        <f t="shared" si="84"/>
        <v>IT Solution - Router + 4G</v>
      </c>
      <c r="C297" s="329" t="str">
        <f t="shared" si="83"/>
        <v>FIFA IT Network Solutions</v>
      </c>
      <c r="D297" s="329" t="str">
        <f t="shared" si="89"/>
        <v/>
      </c>
      <c r="E297" s="329" t="str">
        <f t="shared" si="90"/>
        <v/>
      </c>
      <c r="F297" s="329" t="str">
        <f t="shared" si="91"/>
        <v>IT Solution - Router + 4G</v>
      </c>
      <c r="G297" s="329" t="str">
        <f t="shared" si="92"/>
        <v>ITSR4G - IT Solution - Router + 4G</v>
      </c>
      <c r="H297" s="269"/>
      <c r="I297" s="330">
        <f t="shared" si="93"/>
        <v>0</v>
      </c>
      <c r="J297" s="330">
        <f t="shared" si="93"/>
        <v>2</v>
      </c>
      <c r="K297" s="364">
        <v>2</v>
      </c>
      <c r="L297" s="330">
        <f t="shared" si="86"/>
        <v>0</v>
      </c>
      <c r="M297" s="330">
        <f t="shared" si="94"/>
        <v>2</v>
      </c>
      <c r="N297" s="447">
        <v>0</v>
      </c>
      <c r="O297" s="366" t="s">
        <v>511</v>
      </c>
      <c r="P297" s="367" t="s">
        <v>149</v>
      </c>
      <c r="Q297" s="366" t="s">
        <v>185</v>
      </c>
      <c r="R297" s="367"/>
      <c r="S297" s="367" t="s">
        <v>720</v>
      </c>
      <c r="T297" s="274" t="str">
        <f t="shared" si="85"/>
        <v xml:space="preserve">LOC Access Management </v>
      </c>
      <c r="U297" s="275"/>
      <c r="V297" s="358" t="s">
        <v>520</v>
      </c>
    </row>
    <row r="298" spans="1:22" s="276" customFormat="1" hidden="1">
      <c r="A298" s="362" t="s">
        <v>188</v>
      </c>
      <c r="B298" s="329" t="str">
        <f t="shared" si="84"/>
        <v>SIM - Data Only</v>
      </c>
      <c r="C298" s="329" t="str">
        <f t="shared" si="83"/>
        <v>Telephony</v>
      </c>
      <c r="D298" s="329" t="str">
        <f t="shared" si="89"/>
        <v/>
      </c>
      <c r="E298" s="329" t="str">
        <f t="shared" si="90"/>
        <v/>
      </c>
      <c r="F298" s="329" t="str">
        <f t="shared" si="91"/>
        <v>Local SIM Card - Data Only</v>
      </c>
      <c r="G298" s="329" t="str">
        <f t="shared" si="92"/>
        <v>SIMDAT - SIM - Data Only</v>
      </c>
      <c r="H298" s="269"/>
      <c r="I298" s="330">
        <f t="shared" si="93"/>
        <v>0</v>
      </c>
      <c r="J298" s="330">
        <f t="shared" si="93"/>
        <v>90</v>
      </c>
      <c r="K298" s="445">
        <v>90</v>
      </c>
      <c r="L298" s="330">
        <f t="shared" si="86"/>
        <v>0</v>
      </c>
      <c r="M298" s="330">
        <f t="shared" si="94"/>
        <v>90</v>
      </c>
      <c r="N298" s="447"/>
      <c r="O298" s="366" t="s">
        <v>511</v>
      </c>
      <c r="P298" s="367" t="s">
        <v>152</v>
      </c>
      <c r="Q298" s="366" t="s">
        <v>185</v>
      </c>
      <c r="R298" s="367"/>
      <c r="S298" s="367" t="s">
        <v>720</v>
      </c>
      <c r="T298" s="274" t="str">
        <f t="shared" si="85"/>
        <v xml:space="preserve">LOC Access Management </v>
      </c>
      <c r="U298" s="275"/>
      <c r="V298" s="358" t="s">
        <v>594</v>
      </c>
    </row>
    <row r="299" spans="1:22" s="276" customFormat="1" ht="15" hidden="1" customHeight="1">
      <c r="A299" s="362" t="s">
        <v>191</v>
      </c>
      <c r="B299" s="329" t="str">
        <f t="shared" si="84"/>
        <v>IT Solution - Router + 4G</v>
      </c>
      <c r="C299" s="329" t="str">
        <f t="shared" si="83"/>
        <v>FIFA IT Network Solutions</v>
      </c>
      <c r="D299" s="329" t="str">
        <f t="shared" si="89"/>
        <v/>
      </c>
      <c r="E299" s="329" t="str">
        <f t="shared" si="90"/>
        <v/>
      </c>
      <c r="F299" s="329" t="str">
        <f t="shared" si="91"/>
        <v>IT Solution - Router + 4G</v>
      </c>
      <c r="G299" s="329" t="str">
        <f t="shared" si="92"/>
        <v>ITSR4G - IT Solution - Router + 4G</v>
      </c>
      <c r="H299" s="269"/>
      <c r="I299" s="330">
        <f t="shared" si="93"/>
        <v>0</v>
      </c>
      <c r="J299" s="330">
        <f t="shared" si="93"/>
        <v>2</v>
      </c>
      <c r="K299" s="445">
        <v>2</v>
      </c>
      <c r="L299" s="330">
        <f t="shared" si="86"/>
        <v>0</v>
      </c>
      <c r="M299" s="330">
        <f t="shared" si="94"/>
        <v>2</v>
      </c>
      <c r="N299" s="447"/>
      <c r="O299" s="366" t="s">
        <v>511</v>
      </c>
      <c r="P299" s="367" t="s">
        <v>152</v>
      </c>
      <c r="Q299" s="366" t="s">
        <v>185</v>
      </c>
      <c r="R299" s="367"/>
      <c r="S299" s="367" t="s">
        <v>720</v>
      </c>
      <c r="T299" s="274" t="str">
        <f t="shared" si="85"/>
        <v xml:space="preserve">LOC Access Management </v>
      </c>
      <c r="U299" s="275"/>
      <c r="V299" s="358" t="s">
        <v>520</v>
      </c>
    </row>
    <row r="300" spans="1:22" s="276" customFormat="1" hidden="1">
      <c r="A300" s="362" t="s">
        <v>202</v>
      </c>
      <c r="B300" s="329" t="str">
        <f t="shared" si="84"/>
        <v>MFD Desktop - Colour - A4 - Network</v>
      </c>
      <c r="C300" s="329" t="str">
        <f t="shared" si="83"/>
        <v>Reprographics</v>
      </c>
      <c r="D300" s="329" t="str">
        <f t="shared" si="89"/>
        <v/>
      </c>
      <c r="E300" s="329" t="str">
        <f t="shared" si="90"/>
        <v>General Internet Access</v>
      </c>
      <c r="F300" s="329" t="str">
        <f t="shared" si="91"/>
        <v>Colour Printer / Scanner (A4)</v>
      </c>
      <c r="G300" s="329" t="str">
        <f t="shared" si="92"/>
        <v>MFDDNW - MFD Desktop - Colour - A4 - Network (General Internet Access)</v>
      </c>
      <c r="H300" s="269"/>
      <c r="I300" s="330">
        <f t="shared" si="93"/>
        <v>0</v>
      </c>
      <c r="J300" s="330">
        <f t="shared" si="93"/>
        <v>0</v>
      </c>
      <c r="K300" s="364">
        <v>0</v>
      </c>
      <c r="L300" s="330">
        <f t="shared" si="86"/>
        <v>0</v>
      </c>
      <c r="M300" s="330">
        <f t="shared" si="94"/>
        <v>0</v>
      </c>
      <c r="N300" s="447"/>
      <c r="O300" s="366" t="s">
        <v>511</v>
      </c>
      <c r="P300" s="367" t="s">
        <v>197</v>
      </c>
      <c r="Q300" s="366" t="s">
        <v>198</v>
      </c>
      <c r="R300" s="367" t="s">
        <v>199</v>
      </c>
      <c r="S300" s="367" t="s">
        <v>721</v>
      </c>
      <c r="T300" s="274" t="str">
        <f t="shared" si="85"/>
        <v>LOC Accreditation</v>
      </c>
      <c r="U300" s="275" t="s">
        <v>722</v>
      </c>
      <c r="V300" s="358" t="s">
        <v>514</v>
      </c>
    </row>
    <row r="301" spans="1:22" s="276" customFormat="1" hidden="1">
      <c r="A301" s="362" t="s">
        <v>207</v>
      </c>
      <c r="B301" s="329" t="str">
        <f t="shared" si="84"/>
        <v>MFD Large - Colour - A3 - Network</v>
      </c>
      <c r="C301" s="329" t="str">
        <f t="shared" si="83"/>
        <v>Reprographics</v>
      </c>
      <c r="D301" s="329" t="str">
        <f t="shared" si="89"/>
        <v/>
      </c>
      <c r="E301" s="329" t="str">
        <f t="shared" si="90"/>
        <v>General Internet Access</v>
      </c>
      <c r="F301" s="329" t="str">
        <f t="shared" si="91"/>
        <v>Large Colour Printer / Scanner (A3)</v>
      </c>
      <c r="G301" s="329" t="str">
        <f t="shared" si="92"/>
        <v>MFDLNW - MFD Large - Colour - A3 - Network (General Internet Access)</v>
      </c>
      <c r="H301" s="269"/>
      <c r="I301" s="330">
        <f t="shared" si="93"/>
        <v>0</v>
      </c>
      <c r="J301" s="330">
        <f t="shared" si="93"/>
        <v>0</v>
      </c>
      <c r="K301" s="364">
        <v>0</v>
      </c>
      <c r="L301" s="330">
        <f t="shared" si="86"/>
        <v>0</v>
      </c>
      <c r="M301" s="330">
        <f t="shared" si="94"/>
        <v>0</v>
      </c>
      <c r="N301" s="447"/>
      <c r="O301" s="366" t="s">
        <v>511</v>
      </c>
      <c r="P301" s="367" t="s">
        <v>197</v>
      </c>
      <c r="Q301" s="366" t="s">
        <v>198</v>
      </c>
      <c r="R301" s="367" t="s">
        <v>205</v>
      </c>
      <c r="S301" s="367" t="s">
        <v>721</v>
      </c>
      <c r="T301" s="274" t="str">
        <f t="shared" si="85"/>
        <v>LOC Accreditation</v>
      </c>
      <c r="U301" s="275" t="s">
        <v>722</v>
      </c>
      <c r="V301" s="358" t="s">
        <v>514</v>
      </c>
    </row>
    <row r="302" spans="1:22" s="276" customFormat="1" ht="15" hidden="1" customHeight="1">
      <c r="A302" s="362" t="s">
        <v>591</v>
      </c>
      <c r="B302" s="329" t="str">
        <f t="shared" si="84"/>
        <v>Laptop - FIFA Event Build</v>
      </c>
      <c r="C302" s="329" t="str">
        <f t="shared" si="83"/>
        <v>FIFA IT Hardware</v>
      </c>
      <c r="D302" s="329" t="str">
        <f t="shared" si="89"/>
        <v/>
      </c>
      <c r="E302" s="329" t="str">
        <f t="shared" si="90"/>
        <v/>
      </c>
      <c r="F302" s="329" t="str">
        <f t="shared" si="91"/>
        <v>FIFA Laptop</v>
      </c>
      <c r="G302" s="329" t="str">
        <f t="shared" si="92"/>
        <v>LAPEVT - Laptop - FIFA Event Build</v>
      </c>
      <c r="H302" s="269"/>
      <c r="I302" s="330">
        <f t="shared" si="93"/>
        <v>0</v>
      </c>
      <c r="J302" s="330">
        <f t="shared" si="93"/>
        <v>0</v>
      </c>
      <c r="K302" s="364">
        <v>0</v>
      </c>
      <c r="L302" s="330">
        <f t="shared" si="86"/>
        <v>0</v>
      </c>
      <c r="M302" s="330">
        <f t="shared" si="94"/>
        <v>0</v>
      </c>
      <c r="N302" s="447"/>
      <c r="O302" s="366" t="s">
        <v>511</v>
      </c>
      <c r="P302" s="367" t="s">
        <v>197</v>
      </c>
      <c r="Q302" s="366" t="s">
        <v>198</v>
      </c>
      <c r="R302" s="367" t="s">
        <v>199</v>
      </c>
      <c r="S302" s="367" t="s">
        <v>721</v>
      </c>
      <c r="T302" s="274" t="str">
        <f t="shared" si="85"/>
        <v>LOC Accreditation</v>
      </c>
      <c r="U302" s="275" t="s">
        <v>722</v>
      </c>
      <c r="V302" s="358" t="s">
        <v>514</v>
      </c>
    </row>
    <row r="303" spans="1:22" s="276" customFormat="1" hidden="1">
      <c r="A303" s="362" t="s">
        <v>216</v>
      </c>
      <c r="B303" s="329" t="str">
        <f t="shared" si="84"/>
        <v>Barcode scanner</v>
      </c>
      <c r="C303" s="329" t="str">
        <f t="shared" si="83"/>
        <v>Peripherals</v>
      </c>
      <c r="D303" s="329" t="str">
        <f t="shared" si="89"/>
        <v/>
      </c>
      <c r="E303" s="329" t="str">
        <f t="shared" si="90"/>
        <v/>
      </c>
      <c r="F303" s="329" t="str">
        <f t="shared" si="91"/>
        <v>Barcode scanner</v>
      </c>
      <c r="G303" s="329" t="str">
        <f t="shared" si="92"/>
        <v>ACCBAR - Barcode scanner</v>
      </c>
      <c r="H303" s="269"/>
      <c r="I303" s="330">
        <f t="shared" si="93"/>
        <v>0</v>
      </c>
      <c r="J303" s="330">
        <f t="shared" si="93"/>
        <v>0</v>
      </c>
      <c r="K303" s="364">
        <v>0</v>
      </c>
      <c r="L303" s="330">
        <f t="shared" si="86"/>
        <v>0</v>
      </c>
      <c r="M303" s="330">
        <f t="shared" si="94"/>
        <v>0</v>
      </c>
      <c r="N303" s="447"/>
      <c r="O303" s="366" t="s">
        <v>511</v>
      </c>
      <c r="P303" s="367" t="s">
        <v>197</v>
      </c>
      <c r="Q303" s="366" t="s">
        <v>198</v>
      </c>
      <c r="R303" s="367" t="s">
        <v>199</v>
      </c>
      <c r="S303" s="367" t="s">
        <v>721</v>
      </c>
      <c r="T303" s="274" t="str">
        <f t="shared" si="85"/>
        <v>LOC Accreditation</v>
      </c>
      <c r="U303" s="275" t="s">
        <v>722</v>
      </c>
      <c r="V303" s="358" t="s">
        <v>514</v>
      </c>
    </row>
    <row r="304" spans="1:22" s="276" customFormat="1" ht="15" hidden="1" customHeight="1">
      <c r="A304" s="362" t="s">
        <v>225</v>
      </c>
      <c r="B304" s="329" t="str">
        <f t="shared" si="84"/>
        <v xml:space="preserve">Wired Port - General Internet </v>
      </c>
      <c r="C304" s="329" t="str">
        <f t="shared" si="83"/>
        <v>Network &amp; Connectivity</v>
      </c>
      <c r="D304" s="329" t="str">
        <f t="shared" si="89"/>
        <v/>
      </c>
      <c r="E304" s="329" t="str">
        <f t="shared" si="90"/>
        <v>General Internet Access</v>
      </c>
      <c r="F304" s="329" t="str">
        <f t="shared" si="91"/>
        <v>Wired Port - Internet</v>
      </c>
      <c r="G304" s="329" t="str">
        <f t="shared" si="92"/>
        <v>WRDGEN - Wired Port - General Internet  (General Internet Access)</v>
      </c>
      <c r="H304" s="269"/>
      <c r="I304" s="330">
        <f t="shared" si="93"/>
        <v>0</v>
      </c>
      <c r="J304" s="330">
        <f t="shared" si="93"/>
        <v>0</v>
      </c>
      <c r="K304" s="364">
        <v>0</v>
      </c>
      <c r="L304" s="330">
        <f t="shared" si="86"/>
        <v>0</v>
      </c>
      <c r="M304" s="330">
        <f t="shared" si="94"/>
        <v>0</v>
      </c>
      <c r="N304" s="447"/>
      <c r="O304" s="366" t="s">
        <v>511</v>
      </c>
      <c r="P304" s="367" t="s">
        <v>197</v>
      </c>
      <c r="Q304" s="366" t="s">
        <v>198</v>
      </c>
      <c r="R304" s="367" t="s">
        <v>199</v>
      </c>
      <c r="S304" s="367" t="s">
        <v>721</v>
      </c>
      <c r="T304" s="274" t="str">
        <f t="shared" si="85"/>
        <v>LOC Accreditation</v>
      </c>
      <c r="U304" s="275" t="s">
        <v>722</v>
      </c>
      <c r="V304" s="358" t="s">
        <v>520</v>
      </c>
    </row>
    <row r="305" spans="1:22" s="276" customFormat="1" ht="15" hidden="1" customHeight="1">
      <c r="A305" s="362" t="s">
        <v>519</v>
      </c>
      <c r="B305" s="329" t="str">
        <f t="shared" si="84"/>
        <v>Wireless coverage - Shared Internet Service - Wi-Fi FIFA</v>
      </c>
      <c r="C305" s="329" t="str">
        <f t="shared" si="83"/>
        <v>Network &amp; Connectivity</v>
      </c>
      <c r="D305" s="329" t="str">
        <f t="shared" si="89"/>
        <v/>
      </c>
      <c r="E305" s="329" t="str">
        <f t="shared" si="90"/>
        <v>General Internet Access</v>
      </c>
      <c r="F305" s="329" t="str">
        <f t="shared" si="91"/>
        <v>Wireless coverage - Shared Internet Service - FIFA</v>
      </c>
      <c r="G305" s="329" t="str">
        <f t="shared" si="92"/>
        <v>IS00WF - Wireless coverage - Shared Internet Service - Wi-Fi FIFA (General Internet Access)</v>
      </c>
      <c r="H305" s="269"/>
      <c r="I305" s="330">
        <f t="shared" si="93"/>
        <v>0</v>
      </c>
      <c r="J305" s="330">
        <f t="shared" si="93"/>
        <v>0</v>
      </c>
      <c r="K305" s="364">
        <v>0</v>
      </c>
      <c r="L305" s="330">
        <f t="shared" si="86"/>
        <v>0</v>
      </c>
      <c r="M305" s="330">
        <f t="shared" si="94"/>
        <v>0</v>
      </c>
      <c r="N305" s="447"/>
      <c r="O305" s="366" t="s">
        <v>511</v>
      </c>
      <c r="P305" s="367" t="s">
        <v>197</v>
      </c>
      <c r="Q305" s="366" t="s">
        <v>198</v>
      </c>
      <c r="R305" s="367" t="s">
        <v>228</v>
      </c>
      <c r="S305" s="367" t="s">
        <v>721</v>
      </c>
      <c r="T305" s="274" t="str">
        <f t="shared" si="85"/>
        <v>LOC Accreditation</v>
      </c>
      <c r="U305" s="275" t="s">
        <v>722</v>
      </c>
      <c r="V305" s="358" t="s">
        <v>520</v>
      </c>
    </row>
    <row r="306" spans="1:22" s="276" customFormat="1" hidden="1">
      <c r="A306" s="362" t="s">
        <v>237</v>
      </c>
      <c r="B306" s="329" t="str">
        <f t="shared" si="84"/>
        <v>TV - Large - IPTV</v>
      </c>
      <c r="C306" s="329" t="str">
        <f t="shared" si="83"/>
        <v>CATV</v>
      </c>
      <c r="D306" s="329" t="str">
        <f t="shared" si="89"/>
        <v/>
      </c>
      <c r="E306" s="329" t="str">
        <f t="shared" si="90"/>
        <v/>
      </c>
      <c r="F306" s="329" t="str">
        <f t="shared" si="91"/>
        <v>Large TV - CATV Feed</v>
      </c>
      <c r="G306" s="329" t="str">
        <f t="shared" si="92"/>
        <v>TVLGIP - TV - Large - IPTV</v>
      </c>
      <c r="H306" s="269"/>
      <c r="I306" s="330">
        <f t="shared" si="93"/>
        <v>0</v>
      </c>
      <c r="J306" s="330">
        <f t="shared" si="93"/>
        <v>0</v>
      </c>
      <c r="K306" s="364">
        <v>0</v>
      </c>
      <c r="L306" s="330">
        <f t="shared" si="86"/>
        <v>0</v>
      </c>
      <c r="M306" s="330">
        <f t="shared" si="94"/>
        <v>0</v>
      </c>
      <c r="N306" s="447"/>
      <c r="O306" s="366" t="s">
        <v>511</v>
      </c>
      <c r="P306" s="367" t="s">
        <v>197</v>
      </c>
      <c r="Q306" s="366" t="s">
        <v>198</v>
      </c>
      <c r="R306" s="367" t="s">
        <v>234</v>
      </c>
      <c r="S306" s="367" t="s">
        <v>721</v>
      </c>
      <c r="T306" s="274" t="str">
        <f t="shared" si="85"/>
        <v>LOC Accreditation</v>
      </c>
      <c r="U306" s="275" t="s">
        <v>722</v>
      </c>
      <c r="V306" s="358" t="s">
        <v>247</v>
      </c>
    </row>
    <row r="307" spans="1:22" s="276" customFormat="1" ht="15" hidden="1" customHeight="1">
      <c r="A307" s="362" t="s">
        <v>591</v>
      </c>
      <c r="B307" s="329" t="str">
        <f t="shared" si="84"/>
        <v>Laptop - FIFA Event Build</v>
      </c>
      <c r="C307" s="329" t="str">
        <f t="shared" si="83"/>
        <v>FIFA IT Hardware</v>
      </c>
      <c r="D307" s="329" t="str">
        <f t="shared" si="89"/>
        <v/>
      </c>
      <c r="E307" s="329" t="str">
        <f t="shared" si="90"/>
        <v/>
      </c>
      <c r="F307" s="329" t="str">
        <f t="shared" si="91"/>
        <v>FIFA Laptop</v>
      </c>
      <c r="G307" s="329" t="str">
        <f t="shared" si="92"/>
        <v>LAPEVT - Laptop - FIFA Event Build</v>
      </c>
      <c r="H307" s="269"/>
      <c r="I307" s="330">
        <f t="shared" si="93"/>
        <v>0</v>
      </c>
      <c r="J307" s="330">
        <f t="shared" si="93"/>
        <v>0</v>
      </c>
      <c r="K307" s="364">
        <v>2</v>
      </c>
      <c r="L307" s="330">
        <f t="shared" si="86"/>
        <v>0</v>
      </c>
      <c r="M307" s="330">
        <f t="shared" si="94"/>
        <v>0</v>
      </c>
      <c r="N307" s="447">
        <v>1</v>
      </c>
      <c r="O307" s="366" t="s">
        <v>511</v>
      </c>
      <c r="P307" s="367" t="s">
        <v>149</v>
      </c>
      <c r="Q307" s="366" t="s">
        <v>241</v>
      </c>
      <c r="R307" s="367" t="s">
        <v>242</v>
      </c>
      <c r="S307" s="367" t="s">
        <v>723</v>
      </c>
      <c r="T307" s="274" t="str">
        <f t="shared" si="85"/>
        <v>LOC Catering</v>
      </c>
      <c r="U307" s="275"/>
      <c r="V307" s="358" t="s">
        <v>514</v>
      </c>
    </row>
    <row r="308" spans="1:22" s="276" customFormat="1" ht="15" hidden="1" customHeight="1">
      <c r="A308" s="362" t="s">
        <v>591</v>
      </c>
      <c r="B308" s="329" t="str">
        <f t="shared" si="84"/>
        <v>Laptop - FIFA Event Build</v>
      </c>
      <c r="C308" s="329" t="str">
        <f t="shared" si="83"/>
        <v>FIFA IT Hardware</v>
      </c>
      <c r="D308" s="329" t="str">
        <f t="shared" si="89"/>
        <v/>
      </c>
      <c r="E308" s="329" t="str">
        <f t="shared" si="90"/>
        <v/>
      </c>
      <c r="F308" s="329" t="str">
        <f t="shared" si="91"/>
        <v>FIFA Laptop</v>
      </c>
      <c r="G308" s="329" t="str">
        <f t="shared" si="92"/>
        <v>LAPEVT - Laptop - FIFA Event Build</v>
      </c>
      <c r="H308" s="269"/>
      <c r="I308" s="330">
        <f t="shared" si="93"/>
        <v>0</v>
      </c>
      <c r="J308" s="330">
        <f t="shared" si="93"/>
        <v>0</v>
      </c>
      <c r="K308" s="443">
        <v>2</v>
      </c>
      <c r="L308" s="330">
        <f t="shared" si="86"/>
        <v>0</v>
      </c>
      <c r="M308" s="330">
        <f t="shared" si="94"/>
        <v>0</v>
      </c>
      <c r="N308" s="447"/>
      <c r="O308" s="366" t="s">
        <v>511</v>
      </c>
      <c r="P308" s="367" t="s">
        <v>152</v>
      </c>
      <c r="Q308" s="366" t="s">
        <v>185</v>
      </c>
      <c r="R308" s="367" t="s">
        <v>242</v>
      </c>
      <c r="S308" s="367" t="s">
        <v>723</v>
      </c>
      <c r="T308" s="274" t="str">
        <f t="shared" si="85"/>
        <v>LOC Catering</v>
      </c>
      <c r="U308" s="275"/>
      <c r="V308" s="358" t="s">
        <v>514</v>
      </c>
    </row>
    <row r="309" spans="1:22" s="276" customFormat="1" hidden="1">
      <c r="A309" s="362" t="s">
        <v>216</v>
      </c>
      <c r="B309" s="329" t="str">
        <f t="shared" si="84"/>
        <v>Barcode scanner</v>
      </c>
      <c r="C309" s="329" t="str">
        <f t="shared" si="83"/>
        <v>Peripherals</v>
      </c>
      <c r="D309" s="329" t="str">
        <f t="shared" si="89"/>
        <v/>
      </c>
      <c r="E309" s="329" t="str">
        <f t="shared" si="90"/>
        <v/>
      </c>
      <c r="F309" s="329" t="str">
        <f t="shared" si="91"/>
        <v>Barcode scanner</v>
      </c>
      <c r="G309" s="329" t="str">
        <f t="shared" si="92"/>
        <v>ACCBAR - Barcode scanner</v>
      </c>
      <c r="H309" s="269"/>
      <c r="I309" s="330">
        <f t="shared" si="93"/>
        <v>0</v>
      </c>
      <c r="J309" s="330">
        <f t="shared" si="93"/>
        <v>0</v>
      </c>
      <c r="K309" s="364">
        <v>2</v>
      </c>
      <c r="L309" s="330">
        <f t="shared" si="86"/>
        <v>0</v>
      </c>
      <c r="M309" s="330">
        <f t="shared" si="94"/>
        <v>0</v>
      </c>
      <c r="N309" s="447">
        <v>1</v>
      </c>
      <c r="O309" s="366" t="s">
        <v>511</v>
      </c>
      <c r="P309" s="367" t="s">
        <v>149</v>
      </c>
      <c r="Q309" s="366" t="s">
        <v>241</v>
      </c>
      <c r="R309" s="367" t="s">
        <v>242</v>
      </c>
      <c r="S309" s="367" t="s">
        <v>723</v>
      </c>
      <c r="T309" s="274" t="str">
        <f t="shared" si="85"/>
        <v>LOC Catering</v>
      </c>
      <c r="U309" s="275"/>
      <c r="V309" s="358" t="s">
        <v>514</v>
      </c>
    </row>
    <row r="310" spans="1:22" s="276" customFormat="1" hidden="1">
      <c r="A310" s="362" t="s">
        <v>216</v>
      </c>
      <c r="B310" s="329" t="str">
        <f t="shared" si="84"/>
        <v>Barcode scanner</v>
      </c>
      <c r="C310" s="329" t="str">
        <f t="shared" si="83"/>
        <v>Peripherals</v>
      </c>
      <c r="D310" s="329" t="str">
        <f t="shared" si="89"/>
        <v/>
      </c>
      <c r="E310" s="329" t="str">
        <f t="shared" si="90"/>
        <v/>
      </c>
      <c r="F310" s="329" t="str">
        <f t="shared" si="91"/>
        <v>Barcode scanner</v>
      </c>
      <c r="G310" s="329" t="str">
        <f t="shared" si="92"/>
        <v>ACCBAR - Barcode scanner</v>
      </c>
      <c r="H310" s="269"/>
      <c r="I310" s="330">
        <f t="shared" ref="I310:J329" si="95">IF($A310="","",$K310*VLOOKUP($A310,ps_table,MATCH(I$2,ps_headers,0),FALSE))</f>
        <v>0</v>
      </c>
      <c r="J310" s="330">
        <f t="shared" si="95"/>
        <v>0</v>
      </c>
      <c r="K310" s="443">
        <v>2</v>
      </c>
      <c r="L310" s="330">
        <f t="shared" si="86"/>
        <v>0</v>
      </c>
      <c r="M310" s="330">
        <f t="shared" si="94"/>
        <v>0</v>
      </c>
      <c r="N310" s="447"/>
      <c r="O310" s="366" t="s">
        <v>511</v>
      </c>
      <c r="P310" s="367" t="s">
        <v>152</v>
      </c>
      <c r="Q310" s="366" t="s">
        <v>185</v>
      </c>
      <c r="R310" s="367" t="s">
        <v>242</v>
      </c>
      <c r="S310" s="367" t="s">
        <v>723</v>
      </c>
      <c r="T310" s="274" t="str">
        <f t="shared" si="85"/>
        <v>LOC Catering</v>
      </c>
      <c r="U310" s="275"/>
      <c r="V310" s="358" t="s">
        <v>514</v>
      </c>
    </row>
    <row r="311" spans="1:22" s="276" customFormat="1" ht="15" hidden="1" customHeight="1">
      <c r="A311" s="362" t="s">
        <v>249</v>
      </c>
      <c r="B311" s="329" t="str">
        <f t="shared" si="84"/>
        <v>TV - Large - Standalone</v>
      </c>
      <c r="C311" s="329" t="str">
        <f t="shared" si="83"/>
        <v>Display Devices</v>
      </c>
      <c r="D311" s="329" t="str">
        <f t="shared" si="89"/>
        <v/>
      </c>
      <c r="E311" s="329" t="str">
        <f t="shared" si="90"/>
        <v/>
      </c>
      <c r="F311" s="329" t="str">
        <f t="shared" si="91"/>
        <v>Large TV - Standalone</v>
      </c>
      <c r="G311" s="329" t="str">
        <f t="shared" si="92"/>
        <v>TVLGSA - TV - Large - Standalone</v>
      </c>
      <c r="H311" s="269"/>
      <c r="I311" s="330">
        <f t="shared" si="95"/>
        <v>0</v>
      </c>
      <c r="J311" s="330">
        <f t="shared" si="95"/>
        <v>0</v>
      </c>
      <c r="K311" s="364">
        <v>1</v>
      </c>
      <c r="L311" s="330">
        <f t="shared" si="86"/>
        <v>0</v>
      </c>
      <c r="M311" s="330">
        <f t="shared" si="94"/>
        <v>0</v>
      </c>
      <c r="N311" s="447">
        <v>0</v>
      </c>
      <c r="O311" s="366" t="s">
        <v>511</v>
      </c>
      <c r="P311" s="367" t="s">
        <v>149</v>
      </c>
      <c r="Q311" s="366" t="s">
        <v>245</v>
      </c>
      <c r="R311" s="367" t="s">
        <v>246</v>
      </c>
      <c r="S311" s="367" t="s">
        <v>724</v>
      </c>
      <c r="T311" s="274" t="str">
        <f t="shared" si="85"/>
        <v xml:space="preserve">LOC Events and Community Relations </v>
      </c>
      <c r="U311" s="275" t="s">
        <v>24</v>
      </c>
      <c r="V311" s="358" t="s">
        <v>514</v>
      </c>
    </row>
    <row r="312" spans="1:22" s="276" customFormat="1" ht="15" hidden="1" customHeight="1">
      <c r="A312" s="362" t="s">
        <v>591</v>
      </c>
      <c r="B312" s="329" t="str">
        <f t="shared" si="84"/>
        <v>Laptop - FIFA Event Build</v>
      </c>
      <c r="C312" s="329" t="str">
        <f t="shared" si="83"/>
        <v>FIFA IT Hardware</v>
      </c>
      <c r="D312" s="329" t="str">
        <f t="shared" si="89"/>
        <v/>
      </c>
      <c r="E312" s="329" t="str">
        <f t="shared" si="90"/>
        <v/>
      </c>
      <c r="F312" s="329" t="str">
        <f t="shared" si="91"/>
        <v>FIFA Laptop</v>
      </c>
      <c r="G312" s="329" t="str">
        <f t="shared" si="92"/>
        <v>LAPEVT - Laptop - FIFA Event Build</v>
      </c>
      <c r="H312" s="269"/>
      <c r="I312" s="330">
        <f t="shared" si="95"/>
        <v>0</v>
      </c>
      <c r="J312" s="330">
        <f t="shared" si="95"/>
        <v>0</v>
      </c>
      <c r="K312" s="364">
        <v>2</v>
      </c>
      <c r="L312" s="330">
        <f t="shared" si="86"/>
        <v>0</v>
      </c>
      <c r="M312" s="330">
        <f t="shared" si="94"/>
        <v>0</v>
      </c>
      <c r="N312" s="447">
        <v>0</v>
      </c>
      <c r="O312" s="366" t="s">
        <v>511</v>
      </c>
      <c r="P312" s="367" t="s">
        <v>149</v>
      </c>
      <c r="Q312" s="366" t="s">
        <v>245</v>
      </c>
      <c r="R312" s="367" t="s">
        <v>246</v>
      </c>
      <c r="S312" s="367" t="s">
        <v>724</v>
      </c>
      <c r="T312" s="274" t="str">
        <f t="shared" si="85"/>
        <v xml:space="preserve">LOC Events and Community Relations </v>
      </c>
      <c r="U312" s="275" t="s">
        <v>24</v>
      </c>
      <c r="V312" s="358" t="s">
        <v>514</v>
      </c>
    </row>
    <row r="313" spans="1:22" s="276" customFormat="1" ht="28.8" hidden="1">
      <c r="A313" s="362" t="s">
        <v>202</v>
      </c>
      <c r="B313" s="329" t="str">
        <f t="shared" si="84"/>
        <v>MFD Desktop - Colour - A4 - Network</v>
      </c>
      <c r="C313" s="329" t="str">
        <f t="shared" si="83"/>
        <v>Reprographics</v>
      </c>
      <c r="D313" s="329" t="str">
        <f t="shared" si="89"/>
        <v/>
      </c>
      <c r="E313" s="329" t="str">
        <f t="shared" si="90"/>
        <v>General Internet Access</v>
      </c>
      <c r="F313" s="329" t="str">
        <f t="shared" si="91"/>
        <v>Colour Printer / Scanner (A4)</v>
      </c>
      <c r="G313" s="329" t="str">
        <f t="shared" si="92"/>
        <v>MFDDNW - MFD Desktop - Colour - A4 - Network (General Internet Access)</v>
      </c>
      <c r="H313" s="269"/>
      <c r="I313" s="330">
        <f t="shared" si="95"/>
        <v>1</v>
      </c>
      <c r="J313" s="330">
        <f t="shared" si="95"/>
        <v>0</v>
      </c>
      <c r="K313" s="364">
        <v>1</v>
      </c>
      <c r="L313" s="330">
        <f t="shared" si="86"/>
        <v>1</v>
      </c>
      <c r="M313" s="330">
        <f t="shared" si="94"/>
        <v>0</v>
      </c>
      <c r="N313" s="447">
        <v>0</v>
      </c>
      <c r="O313" s="366" t="s">
        <v>511</v>
      </c>
      <c r="P313" s="367" t="s">
        <v>149</v>
      </c>
      <c r="Q313" s="366" t="s">
        <v>245</v>
      </c>
      <c r="R313" s="367" t="s">
        <v>246</v>
      </c>
      <c r="S313" s="367" t="s">
        <v>724</v>
      </c>
      <c r="T313" s="274" t="str">
        <f t="shared" si="85"/>
        <v xml:space="preserve">LOC Events and Community Relations </v>
      </c>
      <c r="U313" s="275" t="s">
        <v>24</v>
      </c>
      <c r="V313" s="358" t="s">
        <v>514</v>
      </c>
    </row>
    <row r="314" spans="1:22" s="276" customFormat="1" ht="15" hidden="1" customHeight="1">
      <c r="A314" s="362" t="s">
        <v>519</v>
      </c>
      <c r="B314" s="329" t="str">
        <f t="shared" si="84"/>
        <v>Wireless coverage - Shared Internet Service - Wi-Fi FIFA</v>
      </c>
      <c r="C314" s="329" t="str">
        <f t="shared" si="83"/>
        <v>Network &amp; Connectivity</v>
      </c>
      <c r="D314" s="329" t="str">
        <f t="shared" si="89"/>
        <v/>
      </c>
      <c r="E314" s="329" t="str">
        <f t="shared" si="90"/>
        <v>General Internet Access</v>
      </c>
      <c r="F314" s="329" t="str">
        <f t="shared" si="91"/>
        <v>Wireless coverage - Shared Internet Service - FIFA</v>
      </c>
      <c r="G314" s="329" t="str">
        <f t="shared" si="92"/>
        <v>IS00WF - Wireless coverage - Shared Internet Service - Wi-Fi FIFA (General Internet Access)</v>
      </c>
      <c r="H314" s="269"/>
      <c r="I314" s="330">
        <f t="shared" si="95"/>
        <v>0</v>
      </c>
      <c r="J314" s="330">
        <f t="shared" si="95"/>
        <v>0</v>
      </c>
      <c r="K314" s="364">
        <v>2</v>
      </c>
      <c r="L314" s="330">
        <f t="shared" si="86"/>
        <v>0</v>
      </c>
      <c r="M314" s="330">
        <f t="shared" si="94"/>
        <v>0</v>
      </c>
      <c r="N314" s="447"/>
      <c r="O314" s="366" t="s">
        <v>511</v>
      </c>
      <c r="P314" s="367" t="s">
        <v>149</v>
      </c>
      <c r="Q314" s="366" t="s">
        <v>245</v>
      </c>
      <c r="R314" s="367" t="s">
        <v>246</v>
      </c>
      <c r="S314" s="367" t="s">
        <v>724</v>
      </c>
      <c r="T314" s="274" t="str">
        <f t="shared" si="85"/>
        <v xml:space="preserve">LOC Events and Community Relations </v>
      </c>
      <c r="U314" s="275" t="s">
        <v>24</v>
      </c>
      <c r="V314" s="358" t="s">
        <v>520</v>
      </c>
    </row>
    <row r="315" spans="1:22" s="276" customFormat="1" ht="15" hidden="1" customHeight="1">
      <c r="A315" s="362" t="s">
        <v>249</v>
      </c>
      <c r="B315" s="329" t="str">
        <f t="shared" si="84"/>
        <v>TV - Large - Standalone</v>
      </c>
      <c r="C315" s="329" t="str">
        <f t="shared" si="83"/>
        <v>Display Devices</v>
      </c>
      <c r="D315" s="329" t="str">
        <f t="shared" si="89"/>
        <v/>
      </c>
      <c r="E315" s="329" t="str">
        <f t="shared" si="90"/>
        <v/>
      </c>
      <c r="F315" s="329" t="str">
        <f t="shared" si="91"/>
        <v>Large TV - Standalone</v>
      </c>
      <c r="G315" s="329" t="str">
        <f t="shared" si="92"/>
        <v>TVLGSA - TV - Large - Standalone</v>
      </c>
      <c r="H315" s="269"/>
      <c r="I315" s="330">
        <f t="shared" si="95"/>
        <v>0</v>
      </c>
      <c r="J315" s="330">
        <f t="shared" si="95"/>
        <v>0</v>
      </c>
      <c r="K315" s="443">
        <v>1</v>
      </c>
      <c r="L315" s="330">
        <f t="shared" si="86"/>
        <v>0</v>
      </c>
      <c r="M315" s="330">
        <f t="shared" si="94"/>
        <v>0</v>
      </c>
      <c r="N315" s="447"/>
      <c r="O315" s="366" t="s">
        <v>511</v>
      </c>
      <c r="P315" s="367" t="s">
        <v>152</v>
      </c>
      <c r="Q315" s="366" t="s">
        <v>253</v>
      </c>
      <c r="R315" s="367" t="s">
        <v>246</v>
      </c>
      <c r="S315" s="367" t="s">
        <v>724</v>
      </c>
      <c r="T315" s="274" t="str">
        <f t="shared" si="85"/>
        <v xml:space="preserve">LOC Events and Community Relations </v>
      </c>
      <c r="U315" s="275" t="s">
        <v>24</v>
      </c>
      <c r="V315" s="358" t="s">
        <v>514</v>
      </c>
    </row>
    <row r="316" spans="1:22" s="276" customFormat="1" ht="15" hidden="1" customHeight="1">
      <c r="A316" s="362" t="s">
        <v>591</v>
      </c>
      <c r="B316" s="329" t="str">
        <f t="shared" si="84"/>
        <v>Laptop - FIFA Event Build</v>
      </c>
      <c r="C316" s="329" t="str">
        <f t="shared" si="83"/>
        <v>FIFA IT Hardware</v>
      </c>
      <c r="D316" s="329" t="str">
        <f t="shared" si="89"/>
        <v/>
      </c>
      <c r="E316" s="329" t="str">
        <f t="shared" si="90"/>
        <v/>
      </c>
      <c r="F316" s="329" t="str">
        <f t="shared" si="91"/>
        <v>FIFA Laptop</v>
      </c>
      <c r="G316" s="329" t="str">
        <f t="shared" si="92"/>
        <v>LAPEVT - Laptop - FIFA Event Build</v>
      </c>
      <c r="H316" s="269"/>
      <c r="I316" s="330">
        <f t="shared" si="95"/>
        <v>0</v>
      </c>
      <c r="J316" s="330">
        <f t="shared" si="95"/>
        <v>0</v>
      </c>
      <c r="K316" s="443">
        <v>2</v>
      </c>
      <c r="L316" s="330">
        <f t="shared" si="86"/>
        <v>0</v>
      </c>
      <c r="M316" s="330">
        <f t="shared" si="94"/>
        <v>0</v>
      </c>
      <c r="N316" s="447"/>
      <c r="O316" s="366" t="s">
        <v>511</v>
      </c>
      <c r="P316" s="367" t="s">
        <v>152</v>
      </c>
      <c r="Q316" s="366" t="s">
        <v>253</v>
      </c>
      <c r="R316" s="367" t="s">
        <v>246</v>
      </c>
      <c r="S316" s="367" t="s">
        <v>724</v>
      </c>
      <c r="T316" s="274" t="str">
        <f t="shared" si="85"/>
        <v xml:space="preserve">LOC Events and Community Relations </v>
      </c>
      <c r="U316" s="275" t="s">
        <v>24</v>
      </c>
      <c r="V316" s="358" t="s">
        <v>514</v>
      </c>
    </row>
    <row r="317" spans="1:22" s="276" customFormat="1" ht="28.8" hidden="1">
      <c r="A317" s="362" t="s">
        <v>202</v>
      </c>
      <c r="B317" s="329" t="str">
        <f t="shared" si="84"/>
        <v>MFD Desktop - Colour - A4 - Network</v>
      </c>
      <c r="C317" s="329" t="str">
        <f t="shared" si="83"/>
        <v>Reprographics</v>
      </c>
      <c r="D317" s="329" t="str">
        <f t="shared" si="89"/>
        <v/>
      </c>
      <c r="E317" s="329" t="str">
        <f t="shared" si="90"/>
        <v>General Internet Access</v>
      </c>
      <c r="F317" s="329" t="str">
        <f t="shared" si="91"/>
        <v>Colour Printer / Scanner (A4)</v>
      </c>
      <c r="G317" s="329" t="str">
        <f t="shared" si="92"/>
        <v>MFDDNW - MFD Desktop - Colour - A4 - Network (General Internet Access)</v>
      </c>
      <c r="H317" s="269"/>
      <c r="I317" s="330">
        <f t="shared" si="95"/>
        <v>1</v>
      </c>
      <c r="J317" s="330">
        <f t="shared" si="95"/>
        <v>0</v>
      </c>
      <c r="K317" s="443">
        <v>1</v>
      </c>
      <c r="L317" s="330">
        <f t="shared" si="86"/>
        <v>1</v>
      </c>
      <c r="M317" s="330">
        <f t="shared" si="94"/>
        <v>0</v>
      </c>
      <c r="N317" s="447"/>
      <c r="O317" s="366" t="s">
        <v>511</v>
      </c>
      <c r="P317" s="367" t="s">
        <v>152</v>
      </c>
      <c r="Q317" s="366" t="s">
        <v>253</v>
      </c>
      <c r="R317" s="367" t="s">
        <v>246</v>
      </c>
      <c r="S317" s="367" t="s">
        <v>724</v>
      </c>
      <c r="T317" s="274" t="str">
        <f t="shared" si="85"/>
        <v xml:space="preserve">LOC Events and Community Relations </v>
      </c>
      <c r="U317" s="275" t="s">
        <v>24</v>
      </c>
      <c r="V317" s="358" t="s">
        <v>514</v>
      </c>
    </row>
    <row r="318" spans="1:22" s="276" customFormat="1" ht="15" hidden="1" customHeight="1">
      <c r="A318" s="362" t="s">
        <v>519</v>
      </c>
      <c r="B318" s="329" t="str">
        <f t="shared" si="84"/>
        <v>Wireless coverage - Shared Internet Service - Wi-Fi FIFA</v>
      </c>
      <c r="C318" s="329" t="str">
        <f t="shared" si="83"/>
        <v>Network &amp; Connectivity</v>
      </c>
      <c r="D318" s="329" t="str">
        <f t="shared" ref="D318:D349" si="96">IF(OR($A318="",$O318&lt;&gt;"FIFA Event Technology"),"",IF(VLOOKUP($A318,ps_table,MATCH(D$2,ps_headers,0),FALSE)&lt;&gt;"",VLOOKUP($A318,ps_table,MATCH(D$2,ps_headers,0),FALSE),""))</f>
        <v/>
      </c>
      <c r="E318" s="329" t="str">
        <f t="shared" ref="E318:E349" si="97">IF($A318="","",IF(VLOOKUP($A318,ps_table,MATCH(E$2,ps_headers,0),FALSE)&lt;&gt;"",VLOOKUP($A318,ps_table,MATCH(E$2,ps_headers,0),FALSE),""))</f>
        <v>General Internet Access</v>
      </c>
      <c r="F318" s="329" t="str">
        <f t="shared" ref="F318:F349" si="98">IF($A318="","",VLOOKUP($A318,ps_table,MATCH(F$2,ps_headers,0),FALSE))</f>
        <v>Wireless coverage - Shared Internet Service - FIFA</v>
      </c>
      <c r="G318" s="329" t="str">
        <f t="shared" ref="G318:G349" si="99">IF($A318="","",IF(E318&lt;&gt;"",A318&amp;" - "&amp;B318&amp;" ("&amp;E318&amp;")",A318&amp;" - "&amp;B318))</f>
        <v>IS00WF - Wireless coverage - Shared Internet Service - Wi-Fi FIFA (General Internet Access)</v>
      </c>
      <c r="H318" s="269"/>
      <c r="I318" s="330">
        <f t="shared" si="95"/>
        <v>0</v>
      </c>
      <c r="J318" s="330">
        <f t="shared" si="95"/>
        <v>0</v>
      </c>
      <c r="K318" s="443">
        <v>2</v>
      </c>
      <c r="L318" s="330">
        <f t="shared" si="86"/>
        <v>0</v>
      </c>
      <c r="M318" s="330">
        <f t="shared" si="94"/>
        <v>0</v>
      </c>
      <c r="N318" s="447"/>
      <c r="O318" s="366" t="s">
        <v>511</v>
      </c>
      <c r="P318" s="367" t="s">
        <v>152</v>
      </c>
      <c r="Q318" s="366" t="s">
        <v>253</v>
      </c>
      <c r="R318" s="367" t="s">
        <v>246</v>
      </c>
      <c r="S318" s="367" t="s">
        <v>724</v>
      </c>
      <c r="T318" s="274" t="str">
        <f t="shared" si="85"/>
        <v xml:space="preserve">LOC Events and Community Relations </v>
      </c>
      <c r="U318" s="275" t="s">
        <v>24</v>
      </c>
      <c r="V318" s="358" t="s">
        <v>520</v>
      </c>
    </row>
    <row r="319" spans="1:22" s="276" customFormat="1" ht="15" hidden="1" customHeight="1">
      <c r="A319" s="362" t="s">
        <v>519</v>
      </c>
      <c r="B319" s="329" t="str">
        <f t="shared" si="84"/>
        <v>Wireless coverage - Shared Internet Service - Wi-Fi FIFA</v>
      </c>
      <c r="C319" s="329" t="str">
        <f t="shared" si="83"/>
        <v>Network &amp; Connectivity</v>
      </c>
      <c r="D319" s="329" t="str">
        <f t="shared" si="96"/>
        <v/>
      </c>
      <c r="E319" s="329" t="str">
        <f t="shared" si="97"/>
        <v>General Internet Access</v>
      </c>
      <c r="F319" s="329" t="str">
        <f t="shared" si="98"/>
        <v>Wireless coverage - Shared Internet Service - FIFA</v>
      </c>
      <c r="G319" s="329" t="str">
        <f t="shared" si="99"/>
        <v>IS00WF - Wireless coverage - Shared Internet Service - Wi-Fi FIFA (General Internet Access)</v>
      </c>
      <c r="H319" s="269"/>
      <c r="I319" s="330">
        <f t="shared" si="95"/>
        <v>0</v>
      </c>
      <c r="J319" s="330">
        <f t="shared" si="95"/>
        <v>0</v>
      </c>
      <c r="K319" s="364">
        <v>1</v>
      </c>
      <c r="L319" s="330">
        <f t="shared" si="86"/>
        <v>0</v>
      </c>
      <c r="M319" s="330">
        <f t="shared" si="94"/>
        <v>0</v>
      </c>
      <c r="N319" s="447"/>
      <c r="O319" s="366" t="s">
        <v>511</v>
      </c>
      <c r="P319" s="367" t="s">
        <v>149</v>
      </c>
      <c r="Q319" s="366" t="s">
        <v>255</v>
      </c>
      <c r="R319" s="367" t="s">
        <v>256</v>
      </c>
      <c r="S319" s="367" t="s">
        <v>725</v>
      </c>
      <c r="T319" s="274" t="str">
        <f t="shared" si="85"/>
        <v>LOC Food &amp; Beverage Concessions</v>
      </c>
      <c r="U319" s="275" t="s">
        <v>24</v>
      </c>
      <c r="V319" s="358" t="s">
        <v>520</v>
      </c>
    </row>
    <row r="320" spans="1:22" s="276" customFormat="1" ht="15" hidden="1" customHeight="1">
      <c r="A320" s="362" t="s">
        <v>519</v>
      </c>
      <c r="B320" s="329" t="str">
        <f t="shared" si="84"/>
        <v>Wireless coverage - Shared Internet Service - Wi-Fi FIFA</v>
      </c>
      <c r="C320" s="329" t="str">
        <f t="shared" si="83"/>
        <v>Network &amp; Connectivity</v>
      </c>
      <c r="D320" s="329" t="str">
        <f t="shared" si="96"/>
        <v/>
      </c>
      <c r="E320" s="329" t="str">
        <f t="shared" si="97"/>
        <v>General Internet Access</v>
      </c>
      <c r="F320" s="329" t="str">
        <f t="shared" si="98"/>
        <v>Wireless coverage - Shared Internet Service - FIFA</v>
      </c>
      <c r="G320" s="329" t="str">
        <f t="shared" si="99"/>
        <v>IS00WF - Wireless coverage - Shared Internet Service - Wi-Fi FIFA (General Internet Access)</v>
      </c>
      <c r="H320" s="269"/>
      <c r="I320" s="330">
        <f t="shared" si="95"/>
        <v>0</v>
      </c>
      <c r="J320" s="330">
        <f t="shared" si="95"/>
        <v>0</v>
      </c>
      <c r="K320" s="364">
        <v>1</v>
      </c>
      <c r="L320" s="330">
        <f t="shared" si="86"/>
        <v>0</v>
      </c>
      <c r="M320" s="330">
        <f t="shared" si="94"/>
        <v>0</v>
      </c>
      <c r="N320" s="447"/>
      <c r="O320" s="366" t="s">
        <v>511</v>
      </c>
      <c r="P320" s="367" t="s">
        <v>149</v>
      </c>
      <c r="Q320" s="366" t="s">
        <v>258</v>
      </c>
      <c r="R320" s="367" t="s">
        <v>256</v>
      </c>
      <c r="S320" s="367" t="s">
        <v>725</v>
      </c>
      <c r="T320" s="274" t="str">
        <f t="shared" si="85"/>
        <v>LOC Food &amp; Beverage Concessions</v>
      </c>
      <c r="U320" s="275" t="s">
        <v>24</v>
      </c>
      <c r="V320" s="358" t="s">
        <v>520</v>
      </c>
    </row>
    <row r="321" spans="1:22" s="276" customFormat="1" ht="15" hidden="1" customHeight="1">
      <c r="A321" s="362" t="s">
        <v>519</v>
      </c>
      <c r="B321" s="329" t="str">
        <f t="shared" si="84"/>
        <v>Wireless coverage - Shared Internet Service - Wi-Fi FIFA</v>
      </c>
      <c r="C321" s="329" t="str">
        <f t="shared" ref="C321:C384" si="100">IF($A321="","",VLOOKUP($A321,ps_table,MATCH(C$2,ps_headers,0),FALSE))</f>
        <v>Network &amp; Connectivity</v>
      </c>
      <c r="D321" s="329" t="str">
        <f t="shared" si="96"/>
        <v/>
      </c>
      <c r="E321" s="329" t="str">
        <f t="shared" si="97"/>
        <v>General Internet Access</v>
      </c>
      <c r="F321" s="329" t="str">
        <f t="shared" si="98"/>
        <v>Wireless coverage - Shared Internet Service - FIFA</v>
      </c>
      <c r="G321" s="329" t="str">
        <f t="shared" si="99"/>
        <v>IS00WF - Wireless coverage - Shared Internet Service - Wi-Fi FIFA (General Internet Access)</v>
      </c>
      <c r="H321" s="269"/>
      <c r="I321" s="330">
        <f t="shared" si="95"/>
        <v>0</v>
      </c>
      <c r="J321" s="330">
        <f t="shared" si="95"/>
        <v>0</v>
      </c>
      <c r="K321" s="364">
        <v>6</v>
      </c>
      <c r="L321" s="330">
        <f t="shared" si="86"/>
        <v>0</v>
      </c>
      <c r="M321" s="330">
        <f t="shared" si="94"/>
        <v>0</v>
      </c>
      <c r="N321" s="447"/>
      <c r="O321" s="366" t="s">
        <v>511</v>
      </c>
      <c r="P321" s="367" t="s">
        <v>149</v>
      </c>
      <c r="Q321" s="366" t="s">
        <v>185</v>
      </c>
      <c r="R321" s="367" t="s">
        <v>260</v>
      </c>
      <c r="S321" s="367" t="s">
        <v>726</v>
      </c>
      <c r="T321" s="274" t="str">
        <f t="shared" si="85"/>
        <v>LOC Logistics</v>
      </c>
      <c r="U321" s="275"/>
      <c r="V321" s="358" t="s">
        <v>520</v>
      </c>
    </row>
    <row r="322" spans="1:22" s="276" customFormat="1" hidden="1">
      <c r="A322" s="362" t="s">
        <v>202</v>
      </c>
      <c r="B322" s="329" t="str">
        <f t="shared" ref="B322:B385" si="101">IF($A322="","",VLOOKUP($A322,ps_table,MATCH(B$2,ps_headers,0),FALSE))</f>
        <v>MFD Desktop - Colour - A4 - Network</v>
      </c>
      <c r="C322" s="329" t="str">
        <f t="shared" si="100"/>
        <v>Reprographics</v>
      </c>
      <c r="D322" s="329" t="str">
        <f t="shared" si="96"/>
        <v/>
      </c>
      <c r="E322" s="329" t="str">
        <f t="shared" si="97"/>
        <v>General Internet Access</v>
      </c>
      <c r="F322" s="329" t="str">
        <f t="shared" si="98"/>
        <v>Colour Printer / Scanner (A4)</v>
      </c>
      <c r="G322" s="329" t="str">
        <f t="shared" si="99"/>
        <v>MFDDNW - MFD Desktop - Colour - A4 - Network (General Internet Access)</v>
      </c>
      <c r="H322" s="269"/>
      <c r="I322" s="330">
        <f t="shared" si="95"/>
        <v>1</v>
      </c>
      <c r="J322" s="330">
        <f t="shared" si="95"/>
        <v>0</v>
      </c>
      <c r="K322" s="364">
        <v>1</v>
      </c>
      <c r="L322" s="330">
        <f t="shared" si="86"/>
        <v>1</v>
      </c>
      <c r="M322" s="330">
        <f t="shared" si="94"/>
        <v>0</v>
      </c>
      <c r="N322" s="447">
        <v>0</v>
      </c>
      <c r="O322" s="366" t="s">
        <v>511</v>
      </c>
      <c r="P322" s="367" t="s">
        <v>149</v>
      </c>
      <c r="Q322" s="366" t="s">
        <v>185</v>
      </c>
      <c r="R322" s="367" t="s">
        <v>260</v>
      </c>
      <c r="S322" s="367" t="s">
        <v>726</v>
      </c>
      <c r="T322" s="274" t="str">
        <f t="shared" si="85"/>
        <v>LOC Logistics</v>
      </c>
      <c r="U322" s="275"/>
      <c r="V322" s="358" t="s">
        <v>514</v>
      </c>
    </row>
    <row r="323" spans="1:22" s="276" customFormat="1" ht="15" hidden="1" customHeight="1">
      <c r="A323" s="362" t="s">
        <v>519</v>
      </c>
      <c r="B323" s="329" t="str">
        <f t="shared" si="101"/>
        <v>Wireless coverage - Shared Internet Service - Wi-Fi FIFA</v>
      </c>
      <c r="C323" s="329" t="str">
        <f t="shared" si="100"/>
        <v>Network &amp; Connectivity</v>
      </c>
      <c r="D323" s="329" t="str">
        <f t="shared" si="96"/>
        <v/>
      </c>
      <c r="E323" s="329" t="str">
        <f t="shared" si="97"/>
        <v>General Internet Access</v>
      </c>
      <c r="F323" s="329" t="str">
        <f t="shared" si="98"/>
        <v>Wireless coverage - Shared Internet Service - FIFA</v>
      </c>
      <c r="G323" s="329" t="str">
        <f t="shared" si="99"/>
        <v>IS00WF - Wireless coverage - Shared Internet Service - Wi-Fi FIFA (General Internet Access)</v>
      </c>
      <c r="H323" s="269"/>
      <c r="I323" s="330">
        <f t="shared" si="95"/>
        <v>0</v>
      </c>
      <c r="J323" s="330">
        <f t="shared" si="95"/>
        <v>0</v>
      </c>
      <c r="K323" s="443">
        <v>4</v>
      </c>
      <c r="L323" s="330">
        <f t="shared" si="86"/>
        <v>0</v>
      </c>
      <c r="M323" s="330">
        <f t="shared" si="94"/>
        <v>0</v>
      </c>
      <c r="N323" s="447"/>
      <c r="O323" s="366" t="s">
        <v>511</v>
      </c>
      <c r="P323" s="367" t="s">
        <v>152</v>
      </c>
      <c r="Q323" s="366" t="s">
        <v>185</v>
      </c>
      <c r="R323" s="367" t="s">
        <v>260</v>
      </c>
      <c r="S323" s="367" t="s">
        <v>726</v>
      </c>
      <c r="T323" s="274" t="str">
        <f t="shared" ref="T323:T386" si="102">IF(S323="","",S323)</f>
        <v>LOC Logistics</v>
      </c>
      <c r="U323" s="275"/>
      <c r="V323" s="358" t="s">
        <v>520</v>
      </c>
    </row>
    <row r="324" spans="1:22" s="276" customFormat="1" hidden="1">
      <c r="A324" s="362" t="s">
        <v>202</v>
      </c>
      <c r="B324" s="329" t="str">
        <f t="shared" si="101"/>
        <v>MFD Desktop - Colour - A4 - Network</v>
      </c>
      <c r="C324" s="329" t="str">
        <f t="shared" si="100"/>
        <v>Reprographics</v>
      </c>
      <c r="D324" s="329" t="str">
        <f t="shared" si="96"/>
        <v/>
      </c>
      <c r="E324" s="329" t="str">
        <f t="shared" si="97"/>
        <v>General Internet Access</v>
      </c>
      <c r="F324" s="329" t="str">
        <f t="shared" si="98"/>
        <v>Colour Printer / Scanner (A4)</v>
      </c>
      <c r="G324" s="329" t="str">
        <f t="shared" si="99"/>
        <v>MFDDNW - MFD Desktop - Colour - A4 - Network (General Internet Access)</v>
      </c>
      <c r="H324" s="269"/>
      <c r="I324" s="330">
        <f t="shared" si="95"/>
        <v>1</v>
      </c>
      <c r="J324" s="330">
        <f t="shared" si="95"/>
        <v>0</v>
      </c>
      <c r="K324" s="443">
        <v>1</v>
      </c>
      <c r="L324" s="330">
        <f t="shared" si="86"/>
        <v>1</v>
      </c>
      <c r="M324" s="330">
        <f t="shared" si="94"/>
        <v>0</v>
      </c>
      <c r="N324" s="447"/>
      <c r="O324" s="366" t="s">
        <v>511</v>
      </c>
      <c r="P324" s="367" t="s">
        <v>152</v>
      </c>
      <c r="Q324" s="366" t="s">
        <v>185</v>
      </c>
      <c r="R324" s="367" t="s">
        <v>260</v>
      </c>
      <c r="S324" s="367" t="s">
        <v>726</v>
      </c>
      <c r="T324" s="274" t="str">
        <f t="shared" si="102"/>
        <v>LOC Logistics</v>
      </c>
      <c r="U324" s="275"/>
      <c r="V324" s="358" t="s">
        <v>514</v>
      </c>
    </row>
    <row r="325" spans="1:22" s="276" customFormat="1" ht="15" hidden="1" customHeight="1">
      <c r="A325" s="362" t="s">
        <v>591</v>
      </c>
      <c r="B325" s="329" t="str">
        <f t="shared" si="101"/>
        <v>Laptop - FIFA Event Build</v>
      </c>
      <c r="C325" s="329" t="str">
        <f t="shared" si="100"/>
        <v>FIFA IT Hardware</v>
      </c>
      <c r="D325" s="329" t="str">
        <f t="shared" si="96"/>
        <v/>
      </c>
      <c r="E325" s="329" t="str">
        <f t="shared" si="97"/>
        <v/>
      </c>
      <c r="F325" s="329" t="str">
        <f t="shared" si="98"/>
        <v>FIFA Laptop</v>
      </c>
      <c r="G325" s="329" t="str">
        <f t="shared" si="99"/>
        <v>LAPEVT - Laptop - FIFA Event Build</v>
      </c>
      <c r="H325" s="269"/>
      <c r="I325" s="330">
        <f t="shared" si="95"/>
        <v>0</v>
      </c>
      <c r="J325" s="330">
        <f t="shared" si="95"/>
        <v>0</v>
      </c>
      <c r="K325" s="364">
        <v>0</v>
      </c>
      <c r="L325" s="330">
        <f t="shared" si="86"/>
        <v>0</v>
      </c>
      <c r="M325" s="330">
        <f t="shared" si="94"/>
        <v>0</v>
      </c>
      <c r="N325" s="447"/>
      <c r="O325" s="366" t="s">
        <v>511</v>
      </c>
      <c r="P325" s="367" t="s">
        <v>197</v>
      </c>
      <c r="Q325" s="366" t="s">
        <v>264</v>
      </c>
      <c r="R325" s="367" t="s">
        <v>265</v>
      </c>
      <c r="S325" s="367" t="s">
        <v>726</v>
      </c>
      <c r="T325" s="274" t="str">
        <f t="shared" si="102"/>
        <v>LOC Logistics</v>
      </c>
      <c r="U325" s="275" t="s">
        <v>722</v>
      </c>
      <c r="V325" s="358" t="s">
        <v>514</v>
      </c>
    </row>
    <row r="326" spans="1:22" s="276" customFormat="1" hidden="1">
      <c r="A326" s="362" t="s">
        <v>202</v>
      </c>
      <c r="B326" s="329" t="str">
        <f t="shared" si="101"/>
        <v>MFD Desktop - Colour - A4 - Network</v>
      </c>
      <c r="C326" s="329" t="str">
        <f t="shared" si="100"/>
        <v>Reprographics</v>
      </c>
      <c r="D326" s="329" t="str">
        <f t="shared" si="96"/>
        <v/>
      </c>
      <c r="E326" s="329" t="str">
        <f t="shared" si="97"/>
        <v>General Internet Access</v>
      </c>
      <c r="F326" s="329" t="str">
        <f t="shared" si="98"/>
        <v>Colour Printer / Scanner (A4)</v>
      </c>
      <c r="G326" s="329" t="str">
        <f t="shared" si="99"/>
        <v>MFDDNW - MFD Desktop - Colour - A4 - Network (General Internet Access)</v>
      </c>
      <c r="H326" s="269"/>
      <c r="I326" s="330">
        <f t="shared" si="95"/>
        <v>0</v>
      </c>
      <c r="J326" s="330">
        <f t="shared" si="95"/>
        <v>0</v>
      </c>
      <c r="K326" s="364">
        <v>0</v>
      </c>
      <c r="L326" s="330">
        <f t="shared" ref="L326:L389" si="103">IF($A326="","",$K326*VLOOKUP($A326,ps_table,MATCH(L$2,ps_headers,0),FALSE))</f>
        <v>0</v>
      </c>
      <c r="M326" s="330">
        <f t="shared" si="94"/>
        <v>0</v>
      </c>
      <c r="N326" s="447"/>
      <c r="O326" s="366" t="s">
        <v>511</v>
      </c>
      <c r="P326" s="367" t="s">
        <v>197</v>
      </c>
      <c r="Q326" s="366" t="s">
        <v>264</v>
      </c>
      <c r="R326" s="367" t="s">
        <v>265</v>
      </c>
      <c r="S326" s="367" t="s">
        <v>726</v>
      </c>
      <c r="T326" s="274" t="str">
        <f t="shared" si="102"/>
        <v>LOC Logistics</v>
      </c>
      <c r="U326" s="275" t="s">
        <v>722</v>
      </c>
      <c r="V326" s="358" t="s">
        <v>514</v>
      </c>
    </row>
    <row r="327" spans="1:22" s="276" customFormat="1" ht="15" hidden="1" customHeight="1">
      <c r="A327" s="362" t="s">
        <v>519</v>
      </c>
      <c r="B327" s="329" t="str">
        <f t="shared" si="101"/>
        <v>Wireless coverage - Shared Internet Service - Wi-Fi FIFA</v>
      </c>
      <c r="C327" s="329" t="str">
        <f t="shared" si="100"/>
        <v>Network &amp; Connectivity</v>
      </c>
      <c r="D327" s="329" t="str">
        <f t="shared" si="96"/>
        <v/>
      </c>
      <c r="E327" s="329" t="str">
        <f t="shared" si="97"/>
        <v>General Internet Access</v>
      </c>
      <c r="F327" s="329" t="str">
        <f t="shared" si="98"/>
        <v>Wireless coverage - Shared Internet Service - FIFA</v>
      </c>
      <c r="G327" s="329" t="str">
        <f t="shared" si="99"/>
        <v>IS00WF - Wireless coverage - Shared Internet Service - Wi-Fi FIFA (General Internet Access)</v>
      </c>
      <c r="H327" s="269"/>
      <c r="I327" s="330">
        <f t="shared" si="95"/>
        <v>0</v>
      </c>
      <c r="J327" s="330">
        <f t="shared" si="95"/>
        <v>0</v>
      </c>
      <c r="K327" s="364">
        <v>0</v>
      </c>
      <c r="L327" s="330">
        <f t="shared" si="103"/>
        <v>0</v>
      </c>
      <c r="M327" s="330">
        <f t="shared" si="94"/>
        <v>0</v>
      </c>
      <c r="N327" s="447"/>
      <c r="O327" s="366" t="s">
        <v>511</v>
      </c>
      <c r="P327" s="367" t="s">
        <v>197</v>
      </c>
      <c r="Q327" s="366" t="s">
        <v>264</v>
      </c>
      <c r="R327" s="367" t="s">
        <v>265</v>
      </c>
      <c r="S327" s="367" t="s">
        <v>726</v>
      </c>
      <c r="T327" s="274" t="str">
        <f t="shared" si="102"/>
        <v>LOC Logistics</v>
      </c>
      <c r="U327" s="275" t="s">
        <v>722</v>
      </c>
      <c r="V327" s="358" t="s">
        <v>520</v>
      </c>
    </row>
    <row r="328" spans="1:22" s="276" customFormat="1" ht="15" hidden="1" customHeight="1">
      <c r="A328" s="362" t="s">
        <v>225</v>
      </c>
      <c r="B328" s="329" t="str">
        <f t="shared" si="101"/>
        <v xml:space="preserve">Wired Port - General Internet </v>
      </c>
      <c r="C328" s="329" t="str">
        <f t="shared" si="100"/>
        <v>Network &amp; Connectivity</v>
      </c>
      <c r="D328" s="329" t="str">
        <f t="shared" si="96"/>
        <v/>
      </c>
      <c r="E328" s="329" t="str">
        <f t="shared" si="97"/>
        <v>General Internet Access</v>
      </c>
      <c r="F328" s="329" t="str">
        <f t="shared" si="98"/>
        <v>Wired Port - Internet</v>
      </c>
      <c r="G328" s="329" t="str">
        <f t="shared" si="99"/>
        <v>WRDGEN - Wired Port - General Internet  (General Internet Access)</v>
      </c>
      <c r="H328" s="269"/>
      <c r="I328" s="330">
        <f t="shared" si="95"/>
        <v>6</v>
      </c>
      <c r="J328" s="330">
        <f t="shared" si="95"/>
        <v>0</v>
      </c>
      <c r="K328" s="364">
        <v>6</v>
      </c>
      <c r="L328" s="330">
        <f t="shared" si="103"/>
        <v>6</v>
      </c>
      <c r="M328" s="330">
        <f t="shared" ref="M328:M359" si="104">IF($A328="","",$K328*VLOOKUP($A328,ps_table,MATCH(M$2,ps_headers,0),FALSE))</f>
        <v>0</v>
      </c>
      <c r="N328" s="447"/>
      <c r="O328" s="366" t="s">
        <v>511</v>
      </c>
      <c r="P328" s="367" t="s">
        <v>149</v>
      </c>
      <c r="Q328" s="366" t="s">
        <v>185</v>
      </c>
      <c r="R328" s="367" t="s">
        <v>260</v>
      </c>
      <c r="S328" s="367" t="s">
        <v>726</v>
      </c>
      <c r="T328" s="274" t="str">
        <f t="shared" si="102"/>
        <v>LOC Logistics</v>
      </c>
      <c r="U328" s="275"/>
      <c r="V328" s="358" t="s">
        <v>520</v>
      </c>
    </row>
    <row r="329" spans="1:22" s="276" customFormat="1" ht="15" customHeight="1">
      <c r="A329" s="362" t="s">
        <v>225</v>
      </c>
      <c r="B329" s="329" t="str">
        <f t="shared" si="101"/>
        <v xml:space="preserve">Wired Port - General Internet </v>
      </c>
      <c r="C329" s="329" t="str">
        <f t="shared" si="100"/>
        <v>Network &amp; Connectivity</v>
      </c>
      <c r="D329" s="329" t="str">
        <f t="shared" si="96"/>
        <v/>
      </c>
      <c r="E329" s="329" t="str">
        <f t="shared" si="97"/>
        <v>General Internet Access</v>
      </c>
      <c r="F329" s="329" t="str">
        <f t="shared" si="98"/>
        <v>Wired Port - Internet</v>
      </c>
      <c r="G329" s="329" t="str">
        <f t="shared" si="99"/>
        <v>WRDGEN - Wired Port - General Internet  (General Internet Access)</v>
      </c>
      <c r="H329" s="269"/>
      <c r="I329" s="330">
        <f t="shared" si="95"/>
        <v>4</v>
      </c>
      <c r="J329" s="330">
        <f t="shared" si="95"/>
        <v>0</v>
      </c>
      <c r="K329" s="443">
        <v>4</v>
      </c>
      <c r="L329" s="330">
        <f t="shared" si="103"/>
        <v>4</v>
      </c>
      <c r="M329" s="330">
        <f t="shared" si="104"/>
        <v>0</v>
      </c>
      <c r="N329" s="447"/>
      <c r="O329" s="366" t="s">
        <v>511</v>
      </c>
      <c r="P329" s="367" t="s">
        <v>152</v>
      </c>
      <c r="Q329" s="366" t="s">
        <v>185</v>
      </c>
      <c r="R329" s="367" t="s">
        <v>260</v>
      </c>
      <c r="S329" s="367" t="s">
        <v>726</v>
      </c>
      <c r="T329" s="274" t="str">
        <f t="shared" si="102"/>
        <v>LOC Logistics</v>
      </c>
      <c r="U329" s="275"/>
      <c r="V329" s="358" t="s">
        <v>520</v>
      </c>
    </row>
    <row r="330" spans="1:22" s="276" customFormat="1" hidden="1">
      <c r="A330" s="362" t="s">
        <v>237</v>
      </c>
      <c r="B330" s="329" t="str">
        <f t="shared" si="101"/>
        <v>TV - Large - IPTV</v>
      </c>
      <c r="C330" s="329" t="str">
        <f t="shared" si="100"/>
        <v>CATV</v>
      </c>
      <c r="D330" s="329" t="str">
        <f t="shared" si="96"/>
        <v/>
      </c>
      <c r="E330" s="329" t="str">
        <f t="shared" si="97"/>
        <v/>
      </c>
      <c r="F330" s="329" t="str">
        <f t="shared" si="98"/>
        <v>Large TV - CATV Feed</v>
      </c>
      <c r="G330" s="329" t="str">
        <f t="shared" si="99"/>
        <v>TVLGIP - TV - Large - IPTV</v>
      </c>
      <c r="H330" s="269"/>
      <c r="I330" s="330">
        <f t="shared" ref="I330:J349" si="105">IF($A330="","",$K330*VLOOKUP($A330,ps_table,MATCH(I$2,ps_headers,0),FALSE))</f>
        <v>0</v>
      </c>
      <c r="J330" s="330">
        <f t="shared" si="105"/>
        <v>0</v>
      </c>
      <c r="K330" s="364">
        <v>0</v>
      </c>
      <c r="L330" s="330">
        <f t="shared" si="103"/>
        <v>0</v>
      </c>
      <c r="M330" s="330">
        <f t="shared" si="104"/>
        <v>0</v>
      </c>
      <c r="N330" s="447"/>
      <c r="O330" s="366" t="s">
        <v>511</v>
      </c>
      <c r="P330" s="367" t="s">
        <v>197</v>
      </c>
      <c r="Q330" s="366" t="s">
        <v>185</v>
      </c>
      <c r="R330" s="367" t="s">
        <v>271</v>
      </c>
      <c r="S330" s="367" t="s">
        <v>726</v>
      </c>
      <c r="T330" s="274" t="str">
        <f t="shared" si="102"/>
        <v>LOC Logistics</v>
      </c>
      <c r="U330" s="275" t="s">
        <v>722</v>
      </c>
      <c r="V330" s="358" t="s">
        <v>247</v>
      </c>
    </row>
    <row r="331" spans="1:22" s="276" customFormat="1" ht="15" hidden="1" customHeight="1">
      <c r="A331" s="362" t="s">
        <v>225</v>
      </c>
      <c r="B331" s="329" t="str">
        <f t="shared" si="101"/>
        <v xml:space="preserve">Wired Port - General Internet </v>
      </c>
      <c r="C331" s="329" t="str">
        <f t="shared" si="100"/>
        <v>Network &amp; Connectivity</v>
      </c>
      <c r="D331" s="329" t="str">
        <f t="shared" si="96"/>
        <v/>
      </c>
      <c r="E331" s="329" t="str">
        <f t="shared" si="97"/>
        <v>General Internet Access</v>
      </c>
      <c r="F331" s="329" t="str">
        <f t="shared" si="98"/>
        <v>Wired Port - Internet</v>
      </c>
      <c r="G331" s="329" t="str">
        <f t="shared" si="99"/>
        <v>WRDGEN - Wired Port - General Internet  (General Internet Access)</v>
      </c>
      <c r="H331" s="269"/>
      <c r="I331" s="330">
        <f t="shared" si="105"/>
        <v>0</v>
      </c>
      <c r="J331" s="330">
        <f t="shared" si="105"/>
        <v>0</v>
      </c>
      <c r="K331" s="364">
        <v>0</v>
      </c>
      <c r="L331" s="330">
        <f t="shared" si="103"/>
        <v>0</v>
      </c>
      <c r="M331" s="330">
        <f t="shared" si="104"/>
        <v>0</v>
      </c>
      <c r="N331" s="447"/>
      <c r="O331" s="366" t="s">
        <v>511</v>
      </c>
      <c r="P331" s="367" t="s">
        <v>197</v>
      </c>
      <c r="Q331" s="366" t="s">
        <v>185</v>
      </c>
      <c r="R331" s="367" t="s">
        <v>271</v>
      </c>
      <c r="S331" s="367" t="s">
        <v>726</v>
      </c>
      <c r="T331" s="274" t="str">
        <f t="shared" si="102"/>
        <v>LOC Logistics</v>
      </c>
      <c r="U331" s="275" t="s">
        <v>722</v>
      </c>
      <c r="V331" s="358" t="s">
        <v>520</v>
      </c>
    </row>
    <row r="332" spans="1:22" s="276" customFormat="1" hidden="1">
      <c r="A332" s="362" t="s">
        <v>207</v>
      </c>
      <c r="B332" s="329" t="str">
        <f t="shared" si="101"/>
        <v>MFD Large - Colour - A3 - Network</v>
      </c>
      <c r="C332" s="329" t="str">
        <f t="shared" si="100"/>
        <v>Reprographics</v>
      </c>
      <c r="D332" s="329" t="str">
        <f t="shared" si="96"/>
        <v/>
      </c>
      <c r="E332" s="329" t="str">
        <f t="shared" si="97"/>
        <v>General Internet Access</v>
      </c>
      <c r="F332" s="329" t="str">
        <f t="shared" si="98"/>
        <v>Large Colour Printer / Scanner (A3)</v>
      </c>
      <c r="G332" s="329" t="str">
        <f t="shared" si="99"/>
        <v>MFDLNW - MFD Large - Colour - A3 - Network (General Internet Access)</v>
      </c>
      <c r="H332" s="269"/>
      <c r="I332" s="330">
        <f t="shared" si="105"/>
        <v>0</v>
      </c>
      <c r="J332" s="330">
        <f t="shared" si="105"/>
        <v>0</v>
      </c>
      <c r="K332" s="364">
        <v>0</v>
      </c>
      <c r="L332" s="330">
        <f t="shared" si="103"/>
        <v>0</v>
      </c>
      <c r="M332" s="330">
        <f t="shared" si="104"/>
        <v>0</v>
      </c>
      <c r="N332" s="447"/>
      <c r="O332" s="366" t="s">
        <v>511</v>
      </c>
      <c r="P332" s="367" t="s">
        <v>197</v>
      </c>
      <c r="Q332" s="366" t="s">
        <v>185</v>
      </c>
      <c r="R332" s="367" t="s">
        <v>271</v>
      </c>
      <c r="S332" s="367" t="s">
        <v>726</v>
      </c>
      <c r="T332" s="274" t="str">
        <f t="shared" si="102"/>
        <v>LOC Logistics</v>
      </c>
      <c r="U332" s="275" t="s">
        <v>722</v>
      </c>
      <c r="V332" s="358" t="s">
        <v>514</v>
      </c>
    </row>
    <row r="333" spans="1:22" s="276" customFormat="1" ht="15" hidden="1" customHeight="1">
      <c r="A333" s="362" t="s">
        <v>519</v>
      </c>
      <c r="B333" s="329" t="str">
        <f t="shared" si="101"/>
        <v>Wireless coverage - Shared Internet Service - Wi-Fi FIFA</v>
      </c>
      <c r="C333" s="329" t="str">
        <f t="shared" si="100"/>
        <v>Network &amp; Connectivity</v>
      </c>
      <c r="D333" s="329" t="str">
        <f t="shared" si="96"/>
        <v/>
      </c>
      <c r="E333" s="329" t="str">
        <f t="shared" si="97"/>
        <v>General Internet Access</v>
      </c>
      <c r="F333" s="329" t="str">
        <f t="shared" si="98"/>
        <v>Wireless coverage - Shared Internet Service - FIFA</v>
      </c>
      <c r="G333" s="329" t="str">
        <f t="shared" si="99"/>
        <v>IS00WF - Wireless coverage - Shared Internet Service - Wi-Fi FIFA (General Internet Access)</v>
      </c>
      <c r="H333" s="269"/>
      <c r="I333" s="330">
        <f t="shared" si="105"/>
        <v>0</v>
      </c>
      <c r="J333" s="330">
        <f t="shared" si="105"/>
        <v>0</v>
      </c>
      <c r="K333" s="364">
        <v>1</v>
      </c>
      <c r="L333" s="330">
        <f t="shared" si="103"/>
        <v>0</v>
      </c>
      <c r="M333" s="330">
        <f t="shared" si="104"/>
        <v>0</v>
      </c>
      <c r="N333" s="447"/>
      <c r="O333" s="366" t="s">
        <v>511</v>
      </c>
      <c r="P333" s="367" t="s">
        <v>149</v>
      </c>
      <c r="Q333" s="366" t="s">
        <v>281</v>
      </c>
      <c r="R333" s="367" t="s">
        <v>282</v>
      </c>
      <c r="S333" s="367" t="s">
        <v>727</v>
      </c>
      <c r="T333" s="274" t="str">
        <f t="shared" si="102"/>
        <v>LOC Medical</v>
      </c>
      <c r="U333" s="275"/>
      <c r="V333" s="358" t="s">
        <v>520</v>
      </c>
    </row>
    <row r="334" spans="1:22" s="276" customFormat="1" ht="15" hidden="1" customHeight="1">
      <c r="A334" s="362" t="s">
        <v>519</v>
      </c>
      <c r="B334" s="329" t="str">
        <f t="shared" si="101"/>
        <v>Wireless coverage - Shared Internet Service - Wi-Fi FIFA</v>
      </c>
      <c r="C334" s="329" t="str">
        <f t="shared" si="100"/>
        <v>Network &amp; Connectivity</v>
      </c>
      <c r="D334" s="329" t="str">
        <f t="shared" si="96"/>
        <v/>
      </c>
      <c r="E334" s="329" t="str">
        <f t="shared" si="97"/>
        <v>General Internet Access</v>
      </c>
      <c r="F334" s="329" t="str">
        <f t="shared" si="98"/>
        <v>Wireless coverage - Shared Internet Service - FIFA</v>
      </c>
      <c r="G334" s="329" t="str">
        <f t="shared" si="99"/>
        <v>IS00WF - Wireless coverage - Shared Internet Service - Wi-Fi FIFA (General Internet Access)</v>
      </c>
      <c r="H334" s="269"/>
      <c r="I334" s="330">
        <f t="shared" si="105"/>
        <v>0</v>
      </c>
      <c r="J334" s="330">
        <f t="shared" si="105"/>
        <v>0</v>
      </c>
      <c r="K334" s="364">
        <v>1</v>
      </c>
      <c r="L334" s="330">
        <f t="shared" si="103"/>
        <v>0</v>
      </c>
      <c r="M334" s="330">
        <f t="shared" si="104"/>
        <v>0</v>
      </c>
      <c r="N334" s="447"/>
      <c r="O334" s="366" t="s">
        <v>511</v>
      </c>
      <c r="P334" s="367" t="s">
        <v>149</v>
      </c>
      <c r="Q334" s="366" t="s">
        <v>284</v>
      </c>
      <c r="R334" s="367" t="s">
        <v>285</v>
      </c>
      <c r="S334" s="367" t="s">
        <v>727</v>
      </c>
      <c r="T334" s="274" t="str">
        <f t="shared" si="102"/>
        <v>LOC Medical</v>
      </c>
      <c r="U334" s="275"/>
      <c r="V334" s="358" t="s">
        <v>520</v>
      </c>
    </row>
    <row r="335" spans="1:22" s="276" customFormat="1" ht="15" hidden="1" customHeight="1">
      <c r="A335" s="362" t="s">
        <v>519</v>
      </c>
      <c r="B335" s="329" t="str">
        <f t="shared" si="101"/>
        <v>Wireless coverage - Shared Internet Service - Wi-Fi FIFA</v>
      </c>
      <c r="C335" s="329" t="str">
        <f t="shared" si="100"/>
        <v>Network &amp; Connectivity</v>
      </c>
      <c r="D335" s="329" t="str">
        <f t="shared" si="96"/>
        <v/>
      </c>
      <c r="E335" s="329" t="str">
        <f t="shared" si="97"/>
        <v>General Internet Access</v>
      </c>
      <c r="F335" s="329" t="str">
        <f t="shared" si="98"/>
        <v>Wireless coverage - Shared Internet Service - FIFA</v>
      </c>
      <c r="G335" s="329" t="str">
        <f t="shared" si="99"/>
        <v>IS00WF - Wireless coverage - Shared Internet Service - Wi-Fi FIFA (General Internet Access)</v>
      </c>
      <c r="H335" s="269"/>
      <c r="I335" s="330">
        <f t="shared" si="105"/>
        <v>0</v>
      </c>
      <c r="J335" s="330">
        <f t="shared" si="105"/>
        <v>0</v>
      </c>
      <c r="K335" s="364">
        <v>1</v>
      </c>
      <c r="L335" s="330">
        <f t="shared" si="103"/>
        <v>0</v>
      </c>
      <c r="M335" s="330">
        <f t="shared" si="104"/>
        <v>0</v>
      </c>
      <c r="N335" s="447"/>
      <c r="O335" s="366" t="s">
        <v>511</v>
      </c>
      <c r="P335" s="367" t="s">
        <v>149</v>
      </c>
      <c r="Q335" s="366" t="s">
        <v>286</v>
      </c>
      <c r="R335" s="367" t="s">
        <v>287</v>
      </c>
      <c r="S335" s="367" t="s">
        <v>727</v>
      </c>
      <c r="T335" s="274" t="str">
        <f t="shared" si="102"/>
        <v>LOC Medical</v>
      </c>
      <c r="U335" s="275"/>
      <c r="V335" s="358" t="s">
        <v>520</v>
      </c>
    </row>
    <row r="336" spans="1:22" s="276" customFormat="1" hidden="1">
      <c r="A336" s="362" t="s">
        <v>237</v>
      </c>
      <c r="B336" s="329" t="str">
        <f t="shared" si="101"/>
        <v>TV - Large - IPTV</v>
      </c>
      <c r="C336" s="329" t="str">
        <f t="shared" si="100"/>
        <v>CATV</v>
      </c>
      <c r="D336" s="329" t="str">
        <f t="shared" si="96"/>
        <v/>
      </c>
      <c r="E336" s="329" t="str">
        <f t="shared" si="97"/>
        <v/>
      </c>
      <c r="F336" s="329" t="str">
        <f t="shared" si="98"/>
        <v>Large TV - CATV Feed</v>
      </c>
      <c r="G336" s="329" t="str">
        <f t="shared" si="99"/>
        <v>TVLGIP - TV - Large - IPTV</v>
      </c>
      <c r="H336" s="269"/>
      <c r="I336" s="330">
        <f t="shared" si="105"/>
        <v>1</v>
      </c>
      <c r="J336" s="330">
        <f t="shared" si="105"/>
        <v>0</v>
      </c>
      <c r="K336" s="439">
        <v>1</v>
      </c>
      <c r="L336" s="330">
        <f t="shared" si="103"/>
        <v>1</v>
      </c>
      <c r="M336" s="330">
        <f t="shared" si="104"/>
        <v>0</v>
      </c>
      <c r="N336" s="447">
        <v>1</v>
      </c>
      <c r="O336" s="366" t="s">
        <v>511</v>
      </c>
      <c r="P336" s="367" t="s">
        <v>149</v>
      </c>
      <c r="Q336" s="366" t="s">
        <v>284</v>
      </c>
      <c r="R336" s="367" t="s">
        <v>285</v>
      </c>
      <c r="S336" s="367" t="s">
        <v>727</v>
      </c>
      <c r="T336" s="274" t="str">
        <f t="shared" si="102"/>
        <v>LOC Medical</v>
      </c>
      <c r="U336" s="275"/>
      <c r="V336" s="358" t="s">
        <v>247</v>
      </c>
    </row>
    <row r="337" spans="1:22" s="276" customFormat="1" hidden="1">
      <c r="A337" s="362" t="s">
        <v>237</v>
      </c>
      <c r="B337" s="329" t="str">
        <f t="shared" si="101"/>
        <v>TV - Large - IPTV</v>
      </c>
      <c r="C337" s="329" t="str">
        <f t="shared" si="100"/>
        <v>CATV</v>
      </c>
      <c r="D337" s="329" t="str">
        <f t="shared" si="96"/>
        <v/>
      </c>
      <c r="E337" s="329" t="str">
        <f t="shared" si="97"/>
        <v/>
      </c>
      <c r="F337" s="329" t="str">
        <f t="shared" si="98"/>
        <v>Large TV - CATV Feed</v>
      </c>
      <c r="G337" s="329" t="str">
        <f t="shared" si="99"/>
        <v>TVLGIP - TV - Large - IPTV</v>
      </c>
      <c r="H337" s="269"/>
      <c r="I337" s="330">
        <f t="shared" si="105"/>
        <v>1</v>
      </c>
      <c r="J337" s="330">
        <f t="shared" si="105"/>
        <v>0</v>
      </c>
      <c r="K337" s="439">
        <v>1</v>
      </c>
      <c r="L337" s="330">
        <f t="shared" si="103"/>
        <v>1</v>
      </c>
      <c r="M337" s="330">
        <f t="shared" si="104"/>
        <v>0</v>
      </c>
      <c r="N337" s="447">
        <v>1</v>
      </c>
      <c r="O337" s="366" t="s">
        <v>511</v>
      </c>
      <c r="P337" s="367" t="s">
        <v>149</v>
      </c>
      <c r="Q337" s="366" t="s">
        <v>286</v>
      </c>
      <c r="R337" s="367" t="s">
        <v>287</v>
      </c>
      <c r="S337" s="367" t="s">
        <v>727</v>
      </c>
      <c r="T337" s="274" t="str">
        <f t="shared" si="102"/>
        <v>LOC Medical</v>
      </c>
      <c r="U337" s="275"/>
      <c r="V337" s="358" t="s">
        <v>247</v>
      </c>
    </row>
    <row r="338" spans="1:22" s="276" customFormat="1" ht="15" hidden="1" customHeight="1">
      <c r="A338" s="362" t="s">
        <v>519</v>
      </c>
      <c r="B338" s="329" t="str">
        <f t="shared" si="101"/>
        <v>Wireless coverage - Shared Internet Service - Wi-Fi FIFA</v>
      </c>
      <c r="C338" s="329" t="str">
        <f t="shared" si="100"/>
        <v>Network &amp; Connectivity</v>
      </c>
      <c r="D338" s="329" t="str">
        <f t="shared" si="96"/>
        <v/>
      </c>
      <c r="E338" s="329" t="str">
        <f t="shared" si="97"/>
        <v>General Internet Access</v>
      </c>
      <c r="F338" s="329" t="str">
        <f t="shared" si="98"/>
        <v>Wireless coverage - Shared Internet Service - FIFA</v>
      </c>
      <c r="G338" s="329" t="str">
        <f t="shared" si="99"/>
        <v>IS00WF - Wireless coverage - Shared Internet Service - Wi-Fi FIFA (General Internet Access)</v>
      </c>
      <c r="H338" s="269"/>
      <c r="I338" s="330">
        <f t="shared" si="105"/>
        <v>0</v>
      </c>
      <c r="J338" s="330">
        <f t="shared" si="105"/>
        <v>0</v>
      </c>
      <c r="K338" s="364">
        <v>1</v>
      </c>
      <c r="L338" s="330">
        <f t="shared" si="103"/>
        <v>0</v>
      </c>
      <c r="M338" s="330">
        <f t="shared" si="104"/>
        <v>0</v>
      </c>
      <c r="N338" s="447"/>
      <c r="O338" s="366" t="s">
        <v>511</v>
      </c>
      <c r="P338" s="367" t="s">
        <v>149</v>
      </c>
      <c r="Q338" s="366" t="s">
        <v>289</v>
      </c>
      <c r="R338" s="367" t="s">
        <v>290</v>
      </c>
      <c r="S338" s="367" t="s">
        <v>727</v>
      </c>
      <c r="T338" s="274" t="str">
        <f t="shared" si="102"/>
        <v>LOC Medical</v>
      </c>
      <c r="U338" s="275"/>
      <c r="V338" s="358" t="s">
        <v>520</v>
      </c>
    </row>
    <row r="339" spans="1:22" s="276" customFormat="1" hidden="1">
      <c r="A339" s="362" t="s">
        <v>237</v>
      </c>
      <c r="B339" s="329" t="str">
        <f t="shared" si="101"/>
        <v>TV - Large - IPTV</v>
      </c>
      <c r="C339" s="329" t="str">
        <f t="shared" si="100"/>
        <v>CATV</v>
      </c>
      <c r="D339" s="329" t="str">
        <f t="shared" si="96"/>
        <v/>
      </c>
      <c r="E339" s="329" t="str">
        <f t="shared" si="97"/>
        <v/>
      </c>
      <c r="F339" s="329" t="str">
        <f t="shared" si="98"/>
        <v>Large TV - CATV Feed</v>
      </c>
      <c r="G339" s="329" t="str">
        <f t="shared" si="99"/>
        <v>TVLGIP - TV - Large - IPTV</v>
      </c>
      <c r="H339" s="269"/>
      <c r="I339" s="330">
        <f t="shared" si="105"/>
        <v>1</v>
      </c>
      <c r="J339" s="330">
        <f t="shared" si="105"/>
        <v>0</v>
      </c>
      <c r="K339" s="443">
        <v>1</v>
      </c>
      <c r="L339" s="330">
        <f t="shared" si="103"/>
        <v>1</v>
      </c>
      <c r="M339" s="330">
        <f t="shared" si="104"/>
        <v>0</v>
      </c>
      <c r="N339" s="447"/>
      <c r="O339" s="366" t="s">
        <v>511</v>
      </c>
      <c r="P339" s="367" t="s">
        <v>152</v>
      </c>
      <c r="Q339" s="366" t="s">
        <v>291</v>
      </c>
      <c r="R339" s="367" t="s">
        <v>292</v>
      </c>
      <c r="S339" s="367" t="s">
        <v>727</v>
      </c>
      <c r="T339" s="274" t="str">
        <f t="shared" si="102"/>
        <v>LOC Medical</v>
      </c>
      <c r="U339" s="275"/>
      <c r="V339" s="358" t="s">
        <v>247</v>
      </c>
    </row>
    <row r="340" spans="1:22" s="276" customFormat="1" ht="15" hidden="1" customHeight="1">
      <c r="A340" s="362" t="s">
        <v>519</v>
      </c>
      <c r="B340" s="329" t="str">
        <f t="shared" si="101"/>
        <v>Wireless coverage - Shared Internet Service - Wi-Fi FIFA</v>
      </c>
      <c r="C340" s="329" t="str">
        <f t="shared" si="100"/>
        <v>Network &amp; Connectivity</v>
      </c>
      <c r="D340" s="329" t="str">
        <f t="shared" si="96"/>
        <v/>
      </c>
      <c r="E340" s="329" t="str">
        <f t="shared" si="97"/>
        <v>General Internet Access</v>
      </c>
      <c r="F340" s="329" t="str">
        <f t="shared" si="98"/>
        <v>Wireless coverage - Shared Internet Service - FIFA</v>
      </c>
      <c r="G340" s="329" t="str">
        <f t="shared" si="99"/>
        <v>IS00WF - Wireless coverage - Shared Internet Service - Wi-Fi FIFA (General Internet Access)</v>
      </c>
      <c r="H340" s="269"/>
      <c r="I340" s="330">
        <f t="shared" si="105"/>
        <v>0</v>
      </c>
      <c r="J340" s="330">
        <f t="shared" si="105"/>
        <v>0</v>
      </c>
      <c r="K340" s="443">
        <v>1</v>
      </c>
      <c r="L340" s="330">
        <f t="shared" si="103"/>
        <v>0</v>
      </c>
      <c r="M340" s="330">
        <f t="shared" si="104"/>
        <v>0</v>
      </c>
      <c r="N340" s="447"/>
      <c r="O340" s="366" t="s">
        <v>511</v>
      </c>
      <c r="P340" s="367" t="s">
        <v>152</v>
      </c>
      <c r="Q340" s="366" t="s">
        <v>291</v>
      </c>
      <c r="R340" s="367" t="s">
        <v>292</v>
      </c>
      <c r="S340" s="367" t="s">
        <v>727</v>
      </c>
      <c r="T340" s="274" t="str">
        <f t="shared" si="102"/>
        <v>LOC Medical</v>
      </c>
      <c r="U340" s="275"/>
      <c r="V340" s="358" t="s">
        <v>520</v>
      </c>
    </row>
    <row r="341" spans="1:22" s="276" customFormat="1" ht="15" hidden="1" customHeight="1">
      <c r="A341" s="362" t="s">
        <v>519</v>
      </c>
      <c r="B341" s="329" t="str">
        <f t="shared" si="101"/>
        <v>Wireless coverage - Shared Internet Service - Wi-Fi FIFA</v>
      </c>
      <c r="C341" s="329" t="str">
        <f t="shared" si="100"/>
        <v>Network &amp; Connectivity</v>
      </c>
      <c r="D341" s="329" t="str">
        <f t="shared" si="96"/>
        <v/>
      </c>
      <c r="E341" s="329" t="str">
        <f t="shared" si="97"/>
        <v>General Internet Access</v>
      </c>
      <c r="F341" s="329" t="str">
        <f t="shared" si="98"/>
        <v>Wireless coverage - Shared Internet Service - FIFA</v>
      </c>
      <c r="G341" s="329" t="str">
        <f t="shared" si="99"/>
        <v>IS00WF - Wireless coverage - Shared Internet Service - Wi-Fi FIFA (General Internet Access)</v>
      </c>
      <c r="H341" s="269"/>
      <c r="I341" s="330">
        <f t="shared" si="105"/>
        <v>0</v>
      </c>
      <c r="J341" s="330">
        <f t="shared" si="105"/>
        <v>0</v>
      </c>
      <c r="K341" s="443">
        <v>1</v>
      </c>
      <c r="L341" s="330">
        <f t="shared" si="103"/>
        <v>0</v>
      </c>
      <c r="M341" s="330">
        <f t="shared" si="104"/>
        <v>0</v>
      </c>
      <c r="N341" s="447"/>
      <c r="O341" s="366" t="s">
        <v>511</v>
      </c>
      <c r="P341" s="367" t="s">
        <v>152</v>
      </c>
      <c r="Q341" s="366" t="s">
        <v>293</v>
      </c>
      <c r="R341" s="367" t="s">
        <v>282</v>
      </c>
      <c r="S341" s="367" t="s">
        <v>727</v>
      </c>
      <c r="T341" s="274" t="str">
        <f t="shared" si="102"/>
        <v>LOC Medical</v>
      </c>
      <c r="U341" s="275"/>
      <c r="V341" s="368" t="s">
        <v>520</v>
      </c>
    </row>
    <row r="342" spans="1:22" s="276" customFormat="1" ht="15" hidden="1" customHeight="1">
      <c r="A342" s="362" t="s">
        <v>519</v>
      </c>
      <c r="B342" s="329" t="str">
        <f t="shared" si="101"/>
        <v>Wireless coverage - Shared Internet Service - Wi-Fi FIFA</v>
      </c>
      <c r="C342" s="329" t="str">
        <f t="shared" si="100"/>
        <v>Network &amp; Connectivity</v>
      </c>
      <c r="D342" s="329" t="str">
        <f t="shared" si="96"/>
        <v/>
      </c>
      <c r="E342" s="329" t="str">
        <f t="shared" si="97"/>
        <v>General Internet Access</v>
      </c>
      <c r="F342" s="329" t="str">
        <f t="shared" si="98"/>
        <v>Wireless coverage - Shared Internet Service - FIFA</v>
      </c>
      <c r="G342" s="329" t="str">
        <f t="shared" si="99"/>
        <v>IS00WF - Wireless coverage - Shared Internet Service - Wi-Fi FIFA (General Internet Access)</v>
      </c>
      <c r="H342" s="269"/>
      <c r="I342" s="330">
        <f t="shared" si="105"/>
        <v>0</v>
      </c>
      <c r="J342" s="330">
        <f t="shared" si="105"/>
        <v>0</v>
      </c>
      <c r="K342" s="443">
        <v>1</v>
      </c>
      <c r="L342" s="330">
        <f t="shared" si="103"/>
        <v>0</v>
      </c>
      <c r="M342" s="330">
        <f t="shared" si="104"/>
        <v>0</v>
      </c>
      <c r="N342" s="447"/>
      <c r="O342" s="366" t="s">
        <v>511</v>
      </c>
      <c r="P342" s="367" t="s">
        <v>152</v>
      </c>
      <c r="Q342" s="366" t="s">
        <v>293</v>
      </c>
      <c r="R342" s="367" t="s">
        <v>294</v>
      </c>
      <c r="S342" s="367" t="s">
        <v>727</v>
      </c>
      <c r="T342" s="274" t="str">
        <f t="shared" si="102"/>
        <v>LOC Medical</v>
      </c>
      <c r="U342" s="275"/>
      <c r="V342" s="368" t="s">
        <v>520</v>
      </c>
    </row>
    <row r="343" spans="1:22" s="276" customFormat="1" ht="15" hidden="1" customHeight="1">
      <c r="A343" s="362" t="s">
        <v>519</v>
      </c>
      <c r="B343" s="329" t="str">
        <f t="shared" si="101"/>
        <v>Wireless coverage - Shared Internet Service - Wi-Fi FIFA</v>
      </c>
      <c r="C343" s="329" t="str">
        <f t="shared" si="100"/>
        <v>Network &amp; Connectivity</v>
      </c>
      <c r="D343" s="329" t="str">
        <f t="shared" si="96"/>
        <v/>
      </c>
      <c r="E343" s="329" t="str">
        <f t="shared" si="97"/>
        <v>General Internet Access</v>
      </c>
      <c r="F343" s="329" t="str">
        <f t="shared" si="98"/>
        <v>Wireless coverage - Shared Internet Service - FIFA</v>
      </c>
      <c r="G343" s="329" t="str">
        <f t="shared" si="99"/>
        <v>IS00WF - Wireless coverage - Shared Internet Service - Wi-Fi FIFA (General Internet Access)</v>
      </c>
      <c r="H343" s="269"/>
      <c r="I343" s="330">
        <f t="shared" si="105"/>
        <v>0</v>
      </c>
      <c r="J343" s="330">
        <f t="shared" si="105"/>
        <v>0</v>
      </c>
      <c r="K343" s="443">
        <v>2</v>
      </c>
      <c r="L343" s="330">
        <f t="shared" si="103"/>
        <v>0</v>
      </c>
      <c r="M343" s="330">
        <f t="shared" si="104"/>
        <v>0</v>
      </c>
      <c r="N343" s="447"/>
      <c r="O343" s="366" t="s">
        <v>511</v>
      </c>
      <c r="P343" s="367" t="s">
        <v>152</v>
      </c>
      <c r="Q343" s="366" t="s">
        <v>295</v>
      </c>
      <c r="R343" s="367" t="s">
        <v>296</v>
      </c>
      <c r="S343" s="367" t="s">
        <v>727</v>
      </c>
      <c r="T343" s="274" t="str">
        <f t="shared" si="102"/>
        <v>LOC Medical</v>
      </c>
      <c r="U343" s="275"/>
      <c r="V343" s="368" t="s">
        <v>520</v>
      </c>
    </row>
    <row r="344" spans="1:22" s="276" customFormat="1" hidden="1">
      <c r="A344" s="362" t="s">
        <v>216</v>
      </c>
      <c r="B344" s="329" t="str">
        <f t="shared" si="101"/>
        <v>Barcode scanner</v>
      </c>
      <c r="C344" s="329" t="str">
        <f t="shared" si="100"/>
        <v>Peripherals</v>
      </c>
      <c r="D344" s="329" t="str">
        <f t="shared" si="96"/>
        <v/>
      </c>
      <c r="E344" s="329" t="str">
        <f t="shared" si="97"/>
        <v/>
      </c>
      <c r="F344" s="329" t="str">
        <f t="shared" si="98"/>
        <v>Barcode scanner</v>
      </c>
      <c r="G344" s="329" t="str">
        <f t="shared" si="99"/>
        <v>ACCBAR - Barcode scanner</v>
      </c>
      <c r="H344" s="269"/>
      <c r="I344" s="330">
        <f t="shared" si="105"/>
        <v>0</v>
      </c>
      <c r="J344" s="330">
        <f t="shared" si="105"/>
        <v>0</v>
      </c>
      <c r="K344" s="364">
        <v>5</v>
      </c>
      <c r="L344" s="330">
        <f t="shared" si="103"/>
        <v>0</v>
      </c>
      <c r="M344" s="330">
        <f t="shared" si="104"/>
        <v>0</v>
      </c>
      <c r="N344" s="447">
        <v>4</v>
      </c>
      <c r="O344" s="366" t="s">
        <v>511</v>
      </c>
      <c r="P344" s="367" t="s">
        <v>149</v>
      </c>
      <c r="Q344" s="366" t="s">
        <v>241</v>
      </c>
      <c r="R344" s="367" t="s">
        <v>301</v>
      </c>
      <c r="S344" s="367" t="s">
        <v>728</v>
      </c>
      <c r="T344" s="274" t="str">
        <f t="shared" si="102"/>
        <v>LOC Spectator Services</v>
      </c>
      <c r="U344" s="275"/>
      <c r="V344" s="368" t="s">
        <v>514</v>
      </c>
    </row>
    <row r="345" spans="1:22" s="276" customFormat="1" ht="15" hidden="1" customHeight="1">
      <c r="A345" s="362" t="s">
        <v>591</v>
      </c>
      <c r="B345" s="329" t="str">
        <f t="shared" si="101"/>
        <v>Laptop - FIFA Event Build</v>
      </c>
      <c r="C345" s="329" t="str">
        <f t="shared" si="100"/>
        <v>FIFA IT Hardware</v>
      </c>
      <c r="D345" s="329" t="str">
        <f t="shared" si="96"/>
        <v/>
      </c>
      <c r="E345" s="329" t="str">
        <f t="shared" si="97"/>
        <v/>
      </c>
      <c r="F345" s="329" t="str">
        <f t="shared" si="98"/>
        <v>FIFA Laptop</v>
      </c>
      <c r="G345" s="329" t="str">
        <f t="shared" si="99"/>
        <v>LAPEVT - Laptop - FIFA Event Build</v>
      </c>
      <c r="H345" s="269"/>
      <c r="I345" s="330">
        <f t="shared" si="105"/>
        <v>0</v>
      </c>
      <c r="J345" s="330">
        <f t="shared" si="105"/>
        <v>0</v>
      </c>
      <c r="K345" s="364">
        <v>4</v>
      </c>
      <c r="L345" s="330">
        <f t="shared" si="103"/>
        <v>0</v>
      </c>
      <c r="M345" s="330">
        <f t="shared" si="104"/>
        <v>0</v>
      </c>
      <c r="N345" s="447">
        <v>4</v>
      </c>
      <c r="O345" s="366" t="s">
        <v>511</v>
      </c>
      <c r="P345" s="367" t="s">
        <v>149</v>
      </c>
      <c r="Q345" s="366" t="s">
        <v>241</v>
      </c>
      <c r="R345" s="367" t="s">
        <v>301</v>
      </c>
      <c r="S345" s="367" t="s">
        <v>728</v>
      </c>
      <c r="T345" s="274" t="str">
        <f t="shared" si="102"/>
        <v>LOC Spectator Services</v>
      </c>
      <c r="U345" s="275"/>
      <c r="V345" s="368" t="s">
        <v>514</v>
      </c>
    </row>
    <row r="346" spans="1:22" s="276" customFormat="1" ht="15" hidden="1" customHeight="1">
      <c r="A346" s="362" t="s">
        <v>538</v>
      </c>
      <c r="B346" s="329" t="str">
        <f t="shared" si="101"/>
        <v>Tablet - FIFA Professional Tablet + 4G</v>
      </c>
      <c r="C346" s="329" t="str">
        <f t="shared" si="100"/>
        <v>FIFA IT Hardware</v>
      </c>
      <c r="D346" s="329" t="str">
        <f t="shared" si="96"/>
        <v/>
      </c>
      <c r="E346" s="329" t="str">
        <f t="shared" si="97"/>
        <v/>
      </c>
      <c r="F346" s="329" t="str">
        <f t="shared" si="98"/>
        <v>Professional Series Tablet + 4G</v>
      </c>
      <c r="G346" s="329" t="str">
        <f t="shared" si="99"/>
        <v>TABLEN - Tablet - FIFA Professional Tablet + 4G</v>
      </c>
      <c r="H346" s="269"/>
      <c r="I346" s="330">
        <f t="shared" si="105"/>
        <v>0</v>
      </c>
      <c r="J346" s="330">
        <f t="shared" si="105"/>
        <v>3</v>
      </c>
      <c r="K346" s="364">
        <v>3</v>
      </c>
      <c r="L346" s="330">
        <f t="shared" si="103"/>
        <v>0</v>
      </c>
      <c r="M346" s="330">
        <f t="shared" si="104"/>
        <v>3</v>
      </c>
      <c r="N346" s="447">
        <v>0</v>
      </c>
      <c r="O346" s="366" t="s">
        <v>511</v>
      </c>
      <c r="P346" s="367" t="s">
        <v>149</v>
      </c>
      <c r="Q346" s="366" t="s">
        <v>241</v>
      </c>
      <c r="R346" s="367" t="s">
        <v>301</v>
      </c>
      <c r="S346" s="367" t="s">
        <v>728</v>
      </c>
      <c r="T346" s="274" t="str">
        <f t="shared" si="102"/>
        <v>LOC Spectator Services</v>
      </c>
      <c r="U346" s="275"/>
      <c r="V346" s="368" t="s">
        <v>514</v>
      </c>
    </row>
    <row r="347" spans="1:22" s="276" customFormat="1" ht="15" hidden="1" customHeight="1">
      <c r="A347" s="362" t="s">
        <v>191</v>
      </c>
      <c r="B347" s="329" t="str">
        <f t="shared" si="101"/>
        <v>IT Solution - Router + 4G</v>
      </c>
      <c r="C347" s="329" t="str">
        <f t="shared" si="100"/>
        <v>FIFA IT Network Solutions</v>
      </c>
      <c r="D347" s="329" t="str">
        <f t="shared" si="96"/>
        <v/>
      </c>
      <c r="E347" s="329" t="str">
        <f t="shared" si="97"/>
        <v/>
      </c>
      <c r="F347" s="329" t="str">
        <f t="shared" si="98"/>
        <v>IT Solution - Router + 4G</v>
      </c>
      <c r="G347" s="329" t="str">
        <f t="shared" si="99"/>
        <v>ITSR4G - IT Solution - Router + 4G</v>
      </c>
      <c r="H347" s="269"/>
      <c r="I347" s="330">
        <f t="shared" si="105"/>
        <v>0</v>
      </c>
      <c r="J347" s="330">
        <f t="shared" si="105"/>
        <v>3</v>
      </c>
      <c r="K347" s="364">
        <v>3</v>
      </c>
      <c r="L347" s="330">
        <f t="shared" si="103"/>
        <v>0</v>
      </c>
      <c r="M347" s="330">
        <f t="shared" si="104"/>
        <v>3</v>
      </c>
      <c r="N347" s="447">
        <v>1</v>
      </c>
      <c r="O347" s="366" t="s">
        <v>511</v>
      </c>
      <c r="P347" s="367" t="s">
        <v>149</v>
      </c>
      <c r="Q347" s="366" t="s">
        <v>241</v>
      </c>
      <c r="R347" s="367" t="s">
        <v>301</v>
      </c>
      <c r="S347" s="367" t="s">
        <v>728</v>
      </c>
      <c r="T347" s="274" t="str">
        <f t="shared" si="102"/>
        <v>LOC Spectator Services</v>
      </c>
      <c r="U347" s="275"/>
      <c r="V347" s="368" t="s">
        <v>520</v>
      </c>
    </row>
    <row r="348" spans="1:22" s="276" customFormat="1" hidden="1">
      <c r="A348" s="362" t="s">
        <v>202</v>
      </c>
      <c r="B348" s="329" t="str">
        <f t="shared" si="101"/>
        <v>MFD Desktop - Colour - A4 - Network</v>
      </c>
      <c r="C348" s="329" t="str">
        <f t="shared" si="100"/>
        <v>Reprographics</v>
      </c>
      <c r="D348" s="329" t="str">
        <f t="shared" si="96"/>
        <v/>
      </c>
      <c r="E348" s="329" t="str">
        <f t="shared" si="97"/>
        <v>General Internet Access</v>
      </c>
      <c r="F348" s="329" t="str">
        <f t="shared" si="98"/>
        <v>Colour Printer / Scanner (A4)</v>
      </c>
      <c r="G348" s="329" t="str">
        <f t="shared" si="99"/>
        <v>MFDDNW - MFD Desktop - Colour - A4 - Network (General Internet Access)</v>
      </c>
      <c r="H348" s="269"/>
      <c r="I348" s="330">
        <f t="shared" si="105"/>
        <v>1</v>
      </c>
      <c r="J348" s="330">
        <f t="shared" si="105"/>
        <v>0</v>
      </c>
      <c r="K348" s="364">
        <v>1</v>
      </c>
      <c r="L348" s="330">
        <f t="shared" si="103"/>
        <v>1</v>
      </c>
      <c r="M348" s="330">
        <f t="shared" si="104"/>
        <v>0</v>
      </c>
      <c r="N348" s="447">
        <v>0</v>
      </c>
      <c r="O348" s="366" t="s">
        <v>511</v>
      </c>
      <c r="P348" s="367" t="s">
        <v>149</v>
      </c>
      <c r="Q348" s="366" t="s">
        <v>241</v>
      </c>
      <c r="R348" s="367" t="s">
        <v>305</v>
      </c>
      <c r="S348" s="367" t="s">
        <v>728</v>
      </c>
      <c r="T348" s="274" t="str">
        <f t="shared" si="102"/>
        <v>LOC Spectator Services</v>
      </c>
      <c r="U348" s="275"/>
      <c r="V348" s="368" t="s">
        <v>514</v>
      </c>
    </row>
    <row r="349" spans="1:22" s="276" customFormat="1" ht="15" hidden="1" customHeight="1">
      <c r="A349" s="362" t="s">
        <v>519</v>
      </c>
      <c r="B349" s="329" t="str">
        <f t="shared" si="101"/>
        <v>Wireless coverage - Shared Internet Service - Wi-Fi FIFA</v>
      </c>
      <c r="C349" s="329" t="str">
        <f t="shared" si="100"/>
        <v>Network &amp; Connectivity</v>
      </c>
      <c r="D349" s="329" t="str">
        <f t="shared" si="96"/>
        <v/>
      </c>
      <c r="E349" s="329" t="str">
        <f t="shared" si="97"/>
        <v>General Internet Access</v>
      </c>
      <c r="F349" s="329" t="str">
        <f t="shared" si="98"/>
        <v>Wireless coverage - Shared Internet Service - FIFA</v>
      </c>
      <c r="G349" s="329" t="str">
        <f t="shared" si="99"/>
        <v>IS00WF - Wireless coverage - Shared Internet Service - Wi-Fi FIFA (General Internet Access)</v>
      </c>
      <c r="H349" s="269"/>
      <c r="I349" s="330">
        <f t="shared" si="105"/>
        <v>0</v>
      </c>
      <c r="J349" s="330">
        <f t="shared" si="105"/>
        <v>0</v>
      </c>
      <c r="K349" s="364">
        <v>1</v>
      </c>
      <c r="L349" s="330">
        <f t="shared" si="103"/>
        <v>0</v>
      </c>
      <c r="M349" s="330">
        <f t="shared" si="104"/>
        <v>0</v>
      </c>
      <c r="N349" s="447"/>
      <c r="O349" s="366" t="s">
        <v>511</v>
      </c>
      <c r="P349" s="367" t="s">
        <v>149</v>
      </c>
      <c r="Q349" s="366" t="s">
        <v>241</v>
      </c>
      <c r="R349" s="367" t="s">
        <v>305</v>
      </c>
      <c r="S349" s="367" t="s">
        <v>728</v>
      </c>
      <c r="T349" s="274" t="str">
        <f t="shared" si="102"/>
        <v>LOC Spectator Services</v>
      </c>
      <c r="U349" s="275"/>
      <c r="V349" s="368" t="s">
        <v>520</v>
      </c>
    </row>
    <row r="350" spans="1:22" s="276" customFormat="1" hidden="1">
      <c r="A350" s="362" t="s">
        <v>597</v>
      </c>
      <c r="B350" s="329" t="str">
        <f t="shared" si="101"/>
        <v>Telephone - Mobile - Smart Phone</v>
      </c>
      <c r="C350" s="329" t="str">
        <f t="shared" si="100"/>
        <v>Telephony</v>
      </c>
      <c r="D350" s="329"/>
      <c r="E350" s="329"/>
      <c r="F350" s="329"/>
      <c r="G350" s="329"/>
      <c r="H350" s="269"/>
      <c r="I350" s="330"/>
      <c r="J350" s="330"/>
      <c r="K350" s="364">
        <v>2</v>
      </c>
      <c r="L350" s="330">
        <f t="shared" si="103"/>
        <v>0</v>
      </c>
      <c r="M350" s="330">
        <f t="shared" si="104"/>
        <v>2</v>
      </c>
      <c r="N350" s="447">
        <v>4</v>
      </c>
      <c r="O350" s="366" t="s">
        <v>511</v>
      </c>
      <c r="P350" s="367" t="s">
        <v>149</v>
      </c>
      <c r="Q350" s="366" t="s">
        <v>241</v>
      </c>
      <c r="R350" s="367" t="s">
        <v>308</v>
      </c>
      <c r="S350" s="367" t="s">
        <v>728</v>
      </c>
      <c r="T350" s="274" t="str">
        <f t="shared" si="102"/>
        <v>LOC Spectator Services</v>
      </c>
      <c r="U350" s="440" t="s">
        <v>729</v>
      </c>
      <c r="V350" s="368" t="s">
        <v>594</v>
      </c>
    </row>
    <row r="351" spans="1:22" s="276" customFormat="1" hidden="1">
      <c r="A351" s="362" t="s">
        <v>216</v>
      </c>
      <c r="B351" s="329" t="str">
        <f t="shared" si="101"/>
        <v>Barcode scanner</v>
      </c>
      <c r="C351" s="329" t="str">
        <f t="shared" si="100"/>
        <v>Peripherals</v>
      </c>
      <c r="D351" s="329" t="str">
        <f t="shared" ref="D351:D382" si="106">IF(OR($A351="",$O351&lt;&gt;"FIFA Event Technology"),"",IF(VLOOKUP($A351,ps_table,MATCH(D$2,ps_headers,0),FALSE)&lt;&gt;"",VLOOKUP($A351,ps_table,MATCH(D$2,ps_headers,0),FALSE),""))</f>
        <v/>
      </c>
      <c r="E351" s="329" t="str">
        <f t="shared" ref="E351:E382" si="107">IF($A351="","",IF(VLOOKUP($A351,ps_table,MATCH(E$2,ps_headers,0),FALSE)&lt;&gt;"",VLOOKUP($A351,ps_table,MATCH(E$2,ps_headers,0),FALSE),""))</f>
        <v/>
      </c>
      <c r="F351" s="329" t="str">
        <f t="shared" ref="F351:F382" si="108">IF($A351="","",VLOOKUP($A351,ps_table,MATCH(F$2,ps_headers,0),FALSE))</f>
        <v>Barcode scanner</v>
      </c>
      <c r="G351" s="329" t="str">
        <f t="shared" ref="G351:G382" si="109">IF($A351="","",IF(E351&lt;&gt;"",A351&amp;" - "&amp;B351&amp;" ("&amp;E351&amp;")",A351&amp;" - "&amp;B351))</f>
        <v>ACCBAR - Barcode scanner</v>
      </c>
      <c r="H351" s="269"/>
      <c r="I351" s="330">
        <f t="shared" ref="I351:J370" si="110">IF($A351="","",$K351*VLOOKUP($A351,ps_table,MATCH(I$2,ps_headers,0),FALSE))</f>
        <v>0</v>
      </c>
      <c r="J351" s="330">
        <f t="shared" si="110"/>
        <v>0</v>
      </c>
      <c r="K351" s="364">
        <v>1</v>
      </c>
      <c r="L351" s="330">
        <f t="shared" si="103"/>
        <v>0</v>
      </c>
      <c r="M351" s="330">
        <f t="shared" si="104"/>
        <v>0</v>
      </c>
      <c r="N351" s="447">
        <v>0</v>
      </c>
      <c r="O351" s="366" t="s">
        <v>511</v>
      </c>
      <c r="P351" s="367" t="s">
        <v>149</v>
      </c>
      <c r="Q351" s="366" t="s">
        <v>241</v>
      </c>
      <c r="R351" s="367" t="s">
        <v>308</v>
      </c>
      <c r="S351" s="367" t="s">
        <v>728</v>
      </c>
      <c r="T351" s="274" t="str">
        <f t="shared" si="102"/>
        <v>LOC Spectator Services</v>
      </c>
      <c r="U351" s="275"/>
      <c r="V351" s="368" t="s">
        <v>514</v>
      </c>
    </row>
    <row r="352" spans="1:22" s="276" customFormat="1" hidden="1">
      <c r="A352" s="362" t="s">
        <v>216</v>
      </c>
      <c r="B352" s="329" t="str">
        <f t="shared" si="101"/>
        <v>Barcode scanner</v>
      </c>
      <c r="C352" s="329" t="str">
        <f t="shared" si="100"/>
        <v>Peripherals</v>
      </c>
      <c r="D352" s="329" t="str">
        <f t="shared" si="106"/>
        <v/>
      </c>
      <c r="E352" s="329" t="str">
        <f t="shared" si="107"/>
        <v/>
      </c>
      <c r="F352" s="329" t="str">
        <f t="shared" si="108"/>
        <v>Barcode scanner</v>
      </c>
      <c r="G352" s="329" t="str">
        <f t="shared" si="109"/>
        <v>ACCBAR - Barcode scanner</v>
      </c>
      <c r="H352" s="269"/>
      <c r="I352" s="330">
        <f t="shared" si="110"/>
        <v>0</v>
      </c>
      <c r="J352" s="330">
        <f t="shared" si="110"/>
        <v>0</v>
      </c>
      <c r="K352" s="443">
        <v>1</v>
      </c>
      <c r="L352" s="330">
        <f t="shared" si="103"/>
        <v>0</v>
      </c>
      <c r="M352" s="330">
        <f t="shared" si="104"/>
        <v>0</v>
      </c>
      <c r="N352" s="447"/>
      <c r="O352" s="366" t="s">
        <v>511</v>
      </c>
      <c r="P352" s="367" t="s">
        <v>152</v>
      </c>
      <c r="Q352" s="366" t="s">
        <v>299</v>
      </c>
      <c r="R352" s="367" t="s">
        <v>305</v>
      </c>
      <c r="S352" s="367" t="s">
        <v>728</v>
      </c>
      <c r="T352" s="274" t="str">
        <f t="shared" si="102"/>
        <v>LOC Spectator Services</v>
      </c>
      <c r="U352" s="275"/>
      <c r="V352" s="368" t="s">
        <v>514</v>
      </c>
    </row>
    <row r="353" spans="1:22" s="276" customFormat="1" ht="15" hidden="1" customHeight="1">
      <c r="A353" s="362" t="s">
        <v>519</v>
      </c>
      <c r="B353" s="329" t="str">
        <f t="shared" si="101"/>
        <v>Wireless coverage - Shared Internet Service - Wi-Fi FIFA</v>
      </c>
      <c r="C353" s="329" t="str">
        <f t="shared" si="100"/>
        <v>Network &amp; Connectivity</v>
      </c>
      <c r="D353" s="329" t="str">
        <f t="shared" si="106"/>
        <v/>
      </c>
      <c r="E353" s="329" t="str">
        <f t="shared" si="107"/>
        <v>General Internet Access</v>
      </c>
      <c r="F353" s="329" t="str">
        <f t="shared" si="108"/>
        <v>Wireless coverage - Shared Internet Service - FIFA</v>
      </c>
      <c r="G353" s="329" t="str">
        <f t="shared" si="109"/>
        <v>IS00WF - Wireless coverage - Shared Internet Service - Wi-Fi FIFA (General Internet Access)</v>
      </c>
      <c r="H353" s="269"/>
      <c r="I353" s="330">
        <f t="shared" si="110"/>
        <v>0</v>
      </c>
      <c r="J353" s="330">
        <f t="shared" si="110"/>
        <v>0</v>
      </c>
      <c r="K353" s="443">
        <v>1</v>
      </c>
      <c r="L353" s="330">
        <f t="shared" si="103"/>
        <v>0</v>
      </c>
      <c r="M353" s="330">
        <f t="shared" si="104"/>
        <v>0</v>
      </c>
      <c r="N353" s="447"/>
      <c r="O353" s="366" t="s">
        <v>511</v>
      </c>
      <c r="P353" s="367" t="s">
        <v>152</v>
      </c>
      <c r="Q353" s="366" t="s">
        <v>299</v>
      </c>
      <c r="R353" s="367" t="s">
        <v>305</v>
      </c>
      <c r="S353" s="367" t="s">
        <v>728</v>
      </c>
      <c r="T353" s="274" t="str">
        <f t="shared" si="102"/>
        <v>LOC Spectator Services</v>
      </c>
      <c r="U353" s="275"/>
      <c r="V353" s="368" t="s">
        <v>520</v>
      </c>
    </row>
    <row r="354" spans="1:22" s="276" customFormat="1" hidden="1">
      <c r="A354" s="362" t="s">
        <v>188</v>
      </c>
      <c r="B354" s="329" t="str">
        <f t="shared" si="101"/>
        <v>SIM - Data Only</v>
      </c>
      <c r="C354" s="329" t="str">
        <f t="shared" si="100"/>
        <v>Telephony</v>
      </c>
      <c r="D354" s="329" t="str">
        <f t="shared" si="106"/>
        <v/>
      </c>
      <c r="E354" s="329" t="str">
        <f t="shared" si="107"/>
        <v/>
      </c>
      <c r="F354" s="329" t="str">
        <f t="shared" si="108"/>
        <v>Local SIM Card - Data Only</v>
      </c>
      <c r="G354" s="329" t="str">
        <f t="shared" si="109"/>
        <v>SIMDAT - SIM - Data Only</v>
      </c>
      <c r="H354" s="269"/>
      <c r="I354" s="330">
        <f t="shared" si="110"/>
        <v>0</v>
      </c>
      <c r="J354" s="330">
        <f t="shared" si="110"/>
        <v>2</v>
      </c>
      <c r="K354" s="443">
        <v>2</v>
      </c>
      <c r="L354" s="330">
        <f t="shared" si="103"/>
        <v>0</v>
      </c>
      <c r="M354" s="330">
        <f t="shared" si="104"/>
        <v>2</v>
      </c>
      <c r="N354" s="447"/>
      <c r="O354" s="366" t="s">
        <v>511</v>
      </c>
      <c r="P354" s="367" t="s">
        <v>152</v>
      </c>
      <c r="Q354" s="366" t="s">
        <v>299</v>
      </c>
      <c r="R354" s="367" t="s">
        <v>305</v>
      </c>
      <c r="S354" s="367" t="s">
        <v>728</v>
      </c>
      <c r="T354" s="274" t="str">
        <f t="shared" si="102"/>
        <v>LOC Spectator Services</v>
      </c>
      <c r="U354" s="275"/>
      <c r="V354" s="368" t="s">
        <v>594</v>
      </c>
    </row>
    <row r="355" spans="1:22" s="276" customFormat="1" hidden="1">
      <c r="A355" s="362" t="s">
        <v>202</v>
      </c>
      <c r="B355" s="329" t="str">
        <f t="shared" si="101"/>
        <v>MFD Desktop - Colour - A4 - Network</v>
      </c>
      <c r="C355" s="329" t="str">
        <f t="shared" si="100"/>
        <v>Reprographics</v>
      </c>
      <c r="D355" s="329" t="str">
        <f t="shared" si="106"/>
        <v/>
      </c>
      <c r="E355" s="329" t="str">
        <f t="shared" si="107"/>
        <v>General Internet Access</v>
      </c>
      <c r="F355" s="329" t="str">
        <f t="shared" si="108"/>
        <v>Colour Printer / Scanner (A4)</v>
      </c>
      <c r="G355" s="329" t="str">
        <f t="shared" si="109"/>
        <v>MFDDNW - MFD Desktop - Colour - A4 - Network (General Internet Access)</v>
      </c>
      <c r="H355" s="269"/>
      <c r="I355" s="330">
        <f t="shared" si="110"/>
        <v>1</v>
      </c>
      <c r="J355" s="330">
        <f t="shared" si="110"/>
        <v>0</v>
      </c>
      <c r="K355" s="443">
        <v>1</v>
      </c>
      <c r="L355" s="330">
        <f t="shared" si="103"/>
        <v>1</v>
      </c>
      <c r="M355" s="330">
        <f t="shared" si="104"/>
        <v>0</v>
      </c>
      <c r="N355" s="447"/>
      <c r="O355" s="366" t="s">
        <v>511</v>
      </c>
      <c r="P355" s="367" t="s">
        <v>152</v>
      </c>
      <c r="Q355" s="366" t="s">
        <v>299</v>
      </c>
      <c r="R355" s="367" t="s">
        <v>305</v>
      </c>
      <c r="S355" s="367" t="s">
        <v>728</v>
      </c>
      <c r="T355" s="274" t="str">
        <f t="shared" si="102"/>
        <v>LOC Spectator Services</v>
      </c>
      <c r="U355" s="275"/>
      <c r="V355" s="368" t="s">
        <v>514</v>
      </c>
    </row>
    <row r="356" spans="1:22" s="276" customFormat="1" hidden="1">
      <c r="A356" s="362" t="s">
        <v>216</v>
      </c>
      <c r="B356" s="329" t="str">
        <f t="shared" si="101"/>
        <v>Barcode scanner</v>
      </c>
      <c r="C356" s="329" t="str">
        <f t="shared" si="100"/>
        <v>Peripherals</v>
      </c>
      <c r="D356" s="329" t="str">
        <f t="shared" si="106"/>
        <v/>
      </c>
      <c r="E356" s="329" t="str">
        <f t="shared" si="107"/>
        <v/>
      </c>
      <c r="F356" s="329" t="str">
        <f t="shared" si="108"/>
        <v>Barcode scanner</v>
      </c>
      <c r="G356" s="329" t="str">
        <f t="shared" si="109"/>
        <v>ACCBAR - Barcode scanner</v>
      </c>
      <c r="H356" s="269"/>
      <c r="I356" s="330">
        <f t="shared" si="110"/>
        <v>0</v>
      </c>
      <c r="J356" s="330">
        <f t="shared" si="110"/>
        <v>0</v>
      </c>
      <c r="K356" s="443">
        <v>5</v>
      </c>
      <c r="L356" s="330">
        <f t="shared" si="103"/>
        <v>0</v>
      </c>
      <c r="M356" s="330">
        <f t="shared" si="104"/>
        <v>0</v>
      </c>
      <c r="N356" s="447"/>
      <c r="O356" s="366" t="s">
        <v>511</v>
      </c>
      <c r="P356" s="367" t="s">
        <v>152</v>
      </c>
      <c r="Q356" s="366" t="s">
        <v>299</v>
      </c>
      <c r="R356" s="367" t="s">
        <v>301</v>
      </c>
      <c r="S356" s="367" t="s">
        <v>728</v>
      </c>
      <c r="T356" s="274" t="str">
        <f t="shared" si="102"/>
        <v>LOC Spectator Services</v>
      </c>
      <c r="U356" s="275"/>
      <c r="V356" s="368" t="s">
        <v>514</v>
      </c>
    </row>
    <row r="357" spans="1:22" s="276" customFormat="1" ht="15" hidden="1" customHeight="1">
      <c r="A357" s="362" t="s">
        <v>591</v>
      </c>
      <c r="B357" s="329" t="str">
        <f t="shared" si="101"/>
        <v>Laptop - FIFA Event Build</v>
      </c>
      <c r="C357" s="329" t="str">
        <f t="shared" si="100"/>
        <v>FIFA IT Hardware</v>
      </c>
      <c r="D357" s="329" t="str">
        <f t="shared" si="106"/>
        <v/>
      </c>
      <c r="E357" s="329" t="str">
        <f t="shared" si="107"/>
        <v/>
      </c>
      <c r="F357" s="329" t="str">
        <f t="shared" si="108"/>
        <v>FIFA Laptop</v>
      </c>
      <c r="G357" s="329" t="str">
        <f t="shared" si="109"/>
        <v>LAPEVT - Laptop - FIFA Event Build</v>
      </c>
      <c r="H357" s="269"/>
      <c r="I357" s="330">
        <f t="shared" si="110"/>
        <v>0</v>
      </c>
      <c r="J357" s="330">
        <f t="shared" si="110"/>
        <v>0</v>
      </c>
      <c r="K357" s="443">
        <v>4</v>
      </c>
      <c r="L357" s="330">
        <f t="shared" si="103"/>
        <v>0</v>
      </c>
      <c r="M357" s="330">
        <f t="shared" si="104"/>
        <v>0</v>
      </c>
      <c r="N357" s="447"/>
      <c r="O357" s="366" t="s">
        <v>511</v>
      </c>
      <c r="P357" s="367" t="s">
        <v>152</v>
      </c>
      <c r="Q357" s="366" t="s">
        <v>299</v>
      </c>
      <c r="R357" s="367" t="s">
        <v>301</v>
      </c>
      <c r="S357" s="367" t="s">
        <v>728</v>
      </c>
      <c r="T357" s="274" t="str">
        <f t="shared" si="102"/>
        <v>LOC Spectator Services</v>
      </c>
      <c r="U357" s="275"/>
      <c r="V357" s="368" t="s">
        <v>514</v>
      </c>
    </row>
    <row r="358" spans="1:22" s="276" customFormat="1" ht="15" hidden="1" customHeight="1">
      <c r="A358" s="362" t="s">
        <v>538</v>
      </c>
      <c r="B358" s="329" t="str">
        <f t="shared" si="101"/>
        <v>Tablet - FIFA Professional Tablet + 4G</v>
      </c>
      <c r="C358" s="329" t="str">
        <f t="shared" si="100"/>
        <v>FIFA IT Hardware</v>
      </c>
      <c r="D358" s="329" t="str">
        <f t="shared" si="106"/>
        <v/>
      </c>
      <c r="E358" s="329" t="str">
        <f t="shared" si="107"/>
        <v/>
      </c>
      <c r="F358" s="329" t="str">
        <f t="shared" si="108"/>
        <v>Professional Series Tablet + 4G</v>
      </c>
      <c r="G358" s="329" t="str">
        <f t="shared" si="109"/>
        <v>TABLEN - Tablet - FIFA Professional Tablet + 4G</v>
      </c>
      <c r="H358" s="269"/>
      <c r="I358" s="330">
        <f t="shared" si="110"/>
        <v>0</v>
      </c>
      <c r="J358" s="330">
        <f t="shared" si="110"/>
        <v>3</v>
      </c>
      <c r="K358" s="443">
        <v>3</v>
      </c>
      <c r="L358" s="330">
        <f t="shared" si="103"/>
        <v>0</v>
      </c>
      <c r="M358" s="330">
        <f t="shared" si="104"/>
        <v>3</v>
      </c>
      <c r="N358" s="447"/>
      <c r="O358" s="366" t="s">
        <v>511</v>
      </c>
      <c r="P358" s="367" t="s">
        <v>152</v>
      </c>
      <c r="Q358" s="366" t="s">
        <v>299</v>
      </c>
      <c r="R358" s="367" t="s">
        <v>301</v>
      </c>
      <c r="S358" s="367" t="s">
        <v>728</v>
      </c>
      <c r="T358" s="274" t="str">
        <f t="shared" si="102"/>
        <v>LOC Spectator Services</v>
      </c>
      <c r="U358" s="275"/>
      <c r="V358" s="368" t="s">
        <v>514</v>
      </c>
    </row>
    <row r="359" spans="1:22" s="276" customFormat="1" ht="15" hidden="1" customHeight="1">
      <c r="A359" s="362" t="s">
        <v>191</v>
      </c>
      <c r="B359" s="329" t="str">
        <f t="shared" si="101"/>
        <v>IT Solution - Router + 4G</v>
      </c>
      <c r="C359" s="329" t="str">
        <f t="shared" si="100"/>
        <v>FIFA IT Network Solutions</v>
      </c>
      <c r="D359" s="329" t="str">
        <f t="shared" si="106"/>
        <v/>
      </c>
      <c r="E359" s="329" t="str">
        <f t="shared" si="107"/>
        <v/>
      </c>
      <c r="F359" s="329" t="str">
        <f t="shared" si="108"/>
        <v>IT Solution - Router + 4G</v>
      </c>
      <c r="G359" s="329" t="str">
        <f t="shared" si="109"/>
        <v>ITSR4G - IT Solution - Router + 4G</v>
      </c>
      <c r="H359" s="269"/>
      <c r="I359" s="330">
        <f t="shared" si="110"/>
        <v>0</v>
      </c>
      <c r="J359" s="330">
        <f t="shared" si="110"/>
        <v>3</v>
      </c>
      <c r="K359" s="443">
        <v>3</v>
      </c>
      <c r="L359" s="330">
        <f t="shared" si="103"/>
        <v>0</v>
      </c>
      <c r="M359" s="330">
        <f t="shared" si="104"/>
        <v>3</v>
      </c>
      <c r="N359" s="447"/>
      <c r="O359" s="366" t="s">
        <v>511</v>
      </c>
      <c r="P359" s="367" t="s">
        <v>152</v>
      </c>
      <c r="Q359" s="366" t="s">
        <v>299</v>
      </c>
      <c r="R359" s="367" t="s">
        <v>301</v>
      </c>
      <c r="S359" s="367" t="s">
        <v>728</v>
      </c>
      <c r="T359" s="274" t="str">
        <f t="shared" si="102"/>
        <v>LOC Spectator Services</v>
      </c>
      <c r="U359" s="275"/>
      <c r="V359" s="368" t="s">
        <v>520</v>
      </c>
    </row>
    <row r="360" spans="1:22" s="276" customFormat="1" ht="15" hidden="1" customHeight="1">
      <c r="A360" s="362" t="s">
        <v>249</v>
      </c>
      <c r="B360" s="329" t="str">
        <f t="shared" si="101"/>
        <v>TV - Large - Standalone</v>
      </c>
      <c r="C360" s="329" t="str">
        <f t="shared" si="100"/>
        <v>Display Devices</v>
      </c>
      <c r="D360" s="329" t="str">
        <f t="shared" si="106"/>
        <v/>
      </c>
      <c r="E360" s="329" t="str">
        <f t="shared" si="107"/>
        <v/>
      </c>
      <c r="F360" s="329" t="str">
        <f t="shared" si="108"/>
        <v>Large TV - Standalone</v>
      </c>
      <c r="G360" s="329" t="str">
        <f t="shared" si="109"/>
        <v>TVLGSA - TV - Large - Standalone</v>
      </c>
      <c r="H360" s="269"/>
      <c r="I360" s="330">
        <f t="shared" si="110"/>
        <v>0</v>
      </c>
      <c r="J360" s="330">
        <f t="shared" si="110"/>
        <v>0</v>
      </c>
      <c r="K360" s="364">
        <v>1</v>
      </c>
      <c r="L360" s="330">
        <f t="shared" si="103"/>
        <v>0</v>
      </c>
      <c r="M360" s="330">
        <f t="shared" ref="M360:M391" si="111">IF($A360="","",$K360*VLOOKUP($A360,ps_table,MATCH(M$2,ps_headers,0),FALSE))</f>
        <v>0</v>
      </c>
      <c r="N360" s="447">
        <v>0</v>
      </c>
      <c r="O360" s="366" t="s">
        <v>511</v>
      </c>
      <c r="P360" s="367" t="s">
        <v>149</v>
      </c>
      <c r="Q360" s="366" t="s">
        <v>185</v>
      </c>
      <c r="R360" s="367" t="s">
        <v>312</v>
      </c>
      <c r="S360" s="367" t="s">
        <v>730</v>
      </c>
      <c r="T360" s="274" t="str">
        <f t="shared" si="102"/>
        <v>LOC SSOC</v>
      </c>
      <c r="U360" s="275"/>
      <c r="V360" s="368" t="s">
        <v>514</v>
      </c>
    </row>
    <row r="361" spans="1:22" s="276" customFormat="1" hidden="1">
      <c r="A361" s="362" t="s">
        <v>202</v>
      </c>
      <c r="B361" s="329" t="str">
        <f t="shared" si="101"/>
        <v>MFD Desktop - Colour - A4 - Network</v>
      </c>
      <c r="C361" s="329" t="str">
        <f t="shared" si="100"/>
        <v>Reprographics</v>
      </c>
      <c r="D361" s="329" t="str">
        <f t="shared" si="106"/>
        <v/>
      </c>
      <c r="E361" s="329" t="str">
        <f t="shared" si="107"/>
        <v>General Internet Access</v>
      </c>
      <c r="F361" s="329" t="str">
        <f t="shared" si="108"/>
        <v>Colour Printer / Scanner (A4)</v>
      </c>
      <c r="G361" s="329" t="str">
        <f t="shared" si="109"/>
        <v>MFDDNW - MFD Desktop - Colour - A4 - Network (General Internet Access)</v>
      </c>
      <c r="H361" s="269"/>
      <c r="I361" s="330">
        <f t="shared" si="110"/>
        <v>1</v>
      </c>
      <c r="J361" s="330">
        <f t="shared" si="110"/>
        <v>0</v>
      </c>
      <c r="K361" s="364">
        <v>1</v>
      </c>
      <c r="L361" s="330">
        <f t="shared" si="103"/>
        <v>1</v>
      </c>
      <c r="M361" s="330">
        <f t="shared" si="111"/>
        <v>0</v>
      </c>
      <c r="N361" s="447">
        <v>0</v>
      </c>
      <c r="O361" s="366" t="s">
        <v>511</v>
      </c>
      <c r="P361" s="367" t="s">
        <v>149</v>
      </c>
      <c r="Q361" s="366" t="s">
        <v>185</v>
      </c>
      <c r="R361" s="367" t="s">
        <v>312</v>
      </c>
      <c r="S361" s="367" t="s">
        <v>730</v>
      </c>
      <c r="T361" s="274" t="str">
        <f t="shared" si="102"/>
        <v>LOC SSOC</v>
      </c>
      <c r="U361" s="275" t="s">
        <v>731</v>
      </c>
      <c r="V361" s="368" t="s">
        <v>514</v>
      </c>
    </row>
    <row r="362" spans="1:22" s="276" customFormat="1" ht="15" hidden="1" customHeight="1">
      <c r="A362" s="362" t="s">
        <v>519</v>
      </c>
      <c r="B362" s="329" t="str">
        <f t="shared" si="101"/>
        <v>Wireless coverage - Shared Internet Service - Wi-Fi FIFA</v>
      </c>
      <c r="C362" s="329" t="str">
        <f t="shared" si="100"/>
        <v>Network &amp; Connectivity</v>
      </c>
      <c r="D362" s="329" t="str">
        <f t="shared" si="106"/>
        <v/>
      </c>
      <c r="E362" s="329" t="str">
        <f t="shared" si="107"/>
        <v>General Internet Access</v>
      </c>
      <c r="F362" s="329" t="str">
        <f t="shared" si="108"/>
        <v>Wireless coverage - Shared Internet Service - FIFA</v>
      </c>
      <c r="G362" s="329" t="str">
        <f t="shared" si="109"/>
        <v>IS00WF - Wireless coverage - Shared Internet Service - Wi-Fi FIFA (General Internet Access)</v>
      </c>
      <c r="H362" s="269"/>
      <c r="I362" s="330">
        <f t="shared" si="110"/>
        <v>0</v>
      </c>
      <c r="J362" s="330">
        <f t="shared" si="110"/>
        <v>0</v>
      </c>
      <c r="K362" s="364">
        <v>1</v>
      </c>
      <c r="L362" s="330">
        <f t="shared" si="103"/>
        <v>0</v>
      </c>
      <c r="M362" s="330">
        <f t="shared" si="111"/>
        <v>0</v>
      </c>
      <c r="N362" s="447"/>
      <c r="O362" s="366" t="s">
        <v>511</v>
      </c>
      <c r="P362" s="367" t="s">
        <v>149</v>
      </c>
      <c r="Q362" s="366" t="s">
        <v>185</v>
      </c>
      <c r="R362" s="367" t="s">
        <v>315</v>
      </c>
      <c r="S362" s="367" t="s">
        <v>730</v>
      </c>
      <c r="T362" s="274" t="str">
        <f t="shared" si="102"/>
        <v>LOC SSOC</v>
      </c>
      <c r="U362" s="275"/>
      <c r="V362" s="368" t="s">
        <v>520</v>
      </c>
    </row>
    <row r="363" spans="1:22" s="276" customFormat="1" ht="15" hidden="1" customHeight="1">
      <c r="A363" s="362" t="s">
        <v>519</v>
      </c>
      <c r="B363" s="329" t="str">
        <f t="shared" si="101"/>
        <v>Wireless coverage - Shared Internet Service - Wi-Fi FIFA</v>
      </c>
      <c r="C363" s="329" t="str">
        <f t="shared" si="100"/>
        <v>Network &amp; Connectivity</v>
      </c>
      <c r="D363" s="329" t="str">
        <f t="shared" si="106"/>
        <v/>
      </c>
      <c r="E363" s="329" t="str">
        <f t="shared" si="107"/>
        <v>General Internet Access</v>
      </c>
      <c r="F363" s="329" t="str">
        <f t="shared" si="108"/>
        <v>Wireless coverage - Shared Internet Service - FIFA</v>
      </c>
      <c r="G363" s="329" t="str">
        <f t="shared" si="109"/>
        <v>IS00WF - Wireless coverage - Shared Internet Service - Wi-Fi FIFA (General Internet Access)</v>
      </c>
      <c r="H363" s="269"/>
      <c r="I363" s="330">
        <f t="shared" si="110"/>
        <v>0</v>
      </c>
      <c r="J363" s="330">
        <f t="shared" si="110"/>
        <v>0</v>
      </c>
      <c r="K363" s="364">
        <v>1</v>
      </c>
      <c r="L363" s="330">
        <f t="shared" si="103"/>
        <v>0</v>
      </c>
      <c r="M363" s="330">
        <f t="shared" si="111"/>
        <v>0</v>
      </c>
      <c r="N363" s="447"/>
      <c r="O363" s="366" t="s">
        <v>511</v>
      </c>
      <c r="P363" s="367" t="s">
        <v>149</v>
      </c>
      <c r="Q363" s="366" t="s">
        <v>185</v>
      </c>
      <c r="R363" s="367" t="s">
        <v>316</v>
      </c>
      <c r="S363" s="367" t="s">
        <v>730</v>
      </c>
      <c r="T363" s="274" t="str">
        <f t="shared" si="102"/>
        <v>LOC SSOC</v>
      </c>
      <c r="U363" s="275"/>
      <c r="V363" s="368" t="s">
        <v>520</v>
      </c>
    </row>
    <row r="364" spans="1:22" s="276" customFormat="1" ht="15" hidden="1" customHeight="1">
      <c r="A364" s="362" t="s">
        <v>249</v>
      </c>
      <c r="B364" s="329" t="str">
        <f t="shared" si="101"/>
        <v>TV - Large - Standalone</v>
      </c>
      <c r="C364" s="329" t="str">
        <f t="shared" si="100"/>
        <v>Display Devices</v>
      </c>
      <c r="D364" s="329" t="str">
        <f t="shared" si="106"/>
        <v/>
      </c>
      <c r="E364" s="329" t="str">
        <f t="shared" si="107"/>
        <v/>
      </c>
      <c r="F364" s="329" t="str">
        <f t="shared" si="108"/>
        <v>Large TV - Standalone</v>
      </c>
      <c r="G364" s="329" t="str">
        <f t="shared" si="109"/>
        <v>TVLGSA - TV - Large - Standalone</v>
      </c>
      <c r="H364" s="269"/>
      <c r="I364" s="330">
        <f t="shared" si="110"/>
        <v>0</v>
      </c>
      <c r="J364" s="330">
        <f t="shared" si="110"/>
        <v>0</v>
      </c>
      <c r="K364" s="364">
        <v>1</v>
      </c>
      <c r="L364" s="330">
        <f t="shared" si="103"/>
        <v>0</v>
      </c>
      <c r="M364" s="330">
        <f t="shared" si="111"/>
        <v>0</v>
      </c>
      <c r="N364" s="447">
        <v>0</v>
      </c>
      <c r="O364" s="366" t="s">
        <v>511</v>
      </c>
      <c r="P364" s="367" t="s">
        <v>149</v>
      </c>
      <c r="Q364" s="366" t="s">
        <v>185</v>
      </c>
      <c r="R364" s="367" t="s">
        <v>316</v>
      </c>
      <c r="S364" s="367" t="s">
        <v>730</v>
      </c>
      <c r="T364" s="274" t="str">
        <f t="shared" si="102"/>
        <v>LOC SSOC</v>
      </c>
      <c r="U364" s="275"/>
      <c r="V364" s="368" t="s">
        <v>514</v>
      </c>
    </row>
    <row r="365" spans="1:22" s="276" customFormat="1" hidden="1">
      <c r="A365" s="362" t="s">
        <v>207</v>
      </c>
      <c r="B365" s="329" t="str">
        <f t="shared" si="101"/>
        <v>MFD Large - Colour - A3 - Network</v>
      </c>
      <c r="C365" s="329" t="str">
        <f t="shared" si="100"/>
        <v>Reprographics</v>
      </c>
      <c r="D365" s="329" t="str">
        <f t="shared" si="106"/>
        <v/>
      </c>
      <c r="E365" s="329" t="str">
        <f t="shared" si="107"/>
        <v>General Internet Access</v>
      </c>
      <c r="F365" s="329" t="str">
        <f t="shared" si="108"/>
        <v>Large Colour Printer / Scanner (A3)</v>
      </c>
      <c r="G365" s="329" t="str">
        <f t="shared" si="109"/>
        <v>MFDLNW - MFD Large - Colour - A3 - Network (General Internet Access)</v>
      </c>
      <c r="H365" s="269"/>
      <c r="I365" s="330">
        <f t="shared" si="110"/>
        <v>0</v>
      </c>
      <c r="J365" s="330">
        <f t="shared" si="110"/>
        <v>0</v>
      </c>
      <c r="K365" s="364">
        <v>0</v>
      </c>
      <c r="L365" s="330">
        <f t="shared" si="103"/>
        <v>0</v>
      </c>
      <c r="M365" s="330">
        <f t="shared" si="111"/>
        <v>0</v>
      </c>
      <c r="N365" s="447">
        <v>0</v>
      </c>
      <c r="O365" s="366" t="s">
        <v>511</v>
      </c>
      <c r="P365" s="367" t="s">
        <v>149</v>
      </c>
      <c r="Q365" s="366" t="s">
        <v>185</v>
      </c>
      <c r="R365" s="367" t="s">
        <v>316</v>
      </c>
      <c r="S365" s="367" t="s">
        <v>730</v>
      </c>
      <c r="T365" s="274" t="str">
        <f t="shared" si="102"/>
        <v>LOC SSOC</v>
      </c>
      <c r="U365" s="275" t="s">
        <v>732</v>
      </c>
      <c r="V365" s="368" t="s">
        <v>514</v>
      </c>
    </row>
    <row r="366" spans="1:22" s="276" customFormat="1" ht="15" hidden="1" customHeight="1">
      <c r="A366" s="362" t="s">
        <v>519</v>
      </c>
      <c r="B366" s="329" t="str">
        <f t="shared" si="101"/>
        <v>Wireless coverage - Shared Internet Service - Wi-Fi FIFA</v>
      </c>
      <c r="C366" s="329" t="str">
        <f t="shared" si="100"/>
        <v>Network &amp; Connectivity</v>
      </c>
      <c r="D366" s="329" t="str">
        <f t="shared" si="106"/>
        <v/>
      </c>
      <c r="E366" s="329" t="str">
        <f t="shared" si="107"/>
        <v>General Internet Access</v>
      </c>
      <c r="F366" s="329" t="str">
        <f t="shared" si="108"/>
        <v>Wireless coverage - Shared Internet Service - FIFA</v>
      </c>
      <c r="G366" s="329" t="str">
        <f t="shared" si="109"/>
        <v>IS00WF - Wireless coverage - Shared Internet Service - Wi-Fi FIFA (General Internet Access)</v>
      </c>
      <c r="H366" s="269"/>
      <c r="I366" s="330">
        <f t="shared" si="110"/>
        <v>0</v>
      </c>
      <c r="J366" s="330">
        <f t="shared" si="110"/>
        <v>0</v>
      </c>
      <c r="K366" s="364">
        <v>1</v>
      </c>
      <c r="L366" s="330">
        <f t="shared" si="103"/>
        <v>0</v>
      </c>
      <c r="M366" s="330">
        <f t="shared" si="111"/>
        <v>0</v>
      </c>
      <c r="N366" s="447"/>
      <c r="O366" s="366" t="s">
        <v>511</v>
      </c>
      <c r="P366" s="367" t="s">
        <v>149</v>
      </c>
      <c r="Q366" s="366" t="s">
        <v>185</v>
      </c>
      <c r="R366" s="367" t="s">
        <v>317</v>
      </c>
      <c r="S366" s="367" t="s">
        <v>730</v>
      </c>
      <c r="T366" s="274" t="str">
        <f t="shared" si="102"/>
        <v>LOC SSOC</v>
      </c>
      <c r="U366" s="275"/>
      <c r="V366" s="368" t="s">
        <v>520</v>
      </c>
    </row>
    <row r="367" spans="1:22" s="276" customFormat="1" hidden="1">
      <c r="A367" s="362" t="s">
        <v>207</v>
      </c>
      <c r="B367" s="329" t="str">
        <f t="shared" si="101"/>
        <v>MFD Large - Colour - A3 - Network</v>
      </c>
      <c r="C367" s="329" t="str">
        <f t="shared" si="100"/>
        <v>Reprographics</v>
      </c>
      <c r="D367" s="329" t="str">
        <f t="shared" si="106"/>
        <v/>
      </c>
      <c r="E367" s="329" t="str">
        <f t="shared" si="107"/>
        <v>General Internet Access</v>
      </c>
      <c r="F367" s="329" t="str">
        <f t="shared" si="108"/>
        <v>Large Colour Printer / Scanner (A3)</v>
      </c>
      <c r="G367" s="329" t="str">
        <f t="shared" si="109"/>
        <v>MFDLNW - MFD Large - Colour - A3 - Network (General Internet Access)</v>
      </c>
      <c r="H367" s="269"/>
      <c r="I367" s="330">
        <f t="shared" si="110"/>
        <v>0</v>
      </c>
      <c r="J367" s="330">
        <f t="shared" si="110"/>
        <v>0</v>
      </c>
      <c r="K367" s="443">
        <v>0</v>
      </c>
      <c r="L367" s="330">
        <f t="shared" si="103"/>
        <v>0</v>
      </c>
      <c r="M367" s="330">
        <f t="shared" si="111"/>
        <v>0</v>
      </c>
      <c r="N367" s="447"/>
      <c r="O367" s="366" t="s">
        <v>511</v>
      </c>
      <c r="P367" s="367" t="s">
        <v>152</v>
      </c>
      <c r="Q367" s="366" t="s">
        <v>299</v>
      </c>
      <c r="R367" s="367" t="s">
        <v>318</v>
      </c>
      <c r="S367" s="367" t="s">
        <v>730</v>
      </c>
      <c r="T367" s="274" t="str">
        <f t="shared" si="102"/>
        <v>LOC SSOC</v>
      </c>
      <c r="U367" s="275" t="s">
        <v>732</v>
      </c>
      <c r="V367" s="368" t="s">
        <v>514</v>
      </c>
    </row>
    <row r="368" spans="1:22" s="276" customFormat="1" ht="15" hidden="1" customHeight="1">
      <c r="A368" s="362" t="s">
        <v>519</v>
      </c>
      <c r="B368" s="329" t="str">
        <f t="shared" si="101"/>
        <v>Wireless coverage - Shared Internet Service - Wi-Fi FIFA</v>
      </c>
      <c r="C368" s="329" t="str">
        <f t="shared" si="100"/>
        <v>Network &amp; Connectivity</v>
      </c>
      <c r="D368" s="329" t="str">
        <f t="shared" si="106"/>
        <v/>
      </c>
      <c r="E368" s="329" t="str">
        <f t="shared" si="107"/>
        <v>General Internet Access</v>
      </c>
      <c r="F368" s="329" t="str">
        <f t="shared" si="108"/>
        <v>Wireless coverage - Shared Internet Service - FIFA</v>
      </c>
      <c r="G368" s="329" t="str">
        <f t="shared" si="109"/>
        <v>IS00WF - Wireless coverage - Shared Internet Service - Wi-Fi FIFA (General Internet Access)</v>
      </c>
      <c r="H368" s="269"/>
      <c r="I368" s="330">
        <f t="shared" si="110"/>
        <v>0</v>
      </c>
      <c r="J368" s="330">
        <f t="shared" si="110"/>
        <v>0</v>
      </c>
      <c r="K368" s="443">
        <v>1</v>
      </c>
      <c r="L368" s="330">
        <f t="shared" si="103"/>
        <v>0</v>
      </c>
      <c r="M368" s="330">
        <f t="shared" si="111"/>
        <v>0</v>
      </c>
      <c r="N368" s="447"/>
      <c r="O368" s="366" t="s">
        <v>511</v>
      </c>
      <c r="P368" s="367" t="s">
        <v>152</v>
      </c>
      <c r="Q368" s="366" t="s">
        <v>299</v>
      </c>
      <c r="R368" s="367" t="s">
        <v>316</v>
      </c>
      <c r="S368" s="367" t="s">
        <v>730</v>
      </c>
      <c r="T368" s="274" t="str">
        <f t="shared" si="102"/>
        <v>LOC SSOC</v>
      </c>
      <c r="U368" s="275"/>
      <c r="V368" s="368" t="s">
        <v>520</v>
      </c>
    </row>
    <row r="369" spans="1:22" s="276" customFormat="1" ht="15" hidden="1" customHeight="1">
      <c r="A369" s="362" t="s">
        <v>249</v>
      </c>
      <c r="B369" s="329" t="str">
        <f t="shared" si="101"/>
        <v>TV - Large - Standalone</v>
      </c>
      <c r="C369" s="329" t="str">
        <f t="shared" si="100"/>
        <v>Display Devices</v>
      </c>
      <c r="D369" s="329" t="str">
        <f t="shared" si="106"/>
        <v/>
      </c>
      <c r="E369" s="329" t="str">
        <f t="shared" si="107"/>
        <v/>
      </c>
      <c r="F369" s="329" t="str">
        <f t="shared" si="108"/>
        <v>Large TV - Standalone</v>
      </c>
      <c r="G369" s="329" t="str">
        <f t="shared" si="109"/>
        <v>TVLGSA - TV - Large - Standalone</v>
      </c>
      <c r="H369" s="269"/>
      <c r="I369" s="330">
        <f t="shared" si="110"/>
        <v>0</v>
      </c>
      <c r="J369" s="330">
        <f t="shared" si="110"/>
        <v>0</v>
      </c>
      <c r="K369" s="443">
        <v>1</v>
      </c>
      <c r="L369" s="330">
        <f t="shared" si="103"/>
        <v>0</v>
      </c>
      <c r="M369" s="330">
        <f t="shared" si="111"/>
        <v>0</v>
      </c>
      <c r="N369" s="447"/>
      <c r="O369" s="366" t="s">
        <v>511</v>
      </c>
      <c r="P369" s="367" t="s">
        <v>152</v>
      </c>
      <c r="Q369" s="366" t="s">
        <v>299</v>
      </c>
      <c r="R369" s="367" t="s">
        <v>319</v>
      </c>
      <c r="S369" s="367" t="s">
        <v>730</v>
      </c>
      <c r="T369" s="274" t="str">
        <f t="shared" si="102"/>
        <v>LOC SSOC</v>
      </c>
      <c r="U369" s="275"/>
      <c r="V369" s="368" t="s">
        <v>514</v>
      </c>
    </row>
    <row r="370" spans="1:22" s="276" customFormat="1" ht="15" hidden="1" customHeight="1">
      <c r="A370" s="362" t="s">
        <v>519</v>
      </c>
      <c r="B370" s="329" t="str">
        <f t="shared" si="101"/>
        <v>Wireless coverage - Shared Internet Service - Wi-Fi FIFA</v>
      </c>
      <c r="C370" s="329" t="str">
        <f t="shared" si="100"/>
        <v>Network &amp; Connectivity</v>
      </c>
      <c r="D370" s="329" t="str">
        <f t="shared" si="106"/>
        <v/>
      </c>
      <c r="E370" s="329" t="str">
        <f t="shared" si="107"/>
        <v>General Internet Access</v>
      </c>
      <c r="F370" s="329" t="str">
        <f t="shared" si="108"/>
        <v>Wireless coverage - Shared Internet Service - FIFA</v>
      </c>
      <c r="G370" s="329" t="str">
        <f t="shared" si="109"/>
        <v>IS00WF - Wireless coverage - Shared Internet Service - Wi-Fi FIFA (General Internet Access)</v>
      </c>
      <c r="H370" s="269"/>
      <c r="I370" s="330">
        <f t="shared" si="110"/>
        <v>0</v>
      </c>
      <c r="J370" s="330">
        <f t="shared" si="110"/>
        <v>0</v>
      </c>
      <c r="K370" s="443">
        <v>1</v>
      </c>
      <c r="L370" s="330">
        <f t="shared" si="103"/>
        <v>0</v>
      </c>
      <c r="M370" s="330">
        <f t="shared" si="111"/>
        <v>0</v>
      </c>
      <c r="N370" s="447"/>
      <c r="O370" s="366" t="s">
        <v>511</v>
      </c>
      <c r="P370" s="367" t="s">
        <v>152</v>
      </c>
      <c r="Q370" s="366" t="s">
        <v>299</v>
      </c>
      <c r="R370" s="367" t="s">
        <v>320</v>
      </c>
      <c r="S370" s="367" t="s">
        <v>730</v>
      </c>
      <c r="T370" s="274" t="str">
        <f t="shared" si="102"/>
        <v>LOC SSOC</v>
      </c>
      <c r="U370" s="275"/>
      <c r="V370" s="368" t="s">
        <v>520</v>
      </c>
    </row>
    <row r="371" spans="1:22" s="276" customFormat="1" ht="15" hidden="1" customHeight="1">
      <c r="A371" s="362" t="s">
        <v>519</v>
      </c>
      <c r="B371" s="329" t="str">
        <f t="shared" si="101"/>
        <v>Wireless coverage - Shared Internet Service - Wi-Fi FIFA</v>
      </c>
      <c r="C371" s="329" t="str">
        <f t="shared" si="100"/>
        <v>Network &amp; Connectivity</v>
      </c>
      <c r="D371" s="329" t="str">
        <f t="shared" si="106"/>
        <v/>
      </c>
      <c r="E371" s="329" t="str">
        <f t="shared" si="107"/>
        <v>General Internet Access</v>
      </c>
      <c r="F371" s="329" t="str">
        <f t="shared" si="108"/>
        <v>Wireless coverage - Shared Internet Service - FIFA</v>
      </c>
      <c r="G371" s="329" t="str">
        <f t="shared" si="109"/>
        <v>IS00WF - Wireless coverage - Shared Internet Service - Wi-Fi FIFA (General Internet Access)</v>
      </c>
      <c r="H371" s="269"/>
      <c r="I371" s="330">
        <f t="shared" ref="I371:J390" si="112">IF($A371="","",$K371*VLOOKUP($A371,ps_table,MATCH(I$2,ps_headers,0),FALSE))</f>
        <v>0</v>
      </c>
      <c r="J371" s="330">
        <f t="shared" si="112"/>
        <v>0</v>
      </c>
      <c r="K371" s="443">
        <v>1</v>
      </c>
      <c r="L371" s="330">
        <f t="shared" si="103"/>
        <v>0</v>
      </c>
      <c r="M371" s="330">
        <f t="shared" si="111"/>
        <v>0</v>
      </c>
      <c r="N371" s="447"/>
      <c r="O371" s="366" t="s">
        <v>511</v>
      </c>
      <c r="P371" s="367" t="s">
        <v>152</v>
      </c>
      <c r="Q371" s="366" t="s">
        <v>299</v>
      </c>
      <c r="R371" s="367" t="s">
        <v>317</v>
      </c>
      <c r="S371" s="367" t="s">
        <v>730</v>
      </c>
      <c r="T371" s="274" t="str">
        <f t="shared" si="102"/>
        <v>LOC SSOC</v>
      </c>
      <c r="U371" s="275"/>
      <c r="V371" s="368" t="s">
        <v>520</v>
      </c>
    </row>
    <row r="372" spans="1:22" s="276" customFormat="1" hidden="1">
      <c r="A372" s="362" t="s">
        <v>188</v>
      </c>
      <c r="B372" s="329" t="str">
        <f t="shared" si="101"/>
        <v>SIM - Data Only</v>
      </c>
      <c r="C372" s="329" t="str">
        <f t="shared" si="100"/>
        <v>Telephony</v>
      </c>
      <c r="D372" s="329" t="str">
        <f t="shared" si="106"/>
        <v/>
      </c>
      <c r="E372" s="329" t="str">
        <f t="shared" si="107"/>
        <v/>
      </c>
      <c r="F372" s="329" t="str">
        <f t="shared" si="108"/>
        <v>Local SIM Card - Data Only</v>
      </c>
      <c r="G372" s="329" t="str">
        <f t="shared" si="109"/>
        <v>SIMDAT - SIM - Data Only</v>
      </c>
      <c r="H372" s="269"/>
      <c r="I372" s="330">
        <f t="shared" si="112"/>
        <v>0</v>
      </c>
      <c r="J372" s="330">
        <f t="shared" si="112"/>
        <v>0</v>
      </c>
      <c r="K372" s="364">
        <v>0</v>
      </c>
      <c r="L372" s="330">
        <f t="shared" si="103"/>
        <v>0</v>
      </c>
      <c r="M372" s="330">
        <f t="shared" si="111"/>
        <v>0</v>
      </c>
      <c r="N372" s="447"/>
      <c r="O372" s="366" t="s">
        <v>511</v>
      </c>
      <c r="P372" s="367" t="s">
        <v>197</v>
      </c>
      <c r="Q372" s="366" t="s">
        <v>185</v>
      </c>
      <c r="R372" s="367" t="s">
        <v>322</v>
      </c>
      <c r="S372" s="367" t="s">
        <v>733</v>
      </c>
      <c r="T372" s="274" t="str">
        <f t="shared" si="102"/>
        <v>LOC Team Services</v>
      </c>
      <c r="U372" s="275" t="s">
        <v>722</v>
      </c>
      <c r="V372" s="368" t="s">
        <v>594</v>
      </c>
    </row>
    <row r="373" spans="1:22" s="276" customFormat="1" ht="15" hidden="1" customHeight="1">
      <c r="A373" s="362" t="s">
        <v>249</v>
      </c>
      <c r="B373" s="329" t="str">
        <f t="shared" si="101"/>
        <v>TV - Large - Standalone</v>
      </c>
      <c r="C373" s="329" t="str">
        <f t="shared" si="100"/>
        <v>Display Devices</v>
      </c>
      <c r="D373" s="329" t="str">
        <f t="shared" si="106"/>
        <v/>
      </c>
      <c r="E373" s="329" t="str">
        <f t="shared" si="107"/>
        <v/>
      </c>
      <c r="F373" s="329" t="str">
        <f t="shared" si="108"/>
        <v>Large TV - Standalone</v>
      </c>
      <c r="G373" s="329" t="str">
        <f t="shared" si="109"/>
        <v>TVLGSA - TV - Large - Standalone</v>
      </c>
      <c r="H373" s="269"/>
      <c r="I373" s="330">
        <f t="shared" si="112"/>
        <v>0</v>
      </c>
      <c r="J373" s="330">
        <f t="shared" si="112"/>
        <v>0</v>
      </c>
      <c r="K373" s="364">
        <v>1</v>
      </c>
      <c r="L373" s="330">
        <f t="shared" si="103"/>
        <v>0</v>
      </c>
      <c r="M373" s="330">
        <f t="shared" si="111"/>
        <v>0</v>
      </c>
      <c r="N373" s="447">
        <v>0</v>
      </c>
      <c r="O373" s="366" t="s">
        <v>511</v>
      </c>
      <c r="P373" s="367" t="s">
        <v>149</v>
      </c>
      <c r="Q373" s="366" t="s">
        <v>241</v>
      </c>
      <c r="R373" s="367" t="s">
        <v>326</v>
      </c>
      <c r="S373" s="367" t="s">
        <v>734</v>
      </c>
      <c r="T373" s="274" t="str">
        <f t="shared" si="102"/>
        <v>LOC Venue Management</v>
      </c>
      <c r="U373" s="275"/>
      <c r="V373" s="368" t="s">
        <v>514</v>
      </c>
    </row>
    <row r="374" spans="1:22" s="276" customFormat="1" hidden="1">
      <c r="A374" s="362" t="s">
        <v>329</v>
      </c>
      <c r="B374" s="329" t="str">
        <f t="shared" si="101"/>
        <v>24" Monitor - HDMI/DP</v>
      </c>
      <c r="C374" s="329" t="str">
        <f t="shared" si="100"/>
        <v>Peripherals</v>
      </c>
      <c r="D374" s="329" t="str">
        <f t="shared" si="106"/>
        <v/>
      </c>
      <c r="E374" s="329" t="str">
        <f t="shared" si="107"/>
        <v/>
      </c>
      <c r="F374" s="329" t="str">
        <f t="shared" si="108"/>
        <v>24" PC Monitor</v>
      </c>
      <c r="G374" s="329" t="str">
        <f t="shared" si="109"/>
        <v>DSKMNT - 24" Monitor - HDMI/DP</v>
      </c>
      <c r="H374" s="269"/>
      <c r="I374" s="330">
        <f t="shared" si="112"/>
        <v>0</v>
      </c>
      <c r="J374" s="330">
        <f t="shared" si="112"/>
        <v>0</v>
      </c>
      <c r="K374" s="364">
        <v>2</v>
      </c>
      <c r="L374" s="330">
        <f t="shared" si="103"/>
        <v>0</v>
      </c>
      <c r="M374" s="330">
        <f t="shared" si="111"/>
        <v>0</v>
      </c>
      <c r="N374" s="447">
        <v>0</v>
      </c>
      <c r="O374" s="366" t="s">
        <v>511</v>
      </c>
      <c r="P374" s="367" t="s">
        <v>149</v>
      </c>
      <c r="Q374" s="366" t="s">
        <v>241</v>
      </c>
      <c r="R374" s="367" t="s">
        <v>326</v>
      </c>
      <c r="S374" s="367" t="s">
        <v>734</v>
      </c>
      <c r="T374" s="274" t="str">
        <f t="shared" si="102"/>
        <v>LOC Venue Management</v>
      </c>
      <c r="U374" s="275"/>
      <c r="V374" s="368" t="s">
        <v>514</v>
      </c>
    </row>
    <row r="375" spans="1:22" s="276" customFormat="1" ht="15" hidden="1" customHeight="1">
      <c r="A375" s="362" t="s">
        <v>519</v>
      </c>
      <c r="B375" s="329" t="str">
        <f t="shared" si="101"/>
        <v>Wireless coverage - Shared Internet Service - Wi-Fi FIFA</v>
      </c>
      <c r="C375" s="329" t="str">
        <f t="shared" si="100"/>
        <v>Network &amp; Connectivity</v>
      </c>
      <c r="D375" s="329" t="str">
        <f t="shared" si="106"/>
        <v/>
      </c>
      <c r="E375" s="329" t="str">
        <f t="shared" si="107"/>
        <v>General Internet Access</v>
      </c>
      <c r="F375" s="329" t="str">
        <f t="shared" si="108"/>
        <v>Wireless coverage - Shared Internet Service - FIFA</v>
      </c>
      <c r="G375" s="329" t="str">
        <f t="shared" si="109"/>
        <v>IS00WF - Wireless coverage - Shared Internet Service - Wi-Fi FIFA (General Internet Access)</v>
      </c>
      <c r="H375" s="269"/>
      <c r="I375" s="330">
        <f t="shared" si="112"/>
        <v>0</v>
      </c>
      <c r="J375" s="330">
        <f t="shared" si="112"/>
        <v>0</v>
      </c>
      <c r="K375" s="364">
        <v>1</v>
      </c>
      <c r="L375" s="330">
        <f t="shared" si="103"/>
        <v>0</v>
      </c>
      <c r="M375" s="330">
        <f t="shared" si="111"/>
        <v>0</v>
      </c>
      <c r="N375" s="447"/>
      <c r="O375" s="366" t="s">
        <v>511</v>
      </c>
      <c r="P375" s="367" t="s">
        <v>149</v>
      </c>
      <c r="Q375" s="366" t="s">
        <v>241</v>
      </c>
      <c r="R375" s="367" t="s">
        <v>326</v>
      </c>
      <c r="S375" s="367" t="s">
        <v>734</v>
      </c>
      <c r="T375" s="274" t="str">
        <f t="shared" si="102"/>
        <v>LOC Venue Management</v>
      </c>
      <c r="U375" s="275"/>
      <c r="V375" s="368" t="s">
        <v>520</v>
      </c>
    </row>
    <row r="376" spans="1:22" s="276" customFormat="1" ht="15" hidden="1" customHeight="1">
      <c r="A376" s="362" t="s">
        <v>249</v>
      </c>
      <c r="B376" s="329" t="str">
        <f t="shared" si="101"/>
        <v>TV - Large - Standalone</v>
      </c>
      <c r="C376" s="329" t="str">
        <f t="shared" si="100"/>
        <v>Display Devices</v>
      </c>
      <c r="D376" s="329" t="str">
        <f t="shared" si="106"/>
        <v/>
      </c>
      <c r="E376" s="329" t="str">
        <f t="shared" si="107"/>
        <v/>
      </c>
      <c r="F376" s="329" t="str">
        <f t="shared" si="108"/>
        <v>Large TV - Standalone</v>
      </c>
      <c r="G376" s="329" t="str">
        <f t="shared" si="109"/>
        <v>TVLGSA - TV - Large - Standalone</v>
      </c>
      <c r="H376" s="269"/>
      <c r="I376" s="330">
        <f t="shared" si="112"/>
        <v>0</v>
      </c>
      <c r="J376" s="330">
        <f t="shared" si="112"/>
        <v>0</v>
      </c>
      <c r="K376" s="364">
        <v>1</v>
      </c>
      <c r="L376" s="330">
        <f t="shared" si="103"/>
        <v>0</v>
      </c>
      <c r="M376" s="330">
        <f t="shared" si="111"/>
        <v>0</v>
      </c>
      <c r="N376" s="447">
        <v>0</v>
      </c>
      <c r="O376" s="366" t="s">
        <v>511</v>
      </c>
      <c r="P376" s="367" t="s">
        <v>149</v>
      </c>
      <c r="Q376" s="366" t="s">
        <v>241</v>
      </c>
      <c r="R376" s="367" t="s">
        <v>331</v>
      </c>
      <c r="S376" s="367" t="s">
        <v>734</v>
      </c>
      <c r="T376" s="274" t="str">
        <f t="shared" si="102"/>
        <v>LOC Venue Management</v>
      </c>
      <c r="U376" s="275"/>
      <c r="V376" s="368" t="s">
        <v>514</v>
      </c>
    </row>
    <row r="377" spans="1:22" s="276" customFormat="1" ht="15" hidden="1" customHeight="1">
      <c r="A377" s="362" t="s">
        <v>249</v>
      </c>
      <c r="B377" s="329" t="str">
        <f t="shared" si="101"/>
        <v>TV - Large - Standalone</v>
      </c>
      <c r="C377" s="329" t="str">
        <f t="shared" si="100"/>
        <v>Display Devices</v>
      </c>
      <c r="D377" s="329" t="str">
        <f t="shared" si="106"/>
        <v/>
      </c>
      <c r="E377" s="329" t="str">
        <f t="shared" si="107"/>
        <v/>
      </c>
      <c r="F377" s="329" t="str">
        <f t="shared" si="108"/>
        <v>Large TV - Standalone</v>
      </c>
      <c r="G377" s="329" t="str">
        <f t="shared" si="109"/>
        <v>TVLGSA - TV - Large - Standalone</v>
      </c>
      <c r="H377" s="269"/>
      <c r="I377" s="330">
        <f t="shared" si="112"/>
        <v>0</v>
      </c>
      <c r="J377" s="330">
        <f t="shared" si="112"/>
        <v>0</v>
      </c>
      <c r="K377" s="364">
        <v>2</v>
      </c>
      <c r="L377" s="330">
        <f t="shared" si="103"/>
        <v>0</v>
      </c>
      <c r="M377" s="330">
        <f t="shared" si="111"/>
        <v>0</v>
      </c>
      <c r="N377" s="447">
        <v>0</v>
      </c>
      <c r="O377" s="366" t="s">
        <v>511</v>
      </c>
      <c r="P377" s="367" t="s">
        <v>149</v>
      </c>
      <c r="Q377" s="366" t="s">
        <v>241</v>
      </c>
      <c r="R377" s="367" t="s">
        <v>332</v>
      </c>
      <c r="S377" s="367" t="s">
        <v>734</v>
      </c>
      <c r="T377" s="274" t="str">
        <f t="shared" si="102"/>
        <v>LOC Venue Management</v>
      </c>
      <c r="U377" s="275"/>
      <c r="V377" s="368" t="s">
        <v>514</v>
      </c>
    </row>
    <row r="378" spans="1:22" s="276" customFormat="1" hidden="1">
      <c r="A378" s="362" t="s">
        <v>329</v>
      </c>
      <c r="B378" s="329" t="str">
        <f t="shared" si="101"/>
        <v>24" Monitor - HDMI/DP</v>
      </c>
      <c r="C378" s="329" t="str">
        <f t="shared" si="100"/>
        <v>Peripherals</v>
      </c>
      <c r="D378" s="329" t="str">
        <f t="shared" si="106"/>
        <v/>
      </c>
      <c r="E378" s="329" t="str">
        <f t="shared" si="107"/>
        <v/>
      </c>
      <c r="F378" s="329" t="str">
        <f t="shared" si="108"/>
        <v>24" PC Monitor</v>
      </c>
      <c r="G378" s="329" t="str">
        <f t="shared" si="109"/>
        <v>DSKMNT - 24" Monitor - HDMI/DP</v>
      </c>
      <c r="H378" s="269"/>
      <c r="I378" s="330">
        <f t="shared" si="112"/>
        <v>0</v>
      </c>
      <c r="J378" s="330">
        <f t="shared" si="112"/>
        <v>0</v>
      </c>
      <c r="K378" s="364">
        <v>6</v>
      </c>
      <c r="L378" s="330">
        <f t="shared" si="103"/>
        <v>0</v>
      </c>
      <c r="M378" s="330">
        <f t="shared" si="111"/>
        <v>0</v>
      </c>
      <c r="N378" s="447">
        <v>0</v>
      </c>
      <c r="O378" s="366" t="s">
        <v>511</v>
      </c>
      <c r="P378" s="367" t="s">
        <v>149</v>
      </c>
      <c r="Q378" s="366" t="s">
        <v>241</v>
      </c>
      <c r="R378" s="367" t="s">
        <v>332</v>
      </c>
      <c r="S378" s="367" t="s">
        <v>734</v>
      </c>
      <c r="T378" s="274" t="str">
        <f t="shared" si="102"/>
        <v>LOC Venue Management</v>
      </c>
      <c r="U378" s="275"/>
      <c r="V378" s="368" t="s">
        <v>514</v>
      </c>
    </row>
    <row r="379" spans="1:22" s="276" customFormat="1" hidden="1">
      <c r="A379" s="362" t="s">
        <v>207</v>
      </c>
      <c r="B379" s="329" t="str">
        <f t="shared" si="101"/>
        <v>MFD Large - Colour - A3 - Network</v>
      </c>
      <c r="C379" s="329" t="str">
        <f t="shared" si="100"/>
        <v>Reprographics</v>
      </c>
      <c r="D379" s="329" t="str">
        <f t="shared" si="106"/>
        <v/>
      </c>
      <c r="E379" s="329" t="str">
        <f t="shared" si="107"/>
        <v>General Internet Access</v>
      </c>
      <c r="F379" s="329" t="str">
        <f t="shared" si="108"/>
        <v>Large Colour Printer / Scanner (A3)</v>
      </c>
      <c r="G379" s="329" t="str">
        <f t="shared" si="109"/>
        <v>MFDLNW - MFD Large - Colour - A3 - Network (General Internet Access)</v>
      </c>
      <c r="H379" s="269"/>
      <c r="I379" s="330">
        <f t="shared" si="112"/>
        <v>1</v>
      </c>
      <c r="J379" s="330">
        <f t="shared" si="112"/>
        <v>0</v>
      </c>
      <c r="K379" s="364">
        <v>1</v>
      </c>
      <c r="L379" s="330">
        <f t="shared" si="103"/>
        <v>1</v>
      </c>
      <c r="M379" s="330">
        <f t="shared" si="111"/>
        <v>0</v>
      </c>
      <c r="N379" s="447">
        <v>0</v>
      </c>
      <c r="O379" s="366" t="s">
        <v>511</v>
      </c>
      <c r="P379" s="367" t="s">
        <v>149</v>
      </c>
      <c r="Q379" s="366" t="s">
        <v>241</v>
      </c>
      <c r="R379" s="367" t="s">
        <v>332</v>
      </c>
      <c r="S379" s="367" t="s">
        <v>734</v>
      </c>
      <c r="T379" s="274" t="str">
        <f t="shared" si="102"/>
        <v>LOC Venue Management</v>
      </c>
      <c r="U379" s="275" t="s">
        <v>735</v>
      </c>
      <c r="V379" s="368" t="s">
        <v>514</v>
      </c>
    </row>
    <row r="380" spans="1:22" s="276" customFormat="1" hidden="1">
      <c r="A380" s="362" t="s">
        <v>237</v>
      </c>
      <c r="B380" s="329" t="str">
        <f t="shared" si="101"/>
        <v>TV - Large - IPTV</v>
      </c>
      <c r="C380" s="329" t="str">
        <f t="shared" si="100"/>
        <v>CATV</v>
      </c>
      <c r="D380" s="329" t="str">
        <f t="shared" si="106"/>
        <v/>
      </c>
      <c r="E380" s="329" t="str">
        <f t="shared" si="107"/>
        <v/>
      </c>
      <c r="F380" s="329" t="str">
        <f t="shared" si="108"/>
        <v>Large TV - CATV Feed</v>
      </c>
      <c r="G380" s="329" t="str">
        <f t="shared" si="109"/>
        <v>TVLGIP - TV - Large - IPTV</v>
      </c>
      <c r="H380" s="269"/>
      <c r="I380" s="330">
        <f t="shared" si="112"/>
        <v>1</v>
      </c>
      <c r="J380" s="330">
        <f t="shared" si="112"/>
        <v>0</v>
      </c>
      <c r="K380" s="439">
        <v>1</v>
      </c>
      <c r="L380" s="330">
        <f t="shared" si="103"/>
        <v>1</v>
      </c>
      <c r="M380" s="330">
        <f t="shared" si="111"/>
        <v>0</v>
      </c>
      <c r="N380" s="447">
        <v>0</v>
      </c>
      <c r="O380" s="366" t="s">
        <v>511</v>
      </c>
      <c r="P380" s="367" t="s">
        <v>149</v>
      </c>
      <c r="Q380" s="366" t="s">
        <v>335</v>
      </c>
      <c r="R380" s="367" t="s">
        <v>336</v>
      </c>
      <c r="S380" s="367" t="s">
        <v>734</v>
      </c>
      <c r="T380" s="274" t="str">
        <f t="shared" si="102"/>
        <v>LOC Venue Management</v>
      </c>
      <c r="U380" s="275"/>
      <c r="V380" s="368" t="s">
        <v>247</v>
      </c>
    </row>
    <row r="381" spans="1:22" s="276" customFormat="1" ht="15" hidden="1" customHeight="1">
      <c r="A381" s="362" t="s">
        <v>249</v>
      </c>
      <c r="B381" s="329" t="str">
        <f t="shared" si="101"/>
        <v>TV - Large - Standalone</v>
      </c>
      <c r="C381" s="329" t="str">
        <f t="shared" si="100"/>
        <v>Display Devices</v>
      </c>
      <c r="D381" s="329" t="str">
        <f t="shared" si="106"/>
        <v/>
      </c>
      <c r="E381" s="329" t="str">
        <f t="shared" si="107"/>
        <v/>
      </c>
      <c r="F381" s="329" t="str">
        <f t="shared" si="108"/>
        <v>Large TV - Standalone</v>
      </c>
      <c r="G381" s="329" t="str">
        <f t="shared" si="109"/>
        <v>TVLGSA - TV - Large - Standalone</v>
      </c>
      <c r="H381" s="269"/>
      <c r="I381" s="330">
        <f t="shared" si="112"/>
        <v>0</v>
      </c>
      <c r="J381" s="330">
        <f t="shared" si="112"/>
        <v>0</v>
      </c>
      <c r="K381" s="364">
        <v>1</v>
      </c>
      <c r="L381" s="330">
        <f t="shared" si="103"/>
        <v>0</v>
      </c>
      <c r="M381" s="330">
        <f t="shared" si="111"/>
        <v>0</v>
      </c>
      <c r="N381" s="447">
        <v>0</v>
      </c>
      <c r="O381" s="366" t="s">
        <v>511</v>
      </c>
      <c r="P381" s="367" t="s">
        <v>149</v>
      </c>
      <c r="Q381" s="366" t="s">
        <v>335</v>
      </c>
      <c r="R381" s="367" t="s">
        <v>336</v>
      </c>
      <c r="S381" s="367" t="s">
        <v>734</v>
      </c>
      <c r="T381" s="274" t="str">
        <f t="shared" si="102"/>
        <v>LOC Venue Management</v>
      </c>
      <c r="U381" s="275"/>
      <c r="V381" s="368" t="s">
        <v>514</v>
      </c>
    </row>
    <row r="382" spans="1:22" s="276" customFormat="1" hidden="1">
      <c r="A382" s="362" t="s">
        <v>202</v>
      </c>
      <c r="B382" s="329" t="str">
        <f t="shared" si="101"/>
        <v>MFD Desktop - Colour - A4 - Network</v>
      </c>
      <c r="C382" s="329" t="str">
        <f t="shared" si="100"/>
        <v>Reprographics</v>
      </c>
      <c r="D382" s="329" t="str">
        <f t="shared" si="106"/>
        <v/>
      </c>
      <c r="E382" s="329" t="str">
        <f t="shared" si="107"/>
        <v>General Internet Access</v>
      </c>
      <c r="F382" s="329" t="str">
        <f t="shared" si="108"/>
        <v>Colour Printer / Scanner (A4)</v>
      </c>
      <c r="G382" s="329" t="str">
        <f t="shared" si="109"/>
        <v>MFDDNW - MFD Desktop - Colour - A4 - Network (General Internet Access)</v>
      </c>
      <c r="H382" s="269"/>
      <c r="I382" s="330">
        <f t="shared" si="112"/>
        <v>1</v>
      </c>
      <c r="J382" s="330">
        <f t="shared" si="112"/>
        <v>0</v>
      </c>
      <c r="K382" s="364">
        <v>1</v>
      </c>
      <c r="L382" s="330">
        <f t="shared" si="103"/>
        <v>1</v>
      </c>
      <c r="M382" s="330">
        <f t="shared" si="111"/>
        <v>0</v>
      </c>
      <c r="N382" s="447">
        <v>0</v>
      </c>
      <c r="O382" s="366" t="s">
        <v>511</v>
      </c>
      <c r="P382" s="367" t="s">
        <v>149</v>
      </c>
      <c r="Q382" s="366" t="s">
        <v>335</v>
      </c>
      <c r="R382" s="367" t="s">
        <v>336</v>
      </c>
      <c r="S382" s="367" t="s">
        <v>734</v>
      </c>
      <c r="T382" s="274" t="str">
        <f t="shared" si="102"/>
        <v>LOC Venue Management</v>
      </c>
      <c r="U382" s="275"/>
      <c r="V382" s="368" t="s">
        <v>514</v>
      </c>
    </row>
    <row r="383" spans="1:22" s="276" customFormat="1" ht="15" hidden="1" customHeight="1">
      <c r="A383" s="362" t="s">
        <v>519</v>
      </c>
      <c r="B383" s="329" t="str">
        <f t="shared" si="101"/>
        <v>Wireless coverage - Shared Internet Service - Wi-Fi FIFA</v>
      </c>
      <c r="C383" s="329" t="str">
        <f t="shared" si="100"/>
        <v>Network &amp; Connectivity</v>
      </c>
      <c r="D383" s="329" t="str">
        <f t="shared" ref="D383:D415" si="113">IF(OR($A383="",$O383&lt;&gt;"FIFA Event Technology"),"",IF(VLOOKUP($A383,ps_table,MATCH(D$2,ps_headers,0),FALSE)&lt;&gt;"",VLOOKUP($A383,ps_table,MATCH(D$2,ps_headers,0),FALSE),""))</f>
        <v/>
      </c>
      <c r="E383" s="329" t="str">
        <f t="shared" ref="E383:E415" si="114">IF($A383="","",IF(VLOOKUP($A383,ps_table,MATCH(E$2,ps_headers,0),FALSE)&lt;&gt;"",VLOOKUP($A383,ps_table,MATCH(E$2,ps_headers,0),FALSE),""))</f>
        <v>General Internet Access</v>
      </c>
      <c r="F383" s="329" t="str">
        <f t="shared" ref="F383:F415" si="115">IF($A383="","",VLOOKUP($A383,ps_table,MATCH(F$2,ps_headers,0),FALSE))</f>
        <v>Wireless coverage - Shared Internet Service - FIFA</v>
      </c>
      <c r="G383" s="329" t="str">
        <f t="shared" ref="G383:G415" si="116">IF($A383="","",IF(E383&lt;&gt;"",A383&amp;" - "&amp;B383&amp;" ("&amp;E383&amp;")",A383&amp;" - "&amp;B383))</f>
        <v>IS00WF - Wireless coverage - Shared Internet Service - Wi-Fi FIFA (General Internet Access)</v>
      </c>
      <c r="H383" s="269"/>
      <c r="I383" s="330">
        <f t="shared" si="112"/>
        <v>0</v>
      </c>
      <c r="J383" s="330">
        <f t="shared" si="112"/>
        <v>0</v>
      </c>
      <c r="K383" s="364">
        <v>1</v>
      </c>
      <c r="L383" s="330">
        <f t="shared" si="103"/>
        <v>0</v>
      </c>
      <c r="M383" s="330">
        <f t="shared" si="111"/>
        <v>0</v>
      </c>
      <c r="N383" s="447"/>
      <c r="O383" s="366" t="s">
        <v>511</v>
      </c>
      <c r="P383" s="367" t="s">
        <v>149</v>
      </c>
      <c r="Q383" s="366" t="s">
        <v>335</v>
      </c>
      <c r="R383" s="367" t="s">
        <v>336</v>
      </c>
      <c r="S383" s="367" t="s">
        <v>734</v>
      </c>
      <c r="T383" s="274" t="str">
        <f t="shared" si="102"/>
        <v>LOC Venue Management</v>
      </c>
      <c r="U383" s="275"/>
      <c r="V383" s="368" t="s">
        <v>520</v>
      </c>
    </row>
    <row r="384" spans="1:22" s="276" customFormat="1" ht="15" hidden="1" customHeight="1">
      <c r="A384" s="362" t="s">
        <v>249</v>
      </c>
      <c r="B384" s="329" t="str">
        <f t="shared" si="101"/>
        <v>TV - Large - Standalone</v>
      </c>
      <c r="C384" s="329" t="str">
        <f t="shared" si="100"/>
        <v>Display Devices</v>
      </c>
      <c r="D384" s="329" t="str">
        <f t="shared" si="113"/>
        <v/>
      </c>
      <c r="E384" s="329" t="str">
        <f t="shared" si="114"/>
        <v/>
      </c>
      <c r="F384" s="329" t="str">
        <f t="shared" si="115"/>
        <v>Large TV - Standalone</v>
      </c>
      <c r="G384" s="329" t="str">
        <f t="shared" si="116"/>
        <v>TVLGSA - TV - Large - Standalone</v>
      </c>
      <c r="H384" s="269"/>
      <c r="I384" s="330">
        <f t="shared" si="112"/>
        <v>0</v>
      </c>
      <c r="J384" s="330">
        <f t="shared" si="112"/>
        <v>0</v>
      </c>
      <c r="K384" s="364">
        <v>1</v>
      </c>
      <c r="L384" s="330">
        <f t="shared" si="103"/>
        <v>0</v>
      </c>
      <c r="M384" s="330">
        <f t="shared" si="111"/>
        <v>0</v>
      </c>
      <c r="N384" s="447">
        <v>0</v>
      </c>
      <c r="O384" s="366" t="s">
        <v>511</v>
      </c>
      <c r="P384" s="367" t="s">
        <v>149</v>
      </c>
      <c r="Q384" s="366" t="s">
        <v>281</v>
      </c>
      <c r="R384" s="367" t="s">
        <v>332</v>
      </c>
      <c r="S384" s="367" t="s">
        <v>734</v>
      </c>
      <c r="T384" s="274" t="str">
        <f t="shared" si="102"/>
        <v>LOC Venue Management</v>
      </c>
      <c r="U384" s="275"/>
      <c r="V384" s="368" t="s">
        <v>514</v>
      </c>
    </row>
    <row r="385" spans="1:22" s="276" customFormat="1" hidden="1">
      <c r="A385" s="362" t="s">
        <v>237</v>
      </c>
      <c r="B385" s="329" t="str">
        <f t="shared" si="101"/>
        <v>TV - Large - IPTV</v>
      </c>
      <c r="C385" s="329" t="str">
        <f t="shared" ref="C385:C448" si="117">IF($A385="","",VLOOKUP($A385,ps_table,MATCH(C$2,ps_headers,0),FALSE))</f>
        <v>CATV</v>
      </c>
      <c r="D385" s="329" t="str">
        <f t="shared" si="113"/>
        <v/>
      </c>
      <c r="E385" s="329" t="str">
        <f t="shared" si="114"/>
        <v/>
      </c>
      <c r="F385" s="329" t="str">
        <f t="shared" si="115"/>
        <v>Large TV - CATV Feed</v>
      </c>
      <c r="G385" s="329" t="str">
        <f t="shared" si="116"/>
        <v>TVLGIP - TV - Large - IPTV</v>
      </c>
      <c r="H385" s="269"/>
      <c r="I385" s="330">
        <f t="shared" si="112"/>
        <v>1</v>
      </c>
      <c r="J385" s="330">
        <f t="shared" si="112"/>
        <v>0</v>
      </c>
      <c r="K385" s="439">
        <v>1</v>
      </c>
      <c r="L385" s="330">
        <f t="shared" si="103"/>
        <v>1</v>
      </c>
      <c r="M385" s="330">
        <f t="shared" si="111"/>
        <v>0</v>
      </c>
      <c r="N385" s="447">
        <v>0</v>
      </c>
      <c r="O385" s="366" t="s">
        <v>511</v>
      </c>
      <c r="P385" s="367" t="s">
        <v>149</v>
      </c>
      <c r="Q385" s="366" t="s">
        <v>281</v>
      </c>
      <c r="R385" s="367" t="s">
        <v>332</v>
      </c>
      <c r="S385" s="367" t="s">
        <v>734</v>
      </c>
      <c r="T385" s="274" t="str">
        <f t="shared" si="102"/>
        <v>LOC Venue Management</v>
      </c>
      <c r="U385" s="275"/>
      <c r="V385" s="368" t="s">
        <v>247</v>
      </c>
    </row>
    <row r="386" spans="1:22" s="276" customFormat="1" hidden="1">
      <c r="A386" s="362" t="s">
        <v>329</v>
      </c>
      <c r="B386" s="329" t="str">
        <f t="shared" ref="B386:B449" si="118">IF($A386="","",VLOOKUP($A386,ps_table,MATCH(B$2,ps_headers,0),FALSE))</f>
        <v>24" Monitor - HDMI/DP</v>
      </c>
      <c r="C386" s="329" t="str">
        <f t="shared" si="117"/>
        <v>Peripherals</v>
      </c>
      <c r="D386" s="329" t="str">
        <f t="shared" si="113"/>
        <v/>
      </c>
      <c r="E386" s="329" t="str">
        <f t="shared" si="114"/>
        <v/>
      </c>
      <c r="F386" s="329" t="str">
        <f t="shared" si="115"/>
        <v>24" PC Monitor</v>
      </c>
      <c r="G386" s="329" t="str">
        <f t="shared" si="116"/>
        <v>DSKMNT - 24" Monitor - HDMI/DP</v>
      </c>
      <c r="H386" s="269"/>
      <c r="I386" s="330">
        <f t="shared" si="112"/>
        <v>0</v>
      </c>
      <c r="J386" s="330">
        <f t="shared" si="112"/>
        <v>0</v>
      </c>
      <c r="K386" s="364">
        <v>6</v>
      </c>
      <c r="L386" s="330">
        <f t="shared" si="103"/>
        <v>0</v>
      </c>
      <c r="M386" s="330">
        <f t="shared" si="111"/>
        <v>0</v>
      </c>
      <c r="N386" s="447">
        <v>0</v>
      </c>
      <c r="O386" s="366" t="s">
        <v>511</v>
      </c>
      <c r="P386" s="367" t="s">
        <v>149</v>
      </c>
      <c r="Q386" s="366" t="s">
        <v>281</v>
      </c>
      <c r="R386" s="367" t="s">
        <v>332</v>
      </c>
      <c r="S386" s="367" t="s">
        <v>734</v>
      </c>
      <c r="T386" s="274" t="str">
        <f t="shared" si="102"/>
        <v>LOC Venue Management</v>
      </c>
      <c r="U386" s="275"/>
      <c r="V386" s="368" t="s">
        <v>514</v>
      </c>
    </row>
    <row r="387" spans="1:22" s="276" customFormat="1" hidden="1">
      <c r="A387" s="362" t="s">
        <v>207</v>
      </c>
      <c r="B387" s="329" t="str">
        <f t="shared" si="118"/>
        <v>MFD Large - Colour - A3 - Network</v>
      </c>
      <c r="C387" s="329" t="str">
        <f t="shared" si="117"/>
        <v>Reprographics</v>
      </c>
      <c r="D387" s="329" t="str">
        <f t="shared" si="113"/>
        <v/>
      </c>
      <c r="E387" s="329" t="str">
        <f t="shared" si="114"/>
        <v>General Internet Access</v>
      </c>
      <c r="F387" s="329" t="str">
        <f t="shared" si="115"/>
        <v>Large Colour Printer / Scanner (A3)</v>
      </c>
      <c r="G387" s="329" t="str">
        <f t="shared" si="116"/>
        <v>MFDLNW - MFD Large - Colour - A3 - Network (General Internet Access)</v>
      </c>
      <c r="H387" s="269"/>
      <c r="I387" s="330">
        <f t="shared" si="112"/>
        <v>1</v>
      </c>
      <c r="J387" s="330">
        <f t="shared" si="112"/>
        <v>0</v>
      </c>
      <c r="K387" s="364">
        <v>1</v>
      </c>
      <c r="L387" s="330">
        <f t="shared" si="103"/>
        <v>1</v>
      </c>
      <c r="M387" s="330">
        <f t="shared" si="111"/>
        <v>0</v>
      </c>
      <c r="N387" s="447">
        <v>0</v>
      </c>
      <c r="O387" s="366" t="s">
        <v>511</v>
      </c>
      <c r="P387" s="367" t="s">
        <v>149</v>
      </c>
      <c r="Q387" s="366" t="s">
        <v>281</v>
      </c>
      <c r="R387" s="367" t="s">
        <v>332</v>
      </c>
      <c r="S387" s="367" t="s">
        <v>734</v>
      </c>
      <c r="T387" s="274" t="str">
        <f t="shared" ref="T387:T450" si="119">IF(S387="","",S387)</f>
        <v>LOC Venue Management</v>
      </c>
      <c r="U387" s="275"/>
      <c r="V387" s="368" t="s">
        <v>514</v>
      </c>
    </row>
    <row r="388" spans="1:22" s="276" customFormat="1" ht="15" hidden="1" customHeight="1">
      <c r="A388" s="362" t="s">
        <v>591</v>
      </c>
      <c r="B388" s="329" t="str">
        <f t="shared" si="118"/>
        <v>Laptop - FIFA Event Build</v>
      </c>
      <c r="C388" s="329" t="str">
        <f t="shared" si="117"/>
        <v>FIFA IT Hardware</v>
      </c>
      <c r="D388" s="329" t="str">
        <f t="shared" si="113"/>
        <v/>
      </c>
      <c r="E388" s="329" t="str">
        <f t="shared" si="114"/>
        <v/>
      </c>
      <c r="F388" s="329" t="str">
        <f t="shared" si="115"/>
        <v>FIFA Laptop</v>
      </c>
      <c r="G388" s="329" t="str">
        <f t="shared" si="116"/>
        <v>LAPEVT - Laptop - FIFA Event Build</v>
      </c>
      <c r="H388" s="269"/>
      <c r="I388" s="330">
        <f t="shared" si="112"/>
        <v>0</v>
      </c>
      <c r="J388" s="330">
        <f t="shared" si="112"/>
        <v>0</v>
      </c>
      <c r="K388" s="364">
        <v>3</v>
      </c>
      <c r="L388" s="330">
        <f t="shared" si="103"/>
        <v>0</v>
      </c>
      <c r="M388" s="330">
        <f t="shared" si="111"/>
        <v>0</v>
      </c>
      <c r="N388" s="447"/>
      <c r="O388" s="366" t="s">
        <v>511</v>
      </c>
      <c r="P388" s="367" t="s">
        <v>152</v>
      </c>
      <c r="Q388" s="366" t="s">
        <v>341</v>
      </c>
      <c r="R388" s="367" t="s">
        <v>342</v>
      </c>
      <c r="S388" s="367" t="s">
        <v>736</v>
      </c>
      <c r="T388" s="274" t="str">
        <f t="shared" si="119"/>
        <v>LOC Workforce</v>
      </c>
      <c r="U388" s="275" t="s">
        <v>343</v>
      </c>
      <c r="V388" s="368" t="s">
        <v>514</v>
      </c>
    </row>
    <row r="389" spans="1:22" s="276" customFormat="1" hidden="1">
      <c r="A389" s="362" t="s">
        <v>216</v>
      </c>
      <c r="B389" s="329" t="str">
        <f t="shared" si="118"/>
        <v>Barcode scanner</v>
      </c>
      <c r="C389" s="329" t="str">
        <f t="shared" si="117"/>
        <v>Peripherals</v>
      </c>
      <c r="D389" s="329" t="str">
        <f t="shared" si="113"/>
        <v/>
      </c>
      <c r="E389" s="329" t="str">
        <f t="shared" si="114"/>
        <v/>
      </c>
      <c r="F389" s="329" t="str">
        <f t="shared" si="115"/>
        <v>Barcode scanner</v>
      </c>
      <c r="G389" s="329" t="str">
        <f t="shared" si="116"/>
        <v>ACCBAR - Barcode scanner</v>
      </c>
      <c r="H389" s="269"/>
      <c r="I389" s="330">
        <f t="shared" si="112"/>
        <v>0</v>
      </c>
      <c r="J389" s="330">
        <f t="shared" si="112"/>
        <v>0</v>
      </c>
      <c r="K389" s="364">
        <v>3</v>
      </c>
      <c r="L389" s="330">
        <f t="shared" si="103"/>
        <v>0</v>
      </c>
      <c r="M389" s="330">
        <f t="shared" si="111"/>
        <v>0</v>
      </c>
      <c r="N389" s="447"/>
      <c r="O389" s="366" t="s">
        <v>511</v>
      </c>
      <c r="P389" s="367" t="s">
        <v>152</v>
      </c>
      <c r="Q389" s="366" t="s">
        <v>341</v>
      </c>
      <c r="R389" s="367" t="s">
        <v>345</v>
      </c>
      <c r="S389" s="367" t="s">
        <v>736</v>
      </c>
      <c r="T389" s="274" t="str">
        <f t="shared" si="119"/>
        <v>LOC Workforce</v>
      </c>
      <c r="U389" s="275" t="s">
        <v>343</v>
      </c>
      <c r="V389" s="368" t="s">
        <v>514</v>
      </c>
    </row>
    <row r="390" spans="1:22" s="276" customFormat="1" hidden="1">
      <c r="A390" s="362" t="s">
        <v>329</v>
      </c>
      <c r="B390" s="329" t="str">
        <f t="shared" si="118"/>
        <v>24" Monitor - HDMI/DP</v>
      </c>
      <c r="C390" s="329" t="str">
        <f t="shared" si="117"/>
        <v>Peripherals</v>
      </c>
      <c r="D390" s="329" t="str">
        <f t="shared" si="113"/>
        <v/>
      </c>
      <c r="E390" s="329" t="str">
        <f t="shared" si="114"/>
        <v/>
      </c>
      <c r="F390" s="329" t="str">
        <f t="shared" si="115"/>
        <v>24" PC Monitor</v>
      </c>
      <c r="G390" s="329" t="str">
        <f t="shared" si="116"/>
        <v>DSKMNT - 24" Monitor - HDMI/DP</v>
      </c>
      <c r="H390" s="269"/>
      <c r="I390" s="330">
        <f t="shared" si="112"/>
        <v>0</v>
      </c>
      <c r="J390" s="330">
        <f t="shared" si="112"/>
        <v>0</v>
      </c>
      <c r="K390" s="364">
        <v>0</v>
      </c>
      <c r="L390" s="330">
        <f t="shared" ref="L390:L453" si="120">IF($A390="","",$K390*VLOOKUP($A390,ps_table,MATCH(L$2,ps_headers,0),FALSE))</f>
        <v>0</v>
      </c>
      <c r="M390" s="330">
        <f t="shared" si="111"/>
        <v>0</v>
      </c>
      <c r="N390" s="447"/>
      <c r="O390" s="366" t="s">
        <v>511</v>
      </c>
      <c r="P390" s="367" t="s">
        <v>152</v>
      </c>
      <c r="Q390" s="366" t="s">
        <v>341</v>
      </c>
      <c r="R390" s="367" t="s">
        <v>345</v>
      </c>
      <c r="S390" s="367" t="s">
        <v>736</v>
      </c>
      <c r="T390" s="274" t="str">
        <f t="shared" si="119"/>
        <v>LOC Workforce</v>
      </c>
      <c r="U390" s="275" t="s">
        <v>346</v>
      </c>
      <c r="V390" s="368" t="s">
        <v>514</v>
      </c>
    </row>
    <row r="391" spans="1:22" s="276" customFormat="1" hidden="1">
      <c r="A391" s="362" t="s">
        <v>349</v>
      </c>
      <c r="B391" s="329" t="str">
        <f t="shared" si="118"/>
        <v>Portable Speaker</v>
      </c>
      <c r="C391" s="329" t="str">
        <f t="shared" si="117"/>
        <v>Peripherals</v>
      </c>
      <c r="D391" s="329" t="str">
        <f t="shared" si="113"/>
        <v/>
      </c>
      <c r="E391" s="329" t="str">
        <f t="shared" si="114"/>
        <v/>
      </c>
      <c r="F391" s="329" t="str">
        <f t="shared" si="115"/>
        <v>Portable Speaker</v>
      </c>
      <c r="G391" s="329" t="str">
        <f t="shared" si="116"/>
        <v>PORSPE - Portable Speaker</v>
      </c>
      <c r="H391" s="269"/>
      <c r="I391" s="330">
        <f t="shared" ref="I391:J415" si="121">IF($A391="","",$K391*VLOOKUP($A391,ps_table,MATCH(I$2,ps_headers,0),FALSE))</f>
        <v>0</v>
      </c>
      <c r="J391" s="330">
        <f t="shared" si="121"/>
        <v>0</v>
      </c>
      <c r="K391" s="364">
        <v>1</v>
      </c>
      <c r="L391" s="330">
        <f t="shared" si="120"/>
        <v>0</v>
      </c>
      <c r="M391" s="330">
        <f t="shared" si="111"/>
        <v>0</v>
      </c>
      <c r="N391" s="447"/>
      <c r="O391" s="366" t="s">
        <v>511</v>
      </c>
      <c r="P391" s="367" t="s">
        <v>152</v>
      </c>
      <c r="Q391" s="366" t="s">
        <v>341</v>
      </c>
      <c r="R391" s="367" t="s">
        <v>347</v>
      </c>
      <c r="S391" s="367" t="s">
        <v>736</v>
      </c>
      <c r="T391" s="274" t="str">
        <f t="shared" si="119"/>
        <v>LOC Workforce</v>
      </c>
      <c r="U391" s="275" t="s">
        <v>350</v>
      </c>
      <c r="V391" s="368" t="s">
        <v>514</v>
      </c>
    </row>
    <row r="392" spans="1:22" s="276" customFormat="1" ht="15" hidden="1" customHeight="1">
      <c r="A392" s="362" t="s">
        <v>249</v>
      </c>
      <c r="B392" s="329" t="str">
        <f t="shared" si="118"/>
        <v>TV - Large - Standalone</v>
      </c>
      <c r="C392" s="329" t="str">
        <f t="shared" si="117"/>
        <v>Display Devices</v>
      </c>
      <c r="D392" s="329" t="str">
        <f t="shared" si="113"/>
        <v/>
      </c>
      <c r="E392" s="329" t="str">
        <f t="shared" si="114"/>
        <v/>
      </c>
      <c r="F392" s="329" t="str">
        <f t="shared" si="115"/>
        <v>Large TV - Standalone</v>
      </c>
      <c r="G392" s="329" t="str">
        <f t="shared" si="116"/>
        <v>TVLGSA - TV - Large - Standalone</v>
      </c>
      <c r="H392" s="269"/>
      <c r="I392" s="330">
        <f t="shared" si="121"/>
        <v>0</v>
      </c>
      <c r="J392" s="330">
        <f t="shared" si="121"/>
        <v>0</v>
      </c>
      <c r="K392" s="364">
        <v>2</v>
      </c>
      <c r="L392" s="330">
        <f t="shared" si="120"/>
        <v>0</v>
      </c>
      <c r="M392" s="330">
        <f t="shared" ref="M392:M423" si="122">IF($A392="","",$K392*VLOOKUP($A392,ps_table,MATCH(M$2,ps_headers,0),FALSE))</f>
        <v>0</v>
      </c>
      <c r="N392" s="447"/>
      <c r="O392" s="366" t="s">
        <v>511</v>
      </c>
      <c r="P392" s="367" t="s">
        <v>152</v>
      </c>
      <c r="Q392" s="366" t="s">
        <v>341</v>
      </c>
      <c r="R392" s="367" t="s">
        <v>347</v>
      </c>
      <c r="S392" s="367" t="s">
        <v>736</v>
      </c>
      <c r="T392" s="274" t="str">
        <f t="shared" si="119"/>
        <v>LOC Workforce</v>
      </c>
      <c r="U392" s="275" t="s">
        <v>343</v>
      </c>
      <c r="V392" s="368" t="s">
        <v>514</v>
      </c>
    </row>
    <row r="393" spans="1:22" s="276" customFormat="1" ht="15" hidden="1" customHeight="1">
      <c r="A393" s="362" t="s">
        <v>519</v>
      </c>
      <c r="B393" s="329" t="str">
        <f t="shared" si="118"/>
        <v>Wireless coverage - Shared Internet Service - Wi-Fi FIFA</v>
      </c>
      <c r="C393" s="329" t="str">
        <f t="shared" si="117"/>
        <v>Network &amp; Connectivity</v>
      </c>
      <c r="D393" s="329" t="str">
        <f t="shared" si="113"/>
        <v/>
      </c>
      <c r="E393" s="329" t="str">
        <f t="shared" si="114"/>
        <v>General Internet Access</v>
      </c>
      <c r="F393" s="329" t="str">
        <f t="shared" si="115"/>
        <v>Wireless coverage - Shared Internet Service - FIFA</v>
      </c>
      <c r="G393" s="329" t="str">
        <f t="shared" si="116"/>
        <v>IS00WF - Wireless coverage - Shared Internet Service - Wi-Fi FIFA (General Internet Access)</v>
      </c>
      <c r="H393" s="269"/>
      <c r="I393" s="330">
        <f t="shared" si="121"/>
        <v>0</v>
      </c>
      <c r="J393" s="330">
        <f t="shared" si="121"/>
        <v>0</v>
      </c>
      <c r="K393" s="364">
        <v>1</v>
      </c>
      <c r="L393" s="330">
        <f t="shared" si="120"/>
        <v>0</v>
      </c>
      <c r="M393" s="330">
        <f t="shared" si="122"/>
        <v>0</v>
      </c>
      <c r="N393" s="447"/>
      <c r="O393" s="366" t="s">
        <v>511</v>
      </c>
      <c r="P393" s="367" t="s">
        <v>152</v>
      </c>
      <c r="Q393" s="366" t="s">
        <v>341</v>
      </c>
      <c r="R393" s="367" t="s">
        <v>347</v>
      </c>
      <c r="S393" s="367" t="s">
        <v>736</v>
      </c>
      <c r="T393" s="274" t="str">
        <f t="shared" si="119"/>
        <v>LOC Workforce</v>
      </c>
      <c r="U393" s="275" t="s">
        <v>313</v>
      </c>
      <c r="V393" s="368" t="s">
        <v>520</v>
      </c>
    </row>
    <row r="394" spans="1:22" s="276" customFormat="1" hidden="1">
      <c r="A394" s="362" t="s">
        <v>202</v>
      </c>
      <c r="B394" s="329" t="str">
        <f t="shared" si="118"/>
        <v>MFD Desktop - Colour - A4 - Network</v>
      </c>
      <c r="C394" s="329" t="str">
        <f t="shared" si="117"/>
        <v>Reprographics</v>
      </c>
      <c r="D394" s="329" t="str">
        <f t="shared" si="113"/>
        <v/>
      </c>
      <c r="E394" s="329" t="str">
        <f t="shared" si="114"/>
        <v>General Internet Access</v>
      </c>
      <c r="F394" s="329" t="str">
        <f t="shared" si="115"/>
        <v>Colour Printer / Scanner (A4)</v>
      </c>
      <c r="G394" s="329" t="str">
        <f t="shared" si="116"/>
        <v>MFDDNW - MFD Desktop - Colour - A4 - Network (General Internet Access)</v>
      </c>
      <c r="H394" s="269"/>
      <c r="I394" s="330">
        <f t="shared" si="121"/>
        <v>1</v>
      </c>
      <c r="J394" s="330">
        <f t="shared" si="121"/>
        <v>0</v>
      </c>
      <c r="K394" s="364">
        <v>1</v>
      </c>
      <c r="L394" s="330">
        <f t="shared" si="120"/>
        <v>1</v>
      </c>
      <c r="M394" s="330">
        <f t="shared" si="122"/>
        <v>0</v>
      </c>
      <c r="N394" s="447"/>
      <c r="O394" s="366" t="s">
        <v>511</v>
      </c>
      <c r="P394" s="367" t="s">
        <v>152</v>
      </c>
      <c r="Q394" s="366" t="s">
        <v>341</v>
      </c>
      <c r="R394" s="367" t="s">
        <v>345</v>
      </c>
      <c r="S394" s="367" t="s">
        <v>736</v>
      </c>
      <c r="T394" s="274" t="str">
        <f t="shared" si="119"/>
        <v>LOC Workforce</v>
      </c>
      <c r="U394" s="275" t="s">
        <v>352</v>
      </c>
      <c r="V394" s="368" t="s">
        <v>514</v>
      </c>
    </row>
    <row r="395" spans="1:22" s="276" customFormat="1" ht="15" hidden="1" customHeight="1">
      <c r="A395" s="362" t="s">
        <v>591</v>
      </c>
      <c r="B395" s="329" t="str">
        <f t="shared" si="118"/>
        <v>Laptop - FIFA Event Build</v>
      </c>
      <c r="C395" s="329" t="str">
        <f t="shared" si="117"/>
        <v>FIFA IT Hardware</v>
      </c>
      <c r="D395" s="329" t="str">
        <f t="shared" si="113"/>
        <v/>
      </c>
      <c r="E395" s="329" t="str">
        <f t="shared" si="114"/>
        <v/>
      </c>
      <c r="F395" s="329" t="str">
        <f t="shared" si="115"/>
        <v>FIFA Laptop</v>
      </c>
      <c r="G395" s="329" t="str">
        <f t="shared" si="116"/>
        <v>LAPEVT - Laptop - FIFA Event Build</v>
      </c>
      <c r="H395" s="269"/>
      <c r="I395" s="330">
        <f t="shared" si="121"/>
        <v>0</v>
      </c>
      <c r="J395" s="330">
        <f t="shared" si="121"/>
        <v>0</v>
      </c>
      <c r="K395" s="364">
        <v>0</v>
      </c>
      <c r="L395" s="330">
        <f t="shared" si="120"/>
        <v>0</v>
      </c>
      <c r="M395" s="330">
        <f t="shared" si="122"/>
        <v>0</v>
      </c>
      <c r="N395" s="447"/>
      <c r="O395" s="366" t="s">
        <v>511</v>
      </c>
      <c r="P395" s="367" t="s">
        <v>197</v>
      </c>
      <c r="Q395" s="366" t="s">
        <v>185</v>
      </c>
      <c r="R395" s="367" t="s">
        <v>357</v>
      </c>
      <c r="S395" s="367" t="s">
        <v>736</v>
      </c>
      <c r="T395" s="274" t="str">
        <f t="shared" si="119"/>
        <v>LOC Workforce</v>
      </c>
      <c r="U395" s="275" t="s">
        <v>722</v>
      </c>
      <c r="V395" s="368" t="s">
        <v>514</v>
      </c>
    </row>
    <row r="396" spans="1:22" s="276" customFormat="1" hidden="1">
      <c r="A396" s="362" t="s">
        <v>329</v>
      </c>
      <c r="B396" s="329" t="str">
        <f t="shared" si="118"/>
        <v>24" Monitor - HDMI/DP</v>
      </c>
      <c r="C396" s="329" t="str">
        <f t="shared" si="117"/>
        <v>Peripherals</v>
      </c>
      <c r="D396" s="329" t="str">
        <f t="shared" si="113"/>
        <v/>
      </c>
      <c r="E396" s="329" t="str">
        <f t="shared" si="114"/>
        <v/>
      </c>
      <c r="F396" s="329" t="str">
        <f t="shared" si="115"/>
        <v>24" PC Monitor</v>
      </c>
      <c r="G396" s="329" t="str">
        <f t="shared" si="116"/>
        <v>DSKMNT - 24" Monitor - HDMI/DP</v>
      </c>
      <c r="H396" s="269"/>
      <c r="I396" s="330">
        <f t="shared" si="121"/>
        <v>0</v>
      </c>
      <c r="J396" s="330">
        <f t="shared" si="121"/>
        <v>0</v>
      </c>
      <c r="K396" s="364">
        <v>0</v>
      </c>
      <c r="L396" s="330">
        <f t="shared" si="120"/>
        <v>0</v>
      </c>
      <c r="M396" s="330">
        <f t="shared" si="122"/>
        <v>0</v>
      </c>
      <c r="N396" s="447"/>
      <c r="O396" s="366" t="s">
        <v>511</v>
      </c>
      <c r="P396" s="367" t="s">
        <v>197</v>
      </c>
      <c r="Q396" s="366" t="s">
        <v>185</v>
      </c>
      <c r="R396" s="367" t="s">
        <v>357</v>
      </c>
      <c r="S396" s="367" t="s">
        <v>736</v>
      </c>
      <c r="T396" s="274" t="str">
        <f t="shared" si="119"/>
        <v>LOC Workforce</v>
      </c>
      <c r="U396" s="275" t="s">
        <v>722</v>
      </c>
      <c r="V396" s="368" t="s">
        <v>514</v>
      </c>
    </row>
    <row r="397" spans="1:22" s="276" customFormat="1" hidden="1">
      <c r="A397" s="362" t="s">
        <v>237</v>
      </c>
      <c r="B397" s="329" t="str">
        <f t="shared" si="118"/>
        <v>TV - Large - IPTV</v>
      </c>
      <c r="C397" s="329" t="str">
        <f t="shared" si="117"/>
        <v>CATV</v>
      </c>
      <c r="D397" s="329" t="str">
        <f t="shared" si="113"/>
        <v/>
      </c>
      <c r="E397" s="329" t="str">
        <f t="shared" si="114"/>
        <v/>
      </c>
      <c r="F397" s="329" t="str">
        <f t="shared" si="115"/>
        <v>Large TV - CATV Feed</v>
      </c>
      <c r="G397" s="329" t="str">
        <f t="shared" si="116"/>
        <v>TVLGIP - TV - Large - IPTV</v>
      </c>
      <c r="H397" s="269"/>
      <c r="I397" s="330">
        <f t="shared" si="121"/>
        <v>0</v>
      </c>
      <c r="J397" s="330">
        <f t="shared" si="121"/>
        <v>0</v>
      </c>
      <c r="K397" s="364">
        <v>0</v>
      </c>
      <c r="L397" s="330">
        <f t="shared" si="120"/>
        <v>0</v>
      </c>
      <c r="M397" s="330">
        <f t="shared" si="122"/>
        <v>0</v>
      </c>
      <c r="N397" s="447"/>
      <c r="O397" s="366" t="s">
        <v>511</v>
      </c>
      <c r="P397" s="367" t="s">
        <v>197</v>
      </c>
      <c r="Q397" s="366" t="s">
        <v>185</v>
      </c>
      <c r="R397" s="367" t="s">
        <v>357</v>
      </c>
      <c r="S397" s="367" t="s">
        <v>736</v>
      </c>
      <c r="T397" s="274" t="str">
        <f t="shared" si="119"/>
        <v>LOC Workforce</v>
      </c>
      <c r="U397" s="275" t="s">
        <v>722</v>
      </c>
      <c r="V397" s="368" t="s">
        <v>247</v>
      </c>
    </row>
    <row r="398" spans="1:22" s="276" customFormat="1" ht="15" hidden="1" customHeight="1">
      <c r="A398" s="362" t="s">
        <v>225</v>
      </c>
      <c r="B398" s="329" t="str">
        <f t="shared" si="118"/>
        <v xml:space="preserve">Wired Port - General Internet </v>
      </c>
      <c r="C398" s="329" t="str">
        <f t="shared" si="117"/>
        <v>Network &amp; Connectivity</v>
      </c>
      <c r="D398" s="329" t="str">
        <f t="shared" si="113"/>
        <v/>
      </c>
      <c r="E398" s="329" t="str">
        <f t="shared" si="114"/>
        <v>General Internet Access</v>
      </c>
      <c r="F398" s="329" t="str">
        <f t="shared" si="115"/>
        <v>Wired Port - Internet</v>
      </c>
      <c r="G398" s="329" t="str">
        <f t="shared" si="116"/>
        <v>WRDGEN - Wired Port - General Internet  (General Internet Access)</v>
      </c>
      <c r="H398" s="269"/>
      <c r="I398" s="330">
        <f t="shared" si="121"/>
        <v>0</v>
      </c>
      <c r="J398" s="330">
        <f t="shared" si="121"/>
        <v>0</v>
      </c>
      <c r="K398" s="364">
        <v>0</v>
      </c>
      <c r="L398" s="330">
        <f t="shared" si="120"/>
        <v>0</v>
      </c>
      <c r="M398" s="330">
        <f t="shared" si="122"/>
        <v>0</v>
      </c>
      <c r="N398" s="447"/>
      <c r="O398" s="366" t="s">
        <v>511</v>
      </c>
      <c r="P398" s="367" t="s">
        <v>197</v>
      </c>
      <c r="Q398" s="366" t="s">
        <v>185</v>
      </c>
      <c r="R398" s="367" t="s">
        <v>357</v>
      </c>
      <c r="S398" s="367" t="s">
        <v>736</v>
      </c>
      <c r="T398" s="274" t="str">
        <f t="shared" si="119"/>
        <v>LOC Workforce</v>
      </c>
      <c r="U398" s="275" t="s">
        <v>722</v>
      </c>
      <c r="V398" s="368" t="s">
        <v>520</v>
      </c>
    </row>
    <row r="399" spans="1:22" s="276" customFormat="1" hidden="1">
      <c r="A399" s="362" t="s">
        <v>207</v>
      </c>
      <c r="B399" s="329" t="str">
        <f t="shared" si="118"/>
        <v>MFD Large - Colour - A3 - Network</v>
      </c>
      <c r="C399" s="329" t="str">
        <f t="shared" si="117"/>
        <v>Reprographics</v>
      </c>
      <c r="D399" s="329" t="str">
        <f t="shared" si="113"/>
        <v/>
      </c>
      <c r="E399" s="329" t="str">
        <f t="shared" si="114"/>
        <v>General Internet Access</v>
      </c>
      <c r="F399" s="329" t="str">
        <f t="shared" si="115"/>
        <v>Large Colour Printer / Scanner (A3)</v>
      </c>
      <c r="G399" s="329" t="str">
        <f t="shared" si="116"/>
        <v>MFDLNW - MFD Large - Colour - A3 - Network (General Internet Access)</v>
      </c>
      <c r="H399" s="269"/>
      <c r="I399" s="330">
        <f t="shared" si="121"/>
        <v>0</v>
      </c>
      <c r="J399" s="330">
        <f t="shared" si="121"/>
        <v>0</v>
      </c>
      <c r="K399" s="364">
        <v>0</v>
      </c>
      <c r="L399" s="330">
        <f t="shared" si="120"/>
        <v>0</v>
      </c>
      <c r="M399" s="330">
        <f t="shared" si="122"/>
        <v>0</v>
      </c>
      <c r="N399" s="447"/>
      <c r="O399" s="366" t="s">
        <v>511</v>
      </c>
      <c r="P399" s="367" t="s">
        <v>197</v>
      </c>
      <c r="Q399" s="366" t="s">
        <v>185</v>
      </c>
      <c r="R399" s="367" t="s">
        <v>357</v>
      </c>
      <c r="S399" s="367" t="s">
        <v>736</v>
      </c>
      <c r="T399" s="274" t="str">
        <f t="shared" si="119"/>
        <v>LOC Workforce</v>
      </c>
      <c r="U399" s="275" t="s">
        <v>722</v>
      </c>
      <c r="V399" s="368" t="s">
        <v>514</v>
      </c>
    </row>
    <row r="400" spans="1:22" s="276" customFormat="1" hidden="1">
      <c r="A400" s="363" t="s">
        <v>597</v>
      </c>
      <c r="B400" s="329" t="str">
        <f t="shared" si="118"/>
        <v>Telephone - Mobile - Smart Phone</v>
      </c>
      <c r="C400" s="329" t="str">
        <f t="shared" si="117"/>
        <v>Telephony</v>
      </c>
      <c r="D400" s="329" t="str">
        <f t="shared" si="113"/>
        <v/>
      </c>
      <c r="E400" s="329" t="str">
        <f t="shared" si="114"/>
        <v/>
      </c>
      <c r="F400" s="329" t="str">
        <f t="shared" si="115"/>
        <v>Smart Phone</v>
      </c>
      <c r="G400" s="329" t="str">
        <f t="shared" si="116"/>
        <v>TELMOB - Telephone - Mobile - Smart Phone</v>
      </c>
      <c r="H400" s="269"/>
      <c r="I400" s="330">
        <f t="shared" si="121"/>
        <v>0</v>
      </c>
      <c r="J400" s="330">
        <f t="shared" si="121"/>
        <v>0</v>
      </c>
      <c r="K400" s="364">
        <v>0</v>
      </c>
      <c r="L400" s="330">
        <f t="shared" si="120"/>
        <v>0</v>
      </c>
      <c r="M400" s="330">
        <f t="shared" si="122"/>
        <v>0</v>
      </c>
      <c r="N400" s="447"/>
      <c r="O400" s="366" t="s">
        <v>511</v>
      </c>
      <c r="P400" s="367" t="s">
        <v>197</v>
      </c>
      <c r="Q400" s="366" t="s">
        <v>185</v>
      </c>
      <c r="R400" s="367" t="s">
        <v>357</v>
      </c>
      <c r="S400" s="367" t="s">
        <v>736</v>
      </c>
      <c r="T400" s="274" t="str">
        <f t="shared" si="119"/>
        <v>LOC Workforce</v>
      </c>
      <c r="U400" s="275" t="s">
        <v>722</v>
      </c>
      <c r="V400" s="368" t="s">
        <v>594</v>
      </c>
    </row>
    <row r="401" spans="1:22" s="276" customFormat="1" ht="15" hidden="1" customHeight="1">
      <c r="A401" s="362" t="s">
        <v>519</v>
      </c>
      <c r="B401" s="329" t="str">
        <f t="shared" si="118"/>
        <v>Wireless coverage - Shared Internet Service - Wi-Fi FIFA</v>
      </c>
      <c r="C401" s="329" t="str">
        <f t="shared" si="117"/>
        <v>Network &amp; Connectivity</v>
      </c>
      <c r="D401" s="329" t="str">
        <f t="shared" si="113"/>
        <v/>
      </c>
      <c r="E401" s="329" t="str">
        <f t="shared" si="114"/>
        <v>General Internet Access</v>
      </c>
      <c r="F401" s="329" t="str">
        <f t="shared" si="115"/>
        <v>Wireless coverage - Shared Internet Service - FIFA</v>
      </c>
      <c r="G401" s="329" t="str">
        <f t="shared" si="116"/>
        <v>IS00WF - Wireless coverage - Shared Internet Service - Wi-Fi FIFA (General Internet Access)</v>
      </c>
      <c r="H401" s="269"/>
      <c r="I401" s="330">
        <f t="shared" si="121"/>
        <v>0</v>
      </c>
      <c r="J401" s="330">
        <f t="shared" si="121"/>
        <v>0</v>
      </c>
      <c r="K401" s="364">
        <v>0</v>
      </c>
      <c r="L401" s="330">
        <f t="shared" si="120"/>
        <v>0</v>
      </c>
      <c r="M401" s="330">
        <f t="shared" si="122"/>
        <v>0</v>
      </c>
      <c r="N401" s="447"/>
      <c r="O401" s="366" t="s">
        <v>511</v>
      </c>
      <c r="P401" s="367" t="s">
        <v>197</v>
      </c>
      <c r="Q401" s="366" t="s">
        <v>185</v>
      </c>
      <c r="R401" s="367" t="s">
        <v>357</v>
      </c>
      <c r="S401" s="367" t="s">
        <v>736</v>
      </c>
      <c r="T401" s="274" t="str">
        <f t="shared" si="119"/>
        <v>LOC Workforce</v>
      </c>
      <c r="U401" s="275" t="s">
        <v>722</v>
      </c>
      <c r="V401" s="368" t="s">
        <v>520</v>
      </c>
    </row>
    <row r="402" spans="1:22" s="276" customFormat="1" ht="15" hidden="1" customHeight="1">
      <c r="A402" s="362" t="s">
        <v>249</v>
      </c>
      <c r="B402" s="329" t="str">
        <f t="shared" si="118"/>
        <v>TV - Large - Standalone</v>
      </c>
      <c r="C402" s="329" t="str">
        <f t="shared" si="117"/>
        <v>Display Devices</v>
      </c>
      <c r="D402" s="329" t="str">
        <f t="shared" si="113"/>
        <v/>
      </c>
      <c r="E402" s="329" t="str">
        <f t="shared" si="114"/>
        <v/>
      </c>
      <c r="F402" s="329" t="str">
        <f t="shared" si="115"/>
        <v>Large TV - Standalone</v>
      </c>
      <c r="G402" s="329" t="str">
        <f t="shared" si="116"/>
        <v>TVLGSA - TV - Large - Standalone</v>
      </c>
      <c r="H402" s="269"/>
      <c r="I402" s="330">
        <f t="shared" si="121"/>
        <v>0</v>
      </c>
      <c r="J402" s="330">
        <f t="shared" si="121"/>
        <v>0</v>
      </c>
      <c r="K402" s="364">
        <v>0</v>
      </c>
      <c r="L402" s="330">
        <f t="shared" si="120"/>
        <v>0</v>
      </c>
      <c r="M402" s="330">
        <f t="shared" si="122"/>
        <v>0</v>
      </c>
      <c r="N402" s="447"/>
      <c r="O402" s="366" t="s">
        <v>511</v>
      </c>
      <c r="P402" s="367" t="s">
        <v>197</v>
      </c>
      <c r="Q402" s="366" t="s">
        <v>185</v>
      </c>
      <c r="R402" s="367" t="s">
        <v>357</v>
      </c>
      <c r="S402" s="367" t="s">
        <v>736</v>
      </c>
      <c r="T402" s="274" t="str">
        <f t="shared" si="119"/>
        <v>LOC Workforce</v>
      </c>
      <c r="U402" s="275" t="s">
        <v>722</v>
      </c>
      <c r="V402" s="368" t="s">
        <v>514</v>
      </c>
    </row>
    <row r="403" spans="1:22" s="276" customFormat="1" ht="15" hidden="1" customHeight="1">
      <c r="A403" s="362" t="s">
        <v>519</v>
      </c>
      <c r="B403" s="329" t="str">
        <f t="shared" si="118"/>
        <v>Wireless coverage - Shared Internet Service - Wi-Fi FIFA</v>
      </c>
      <c r="C403" s="329" t="str">
        <f t="shared" si="117"/>
        <v>Network &amp; Connectivity</v>
      </c>
      <c r="D403" s="329" t="str">
        <f t="shared" si="113"/>
        <v/>
      </c>
      <c r="E403" s="329" t="str">
        <f t="shared" si="114"/>
        <v>General Internet Access</v>
      </c>
      <c r="F403" s="329" t="str">
        <f t="shared" si="115"/>
        <v>Wireless coverage - Shared Internet Service - FIFA</v>
      </c>
      <c r="G403" s="329" t="str">
        <f t="shared" si="116"/>
        <v>IS00WF - Wireless coverage - Shared Internet Service - Wi-Fi FIFA (General Internet Access)</v>
      </c>
      <c r="H403" s="269"/>
      <c r="I403" s="330">
        <f t="shared" si="121"/>
        <v>0</v>
      </c>
      <c r="J403" s="330">
        <f t="shared" si="121"/>
        <v>0</v>
      </c>
      <c r="K403" s="364">
        <v>0</v>
      </c>
      <c r="L403" s="330">
        <f t="shared" si="120"/>
        <v>0</v>
      </c>
      <c r="M403" s="330">
        <f t="shared" si="122"/>
        <v>0</v>
      </c>
      <c r="N403" s="447"/>
      <c r="O403" s="366" t="s">
        <v>511</v>
      </c>
      <c r="P403" s="367" t="s">
        <v>197</v>
      </c>
      <c r="Q403" s="366" t="s">
        <v>379</v>
      </c>
      <c r="R403" s="367" t="s">
        <v>380</v>
      </c>
      <c r="S403" s="367" t="s">
        <v>736</v>
      </c>
      <c r="T403" s="274" t="str">
        <f t="shared" si="119"/>
        <v>LOC Workforce</v>
      </c>
      <c r="U403" s="275" t="s">
        <v>722</v>
      </c>
      <c r="V403" s="368" t="s">
        <v>520</v>
      </c>
    </row>
    <row r="404" spans="1:22" s="276" customFormat="1" hidden="1">
      <c r="A404" s="362" t="s">
        <v>202</v>
      </c>
      <c r="B404" s="329" t="str">
        <f t="shared" si="118"/>
        <v>MFD Desktop - Colour - A4 - Network</v>
      </c>
      <c r="C404" s="329" t="str">
        <f t="shared" si="117"/>
        <v>Reprographics</v>
      </c>
      <c r="D404" s="329" t="str">
        <f t="shared" si="113"/>
        <v/>
      </c>
      <c r="E404" s="329" t="str">
        <f t="shared" si="114"/>
        <v>General Internet Access</v>
      </c>
      <c r="F404" s="329" t="str">
        <f t="shared" si="115"/>
        <v>Colour Printer / Scanner (A4)</v>
      </c>
      <c r="G404" s="329" t="str">
        <f t="shared" si="116"/>
        <v>MFDDNW - MFD Desktop - Colour - A4 - Network (General Internet Access)</v>
      </c>
      <c r="H404" s="269"/>
      <c r="I404" s="330">
        <f t="shared" si="121"/>
        <v>0</v>
      </c>
      <c r="J404" s="330">
        <f t="shared" si="121"/>
        <v>0</v>
      </c>
      <c r="K404" s="364">
        <v>0</v>
      </c>
      <c r="L404" s="330">
        <f t="shared" si="120"/>
        <v>0</v>
      </c>
      <c r="M404" s="330">
        <f t="shared" si="122"/>
        <v>0</v>
      </c>
      <c r="N404" s="447"/>
      <c r="O404" s="366" t="s">
        <v>511</v>
      </c>
      <c r="P404" s="367" t="s">
        <v>197</v>
      </c>
      <c r="Q404" s="366" t="s">
        <v>379</v>
      </c>
      <c r="R404" s="367" t="s">
        <v>380</v>
      </c>
      <c r="S404" s="367" t="s">
        <v>736</v>
      </c>
      <c r="T404" s="274" t="str">
        <f t="shared" si="119"/>
        <v>LOC Workforce</v>
      </c>
      <c r="U404" s="275" t="s">
        <v>722</v>
      </c>
      <c r="V404" s="368" t="s">
        <v>514</v>
      </c>
    </row>
    <row r="405" spans="1:22" s="276" customFormat="1" ht="15" hidden="1" customHeight="1">
      <c r="A405" s="362" t="s">
        <v>591</v>
      </c>
      <c r="B405" s="329" t="str">
        <f t="shared" si="118"/>
        <v>Laptop - FIFA Event Build</v>
      </c>
      <c r="C405" s="329" t="str">
        <f t="shared" si="117"/>
        <v>FIFA IT Hardware</v>
      </c>
      <c r="D405" s="329" t="str">
        <f t="shared" si="113"/>
        <v/>
      </c>
      <c r="E405" s="329" t="str">
        <f t="shared" si="114"/>
        <v/>
      </c>
      <c r="F405" s="329" t="str">
        <f t="shared" si="115"/>
        <v>FIFA Laptop</v>
      </c>
      <c r="G405" s="329" t="str">
        <f t="shared" si="116"/>
        <v>LAPEVT - Laptop - FIFA Event Build</v>
      </c>
      <c r="H405" s="269"/>
      <c r="I405" s="330">
        <f t="shared" si="121"/>
        <v>0</v>
      </c>
      <c r="J405" s="330">
        <f t="shared" si="121"/>
        <v>0</v>
      </c>
      <c r="K405" s="364">
        <v>0</v>
      </c>
      <c r="L405" s="330">
        <f t="shared" si="120"/>
        <v>0</v>
      </c>
      <c r="M405" s="330">
        <f t="shared" si="122"/>
        <v>0</v>
      </c>
      <c r="N405" s="447"/>
      <c r="O405" s="366" t="s">
        <v>511</v>
      </c>
      <c r="P405" s="367" t="s">
        <v>197</v>
      </c>
      <c r="Q405" s="366" t="s">
        <v>379</v>
      </c>
      <c r="R405" s="367" t="s">
        <v>380</v>
      </c>
      <c r="S405" s="367" t="s">
        <v>736</v>
      </c>
      <c r="T405" s="274" t="str">
        <f t="shared" si="119"/>
        <v>LOC Workforce</v>
      </c>
      <c r="U405" s="275" t="s">
        <v>722</v>
      </c>
      <c r="V405" s="368" t="s">
        <v>514</v>
      </c>
    </row>
    <row r="406" spans="1:22" s="276" customFormat="1" hidden="1">
      <c r="A406" s="362" t="s">
        <v>329</v>
      </c>
      <c r="B406" s="329" t="str">
        <f t="shared" si="118"/>
        <v>24" Monitor - HDMI/DP</v>
      </c>
      <c r="C406" s="329" t="str">
        <f t="shared" si="117"/>
        <v>Peripherals</v>
      </c>
      <c r="D406" s="329" t="str">
        <f t="shared" si="113"/>
        <v/>
      </c>
      <c r="E406" s="329" t="str">
        <f t="shared" si="114"/>
        <v/>
      </c>
      <c r="F406" s="329" t="str">
        <f t="shared" si="115"/>
        <v>24" PC Monitor</v>
      </c>
      <c r="G406" s="329" t="str">
        <f t="shared" si="116"/>
        <v>DSKMNT - 24" Monitor - HDMI/DP</v>
      </c>
      <c r="H406" s="269"/>
      <c r="I406" s="330">
        <f t="shared" si="121"/>
        <v>0</v>
      </c>
      <c r="J406" s="330">
        <f t="shared" si="121"/>
        <v>0</v>
      </c>
      <c r="K406" s="364">
        <v>0</v>
      </c>
      <c r="L406" s="330">
        <f t="shared" si="120"/>
        <v>0</v>
      </c>
      <c r="M406" s="330">
        <f t="shared" si="122"/>
        <v>0</v>
      </c>
      <c r="N406" s="447"/>
      <c r="O406" s="366" t="s">
        <v>511</v>
      </c>
      <c r="P406" s="367" t="s">
        <v>197</v>
      </c>
      <c r="Q406" s="366" t="s">
        <v>379</v>
      </c>
      <c r="R406" s="367" t="s">
        <v>380</v>
      </c>
      <c r="S406" s="367" t="s">
        <v>736</v>
      </c>
      <c r="T406" s="274" t="str">
        <f t="shared" si="119"/>
        <v>LOC Workforce</v>
      </c>
      <c r="U406" s="275" t="s">
        <v>722</v>
      </c>
      <c r="V406" s="368" t="s">
        <v>514</v>
      </c>
    </row>
    <row r="407" spans="1:22" s="276" customFormat="1" hidden="1">
      <c r="A407" s="362" t="s">
        <v>216</v>
      </c>
      <c r="B407" s="329" t="str">
        <f t="shared" si="118"/>
        <v>Barcode scanner</v>
      </c>
      <c r="C407" s="329" t="str">
        <f t="shared" si="117"/>
        <v>Peripherals</v>
      </c>
      <c r="D407" s="329" t="str">
        <f t="shared" si="113"/>
        <v/>
      </c>
      <c r="E407" s="329" t="str">
        <f t="shared" si="114"/>
        <v/>
      </c>
      <c r="F407" s="329" t="str">
        <f t="shared" si="115"/>
        <v>Barcode scanner</v>
      </c>
      <c r="G407" s="329" t="str">
        <f t="shared" si="116"/>
        <v>ACCBAR - Barcode scanner</v>
      </c>
      <c r="H407" s="269"/>
      <c r="I407" s="330">
        <f t="shared" si="121"/>
        <v>0</v>
      </c>
      <c r="J407" s="330">
        <f t="shared" si="121"/>
        <v>0</v>
      </c>
      <c r="K407" s="364">
        <v>0</v>
      </c>
      <c r="L407" s="330">
        <f t="shared" si="120"/>
        <v>0</v>
      </c>
      <c r="M407" s="330">
        <f t="shared" si="122"/>
        <v>0</v>
      </c>
      <c r="N407" s="447"/>
      <c r="O407" s="366" t="s">
        <v>511</v>
      </c>
      <c r="P407" s="367" t="s">
        <v>197</v>
      </c>
      <c r="Q407" s="366" t="s">
        <v>379</v>
      </c>
      <c r="R407" s="367" t="s">
        <v>380</v>
      </c>
      <c r="S407" s="367" t="s">
        <v>736</v>
      </c>
      <c r="T407" s="274" t="str">
        <f t="shared" si="119"/>
        <v>LOC Workforce</v>
      </c>
      <c r="U407" s="275" t="s">
        <v>722</v>
      </c>
      <c r="V407" s="368" t="s">
        <v>514</v>
      </c>
    </row>
    <row r="408" spans="1:22" s="276" customFormat="1" ht="15" hidden="1" customHeight="1">
      <c r="A408" s="362" t="s">
        <v>249</v>
      </c>
      <c r="B408" s="329" t="str">
        <f t="shared" si="118"/>
        <v>TV - Large - Standalone</v>
      </c>
      <c r="C408" s="329" t="str">
        <f t="shared" si="117"/>
        <v>Display Devices</v>
      </c>
      <c r="D408" s="329" t="str">
        <f t="shared" si="113"/>
        <v/>
      </c>
      <c r="E408" s="329" t="str">
        <f t="shared" si="114"/>
        <v/>
      </c>
      <c r="F408" s="329" t="str">
        <f t="shared" si="115"/>
        <v>Large TV - Standalone</v>
      </c>
      <c r="G408" s="329" t="str">
        <f t="shared" si="116"/>
        <v>TVLGSA - TV - Large - Standalone</v>
      </c>
      <c r="H408" s="269"/>
      <c r="I408" s="330">
        <f t="shared" si="121"/>
        <v>0</v>
      </c>
      <c r="J408" s="330">
        <f t="shared" si="121"/>
        <v>0</v>
      </c>
      <c r="K408" s="364">
        <v>0</v>
      </c>
      <c r="L408" s="330">
        <f t="shared" si="120"/>
        <v>0</v>
      </c>
      <c r="M408" s="330">
        <f t="shared" si="122"/>
        <v>0</v>
      </c>
      <c r="N408" s="447"/>
      <c r="O408" s="366" t="s">
        <v>511</v>
      </c>
      <c r="P408" s="367" t="s">
        <v>197</v>
      </c>
      <c r="Q408" s="366" t="s">
        <v>379</v>
      </c>
      <c r="R408" s="367" t="s">
        <v>380</v>
      </c>
      <c r="S408" s="367" t="s">
        <v>736</v>
      </c>
      <c r="T408" s="274" t="str">
        <f t="shared" si="119"/>
        <v>LOC Workforce</v>
      </c>
      <c r="U408" s="275" t="s">
        <v>722</v>
      </c>
      <c r="V408" s="368" t="s">
        <v>514</v>
      </c>
    </row>
    <row r="409" spans="1:22" s="276" customFormat="1" ht="15" hidden="1" customHeight="1">
      <c r="A409" s="362" t="s">
        <v>591</v>
      </c>
      <c r="B409" s="329" t="str">
        <f t="shared" si="118"/>
        <v>Laptop - FIFA Event Build</v>
      </c>
      <c r="C409" s="329" t="str">
        <f t="shared" si="117"/>
        <v>FIFA IT Hardware</v>
      </c>
      <c r="D409" s="329" t="str">
        <f t="shared" si="113"/>
        <v/>
      </c>
      <c r="E409" s="329" t="str">
        <f t="shared" si="114"/>
        <v/>
      </c>
      <c r="F409" s="329" t="str">
        <f t="shared" si="115"/>
        <v>FIFA Laptop</v>
      </c>
      <c r="G409" s="329" t="str">
        <f t="shared" si="116"/>
        <v>LAPEVT - Laptop - FIFA Event Build</v>
      </c>
      <c r="H409" s="269"/>
      <c r="I409" s="330">
        <f t="shared" si="121"/>
        <v>0</v>
      </c>
      <c r="J409" s="330">
        <f t="shared" si="121"/>
        <v>0</v>
      </c>
      <c r="K409" s="364">
        <v>0</v>
      </c>
      <c r="L409" s="330">
        <f t="shared" si="120"/>
        <v>0</v>
      </c>
      <c r="M409" s="330">
        <f t="shared" si="122"/>
        <v>0</v>
      </c>
      <c r="N409" s="447"/>
      <c r="O409" s="366" t="s">
        <v>511</v>
      </c>
      <c r="P409" s="367" t="s">
        <v>197</v>
      </c>
      <c r="Q409" s="366" t="s">
        <v>379</v>
      </c>
      <c r="R409" s="367" t="s">
        <v>389</v>
      </c>
      <c r="S409" s="367" t="s">
        <v>736</v>
      </c>
      <c r="T409" s="274" t="str">
        <f t="shared" si="119"/>
        <v>LOC Workforce</v>
      </c>
      <c r="U409" s="275" t="s">
        <v>722</v>
      </c>
      <c r="V409" s="368" t="s">
        <v>514</v>
      </c>
    </row>
    <row r="410" spans="1:22" s="276" customFormat="1" ht="15" hidden="1" customHeight="1">
      <c r="A410" s="362" t="s">
        <v>519</v>
      </c>
      <c r="B410" s="329" t="str">
        <f t="shared" si="118"/>
        <v>Wireless coverage - Shared Internet Service - Wi-Fi FIFA</v>
      </c>
      <c r="C410" s="329" t="str">
        <f t="shared" si="117"/>
        <v>Network &amp; Connectivity</v>
      </c>
      <c r="D410" s="329" t="str">
        <f t="shared" si="113"/>
        <v/>
      </c>
      <c r="E410" s="329" t="str">
        <f t="shared" si="114"/>
        <v>General Internet Access</v>
      </c>
      <c r="F410" s="329" t="str">
        <f t="shared" si="115"/>
        <v>Wireless coverage - Shared Internet Service - FIFA</v>
      </c>
      <c r="G410" s="329" t="str">
        <f t="shared" si="116"/>
        <v>IS00WF - Wireless coverage - Shared Internet Service - Wi-Fi FIFA (General Internet Access)</v>
      </c>
      <c r="H410" s="269"/>
      <c r="I410" s="330">
        <f t="shared" si="121"/>
        <v>0</v>
      </c>
      <c r="J410" s="330">
        <f t="shared" si="121"/>
        <v>0</v>
      </c>
      <c r="K410" s="364">
        <v>0</v>
      </c>
      <c r="L410" s="330">
        <f t="shared" si="120"/>
        <v>0</v>
      </c>
      <c r="M410" s="330">
        <f t="shared" si="122"/>
        <v>0</v>
      </c>
      <c r="N410" s="447"/>
      <c r="O410" s="366" t="s">
        <v>511</v>
      </c>
      <c r="P410" s="367" t="s">
        <v>197</v>
      </c>
      <c r="Q410" s="366" t="s">
        <v>379</v>
      </c>
      <c r="R410" s="367" t="s">
        <v>389</v>
      </c>
      <c r="S410" s="367" t="s">
        <v>736</v>
      </c>
      <c r="T410" s="274" t="str">
        <f t="shared" si="119"/>
        <v>LOC Workforce</v>
      </c>
      <c r="U410" s="275" t="s">
        <v>722</v>
      </c>
      <c r="V410" s="368" t="s">
        <v>520</v>
      </c>
    </row>
    <row r="411" spans="1:22" s="276" customFormat="1" hidden="1">
      <c r="A411" s="362" t="s">
        <v>597</v>
      </c>
      <c r="B411" s="329" t="str">
        <f t="shared" si="118"/>
        <v>Telephone - Mobile - Smart Phone</v>
      </c>
      <c r="C411" s="329" t="str">
        <f t="shared" si="117"/>
        <v>Telephony</v>
      </c>
      <c r="D411" s="329" t="str">
        <f t="shared" si="113"/>
        <v/>
      </c>
      <c r="E411" s="329" t="str">
        <f t="shared" si="114"/>
        <v/>
      </c>
      <c r="F411" s="329" t="str">
        <f t="shared" si="115"/>
        <v>Smart Phone</v>
      </c>
      <c r="G411" s="329" t="str">
        <f t="shared" si="116"/>
        <v>TELMOB - Telephone - Mobile - Smart Phone</v>
      </c>
      <c r="H411" s="269"/>
      <c r="I411" s="330">
        <f t="shared" si="121"/>
        <v>0</v>
      </c>
      <c r="J411" s="330">
        <f t="shared" si="121"/>
        <v>0</v>
      </c>
      <c r="K411" s="364">
        <v>0</v>
      </c>
      <c r="L411" s="330">
        <f t="shared" si="120"/>
        <v>0</v>
      </c>
      <c r="M411" s="330">
        <f t="shared" si="122"/>
        <v>0</v>
      </c>
      <c r="N411" s="447"/>
      <c r="O411" s="366" t="s">
        <v>511</v>
      </c>
      <c r="P411" s="367" t="s">
        <v>197</v>
      </c>
      <c r="Q411" s="366" t="s">
        <v>379</v>
      </c>
      <c r="R411" s="367" t="s">
        <v>389</v>
      </c>
      <c r="S411" s="367" t="s">
        <v>736</v>
      </c>
      <c r="T411" s="274" t="str">
        <f t="shared" si="119"/>
        <v>LOC Workforce</v>
      </c>
      <c r="U411" s="275" t="s">
        <v>722</v>
      </c>
      <c r="V411" s="368" t="s">
        <v>594</v>
      </c>
    </row>
    <row r="412" spans="1:22" s="276" customFormat="1" hidden="1">
      <c r="A412" s="362" t="s">
        <v>237</v>
      </c>
      <c r="B412" s="329" t="str">
        <f t="shared" si="118"/>
        <v>TV - Large - IPTV</v>
      </c>
      <c r="C412" s="329" t="str">
        <f t="shared" si="117"/>
        <v>CATV</v>
      </c>
      <c r="D412" s="329" t="str">
        <f t="shared" si="113"/>
        <v/>
      </c>
      <c r="E412" s="329" t="str">
        <f t="shared" si="114"/>
        <v/>
      </c>
      <c r="F412" s="329" t="str">
        <f t="shared" si="115"/>
        <v>Large TV - CATV Feed</v>
      </c>
      <c r="G412" s="329" t="str">
        <f t="shared" si="116"/>
        <v>TVLGIP - TV - Large - IPTV</v>
      </c>
      <c r="H412" s="269"/>
      <c r="I412" s="330">
        <f t="shared" si="121"/>
        <v>0</v>
      </c>
      <c r="J412" s="330">
        <f t="shared" si="121"/>
        <v>0</v>
      </c>
      <c r="K412" s="364">
        <v>0</v>
      </c>
      <c r="L412" s="330">
        <f t="shared" si="120"/>
        <v>0</v>
      </c>
      <c r="M412" s="330">
        <f t="shared" si="122"/>
        <v>0</v>
      </c>
      <c r="N412" s="447"/>
      <c r="O412" s="366" t="s">
        <v>511</v>
      </c>
      <c r="P412" s="367" t="s">
        <v>197</v>
      </c>
      <c r="Q412" s="366" t="s">
        <v>379</v>
      </c>
      <c r="R412" s="367" t="s">
        <v>389</v>
      </c>
      <c r="S412" s="367" t="s">
        <v>736</v>
      </c>
      <c r="T412" s="274" t="str">
        <f t="shared" si="119"/>
        <v>LOC Workforce</v>
      </c>
      <c r="U412" s="275" t="s">
        <v>722</v>
      </c>
      <c r="V412" s="368" t="s">
        <v>247</v>
      </c>
    </row>
    <row r="413" spans="1:22" s="276" customFormat="1" hidden="1">
      <c r="A413" s="362" t="s">
        <v>349</v>
      </c>
      <c r="B413" s="329" t="str">
        <f t="shared" si="118"/>
        <v>Portable Speaker</v>
      </c>
      <c r="C413" s="329" t="str">
        <f t="shared" si="117"/>
        <v>Peripherals</v>
      </c>
      <c r="D413" s="329" t="str">
        <f t="shared" si="113"/>
        <v/>
      </c>
      <c r="E413" s="329" t="str">
        <f t="shared" si="114"/>
        <v/>
      </c>
      <c r="F413" s="329" t="str">
        <f t="shared" si="115"/>
        <v>Portable Speaker</v>
      </c>
      <c r="G413" s="329" t="str">
        <f t="shared" si="116"/>
        <v>PORSPE - Portable Speaker</v>
      </c>
      <c r="H413" s="269"/>
      <c r="I413" s="330">
        <f t="shared" si="121"/>
        <v>0</v>
      </c>
      <c r="J413" s="330">
        <f t="shared" si="121"/>
        <v>0</v>
      </c>
      <c r="K413" s="364">
        <v>0</v>
      </c>
      <c r="L413" s="330">
        <f t="shared" si="120"/>
        <v>0</v>
      </c>
      <c r="M413" s="330">
        <f t="shared" si="122"/>
        <v>0</v>
      </c>
      <c r="N413" s="447"/>
      <c r="O413" s="366" t="s">
        <v>511</v>
      </c>
      <c r="P413" s="367" t="s">
        <v>197</v>
      </c>
      <c r="Q413" s="366" t="s">
        <v>379</v>
      </c>
      <c r="R413" s="367" t="s">
        <v>389</v>
      </c>
      <c r="S413" s="367" t="s">
        <v>736</v>
      </c>
      <c r="T413" s="274" t="str">
        <f t="shared" si="119"/>
        <v>LOC Workforce</v>
      </c>
      <c r="U413" s="275" t="s">
        <v>722</v>
      </c>
      <c r="V413" s="368" t="s">
        <v>514</v>
      </c>
    </row>
    <row r="414" spans="1:22" s="276" customFormat="1" ht="15" hidden="1" customHeight="1">
      <c r="A414" s="362" t="s">
        <v>681</v>
      </c>
      <c r="B414" s="329" t="str">
        <f t="shared" si="118"/>
        <v>Wireless coverage - Shared Internet Service - Wi-Fi FOOTBALL</v>
      </c>
      <c r="C414" s="329" t="str">
        <f t="shared" si="117"/>
        <v>Network &amp; Connectivity</v>
      </c>
      <c r="D414" s="329" t="str">
        <f t="shared" si="113"/>
        <v/>
      </c>
      <c r="E414" s="329" t="str">
        <f t="shared" si="114"/>
        <v>VIP Internet Access</v>
      </c>
      <c r="F414" s="329" t="str">
        <f t="shared" si="115"/>
        <v>Wireless coverage - Shared Internet Service - FOOTBALL</v>
      </c>
      <c r="G414" s="329" t="str">
        <f t="shared" si="116"/>
        <v>IS00WS - Wireless coverage - Shared Internet Service - Wi-Fi FOOTBALL (VIP Internet Access)</v>
      </c>
      <c r="H414" s="269"/>
      <c r="I414" s="330">
        <f t="shared" si="121"/>
        <v>0</v>
      </c>
      <c r="J414" s="330">
        <f t="shared" si="121"/>
        <v>0</v>
      </c>
      <c r="K414" s="364">
        <v>1</v>
      </c>
      <c r="L414" s="330">
        <f t="shared" si="120"/>
        <v>0</v>
      </c>
      <c r="M414" s="330">
        <f t="shared" si="122"/>
        <v>0</v>
      </c>
      <c r="N414" s="447"/>
      <c r="O414" s="366" t="s">
        <v>511</v>
      </c>
      <c r="P414" s="367" t="s">
        <v>149</v>
      </c>
      <c r="Q414" s="366" t="s">
        <v>397</v>
      </c>
      <c r="R414" s="367" t="s">
        <v>397</v>
      </c>
      <c r="S414" s="367" t="s">
        <v>737</v>
      </c>
      <c r="T414" s="274" t="str">
        <f t="shared" si="119"/>
        <v>LOC Competition</v>
      </c>
      <c r="U414" s="275"/>
      <c r="V414" s="368" t="s">
        <v>520</v>
      </c>
    </row>
    <row r="415" spans="1:22" s="276" customFormat="1" hidden="1">
      <c r="A415" s="362" t="s">
        <v>237</v>
      </c>
      <c r="B415" s="329" t="str">
        <f t="shared" si="118"/>
        <v>TV - Large - IPTV</v>
      </c>
      <c r="C415" s="329" t="str">
        <f t="shared" si="117"/>
        <v>CATV</v>
      </c>
      <c r="D415" s="329" t="str">
        <f t="shared" si="113"/>
        <v/>
      </c>
      <c r="E415" s="329" t="str">
        <f t="shared" si="114"/>
        <v/>
      </c>
      <c r="F415" s="329" t="str">
        <f t="shared" si="115"/>
        <v>Large TV - CATV Feed</v>
      </c>
      <c r="G415" s="329" t="str">
        <f t="shared" si="116"/>
        <v>TVLGIP - TV - Large - IPTV</v>
      </c>
      <c r="H415" s="269"/>
      <c r="I415" s="330">
        <f t="shared" si="121"/>
        <v>1</v>
      </c>
      <c r="J415" s="330">
        <f t="shared" si="121"/>
        <v>0</v>
      </c>
      <c r="K415" s="364">
        <v>1</v>
      </c>
      <c r="L415" s="330">
        <f t="shared" si="120"/>
        <v>1</v>
      </c>
      <c r="M415" s="330">
        <f t="shared" si="122"/>
        <v>0</v>
      </c>
      <c r="N415" s="447">
        <v>0</v>
      </c>
      <c r="O415" s="366" t="s">
        <v>511</v>
      </c>
      <c r="P415" s="367" t="s">
        <v>149</v>
      </c>
      <c r="Q415" s="366" t="s">
        <v>397</v>
      </c>
      <c r="R415" s="367" t="s">
        <v>397</v>
      </c>
      <c r="S415" s="367" t="s">
        <v>737</v>
      </c>
      <c r="T415" s="274" t="str">
        <f t="shared" si="119"/>
        <v>LOC Competition</v>
      </c>
      <c r="U415" s="275"/>
      <c r="V415" s="368" t="s">
        <v>247</v>
      </c>
    </row>
    <row r="416" spans="1:22" s="276" customFormat="1" hidden="1">
      <c r="A416" s="362" t="s">
        <v>237</v>
      </c>
      <c r="B416" s="329" t="str">
        <f t="shared" si="118"/>
        <v>TV - Large - IPTV</v>
      </c>
      <c r="C416" s="329" t="str">
        <f t="shared" si="117"/>
        <v>CATV</v>
      </c>
      <c r="D416" s="329"/>
      <c r="E416" s="329"/>
      <c r="F416" s="329"/>
      <c r="G416" s="329"/>
      <c r="H416" s="269"/>
      <c r="I416" s="330"/>
      <c r="J416" s="330"/>
      <c r="K416" s="364">
        <v>2</v>
      </c>
      <c r="L416" s="330">
        <f t="shared" si="120"/>
        <v>2</v>
      </c>
      <c r="M416" s="330">
        <f t="shared" si="122"/>
        <v>0</v>
      </c>
      <c r="N416" s="447"/>
      <c r="O416" s="366" t="s">
        <v>511</v>
      </c>
      <c r="P416" s="367" t="s">
        <v>149</v>
      </c>
      <c r="Q416" s="366" t="s">
        <v>845</v>
      </c>
      <c r="R416" s="367" t="s">
        <v>1936</v>
      </c>
      <c r="S416" s="367" t="s">
        <v>737</v>
      </c>
      <c r="T416" s="274" t="str">
        <f t="shared" si="119"/>
        <v>LOC Competition</v>
      </c>
      <c r="U416" s="275" t="s">
        <v>1937</v>
      </c>
      <c r="V416" s="368"/>
    </row>
    <row r="417" spans="1:22" s="276" customFormat="1" ht="15" hidden="1" customHeight="1">
      <c r="A417" s="362" t="s">
        <v>191</v>
      </c>
      <c r="B417" s="329" t="str">
        <f t="shared" si="118"/>
        <v>IT Solution - Router + 4G</v>
      </c>
      <c r="C417" s="329" t="str">
        <f t="shared" si="117"/>
        <v>FIFA IT Network Solutions</v>
      </c>
      <c r="D417" s="329" t="str">
        <f t="shared" ref="D417:D448" si="123">IF(OR($A417="",$O417&lt;&gt;"FIFA Event Technology"),"",IF(VLOOKUP($A417,ps_table,MATCH(D$2,ps_headers,0),FALSE)&lt;&gt;"",VLOOKUP($A417,ps_table,MATCH(D$2,ps_headers,0),FALSE),""))</f>
        <v/>
      </c>
      <c r="E417" s="329" t="str">
        <f t="shared" ref="E417:E448" si="124">IF($A417="","",IF(VLOOKUP($A417,ps_table,MATCH(E$2,ps_headers,0),FALSE)&lt;&gt;"",VLOOKUP($A417,ps_table,MATCH(E$2,ps_headers,0),FALSE),""))</f>
        <v/>
      </c>
      <c r="F417" s="329" t="str">
        <f t="shared" ref="F417:F448" si="125">IF($A417="","",VLOOKUP($A417,ps_table,MATCH(F$2,ps_headers,0),FALSE))</f>
        <v>IT Solution - Router + 4G</v>
      </c>
      <c r="G417" s="329" t="str">
        <f t="shared" ref="G417:G448" si="126">IF($A417="","",IF(E417&lt;&gt;"",A417&amp;" - "&amp;B417&amp;" ("&amp;E417&amp;")",A417&amp;" - "&amp;B417))</f>
        <v>ITSR4G - IT Solution - Router + 4G</v>
      </c>
      <c r="H417" s="269"/>
      <c r="I417" s="330">
        <f t="shared" ref="I417:J436" si="127">IF($A417="","",$K417*VLOOKUP($A417,ps_table,MATCH(I$2,ps_headers,0),FALSE))</f>
        <v>0</v>
      </c>
      <c r="J417" s="330">
        <f t="shared" si="127"/>
        <v>2</v>
      </c>
      <c r="K417" s="364">
        <v>2</v>
      </c>
      <c r="L417" s="330">
        <f t="shared" si="120"/>
        <v>0</v>
      </c>
      <c r="M417" s="330">
        <f t="shared" si="122"/>
        <v>2</v>
      </c>
      <c r="N417" s="447">
        <v>0</v>
      </c>
      <c r="O417" s="366" t="s">
        <v>511</v>
      </c>
      <c r="P417" s="367" t="s">
        <v>149</v>
      </c>
      <c r="Q417" s="366" t="s">
        <v>245</v>
      </c>
      <c r="R417" s="367" t="s">
        <v>401</v>
      </c>
      <c r="S417" s="367" t="s">
        <v>738</v>
      </c>
      <c r="T417" s="274" t="str">
        <f t="shared" si="119"/>
        <v>LOC Mobility</v>
      </c>
      <c r="U417" s="275" t="s">
        <v>739</v>
      </c>
      <c r="V417" s="368" t="s">
        <v>520</v>
      </c>
    </row>
    <row r="418" spans="1:22" s="276" customFormat="1" hidden="1">
      <c r="A418" s="362" t="s">
        <v>202</v>
      </c>
      <c r="B418" s="329" t="str">
        <f t="shared" si="118"/>
        <v>MFD Desktop - Colour - A4 - Network</v>
      </c>
      <c r="C418" s="329" t="str">
        <f t="shared" si="117"/>
        <v>Reprographics</v>
      </c>
      <c r="D418" s="329" t="str">
        <f t="shared" si="123"/>
        <v/>
      </c>
      <c r="E418" s="329" t="str">
        <f t="shared" si="124"/>
        <v>General Internet Access</v>
      </c>
      <c r="F418" s="329" t="str">
        <f t="shared" si="125"/>
        <v>Colour Printer / Scanner (A4)</v>
      </c>
      <c r="G418" s="329" t="str">
        <f t="shared" si="126"/>
        <v>MFDDNW - MFD Desktop - Colour - A4 - Network (General Internet Access)</v>
      </c>
      <c r="H418" s="269"/>
      <c r="I418" s="330">
        <f t="shared" si="127"/>
        <v>1</v>
      </c>
      <c r="J418" s="330">
        <f t="shared" si="127"/>
        <v>0</v>
      </c>
      <c r="K418" s="364">
        <v>1</v>
      </c>
      <c r="L418" s="330">
        <f t="shared" si="120"/>
        <v>1</v>
      </c>
      <c r="M418" s="330">
        <f t="shared" si="122"/>
        <v>0</v>
      </c>
      <c r="N418" s="447">
        <v>0</v>
      </c>
      <c r="O418" s="366" t="s">
        <v>511</v>
      </c>
      <c r="P418" s="367" t="s">
        <v>149</v>
      </c>
      <c r="Q418" s="366" t="s">
        <v>245</v>
      </c>
      <c r="R418" s="367" t="s">
        <v>401</v>
      </c>
      <c r="S418" s="367" t="s">
        <v>738</v>
      </c>
      <c r="T418" s="274" t="str">
        <f t="shared" si="119"/>
        <v>LOC Mobility</v>
      </c>
      <c r="U418" s="275"/>
      <c r="V418" s="368" t="s">
        <v>514</v>
      </c>
    </row>
    <row r="419" spans="1:22" s="276" customFormat="1" hidden="1">
      <c r="A419" s="362" t="s">
        <v>202</v>
      </c>
      <c r="B419" s="329" t="str">
        <f t="shared" si="118"/>
        <v>MFD Desktop - Colour - A4 - Network</v>
      </c>
      <c r="C419" s="329" t="str">
        <f t="shared" si="117"/>
        <v>Reprographics</v>
      </c>
      <c r="D419" s="329" t="str">
        <f t="shared" si="123"/>
        <v/>
      </c>
      <c r="E419" s="329" t="str">
        <f t="shared" si="124"/>
        <v>General Internet Access</v>
      </c>
      <c r="F419" s="329" t="str">
        <f t="shared" si="125"/>
        <v>Colour Printer / Scanner (A4)</v>
      </c>
      <c r="G419" s="329" t="str">
        <f t="shared" si="126"/>
        <v>MFDDNW - MFD Desktop - Colour - A4 - Network (General Internet Access)</v>
      </c>
      <c r="H419" s="269"/>
      <c r="I419" s="330">
        <f t="shared" si="127"/>
        <v>0</v>
      </c>
      <c r="J419" s="330">
        <f t="shared" si="127"/>
        <v>0</v>
      </c>
      <c r="K419" s="364">
        <v>0</v>
      </c>
      <c r="L419" s="330">
        <f t="shared" si="120"/>
        <v>0</v>
      </c>
      <c r="M419" s="330">
        <f t="shared" si="122"/>
        <v>0</v>
      </c>
      <c r="N419" s="447"/>
      <c r="O419" s="366" t="s">
        <v>511</v>
      </c>
      <c r="P419" s="367" t="s">
        <v>197</v>
      </c>
      <c r="Q419" s="366" t="s">
        <v>404</v>
      </c>
      <c r="R419" s="367" t="s">
        <v>405</v>
      </c>
      <c r="S419" s="367" t="s">
        <v>738</v>
      </c>
      <c r="T419" s="274" t="str">
        <f t="shared" si="119"/>
        <v>LOC Mobility</v>
      </c>
      <c r="U419" s="275" t="s">
        <v>722</v>
      </c>
      <c r="V419" s="368" t="s">
        <v>514</v>
      </c>
    </row>
    <row r="420" spans="1:22" s="276" customFormat="1" ht="15" hidden="1" customHeight="1">
      <c r="A420" s="362" t="s">
        <v>591</v>
      </c>
      <c r="B420" s="329" t="str">
        <f t="shared" si="118"/>
        <v>Laptop - FIFA Event Build</v>
      </c>
      <c r="C420" s="329" t="str">
        <f t="shared" si="117"/>
        <v>FIFA IT Hardware</v>
      </c>
      <c r="D420" s="329" t="str">
        <f t="shared" si="123"/>
        <v/>
      </c>
      <c r="E420" s="329" t="str">
        <f t="shared" si="124"/>
        <v/>
      </c>
      <c r="F420" s="329" t="str">
        <f t="shared" si="125"/>
        <v>FIFA Laptop</v>
      </c>
      <c r="G420" s="329" t="str">
        <f t="shared" si="126"/>
        <v>LAPEVT - Laptop - FIFA Event Build</v>
      </c>
      <c r="H420" s="269"/>
      <c r="I420" s="330">
        <f t="shared" si="127"/>
        <v>0</v>
      </c>
      <c r="J420" s="330">
        <f t="shared" si="127"/>
        <v>0</v>
      </c>
      <c r="K420" s="364">
        <v>0</v>
      </c>
      <c r="L420" s="330">
        <f t="shared" si="120"/>
        <v>0</v>
      </c>
      <c r="M420" s="330">
        <f t="shared" si="122"/>
        <v>0</v>
      </c>
      <c r="N420" s="447"/>
      <c r="O420" s="366" t="s">
        <v>511</v>
      </c>
      <c r="P420" s="367" t="s">
        <v>197</v>
      </c>
      <c r="Q420" s="366" t="s">
        <v>404</v>
      </c>
      <c r="R420" s="367" t="s">
        <v>405</v>
      </c>
      <c r="S420" s="367" t="s">
        <v>738</v>
      </c>
      <c r="T420" s="274" t="str">
        <f t="shared" si="119"/>
        <v>LOC Mobility</v>
      </c>
      <c r="U420" s="275" t="s">
        <v>722</v>
      </c>
      <c r="V420" s="368" t="s">
        <v>514</v>
      </c>
    </row>
    <row r="421" spans="1:22" s="276" customFormat="1" hidden="1">
      <c r="A421" s="362" t="s">
        <v>329</v>
      </c>
      <c r="B421" s="329" t="str">
        <f t="shared" si="118"/>
        <v>24" Monitor - HDMI/DP</v>
      </c>
      <c r="C421" s="329" t="str">
        <f t="shared" si="117"/>
        <v>Peripherals</v>
      </c>
      <c r="D421" s="329" t="str">
        <f t="shared" si="123"/>
        <v/>
      </c>
      <c r="E421" s="329" t="str">
        <f t="shared" si="124"/>
        <v/>
      </c>
      <c r="F421" s="329" t="str">
        <f t="shared" si="125"/>
        <v>24" PC Monitor</v>
      </c>
      <c r="G421" s="329" t="str">
        <f t="shared" si="126"/>
        <v>DSKMNT - 24" Monitor - HDMI/DP</v>
      </c>
      <c r="H421" s="269"/>
      <c r="I421" s="330">
        <f t="shared" si="127"/>
        <v>0</v>
      </c>
      <c r="J421" s="330">
        <f t="shared" si="127"/>
        <v>0</v>
      </c>
      <c r="K421" s="364">
        <v>0</v>
      </c>
      <c r="L421" s="330">
        <f t="shared" si="120"/>
        <v>0</v>
      </c>
      <c r="M421" s="330">
        <f t="shared" si="122"/>
        <v>0</v>
      </c>
      <c r="N421" s="447"/>
      <c r="O421" s="366" t="s">
        <v>511</v>
      </c>
      <c r="P421" s="367" t="s">
        <v>197</v>
      </c>
      <c r="Q421" s="366" t="s">
        <v>404</v>
      </c>
      <c r="R421" s="367" t="s">
        <v>405</v>
      </c>
      <c r="S421" s="367" t="s">
        <v>738</v>
      </c>
      <c r="T421" s="274" t="str">
        <f t="shared" si="119"/>
        <v>LOC Mobility</v>
      </c>
      <c r="U421" s="275" t="s">
        <v>722</v>
      </c>
      <c r="V421" s="368" t="s">
        <v>514</v>
      </c>
    </row>
    <row r="422" spans="1:22" s="276" customFormat="1" ht="15" hidden="1" customHeight="1">
      <c r="A422" s="362" t="s">
        <v>519</v>
      </c>
      <c r="B422" s="329" t="str">
        <f t="shared" si="118"/>
        <v>Wireless coverage - Shared Internet Service - Wi-Fi FIFA</v>
      </c>
      <c r="C422" s="329" t="str">
        <f t="shared" si="117"/>
        <v>Network &amp; Connectivity</v>
      </c>
      <c r="D422" s="329" t="str">
        <f t="shared" si="123"/>
        <v/>
      </c>
      <c r="E422" s="329" t="str">
        <f t="shared" si="124"/>
        <v>General Internet Access</v>
      </c>
      <c r="F422" s="329" t="str">
        <f t="shared" si="125"/>
        <v>Wireless coverage - Shared Internet Service - FIFA</v>
      </c>
      <c r="G422" s="329" t="str">
        <f t="shared" si="126"/>
        <v>IS00WF - Wireless coverage - Shared Internet Service - Wi-Fi FIFA (General Internet Access)</v>
      </c>
      <c r="H422" s="269"/>
      <c r="I422" s="330">
        <f t="shared" si="127"/>
        <v>0</v>
      </c>
      <c r="J422" s="330">
        <f t="shared" si="127"/>
        <v>0</v>
      </c>
      <c r="K422" s="364">
        <v>0</v>
      </c>
      <c r="L422" s="330">
        <f t="shared" si="120"/>
        <v>0</v>
      </c>
      <c r="M422" s="330">
        <f t="shared" si="122"/>
        <v>0</v>
      </c>
      <c r="N422" s="447"/>
      <c r="O422" s="366" t="s">
        <v>511</v>
      </c>
      <c r="P422" s="367" t="s">
        <v>197</v>
      </c>
      <c r="Q422" s="366" t="s">
        <v>404</v>
      </c>
      <c r="R422" s="367" t="s">
        <v>405</v>
      </c>
      <c r="S422" s="367" t="s">
        <v>738</v>
      </c>
      <c r="T422" s="274" t="str">
        <f t="shared" si="119"/>
        <v>LOC Mobility</v>
      </c>
      <c r="U422" s="275" t="s">
        <v>722</v>
      </c>
      <c r="V422" s="368" t="s">
        <v>520</v>
      </c>
    </row>
    <row r="423" spans="1:22" s="276" customFormat="1" hidden="1">
      <c r="A423" s="362" t="s">
        <v>216</v>
      </c>
      <c r="B423" s="329" t="str">
        <f t="shared" si="118"/>
        <v>Barcode scanner</v>
      </c>
      <c r="C423" s="329" t="str">
        <f t="shared" si="117"/>
        <v>Peripherals</v>
      </c>
      <c r="D423" s="329" t="str">
        <f t="shared" si="123"/>
        <v/>
      </c>
      <c r="E423" s="329" t="str">
        <f t="shared" si="124"/>
        <v/>
      </c>
      <c r="F423" s="329" t="str">
        <f t="shared" si="125"/>
        <v>Barcode scanner</v>
      </c>
      <c r="G423" s="329" t="str">
        <f t="shared" si="126"/>
        <v>ACCBAR - Barcode scanner</v>
      </c>
      <c r="H423" s="269"/>
      <c r="I423" s="330">
        <f t="shared" si="127"/>
        <v>0</v>
      </c>
      <c r="J423" s="330">
        <f t="shared" si="127"/>
        <v>0</v>
      </c>
      <c r="K423" s="364">
        <v>0</v>
      </c>
      <c r="L423" s="330">
        <f t="shared" si="120"/>
        <v>0</v>
      </c>
      <c r="M423" s="330">
        <f t="shared" si="122"/>
        <v>0</v>
      </c>
      <c r="N423" s="447"/>
      <c r="O423" s="366" t="s">
        <v>511</v>
      </c>
      <c r="P423" s="367" t="s">
        <v>197</v>
      </c>
      <c r="Q423" s="366" t="s">
        <v>404</v>
      </c>
      <c r="R423" s="367" t="s">
        <v>405</v>
      </c>
      <c r="S423" s="367" t="s">
        <v>738</v>
      </c>
      <c r="T423" s="274" t="str">
        <f t="shared" si="119"/>
        <v>LOC Mobility</v>
      </c>
      <c r="U423" s="275" t="s">
        <v>722</v>
      </c>
      <c r="V423" s="368" t="s">
        <v>514</v>
      </c>
    </row>
    <row r="424" spans="1:22" s="276" customFormat="1" hidden="1">
      <c r="A424" s="362" t="s">
        <v>237</v>
      </c>
      <c r="B424" s="329" t="str">
        <f t="shared" si="118"/>
        <v>TV - Large - IPTV</v>
      </c>
      <c r="C424" s="329" t="str">
        <f t="shared" si="117"/>
        <v>CATV</v>
      </c>
      <c r="D424" s="329" t="str">
        <f t="shared" si="123"/>
        <v/>
      </c>
      <c r="E424" s="329" t="str">
        <f t="shared" si="124"/>
        <v/>
      </c>
      <c r="F424" s="329" t="str">
        <f t="shared" si="125"/>
        <v>Large TV - CATV Feed</v>
      </c>
      <c r="G424" s="329" t="str">
        <f t="shared" si="126"/>
        <v>TVLGIP - TV - Large - IPTV</v>
      </c>
      <c r="H424" s="269"/>
      <c r="I424" s="330">
        <f t="shared" si="127"/>
        <v>0</v>
      </c>
      <c r="J424" s="330">
        <f t="shared" si="127"/>
        <v>0</v>
      </c>
      <c r="K424" s="364">
        <v>0</v>
      </c>
      <c r="L424" s="330">
        <f t="shared" si="120"/>
        <v>0</v>
      </c>
      <c r="M424" s="330">
        <f t="shared" ref="M424:M455" si="128">IF($A424="","",$K424*VLOOKUP($A424,ps_table,MATCH(M$2,ps_headers,0),FALSE))</f>
        <v>0</v>
      </c>
      <c r="N424" s="447"/>
      <c r="O424" s="366" t="s">
        <v>511</v>
      </c>
      <c r="P424" s="367" t="s">
        <v>197</v>
      </c>
      <c r="Q424" s="366" t="s">
        <v>404</v>
      </c>
      <c r="R424" s="367" t="s">
        <v>411</v>
      </c>
      <c r="S424" s="367" t="s">
        <v>738</v>
      </c>
      <c r="T424" s="274" t="str">
        <f t="shared" si="119"/>
        <v>LOC Mobility</v>
      </c>
      <c r="U424" s="275" t="s">
        <v>722</v>
      </c>
      <c r="V424" s="368" t="s">
        <v>247</v>
      </c>
    </row>
    <row r="425" spans="1:22" s="276" customFormat="1" ht="15" hidden="1" customHeight="1">
      <c r="A425" s="362" t="s">
        <v>249</v>
      </c>
      <c r="B425" s="329" t="str">
        <f t="shared" si="118"/>
        <v>TV - Large - Standalone</v>
      </c>
      <c r="C425" s="329" t="str">
        <f t="shared" si="117"/>
        <v>Display Devices</v>
      </c>
      <c r="D425" s="329" t="str">
        <f t="shared" si="123"/>
        <v/>
      </c>
      <c r="E425" s="329" t="str">
        <f t="shared" si="124"/>
        <v/>
      </c>
      <c r="F425" s="329" t="str">
        <f t="shared" si="125"/>
        <v>Large TV - Standalone</v>
      </c>
      <c r="G425" s="329" t="str">
        <f t="shared" si="126"/>
        <v>TVLGSA - TV - Large - Standalone</v>
      </c>
      <c r="H425" s="269"/>
      <c r="I425" s="330">
        <f t="shared" si="127"/>
        <v>0</v>
      </c>
      <c r="J425" s="330">
        <f t="shared" si="127"/>
        <v>0</v>
      </c>
      <c r="K425" s="364">
        <v>0</v>
      </c>
      <c r="L425" s="330">
        <f t="shared" si="120"/>
        <v>0</v>
      </c>
      <c r="M425" s="330">
        <f t="shared" si="128"/>
        <v>0</v>
      </c>
      <c r="N425" s="447"/>
      <c r="O425" s="366" t="s">
        <v>511</v>
      </c>
      <c r="P425" s="367" t="s">
        <v>197</v>
      </c>
      <c r="Q425" s="366" t="s">
        <v>404</v>
      </c>
      <c r="R425" s="367" t="s">
        <v>411</v>
      </c>
      <c r="S425" s="367" t="s">
        <v>738</v>
      </c>
      <c r="T425" s="274" t="str">
        <f t="shared" si="119"/>
        <v>LOC Mobility</v>
      </c>
      <c r="U425" s="275" t="s">
        <v>722</v>
      </c>
      <c r="V425" s="368" t="s">
        <v>514</v>
      </c>
    </row>
    <row r="426" spans="1:22" s="276" customFormat="1" hidden="1">
      <c r="A426" s="362" t="s">
        <v>207</v>
      </c>
      <c r="B426" s="329" t="str">
        <f t="shared" si="118"/>
        <v>MFD Large - Colour - A3 - Network</v>
      </c>
      <c r="C426" s="329" t="str">
        <f t="shared" si="117"/>
        <v>Reprographics</v>
      </c>
      <c r="D426" s="329" t="str">
        <f t="shared" si="123"/>
        <v/>
      </c>
      <c r="E426" s="329" t="str">
        <f t="shared" si="124"/>
        <v>General Internet Access</v>
      </c>
      <c r="F426" s="329" t="str">
        <f t="shared" si="125"/>
        <v>Large Colour Printer / Scanner (A3)</v>
      </c>
      <c r="G426" s="329" t="str">
        <f t="shared" si="126"/>
        <v>MFDLNW - MFD Large - Colour - A3 - Network (General Internet Access)</v>
      </c>
      <c r="H426" s="269"/>
      <c r="I426" s="330">
        <f t="shared" si="127"/>
        <v>0</v>
      </c>
      <c r="J426" s="330">
        <f t="shared" si="127"/>
        <v>0</v>
      </c>
      <c r="K426" s="364">
        <v>0</v>
      </c>
      <c r="L426" s="330">
        <f t="shared" si="120"/>
        <v>0</v>
      </c>
      <c r="M426" s="330">
        <f t="shared" si="128"/>
        <v>0</v>
      </c>
      <c r="N426" s="447"/>
      <c r="O426" s="366" t="s">
        <v>511</v>
      </c>
      <c r="P426" s="367" t="s">
        <v>197</v>
      </c>
      <c r="Q426" s="366" t="s">
        <v>404</v>
      </c>
      <c r="R426" s="367" t="s">
        <v>411</v>
      </c>
      <c r="S426" s="367" t="s">
        <v>738</v>
      </c>
      <c r="T426" s="274" t="str">
        <f t="shared" si="119"/>
        <v>LOC Mobility</v>
      </c>
      <c r="U426" s="275" t="s">
        <v>722</v>
      </c>
      <c r="V426" s="368" t="s">
        <v>514</v>
      </c>
    </row>
    <row r="427" spans="1:22" s="276" customFormat="1" ht="15" hidden="1" customHeight="1">
      <c r="A427" s="362" t="s">
        <v>567</v>
      </c>
      <c r="B427" s="329" t="str">
        <f t="shared" si="118"/>
        <v>Wired Port - ACR-TKT-Ipcodec</v>
      </c>
      <c r="C427" s="329" t="str">
        <f t="shared" si="117"/>
        <v>Network &amp; Connectivity</v>
      </c>
      <c r="D427" s="329" t="str">
        <f t="shared" si="123"/>
        <v/>
      </c>
      <c r="E427" s="329" t="str">
        <f t="shared" si="124"/>
        <v>FIFA Standard Internet Access</v>
      </c>
      <c r="F427" s="329" t="str">
        <f t="shared" si="125"/>
        <v>Wired Port - ACR-TKT-Ipcodec</v>
      </c>
      <c r="G427" s="329" t="str">
        <f t="shared" si="126"/>
        <v>WRDSTA - Wired Port - ACR-TKT-Ipcodec (FIFA Standard Internet Access)</v>
      </c>
      <c r="H427" s="269"/>
      <c r="I427" s="330">
        <f t="shared" si="127"/>
        <v>8</v>
      </c>
      <c r="J427" s="330">
        <f t="shared" si="127"/>
        <v>0</v>
      </c>
      <c r="K427" s="365">
        <v>8</v>
      </c>
      <c r="L427" s="330">
        <f t="shared" si="120"/>
        <v>8</v>
      </c>
      <c r="M427" s="330">
        <f t="shared" si="128"/>
        <v>0</v>
      </c>
      <c r="N427" s="447"/>
      <c r="O427" s="371" t="s">
        <v>511</v>
      </c>
      <c r="P427" s="367" t="s">
        <v>149</v>
      </c>
      <c r="Q427" s="371" t="s">
        <v>245</v>
      </c>
      <c r="R427" s="372" t="s">
        <v>425</v>
      </c>
      <c r="S427" s="371" t="s">
        <v>740</v>
      </c>
      <c r="T427" s="274" t="str">
        <f t="shared" si="119"/>
        <v>LOC Ticketing</v>
      </c>
      <c r="U427" s="369" t="s">
        <v>741</v>
      </c>
      <c r="V427" s="368" t="s">
        <v>520</v>
      </c>
    </row>
    <row r="428" spans="1:22" s="276" customFormat="1" ht="15" hidden="1" customHeight="1">
      <c r="A428" s="362" t="s">
        <v>519</v>
      </c>
      <c r="B428" s="329" t="str">
        <f t="shared" si="118"/>
        <v>Wireless coverage - Shared Internet Service - Wi-Fi FIFA</v>
      </c>
      <c r="C428" s="329" t="str">
        <f t="shared" si="117"/>
        <v>Network &amp; Connectivity</v>
      </c>
      <c r="D428" s="329" t="str">
        <f t="shared" si="123"/>
        <v/>
      </c>
      <c r="E428" s="329" t="str">
        <f t="shared" si="124"/>
        <v>General Internet Access</v>
      </c>
      <c r="F428" s="329" t="str">
        <f t="shared" si="125"/>
        <v>Wireless coverage - Shared Internet Service - FIFA</v>
      </c>
      <c r="G428" s="329" t="str">
        <f t="shared" si="126"/>
        <v>IS00WF - Wireless coverage - Shared Internet Service - Wi-Fi FIFA (General Internet Access)</v>
      </c>
      <c r="H428" s="269"/>
      <c r="I428" s="330">
        <f t="shared" si="127"/>
        <v>0</v>
      </c>
      <c r="J428" s="330">
        <f t="shared" si="127"/>
        <v>0</v>
      </c>
      <c r="K428" s="365">
        <v>2</v>
      </c>
      <c r="L428" s="330">
        <f t="shared" si="120"/>
        <v>0</v>
      </c>
      <c r="M428" s="330">
        <f t="shared" si="128"/>
        <v>0</v>
      </c>
      <c r="N428" s="447"/>
      <c r="O428" s="371" t="s">
        <v>511</v>
      </c>
      <c r="P428" s="367" t="s">
        <v>149</v>
      </c>
      <c r="Q428" s="371" t="s">
        <v>245</v>
      </c>
      <c r="R428" s="372" t="s">
        <v>425</v>
      </c>
      <c r="S428" s="371" t="s">
        <v>740</v>
      </c>
      <c r="T428" s="274" t="str">
        <f t="shared" si="119"/>
        <v>LOC Ticketing</v>
      </c>
      <c r="U428" s="340" t="s">
        <v>742</v>
      </c>
      <c r="V428" s="368" t="s">
        <v>520</v>
      </c>
    </row>
    <row r="429" spans="1:22" s="276" customFormat="1" hidden="1">
      <c r="A429" s="362" t="s">
        <v>202</v>
      </c>
      <c r="B429" s="329" t="str">
        <f t="shared" si="118"/>
        <v>MFD Desktop - Colour - A4 - Network</v>
      </c>
      <c r="C429" s="329" t="str">
        <f t="shared" si="117"/>
        <v>Reprographics</v>
      </c>
      <c r="D429" s="329" t="str">
        <f t="shared" si="123"/>
        <v/>
      </c>
      <c r="E429" s="329" t="str">
        <f t="shared" si="124"/>
        <v>General Internet Access</v>
      </c>
      <c r="F429" s="329" t="str">
        <f t="shared" si="125"/>
        <v>Colour Printer / Scanner (A4)</v>
      </c>
      <c r="G429" s="329" t="str">
        <f t="shared" si="126"/>
        <v>MFDDNW - MFD Desktop - Colour - A4 - Network (General Internet Access)</v>
      </c>
      <c r="H429" s="269"/>
      <c r="I429" s="330">
        <f t="shared" si="127"/>
        <v>2</v>
      </c>
      <c r="J429" s="330">
        <f t="shared" si="127"/>
        <v>0</v>
      </c>
      <c r="K429" s="365">
        <v>2</v>
      </c>
      <c r="L429" s="330">
        <f t="shared" si="120"/>
        <v>2</v>
      </c>
      <c r="M429" s="330">
        <f t="shared" si="128"/>
        <v>0</v>
      </c>
      <c r="N429" s="447">
        <v>2</v>
      </c>
      <c r="O429" s="371" t="s">
        <v>511</v>
      </c>
      <c r="P429" s="367" t="s">
        <v>149</v>
      </c>
      <c r="Q429" s="371" t="s">
        <v>245</v>
      </c>
      <c r="R429" s="372" t="s">
        <v>425</v>
      </c>
      <c r="S429" s="371" t="s">
        <v>740</v>
      </c>
      <c r="T429" s="274" t="str">
        <f t="shared" si="119"/>
        <v>LOC Ticketing</v>
      </c>
      <c r="U429" s="275" t="s">
        <v>743</v>
      </c>
      <c r="V429" s="368" t="s">
        <v>514</v>
      </c>
    </row>
    <row r="430" spans="1:22" s="276" customFormat="1" ht="15" hidden="1" customHeight="1">
      <c r="A430" s="362" t="s">
        <v>191</v>
      </c>
      <c r="B430" s="329" t="str">
        <f t="shared" si="118"/>
        <v>IT Solution - Router + 4G</v>
      </c>
      <c r="C430" s="329" t="str">
        <f t="shared" si="117"/>
        <v>FIFA IT Network Solutions</v>
      </c>
      <c r="D430" s="329" t="str">
        <f t="shared" si="123"/>
        <v/>
      </c>
      <c r="E430" s="329" t="str">
        <f t="shared" si="124"/>
        <v/>
      </c>
      <c r="F430" s="329" t="str">
        <f t="shared" si="125"/>
        <v>IT Solution - Router + 4G</v>
      </c>
      <c r="G430" s="329" t="str">
        <f t="shared" si="126"/>
        <v>ITSR4G - IT Solution - Router + 4G</v>
      </c>
      <c r="H430" s="269"/>
      <c r="I430" s="330">
        <f t="shared" si="127"/>
        <v>0</v>
      </c>
      <c r="J430" s="330">
        <f t="shared" si="127"/>
        <v>2</v>
      </c>
      <c r="K430" s="365">
        <v>2</v>
      </c>
      <c r="L430" s="330">
        <f t="shared" si="120"/>
        <v>0</v>
      </c>
      <c r="M430" s="330">
        <f t="shared" si="128"/>
        <v>2</v>
      </c>
      <c r="N430" s="447">
        <v>4</v>
      </c>
      <c r="O430" s="371" t="s">
        <v>511</v>
      </c>
      <c r="P430" s="367" t="s">
        <v>149</v>
      </c>
      <c r="Q430" s="371" t="s">
        <v>245</v>
      </c>
      <c r="R430" s="372" t="s">
        <v>425</v>
      </c>
      <c r="S430" s="371" t="s">
        <v>740</v>
      </c>
      <c r="T430" s="274" t="str">
        <f t="shared" si="119"/>
        <v>LOC Ticketing</v>
      </c>
      <c r="U430" s="368" t="s">
        <v>432</v>
      </c>
      <c r="V430" s="368" t="s">
        <v>520</v>
      </c>
    </row>
    <row r="431" spans="1:22" s="276" customFormat="1" ht="15" hidden="1" customHeight="1">
      <c r="A431" s="362" t="s">
        <v>591</v>
      </c>
      <c r="B431" s="329" t="str">
        <f t="shared" si="118"/>
        <v>Laptop - FIFA Event Build</v>
      </c>
      <c r="C431" s="329" t="str">
        <f t="shared" si="117"/>
        <v>FIFA IT Hardware</v>
      </c>
      <c r="D431" s="329" t="str">
        <f t="shared" si="123"/>
        <v/>
      </c>
      <c r="E431" s="329" t="str">
        <f t="shared" si="124"/>
        <v/>
      </c>
      <c r="F431" s="329" t="str">
        <f t="shared" si="125"/>
        <v>FIFA Laptop</v>
      </c>
      <c r="G431" s="329" t="str">
        <f t="shared" si="126"/>
        <v>LAPEVT - Laptop - FIFA Event Build</v>
      </c>
      <c r="H431" s="269"/>
      <c r="I431" s="330">
        <f t="shared" si="127"/>
        <v>0</v>
      </c>
      <c r="J431" s="330">
        <f t="shared" si="127"/>
        <v>0</v>
      </c>
      <c r="K431" s="365">
        <v>0</v>
      </c>
      <c r="L431" s="330">
        <f t="shared" si="120"/>
        <v>0</v>
      </c>
      <c r="M431" s="330">
        <f t="shared" si="128"/>
        <v>0</v>
      </c>
      <c r="N431" s="447">
        <v>15</v>
      </c>
      <c r="O431" s="371" t="s">
        <v>511</v>
      </c>
      <c r="P431" s="367" t="s">
        <v>149</v>
      </c>
      <c r="Q431" s="371" t="s">
        <v>245</v>
      </c>
      <c r="R431" s="372" t="s">
        <v>425</v>
      </c>
      <c r="S431" s="371" t="s">
        <v>740</v>
      </c>
      <c r="T431" s="274" t="str">
        <f t="shared" si="119"/>
        <v>LOC Ticketing</v>
      </c>
      <c r="U431" s="275" t="s">
        <v>744</v>
      </c>
      <c r="V431" s="368" t="s">
        <v>514</v>
      </c>
    </row>
    <row r="432" spans="1:22" s="276" customFormat="1" ht="15" hidden="1" customHeight="1">
      <c r="A432" s="362" t="s">
        <v>519</v>
      </c>
      <c r="B432" s="329" t="str">
        <f t="shared" si="118"/>
        <v>Wireless coverage - Shared Internet Service - Wi-Fi FIFA</v>
      </c>
      <c r="C432" s="329" t="str">
        <f t="shared" si="117"/>
        <v>Network &amp; Connectivity</v>
      </c>
      <c r="D432" s="329" t="str">
        <f t="shared" si="123"/>
        <v/>
      </c>
      <c r="E432" s="329" t="str">
        <f t="shared" si="124"/>
        <v>General Internet Access</v>
      </c>
      <c r="F432" s="329" t="str">
        <f t="shared" si="125"/>
        <v>Wireless coverage - Shared Internet Service - FIFA</v>
      </c>
      <c r="G432" s="329" t="str">
        <f t="shared" si="126"/>
        <v>IS00WF - Wireless coverage - Shared Internet Service - Wi-Fi FIFA (General Internet Access)</v>
      </c>
      <c r="H432" s="269"/>
      <c r="I432" s="330">
        <f t="shared" si="127"/>
        <v>0</v>
      </c>
      <c r="J432" s="330">
        <f t="shared" si="127"/>
        <v>0</v>
      </c>
      <c r="K432" s="365">
        <v>2</v>
      </c>
      <c r="L432" s="330">
        <f t="shared" si="120"/>
        <v>0</v>
      </c>
      <c r="M432" s="330">
        <f t="shared" si="128"/>
        <v>0</v>
      </c>
      <c r="N432" s="447"/>
      <c r="O432" s="371" t="s">
        <v>511</v>
      </c>
      <c r="P432" s="367" t="s">
        <v>149</v>
      </c>
      <c r="Q432" s="371" t="s">
        <v>245</v>
      </c>
      <c r="R432" s="373" t="s">
        <v>745</v>
      </c>
      <c r="S432" s="371" t="s">
        <v>740</v>
      </c>
      <c r="T432" s="274" t="str">
        <f t="shared" si="119"/>
        <v>LOC Ticketing</v>
      </c>
      <c r="U432" s="340" t="s">
        <v>746</v>
      </c>
      <c r="V432" s="368" t="s">
        <v>520</v>
      </c>
    </row>
    <row r="433" spans="1:22" s="276" customFormat="1" ht="17.25" hidden="1" customHeight="1">
      <c r="A433" s="362" t="s">
        <v>188</v>
      </c>
      <c r="B433" s="329" t="str">
        <f t="shared" si="118"/>
        <v>SIM - Data Only</v>
      </c>
      <c r="C433" s="329" t="str">
        <f t="shared" si="117"/>
        <v>Telephony</v>
      </c>
      <c r="D433" s="329" t="str">
        <f t="shared" si="123"/>
        <v/>
      </c>
      <c r="E433" s="329" t="str">
        <f t="shared" si="124"/>
        <v/>
      </c>
      <c r="F433" s="329" t="str">
        <f t="shared" si="125"/>
        <v>Local SIM Card - Data Only</v>
      </c>
      <c r="G433" s="329" t="str">
        <f t="shared" si="126"/>
        <v>SIMDAT - SIM - Data Only</v>
      </c>
      <c r="H433" s="269"/>
      <c r="I433" s="330">
        <f t="shared" si="127"/>
        <v>0</v>
      </c>
      <c r="J433" s="330">
        <f t="shared" si="127"/>
        <v>15</v>
      </c>
      <c r="K433" s="365">
        <v>15</v>
      </c>
      <c r="L433" s="330">
        <f t="shared" si="120"/>
        <v>0</v>
      </c>
      <c r="M433" s="330">
        <f t="shared" si="128"/>
        <v>15</v>
      </c>
      <c r="N433" s="447">
        <v>0</v>
      </c>
      <c r="O433" s="371" t="s">
        <v>511</v>
      </c>
      <c r="P433" s="367" t="s">
        <v>149</v>
      </c>
      <c r="Q433" s="371" t="s">
        <v>245</v>
      </c>
      <c r="R433" s="374" t="s">
        <v>747</v>
      </c>
      <c r="S433" s="371" t="s">
        <v>740</v>
      </c>
      <c r="T433" s="274" t="str">
        <f t="shared" si="119"/>
        <v>LOC Ticketing</v>
      </c>
      <c r="U433" s="340" t="s">
        <v>748</v>
      </c>
      <c r="V433" s="368" t="s">
        <v>594</v>
      </c>
    </row>
    <row r="434" spans="1:22" s="276" customFormat="1" ht="15" hidden="1" customHeight="1">
      <c r="A434" s="362" t="s">
        <v>567</v>
      </c>
      <c r="B434" s="329" t="str">
        <f t="shared" si="118"/>
        <v>Wired Port - ACR-TKT-Ipcodec</v>
      </c>
      <c r="C434" s="329" t="str">
        <f t="shared" si="117"/>
        <v>Network &amp; Connectivity</v>
      </c>
      <c r="D434" s="329" t="str">
        <f t="shared" si="123"/>
        <v/>
      </c>
      <c r="E434" s="329" t="str">
        <f t="shared" si="124"/>
        <v>FIFA Standard Internet Access</v>
      </c>
      <c r="F434" s="329" t="str">
        <f t="shared" si="125"/>
        <v>Wired Port - ACR-TKT-Ipcodec</v>
      </c>
      <c r="G434" s="329" t="str">
        <f t="shared" si="126"/>
        <v>WRDSTA - Wired Port - ACR-TKT-Ipcodec (FIFA Standard Internet Access)</v>
      </c>
      <c r="H434" s="269"/>
      <c r="I434" s="330">
        <f t="shared" si="127"/>
        <v>0</v>
      </c>
      <c r="J434" s="330">
        <f t="shared" si="127"/>
        <v>0</v>
      </c>
      <c r="K434" s="365">
        <v>0</v>
      </c>
      <c r="L434" s="330">
        <f t="shared" si="120"/>
        <v>0</v>
      </c>
      <c r="M434" s="330">
        <f t="shared" si="128"/>
        <v>0</v>
      </c>
      <c r="N434" s="447"/>
      <c r="O434" s="371" t="s">
        <v>511</v>
      </c>
      <c r="P434" s="367" t="s">
        <v>149</v>
      </c>
      <c r="Q434" s="371" t="s">
        <v>440</v>
      </c>
      <c r="R434" s="372" t="s">
        <v>441</v>
      </c>
      <c r="S434" s="371" t="s">
        <v>740</v>
      </c>
      <c r="T434" s="274" t="str">
        <f t="shared" si="119"/>
        <v>LOC Ticketing</v>
      </c>
      <c r="U434" s="340" t="s">
        <v>749</v>
      </c>
      <c r="V434" s="368" t="s">
        <v>520</v>
      </c>
    </row>
    <row r="435" spans="1:22" s="276" customFormat="1" ht="15" hidden="1" customHeight="1">
      <c r="A435" s="362" t="s">
        <v>519</v>
      </c>
      <c r="B435" s="329" t="str">
        <f t="shared" si="118"/>
        <v>Wireless coverage - Shared Internet Service - Wi-Fi FIFA</v>
      </c>
      <c r="C435" s="329" t="str">
        <f t="shared" si="117"/>
        <v>Network &amp; Connectivity</v>
      </c>
      <c r="D435" s="329" t="str">
        <f t="shared" si="123"/>
        <v/>
      </c>
      <c r="E435" s="329" t="str">
        <f t="shared" si="124"/>
        <v>General Internet Access</v>
      </c>
      <c r="F435" s="329" t="str">
        <f t="shared" si="125"/>
        <v>Wireless coverage - Shared Internet Service - FIFA</v>
      </c>
      <c r="G435" s="329" t="str">
        <f t="shared" si="126"/>
        <v>IS00WF - Wireless coverage - Shared Internet Service - Wi-Fi FIFA (General Internet Access)</v>
      </c>
      <c r="H435" s="269"/>
      <c r="I435" s="330">
        <f t="shared" si="127"/>
        <v>0</v>
      </c>
      <c r="J435" s="330">
        <f t="shared" si="127"/>
        <v>0</v>
      </c>
      <c r="K435" s="365">
        <v>0</v>
      </c>
      <c r="L435" s="330">
        <f t="shared" si="120"/>
        <v>0</v>
      </c>
      <c r="M435" s="330">
        <f t="shared" si="128"/>
        <v>0</v>
      </c>
      <c r="N435" s="447"/>
      <c r="O435" s="371" t="s">
        <v>511</v>
      </c>
      <c r="P435" s="367" t="s">
        <v>149</v>
      </c>
      <c r="Q435" s="371" t="s">
        <v>440</v>
      </c>
      <c r="R435" s="372" t="s">
        <v>441</v>
      </c>
      <c r="S435" s="371" t="s">
        <v>740</v>
      </c>
      <c r="T435" s="274" t="str">
        <f t="shared" si="119"/>
        <v>LOC Ticketing</v>
      </c>
      <c r="U435" s="340" t="s">
        <v>749</v>
      </c>
      <c r="V435" s="368" t="s">
        <v>520</v>
      </c>
    </row>
    <row r="436" spans="1:22" s="276" customFormat="1" ht="15" hidden="1" customHeight="1">
      <c r="A436" s="362" t="s">
        <v>191</v>
      </c>
      <c r="B436" s="329" t="str">
        <f t="shared" si="118"/>
        <v>IT Solution - Router + 4G</v>
      </c>
      <c r="C436" s="329" t="str">
        <f t="shared" si="117"/>
        <v>FIFA IT Network Solutions</v>
      </c>
      <c r="D436" s="329" t="str">
        <f t="shared" si="123"/>
        <v/>
      </c>
      <c r="E436" s="329" t="str">
        <f t="shared" si="124"/>
        <v/>
      </c>
      <c r="F436" s="329" t="str">
        <f t="shared" si="125"/>
        <v>IT Solution - Router + 4G</v>
      </c>
      <c r="G436" s="329" t="str">
        <f t="shared" si="126"/>
        <v>ITSR4G - IT Solution - Router + 4G</v>
      </c>
      <c r="H436" s="269"/>
      <c r="I436" s="330">
        <f t="shared" si="127"/>
        <v>0</v>
      </c>
      <c r="J436" s="330">
        <f t="shared" si="127"/>
        <v>0</v>
      </c>
      <c r="K436" s="365">
        <v>0</v>
      </c>
      <c r="L436" s="330">
        <f t="shared" si="120"/>
        <v>0</v>
      </c>
      <c r="M436" s="330">
        <f t="shared" si="128"/>
        <v>0</v>
      </c>
      <c r="N436" s="447">
        <v>0</v>
      </c>
      <c r="O436" s="371" t="s">
        <v>511</v>
      </c>
      <c r="P436" s="367" t="s">
        <v>149</v>
      </c>
      <c r="Q436" s="371" t="s">
        <v>440</v>
      </c>
      <c r="R436" s="372" t="s">
        <v>441</v>
      </c>
      <c r="S436" s="371" t="s">
        <v>740</v>
      </c>
      <c r="T436" s="274" t="str">
        <f t="shared" si="119"/>
        <v>LOC Ticketing</v>
      </c>
      <c r="U436" s="340" t="s">
        <v>749</v>
      </c>
      <c r="V436" s="368" t="s">
        <v>520</v>
      </c>
    </row>
    <row r="437" spans="1:22" s="276" customFormat="1" ht="15" hidden="1" customHeight="1">
      <c r="A437" s="362" t="s">
        <v>591</v>
      </c>
      <c r="B437" s="329" t="str">
        <f t="shared" si="118"/>
        <v>Laptop - FIFA Event Build</v>
      </c>
      <c r="C437" s="329" t="str">
        <f t="shared" si="117"/>
        <v>FIFA IT Hardware</v>
      </c>
      <c r="D437" s="329" t="str">
        <f t="shared" si="123"/>
        <v/>
      </c>
      <c r="E437" s="329" t="str">
        <f t="shared" si="124"/>
        <v/>
      </c>
      <c r="F437" s="329" t="str">
        <f t="shared" si="125"/>
        <v>FIFA Laptop</v>
      </c>
      <c r="G437" s="329" t="str">
        <f t="shared" si="126"/>
        <v>LAPEVT - Laptop - FIFA Event Build</v>
      </c>
      <c r="H437" s="269"/>
      <c r="I437" s="330">
        <f t="shared" ref="I437:J456" si="129">IF($A437="","",$K437*VLOOKUP($A437,ps_table,MATCH(I$2,ps_headers,0),FALSE))</f>
        <v>0</v>
      </c>
      <c r="J437" s="330">
        <f t="shared" si="129"/>
        <v>0</v>
      </c>
      <c r="K437" s="365">
        <v>0</v>
      </c>
      <c r="L437" s="330">
        <f t="shared" si="120"/>
        <v>0</v>
      </c>
      <c r="M437" s="330">
        <f t="shared" si="128"/>
        <v>0</v>
      </c>
      <c r="N437" s="447">
        <v>0</v>
      </c>
      <c r="O437" s="371" t="s">
        <v>511</v>
      </c>
      <c r="P437" s="367" t="s">
        <v>149</v>
      </c>
      <c r="Q437" s="371" t="s">
        <v>440</v>
      </c>
      <c r="R437" s="372" t="s">
        <v>441</v>
      </c>
      <c r="S437" s="371" t="s">
        <v>740</v>
      </c>
      <c r="T437" s="274" t="str">
        <f t="shared" si="119"/>
        <v>LOC Ticketing</v>
      </c>
      <c r="U437" s="340" t="s">
        <v>749</v>
      </c>
      <c r="V437" s="368" t="s">
        <v>514</v>
      </c>
    </row>
    <row r="438" spans="1:22" s="276" customFormat="1" ht="15" hidden="1" customHeight="1">
      <c r="A438" s="362" t="s">
        <v>519</v>
      </c>
      <c r="B438" s="329" t="str">
        <f t="shared" si="118"/>
        <v>Wireless coverage - Shared Internet Service - Wi-Fi FIFA</v>
      </c>
      <c r="C438" s="329" t="str">
        <f t="shared" si="117"/>
        <v>Network &amp; Connectivity</v>
      </c>
      <c r="D438" s="329" t="str">
        <f t="shared" si="123"/>
        <v/>
      </c>
      <c r="E438" s="329" t="str">
        <f t="shared" si="124"/>
        <v>General Internet Access</v>
      </c>
      <c r="F438" s="329" t="str">
        <f t="shared" si="125"/>
        <v>Wireless coverage - Shared Internet Service - FIFA</v>
      </c>
      <c r="G438" s="329" t="str">
        <f t="shared" si="126"/>
        <v>IS00WF - Wireless coverage - Shared Internet Service - Wi-Fi FIFA (General Internet Access)</v>
      </c>
      <c r="H438" s="269"/>
      <c r="I438" s="330">
        <f t="shared" si="129"/>
        <v>0</v>
      </c>
      <c r="J438" s="330">
        <f t="shared" si="129"/>
        <v>0</v>
      </c>
      <c r="K438" s="365">
        <v>2</v>
      </c>
      <c r="L438" s="330">
        <f t="shared" si="120"/>
        <v>0</v>
      </c>
      <c r="M438" s="330">
        <f t="shared" si="128"/>
        <v>0</v>
      </c>
      <c r="N438" s="447"/>
      <c r="O438" s="371" t="s">
        <v>511</v>
      </c>
      <c r="P438" s="367" t="s">
        <v>149</v>
      </c>
      <c r="Q438" s="371" t="s">
        <v>440</v>
      </c>
      <c r="R438" s="372" t="s">
        <v>446</v>
      </c>
      <c r="S438" s="371" t="s">
        <v>740</v>
      </c>
      <c r="T438" s="274" t="str">
        <f t="shared" si="119"/>
        <v>LOC Ticketing</v>
      </c>
      <c r="U438" s="340" t="s">
        <v>750</v>
      </c>
      <c r="V438" s="368" t="s">
        <v>520</v>
      </c>
    </row>
    <row r="439" spans="1:22" s="276" customFormat="1" ht="15" hidden="1" customHeight="1">
      <c r="A439" s="362" t="s">
        <v>188</v>
      </c>
      <c r="B439" s="329" t="str">
        <f t="shared" si="118"/>
        <v>SIM - Data Only</v>
      </c>
      <c r="C439" s="329" t="str">
        <f t="shared" si="117"/>
        <v>Telephony</v>
      </c>
      <c r="D439" s="329" t="str">
        <f t="shared" si="123"/>
        <v/>
      </c>
      <c r="E439" s="329" t="str">
        <f t="shared" si="124"/>
        <v/>
      </c>
      <c r="F439" s="329" t="str">
        <f t="shared" si="125"/>
        <v>Local SIM Card - Data Only</v>
      </c>
      <c r="G439" s="329" t="str">
        <f t="shared" si="126"/>
        <v>SIMDAT - SIM - Data Only</v>
      </c>
      <c r="H439" s="269"/>
      <c r="I439" s="330">
        <f t="shared" si="129"/>
        <v>0</v>
      </c>
      <c r="J439" s="330">
        <f t="shared" si="129"/>
        <v>32</v>
      </c>
      <c r="K439" s="365">
        <v>32</v>
      </c>
      <c r="L439" s="330">
        <f t="shared" si="120"/>
        <v>0</v>
      </c>
      <c r="M439" s="330">
        <f t="shared" si="128"/>
        <v>32</v>
      </c>
      <c r="N439" s="447">
        <v>0</v>
      </c>
      <c r="O439" s="371" t="s">
        <v>511</v>
      </c>
      <c r="P439" s="367" t="s">
        <v>149</v>
      </c>
      <c r="Q439" s="371" t="s">
        <v>440</v>
      </c>
      <c r="R439" s="372" t="s">
        <v>446</v>
      </c>
      <c r="S439" s="371" t="s">
        <v>740</v>
      </c>
      <c r="T439" s="274" t="str">
        <f t="shared" si="119"/>
        <v>LOC Ticketing</v>
      </c>
      <c r="U439" s="340" t="s">
        <v>751</v>
      </c>
      <c r="V439" s="368" t="s">
        <v>594</v>
      </c>
    </row>
    <row r="440" spans="1:22" s="276" customFormat="1" ht="15" hidden="1" customHeight="1">
      <c r="A440" s="362" t="s">
        <v>519</v>
      </c>
      <c r="B440" s="329" t="str">
        <f t="shared" si="118"/>
        <v>Wireless coverage - Shared Internet Service - Wi-Fi FIFA</v>
      </c>
      <c r="C440" s="329" t="str">
        <f t="shared" si="117"/>
        <v>Network &amp; Connectivity</v>
      </c>
      <c r="D440" s="329" t="str">
        <f t="shared" si="123"/>
        <v/>
      </c>
      <c r="E440" s="329" t="str">
        <f t="shared" si="124"/>
        <v>General Internet Access</v>
      </c>
      <c r="F440" s="329" t="str">
        <f t="shared" si="125"/>
        <v>Wireless coverage - Shared Internet Service - FIFA</v>
      </c>
      <c r="G440" s="329" t="str">
        <f t="shared" si="126"/>
        <v>IS00WF - Wireless coverage - Shared Internet Service - Wi-Fi FIFA (General Internet Access)</v>
      </c>
      <c r="H440" s="269"/>
      <c r="I440" s="330">
        <f t="shared" si="129"/>
        <v>0</v>
      </c>
      <c r="J440" s="330">
        <f t="shared" si="129"/>
        <v>0</v>
      </c>
      <c r="K440" s="365">
        <v>0</v>
      </c>
      <c r="L440" s="330">
        <f t="shared" si="120"/>
        <v>0</v>
      </c>
      <c r="M440" s="330">
        <f t="shared" si="128"/>
        <v>0</v>
      </c>
      <c r="N440" s="447"/>
      <c r="O440" s="371" t="s">
        <v>511</v>
      </c>
      <c r="P440" s="367" t="s">
        <v>149</v>
      </c>
      <c r="Q440" s="371" t="s">
        <v>185</v>
      </c>
      <c r="R440" s="372" t="s">
        <v>451</v>
      </c>
      <c r="S440" s="371" t="s">
        <v>740</v>
      </c>
      <c r="T440" s="274" t="str">
        <f t="shared" si="119"/>
        <v>LOC Ticketing</v>
      </c>
      <c r="U440" s="340" t="s">
        <v>752</v>
      </c>
      <c r="V440" s="368" t="s">
        <v>520</v>
      </c>
    </row>
    <row r="441" spans="1:22" s="276" customFormat="1" ht="15" hidden="1" customHeight="1">
      <c r="A441" s="362" t="s">
        <v>567</v>
      </c>
      <c r="B441" s="329" t="str">
        <f t="shared" si="118"/>
        <v>Wired Port - ACR-TKT-Ipcodec</v>
      </c>
      <c r="C441" s="329" t="str">
        <f t="shared" si="117"/>
        <v>Network &amp; Connectivity</v>
      </c>
      <c r="D441" s="329" t="str">
        <f t="shared" si="123"/>
        <v/>
      </c>
      <c r="E441" s="329" t="str">
        <f t="shared" si="124"/>
        <v>FIFA Standard Internet Access</v>
      </c>
      <c r="F441" s="329" t="str">
        <f t="shared" si="125"/>
        <v>Wired Port - ACR-TKT-Ipcodec</v>
      </c>
      <c r="G441" s="329" t="str">
        <f t="shared" si="126"/>
        <v>WRDSTA - Wired Port - ACR-TKT-Ipcodec (FIFA Standard Internet Access)</v>
      </c>
      <c r="H441" s="269"/>
      <c r="I441" s="330">
        <f t="shared" si="129"/>
        <v>0</v>
      </c>
      <c r="J441" s="330">
        <f t="shared" si="129"/>
        <v>0</v>
      </c>
      <c r="K441" s="365">
        <v>0</v>
      </c>
      <c r="L441" s="330">
        <f t="shared" si="120"/>
        <v>0</v>
      </c>
      <c r="M441" s="330">
        <f t="shared" si="128"/>
        <v>0</v>
      </c>
      <c r="N441" s="447"/>
      <c r="O441" s="371" t="s">
        <v>511</v>
      </c>
      <c r="P441" s="367" t="s">
        <v>149</v>
      </c>
      <c r="Q441" s="371" t="s">
        <v>185</v>
      </c>
      <c r="R441" s="372" t="s">
        <v>451</v>
      </c>
      <c r="S441" s="371" t="s">
        <v>740</v>
      </c>
      <c r="T441" s="274" t="str">
        <f t="shared" si="119"/>
        <v>LOC Ticketing</v>
      </c>
      <c r="U441" s="340" t="s">
        <v>752</v>
      </c>
      <c r="V441" s="368" t="s">
        <v>520</v>
      </c>
    </row>
    <row r="442" spans="1:22" s="276" customFormat="1" hidden="1">
      <c r="A442" s="362" t="s">
        <v>207</v>
      </c>
      <c r="B442" s="329" t="str">
        <f t="shared" si="118"/>
        <v>MFD Large - Colour - A3 - Network</v>
      </c>
      <c r="C442" s="329" t="str">
        <f t="shared" si="117"/>
        <v>Reprographics</v>
      </c>
      <c r="D442" s="329" t="str">
        <f t="shared" si="123"/>
        <v/>
      </c>
      <c r="E442" s="329" t="str">
        <f t="shared" si="124"/>
        <v>General Internet Access</v>
      </c>
      <c r="F442" s="329" t="str">
        <f t="shared" si="125"/>
        <v>Large Colour Printer / Scanner (A3)</v>
      </c>
      <c r="G442" s="329" t="str">
        <f t="shared" si="126"/>
        <v>MFDLNW - MFD Large - Colour - A3 - Network (General Internet Access)</v>
      </c>
      <c r="H442" s="269"/>
      <c r="I442" s="330">
        <f t="shared" si="129"/>
        <v>0</v>
      </c>
      <c r="J442" s="330">
        <f t="shared" si="129"/>
        <v>0</v>
      </c>
      <c r="K442" s="365">
        <v>0</v>
      </c>
      <c r="L442" s="330">
        <f t="shared" si="120"/>
        <v>0</v>
      </c>
      <c r="M442" s="330">
        <f t="shared" si="128"/>
        <v>0</v>
      </c>
      <c r="N442" s="447">
        <v>0</v>
      </c>
      <c r="O442" s="371" t="s">
        <v>511</v>
      </c>
      <c r="P442" s="367" t="s">
        <v>149</v>
      </c>
      <c r="Q442" s="371" t="s">
        <v>185</v>
      </c>
      <c r="R442" s="372" t="s">
        <v>451</v>
      </c>
      <c r="S442" s="371" t="s">
        <v>740</v>
      </c>
      <c r="T442" s="274" t="str">
        <f t="shared" si="119"/>
        <v>LOC Ticketing</v>
      </c>
      <c r="U442" s="340" t="s">
        <v>752</v>
      </c>
      <c r="V442" s="368" t="s">
        <v>514</v>
      </c>
    </row>
    <row r="443" spans="1:22" s="276" customFormat="1" ht="15" hidden="1" customHeight="1">
      <c r="A443" s="362" t="s">
        <v>249</v>
      </c>
      <c r="B443" s="329" t="str">
        <f t="shared" si="118"/>
        <v>TV - Large - Standalone</v>
      </c>
      <c r="C443" s="329" t="str">
        <f t="shared" si="117"/>
        <v>Display Devices</v>
      </c>
      <c r="D443" s="329" t="str">
        <f t="shared" si="123"/>
        <v/>
      </c>
      <c r="E443" s="329" t="str">
        <f t="shared" si="124"/>
        <v/>
      </c>
      <c r="F443" s="329" t="str">
        <f t="shared" si="125"/>
        <v>Large TV - Standalone</v>
      </c>
      <c r="G443" s="329" t="str">
        <f t="shared" si="126"/>
        <v>TVLGSA - TV - Large - Standalone</v>
      </c>
      <c r="H443" s="269"/>
      <c r="I443" s="330">
        <f t="shared" si="129"/>
        <v>0</v>
      </c>
      <c r="J443" s="330">
        <f t="shared" si="129"/>
        <v>0</v>
      </c>
      <c r="K443" s="365">
        <v>0</v>
      </c>
      <c r="L443" s="330">
        <f t="shared" si="120"/>
        <v>0</v>
      </c>
      <c r="M443" s="330">
        <f t="shared" si="128"/>
        <v>0</v>
      </c>
      <c r="N443" s="447">
        <v>0</v>
      </c>
      <c r="O443" s="371" t="s">
        <v>511</v>
      </c>
      <c r="P443" s="367" t="s">
        <v>149</v>
      </c>
      <c r="Q443" s="371" t="s">
        <v>185</v>
      </c>
      <c r="R443" s="372" t="s">
        <v>451</v>
      </c>
      <c r="S443" s="371" t="s">
        <v>740</v>
      </c>
      <c r="T443" s="274" t="str">
        <f t="shared" si="119"/>
        <v>LOC Ticketing</v>
      </c>
      <c r="U443" s="340" t="s">
        <v>752</v>
      </c>
      <c r="V443" s="368" t="s">
        <v>514</v>
      </c>
    </row>
    <row r="444" spans="1:22" s="276" customFormat="1" ht="15" hidden="1" customHeight="1">
      <c r="A444" s="362" t="s">
        <v>567</v>
      </c>
      <c r="B444" s="329" t="str">
        <f t="shared" si="118"/>
        <v>Wired Port - ACR-TKT-Ipcodec</v>
      </c>
      <c r="C444" s="329" t="str">
        <f t="shared" si="117"/>
        <v>Network &amp; Connectivity</v>
      </c>
      <c r="D444" s="329" t="str">
        <f t="shared" si="123"/>
        <v/>
      </c>
      <c r="E444" s="329" t="str">
        <f t="shared" si="124"/>
        <v>FIFA Standard Internet Access</v>
      </c>
      <c r="F444" s="329" t="str">
        <f t="shared" si="125"/>
        <v>Wired Port - ACR-TKT-Ipcodec</v>
      </c>
      <c r="G444" s="329" t="str">
        <f t="shared" si="126"/>
        <v>WRDSTA - Wired Port - ACR-TKT-Ipcodec (FIFA Standard Internet Access)</v>
      </c>
      <c r="H444" s="269"/>
      <c r="I444" s="330">
        <f t="shared" si="129"/>
        <v>0</v>
      </c>
      <c r="J444" s="330">
        <f t="shared" si="129"/>
        <v>0</v>
      </c>
      <c r="K444" s="365">
        <v>0</v>
      </c>
      <c r="L444" s="330">
        <f t="shared" si="120"/>
        <v>0</v>
      </c>
      <c r="M444" s="330">
        <f t="shared" si="128"/>
        <v>0</v>
      </c>
      <c r="N444" s="447"/>
      <c r="O444" s="371" t="s">
        <v>511</v>
      </c>
      <c r="P444" s="367" t="s">
        <v>149</v>
      </c>
      <c r="Q444" s="371" t="s">
        <v>185</v>
      </c>
      <c r="R444" s="372" t="s">
        <v>456</v>
      </c>
      <c r="S444" s="371" t="s">
        <v>740</v>
      </c>
      <c r="T444" s="274" t="str">
        <f t="shared" si="119"/>
        <v>LOC Ticketing</v>
      </c>
      <c r="U444" s="340" t="s">
        <v>753</v>
      </c>
      <c r="V444" s="368" t="s">
        <v>520</v>
      </c>
    </row>
    <row r="445" spans="1:22" s="276" customFormat="1" ht="15" hidden="1" customHeight="1">
      <c r="A445" s="362" t="s">
        <v>519</v>
      </c>
      <c r="B445" s="329" t="str">
        <f t="shared" si="118"/>
        <v>Wireless coverage - Shared Internet Service - Wi-Fi FIFA</v>
      </c>
      <c r="C445" s="329" t="str">
        <f t="shared" si="117"/>
        <v>Network &amp; Connectivity</v>
      </c>
      <c r="D445" s="329" t="str">
        <f t="shared" si="123"/>
        <v/>
      </c>
      <c r="E445" s="329" t="str">
        <f t="shared" si="124"/>
        <v>General Internet Access</v>
      </c>
      <c r="F445" s="329" t="str">
        <f t="shared" si="125"/>
        <v>Wireless coverage - Shared Internet Service - FIFA</v>
      </c>
      <c r="G445" s="329" t="str">
        <f t="shared" si="126"/>
        <v>IS00WF - Wireless coverage - Shared Internet Service - Wi-Fi FIFA (General Internet Access)</v>
      </c>
      <c r="H445" s="269"/>
      <c r="I445" s="330">
        <f t="shared" si="129"/>
        <v>0</v>
      </c>
      <c r="J445" s="330">
        <f t="shared" si="129"/>
        <v>0</v>
      </c>
      <c r="K445" s="365">
        <v>0</v>
      </c>
      <c r="L445" s="330">
        <f t="shared" si="120"/>
        <v>0</v>
      </c>
      <c r="M445" s="330">
        <f t="shared" si="128"/>
        <v>0</v>
      </c>
      <c r="N445" s="447"/>
      <c r="O445" s="371" t="s">
        <v>511</v>
      </c>
      <c r="P445" s="367" t="s">
        <v>149</v>
      </c>
      <c r="Q445" s="371" t="s">
        <v>185</v>
      </c>
      <c r="R445" s="372" t="s">
        <v>456</v>
      </c>
      <c r="S445" s="371" t="s">
        <v>740</v>
      </c>
      <c r="T445" s="274" t="str">
        <f t="shared" si="119"/>
        <v>LOC Ticketing</v>
      </c>
      <c r="U445" s="340" t="s">
        <v>753</v>
      </c>
      <c r="V445" s="368" t="s">
        <v>520</v>
      </c>
    </row>
    <row r="446" spans="1:22" s="276" customFormat="1" hidden="1">
      <c r="A446" s="362" t="s">
        <v>202</v>
      </c>
      <c r="B446" s="329" t="str">
        <f t="shared" si="118"/>
        <v>MFD Desktop - Colour - A4 - Network</v>
      </c>
      <c r="C446" s="329" t="str">
        <f t="shared" si="117"/>
        <v>Reprographics</v>
      </c>
      <c r="D446" s="329" t="str">
        <f t="shared" si="123"/>
        <v/>
      </c>
      <c r="E446" s="329" t="str">
        <f t="shared" si="124"/>
        <v>General Internet Access</v>
      </c>
      <c r="F446" s="329" t="str">
        <f t="shared" si="125"/>
        <v>Colour Printer / Scanner (A4)</v>
      </c>
      <c r="G446" s="329" t="str">
        <f t="shared" si="126"/>
        <v>MFDDNW - MFD Desktop - Colour - A4 - Network (General Internet Access)</v>
      </c>
      <c r="H446" s="269"/>
      <c r="I446" s="330">
        <f t="shared" si="129"/>
        <v>0</v>
      </c>
      <c r="J446" s="330">
        <f t="shared" si="129"/>
        <v>0</v>
      </c>
      <c r="K446" s="365">
        <v>0</v>
      </c>
      <c r="L446" s="330">
        <f t="shared" si="120"/>
        <v>0</v>
      </c>
      <c r="M446" s="330">
        <f t="shared" si="128"/>
        <v>0</v>
      </c>
      <c r="N446" s="447">
        <v>0</v>
      </c>
      <c r="O446" s="371" t="s">
        <v>511</v>
      </c>
      <c r="P446" s="367" t="s">
        <v>149</v>
      </c>
      <c r="Q446" s="371" t="s">
        <v>185</v>
      </c>
      <c r="R446" s="372" t="s">
        <v>456</v>
      </c>
      <c r="S446" s="371" t="s">
        <v>740</v>
      </c>
      <c r="T446" s="274" t="str">
        <f t="shared" si="119"/>
        <v>LOC Ticketing</v>
      </c>
      <c r="U446" s="340" t="s">
        <v>753</v>
      </c>
      <c r="V446" s="368" t="s">
        <v>514</v>
      </c>
    </row>
    <row r="447" spans="1:22" s="276" customFormat="1" ht="15" hidden="1" customHeight="1">
      <c r="A447" s="362" t="s">
        <v>567</v>
      </c>
      <c r="B447" s="329" t="str">
        <f t="shared" si="118"/>
        <v>Wired Port - ACR-TKT-Ipcodec</v>
      </c>
      <c r="C447" s="329" t="str">
        <f t="shared" si="117"/>
        <v>Network &amp; Connectivity</v>
      </c>
      <c r="D447" s="329" t="str">
        <f t="shared" si="123"/>
        <v/>
      </c>
      <c r="E447" s="329" t="str">
        <f t="shared" si="124"/>
        <v>FIFA Standard Internet Access</v>
      </c>
      <c r="F447" s="329" t="str">
        <f t="shared" si="125"/>
        <v>Wired Port - ACR-TKT-Ipcodec</v>
      </c>
      <c r="G447" s="329" t="str">
        <f t="shared" si="126"/>
        <v>WRDSTA - Wired Port - ACR-TKT-Ipcodec (FIFA Standard Internet Access)</v>
      </c>
      <c r="H447" s="269"/>
      <c r="I447" s="330">
        <f t="shared" si="129"/>
        <v>2</v>
      </c>
      <c r="J447" s="330">
        <f t="shared" si="129"/>
        <v>0</v>
      </c>
      <c r="K447" s="365">
        <v>2</v>
      </c>
      <c r="L447" s="330">
        <f t="shared" si="120"/>
        <v>2</v>
      </c>
      <c r="M447" s="330">
        <f t="shared" si="128"/>
        <v>0</v>
      </c>
      <c r="N447" s="447"/>
      <c r="O447" s="371" t="s">
        <v>511</v>
      </c>
      <c r="P447" s="367" t="s">
        <v>149</v>
      </c>
      <c r="Q447" s="366" t="s">
        <v>335</v>
      </c>
      <c r="R447" s="372" t="s">
        <v>460</v>
      </c>
      <c r="S447" s="371" t="s">
        <v>740</v>
      </c>
      <c r="T447" s="274" t="str">
        <f t="shared" si="119"/>
        <v>LOC Ticketing</v>
      </c>
      <c r="U447" s="340" t="s">
        <v>754</v>
      </c>
      <c r="V447" s="368" t="s">
        <v>520</v>
      </c>
    </row>
    <row r="448" spans="1:22" s="276" customFormat="1" ht="15" hidden="1" customHeight="1">
      <c r="A448" s="362" t="s">
        <v>591</v>
      </c>
      <c r="B448" s="329" t="str">
        <f t="shared" si="118"/>
        <v>Laptop - FIFA Event Build</v>
      </c>
      <c r="C448" s="329" t="str">
        <f t="shared" si="117"/>
        <v>FIFA IT Hardware</v>
      </c>
      <c r="D448" s="329" t="str">
        <f t="shared" si="123"/>
        <v/>
      </c>
      <c r="E448" s="329" t="str">
        <f t="shared" si="124"/>
        <v/>
      </c>
      <c r="F448" s="329" t="str">
        <f t="shared" si="125"/>
        <v>FIFA Laptop</v>
      </c>
      <c r="G448" s="329" t="str">
        <f t="shared" si="126"/>
        <v>LAPEVT - Laptop - FIFA Event Build</v>
      </c>
      <c r="H448" s="269"/>
      <c r="I448" s="330">
        <f t="shared" si="129"/>
        <v>0</v>
      </c>
      <c r="J448" s="330">
        <f t="shared" si="129"/>
        <v>0</v>
      </c>
      <c r="K448" s="365">
        <v>2</v>
      </c>
      <c r="L448" s="330">
        <f t="shared" si="120"/>
        <v>0</v>
      </c>
      <c r="M448" s="330">
        <f t="shared" si="128"/>
        <v>0</v>
      </c>
      <c r="N448" s="447">
        <v>0</v>
      </c>
      <c r="O448" s="371" t="s">
        <v>511</v>
      </c>
      <c r="P448" s="367" t="s">
        <v>149</v>
      </c>
      <c r="Q448" s="371" t="s">
        <v>185</v>
      </c>
      <c r="R448" s="372" t="s">
        <v>460</v>
      </c>
      <c r="S448" s="371" t="s">
        <v>740</v>
      </c>
      <c r="T448" s="274" t="str">
        <f t="shared" si="119"/>
        <v>LOC Ticketing</v>
      </c>
      <c r="U448" s="275" t="s">
        <v>755</v>
      </c>
      <c r="V448" s="368" t="s">
        <v>514</v>
      </c>
    </row>
    <row r="449" spans="1:22" s="276" customFormat="1" ht="15" hidden="1" customHeight="1">
      <c r="A449" s="362" t="s">
        <v>249</v>
      </c>
      <c r="B449" s="329" t="str">
        <f t="shared" si="118"/>
        <v>TV - Large - Standalone</v>
      </c>
      <c r="C449" s="329" t="str">
        <f t="shared" ref="C449:C484" si="130">IF($A449="","",VLOOKUP($A449,ps_table,MATCH(C$2,ps_headers,0),FALSE))</f>
        <v>Display Devices</v>
      </c>
      <c r="D449" s="329" t="str">
        <f t="shared" ref="D449:D484" si="131">IF(OR($A449="",$O449&lt;&gt;"FIFA Event Technology"),"",IF(VLOOKUP($A449,ps_table,MATCH(D$2,ps_headers,0),FALSE)&lt;&gt;"",VLOOKUP($A449,ps_table,MATCH(D$2,ps_headers,0),FALSE),""))</f>
        <v/>
      </c>
      <c r="E449" s="329" t="str">
        <f t="shared" ref="E449:E484" si="132">IF($A449="","",IF(VLOOKUP($A449,ps_table,MATCH(E$2,ps_headers,0),FALSE)&lt;&gt;"",VLOOKUP($A449,ps_table,MATCH(E$2,ps_headers,0),FALSE),""))</f>
        <v/>
      </c>
      <c r="F449" s="329" t="str">
        <f t="shared" ref="F449:F484" si="133">IF($A449="","",VLOOKUP($A449,ps_table,MATCH(F$2,ps_headers,0),FALSE))</f>
        <v>Large TV - Standalone</v>
      </c>
      <c r="G449" s="329" t="str">
        <f t="shared" ref="G449:G484" si="134">IF($A449="","",IF(E449&lt;&gt;"",A449&amp;" - "&amp;B449&amp;" ("&amp;E449&amp;")",A449&amp;" - "&amp;B449))</f>
        <v>TVLGSA - TV - Large - Standalone</v>
      </c>
      <c r="H449" s="269"/>
      <c r="I449" s="330">
        <f t="shared" si="129"/>
        <v>0</v>
      </c>
      <c r="J449" s="330">
        <f t="shared" si="129"/>
        <v>0</v>
      </c>
      <c r="K449" s="365">
        <v>1</v>
      </c>
      <c r="L449" s="330">
        <f t="shared" si="120"/>
        <v>0</v>
      </c>
      <c r="M449" s="330">
        <f t="shared" si="128"/>
        <v>0</v>
      </c>
      <c r="N449" s="447">
        <v>0</v>
      </c>
      <c r="O449" s="371" t="s">
        <v>511</v>
      </c>
      <c r="P449" s="367" t="s">
        <v>149</v>
      </c>
      <c r="Q449" s="371" t="s">
        <v>185</v>
      </c>
      <c r="R449" s="372" t="s">
        <v>460</v>
      </c>
      <c r="S449" s="371" t="s">
        <v>740</v>
      </c>
      <c r="T449" s="274" t="str">
        <f t="shared" si="119"/>
        <v>LOC Ticketing</v>
      </c>
      <c r="U449" s="275" t="s">
        <v>756</v>
      </c>
      <c r="V449" s="368" t="s">
        <v>514</v>
      </c>
    </row>
    <row r="450" spans="1:22" s="276" customFormat="1" ht="15" hidden="1" customHeight="1">
      <c r="A450" s="362" t="s">
        <v>567</v>
      </c>
      <c r="B450" s="329" t="str">
        <f t="shared" ref="B450:B484" si="135">IF($A450="","",VLOOKUP($A450,ps_table,MATCH(B$2,ps_headers,0),FALSE))</f>
        <v>Wired Port - ACR-TKT-Ipcodec</v>
      </c>
      <c r="C450" s="329" t="str">
        <f t="shared" si="130"/>
        <v>Network &amp; Connectivity</v>
      </c>
      <c r="D450" s="329" t="str">
        <f t="shared" si="131"/>
        <v/>
      </c>
      <c r="E450" s="329" t="str">
        <f t="shared" si="132"/>
        <v>FIFA Standard Internet Access</v>
      </c>
      <c r="F450" s="329" t="str">
        <f t="shared" si="133"/>
        <v>Wired Port - ACR-TKT-Ipcodec</v>
      </c>
      <c r="G450" s="329" t="str">
        <f t="shared" si="134"/>
        <v>WRDSTA - Wired Port - ACR-TKT-Ipcodec (FIFA Standard Internet Access)</v>
      </c>
      <c r="H450" s="269"/>
      <c r="I450" s="330">
        <f t="shared" si="129"/>
        <v>0</v>
      </c>
      <c r="J450" s="330">
        <f t="shared" si="129"/>
        <v>0</v>
      </c>
      <c r="K450" s="365">
        <v>0</v>
      </c>
      <c r="L450" s="330">
        <f t="shared" si="120"/>
        <v>0</v>
      </c>
      <c r="M450" s="330">
        <f t="shared" si="128"/>
        <v>0</v>
      </c>
      <c r="N450" s="447"/>
      <c r="O450" s="371" t="s">
        <v>511</v>
      </c>
      <c r="P450" s="367" t="s">
        <v>152</v>
      </c>
      <c r="Q450" s="371" t="s">
        <v>253</v>
      </c>
      <c r="R450" s="372" t="s">
        <v>465</v>
      </c>
      <c r="S450" s="371" t="s">
        <v>740</v>
      </c>
      <c r="T450" s="274" t="str">
        <f t="shared" si="119"/>
        <v>LOC Ticketing</v>
      </c>
      <c r="U450" s="340" t="s">
        <v>757</v>
      </c>
      <c r="V450" s="368" t="s">
        <v>520</v>
      </c>
    </row>
    <row r="451" spans="1:22" s="276" customFormat="1" ht="15" hidden="1" customHeight="1">
      <c r="A451" s="362" t="s">
        <v>519</v>
      </c>
      <c r="B451" s="329" t="str">
        <f t="shared" si="135"/>
        <v>Wireless coverage - Shared Internet Service - Wi-Fi FIFA</v>
      </c>
      <c r="C451" s="329" t="str">
        <f t="shared" si="130"/>
        <v>Network &amp; Connectivity</v>
      </c>
      <c r="D451" s="329" t="str">
        <f t="shared" si="131"/>
        <v/>
      </c>
      <c r="E451" s="329" t="str">
        <f t="shared" si="132"/>
        <v>General Internet Access</v>
      </c>
      <c r="F451" s="329" t="str">
        <f t="shared" si="133"/>
        <v>Wireless coverage - Shared Internet Service - FIFA</v>
      </c>
      <c r="G451" s="329" t="str">
        <f t="shared" si="134"/>
        <v>IS00WF - Wireless coverage - Shared Internet Service - Wi-Fi FIFA (General Internet Access)</v>
      </c>
      <c r="H451" s="269"/>
      <c r="I451" s="330">
        <f t="shared" si="129"/>
        <v>0</v>
      </c>
      <c r="J451" s="330">
        <f t="shared" si="129"/>
        <v>0</v>
      </c>
      <c r="K451" s="365">
        <v>0</v>
      </c>
      <c r="L451" s="330">
        <f t="shared" si="120"/>
        <v>0</v>
      </c>
      <c r="M451" s="330">
        <f t="shared" si="128"/>
        <v>0</v>
      </c>
      <c r="N451" s="447"/>
      <c r="O451" s="371" t="s">
        <v>511</v>
      </c>
      <c r="P451" s="367" t="s">
        <v>152</v>
      </c>
      <c r="Q451" s="371" t="s">
        <v>253</v>
      </c>
      <c r="R451" s="372" t="s">
        <v>465</v>
      </c>
      <c r="S451" s="371" t="s">
        <v>740</v>
      </c>
      <c r="T451" s="274" t="str">
        <f t="shared" ref="T451:T484" si="136">IF(S451="","",S451)</f>
        <v>LOC Ticketing</v>
      </c>
      <c r="U451" s="340" t="s">
        <v>757</v>
      </c>
      <c r="V451" s="368" t="s">
        <v>520</v>
      </c>
    </row>
    <row r="452" spans="1:22" s="276" customFormat="1" hidden="1">
      <c r="A452" s="362" t="s">
        <v>202</v>
      </c>
      <c r="B452" s="329" t="str">
        <f t="shared" si="135"/>
        <v>MFD Desktop - Colour - A4 - Network</v>
      </c>
      <c r="C452" s="329" t="str">
        <f t="shared" si="130"/>
        <v>Reprographics</v>
      </c>
      <c r="D452" s="329" t="str">
        <f t="shared" si="131"/>
        <v/>
      </c>
      <c r="E452" s="329" t="str">
        <f t="shared" si="132"/>
        <v>General Internet Access</v>
      </c>
      <c r="F452" s="329" t="str">
        <f t="shared" si="133"/>
        <v>Colour Printer / Scanner (A4)</v>
      </c>
      <c r="G452" s="329" t="str">
        <f t="shared" si="134"/>
        <v>MFDDNW - MFD Desktop - Colour - A4 - Network (General Internet Access)</v>
      </c>
      <c r="H452" s="269"/>
      <c r="I452" s="330">
        <f t="shared" si="129"/>
        <v>0</v>
      </c>
      <c r="J452" s="330">
        <f t="shared" si="129"/>
        <v>0</v>
      </c>
      <c r="K452" s="365">
        <v>0</v>
      </c>
      <c r="L452" s="330">
        <f t="shared" si="120"/>
        <v>0</v>
      </c>
      <c r="M452" s="330">
        <f t="shared" si="128"/>
        <v>0</v>
      </c>
      <c r="N452" s="447"/>
      <c r="O452" s="371" t="s">
        <v>511</v>
      </c>
      <c r="P452" s="367" t="s">
        <v>152</v>
      </c>
      <c r="Q452" s="371" t="s">
        <v>253</v>
      </c>
      <c r="R452" s="372" t="s">
        <v>465</v>
      </c>
      <c r="S452" s="371" t="s">
        <v>740</v>
      </c>
      <c r="T452" s="274" t="str">
        <f t="shared" si="136"/>
        <v>LOC Ticketing</v>
      </c>
      <c r="U452" s="340" t="s">
        <v>757</v>
      </c>
      <c r="V452" s="368" t="s">
        <v>514</v>
      </c>
    </row>
    <row r="453" spans="1:22" s="276" customFormat="1" ht="15" hidden="1" customHeight="1">
      <c r="A453" s="362" t="s">
        <v>191</v>
      </c>
      <c r="B453" s="329" t="str">
        <f t="shared" si="135"/>
        <v>IT Solution - Router + 4G</v>
      </c>
      <c r="C453" s="329" t="str">
        <f t="shared" si="130"/>
        <v>FIFA IT Network Solutions</v>
      </c>
      <c r="D453" s="329" t="str">
        <f t="shared" si="131"/>
        <v/>
      </c>
      <c r="E453" s="329" t="str">
        <f t="shared" si="132"/>
        <v/>
      </c>
      <c r="F453" s="329" t="str">
        <f t="shared" si="133"/>
        <v>IT Solution - Router + 4G</v>
      </c>
      <c r="G453" s="329" t="str">
        <f t="shared" si="134"/>
        <v>ITSR4G - IT Solution - Router + 4G</v>
      </c>
      <c r="H453" s="269"/>
      <c r="I453" s="330">
        <f t="shared" si="129"/>
        <v>0</v>
      </c>
      <c r="J453" s="330">
        <f t="shared" si="129"/>
        <v>0</v>
      </c>
      <c r="K453" s="365">
        <v>0</v>
      </c>
      <c r="L453" s="330">
        <f t="shared" si="120"/>
        <v>0</v>
      </c>
      <c r="M453" s="330">
        <f t="shared" si="128"/>
        <v>0</v>
      </c>
      <c r="N453" s="447"/>
      <c r="O453" s="371" t="s">
        <v>511</v>
      </c>
      <c r="P453" s="367" t="s">
        <v>152</v>
      </c>
      <c r="Q453" s="371" t="s">
        <v>253</v>
      </c>
      <c r="R453" s="372" t="s">
        <v>465</v>
      </c>
      <c r="S453" s="371" t="s">
        <v>740</v>
      </c>
      <c r="T453" s="274" t="str">
        <f t="shared" si="136"/>
        <v>LOC Ticketing</v>
      </c>
      <c r="U453" s="340" t="s">
        <v>757</v>
      </c>
      <c r="V453" s="368" t="s">
        <v>520</v>
      </c>
    </row>
    <row r="454" spans="1:22" s="276" customFormat="1" ht="15" hidden="1" customHeight="1">
      <c r="A454" s="362" t="s">
        <v>591</v>
      </c>
      <c r="B454" s="329" t="str">
        <f t="shared" si="135"/>
        <v>Laptop - FIFA Event Build</v>
      </c>
      <c r="C454" s="329" t="str">
        <f t="shared" si="130"/>
        <v>FIFA IT Hardware</v>
      </c>
      <c r="D454" s="329" t="str">
        <f t="shared" si="131"/>
        <v/>
      </c>
      <c r="E454" s="329" t="str">
        <f t="shared" si="132"/>
        <v/>
      </c>
      <c r="F454" s="329" t="str">
        <f t="shared" si="133"/>
        <v>FIFA Laptop</v>
      </c>
      <c r="G454" s="329" t="str">
        <f t="shared" si="134"/>
        <v>LAPEVT - Laptop - FIFA Event Build</v>
      </c>
      <c r="H454" s="269"/>
      <c r="I454" s="330">
        <f t="shared" si="129"/>
        <v>0</v>
      </c>
      <c r="J454" s="330">
        <f t="shared" si="129"/>
        <v>0</v>
      </c>
      <c r="K454" s="365">
        <v>0</v>
      </c>
      <c r="L454" s="330">
        <f t="shared" ref="L454:L484" si="137">IF($A454="","",$K454*VLOOKUP($A454,ps_table,MATCH(L$2,ps_headers,0),FALSE))</f>
        <v>0</v>
      </c>
      <c r="M454" s="330">
        <f t="shared" si="128"/>
        <v>0</v>
      </c>
      <c r="N454" s="447"/>
      <c r="O454" s="371" t="s">
        <v>511</v>
      </c>
      <c r="P454" s="367" t="s">
        <v>152</v>
      </c>
      <c r="Q454" s="371" t="s">
        <v>253</v>
      </c>
      <c r="R454" s="372" t="s">
        <v>465</v>
      </c>
      <c r="S454" s="371" t="s">
        <v>740</v>
      </c>
      <c r="T454" s="274" t="str">
        <f t="shared" si="136"/>
        <v>LOC Ticketing</v>
      </c>
      <c r="U454" s="340" t="s">
        <v>757</v>
      </c>
      <c r="V454" s="368" t="s">
        <v>514</v>
      </c>
    </row>
    <row r="455" spans="1:22" s="276" customFormat="1" ht="15" hidden="1" customHeight="1">
      <c r="A455" s="362" t="s">
        <v>519</v>
      </c>
      <c r="B455" s="329" t="str">
        <f t="shared" si="135"/>
        <v>Wireless coverage - Shared Internet Service - Wi-Fi FIFA</v>
      </c>
      <c r="C455" s="329" t="str">
        <f t="shared" si="130"/>
        <v>Network &amp; Connectivity</v>
      </c>
      <c r="D455" s="329" t="str">
        <f t="shared" si="131"/>
        <v/>
      </c>
      <c r="E455" s="329" t="str">
        <f t="shared" si="132"/>
        <v>General Internet Access</v>
      </c>
      <c r="F455" s="329" t="str">
        <f t="shared" si="133"/>
        <v>Wireless coverage - Shared Internet Service - FIFA</v>
      </c>
      <c r="G455" s="329" t="str">
        <f t="shared" si="134"/>
        <v>IS00WF - Wireless coverage - Shared Internet Service - Wi-Fi FIFA (General Internet Access)</v>
      </c>
      <c r="H455" s="269"/>
      <c r="I455" s="330">
        <f t="shared" si="129"/>
        <v>0</v>
      </c>
      <c r="J455" s="330">
        <f t="shared" si="129"/>
        <v>0</v>
      </c>
      <c r="K455" s="365">
        <v>0</v>
      </c>
      <c r="L455" s="330">
        <f t="shared" si="137"/>
        <v>0</v>
      </c>
      <c r="M455" s="330">
        <f t="shared" si="128"/>
        <v>0</v>
      </c>
      <c r="N455" s="447"/>
      <c r="O455" s="371" t="s">
        <v>511</v>
      </c>
      <c r="P455" s="367" t="s">
        <v>152</v>
      </c>
      <c r="Q455" s="371" t="s">
        <v>253</v>
      </c>
      <c r="R455" s="372" t="s">
        <v>471</v>
      </c>
      <c r="S455" s="371" t="s">
        <v>740</v>
      </c>
      <c r="T455" s="274" t="str">
        <f t="shared" si="136"/>
        <v>LOC Ticketing</v>
      </c>
      <c r="U455" s="340" t="s">
        <v>757</v>
      </c>
      <c r="V455" s="368" t="s">
        <v>520</v>
      </c>
    </row>
    <row r="456" spans="1:22" s="276" customFormat="1" hidden="1">
      <c r="A456" s="362" t="s">
        <v>188</v>
      </c>
      <c r="B456" s="329" t="str">
        <f t="shared" si="135"/>
        <v>SIM - Data Only</v>
      </c>
      <c r="C456" s="329" t="str">
        <f t="shared" si="130"/>
        <v>Telephony</v>
      </c>
      <c r="D456" s="329" t="str">
        <f t="shared" si="131"/>
        <v/>
      </c>
      <c r="E456" s="329" t="str">
        <f t="shared" si="132"/>
        <v/>
      </c>
      <c r="F456" s="329" t="str">
        <f t="shared" si="133"/>
        <v>Local SIM Card - Data Only</v>
      </c>
      <c r="G456" s="329" t="str">
        <f t="shared" si="134"/>
        <v>SIMDAT - SIM - Data Only</v>
      </c>
      <c r="H456" s="269"/>
      <c r="I456" s="330">
        <f t="shared" si="129"/>
        <v>0</v>
      </c>
      <c r="J456" s="330">
        <f t="shared" si="129"/>
        <v>0</v>
      </c>
      <c r="K456" s="365">
        <v>0</v>
      </c>
      <c r="L456" s="330">
        <f t="shared" si="137"/>
        <v>0</v>
      </c>
      <c r="M456" s="330">
        <f t="shared" ref="M456:M484" si="138">IF($A456="","",$K456*VLOOKUP($A456,ps_table,MATCH(M$2,ps_headers,0),FALSE))</f>
        <v>0</v>
      </c>
      <c r="N456" s="447"/>
      <c r="O456" s="371" t="s">
        <v>511</v>
      </c>
      <c r="P456" s="367" t="s">
        <v>152</v>
      </c>
      <c r="Q456" s="371" t="s">
        <v>253</v>
      </c>
      <c r="R456" s="372" t="s">
        <v>471</v>
      </c>
      <c r="S456" s="371" t="s">
        <v>740</v>
      </c>
      <c r="T456" s="274" t="str">
        <f t="shared" si="136"/>
        <v>LOC Ticketing</v>
      </c>
      <c r="U456" s="340" t="s">
        <v>757</v>
      </c>
      <c r="V456" s="368" t="s">
        <v>594</v>
      </c>
    </row>
    <row r="457" spans="1:22" s="276" customFormat="1" ht="15" hidden="1" customHeight="1">
      <c r="A457" s="362" t="s">
        <v>567</v>
      </c>
      <c r="B457" s="329" t="str">
        <f t="shared" si="135"/>
        <v>Wired Port - ACR-TKT-Ipcodec</v>
      </c>
      <c r="C457" s="329" t="str">
        <f t="shared" si="130"/>
        <v>Network &amp; Connectivity</v>
      </c>
      <c r="D457" s="329" t="str">
        <f t="shared" si="131"/>
        <v/>
      </c>
      <c r="E457" s="329" t="str">
        <f t="shared" si="132"/>
        <v>FIFA Standard Internet Access</v>
      </c>
      <c r="F457" s="329" t="str">
        <f t="shared" si="133"/>
        <v>Wired Port - ACR-TKT-Ipcodec</v>
      </c>
      <c r="G457" s="329" t="str">
        <f t="shared" si="134"/>
        <v>WRDSTA - Wired Port - ACR-TKT-Ipcodec (FIFA Standard Internet Access)</v>
      </c>
      <c r="H457" s="269"/>
      <c r="I457" s="330">
        <f t="shared" ref="I457:J476" si="139">IF($A457="","",$K457*VLOOKUP($A457,ps_table,MATCH(I$2,ps_headers,0),FALSE))</f>
        <v>0</v>
      </c>
      <c r="J457" s="330">
        <f t="shared" si="139"/>
        <v>0</v>
      </c>
      <c r="K457" s="365">
        <v>0</v>
      </c>
      <c r="L457" s="330">
        <f t="shared" si="137"/>
        <v>0</v>
      </c>
      <c r="M457" s="330">
        <f t="shared" si="138"/>
        <v>0</v>
      </c>
      <c r="N457" s="447"/>
      <c r="O457" s="371" t="s">
        <v>511</v>
      </c>
      <c r="P457" s="367" t="s">
        <v>152</v>
      </c>
      <c r="Q457" s="371" t="s">
        <v>295</v>
      </c>
      <c r="R457" s="372" t="s">
        <v>474</v>
      </c>
      <c r="S457" s="371" t="s">
        <v>740</v>
      </c>
      <c r="T457" s="274" t="str">
        <f t="shared" si="136"/>
        <v>LOC Ticketing</v>
      </c>
      <c r="U457" s="340" t="s">
        <v>757</v>
      </c>
      <c r="V457" s="368" t="s">
        <v>520</v>
      </c>
    </row>
    <row r="458" spans="1:22" s="276" customFormat="1" ht="15" hidden="1" customHeight="1">
      <c r="A458" s="362" t="s">
        <v>519</v>
      </c>
      <c r="B458" s="329" t="str">
        <f t="shared" si="135"/>
        <v>Wireless coverage - Shared Internet Service - Wi-Fi FIFA</v>
      </c>
      <c r="C458" s="329" t="str">
        <f t="shared" si="130"/>
        <v>Network &amp; Connectivity</v>
      </c>
      <c r="D458" s="329" t="str">
        <f t="shared" si="131"/>
        <v/>
      </c>
      <c r="E458" s="329" t="str">
        <f t="shared" si="132"/>
        <v>General Internet Access</v>
      </c>
      <c r="F458" s="329" t="str">
        <f t="shared" si="133"/>
        <v>Wireless coverage - Shared Internet Service - FIFA</v>
      </c>
      <c r="G458" s="329" t="str">
        <f t="shared" si="134"/>
        <v>IS00WF - Wireless coverage - Shared Internet Service - Wi-Fi FIFA (General Internet Access)</v>
      </c>
      <c r="H458" s="269"/>
      <c r="I458" s="330">
        <f t="shared" si="139"/>
        <v>0</v>
      </c>
      <c r="J458" s="330">
        <f t="shared" si="139"/>
        <v>0</v>
      </c>
      <c r="K458" s="365">
        <v>0</v>
      </c>
      <c r="L458" s="330">
        <f t="shared" si="137"/>
        <v>0</v>
      </c>
      <c r="M458" s="330">
        <f t="shared" si="138"/>
        <v>0</v>
      </c>
      <c r="N458" s="447"/>
      <c r="O458" s="371" t="s">
        <v>511</v>
      </c>
      <c r="P458" s="367" t="s">
        <v>152</v>
      </c>
      <c r="Q458" s="371" t="s">
        <v>295</v>
      </c>
      <c r="R458" s="372" t="s">
        <v>474</v>
      </c>
      <c r="S458" s="371" t="s">
        <v>740</v>
      </c>
      <c r="T458" s="274" t="str">
        <f t="shared" si="136"/>
        <v>LOC Ticketing</v>
      </c>
      <c r="U458" s="340" t="s">
        <v>757</v>
      </c>
      <c r="V458" s="368" t="s">
        <v>520</v>
      </c>
    </row>
    <row r="459" spans="1:22" s="276" customFormat="1" ht="15" hidden="1" customHeight="1">
      <c r="A459" s="362" t="s">
        <v>191</v>
      </c>
      <c r="B459" s="329" t="str">
        <f t="shared" si="135"/>
        <v>IT Solution - Router + 4G</v>
      </c>
      <c r="C459" s="329" t="str">
        <f t="shared" si="130"/>
        <v>FIFA IT Network Solutions</v>
      </c>
      <c r="D459" s="329" t="str">
        <f t="shared" si="131"/>
        <v/>
      </c>
      <c r="E459" s="329" t="str">
        <f t="shared" si="132"/>
        <v/>
      </c>
      <c r="F459" s="329" t="str">
        <f t="shared" si="133"/>
        <v>IT Solution - Router + 4G</v>
      </c>
      <c r="G459" s="329" t="str">
        <f t="shared" si="134"/>
        <v>ITSR4G - IT Solution - Router + 4G</v>
      </c>
      <c r="H459" s="269"/>
      <c r="I459" s="330">
        <f t="shared" si="139"/>
        <v>0</v>
      </c>
      <c r="J459" s="330">
        <f t="shared" si="139"/>
        <v>0</v>
      </c>
      <c r="K459" s="365">
        <v>0</v>
      </c>
      <c r="L459" s="330">
        <f t="shared" si="137"/>
        <v>0</v>
      </c>
      <c r="M459" s="330">
        <f t="shared" si="138"/>
        <v>0</v>
      </c>
      <c r="N459" s="447"/>
      <c r="O459" s="371" t="s">
        <v>511</v>
      </c>
      <c r="P459" s="367" t="s">
        <v>152</v>
      </c>
      <c r="Q459" s="371" t="s">
        <v>295</v>
      </c>
      <c r="R459" s="372" t="s">
        <v>474</v>
      </c>
      <c r="S459" s="371" t="s">
        <v>740</v>
      </c>
      <c r="T459" s="274" t="str">
        <f t="shared" si="136"/>
        <v>LOC Ticketing</v>
      </c>
      <c r="U459" s="340" t="s">
        <v>757</v>
      </c>
      <c r="V459" s="368" t="s">
        <v>520</v>
      </c>
    </row>
    <row r="460" spans="1:22" s="276" customFormat="1" ht="15" hidden="1" customHeight="1">
      <c r="A460" s="362" t="s">
        <v>591</v>
      </c>
      <c r="B460" s="329" t="str">
        <f t="shared" si="135"/>
        <v>Laptop - FIFA Event Build</v>
      </c>
      <c r="C460" s="329" t="str">
        <f t="shared" si="130"/>
        <v>FIFA IT Hardware</v>
      </c>
      <c r="D460" s="329" t="str">
        <f t="shared" si="131"/>
        <v/>
      </c>
      <c r="E460" s="329" t="str">
        <f t="shared" si="132"/>
        <v/>
      </c>
      <c r="F460" s="329" t="str">
        <f t="shared" si="133"/>
        <v>FIFA Laptop</v>
      </c>
      <c r="G460" s="329" t="str">
        <f t="shared" si="134"/>
        <v>LAPEVT - Laptop - FIFA Event Build</v>
      </c>
      <c r="H460" s="269"/>
      <c r="I460" s="330">
        <f t="shared" si="139"/>
        <v>0</v>
      </c>
      <c r="J460" s="330">
        <f t="shared" si="139"/>
        <v>0</v>
      </c>
      <c r="K460" s="365">
        <v>0</v>
      </c>
      <c r="L460" s="330">
        <f t="shared" si="137"/>
        <v>0</v>
      </c>
      <c r="M460" s="330">
        <f t="shared" si="138"/>
        <v>0</v>
      </c>
      <c r="N460" s="447"/>
      <c r="O460" s="371" t="s">
        <v>511</v>
      </c>
      <c r="P460" s="367" t="s">
        <v>152</v>
      </c>
      <c r="Q460" s="371" t="s">
        <v>295</v>
      </c>
      <c r="R460" s="372" t="s">
        <v>474</v>
      </c>
      <c r="S460" s="371" t="s">
        <v>740</v>
      </c>
      <c r="T460" s="274" t="str">
        <f t="shared" si="136"/>
        <v>LOC Ticketing</v>
      </c>
      <c r="U460" s="340" t="s">
        <v>757</v>
      </c>
      <c r="V460" s="368" t="s">
        <v>514</v>
      </c>
    </row>
    <row r="461" spans="1:22" s="276" customFormat="1" ht="15" hidden="1" customHeight="1">
      <c r="A461" s="362" t="s">
        <v>519</v>
      </c>
      <c r="B461" s="329" t="str">
        <f t="shared" si="135"/>
        <v>Wireless coverage - Shared Internet Service - Wi-Fi FIFA</v>
      </c>
      <c r="C461" s="329" t="str">
        <f t="shared" si="130"/>
        <v>Network &amp; Connectivity</v>
      </c>
      <c r="D461" s="329" t="str">
        <f t="shared" si="131"/>
        <v/>
      </c>
      <c r="E461" s="329" t="str">
        <f t="shared" si="132"/>
        <v>General Internet Access</v>
      </c>
      <c r="F461" s="329" t="str">
        <f t="shared" si="133"/>
        <v>Wireless coverage - Shared Internet Service - FIFA</v>
      </c>
      <c r="G461" s="329" t="str">
        <f t="shared" si="134"/>
        <v>IS00WF - Wireless coverage - Shared Internet Service - Wi-Fi FIFA (General Internet Access)</v>
      </c>
      <c r="H461" s="269"/>
      <c r="I461" s="330">
        <f t="shared" si="139"/>
        <v>0</v>
      </c>
      <c r="J461" s="330">
        <f t="shared" si="139"/>
        <v>0</v>
      </c>
      <c r="K461" s="365">
        <v>0</v>
      </c>
      <c r="L461" s="330">
        <f t="shared" si="137"/>
        <v>0</v>
      </c>
      <c r="M461" s="330">
        <f t="shared" si="138"/>
        <v>0</v>
      </c>
      <c r="N461" s="447"/>
      <c r="O461" s="371" t="s">
        <v>511</v>
      </c>
      <c r="P461" s="367" t="s">
        <v>152</v>
      </c>
      <c r="Q461" s="371" t="s">
        <v>295</v>
      </c>
      <c r="R461" s="372" t="s">
        <v>478</v>
      </c>
      <c r="S461" s="371" t="s">
        <v>740</v>
      </c>
      <c r="T461" s="274" t="str">
        <f t="shared" si="136"/>
        <v>LOC Ticketing</v>
      </c>
      <c r="U461" s="340" t="s">
        <v>757</v>
      </c>
      <c r="V461" s="368" t="s">
        <v>520</v>
      </c>
    </row>
    <row r="462" spans="1:22" s="276" customFormat="1" ht="15" hidden="1" customHeight="1">
      <c r="A462" s="362" t="s">
        <v>519</v>
      </c>
      <c r="B462" s="329" t="str">
        <f t="shared" si="135"/>
        <v>Wireless coverage - Shared Internet Service - Wi-Fi FIFA</v>
      </c>
      <c r="C462" s="329" t="str">
        <f t="shared" si="130"/>
        <v>Network &amp; Connectivity</v>
      </c>
      <c r="D462" s="329" t="str">
        <f t="shared" si="131"/>
        <v/>
      </c>
      <c r="E462" s="329" t="str">
        <f t="shared" si="132"/>
        <v>General Internet Access</v>
      </c>
      <c r="F462" s="329" t="str">
        <f t="shared" si="133"/>
        <v>Wireless coverage - Shared Internet Service - FIFA</v>
      </c>
      <c r="G462" s="329" t="str">
        <f t="shared" si="134"/>
        <v>IS00WF - Wireless coverage - Shared Internet Service - Wi-Fi FIFA (General Internet Access)</v>
      </c>
      <c r="H462" s="269"/>
      <c r="I462" s="330">
        <f t="shared" si="139"/>
        <v>0</v>
      </c>
      <c r="J462" s="330">
        <f t="shared" si="139"/>
        <v>0</v>
      </c>
      <c r="K462" s="365">
        <v>0</v>
      </c>
      <c r="L462" s="330">
        <f t="shared" si="137"/>
        <v>0</v>
      </c>
      <c r="M462" s="330">
        <f t="shared" si="138"/>
        <v>0</v>
      </c>
      <c r="N462" s="447"/>
      <c r="O462" s="371" t="s">
        <v>511</v>
      </c>
      <c r="P462" s="367" t="s">
        <v>152</v>
      </c>
      <c r="Q462" s="371" t="s">
        <v>299</v>
      </c>
      <c r="R462" s="372" t="s">
        <v>451</v>
      </c>
      <c r="S462" s="371" t="s">
        <v>740</v>
      </c>
      <c r="T462" s="274" t="str">
        <f t="shared" si="136"/>
        <v>LOC Ticketing</v>
      </c>
      <c r="U462" s="340" t="s">
        <v>757</v>
      </c>
      <c r="V462" s="368" t="s">
        <v>520</v>
      </c>
    </row>
    <row r="463" spans="1:22" s="276" customFormat="1" ht="15" hidden="1" customHeight="1">
      <c r="A463" s="362" t="s">
        <v>567</v>
      </c>
      <c r="B463" s="329" t="str">
        <f t="shared" si="135"/>
        <v>Wired Port - ACR-TKT-Ipcodec</v>
      </c>
      <c r="C463" s="329" t="str">
        <f t="shared" si="130"/>
        <v>Network &amp; Connectivity</v>
      </c>
      <c r="D463" s="329" t="str">
        <f t="shared" si="131"/>
        <v/>
      </c>
      <c r="E463" s="329" t="str">
        <f t="shared" si="132"/>
        <v>FIFA Standard Internet Access</v>
      </c>
      <c r="F463" s="329" t="str">
        <f t="shared" si="133"/>
        <v>Wired Port - ACR-TKT-Ipcodec</v>
      </c>
      <c r="G463" s="329" t="str">
        <f t="shared" si="134"/>
        <v>WRDSTA - Wired Port - ACR-TKT-Ipcodec (FIFA Standard Internet Access)</v>
      </c>
      <c r="H463" s="269"/>
      <c r="I463" s="330">
        <f t="shared" si="139"/>
        <v>0</v>
      </c>
      <c r="J463" s="330">
        <f t="shared" si="139"/>
        <v>0</v>
      </c>
      <c r="K463" s="365">
        <v>0</v>
      </c>
      <c r="L463" s="330">
        <f t="shared" si="137"/>
        <v>0</v>
      </c>
      <c r="M463" s="330">
        <f t="shared" si="138"/>
        <v>0</v>
      </c>
      <c r="N463" s="447"/>
      <c r="O463" s="371" t="s">
        <v>511</v>
      </c>
      <c r="P463" s="367" t="s">
        <v>152</v>
      </c>
      <c r="Q463" s="371" t="s">
        <v>299</v>
      </c>
      <c r="R463" s="372" t="s">
        <v>451</v>
      </c>
      <c r="S463" s="371" t="s">
        <v>740</v>
      </c>
      <c r="T463" s="274" t="str">
        <f t="shared" si="136"/>
        <v>LOC Ticketing</v>
      </c>
      <c r="U463" s="340" t="s">
        <v>757</v>
      </c>
      <c r="V463" s="368" t="s">
        <v>520</v>
      </c>
    </row>
    <row r="464" spans="1:22" s="276" customFormat="1" hidden="1">
      <c r="A464" s="362" t="s">
        <v>207</v>
      </c>
      <c r="B464" s="329" t="str">
        <f t="shared" si="135"/>
        <v>MFD Large - Colour - A3 - Network</v>
      </c>
      <c r="C464" s="329" t="str">
        <f t="shared" si="130"/>
        <v>Reprographics</v>
      </c>
      <c r="D464" s="329" t="str">
        <f t="shared" si="131"/>
        <v/>
      </c>
      <c r="E464" s="329" t="str">
        <f t="shared" si="132"/>
        <v>General Internet Access</v>
      </c>
      <c r="F464" s="329" t="str">
        <f t="shared" si="133"/>
        <v>Large Colour Printer / Scanner (A3)</v>
      </c>
      <c r="G464" s="329" t="str">
        <f t="shared" si="134"/>
        <v>MFDLNW - MFD Large - Colour - A3 - Network (General Internet Access)</v>
      </c>
      <c r="H464" s="269"/>
      <c r="I464" s="330">
        <f t="shared" si="139"/>
        <v>0</v>
      </c>
      <c r="J464" s="330">
        <f t="shared" si="139"/>
        <v>0</v>
      </c>
      <c r="K464" s="365">
        <v>0</v>
      </c>
      <c r="L464" s="330">
        <f t="shared" si="137"/>
        <v>0</v>
      </c>
      <c r="M464" s="330">
        <f t="shared" si="138"/>
        <v>0</v>
      </c>
      <c r="N464" s="447"/>
      <c r="O464" s="371" t="s">
        <v>511</v>
      </c>
      <c r="P464" s="367" t="s">
        <v>152</v>
      </c>
      <c r="Q464" s="371" t="s">
        <v>299</v>
      </c>
      <c r="R464" s="372" t="s">
        <v>451</v>
      </c>
      <c r="S464" s="371" t="s">
        <v>740</v>
      </c>
      <c r="T464" s="274" t="str">
        <f t="shared" si="136"/>
        <v>LOC Ticketing</v>
      </c>
      <c r="U464" s="340" t="s">
        <v>757</v>
      </c>
      <c r="V464" s="368" t="s">
        <v>514</v>
      </c>
    </row>
    <row r="465" spans="1:22" s="276" customFormat="1" ht="15" hidden="1" customHeight="1">
      <c r="A465" s="362" t="s">
        <v>249</v>
      </c>
      <c r="B465" s="329" t="str">
        <f t="shared" si="135"/>
        <v>TV - Large - Standalone</v>
      </c>
      <c r="C465" s="329" t="str">
        <f t="shared" si="130"/>
        <v>Display Devices</v>
      </c>
      <c r="D465" s="329" t="str">
        <f t="shared" si="131"/>
        <v/>
      </c>
      <c r="E465" s="329" t="str">
        <f t="shared" si="132"/>
        <v/>
      </c>
      <c r="F465" s="329" t="str">
        <f t="shared" si="133"/>
        <v>Large TV - Standalone</v>
      </c>
      <c r="G465" s="329" t="str">
        <f t="shared" si="134"/>
        <v>TVLGSA - TV - Large - Standalone</v>
      </c>
      <c r="H465" s="269"/>
      <c r="I465" s="330">
        <f t="shared" si="139"/>
        <v>0</v>
      </c>
      <c r="J465" s="330">
        <f t="shared" si="139"/>
        <v>0</v>
      </c>
      <c r="K465" s="365">
        <v>0</v>
      </c>
      <c r="L465" s="330">
        <f t="shared" si="137"/>
        <v>0</v>
      </c>
      <c r="M465" s="330">
        <f t="shared" si="138"/>
        <v>0</v>
      </c>
      <c r="N465" s="447"/>
      <c r="O465" s="371" t="s">
        <v>511</v>
      </c>
      <c r="P465" s="367" t="s">
        <v>152</v>
      </c>
      <c r="Q465" s="371" t="s">
        <v>299</v>
      </c>
      <c r="R465" s="372" t="s">
        <v>451</v>
      </c>
      <c r="S465" s="371" t="s">
        <v>740</v>
      </c>
      <c r="T465" s="274" t="str">
        <f t="shared" si="136"/>
        <v>LOC Ticketing</v>
      </c>
      <c r="U465" s="340" t="s">
        <v>757</v>
      </c>
      <c r="V465" s="368" t="s">
        <v>514</v>
      </c>
    </row>
    <row r="466" spans="1:22" s="276" customFormat="1" ht="15" hidden="1" customHeight="1">
      <c r="A466" s="362" t="s">
        <v>567</v>
      </c>
      <c r="B466" s="329" t="str">
        <f t="shared" si="135"/>
        <v>Wired Port - ACR-TKT-Ipcodec</v>
      </c>
      <c r="C466" s="329" t="str">
        <f t="shared" si="130"/>
        <v>Network &amp; Connectivity</v>
      </c>
      <c r="D466" s="329" t="str">
        <f t="shared" si="131"/>
        <v/>
      </c>
      <c r="E466" s="329" t="str">
        <f t="shared" si="132"/>
        <v>FIFA Standard Internet Access</v>
      </c>
      <c r="F466" s="329" t="str">
        <f t="shared" si="133"/>
        <v>Wired Port - ACR-TKT-Ipcodec</v>
      </c>
      <c r="G466" s="329" t="str">
        <f t="shared" si="134"/>
        <v>WRDSTA - Wired Port - ACR-TKT-Ipcodec (FIFA Standard Internet Access)</v>
      </c>
      <c r="H466" s="269"/>
      <c r="I466" s="330">
        <f t="shared" si="139"/>
        <v>0</v>
      </c>
      <c r="J466" s="330">
        <f t="shared" si="139"/>
        <v>0</v>
      </c>
      <c r="K466" s="365">
        <v>0</v>
      </c>
      <c r="L466" s="330">
        <f t="shared" si="137"/>
        <v>0</v>
      </c>
      <c r="M466" s="330">
        <f t="shared" si="138"/>
        <v>0</v>
      </c>
      <c r="N466" s="447"/>
      <c r="O466" s="371" t="s">
        <v>511</v>
      </c>
      <c r="P466" s="367" t="s">
        <v>152</v>
      </c>
      <c r="Q466" s="371" t="s">
        <v>299</v>
      </c>
      <c r="R466" s="372" t="s">
        <v>456</v>
      </c>
      <c r="S466" s="371" t="s">
        <v>740</v>
      </c>
      <c r="T466" s="274" t="str">
        <f t="shared" si="136"/>
        <v>LOC Ticketing</v>
      </c>
      <c r="U466" s="340" t="s">
        <v>757</v>
      </c>
      <c r="V466" s="368" t="s">
        <v>520</v>
      </c>
    </row>
    <row r="467" spans="1:22" s="276" customFormat="1" ht="15" hidden="1" customHeight="1">
      <c r="A467" s="362" t="s">
        <v>519</v>
      </c>
      <c r="B467" s="329" t="str">
        <f t="shared" si="135"/>
        <v>Wireless coverage - Shared Internet Service - Wi-Fi FIFA</v>
      </c>
      <c r="C467" s="329" t="str">
        <f t="shared" si="130"/>
        <v>Network &amp; Connectivity</v>
      </c>
      <c r="D467" s="329" t="str">
        <f t="shared" si="131"/>
        <v/>
      </c>
      <c r="E467" s="329" t="str">
        <f t="shared" si="132"/>
        <v>General Internet Access</v>
      </c>
      <c r="F467" s="329" t="str">
        <f t="shared" si="133"/>
        <v>Wireless coverage - Shared Internet Service - FIFA</v>
      </c>
      <c r="G467" s="329" t="str">
        <f t="shared" si="134"/>
        <v>IS00WF - Wireless coverage - Shared Internet Service - Wi-Fi FIFA (General Internet Access)</v>
      </c>
      <c r="H467" s="269"/>
      <c r="I467" s="330">
        <f t="shared" si="139"/>
        <v>0</v>
      </c>
      <c r="J467" s="330">
        <f t="shared" si="139"/>
        <v>0</v>
      </c>
      <c r="K467" s="365">
        <v>0</v>
      </c>
      <c r="L467" s="330">
        <f t="shared" si="137"/>
        <v>0</v>
      </c>
      <c r="M467" s="330">
        <f t="shared" si="138"/>
        <v>0</v>
      </c>
      <c r="N467" s="447"/>
      <c r="O467" s="371" t="s">
        <v>511</v>
      </c>
      <c r="P467" s="367" t="s">
        <v>152</v>
      </c>
      <c r="Q467" s="371" t="s">
        <v>299</v>
      </c>
      <c r="R467" s="372" t="s">
        <v>456</v>
      </c>
      <c r="S467" s="371" t="s">
        <v>740</v>
      </c>
      <c r="T467" s="274" t="str">
        <f t="shared" si="136"/>
        <v>LOC Ticketing</v>
      </c>
      <c r="U467" s="340" t="s">
        <v>757</v>
      </c>
      <c r="V467" s="368" t="s">
        <v>520</v>
      </c>
    </row>
    <row r="468" spans="1:22" s="276" customFormat="1" hidden="1">
      <c r="A468" s="362" t="s">
        <v>202</v>
      </c>
      <c r="B468" s="329" t="str">
        <f t="shared" si="135"/>
        <v>MFD Desktop - Colour - A4 - Network</v>
      </c>
      <c r="C468" s="329" t="str">
        <f t="shared" si="130"/>
        <v>Reprographics</v>
      </c>
      <c r="D468" s="329" t="str">
        <f t="shared" si="131"/>
        <v/>
      </c>
      <c r="E468" s="329" t="str">
        <f t="shared" si="132"/>
        <v>General Internet Access</v>
      </c>
      <c r="F468" s="329" t="str">
        <f t="shared" si="133"/>
        <v>Colour Printer / Scanner (A4)</v>
      </c>
      <c r="G468" s="329" t="str">
        <f t="shared" si="134"/>
        <v>MFDDNW - MFD Desktop - Colour - A4 - Network (General Internet Access)</v>
      </c>
      <c r="H468" s="269"/>
      <c r="I468" s="330">
        <f t="shared" si="139"/>
        <v>0</v>
      </c>
      <c r="J468" s="330">
        <f t="shared" si="139"/>
        <v>0</v>
      </c>
      <c r="K468" s="365">
        <v>0</v>
      </c>
      <c r="L468" s="330">
        <f t="shared" si="137"/>
        <v>0</v>
      </c>
      <c r="M468" s="330">
        <f t="shared" si="138"/>
        <v>0</v>
      </c>
      <c r="N468" s="447"/>
      <c r="O468" s="371" t="s">
        <v>511</v>
      </c>
      <c r="P468" s="367" t="s">
        <v>152</v>
      </c>
      <c r="Q468" s="371" t="s">
        <v>299</v>
      </c>
      <c r="R468" s="372" t="s">
        <v>456</v>
      </c>
      <c r="S468" s="371" t="s">
        <v>740</v>
      </c>
      <c r="T468" s="274" t="str">
        <f t="shared" si="136"/>
        <v>LOC Ticketing</v>
      </c>
      <c r="U468" s="340" t="s">
        <v>757</v>
      </c>
      <c r="V468" s="368" t="s">
        <v>514</v>
      </c>
    </row>
    <row r="469" spans="1:22" s="276" customFormat="1" ht="15" hidden="1" customHeight="1">
      <c r="A469" s="362" t="s">
        <v>567</v>
      </c>
      <c r="B469" s="329" t="str">
        <f t="shared" si="135"/>
        <v>Wired Port - ACR-TKT-Ipcodec</v>
      </c>
      <c r="C469" s="329" t="str">
        <f t="shared" si="130"/>
        <v>Network &amp; Connectivity</v>
      </c>
      <c r="D469" s="329" t="str">
        <f t="shared" si="131"/>
        <v/>
      </c>
      <c r="E469" s="329" t="str">
        <f t="shared" si="132"/>
        <v>FIFA Standard Internet Access</v>
      </c>
      <c r="F469" s="329" t="str">
        <f t="shared" si="133"/>
        <v>Wired Port - ACR-TKT-Ipcodec</v>
      </c>
      <c r="G469" s="329" t="str">
        <f t="shared" si="134"/>
        <v>WRDSTA - Wired Port - ACR-TKT-Ipcodec (FIFA Standard Internet Access)</v>
      </c>
      <c r="H469" s="269"/>
      <c r="I469" s="330">
        <f t="shared" si="139"/>
        <v>0</v>
      </c>
      <c r="J469" s="330">
        <f t="shared" si="139"/>
        <v>0</v>
      </c>
      <c r="K469" s="365">
        <v>0</v>
      </c>
      <c r="L469" s="330">
        <f t="shared" si="137"/>
        <v>0</v>
      </c>
      <c r="M469" s="330">
        <f t="shared" si="138"/>
        <v>0</v>
      </c>
      <c r="N469" s="447"/>
      <c r="O469" s="371" t="s">
        <v>511</v>
      </c>
      <c r="P469" s="367" t="s">
        <v>152</v>
      </c>
      <c r="Q469" s="371" t="s">
        <v>299</v>
      </c>
      <c r="R469" s="372" t="s">
        <v>460</v>
      </c>
      <c r="S469" s="371" t="s">
        <v>740</v>
      </c>
      <c r="T469" s="274" t="str">
        <f t="shared" si="136"/>
        <v>LOC Ticketing</v>
      </c>
      <c r="U469" s="340" t="s">
        <v>757</v>
      </c>
      <c r="V469" s="368" t="s">
        <v>520</v>
      </c>
    </row>
    <row r="470" spans="1:22" s="276" customFormat="1" ht="15" hidden="1" customHeight="1">
      <c r="A470" s="362" t="s">
        <v>591</v>
      </c>
      <c r="B470" s="329" t="str">
        <f t="shared" si="135"/>
        <v>Laptop - FIFA Event Build</v>
      </c>
      <c r="C470" s="329" t="str">
        <f t="shared" si="130"/>
        <v>FIFA IT Hardware</v>
      </c>
      <c r="D470" s="329" t="str">
        <f t="shared" si="131"/>
        <v/>
      </c>
      <c r="E470" s="329" t="str">
        <f t="shared" si="132"/>
        <v/>
      </c>
      <c r="F470" s="329" t="str">
        <f t="shared" si="133"/>
        <v>FIFA Laptop</v>
      </c>
      <c r="G470" s="329" t="str">
        <f t="shared" si="134"/>
        <v>LAPEVT - Laptop - FIFA Event Build</v>
      </c>
      <c r="H470" s="269"/>
      <c r="I470" s="330">
        <f t="shared" si="139"/>
        <v>0</v>
      </c>
      <c r="J470" s="330">
        <f t="shared" si="139"/>
        <v>0</v>
      </c>
      <c r="K470" s="365">
        <v>0</v>
      </c>
      <c r="L470" s="330">
        <f t="shared" si="137"/>
        <v>0</v>
      </c>
      <c r="M470" s="330">
        <f t="shared" si="138"/>
        <v>0</v>
      </c>
      <c r="N470" s="447"/>
      <c r="O470" s="371" t="s">
        <v>511</v>
      </c>
      <c r="P470" s="367" t="s">
        <v>152</v>
      </c>
      <c r="Q470" s="371" t="s">
        <v>299</v>
      </c>
      <c r="R470" s="372" t="s">
        <v>460</v>
      </c>
      <c r="S470" s="371" t="s">
        <v>740</v>
      </c>
      <c r="T470" s="274" t="str">
        <f t="shared" si="136"/>
        <v>LOC Ticketing</v>
      </c>
      <c r="U470" s="340" t="s">
        <v>757</v>
      </c>
      <c r="V470" s="368" t="s">
        <v>514</v>
      </c>
    </row>
    <row r="471" spans="1:22" s="276" customFormat="1" ht="15" hidden="1" customHeight="1">
      <c r="A471" s="362" t="s">
        <v>249</v>
      </c>
      <c r="B471" s="329" t="str">
        <f t="shared" si="135"/>
        <v>TV - Large - Standalone</v>
      </c>
      <c r="C471" s="329" t="str">
        <f t="shared" si="130"/>
        <v>Display Devices</v>
      </c>
      <c r="D471" s="329" t="str">
        <f t="shared" si="131"/>
        <v/>
      </c>
      <c r="E471" s="329" t="str">
        <f t="shared" si="132"/>
        <v/>
      </c>
      <c r="F471" s="329" t="str">
        <f t="shared" si="133"/>
        <v>Large TV - Standalone</v>
      </c>
      <c r="G471" s="329" t="str">
        <f t="shared" si="134"/>
        <v>TVLGSA - TV - Large - Standalone</v>
      </c>
      <c r="H471" s="269"/>
      <c r="I471" s="330">
        <f t="shared" si="139"/>
        <v>0</v>
      </c>
      <c r="J471" s="330">
        <f t="shared" si="139"/>
        <v>0</v>
      </c>
      <c r="K471" s="365">
        <v>0</v>
      </c>
      <c r="L471" s="330">
        <f t="shared" si="137"/>
        <v>0</v>
      </c>
      <c r="M471" s="330">
        <f t="shared" si="138"/>
        <v>0</v>
      </c>
      <c r="N471" s="447"/>
      <c r="O471" s="371" t="s">
        <v>511</v>
      </c>
      <c r="P471" s="367" t="s">
        <v>152</v>
      </c>
      <c r="Q471" s="371" t="s">
        <v>299</v>
      </c>
      <c r="R471" s="372" t="s">
        <v>460</v>
      </c>
      <c r="S471" s="371" t="s">
        <v>740</v>
      </c>
      <c r="T471" s="274" t="str">
        <f t="shared" si="136"/>
        <v>LOC Ticketing</v>
      </c>
      <c r="U471" s="340" t="s">
        <v>757</v>
      </c>
      <c r="V471" s="368" t="s">
        <v>514</v>
      </c>
    </row>
    <row r="472" spans="1:22" s="276" customFormat="1" ht="15" hidden="1" customHeight="1">
      <c r="A472" s="362" t="s">
        <v>249</v>
      </c>
      <c r="B472" s="329" t="str">
        <f t="shared" si="135"/>
        <v>TV - Large - Standalone</v>
      </c>
      <c r="C472" s="329" t="str">
        <f t="shared" si="130"/>
        <v>Display Devices</v>
      </c>
      <c r="D472" s="329" t="str">
        <f t="shared" si="131"/>
        <v/>
      </c>
      <c r="E472" s="329" t="str">
        <f t="shared" si="132"/>
        <v/>
      </c>
      <c r="F472" s="329" t="str">
        <f t="shared" si="133"/>
        <v>Large TV - Standalone</v>
      </c>
      <c r="G472" s="329" t="str">
        <f t="shared" si="134"/>
        <v>TVLGSA - TV - Large - Standalone</v>
      </c>
      <c r="H472" s="269"/>
      <c r="I472" s="330">
        <f t="shared" si="139"/>
        <v>0</v>
      </c>
      <c r="J472" s="330">
        <f t="shared" si="139"/>
        <v>0</v>
      </c>
      <c r="K472" s="365">
        <v>0</v>
      </c>
      <c r="L472" s="330">
        <f t="shared" si="137"/>
        <v>0</v>
      </c>
      <c r="M472" s="330">
        <f t="shared" si="138"/>
        <v>0</v>
      </c>
      <c r="N472" s="447"/>
      <c r="O472" s="371" t="s">
        <v>511</v>
      </c>
      <c r="P472" s="372" t="s">
        <v>197</v>
      </c>
      <c r="Q472" s="371" t="s">
        <v>185</v>
      </c>
      <c r="R472" s="372" t="s">
        <v>483</v>
      </c>
      <c r="S472" s="371" t="s">
        <v>740</v>
      </c>
      <c r="T472" s="274" t="str">
        <f t="shared" si="136"/>
        <v>LOC Ticketing</v>
      </c>
      <c r="U472" s="275" t="s">
        <v>722</v>
      </c>
      <c r="V472" s="368" t="s">
        <v>514</v>
      </c>
    </row>
    <row r="473" spans="1:22" s="276" customFormat="1" ht="15" hidden="1" customHeight="1">
      <c r="A473" s="362" t="s">
        <v>591</v>
      </c>
      <c r="B473" s="329" t="str">
        <f t="shared" si="135"/>
        <v>Laptop - FIFA Event Build</v>
      </c>
      <c r="C473" s="329" t="str">
        <f t="shared" si="130"/>
        <v>FIFA IT Hardware</v>
      </c>
      <c r="D473" s="329" t="str">
        <f t="shared" si="131"/>
        <v/>
      </c>
      <c r="E473" s="329" t="str">
        <f t="shared" si="132"/>
        <v/>
      </c>
      <c r="F473" s="329" t="str">
        <f t="shared" si="133"/>
        <v>FIFA Laptop</v>
      </c>
      <c r="G473" s="329" t="str">
        <f t="shared" si="134"/>
        <v>LAPEVT - Laptop - FIFA Event Build</v>
      </c>
      <c r="H473" s="269"/>
      <c r="I473" s="330">
        <f t="shared" si="139"/>
        <v>0</v>
      </c>
      <c r="J473" s="330">
        <f t="shared" si="139"/>
        <v>0</v>
      </c>
      <c r="K473" s="365">
        <v>0</v>
      </c>
      <c r="L473" s="330">
        <f t="shared" si="137"/>
        <v>0</v>
      </c>
      <c r="M473" s="330">
        <f t="shared" si="138"/>
        <v>0</v>
      </c>
      <c r="N473" s="447"/>
      <c r="O473" s="371" t="s">
        <v>511</v>
      </c>
      <c r="P473" s="372" t="s">
        <v>197</v>
      </c>
      <c r="Q473" s="371" t="s">
        <v>185</v>
      </c>
      <c r="R473" s="372" t="s">
        <v>483</v>
      </c>
      <c r="S473" s="371" t="s">
        <v>740</v>
      </c>
      <c r="T473" s="274" t="str">
        <f t="shared" si="136"/>
        <v>LOC Ticketing</v>
      </c>
      <c r="U473" s="275" t="s">
        <v>722</v>
      </c>
      <c r="V473" s="368" t="s">
        <v>514</v>
      </c>
    </row>
    <row r="474" spans="1:22" s="276" customFormat="1" ht="15" hidden="1" customHeight="1">
      <c r="A474" s="362" t="s">
        <v>225</v>
      </c>
      <c r="B474" s="329" t="str">
        <f t="shared" si="135"/>
        <v xml:space="preserve">Wired Port - General Internet </v>
      </c>
      <c r="C474" s="329" t="str">
        <f t="shared" si="130"/>
        <v>Network &amp; Connectivity</v>
      </c>
      <c r="D474" s="329" t="str">
        <f t="shared" si="131"/>
        <v/>
      </c>
      <c r="E474" s="329" t="str">
        <f t="shared" si="132"/>
        <v>General Internet Access</v>
      </c>
      <c r="F474" s="329" t="str">
        <f t="shared" si="133"/>
        <v>Wired Port - Internet</v>
      </c>
      <c r="G474" s="329" t="str">
        <f t="shared" si="134"/>
        <v>WRDGEN - Wired Port - General Internet  (General Internet Access)</v>
      </c>
      <c r="H474" s="269"/>
      <c r="I474" s="330">
        <f t="shared" si="139"/>
        <v>0</v>
      </c>
      <c r="J474" s="330">
        <f t="shared" si="139"/>
        <v>0</v>
      </c>
      <c r="K474" s="365">
        <v>0</v>
      </c>
      <c r="L474" s="330">
        <f t="shared" si="137"/>
        <v>0</v>
      </c>
      <c r="M474" s="330">
        <f t="shared" si="138"/>
        <v>0</v>
      </c>
      <c r="N474" s="447"/>
      <c r="O474" s="371" t="s">
        <v>511</v>
      </c>
      <c r="P474" s="372" t="s">
        <v>197</v>
      </c>
      <c r="Q474" s="371" t="s">
        <v>185</v>
      </c>
      <c r="R474" s="372" t="s">
        <v>483</v>
      </c>
      <c r="S474" s="371" t="s">
        <v>740</v>
      </c>
      <c r="T474" s="274" t="str">
        <f t="shared" si="136"/>
        <v>LOC Ticketing</v>
      </c>
      <c r="U474" s="275" t="s">
        <v>722</v>
      </c>
      <c r="V474" s="368" t="s">
        <v>520</v>
      </c>
    </row>
    <row r="475" spans="1:22" s="276" customFormat="1" ht="15" hidden="1" customHeight="1">
      <c r="A475" s="362" t="s">
        <v>519</v>
      </c>
      <c r="B475" s="329" t="str">
        <f t="shared" si="135"/>
        <v>Wireless coverage - Shared Internet Service - Wi-Fi FIFA</v>
      </c>
      <c r="C475" s="329" t="str">
        <f t="shared" si="130"/>
        <v>Network &amp; Connectivity</v>
      </c>
      <c r="D475" s="329" t="str">
        <f t="shared" si="131"/>
        <v/>
      </c>
      <c r="E475" s="329" t="str">
        <f t="shared" si="132"/>
        <v>General Internet Access</v>
      </c>
      <c r="F475" s="329" t="str">
        <f t="shared" si="133"/>
        <v>Wireless coverage - Shared Internet Service - FIFA</v>
      </c>
      <c r="G475" s="329" t="str">
        <f t="shared" si="134"/>
        <v>IS00WF - Wireless coverage - Shared Internet Service - Wi-Fi FIFA (General Internet Access)</v>
      </c>
      <c r="H475" s="269"/>
      <c r="I475" s="330">
        <f t="shared" si="139"/>
        <v>0</v>
      </c>
      <c r="J475" s="330">
        <f t="shared" si="139"/>
        <v>0</v>
      </c>
      <c r="K475" s="365">
        <v>0</v>
      </c>
      <c r="L475" s="330">
        <f t="shared" si="137"/>
        <v>0</v>
      </c>
      <c r="M475" s="330">
        <f t="shared" si="138"/>
        <v>0</v>
      </c>
      <c r="N475" s="447"/>
      <c r="O475" s="371" t="s">
        <v>511</v>
      </c>
      <c r="P475" s="372" t="s">
        <v>197</v>
      </c>
      <c r="Q475" s="371" t="s">
        <v>185</v>
      </c>
      <c r="R475" s="372" t="s">
        <v>483</v>
      </c>
      <c r="S475" s="371" t="s">
        <v>740</v>
      </c>
      <c r="T475" s="274" t="str">
        <f t="shared" si="136"/>
        <v>LOC Ticketing</v>
      </c>
      <c r="U475" s="275" t="s">
        <v>722</v>
      </c>
      <c r="V475" s="368" t="s">
        <v>520</v>
      </c>
    </row>
    <row r="476" spans="1:22" s="276" customFormat="1" ht="15" hidden="1" customHeight="1">
      <c r="A476" s="362" t="s">
        <v>191</v>
      </c>
      <c r="B476" s="329" t="str">
        <f t="shared" si="135"/>
        <v>IT Solution - Router + 4G</v>
      </c>
      <c r="C476" s="329" t="str">
        <f t="shared" si="130"/>
        <v>FIFA IT Network Solutions</v>
      </c>
      <c r="D476" s="329" t="str">
        <f t="shared" si="131"/>
        <v/>
      </c>
      <c r="E476" s="329" t="str">
        <f t="shared" si="132"/>
        <v/>
      </c>
      <c r="F476" s="329" t="str">
        <f t="shared" si="133"/>
        <v>IT Solution - Router + 4G</v>
      </c>
      <c r="G476" s="329" t="str">
        <f t="shared" si="134"/>
        <v>ITSR4G - IT Solution - Router + 4G</v>
      </c>
      <c r="H476" s="269"/>
      <c r="I476" s="330">
        <f t="shared" si="139"/>
        <v>0</v>
      </c>
      <c r="J476" s="330">
        <f t="shared" si="139"/>
        <v>0</v>
      </c>
      <c r="K476" s="365">
        <v>0</v>
      </c>
      <c r="L476" s="330">
        <f t="shared" si="137"/>
        <v>0</v>
      </c>
      <c r="M476" s="330">
        <f t="shared" si="138"/>
        <v>0</v>
      </c>
      <c r="N476" s="447"/>
      <c r="O476" s="371" t="s">
        <v>511</v>
      </c>
      <c r="P476" s="372" t="s">
        <v>197</v>
      </c>
      <c r="Q476" s="371" t="s">
        <v>185</v>
      </c>
      <c r="R476" s="372" t="s">
        <v>483</v>
      </c>
      <c r="S476" s="371" t="s">
        <v>740</v>
      </c>
      <c r="T476" s="274" t="str">
        <f t="shared" si="136"/>
        <v>LOC Ticketing</v>
      </c>
      <c r="U476" s="275" t="s">
        <v>722</v>
      </c>
      <c r="V476" s="368" t="s">
        <v>520</v>
      </c>
    </row>
    <row r="477" spans="1:22" s="276" customFormat="1" hidden="1">
      <c r="A477" s="362" t="s">
        <v>207</v>
      </c>
      <c r="B477" s="329" t="str">
        <f t="shared" si="135"/>
        <v>MFD Large - Colour - A3 - Network</v>
      </c>
      <c r="C477" s="329" t="str">
        <f t="shared" si="130"/>
        <v>Reprographics</v>
      </c>
      <c r="D477" s="329" t="str">
        <f t="shared" si="131"/>
        <v/>
      </c>
      <c r="E477" s="329" t="str">
        <f t="shared" si="132"/>
        <v>General Internet Access</v>
      </c>
      <c r="F477" s="329" t="str">
        <f t="shared" si="133"/>
        <v>Large Colour Printer / Scanner (A3)</v>
      </c>
      <c r="G477" s="329" t="str">
        <f t="shared" si="134"/>
        <v>MFDLNW - MFD Large - Colour - A3 - Network (General Internet Access)</v>
      </c>
      <c r="H477" s="269"/>
      <c r="I477" s="330">
        <f t="shared" ref="I477:J484" si="140">IF($A477="","",$K477*VLOOKUP($A477,ps_table,MATCH(I$2,ps_headers,0),FALSE))</f>
        <v>0</v>
      </c>
      <c r="J477" s="330">
        <f t="shared" si="140"/>
        <v>0</v>
      </c>
      <c r="K477" s="365">
        <v>0</v>
      </c>
      <c r="L477" s="330">
        <f t="shared" si="137"/>
        <v>0</v>
      </c>
      <c r="M477" s="330">
        <f t="shared" si="138"/>
        <v>0</v>
      </c>
      <c r="N477" s="447"/>
      <c r="O477" s="371" t="s">
        <v>511</v>
      </c>
      <c r="P477" s="372" t="s">
        <v>197</v>
      </c>
      <c r="Q477" s="371" t="s">
        <v>185</v>
      </c>
      <c r="R477" s="372" t="s">
        <v>483</v>
      </c>
      <c r="S477" s="371" t="s">
        <v>740</v>
      </c>
      <c r="T477" s="274" t="str">
        <f t="shared" si="136"/>
        <v>LOC Ticketing</v>
      </c>
      <c r="U477" s="275" t="s">
        <v>722</v>
      </c>
      <c r="V477" s="368" t="s">
        <v>514</v>
      </c>
    </row>
    <row r="478" spans="1:22" s="276" customFormat="1" hidden="1">
      <c r="A478" s="362" t="s">
        <v>202</v>
      </c>
      <c r="B478" s="329" t="str">
        <f t="shared" si="135"/>
        <v>MFD Desktop - Colour - A4 - Network</v>
      </c>
      <c r="C478" s="329" t="str">
        <f t="shared" si="130"/>
        <v>Reprographics</v>
      </c>
      <c r="D478" s="329" t="str">
        <f t="shared" si="131"/>
        <v/>
      </c>
      <c r="E478" s="329" t="str">
        <f t="shared" si="132"/>
        <v>General Internet Access</v>
      </c>
      <c r="F478" s="329" t="str">
        <f t="shared" si="133"/>
        <v>Colour Printer / Scanner (A4)</v>
      </c>
      <c r="G478" s="329" t="str">
        <f t="shared" si="134"/>
        <v>MFDDNW - MFD Desktop - Colour - A4 - Network (General Internet Access)</v>
      </c>
      <c r="H478" s="269"/>
      <c r="I478" s="330">
        <f t="shared" si="140"/>
        <v>0</v>
      </c>
      <c r="J478" s="330">
        <f t="shared" si="140"/>
        <v>0</v>
      </c>
      <c r="K478" s="365">
        <v>0</v>
      </c>
      <c r="L478" s="330">
        <f t="shared" si="137"/>
        <v>0</v>
      </c>
      <c r="M478" s="330">
        <f t="shared" si="138"/>
        <v>0</v>
      </c>
      <c r="N478" s="447"/>
      <c r="O478" s="371" t="s">
        <v>511</v>
      </c>
      <c r="P478" s="372" t="s">
        <v>197</v>
      </c>
      <c r="Q478" s="371" t="s">
        <v>185</v>
      </c>
      <c r="R478" s="372" t="s">
        <v>483</v>
      </c>
      <c r="S478" s="371" t="s">
        <v>740</v>
      </c>
      <c r="T478" s="274" t="str">
        <f t="shared" si="136"/>
        <v>LOC Ticketing</v>
      </c>
      <c r="U478" s="275" t="s">
        <v>722</v>
      </c>
      <c r="V478" s="368" t="s">
        <v>514</v>
      </c>
    </row>
    <row r="479" spans="1:22" s="276" customFormat="1" hidden="1">
      <c r="A479" s="362" t="s">
        <v>329</v>
      </c>
      <c r="B479" s="329" t="str">
        <f t="shared" si="135"/>
        <v>24" Monitor - HDMI/DP</v>
      </c>
      <c r="C479" s="329" t="str">
        <f t="shared" si="130"/>
        <v>Peripherals</v>
      </c>
      <c r="D479" s="329" t="str">
        <f t="shared" si="131"/>
        <v/>
      </c>
      <c r="E479" s="329" t="str">
        <f t="shared" si="132"/>
        <v/>
      </c>
      <c r="F479" s="329" t="str">
        <f t="shared" si="133"/>
        <v>24" PC Monitor</v>
      </c>
      <c r="G479" s="329" t="str">
        <f t="shared" si="134"/>
        <v>DSKMNT - 24" Monitor - HDMI/DP</v>
      </c>
      <c r="H479" s="269"/>
      <c r="I479" s="330">
        <f t="shared" si="140"/>
        <v>0</v>
      </c>
      <c r="J479" s="330">
        <f t="shared" si="140"/>
        <v>0</v>
      </c>
      <c r="K479" s="365">
        <v>0</v>
      </c>
      <c r="L479" s="330">
        <f t="shared" si="137"/>
        <v>0</v>
      </c>
      <c r="M479" s="330">
        <f t="shared" si="138"/>
        <v>0</v>
      </c>
      <c r="N479" s="447"/>
      <c r="O479" s="371" t="s">
        <v>511</v>
      </c>
      <c r="P479" s="372" t="s">
        <v>197</v>
      </c>
      <c r="Q479" s="371" t="s">
        <v>185</v>
      </c>
      <c r="R479" s="372" t="s">
        <v>483</v>
      </c>
      <c r="S479" s="371" t="s">
        <v>740</v>
      </c>
      <c r="T479" s="274" t="str">
        <f t="shared" si="136"/>
        <v>LOC Ticketing</v>
      </c>
      <c r="U479" s="275" t="s">
        <v>722</v>
      </c>
      <c r="V479" s="368" t="s">
        <v>514</v>
      </c>
    </row>
    <row r="480" spans="1:22" s="276" customFormat="1" ht="15" hidden="1" customHeight="1">
      <c r="A480" s="362" t="s">
        <v>616</v>
      </c>
      <c r="B480" s="329" t="str">
        <f t="shared" si="135"/>
        <v>Office Projector - 6K</v>
      </c>
      <c r="C480" s="329" t="str">
        <f t="shared" si="130"/>
        <v>Display Devices</v>
      </c>
      <c r="D480" s="329" t="str">
        <f t="shared" si="131"/>
        <v/>
      </c>
      <c r="E480" s="329" t="str">
        <f t="shared" si="132"/>
        <v/>
      </c>
      <c r="F480" s="329" t="str">
        <f t="shared" si="133"/>
        <v>Office Projector - 6K</v>
      </c>
      <c r="G480" s="329" t="str">
        <f t="shared" si="134"/>
        <v>PROJ6K - Office Projector - 6K</v>
      </c>
      <c r="H480" s="269"/>
      <c r="I480" s="330">
        <f t="shared" si="140"/>
        <v>0</v>
      </c>
      <c r="J480" s="330">
        <f t="shared" si="140"/>
        <v>0</v>
      </c>
      <c r="K480" s="365">
        <v>0</v>
      </c>
      <c r="L480" s="330">
        <f t="shared" si="137"/>
        <v>0</v>
      </c>
      <c r="M480" s="330">
        <f t="shared" si="138"/>
        <v>0</v>
      </c>
      <c r="N480" s="447"/>
      <c r="O480" s="371" t="s">
        <v>511</v>
      </c>
      <c r="P480" s="372" t="s">
        <v>197</v>
      </c>
      <c r="Q480" s="371" t="s">
        <v>185</v>
      </c>
      <c r="R480" s="372" t="s">
        <v>483</v>
      </c>
      <c r="S480" s="371" t="s">
        <v>740</v>
      </c>
      <c r="T480" s="274" t="str">
        <f t="shared" si="136"/>
        <v>LOC Ticketing</v>
      </c>
      <c r="U480" s="275" t="s">
        <v>722</v>
      </c>
      <c r="V480" s="368" t="s">
        <v>514</v>
      </c>
    </row>
    <row r="481" spans="1:22" s="276" customFormat="1" hidden="1">
      <c r="A481" s="362" t="s">
        <v>202</v>
      </c>
      <c r="B481" s="329" t="str">
        <f t="shared" si="135"/>
        <v>MFD Desktop - Colour - A4 - Network</v>
      </c>
      <c r="C481" s="329" t="str">
        <f t="shared" si="130"/>
        <v>Reprographics</v>
      </c>
      <c r="D481" s="329" t="str">
        <f t="shared" si="131"/>
        <v/>
      </c>
      <c r="E481" s="329" t="str">
        <f t="shared" si="132"/>
        <v>General Internet Access</v>
      </c>
      <c r="F481" s="329" t="str">
        <f t="shared" si="133"/>
        <v>Colour Printer / Scanner (A4)</v>
      </c>
      <c r="G481" s="329" t="str">
        <f t="shared" si="134"/>
        <v>MFDDNW - MFD Desktop - Colour - A4 - Network (General Internet Access)</v>
      </c>
      <c r="H481" s="269"/>
      <c r="I481" s="330">
        <f t="shared" si="140"/>
        <v>0</v>
      </c>
      <c r="J481" s="330">
        <f t="shared" si="140"/>
        <v>0</v>
      </c>
      <c r="K481" s="365">
        <v>0</v>
      </c>
      <c r="L481" s="330">
        <f t="shared" si="137"/>
        <v>0</v>
      </c>
      <c r="M481" s="330">
        <f t="shared" si="138"/>
        <v>0</v>
      </c>
      <c r="N481" s="447"/>
      <c r="O481" s="371" t="s">
        <v>511</v>
      </c>
      <c r="P481" s="372" t="s">
        <v>197</v>
      </c>
      <c r="Q481" s="371" t="s">
        <v>185</v>
      </c>
      <c r="R481" s="372" t="s">
        <v>502</v>
      </c>
      <c r="S481" s="371" t="s">
        <v>758</v>
      </c>
      <c r="T481" s="274" t="str">
        <f t="shared" si="136"/>
        <v>LOC Arrival &amp; Departure</v>
      </c>
      <c r="U481" s="275" t="s">
        <v>722</v>
      </c>
      <c r="V481" s="368" t="s">
        <v>514</v>
      </c>
    </row>
    <row r="482" spans="1:22" s="276" customFormat="1" hidden="1">
      <c r="A482" s="362" t="s">
        <v>188</v>
      </c>
      <c r="B482" s="329" t="str">
        <f t="shared" si="135"/>
        <v>SIM - Data Only</v>
      </c>
      <c r="C482" s="329" t="str">
        <f t="shared" si="130"/>
        <v>Telephony</v>
      </c>
      <c r="D482" s="329" t="str">
        <f t="shared" si="131"/>
        <v/>
      </c>
      <c r="E482" s="329" t="str">
        <f t="shared" si="132"/>
        <v/>
      </c>
      <c r="F482" s="329" t="str">
        <f t="shared" si="133"/>
        <v>Local SIM Card - Data Only</v>
      </c>
      <c r="G482" s="329" t="str">
        <f t="shared" si="134"/>
        <v>SIMDAT - SIM - Data Only</v>
      </c>
      <c r="H482" s="269"/>
      <c r="I482" s="330">
        <f t="shared" si="140"/>
        <v>0</v>
      </c>
      <c r="J482" s="330">
        <f t="shared" si="140"/>
        <v>0</v>
      </c>
      <c r="K482" s="365">
        <v>0</v>
      </c>
      <c r="L482" s="330">
        <f t="shared" si="137"/>
        <v>0</v>
      </c>
      <c r="M482" s="330">
        <f t="shared" si="138"/>
        <v>0</v>
      </c>
      <c r="N482" s="447"/>
      <c r="O482" s="371" t="s">
        <v>511</v>
      </c>
      <c r="P482" s="372" t="s">
        <v>197</v>
      </c>
      <c r="Q482" s="371" t="s">
        <v>185</v>
      </c>
      <c r="R482" s="372" t="s">
        <v>502</v>
      </c>
      <c r="S482" s="371" t="s">
        <v>758</v>
      </c>
      <c r="T482" s="274" t="str">
        <f t="shared" si="136"/>
        <v>LOC Arrival &amp; Departure</v>
      </c>
      <c r="U482" s="275" t="s">
        <v>722</v>
      </c>
      <c r="V482" s="368" t="s">
        <v>594</v>
      </c>
    </row>
    <row r="483" spans="1:22" s="276" customFormat="1" hidden="1">
      <c r="A483" s="362" t="s">
        <v>329</v>
      </c>
      <c r="B483" s="329" t="str">
        <f t="shared" si="135"/>
        <v>24" Monitor - HDMI/DP</v>
      </c>
      <c r="C483" s="329" t="str">
        <f t="shared" si="130"/>
        <v>Peripherals</v>
      </c>
      <c r="D483" s="329" t="str">
        <f t="shared" si="131"/>
        <v/>
      </c>
      <c r="E483" s="329" t="str">
        <f t="shared" si="132"/>
        <v/>
      </c>
      <c r="F483" s="329" t="str">
        <f t="shared" si="133"/>
        <v>24" PC Monitor</v>
      </c>
      <c r="G483" s="329" t="str">
        <f t="shared" si="134"/>
        <v>DSKMNT - 24" Monitor - HDMI/DP</v>
      </c>
      <c r="H483" s="269"/>
      <c r="I483" s="330">
        <f t="shared" si="140"/>
        <v>0</v>
      </c>
      <c r="J483" s="330">
        <f t="shared" si="140"/>
        <v>0</v>
      </c>
      <c r="K483" s="365">
        <v>0</v>
      </c>
      <c r="L483" s="330">
        <f t="shared" si="137"/>
        <v>0</v>
      </c>
      <c r="M483" s="330">
        <f t="shared" si="138"/>
        <v>0</v>
      </c>
      <c r="N483" s="447"/>
      <c r="O483" s="371" t="s">
        <v>511</v>
      </c>
      <c r="P483" s="372" t="s">
        <v>197</v>
      </c>
      <c r="Q483" s="371" t="s">
        <v>185</v>
      </c>
      <c r="R483" s="372" t="s">
        <v>502</v>
      </c>
      <c r="S483" s="371" t="s">
        <v>758</v>
      </c>
      <c r="T483" s="274" t="str">
        <f t="shared" si="136"/>
        <v>LOC Arrival &amp; Departure</v>
      </c>
      <c r="U483" s="275" t="s">
        <v>722</v>
      </c>
      <c r="V483" s="368" t="s">
        <v>514</v>
      </c>
    </row>
    <row r="484" spans="1:22" hidden="1">
      <c r="A484" s="435" t="s">
        <v>597</v>
      </c>
      <c r="B484" s="343" t="str">
        <f t="shared" si="135"/>
        <v>Telephone - Mobile - Smart Phone</v>
      </c>
      <c r="C484" s="343" t="str">
        <f t="shared" si="130"/>
        <v>Telephony</v>
      </c>
      <c r="D484" s="343" t="str">
        <f t="shared" si="131"/>
        <v/>
      </c>
      <c r="E484" s="343" t="str">
        <f t="shared" si="132"/>
        <v/>
      </c>
      <c r="F484" s="343" t="str">
        <f t="shared" si="133"/>
        <v>Smart Phone</v>
      </c>
      <c r="G484" s="343" t="str">
        <f t="shared" si="134"/>
        <v>TELMOB - Telephone - Mobile - Smart Phone</v>
      </c>
      <c r="H484" s="344">
        <v>0</v>
      </c>
      <c r="I484" s="330">
        <f t="shared" si="140"/>
        <v>0</v>
      </c>
      <c r="J484" s="330">
        <f t="shared" si="140"/>
        <v>6</v>
      </c>
      <c r="K484" s="344">
        <v>6</v>
      </c>
      <c r="L484" s="330">
        <f t="shared" si="137"/>
        <v>0</v>
      </c>
      <c r="M484" s="330">
        <f t="shared" si="138"/>
        <v>6</v>
      </c>
      <c r="N484" s="330"/>
      <c r="O484" s="436" t="s">
        <v>511</v>
      </c>
      <c r="P484" s="372" t="s">
        <v>197</v>
      </c>
      <c r="Q484" s="436" t="s">
        <v>759</v>
      </c>
      <c r="R484" s="436" t="s">
        <v>759</v>
      </c>
      <c r="S484" s="437" t="s">
        <v>760</v>
      </c>
      <c r="T484" s="274" t="str">
        <f t="shared" si="136"/>
        <v>LOC GRE</v>
      </c>
      <c r="U484" s="275" t="s">
        <v>761</v>
      </c>
      <c r="V484" s="358" t="s">
        <v>594</v>
      </c>
    </row>
    <row r="485" spans="1:22">
      <c r="A485" s="427"/>
      <c r="B485" s="428"/>
      <c r="C485" s="428"/>
      <c r="D485" s="428"/>
      <c r="E485" s="428"/>
      <c r="F485" s="428"/>
      <c r="G485" s="428"/>
      <c r="H485" s="429"/>
      <c r="I485" s="430"/>
      <c r="J485" s="430"/>
      <c r="K485" s="429"/>
      <c r="L485" s="430"/>
      <c r="M485" s="430"/>
      <c r="N485" s="430"/>
      <c r="O485" s="427"/>
      <c r="P485" s="431"/>
      <c r="Q485" s="427"/>
      <c r="R485" s="427"/>
      <c r="S485" s="432"/>
      <c r="T485" s="433"/>
      <c r="U485" s="337"/>
      <c r="V485" s="434"/>
    </row>
    <row r="486" spans="1:22">
      <c r="K486" s="242">
        <f t="shared" ref="K486:L486" si="141">SUBTOTAL(9,K3:K483)</f>
        <v>57</v>
      </c>
      <c r="L486" s="242">
        <f t="shared" si="141"/>
        <v>57</v>
      </c>
      <c r="M486" s="242">
        <f>SUBTOTAL(9,M3:M483)</f>
        <v>0</v>
      </c>
    </row>
  </sheetData>
  <sheetProtection formatCells="0" insertRows="0" deleteRows="0" sort="0" autoFilter="0"/>
  <autoFilter ref="A2:X484" xr:uid="{00000000-0001-0000-0200-000000000000}">
    <filterColumn colId="2">
      <filters>
        <filter val="Network &amp; Connectivity"/>
      </filters>
    </filterColumn>
    <filterColumn colId="11">
      <filters>
        <filter val="1"/>
        <filter val="2"/>
        <filter val="3"/>
        <filter val="4"/>
        <filter val="5"/>
        <filter val="8"/>
      </filters>
    </filterColumn>
    <filterColumn colId="15">
      <filters>
        <filter val="Khalifa"/>
      </filters>
    </filterColumn>
  </autoFilter>
  <mergeCells count="2">
    <mergeCell ref="H1:J1"/>
    <mergeCell ref="K1:M1"/>
  </mergeCells>
  <dataValidations count="2">
    <dataValidation type="list" allowBlank="1" showInputMessage="1" showErrorMessage="1" sqref="O484:O485 G99 O3:O292" xr:uid="{3B6F92E6-0576-4BA0-A6DE-D5383D2FA891}">
      <formula1>lu_entity</formula1>
    </dataValidation>
    <dataValidation type="list" allowBlank="1" showInputMessage="1" showErrorMessage="1" sqref="H99 P3:P295" xr:uid="{5CA4F7D0-DEBB-4470-B4E8-9841BB89BB37}">
      <formula1>su_venues</formula1>
    </dataValidation>
  </dataValidations>
  <pageMargins left="0.7" right="0.7" top="0.75" bottom="0.75" header="0.3" footer="0.3"/>
  <pageSetup paperSize="8" scale="45" fitToHeight="0" orientation="landscape" r:id="rId1"/>
  <headerFooter>
    <oddHeader>&amp;L&amp;"Calibri"&amp;12&amp;K008000 SC Classification:GENERAL BUSINESS\Other General Business&amp;1#_x000D_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31496-C87F-4929-B37F-68A4834B2AFC}">
  <dimension ref="A3:E84"/>
  <sheetViews>
    <sheetView workbookViewId="0">
      <selection activeCell="A3" sqref="A3"/>
    </sheetView>
  </sheetViews>
  <sheetFormatPr defaultRowHeight="14.4"/>
  <cols>
    <col min="1" max="1" width="47.33203125" bestFit="1" customWidth="1"/>
    <col min="2" max="2" width="22.6640625" bestFit="1" customWidth="1"/>
    <col min="3" max="3" width="29" bestFit="1" customWidth="1"/>
    <col min="4" max="4" width="32.5546875" bestFit="1" customWidth="1"/>
    <col min="5" max="5" width="10.6640625" bestFit="1" customWidth="1"/>
    <col min="6" max="6" width="17.33203125" bestFit="1" customWidth="1"/>
    <col min="7" max="7" width="30" bestFit="1" customWidth="1"/>
    <col min="8" max="9" width="30.33203125" bestFit="1" customWidth="1"/>
    <col min="10" max="10" width="76.88671875" bestFit="1" customWidth="1"/>
    <col min="11" max="11" width="77.88671875" bestFit="1" customWidth="1"/>
    <col min="12" max="12" width="73" bestFit="1" customWidth="1"/>
    <col min="13" max="13" width="71.109375" bestFit="1" customWidth="1"/>
    <col min="14" max="14" width="79.6640625" bestFit="1" customWidth="1"/>
    <col min="15" max="15" width="48.6640625" bestFit="1" customWidth="1"/>
    <col min="16" max="16" width="35.88671875" bestFit="1" customWidth="1"/>
    <col min="17" max="17" width="29.33203125" bestFit="1" customWidth="1"/>
    <col min="18" max="18" width="30.44140625" bestFit="1" customWidth="1"/>
    <col min="19" max="19" width="32.33203125" bestFit="1" customWidth="1"/>
    <col min="20" max="20" width="6.33203125" bestFit="1" customWidth="1"/>
    <col min="21" max="21" width="64.5546875" bestFit="1" customWidth="1"/>
    <col min="22" max="22" width="61.6640625" bestFit="1" customWidth="1"/>
    <col min="23" max="23" width="23.88671875" bestFit="1" customWidth="1"/>
    <col min="24" max="24" width="26.33203125" bestFit="1" customWidth="1"/>
    <col min="25" max="25" width="27.33203125" bestFit="1" customWidth="1"/>
    <col min="26" max="26" width="22.6640625" bestFit="1" customWidth="1"/>
    <col min="27" max="27" width="23.33203125" bestFit="1" customWidth="1"/>
    <col min="28" max="28" width="24.88671875" bestFit="1" customWidth="1"/>
    <col min="29" max="29" width="40.6640625" bestFit="1" customWidth="1"/>
    <col min="30" max="30" width="39.33203125" bestFit="1" customWidth="1"/>
    <col min="31" max="31" width="22.6640625" bestFit="1" customWidth="1"/>
    <col min="32" max="32" width="29" bestFit="1" customWidth="1"/>
    <col min="33" max="33" width="32.5546875" bestFit="1" customWidth="1"/>
    <col min="34" max="34" width="36.5546875" bestFit="1" customWidth="1"/>
    <col min="35" max="35" width="67.44140625" bestFit="1" customWidth="1"/>
    <col min="36" max="36" width="39.44140625" bestFit="1" customWidth="1"/>
    <col min="37" max="37" width="57.5546875" bestFit="1" customWidth="1"/>
    <col min="38" max="38" width="61.33203125" bestFit="1" customWidth="1"/>
    <col min="39" max="39" width="63.109375" bestFit="1" customWidth="1"/>
    <col min="40" max="40" width="59.88671875" bestFit="1" customWidth="1"/>
    <col min="41" max="41" width="49.33203125" bestFit="1" customWidth="1"/>
    <col min="42" max="42" width="41.88671875" bestFit="1" customWidth="1"/>
    <col min="43" max="43" width="7" bestFit="1" customWidth="1"/>
    <col min="44" max="44" width="10.6640625" bestFit="1" customWidth="1"/>
  </cols>
  <sheetData>
    <row r="3" spans="1:5">
      <c r="A3" s="182" t="s">
        <v>762</v>
      </c>
      <c r="B3" s="182" t="s">
        <v>763</v>
      </c>
    </row>
    <row r="4" spans="1:5">
      <c r="A4" s="182" t="s">
        <v>764</v>
      </c>
      <c r="B4" t="s">
        <v>765</v>
      </c>
      <c r="C4" t="s">
        <v>766</v>
      </c>
      <c r="D4" t="s">
        <v>767</v>
      </c>
      <c r="E4" t="s">
        <v>768</v>
      </c>
    </row>
    <row r="5" spans="1:5">
      <c r="A5" s="237" t="s">
        <v>149</v>
      </c>
      <c r="B5">
        <v>33</v>
      </c>
      <c r="C5">
        <v>12</v>
      </c>
      <c r="D5">
        <v>1</v>
      </c>
      <c r="E5">
        <v>46</v>
      </c>
    </row>
    <row r="6" spans="1:5">
      <c r="A6" s="43" t="s">
        <v>335</v>
      </c>
      <c r="B6">
        <v>1</v>
      </c>
      <c r="C6">
        <v>1</v>
      </c>
      <c r="E6">
        <v>2</v>
      </c>
    </row>
    <row r="7" spans="1:5">
      <c r="A7" s="424" t="s">
        <v>336</v>
      </c>
      <c r="B7">
        <v>1</v>
      </c>
      <c r="C7">
        <v>1</v>
      </c>
      <c r="E7">
        <v>2</v>
      </c>
    </row>
    <row r="8" spans="1:5">
      <c r="A8" s="43" t="s">
        <v>241</v>
      </c>
      <c r="C8">
        <v>4</v>
      </c>
      <c r="E8">
        <v>4</v>
      </c>
    </row>
    <row r="9" spans="1:5">
      <c r="A9" s="424" t="s">
        <v>326</v>
      </c>
      <c r="C9">
        <v>1</v>
      </c>
      <c r="E9">
        <v>1</v>
      </c>
    </row>
    <row r="10" spans="1:5">
      <c r="A10" s="424" t="s">
        <v>331</v>
      </c>
      <c r="C10">
        <v>1</v>
      </c>
      <c r="E10">
        <v>1</v>
      </c>
    </row>
    <row r="11" spans="1:5">
      <c r="A11" s="424" t="s">
        <v>332</v>
      </c>
      <c r="C11">
        <v>2</v>
      </c>
      <c r="E11">
        <v>2</v>
      </c>
    </row>
    <row r="12" spans="1:5">
      <c r="A12" s="43" t="s">
        <v>694</v>
      </c>
      <c r="B12">
        <v>2</v>
      </c>
      <c r="E12">
        <v>2</v>
      </c>
    </row>
    <row r="13" spans="1:5">
      <c r="A13" s="424" t="s">
        <v>695</v>
      </c>
      <c r="B13">
        <v>1</v>
      </c>
      <c r="E13">
        <v>1</v>
      </c>
    </row>
    <row r="14" spans="1:5">
      <c r="A14" s="424" t="s">
        <v>707</v>
      </c>
      <c r="B14">
        <v>1</v>
      </c>
      <c r="E14">
        <v>1</v>
      </c>
    </row>
    <row r="15" spans="1:5">
      <c r="A15" s="43" t="s">
        <v>527</v>
      </c>
      <c r="B15">
        <v>4</v>
      </c>
      <c r="C15">
        <v>1</v>
      </c>
      <c r="D15">
        <v>1</v>
      </c>
      <c r="E15">
        <v>6</v>
      </c>
    </row>
    <row r="16" spans="1:5">
      <c r="A16" s="424" t="s">
        <v>528</v>
      </c>
      <c r="B16">
        <v>4</v>
      </c>
      <c r="C16">
        <v>1</v>
      </c>
      <c r="E16">
        <v>5</v>
      </c>
    </row>
    <row r="17" spans="1:5">
      <c r="A17" s="424" t="s">
        <v>598</v>
      </c>
      <c r="D17">
        <v>1</v>
      </c>
      <c r="E17">
        <v>1</v>
      </c>
    </row>
    <row r="18" spans="1:5">
      <c r="A18" s="43" t="s">
        <v>185</v>
      </c>
      <c r="C18">
        <v>3</v>
      </c>
      <c r="E18">
        <v>3</v>
      </c>
    </row>
    <row r="19" spans="1:5">
      <c r="A19" s="424" t="s">
        <v>312</v>
      </c>
      <c r="C19">
        <v>1</v>
      </c>
      <c r="E19">
        <v>1</v>
      </c>
    </row>
    <row r="20" spans="1:5">
      <c r="A20" s="424" t="s">
        <v>460</v>
      </c>
      <c r="C20">
        <v>1</v>
      </c>
      <c r="E20">
        <v>1</v>
      </c>
    </row>
    <row r="21" spans="1:5">
      <c r="A21" s="424" t="s">
        <v>316</v>
      </c>
      <c r="C21">
        <v>1</v>
      </c>
      <c r="E21">
        <v>1</v>
      </c>
    </row>
    <row r="22" spans="1:5">
      <c r="A22" s="424" t="s">
        <v>451</v>
      </c>
      <c r="C22">
        <v>0</v>
      </c>
      <c r="E22">
        <v>0</v>
      </c>
    </row>
    <row r="23" spans="1:5">
      <c r="A23" s="43" t="s">
        <v>245</v>
      </c>
      <c r="C23">
        <v>1</v>
      </c>
      <c r="E23">
        <v>1</v>
      </c>
    </row>
    <row r="24" spans="1:5">
      <c r="A24" s="424" t="s">
        <v>246</v>
      </c>
      <c r="C24">
        <v>1</v>
      </c>
      <c r="E24">
        <v>1</v>
      </c>
    </row>
    <row r="25" spans="1:5">
      <c r="A25" s="43" t="s">
        <v>286</v>
      </c>
      <c r="B25">
        <v>1</v>
      </c>
      <c r="E25">
        <v>1</v>
      </c>
    </row>
    <row r="26" spans="1:5">
      <c r="A26" s="424" t="s">
        <v>287</v>
      </c>
      <c r="B26">
        <v>1</v>
      </c>
      <c r="E26">
        <v>1</v>
      </c>
    </row>
    <row r="27" spans="1:5">
      <c r="A27" s="43" t="s">
        <v>284</v>
      </c>
      <c r="B27">
        <v>1</v>
      </c>
      <c r="E27">
        <v>1</v>
      </c>
    </row>
    <row r="28" spans="1:5">
      <c r="A28" s="424" t="s">
        <v>285</v>
      </c>
      <c r="B28">
        <v>1</v>
      </c>
      <c r="E28">
        <v>1</v>
      </c>
    </row>
    <row r="29" spans="1:5">
      <c r="A29" s="43" t="s">
        <v>397</v>
      </c>
      <c r="B29">
        <v>1</v>
      </c>
      <c r="E29">
        <v>1</v>
      </c>
    </row>
    <row r="30" spans="1:5">
      <c r="A30" s="424" t="s">
        <v>397</v>
      </c>
      <c r="B30">
        <v>1</v>
      </c>
      <c r="E30">
        <v>1</v>
      </c>
    </row>
    <row r="31" spans="1:5">
      <c r="A31" s="43" t="s">
        <v>661</v>
      </c>
      <c r="B31">
        <v>10</v>
      </c>
      <c r="E31">
        <v>10</v>
      </c>
    </row>
    <row r="32" spans="1:5">
      <c r="A32" s="424" t="s">
        <v>662</v>
      </c>
      <c r="B32">
        <v>1</v>
      </c>
      <c r="E32">
        <v>1</v>
      </c>
    </row>
    <row r="33" spans="1:5">
      <c r="A33" s="424" t="s">
        <v>667</v>
      </c>
      <c r="B33">
        <v>2</v>
      </c>
      <c r="E33">
        <v>2</v>
      </c>
    </row>
    <row r="34" spans="1:5">
      <c r="A34" s="424" t="s">
        <v>671</v>
      </c>
      <c r="B34">
        <v>2</v>
      </c>
      <c r="E34">
        <v>2</v>
      </c>
    </row>
    <row r="35" spans="1:5">
      <c r="A35" s="424" t="s">
        <v>666</v>
      </c>
      <c r="B35">
        <v>1</v>
      </c>
      <c r="E35">
        <v>1</v>
      </c>
    </row>
    <row r="36" spans="1:5">
      <c r="A36" s="424" t="s">
        <v>665</v>
      </c>
      <c r="B36">
        <v>2</v>
      </c>
      <c r="E36">
        <v>2</v>
      </c>
    </row>
    <row r="37" spans="1:5">
      <c r="A37" s="424" t="s">
        <v>664</v>
      </c>
      <c r="B37">
        <v>2</v>
      </c>
      <c r="E37">
        <v>2</v>
      </c>
    </row>
    <row r="38" spans="1:5">
      <c r="A38" s="43" t="s">
        <v>638</v>
      </c>
      <c r="B38">
        <v>2</v>
      </c>
      <c r="E38">
        <v>2</v>
      </c>
    </row>
    <row r="39" spans="1:5">
      <c r="A39" s="424" t="s">
        <v>561</v>
      </c>
      <c r="B39">
        <v>2</v>
      </c>
      <c r="E39">
        <v>2</v>
      </c>
    </row>
    <row r="40" spans="1:5">
      <c r="A40" s="43" t="s">
        <v>281</v>
      </c>
      <c r="B40">
        <v>7</v>
      </c>
      <c r="C40">
        <v>1</v>
      </c>
      <c r="E40">
        <v>8</v>
      </c>
    </row>
    <row r="41" spans="1:5">
      <c r="A41" s="424" t="s">
        <v>535</v>
      </c>
      <c r="B41">
        <v>1</v>
      </c>
      <c r="E41">
        <v>1</v>
      </c>
    </row>
    <row r="42" spans="1:5">
      <c r="A42" s="424" t="s">
        <v>576</v>
      </c>
      <c r="B42">
        <v>1</v>
      </c>
      <c r="E42">
        <v>1</v>
      </c>
    </row>
    <row r="43" spans="1:5">
      <c r="A43" s="424" t="s">
        <v>332</v>
      </c>
      <c r="B43">
        <v>1</v>
      </c>
      <c r="C43">
        <v>1</v>
      </c>
      <c r="E43">
        <v>2</v>
      </c>
    </row>
    <row r="44" spans="1:5">
      <c r="A44" s="424" t="s">
        <v>634</v>
      </c>
      <c r="B44">
        <v>4</v>
      </c>
      <c r="E44">
        <v>4</v>
      </c>
    </row>
    <row r="45" spans="1:5">
      <c r="A45" s="43" t="s">
        <v>669</v>
      </c>
      <c r="C45">
        <v>1</v>
      </c>
      <c r="E45">
        <v>1</v>
      </c>
    </row>
    <row r="46" spans="1:5">
      <c r="A46" s="424" t="s">
        <v>670</v>
      </c>
      <c r="C46">
        <v>1</v>
      </c>
      <c r="E46">
        <v>1</v>
      </c>
    </row>
    <row r="47" spans="1:5">
      <c r="A47" s="43" t="s">
        <v>605</v>
      </c>
      <c r="B47">
        <v>4</v>
      </c>
      <c r="E47">
        <v>4</v>
      </c>
    </row>
    <row r="48" spans="1:5">
      <c r="A48" s="424" t="s">
        <v>606</v>
      </c>
      <c r="B48">
        <v>4</v>
      </c>
      <c r="E48">
        <v>4</v>
      </c>
    </row>
    <row r="49" spans="1:5">
      <c r="A49" s="237" t="s">
        <v>152</v>
      </c>
      <c r="B49">
        <v>7</v>
      </c>
      <c r="C49">
        <v>6</v>
      </c>
      <c r="E49">
        <v>13</v>
      </c>
    </row>
    <row r="50" spans="1:5">
      <c r="A50" s="43" t="s">
        <v>534</v>
      </c>
      <c r="B50">
        <v>2</v>
      </c>
      <c r="C50">
        <v>1</v>
      </c>
      <c r="E50">
        <v>3</v>
      </c>
    </row>
    <row r="51" spans="1:5">
      <c r="A51" s="424" t="s">
        <v>535</v>
      </c>
      <c r="B51">
        <v>1</v>
      </c>
      <c r="E51">
        <v>1</v>
      </c>
    </row>
    <row r="52" spans="1:5">
      <c r="A52" s="424" t="s">
        <v>576</v>
      </c>
      <c r="B52">
        <v>1</v>
      </c>
      <c r="E52">
        <v>1</v>
      </c>
    </row>
    <row r="53" spans="1:5">
      <c r="A53" s="424" t="s">
        <v>582</v>
      </c>
      <c r="C53">
        <v>1</v>
      </c>
      <c r="E53">
        <v>1</v>
      </c>
    </row>
    <row r="54" spans="1:5">
      <c r="A54" s="43" t="s">
        <v>291</v>
      </c>
      <c r="B54">
        <v>1</v>
      </c>
      <c r="E54">
        <v>1</v>
      </c>
    </row>
    <row r="55" spans="1:5">
      <c r="A55" s="424" t="s">
        <v>292</v>
      </c>
      <c r="B55">
        <v>1</v>
      </c>
      <c r="E55">
        <v>1</v>
      </c>
    </row>
    <row r="56" spans="1:5">
      <c r="A56" s="43" t="s">
        <v>341</v>
      </c>
      <c r="C56">
        <v>2</v>
      </c>
      <c r="E56">
        <v>2</v>
      </c>
    </row>
    <row r="57" spans="1:5">
      <c r="A57" s="424" t="s">
        <v>347</v>
      </c>
      <c r="C57">
        <v>2</v>
      </c>
      <c r="E57">
        <v>2</v>
      </c>
    </row>
    <row r="58" spans="1:5">
      <c r="A58" s="43" t="s">
        <v>656</v>
      </c>
      <c r="B58">
        <v>1</v>
      </c>
      <c r="E58">
        <v>1</v>
      </c>
    </row>
    <row r="59" spans="1:5">
      <c r="A59" s="424" t="s">
        <v>656</v>
      </c>
      <c r="B59">
        <v>1</v>
      </c>
      <c r="E59">
        <v>1</v>
      </c>
    </row>
    <row r="60" spans="1:5">
      <c r="A60" s="43" t="s">
        <v>583</v>
      </c>
      <c r="C60">
        <v>1</v>
      </c>
      <c r="E60">
        <v>1</v>
      </c>
    </row>
    <row r="61" spans="1:5">
      <c r="A61" s="424" t="s">
        <v>583</v>
      </c>
      <c r="C61">
        <v>1</v>
      </c>
      <c r="E61">
        <v>1</v>
      </c>
    </row>
    <row r="62" spans="1:5">
      <c r="A62" s="43" t="s">
        <v>638</v>
      </c>
      <c r="B62">
        <v>1</v>
      </c>
      <c r="E62">
        <v>1</v>
      </c>
    </row>
    <row r="63" spans="1:5">
      <c r="A63" s="424" t="s">
        <v>638</v>
      </c>
      <c r="B63">
        <v>1</v>
      </c>
      <c r="E63">
        <v>1</v>
      </c>
    </row>
    <row r="64" spans="1:5">
      <c r="A64" s="43" t="s">
        <v>299</v>
      </c>
      <c r="C64">
        <v>1</v>
      </c>
      <c r="E64">
        <v>1</v>
      </c>
    </row>
    <row r="65" spans="1:5">
      <c r="A65" s="424" t="s">
        <v>312</v>
      </c>
      <c r="C65">
        <v>1</v>
      </c>
      <c r="E65">
        <v>1</v>
      </c>
    </row>
    <row r="66" spans="1:5">
      <c r="A66" s="424" t="s">
        <v>460</v>
      </c>
      <c r="C66">
        <v>0</v>
      </c>
      <c r="E66">
        <v>0</v>
      </c>
    </row>
    <row r="67" spans="1:5">
      <c r="A67" s="424" t="s">
        <v>451</v>
      </c>
      <c r="C67">
        <v>0</v>
      </c>
      <c r="E67">
        <v>0</v>
      </c>
    </row>
    <row r="68" spans="1:5">
      <c r="A68" s="43" t="s">
        <v>253</v>
      </c>
      <c r="C68">
        <v>1</v>
      </c>
      <c r="E68">
        <v>1</v>
      </c>
    </row>
    <row r="69" spans="1:5">
      <c r="A69" s="424" t="s">
        <v>246</v>
      </c>
      <c r="C69">
        <v>1</v>
      </c>
      <c r="E69">
        <v>1</v>
      </c>
    </row>
    <row r="70" spans="1:5">
      <c r="A70" s="43" t="s">
        <v>637</v>
      </c>
      <c r="B70">
        <v>2</v>
      </c>
      <c r="E70">
        <v>2</v>
      </c>
    </row>
    <row r="71" spans="1:5">
      <c r="A71" s="424" t="s">
        <v>634</v>
      </c>
      <c r="B71">
        <v>2</v>
      </c>
      <c r="E71">
        <v>2</v>
      </c>
    </row>
    <row r="72" spans="1:5">
      <c r="A72" s="237" t="s">
        <v>197</v>
      </c>
      <c r="B72">
        <v>0</v>
      </c>
      <c r="C72">
        <v>0</v>
      </c>
      <c r="E72">
        <v>0</v>
      </c>
    </row>
    <row r="73" spans="1:5">
      <c r="A73" s="43" t="s">
        <v>198</v>
      </c>
      <c r="B73">
        <v>0</v>
      </c>
      <c r="E73">
        <v>0</v>
      </c>
    </row>
    <row r="74" spans="1:5">
      <c r="A74" s="424" t="s">
        <v>234</v>
      </c>
      <c r="B74">
        <v>0</v>
      </c>
      <c r="E74">
        <v>0</v>
      </c>
    </row>
    <row r="75" spans="1:5">
      <c r="A75" s="43" t="s">
        <v>404</v>
      </c>
      <c r="B75">
        <v>0</v>
      </c>
      <c r="C75">
        <v>0</v>
      </c>
      <c r="E75">
        <v>0</v>
      </c>
    </row>
    <row r="76" spans="1:5">
      <c r="A76" s="424" t="s">
        <v>411</v>
      </c>
      <c r="B76">
        <v>0</v>
      </c>
      <c r="C76">
        <v>0</v>
      </c>
      <c r="E76">
        <v>0</v>
      </c>
    </row>
    <row r="77" spans="1:5">
      <c r="A77" s="43" t="s">
        <v>185</v>
      </c>
      <c r="B77">
        <v>0</v>
      </c>
      <c r="C77">
        <v>0</v>
      </c>
      <c r="E77">
        <v>0</v>
      </c>
    </row>
    <row r="78" spans="1:5">
      <c r="A78" s="424" t="s">
        <v>271</v>
      </c>
      <c r="B78">
        <v>0</v>
      </c>
      <c r="E78">
        <v>0</v>
      </c>
    </row>
    <row r="79" spans="1:5">
      <c r="A79" s="424" t="s">
        <v>483</v>
      </c>
      <c r="C79">
        <v>0</v>
      </c>
      <c r="E79">
        <v>0</v>
      </c>
    </row>
    <row r="80" spans="1:5">
      <c r="A80" s="424" t="s">
        <v>357</v>
      </c>
      <c r="B80">
        <v>0</v>
      </c>
      <c r="C80">
        <v>0</v>
      </c>
      <c r="E80">
        <v>0</v>
      </c>
    </row>
    <row r="81" spans="1:5">
      <c r="A81" s="43" t="s">
        <v>379</v>
      </c>
      <c r="B81">
        <v>0</v>
      </c>
      <c r="C81">
        <v>0</v>
      </c>
      <c r="E81">
        <v>0</v>
      </c>
    </row>
    <row r="82" spans="1:5">
      <c r="A82" s="424" t="s">
        <v>380</v>
      </c>
      <c r="C82">
        <v>0</v>
      </c>
      <c r="E82">
        <v>0</v>
      </c>
    </row>
    <row r="83" spans="1:5">
      <c r="A83" s="424" t="s">
        <v>389</v>
      </c>
      <c r="B83">
        <v>0</v>
      </c>
      <c r="E83">
        <v>0</v>
      </c>
    </row>
    <row r="84" spans="1:5">
      <c r="A84" s="237" t="s">
        <v>768</v>
      </c>
      <c r="B84">
        <v>40</v>
      </c>
      <c r="C84">
        <v>18</v>
      </c>
      <c r="D84">
        <v>1</v>
      </c>
      <c r="E84">
        <v>59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B8717-B46F-48A6-A7A3-0C5908A67EA5}">
  <dimension ref="A3:B11"/>
  <sheetViews>
    <sheetView workbookViewId="0">
      <selection activeCell="A3" sqref="A3:B11"/>
    </sheetView>
  </sheetViews>
  <sheetFormatPr defaultRowHeight="14.4"/>
  <cols>
    <col min="1" max="1" width="29" bestFit="1" customWidth="1"/>
    <col min="2" max="2" width="17.109375" bestFit="1" customWidth="1"/>
  </cols>
  <sheetData>
    <row r="3" spans="1:2">
      <c r="A3" s="182" t="s">
        <v>764</v>
      </c>
      <c r="B3" t="s">
        <v>769</v>
      </c>
    </row>
    <row r="4" spans="1:2">
      <c r="A4" s="237" t="s">
        <v>770</v>
      </c>
      <c r="B4">
        <v>12</v>
      </c>
    </row>
    <row r="5" spans="1:2">
      <c r="A5" s="237" t="s">
        <v>771</v>
      </c>
      <c r="B5">
        <v>12</v>
      </c>
    </row>
    <row r="6" spans="1:2">
      <c r="A6" s="237" t="s">
        <v>772</v>
      </c>
      <c r="B6">
        <v>120</v>
      </c>
    </row>
    <row r="7" spans="1:2">
      <c r="A7" s="237" t="s">
        <v>773</v>
      </c>
      <c r="B7">
        <v>204</v>
      </c>
    </row>
    <row r="8" spans="1:2">
      <c r="A8" s="237" t="s">
        <v>774</v>
      </c>
      <c r="B8">
        <v>15</v>
      </c>
    </row>
    <row r="9" spans="1:2">
      <c r="A9" s="237" t="s">
        <v>775</v>
      </c>
      <c r="B9">
        <v>15</v>
      </c>
    </row>
    <row r="10" spans="1:2">
      <c r="A10" s="237" t="s">
        <v>776</v>
      </c>
      <c r="B10">
        <v>18</v>
      </c>
    </row>
    <row r="11" spans="1:2">
      <c r="A11" s="237" t="s">
        <v>768</v>
      </c>
      <c r="B11">
        <v>396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175FB-C971-4236-BFA6-44478EF3559A}">
  <sheetPr>
    <tabColor theme="5" tint="-0.249977111117893"/>
  </sheetPr>
  <dimension ref="A3:O239"/>
  <sheetViews>
    <sheetView workbookViewId="0">
      <selection activeCell="A11" sqref="A11"/>
    </sheetView>
  </sheetViews>
  <sheetFormatPr defaultRowHeight="14.4"/>
  <cols>
    <col min="1" max="1" width="49.88671875" bestFit="1" customWidth="1"/>
    <col min="2" max="2" width="15.6640625" bestFit="1" customWidth="1"/>
    <col min="3" max="15" width="4.6640625" bestFit="1" customWidth="1"/>
    <col min="16" max="16" width="19.33203125" bestFit="1" customWidth="1"/>
    <col min="17" max="17" width="19.6640625" bestFit="1" customWidth="1"/>
    <col min="18" max="18" width="13.5546875" bestFit="1" customWidth="1"/>
    <col min="19" max="19" width="23.5546875" bestFit="1" customWidth="1"/>
    <col min="20" max="20" width="26.88671875" bestFit="1" customWidth="1"/>
    <col min="21" max="21" width="22.6640625" bestFit="1" customWidth="1"/>
    <col min="22" max="22" width="18.44140625" bestFit="1" customWidth="1"/>
    <col min="23" max="23" width="15.6640625" bestFit="1" customWidth="1"/>
    <col min="24" max="24" width="27.88671875" bestFit="1" customWidth="1"/>
    <col min="25" max="25" width="36.109375" bestFit="1" customWidth="1"/>
    <col min="26" max="26" width="20.109375" bestFit="1" customWidth="1"/>
    <col min="27" max="27" width="11.88671875" bestFit="1" customWidth="1"/>
    <col min="28" max="28" width="31.5546875" bestFit="1" customWidth="1"/>
    <col min="29" max="29" width="8.5546875" bestFit="1" customWidth="1"/>
    <col min="30" max="30" width="27.109375" bestFit="1" customWidth="1"/>
    <col min="31" max="31" width="19.109375" bestFit="1" customWidth="1"/>
    <col min="32" max="32" width="14.5546875" bestFit="1" customWidth="1"/>
    <col min="33" max="33" width="19.33203125" bestFit="1" customWidth="1"/>
    <col min="34" max="34" width="28.44140625" bestFit="1" customWidth="1"/>
    <col min="35" max="35" width="31" bestFit="1" customWidth="1"/>
    <col min="36" max="36" width="15.44140625" bestFit="1" customWidth="1"/>
    <col min="37" max="37" width="42.88671875" bestFit="1" customWidth="1"/>
    <col min="38" max="38" width="40.109375" bestFit="1" customWidth="1"/>
    <col min="39" max="39" width="45" bestFit="1" customWidth="1"/>
    <col min="40" max="40" width="50.109375" bestFit="1" customWidth="1"/>
    <col min="41" max="41" width="44" bestFit="1" customWidth="1"/>
    <col min="42" max="42" width="11" bestFit="1" customWidth="1"/>
  </cols>
  <sheetData>
    <row r="3" spans="1:15">
      <c r="A3" s="182" t="s">
        <v>777</v>
      </c>
      <c r="B3" s="182" t="s">
        <v>763</v>
      </c>
    </row>
    <row r="4" spans="1:15" ht="124.8">
      <c r="A4" s="182" t="s">
        <v>764</v>
      </c>
      <c r="B4" s="426" t="s">
        <v>778</v>
      </c>
      <c r="C4" s="426" t="s">
        <v>779</v>
      </c>
      <c r="D4" s="426" t="s">
        <v>780</v>
      </c>
      <c r="E4" s="426" t="s">
        <v>781</v>
      </c>
      <c r="F4" s="426" t="s">
        <v>782</v>
      </c>
      <c r="G4" s="426" t="s">
        <v>783</v>
      </c>
      <c r="H4" s="426" t="s">
        <v>784</v>
      </c>
      <c r="I4" s="426" t="s">
        <v>785</v>
      </c>
      <c r="J4" s="426" t="s">
        <v>786</v>
      </c>
      <c r="K4" s="426" t="s">
        <v>787</v>
      </c>
      <c r="L4" s="426" t="s">
        <v>788</v>
      </c>
      <c r="M4" s="426" t="s">
        <v>789</v>
      </c>
      <c r="N4" s="426" t="s">
        <v>790</v>
      </c>
      <c r="O4" s="426" t="s">
        <v>768</v>
      </c>
    </row>
    <row r="5" spans="1:15">
      <c r="A5" s="237" t="s">
        <v>149</v>
      </c>
      <c r="B5">
        <v>1</v>
      </c>
      <c r="C5">
        <v>19</v>
      </c>
      <c r="D5">
        <v>1</v>
      </c>
      <c r="E5">
        <v>1</v>
      </c>
      <c r="F5">
        <v>4</v>
      </c>
      <c r="G5">
        <v>33</v>
      </c>
      <c r="H5">
        <v>10</v>
      </c>
      <c r="I5">
        <v>10</v>
      </c>
      <c r="J5">
        <v>22</v>
      </c>
      <c r="K5">
        <v>19</v>
      </c>
      <c r="L5">
        <v>31</v>
      </c>
      <c r="M5">
        <v>24</v>
      </c>
      <c r="N5">
        <v>1</v>
      </c>
      <c r="O5">
        <v>176</v>
      </c>
    </row>
    <row r="6" spans="1:15">
      <c r="A6" s="43" t="s">
        <v>335</v>
      </c>
      <c r="C6">
        <v>1</v>
      </c>
      <c r="G6">
        <v>1</v>
      </c>
      <c r="H6">
        <v>2</v>
      </c>
      <c r="O6">
        <v>4</v>
      </c>
    </row>
    <row r="7" spans="1:15">
      <c r="A7" s="424" t="s">
        <v>678</v>
      </c>
    </row>
    <row r="8" spans="1:15">
      <c r="A8" s="424" t="s">
        <v>336</v>
      </c>
      <c r="C8">
        <v>1</v>
      </c>
      <c r="G8">
        <v>1</v>
      </c>
      <c r="O8">
        <v>2</v>
      </c>
    </row>
    <row r="9" spans="1:15">
      <c r="A9" s="424" t="s">
        <v>460</v>
      </c>
      <c r="H9">
        <v>2</v>
      </c>
      <c r="O9">
        <v>2</v>
      </c>
    </row>
    <row r="10" spans="1:15">
      <c r="A10" s="43" t="s">
        <v>241</v>
      </c>
      <c r="C10">
        <v>1</v>
      </c>
      <c r="F10">
        <v>1</v>
      </c>
      <c r="O10">
        <v>2</v>
      </c>
    </row>
    <row r="11" spans="1:15">
      <c r="A11" s="424" t="s">
        <v>326</v>
      </c>
    </row>
    <row r="12" spans="1:15">
      <c r="A12" s="424" t="s">
        <v>331</v>
      </c>
    </row>
    <row r="13" spans="1:15">
      <c r="A13" s="424" t="s">
        <v>332</v>
      </c>
      <c r="F13">
        <v>1</v>
      </c>
      <c r="O13">
        <v>1</v>
      </c>
    </row>
    <row r="14" spans="1:15">
      <c r="A14" s="424" t="s">
        <v>301</v>
      </c>
    </row>
    <row r="15" spans="1:15">
      <c r="A15" s="424" t="s">
        <v>305</v>
      </c>
      <c r="C15">
        <v>1</v>
      </c>
      <c r="O15">
        <v>1</v>
      </c>
    </row>
    <row r="16" spans="1:15">
      <c r="A16" s="424" t="s">
        <v>308</v>
      </c>
    </row>
    <row r="17" spans="1:15">
      <c r="A17" s="424" t="s">
        <v>242</v>
      </c>
    </row>
    <row r="18" spans="1:15">
      <c r="A18" s="43" t="s">
        <v>691</v>
      </c>
    </row>
    <row r="19" spans="1:15">
      <c r="A19" s="424" t="s">
        <v>692</v>
      </c>
    </row>
    <row r="20" spans="1:15">
      <c r="A20" s="43" t="s">
        <v>694</v>
      </c>
      <c r="C20">
        <v>1</v>
      </c>
      <c r="G20">
        <v>2</v>
      </c>
      <c r="O20">
        <v>3</v>
      </c>
    </row>
    <row r="21" spans="1:15">
      <c r="A21" s="424" t="s">
        <v>700</v>
      </c>
    </row>
    <row r="22" spans="1:15">
      <c r="A22" s="424" t="s">
        <v>704</v>
      </c>
    </row>
    <row r="23" spans="1:15">
      <c r="A23" s="424" t="s">
        <v>695</v>
      </c>
      <c r="C23">
        <v>1</v>
      </c>
      <c r="G23">
        <v>1</v>
      </c>
      <c r="O23">
        <v>2</v>
      </c>
    </row>
    <row r="24" spans="1:15">
      <c r="A24" s="424" t="s">
        <v>707</v>
      </c>
      <c r="G24">
        <v>1</v>
      </c>
      <c r="O24">
        <v>1</v>
      </c>
    </row>
    <row r="25" spans="1:15">
      <c r="A25" s="43" t="s">
        <v>527</v>
      </c>
      <c r="D25">
        <v>1</v>
      </c>
      <c r="E25">
        <v>1</v>
      </c>
      <c r="F25">
        <v>1</v>
      </c>
      <c r="G25">
        <v>4</v>
      </c>
      <c r="I25">
        <v>8</v>
      </c>
      <c r="K25">
        <v>3</v>
      </c>
      <c r="O25">
        <v>18</v>
      </c>
    </row>
    <row r="26" spans="1:15">
      <c r="A26" s="424" t="s">
        <v>701</v>
      </c>
    </row>
    <row r="27" spans="1:15">
      <c r="A27" s="424" t="s">
        <v>703</v>
      </c>
    </row>
    <row r="28" spans="1:15">
      <c r="A28" s="424" t="s">
        <v>528</v>
      </c>
      <c r="F28">
        <v>1</v>
      </c>
      <c r="G28">
        <v>4</v>
      </c>
      <c r="I28">
        <v>8</v>
      </c>
      <c r="K28">
        <v>2</v>
      </c>
      <c r="O28">
        <v>15</v>
      </c>
    </row>
    <row r="29" spans="1:15">
      <c r="A29" s="424" t="s">
        <v>598</v>
      </c>
      <c r="D29">
        <v>1</v>
      </c>
      <c r="E29">
        <v>1</v>
      </c>
      <c r="K29">
        <v>1</v>
      </c>
      <c r="O29">
        <v>3</v>
      </c>
    </row>
    <row r="30" spans="1:15">
      <c r="A30" s="424" t="s">
        <v>791</v>
      </c>
    </row>
    <row r="31" spans="1:15">
      <c r="A31" s="43" t="s">
        <v>542</v>
      </c>
      <c r="C31">
        <v>1</v>
      </c>
      <c r="I31">
        <v>1</v>
      </c>
      <c r="J31">
        <v>16</v>
      </c>
      <c r="K31">
        <v>4</v>
      </c>
      <c r="M31">
        <v>12</v>
      </c>
      <c r="O31">
        <v>34</v>
      </c>
    </row>
    <row r="32" spans="1:15">
      <c r="A32" s="424" t="s">
        <v>543</v>
      </c>
      <c r="C32">
        <v>1</v>
      </c>
      <c r="I32">
        <v>1</v>
      </c>
      <c r="K32">
        <v>1</v>
      </c>
      <c r="O32">
        <v>3</v>
      </c>
    </row>
    <row r="33" spans="1:15">
      <c r="A33" s="424" t="s">
        <v>619</v>
      </c>
      <c r="J33">
        <v>7</v>
      </c>
      <c r="O33">
        <v>7</v>
      </c>
    </row>
    <row r="34" spans="1:15">
      <c r="A34" s="424" t="s">
        <v>609</v>
      </c>
      <c r="J34">
        <v>3</v>
      </c>
      <c r="O34">
        <v>3</v>
      </c>
    </row>
    <row r="35" spans="1:15">
      <c r="A35" s="424" t="s">
        <v>613</v>
      </c>
      <c r="J35">
        <v>3</v>
      </c>
      <c r="O35">
        <v>3</v>
      </c>
    </row>
    <row r="36" spans="1:15">
      <c r="A36" s="424" t="s">
        <v>614</v>
      </c>
      <c r="J36">
        <v>3</v>
      </c>
      <c r="O36">
        <v>3</v>
      </c>
    </row>
    <row r="37" spans="1:15">
      <c r="A37" s="424" t="s">
        <v>792</v>
      </c>
      <c r="K37">
        <v>2</v>
      </c>
      <c r="O37">
        <v>2</v>
      </c>
    </row>
    <row r="38" spans="1:15">
      <c r="A38" s="424" t="s">
        <v>557</v>
      </c>
      <c r="K38">
        <v>1</v>
      </c>
      <c r="M38">
        <v>12</v>
      </c>
      <c r="O38">
        <v>13</v>
      </c>
    </row>
    <row r="39" spans="1:15">
      <c r="A39" s="43" t="s">
        <v>545</v>
      </c>
      <c r="C39">
        <v>1</v>
      </c>
      <c r="I39">
        <v>1</v>
      </c>
      <c r="J39">
        <v>6</v>
      </c>
      <c r="K39">
        <v>4</v>
      </c>
      <c r="M39">
        <v>4</v>
      </c>
      <c r="O39">
        <v>16</v>
      </c>
    </row>
    <row r="40" spans="1:15">
      <c r="A40" s="424" t="s">
        <v>546</v>
      </c>
      <c r="C40">
        <v>1</v>
      </c>
      <c r="I40">
        <v>1</v>
      </c>
      <c r="K40">
        <v>1</v>
      </c>
      <c r="O40">
        <v>3</v>
      </c>
    </row>
    <row r="41" spans="1:15">
      <c r="A41" s="424" t="s">
        <v>622</v>
      </c>
      <c r="J41">
        <v>3</v>
      </c>
      <c r="O41">
        <v>3</v>
      </c>
    </row>
    <row r="42" spans="1:15">
      <c r="A42" s="424" t="s">
        <v>615</v>
      </c>
      <c r="J42">
        <v>3</v>
      </c>
      <c r="O42">
        <v>3</v>
      </c>
    </row>
    <row r="43" spans="1:15">
      <c r="A43" s="424" t="s">
        <v>793</v>
      </c>
      <c r="K43">
        <v>2</v>
      </c>
      <c r="O43">
        <v>2</v>
      </c>
    </row>
    <row r="44" spans="1:15">
      <c r="A44" s="424" t="s">
        <v>559</v>
      </c>
      <c r="K44">
        <v>1</v>
      </c>
      <c r="M44">
        <v>4</v>
      </c>
      <c r="O44">
        <v>5</v>
      </c>
    </row>
    <row r="45" spans="1:15">
      <c r="A45" s="43" t="s">
        <v>534</v>
      </c>
    </row>
    <row r="46" spans="1:15">
      <c r="A46" s="424" t="s">
        <v>397</v>
      </c>
    </row>
    <row r="47" spans="1:15">
      <c r="A47" s="424" t="s">
        <v>682</v>
      </c>
    </row>
    <row r="48" spans="1:15">
      <c r="A48" s="43" t="s">
        <v>289</v>
      </c>
    </row>
    <row r="49" spans="1:15">
      <c r="A49" s="424" t="s">
        <v>290</v>
      </c>
    </row>
    <row r="50" spans="1:15">
      <c r="A50" s="43" t="s">
        <v>569</v>
      </c>
    </row>
    <row r="51" spans="1:15">
      <c r="A51" s="424" t="s">
        <v>648</v>
      </c>
    </row>
    <row r="52" spans="1:15">
      <c r="A52" s="424" t="s">
        <v>649</v>
      </c>
    </row>
    <row r="53" spans="1:15">
      <c r="A53" s="43" t="s">
        <v>560</v>
      </c>
      <c r="L53">
        <v>2</v>
      </c>
      <c r="O53">
        <v>2</v>
      </c>
    </row>
    <row r="54" spans="1:15">
      <c r="A54" s="424" t="s">
        <v>561</v>
      </c>
      <c r="L54">
        <v>2</v>
      </c>
      <c r="O54">
        <v>2</v>
      </c>
    </row>
    <row r="55" spans="1:15">
      <c r="A55" s="43" t="s">
        <v>440</v>
      </c>
      <c r="H55">
        <v>0</v>
      </c>
      <c r="O55">
        <v>0</v>
      </c>
    </row>
    <row r="56" spans="1:15">
      <c r="A56" s="424" t="s">
        <v>446</v>
      </c>
    </row>
    <row r="57" spans="1:15">
      <c r="A57" s="424" t="s">
        <v>441</v>
      </c>
      <c r="H57">
        <v>0</v>
      </c>
      <c r="O57">
        <v>0</v>
      </c>
    </row>
    <row r="58" spans="1:15">
      <c r="A58" s="43" t="s">
        <v>563</v>
      </c>
    </row>
    <row r="59" spans="1:15">
      <c r="A59" s="424" t="s">
        <v>642</v>
      </c>
    </row>
    <row r="60" spans="1:15">
      <c r="A60" s="43" t="s">
        <v>185</v>
      </c>
      <c r="C60">
        <v>2</v>
      </c>
      <c r="F60">
        <v>0</v>
      </c>
      <c r="H60">
        <v>0</v>
      </c>
      <c r="K60">
        <v>6</v>
      </c>
      <c r="O60">
        <v>8</v>
      </c>
    </row>
    <row r="61" spans="1:15">
      <c r="A61" s="424" t="s">
        <v>317</v>
      </c>
    </row>
    <row r="62" spans="1:15">
      <c r="A62" s="424" t="s">
        <v>260</v>
      </c>
      <c r="C62">
        <v>1</v>
      </c>
      <c r="K62">
        <v>6</v>
      </c>
      <c r="O62">
        <v>7</v>
      </c>
    </row>
    <row r="63" spans="1:15">
      <c r="A63" s="424" t="s">
        <v>312</v>
      </c>
      <c r="C63">
        <v>1</v>
      </c>
      <c r="O63">
        <v>1</v>
      </c>
    </row>
    <row r="64" spans="1:15">
      <c r="A64" s="424" t="s">
        <v>315</v>
      </c>
    </row>
    <row r="65" spans="1:15">
      <c r="A65" s="424" t="s">
        <v>456</v>
      </c>
      <c r="C65">
        <v>0</v>
      </c>
      <c r="H65">
        <v>0</v>
      </c>
      <c r="O65">
        <v>0</v>
      </c>
    </row>
    <row r="66" spans="1:15">
      <c r="A66" s="424" t="s">
        <v>460</v>
      </c>
    </row>
    <row r="67" spans="1:15">
      <c r="A67" s="424" t="s">
        <v>316</v>
      </c>
      <c r="F67">
        <v>0</v>
      </c>
      <c r="O67">
        <v>0</v>
      </c>
    </row>
    <row r="68" spans="1:15">
      <c r="A68" s="424" t="s">
        <v>451</v>
      </c>
      <c r="F68">
        <v>0</v>
      </c>
      <c r="H68">
        <v>0</v>
      </c>
      <c r="O68">
        <v>0</v>
      </c>
    </row>
    <row r="69" spans="1:15">
      <c r="A69" s="424" t="s">
        <v>791</v>
      </c>
    </row>
    <row r="70" spans="1:15">
      <c r="A70" s="43" t="s">
        <v>245</v>
      </c>
      <c r="C70">
        <v>4</v>
      </c>
      <c r="H70">
        <v>8</v>
      </c>
      <c r="O70">
        <v>12</v>
      </c>
    </row>
    <row r="71" spans="1:15">
      <c r="A71" s="424" t="s">
        <v>745</v>
      </c>
    </row>
    <row r="72" spans="1:15">
      <c r="A72" s="424" t="s">
        <v>246</v>
      </c>
      <c r="C72">
        <v>1</v>
      </c>
      <c r="O72">
        <v>1</v>
      </c>
    </row>
    <row r="73" spans="1:15">
      <c r="A73" s="424" t="s">
        <v>401</v>
      </c>
      <c r="C73">
        <v>1</v>
      </c>
      <c r="O73">
        <v>1</v>
      </c>
    </row>
    <row r="74" spans="1:15">
      <c r="A74" s="424" t="s">
        <v>747</v>
      </c>
    </row>
    <row r="75" spans="1:15">
      <c r="A75" s="424" t="s">
        <v>425</v>
      </c>
      <c r="C75">
        <v>2</v>
      </c>
      <c r="H75">
        <v>8</v>
      </c>
      <c r="O75">
        <v>10</v>
      </c>
    </row>
    <row r="76" spans="1:15">
      <c r="A76" s="43" t="s">
        <v>286</v>
      </c>
      <c r="G76">
        <v>1</v>
      </c>
      <c r="L76">
        <v>3</v>
      </c>
      <c r="O76">
        <v>4</v>
      </c>
    </row>
    <row r="77" spans="1:15">
      <c r="A77" s="424" t="s">
        <v>512</v>
      </c>
      <c r="L77">
        <v>3</v>
      </c>
      <c r="O77">
        <v>3</v>
      </c>
    </row>
    <row r="78" spans="1:15">
      <c r="A78" s="424" t="s">
        <v>646</v>
      </c>
    </row>
    <row r="79" spans="1:15">
      <c r="A79" s="424" t="s">
        <v>647</v>
      </c>
    </row>
    <row r="80" spans="1:15">
      <c r="A80" s="424" t="s">
        <v>287</v>
      </c>
      <c r="G80">
        <v>1</v>
      </c>
      <c r="O80">
        <v>1</v>
      </c>
    </row>
    <row r="81" spans="1:15">
      <c r="A81" s="43" t="s">
        <v>521</v>
      </c>
    </row>
    <row r="82" spans="1:15">
      <c r="A82" s="424" t="s">
        <v>644</v>
      </c>
    </row>
    <row r="83" spans="1:15">
      <c r="A83" s="424" t="s">
        <v>645</v>
      </c>
    </row>
    <row r="84" spans="1:15">
      <c r="A84" s="424" t="s">
        <v>512</v>
      </c>
    </row>
    <row r="85" spans="1:15">
      <c r="A85" s="43" t="s">
        <v>255</v>
      </c>
      <c r="L85">
        <v>3</v>
      </c>
      <c r="O85">
        <v>3</v>
      </c>
    </row>
    <row r="86" spans="1:15">
      <c r="A86" s="424" t="s">
        <v>512</v>
      </c>
      <c r="L86">
        <v>3</v>
      </c>
      <c r="O86">
        <v>3</v>
      </c>
    </row>
    <row r="87" spans="1:15">
      <c r="A87" s="424" t="s">
        <v>256</v>
      </c>
    </row>
    <row r="88" spans="1:15">
      <c r="A88" s="424" t="s">
        <v>646</v>
      </c>
    </row>
    <row r="89" spans="1:15">
      <c r="A89" s="424" t="s">
        <v>647</v>
      </c>
    </row>
    <row r="90" spans="1:15">
      <c r="A90" s="43" t="s">
        <v>515</v>
      </c>
      <c r="C90">
        <v>1</v>
      </c>
      <c r="L90">
        <v>3</v>
      </c>
      <c r="O90">
        <v>4</v>
      </c>
    </row>
    <row r="91" spans="1:15">
      <c r="A91" s="424" t="s">
        <v>512</v>
      </c>
      <c r="L91">
        <v>3</v>
      </c>
      <c r="O91">
        <v>3</v>
      </c>
    </row>
    <row r="92" spans="1:15">
      <c r="A92" s="424" t="s">
        <v>646</v>
      </c>
    </row>
    <row r="93" spans="1:15">
      <c r="A93" s="424" t="s">
        <v>647</v>
      </c>
    </row>
    <row r="94" spans="1:15">
      <c r="A94" s="424" t="s">
        <v>579</v>
      </c>
      <c r="C94">
        <v>1</v>
      </c>
      <c r="O94">
        <v>1</v>
      </c>
    </row>
    <row r="95" spans="1:15">
      <c r="A95" s="43" t="s">
        <v>516</v>
      </c>
      <c r="L95">
        <v>3</v>
      </c>
      <c r="O95">
        <v>3</v>
      </c>
    </row>
    <row r="96" spans="1:15">
      <c r="A96" s="424" t="s">
        <v>512</v>
      </c>
      <c r="L96">
        <v>3</v>
      </c>
      <c r="O96">
        <v>3</v>
      </c>
    </row>
    <row r="97" spans="1:15">
      <c r="A97" s="424" t="s">
        <v>646</v>
      </c>
    </row>
    <row r="98" spans="1:15">
      <c r="A98" s="424" t="s">
        <v>647</v>
      </c>
    </row>
    <row r="99" spans="1:15">
      <c r="A99" s="43" t="s">
        <v>258</v>
      </c>
      <c r="C99">
        <v>1</v>
      </c>
      <c r="L99">
        <v>3</v>
      </c>
      <c r="M99">
        <v>4</v>
      </c>
      <c r="O99">
        <v>8</v>
      </c>
    </row>
    <row r="100" spans="1:15">
      <c r="A100" s="424" t="s">
        <v>512</v>
      </c>
      <c r="L100">
        <v>3</v>
      </c>
      <c r="O100">
        <v>3</v>
      </c>
    </row>
    <row r="101" spans="1:15">
      <c r="A101" s="424" t="s">
        <v>256</v>
      </c>
    </row>
    <row r="102" spans="1:15">
      <c r="A102" s="424" t="s">
        <v>646</v>
      </c>
    </row>
    <row r="103" spans="1:15">
      <c r="A103" s="424" t="s">
        <v>647</v>
      </c>
    </row>
    <row r="104" spans="1:15">
      <c r="A104" s="424" t="s">
        <v>548</v>
      </c>
      <c r="M104">
        <v>1</v>
      </c>
      <c r="O104">
        <v>1</v>
      </c>
    </row>
    <row r="105" spans="1:15">
      <c r="A105" s="424" t="s">
        <v>550</v>
      </c>
      <c r="M105">
        <v>1</v>
      </c>
      <c r="O105">
        <v>1</v>
      </c>
    </row>
    <row r="106" spans="1:15">
      <c r="A106" s="424" t="s">
        <v>551</v>
      </c>
      <c r="M106">
        <v>1</v>
      </c>
      <c r="O106">
        <v>1</v>
      </c>
    </row>
    <row r="107" spans="1:15">
      <c r="A107" s="424" t="s">
        <v>552</v>
      </c>
      <c r="M107">
        <v>1</v>
      </c>
      <c r="O107">
        <v>1</v>
      </c>
    </row>
    <row r="108" spans="1:15">
      <c r="A108" s="424" t="s">
        <v>579</v>
      </c>
      <c r="C108">
        <v>1</v>
      </c>
      <c r="O108">
        <v>1</v>
      </c>
    </row>
    <row r="109" spans="1:15">
      <c r="A109" s="43" t="s">
        <v>517</v>
      </c>
      <c r="L109">
        <v>3</v>
      </c>
      <c r="M109">
        <v>4</v>
      </c>
      <c r="O109">
        <v>7</v>
      </c>
    </row>
    <row r="110" spans="1:15">
      <c r="A110" s="424" t="s">
        <v>512</v>
      </c>
      <c r="L110">
        <v>3</v>
      </c>
      <c r="O110">
        <v>3</v>
      </c>
    </row>
    <row r="111" spans="1:15">
      <c r="A111" s="424" t="s">
        <v>646</v>
      </c>
    </row>
    <row r="112" spans="1:15">
      <c r="A112" s="424" t="s">
        <v>647</v>
      </c>
    </row>
    <row r="113" spans="1:15">
      <c r="A113" s="424" t="s">
        <v>548</v>
      </c>
      <c r="M113">
        <v>1</v>
      </c>
      <c r="O113">
        <v>1</v>
      </c>
    </row>
    <row r="114" spans="1:15">
      <c r="A114" s="424" t="s">
        <v>550</v>
      </c>
      <c r="M114">
        <v>1</v>
      </c>
      <c r="O114">
        <v>1</v>
      </c>
    </row>
    <row r="115" spans="1:15">
      <c r="A115" s="424" t="s">
        <v>551</v>
      </c>
      <c r="M115">
        <v>1</v>
      </c>
      <c r="O115">
        <v>1</v>
      </c>
    </row>
    <row r="116" spans="1:15">
      <c r="A116" s="424" t="s">
        <v>552</v>
      </c>
      <c r="M116">
        <v>1</v>
      </c>
      <c r="O116">
        <v>1</v>
      </c>
    </row>
    <row r="117" spans="1:15">
      <c r="A117" s="43" t="s">
        <v>284</v>
      </c>
      <c r="C117">
        <v>1</v>
      </c>
      <c r="G117">
        <v>1</v>
      </c>
      <c r="L117">
        <v>3</v>
      </c>
      <c r="O117">
        <v>5</v>
      </c>
    </row>
    <row r="118" spans="1:15">
      <c r="A118" s="424" t="s">
        <v>512</v>
      </c>
      <c r="L118">
        <v>3</v>
      </c>
      <c r="O118">
        <v>3</v>
      </c>
    </row>
    <row r="119" spans="1:15">
      <c r="A119" s="424" t="s">
        <v>646</v>
      </c>
    </row>
    <row r="120" spans="1:15">
      <c r="A120" s="424" t="s">
        <v>647</v>
      </c>
    </row>
    <row r="121" spans="1:15">
      <c r="A121" s="424" t="s">
        <v>285</v>
      </c>
      <c r="G121">
        <v>1</v>
      </c>
      <c r="O121">
        <v>1</v>
      </c>
    </row>
    <row r="122" spans="1:15">
      <c r="A122" s="424" t="s">
        <v>579</v>
      </c>
      <c r="C122">
        <v>1</v>
      </c>
      <c r="O122">
        <v>1</v>
      </c>
    </row>
    <row r="123" spans="1:15">
      <c r="A123" s="43" t="s">
        <v>518</v>
      </c>
      <c r="C123">
        <v>1</v>
      </c>
      <c r="L123">
        <v>3</v>
      </c>
      <c r="O123">
        <v>4</v>
      </c>
    </row>
    <row r="124" spans="1:15">
      <c r="A124" s="424" t="s">
        <v>512</v>
      </c>
      <c r="L124">
        <v>3</v>
      </c>
      <c r="O124">
        <v>3</v>
      </c>
    </row>
    <row r="125" spans="1:15">
      <c r="A125" s="424" t="s">
        <v>646</v>
      </c>
    </row>
    <row r="126" spans="1:15">
      <c r="A126" s="424" t="s">
        <v>647</v>
      </c>
    </row>
    <row r="127" spans="1:15">
      <c r="A127" s="424" t="s">
        <v>579</v>
      </c>
      <c r="C127">
        <v>1</v>
      </c>
      <c r="O127">
        <v>1</v>
      </c>
    </row>
    <row r="128" spans="1:15">
      <c r="A128" s="43" t="s">
        <v>397</v>
      </c>
      <c r="G128">
        <v>1</v>
      </c>
      <c r="O128">
        <v>1</v>
      </c>
    </row>
    <row r="129" spans="1:15">
      <c r="A129" s="424" t="s">
        <v>397</v>
      </c>
      <c r="G129">
        <v>1</v>
      </c>
      <c r="O129">
        <v>1</v>
      </c>
    </row>
    <row r="130" spans="1:15">
      <c r="A130" s="43" t="s">
        <v>661</v>
      </c>
      <c r="B130">
        <v>1</v>
      </c>
      <c r="C130">
        <v>2</v>
      </c>
      <c r="F130">
        <v>1</v>
      </c>
      <c r="G130">
        <v>10</v>
      </c>
      <c r="K130">
        <v>2</v>
      </c>
      <c r="O130">
        <v>16</v>
      </c>
    </row>
    <row r="131" spans="1:15">
      <c r="A131" s="424" t="s">
        <v>662</v>
      </c>
      <c r="G131">
        <v>1</v>
      </c>
      <c r="K131">
        <v>2</v>
      </c>
      <c r="O131">
        <v>3</v>
      </c>
    </row>
    <row r="132" spans="1:15">
      <c r="A132" s="424" t="s">
        <v>667</v>
      </c>
      <c r="C132">
        <v>1</v>
      </c>
      <c r="G132">
        <v>2</v>
      </c>
      <c r="O132">
        <v>3</v>
      </c>
    </row>
    <row r="133" spans="1:15">
      <c r="A133" s="424" t="s">
        <v>671</v>
      </c>
      <c r="G133">
        <v>2</v>
      </c>
      <c r="O133">
        <v>2</v>
      </c>
    </row>
    <row r="134" spans="1:15">
      <c r="A134" s="424" t="s">
        <v>666</v>
      </c>
      <c r="G134">
        <v>1</v>
      </c>
      <c r="O134">
        <v>1</v>
      </c>
    </row>
    <row r="135" spans="1:15">
      <c r="A135" s="424" t="s">
        <v>665</v>
      </c>
      <c r="F135">
        <v>1</v>
      </c>
      <c r="G135">
        <v>2</v>
      </c>
      <c r="O135">
        <v>3</v>
      </c>
    </row>
    <row r="136" spans="1:15">
      <c r="A136" s="424" t="s">
        <v>661</v>
      </c>
    </row>
    <row r="137" spans="1:15">
      <c r="A137" s="424" t="s">
        <v>664</v>
      </c>
      <c r="B137">
        <v>1</v>
      </c>
      <c r="C137">
        <v>1</v>
      </c>
      <c r="G137">
        <v>2</v>
      </c>
      <c r="O137">
        <v>4</v>
      </c>
    </row>
    <row r="138" spans="1:15">
      <c r="A138" s="43" t="s">
        <v>638</v>
      </c>
      <c r="G138">
        <v>2</v>
      </c>
      <c r="L138">
        <v>5</v>
      </c>
      <c r="O138">
        <v>7</v>
      </c>
    </row>
    <row r="139" spans="1:15">
      <c r="A139" s="424" t="s">
        <v>561</v>
      </c>
      <c r="G139">
        <v>2</v>
      </c>
      <c r="L139">
        <v>5</v>
      </c>
      <c r="O139">
        <v>7</v>
      </c>
    </row>
    <row r="140" spans="1:15">
      <c r="A140" s="43" t="s">
        <v>709</v>
      </c>
    </row>
    <row r="141" spans="1:15">
      <c r="A141" s="424" t="s">
        <v>710</v>
      </c>
    </row>
    <row r="142" spans="1:15">
      <c r="A142" s="424" t="s">
        <v>712</v>
      </c>
    </row>
    <row r="143" spans="1:15">
      <c r="A143" s="424" t="s">
        <v>713</v>
      </c>
    </row>
    <row r="144" spans="1:15">
      <c r="A144" s="43" t="s">
        <v>281</v>
      </c>
      <c r="C144">
        <v>2</v>
      </c>
      <c r="F144">
        <v>1</v>
      </c>
      <c r="G144">
        <v>7</v>
      </c>
      <c r="O144">
        <v>10</v>
      </c>
    </row>
    <row r="145" spans="1:15">
      <c r="A145" s="424" t="s">
        <v>535</v>
      </c>
      <c r="G145">
        <v>1</v>
      </c>
      <c r="O145">
        <v>1</v>
      </c>
    </row>
    <row r="146" spans="1:15">
      <c r="A146" s="424" t="s">
        <v>576</v>
      </c>
      <c r="C146">
        <v>1</v>
      </c>
      <c r="G146">
        <v>1</v>
      </c>
      <c r="O146">
        <v>2</v>
      </c>
    </row>
    <row r="147" spans="1:15">
      <c r="A147" s="424" t="s">
        <v>332</v>
      </c>
      <c r="F147">
        <v>1</v>
      </c>
      <c r="G147">
        <v>1</v>
      </c>
      <c r="O147">
        <v>2</v>
      </c>
    </row>
    <row r="148" spans="1:15">
      <c r="A148" s="424" t="s">
        <v>636</v>
      </c>
      <c r="C148">
        <v>1</v>
      </c>
      <c r="O148">
        <v>1</v>
      </c>
    </row>
    <row r="149" spans="1:15">
      <c r="A149" s="424" t="s">
        <v>634</v>
      </c>
      <c r="G149">
        <v>4</v>
      </c>
      <c r="O149">
        <v>4</v>
      </c>
    </row>
    <row r="150" spans="1:15">
      <c r="A150" s="424" t="s">
        <v>282</v>
      </c>
    </row>
    <row r="151" spans="1:15">
      <c r="A151" s="43" t="s">
        <v>669</v>
      </c>
    </row>
    <row r="152" spans="1:15">
      <c r="A152" s="424" t="s">
        <v>670</v>
      </c>
    </row>
    <row r="153" spans="1:15">
      <c r="A153" s="43" t="s">
        <v>605</v>
      </c>
      <c r="G153">
        <v>4</v>
      </c>
      <c r="N153">
        <v>1</v>
      </c>
      <c r="O153">
        <v>5</v>
      </c>
    </row>
    <row r="154" spans="1:15">
      <c r="A154" s="424" t="s">
        <v>606</v>
      </c>
      <c r="G154">
        <v>4</v>
      </c>
      <c r="N154">
        <v>1</v>
      </c>
      <c r="O154">
        <v>5</v>
      </c>
    </row>
    <row r="155" spans="1:15">
      <c r="A155" s="43" t="s">
        <v>608</v>
      </c>
    </row>
    <row r="156" spans="1:15">
      <c r="A156" s="424" t="s">
        <v>606</v>
      </c>
    </row>
    <row r="157" spans="1:15">
      <c r="A157" s="237" t="s">
        <v>152</v>
      </c>
      <c r="C157">
        <v>8</v>
      </c>
      <c r="D157">
        <v>1</v>
      </c>
      <c r="F157">
        <v>1</v>
      </c>
      <c r="G157">
        <v>7</v>
      </c>
      <c r="H157">
        <v>2</v>
      </c>
      <c r="I157">
        <v>4</v>
      </c>
      <c r="J157">
        <v>8</v>
      </c>
      <c r="K157">
        <v>11</v>
      </c>
      <c r="L157">
        <v>21</v>
      </c>
      <c r="M157">
        <v>2</v>
      </c>
      <c r="N157">
        <v>8</v>
      </c>
      <c r="O157">
        <v>73</v>
      </c>
    </row>
    <row r="158" spans="1:15">
      <c r="A158" s="43" t="s">
        <v>531</v>
      </c>
      <c r="C158">
        <v>1</v>
      </c>
      <c r="I158">
        <v>4</v>
      </c>
      <c r="J158">
        <v>5</v>
      </c>
      <c r="K158">
        <v>4</v>
      </c>
      <c r="M158">
        <v>2</v>
      </c>
      <c r="O158">
        <v>16</v>
      </c>
    </row>
    <row r="159" spans="1:15">
      <c r="A159" s="424" t="s">
        <v>532</v>
      </c>
      <c r="C159">
        <v>1</v>
      </c>
      <c r="I159">
        <v>4</v>
      </c>
      <c r="K159">
        <v>1</v>
      </c>
      <c r="O159">
        <v>6</v>
      </c>
    </row>
    <row r="160" spans="1:15">
      <c r="A160" s="424" t="s">
        <v>627</v>
      </c>
      <c r="J160">
        <v>3</v>
      </c>
      <c r="O160">
        <v>3</v>
      </c>
    </row>
    <row r="161" spans="1:15">
      <c r="A161" s="424" t="s">
        <v>625</v>
      </c>
      <c r="J161">
        <v>2</v>
      </c>
      <c r="O161">
        <v>2</v>
      </c>
    </row>
    <row r="162" spans="1:15">
      <c r="A162" s="424" t="s">
        <v>571</v>
      </c>
      <c r="K162">
        <v>2</v>
      </c>
      <c r="O162">
        <v>2</v>
      </c>
    </row>
    <row r="163" spans="1:15">
      <c r="A163" s="424" t="s">
        <v>573</v>
      </c>
      <c r="K163">
        <v>1</v>
      </c>
      <c r="M163">
        <v>2</v>
      </c>
      <c r="O163">
        <v>3</v>
      </c>
    </row>
    <row r="164" spans="1:15">
      <c r="A164" s="43" t="s">
        <v>534</v>
      </c>
      <c r="C164">
        <v>1</v>
      </c>
      <c r="G164">
        <v>2</v>
      </c>
      <c r="O164">
        <v>3</v>
      </c>
    </row>
    <row r="165" spans="1:15">
      <c r="A165" s="424" t="s">
        <v>535</v>
      </c>
      <c r="G165">
        <v>1</v>
      </c>
      <c r="O165">
        <v>1</v>
      </c>
    </row>
    <row r="166" spans="1:15">
      <c r="A166" s="424" t="s">
        <v>576</v>
      </c>
      <c r="C166">
        <v>1</v>
      </c>
      <c r="G166">
        <v>1</v>
      </c>
      <c r="O166">
        <v>2</v>
      </c>
    </row>
    <row r="167" spans="1:15">
      <c r="A167" s="424" t="s">
        <v>582</v>
      </c>
    </row>
    <row r="168" spans="1:15">
      <c r="A168" s="424" t="s">
        <v>682</v>
      </c>
    </row>
    <row r="169" spans="1:15">
      <c r="A169" s="43" t="s">
        <v>291</v>
      </c>
      <c r="G169">
        <v>1</v>
      </c>
      <c r="O169">
        <v>1</v>
      </c>
    </row>
    <row r="170" spans="1:15">
      <c r="A170" s="424" t="s">
        <v>292</v>
      </c>
      <c r="G170">
        <v>1</v>
      </c>
      <c r="O170">
        <v>1</v>
      </c>
    </row>
    <row r="171" spans="1:15">
      <c r="A171" s="43" t="s">
        <v>569</v>
      </c>
      <c r="L171">
        <v>7</v>
      </c>
      <c r="O171">
        <v>7</v>
      </c>
    </row>
    <row r="172" spans="1:15">
      <c r="A172" s="424" t="s">
        <v>644</v>
      </c>
    </row>
    <row r="173" spans="1:15">
      <c r="A173" s="424" t="s">
        <v>645</v>
      </c>
    </row>
    <row r="174" spans="1:15">
      <c r="A174" s="424" t="s">
        <v>717</v>
      </c>
      <c r="L174">
        <v>1</v>
      </c>
      <c r="O174">
        <v>1</v>
      </c>
    </row>
    <row r="175" spans="1:15">
      <c r="A175" s="424" t="s">
        <v>646</v>
      </c>
      <c r="L175">
        <v>1</v>
      </c>
      <c r="O175">
        <v>1</v>
      </c>
    </row>
    <row r="176" spans="1:15">
      <c r="A176" s="424" t="s">
        <v>647</v>
      </c>
      <c r="L176">
        <v>1</v>
      </c>
      <c r="O176">
        <v>1</v>
      </c>
    </row>
    <row r="177" spans="1:15">
      <c r="A177" s="424" t="s">
        <v>548</v>
      </c>
      <c r="L177">
        <v>1</v>
      </c>
      <c r="O177">
        <v>1</v>
      </c>
    </row>
    <row r="178" spans="1:15">
      <c r="A178" s="424" t="s">
        <v>550</v>
      </c>
      <c r="L178">
        <v>1</v>
      </c>
      <c r="O178">
        <v>1</v>
      </c>
    </row>
    <row r="179" spans="1:15">
      <c r="A179" s="424" t="s">
        <v>551</v>
      </c>
      <c r="L179">
        <v>1</v>
      </c>
      <c r="O179">
        <v>1</v>
      </c>
    </row>
    <row r="180" spans="1:15">
      <c r="A180" s="424" t="s">
        <v>552</v>
      </c>
      <c r="L180">
        <v>1</v>
      </c>
      <c r="O180">
        <v>1</v>
      </c>
    </row>
    <row r="181" spans="1:15">
      <c r="A181" s="424" t="s">
        <v>648</v>
      </c>
    </row>
    <row r="182" spans="1:15">
      <c r="A182" s="424" t="s">
        <v>649</v>
      </c>
    </row>
    <row r="183" spans="1:15">
      <c r="A183" s="43" t="s">
        <v>528</v>
      </c>
    </row>
    <row r="184" spans="1:15">
      <c r="A184" s="424" t="s">
        <v>528</v>
      </c>
    </row>
    <row r="185" spans="1:15">
      <c r="A185" s="43" t="s">
        <v>560</v>
      </c>
      <c r="L185">
        <v>2</v>
      </c>
      <c r="O185">
        <v>2</v>
      </c>
    </row>
    <row r="186" spans="1:15">
      <c r="A186" s="424" t="s">
        <v>575</v>
      </c>
      <c r="L186">
        <v>2</v>
      </c>
      <c r="O186">
        <v>2</v>
      </c>
    </row>
    <row r="187" spans="1:15">
      <c r="A187" s="43" t="s">
        <v>341</v>
      </c>
      <c r="F187">
        <v>1</v>
      </c>
      <c r="O187">
        <v>1</v>
      </c>
    </row>
    <row r="188" spans="1:15">
      <c r="A188" s="424" t="s">
        <v>342</v>
      </c>
    </row>
    <row r="189" spans="1:15">
      <c r="A189" s="424" t="s">
        <v>345</v>
      </c>
      <c r="F189">
        <v>1</v>
      </c>
      <c r="O189">
        <v>1</v>
      </c>
    </row>
    <row r="190" spans="1:15">
      <c r="A190" s="424" t="s">
        <v>347</v>
      </c>
    </row>
    <row r="191" spans="1:15">
      <c r="A191" s="43" t="s">
        <v>563</v>
      </c>
      <c r="H191">
        <v>2</v>
      </c>
      <c r="L191">
        <v>4</v>
      </c>
      <c r="N191">
        <v>8</v>
      </c>
      <c r="O191">
        <v>14</v>
      </c>
    </row>
    <row r="192" spans="1:15">
      <c r="A192" s="424" t="s">
        <v>564</v>
      </c>
      <c r="H192">
        <v>2</v>
      </c>
      <c r="L192">
        <v>4</v>
      </c>
      <c r="O192">
        <v>6</v>
      </c>
    </row>
    <row r="193" spans="1:15">
      <c r="A193" s="424" t="s">
        <v>642</v>
      </c>
    </row>
    <row r="194" spans="1:15">
      <c r="A194" s="424" t="s">
        <v>606</v>
      </c>
      <c r="N194">
        <v>8</v>
      </c>
      <c r="O194">
        <v>8</v>
      </c>
    </row>
    <row r="195" spans="1:15">
      <c r="A195" s="43" t="s">
        <v>656</v>
      </c>
      <c r="G195">
        <v>1</v>
      </c>
      <c r="O195">
        <v>1</v>
      </c>
    </row>
    <row r="196" spans="1:15">
      <c r="A196" s="424" t="s">
        <v>656</v>
      </c>
      <c r="G196">
        <v>1</v>
      </c>
      <c r="O196">
        <v>1</v>
      </c>
    </row>
    <row r="197" spans="1:15">
      <c r="A197" s="43" t="s">
        <v>185</v>
      </c>
      <c r="C197">
        <v>1</v>
      </c>
      <c r="K197">
        <v>4</v>
      </c>
      <c r="O197">
        <v>5</v>
      </c>
    </row>
    <row r="198" spans="1:15">
      <c r="A198" s="424" t="s">
        <v>260</v>
      </c>
      <c r="C198">
        <v>1</v>
      </c>
      <c r="K198">
        <v>4</v>
      </c>
      <c r="O198">
        <v>5</v>
      </c>
    </row>
    <row r="199" spans="1:15">
      <c r="A199" s="424" t="s">
        <v>242</v>
      </c>
    </row>
    <row r="200" spans="1:15">
      <c r="A200" s="424" t="s">
        <v>791</v>
      </c>
    </row>
    <row r="201" spans="1:15">
      <c r="A201" s="43" t="s">
        <v>583</v>
      </c>
      <c r="J201">
        <v>2</v>
      </c>
      <c r="O201">
        <v>2</v>
      </c>
    </row>
    <row r="202" spans="1:15">
      <c r="A202" s="424" t="s">
        <v>583</v>
      </c>
      <c r="J202">
        <v>2</v>
      </c>
      <c r="O202">
        <v>2</v>
      </c>
    </row>
    <row r="203" spans="1:15">
      <c r="A203" s="43" t="s">
        <v>678</v>
      </c>
    </row>
    <row r="204" spans="1:15">
      <c r="A204" s="424" t="s">
        <v>678</v>
      </c>
    </row>
    <row r="205" spans="1:15">
      <c r="A205" s="43" t="s">
        <v>295</v>
      </c>
      <c r="H205">
        <v>0</v>
      </c>
      <c r="O205">
        <v>0</v>
      </c>
    </row>
    <row r="206" spans="1:15">
      <c r="A206" s="424" t="s">
        <v>478</v>
      </c>
    </row>
    <row r="207" spans="1:15">
      <c r="A207" s="424" t="s">
        <v>296</v>
      </c>
    </row>
    <row r="208" spans="1:15">
      <c r="A208" s="424" t="s">
        <v>474</v>
      </c>
      <c r="H208">
        <v>0</v>
      </c>
      <c r="O208">
        <v>0</v>
      </c>
    </row>
    <row r="209" spans="1:15">
      <c r="A209" s="43" t="s">
        <v>638</v>
      </c>
      <c r="G209">
        <v>1</v>
      </c>
      <c r="L209">
        <v>5</v>
      </c>
      <c r="O209">
        <v>6</v>
      </c>
    </row>
    <row r="210" spans="1:15">
      <c r="A210" s="424" t="s">
        <v>651</v>
      </c>
    </row>
    <row r="211" spans="1:15">
      <c r="A211" s="424" t="s">
        <v>655</v>
      </c>
    </row>
    <row r="212" spans="1:15">
      <c r="A212" s="424" t="s">
        <v>638</v>
      </c>
      <c r="G212">
        <v>1</v>
      </c>
      <c r="L212">
        <v>5</v>
      </c>
      <c r="O212">
        <v>6</v>
      </c>
    </row>
    <row r="213" spans="1:15">
      <c r="A213" s="43" t="s">
        <v>299</v>
      </c>
      <c r="C213">
        <v>3</v>
      </c>
      <c r="D213">
        <v>1</v>
      </c>
      <c r="F213">
        <v>0</v>
      </c>
      <c r="H213">
        <v>0</v>
      </c>
      <c r="J213">
        <v>1</v>
      </c>
      <c r="K213">
        <v>3</v>
      </c>
      <c r="L213">
        <v>3</v>
      </c>
      <c r="O213">
        <v>11</v>
      </c>
    </row>
    <row r="214" spans="1:15">
      <c r="A214" s="424" t="s">
        <v>317</v>
      </c>
    </row>
    <row r="215" spans="1:15">
      <c r="A215" s="424" t="s">
        <v>512</v>
      </c>
      <c r="C215">
        <v>1</v>
      </c>
      <c r="J215">
        <v>1</v>
      </c>
      <c r="K215">
        <v>1</v>
      </c>
      <c r="L215">
        <v>3</v>
      </c>
      <c r="O215">
        <v>6</v>
      </c>
    </row>
    <row r="216" spans="1:15">
      <c r="A216" s="424" t="s">
        <v>598</v>
      </c>
      <c r="D216">
        <v>1</v>
      </c>
      <c r="K216">
        <v>2</v>
      </c>
      <c r="O216">
        <v>3</v>
      </c>
    </row>
    <row r="217" spans="1:15">
      <c r="A217" s="424" t="s">
        <v>301</v>
      </c>
    </row>
    <row r="218" spans="1:15">
      <c r="A218" s="424" t="s">
        <v>305</v>
      </c>
      <c r="C218">
        <v>1</v>
      </c>
      <c r="O218">
        <v>1</v>
      </c>
    </row>
    <row r="219" spans="1:15">
      <c r="A219" s="424" t="s">
        <v>320</v>
      </c>
    </row>
    <row r="220" spans="1:15">
      <c r="A220" s="424" t="s">
        <v>312</v>
      </c>
    </row>
    <row r="221" spans="1:15">
      <c r="A221" s="424" t="s">
        <v>456</v>
      </c>
      <c r="C221">
        <v>0</v>
      </c>
      <c r="H221">
        <v>0</v>
      </c>
      <c r="O221">
        <v>0</v>
      </c>
    </row>
    <row r="222" spans="1:15">
      <c r="A222" s="424" t="s">
        <v>688</v>
      </c>
      <c r="C222">
        <v>1</v>
      </c>
      <c r="O222">
        <v>1</v>
      </c>
    </row>
    <row r="223" spans="1:15">
      <c r="A223" s="424" t="s">
        <v>460</v>
      </c>
      <c r="H223">
        <v>0</v>
      </c>
      <c r="O223">
        <v>0</v>
      </c>
    </row>
    <row r="224" spans="1:15">
      <c r="A224" s="424" t="s">
        <v>318</v>
      </c>
      <c r="F224">
        <v>0</v>
      </c>
      <c r="O224">
        <v>0</v>
      </c>
    </row>
    <row r="225" spans="1:15">
      <c r="A225" s="424" t="s">
        <v>316</v>
      </c>
    </row>
    <row r="226" spans="1:15">
      <c r="A226" s="424" t="s">
        <v>451</v>
      </c>
      <c r="F226">
        <v>0</v>
      </c>
      <c r="H226">
        <v>0</v>
      </c>
      <c r="O226">
        <v>0</v>
      </c>
    </row>
    <row r="227" spans="1:15">
      <c r="A227" s="43" t="s">
        <v>253</v>
      </c>
      <c r="C227">
        <v>1</v>
      </c>
      <c r="H227">
        <v>0</v>
      </c>
      <c r="O227">
        <v>1</v>
      </c>
    </row>
    <row r="228" spans="1:15">
      <c r="A228" s="424" t="s">
        <v>246</v>
      </c>
      <c r="C228">
        <v>1</v>
      </c>
      <c r="O228">
        <v>1</v>
      </c>
    </row>
    <row r="229" spans="1:15">
      <c r="A229" s="424" t="s">
        <v>471</v>
      </c>
    </row>
    <row r="230" spans="1:15">
      <c r="A230" s="424" t="s">
        <v>465</v>
      </c>
      <c r="C230">
        <v>0</v>
      </c>
      <c r="H230">
        <v>0</v>
      </c>
      <c r="O230">
        <v>0</v>
      </c>
    </row>
    <row r="231" spans="1:15">
      <c r="A231" s="43" t="s">
        <v>709</v>
      </c>
    </row>
    <row r="232" spans="1:15">
      <c r="A232" s="424" t="s">
        <v>714</v>
      </c>
    </row>
    <row r="233" spans="1:15">
      <c r="A233" s="43" t="s">
        <v>637</v>
      </c>
      <c r="C233">
        <v>1</v>
      </c>
      <c r="G233">
        <v>2</v>
      </c>
      <c r="O233">
        <v>3</v>
      </c>
    </row>
    <row r="234" spans="1:15">
      <c r="A234" s="424" t="s">
        <v>636</v>
      </c>
      <c r="C234">
        <v>1</v>
      </c>
      <c r="O234">
        <v>1</v>
      </c>
    </row>
    <row r="235" spans="1:15">
      <c r="A235" s="424" t="s">
        <v>634</v>
      </c>
      <c r="G235">
        <v>2</v>
      </c>
      <c r="O235">
        <v>2</v>
      </c>
    </row>
    <row r="236" spans="1:15">
      <c r="A236" s="43" t="s">
        <v>293</v>
      </c>
    </row>
    <row r="237" spans="1:15">
      <c r="A237" s="424" t="s">
        <v>282</v>
      </c>
    </row>
    <row r="238" spans="1:15">
      <c r="A238" s="424" t="s">
        <v>294</v>
      </c>
    </row>
    <row r="239" spans="1:15">
      <c r="A239" s="237" t="s">
        <v>768</v>
      </c>
      <c r="B239">
        <v>1</v>
      </c>
      <c r="C239">
        <v>27</v>
      </c>
      <c r="D239">
        <v>2</v>
      </c>
      <c r="E239">
        <v>1</v>
      </c>
      <c r="F239">
        <v>5</v>
      </c>
      <c r="G239">
        <v>40</v>
      </c>
      <c r="H239">
        <v>12</v>
      </c>
      <c r="I239">
        <v>14</v>
      </c>
      <c r="J239">
        <v>30</v>
      </c>
      <c r="K239">
        <v>30</v>
      </c>
      <c r="L239">
        <v>52</v>
      </c>
      <c r="M239">
        <v>26</v>
      </c>
      <c r="N239">
        <v>9</v>
      </c>
      <c r="O239">
        <v>249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1B6B1-D944-4A3C-9C5D-0B22088D0CD8}">
  <sheetPr>
    <tabColor theme="5" tint="-0.249977111117893"/>
  </sheetPr>
  <dimension ref="A1:G23"/>
  <sheetViews>
    <sheetView workbookViewId="0">
      <selection activeCell="D20" sqref="D20"/>
    </sheetView>
  </sheetViews>
  <sheetFormatPr defaultRowHeight="14.4"/>
  <cols>
    <col min="1" max="1" width="34.109375" bestFit="1" customWidth="1"/>
    <col min="2" max="2" width="19.44140625" bestFit="1" customWidth="1"/>
    <col min="3" max="3" width="14.109375" bestFit="1" customWidth="1"/>
    <col min="4" max="4" width="15.109375" bestFit="1" customWidth="1"/>
    <col min="5" max="5" width="11" bestFit="1" customWidth="1"/>
    <col min="6" max="6" width="27.88671875" bestFit="1" customWidth="1"/>
    <col min="7" max="7" width="11" bestFit="1" customWidth="1"/>
    <col min="8" max="8" width="29.109375" bestFit="1" customWidth="1"/>
    <col min="9" max="9" width="11" bestFit="1" customWidth="1"/>
    <col min="10" max="10" width="22.88671875" bestFit="1" customWidth="1"/>
    <col min="11" max="11" width="23.44140625" bestFit="1" customWidth="1"/>
    <col min="12" max="12" width="29.109375" bestFit="1" customWidth="1"/>
    <col min="13" max="13" width="22.109375" bestFit="1" customWidth="1"/>
    <col min="14" max="14" width="16.44140625" bestFit="1" customWidth="1"/>
    <col min="15" max="15" width="31.33203125" bestFit="1" customWidth="1"/>
    <col min="16" max="16" width="19.33203125" bestFit="1" customWidth="1"/>
    <col min="17" max="17" width="19.6640625" bestFit="1" customWidth="1"/>
    <col min="18" max="18" width="13.5546875" bestFit="1" customWidth="1"/>
    <col min="19" max="19" width="23.5546875" bestFit="1" customWidth="1"/>
    <col min="20" max="20" width="26.88671875" bestFit="1" customWidth="1"/>
    <col min="21" max="21" width="22.6640625" bestFit="1" customWidth="1"/>
    <col min="22" max="22" width="18.44140625" bestFit="1" customWidth="1"/>
    <col min="23" max="23" width="15.6640625" bestFit="1" customWidth="1"/>
    <col min="24" max="24" width="27.88671875" bestFit="1" customWidth="1"/>
    <col min="25" max="25" width="36.109375" bestFit="1" customWidth="1"/>
    <col min="26" max="26" width="20.109375" bestFit="1" customWidth="1"/>
    <col min="27" max="27" width="11.88671875" bestFit="1" customWidth="1"/>
    <col min="28" max="28" width="31.5546875" bestFit="1" customWidth="1"/>
    <col min="29" max="29" width="8.5546875" bestFit="1" customWidth="1"/>
    <col min="30" max="30" width="27.109375" bestFit="1" customWidth="1"/>
    <col min="31" max="31" width="19.109375" bestFit="1" customWidth="1"/>
    <col min="32" max="32" width="14.5546875" bestFit="1" customWidth="1"/>
    <col min="33" max="33" width="19.33203125" bestFit="1" customWidth="1"/>
    <col min="34" max="34" width="28.44140625" bestFit="1" customWidth="1"/>
    <col min="35" max="35" width="31" bestFit="1" customWidth="1"/>
    <col min="36" max="36" width="15.44140625" bestFit="1" customWidth="1"/>
    <col min="37" max="37" width="42.88671875" bestFit="1" customWidth="1"/>
    <col min="38" max="38" width="40.109375" bestFit="1" customWidth="1"/>
    <col min="39" max="39" width="45" bestFit="1" customWidth="1"/>
    <col min="40" max="40" width="50.109375" bestFit="1" customWidth="1"/>
    <col min="41" max="41" width="44" bestFit="1" customWidth="1"/>
    <col min="42" max="42" width="7.109375" bestFit="1" customWidth="1"/>
    <col min="43" max="43" width="11" bestFit="1" customWidth="1"/>
  </cols>
  <sheetData>
    <row r="1" spans="1:7">
      <c r="A1" s="182" t="s">
        <v>69</v>
      </c>
      <c r="B1" t="s">
        <v>149</v>
      </c>
    </row>
    <row r="2" spans="1:7">
      <c r="A2" s="182" t="s">
        <v>66</v>
      </c>
      <c r="B2" t="s">
        <v>511</v>
      </c>
    </row>
    <row r="4" spans="1:7">
      <c r="A4" s="182" t="s">
        <v>762</v>
      </c>
      <c r="B4" s="182" t="s">
        <v>763</v>
      </c>
    </row>
    <row r="5" spans="1:7">
      <c r="A5" s="182" t="s">
        <v>764</v>
      </c>
      <c r="B5" t="s">
        <v>794</v>
      </c>
      <c r="C5" t="s">
        <v>795</v>
      </c>
      <c r="D5" t="s">
        <v>796</v>
      </c>
      <c r="E5" t="s">
        <v>797</v>
      </c>
      <c r="F5" t="s">
        <v>775</v>
      </c>
      <c r="G5" t="s">
        <v>768</v>
      </c>
    </row>
    <row r="6" spans="1:7">
      <c r="A6" s="237" t="s">
        <v>513</v>
      </c>
      <c r="B6">
        <v>8</v>
      </c>
      <c r="G6">
        <v>8</v>
      </c>
    </row>
    <row r="7" spans="1:7">
      <c r="A7" s="237" t="s">
        <v>577</v>
      </c>
      <c r="B7">
        <v>2</v>
      </c>
      <c r="G7">
        <v>2</v>
      </c>
    </row>
    <row r="8" spans="1:7">
      <c r="A8" s="237" t="s">
        <v>529</v>
      </c>
      <c r="B8">
        <v>3</v>
      </c>
      <c r="G8">
        <v>3</v>
      </c>
    </row>
    <row r="9" spans="1:7">
      <c r="A9" s="237" t="s">
        <v>588</v>
      </c>
      <c r="B9">
        <v>2</v>
      </c>
      <c r="G9">
        <v>2</v>
      </c>
    </row>
    <row r="10" spans="1:7">
      <c r="A10" s="237" t="s">
        <v>589</v>
      </c>
      <c r="B10">
        <v>3</v>
      </c>
      <c r="G10">
        <v>3</v>
      </c>
    </row>
    <row r="11" spans="1:7">
      <c r="A11" s="237" t="s">
        <v>539</v>
      </c>
      <c r="B11">
        <v>1</v>
      </c>
      <c r="G11">
        <v>1</v>
      </c>
    </row>
    <row r="12" spans="1:7">
      <c r="A12" s="237" t="s">
        <v>603</v>
      </c>
      <c r="B12">
        <v>2</v>
      </c>
      <c r="G12">
        <v>2</v>
      </c>
    </row>
    <row r="13" spans="1:7">
      <c r="A13" s="237" t="s">
        <v>607</v>
      </c>
      <c r="C13">
        <v>4</v>
      </c>
      <c r="G13">
        <v>4</v>
      </c>
    </row>
    <row r="14" spans="1:7">
      <c r="A14" s="237" t="s">
        <v>663</v>
      </c>
      <c r="B14">
        <v>10</v>
      </c>
      <c r="G14">
        <v>10</v>
      </c>
    </row>
    <row r="15" spans="1:7">
      <c r="A15" s="237" t="s">
        <v>685</v>
      </c>
      <c r="B15">
        <v>2</v>
      </c>
      <c r="G15">
        <v>2</v>
      </c>
    </row>
    <row r="16" spans="1:7">
      <c r="A16" s="237" t="s">
        <v>686</v>
      </c>
      <c r="B16">
        <v>2</v>
      </c>
      <c r="G16">
        <v>2</v>
      </c>
    </row>
    <row r="17" spans="1:7">
      <c r="A17" s="237" t="s">
        <v>699</v>
      </c>
      <c r="B17">
        <v>1</v>
      </c>
      <c r="G17">
        <v>1</v>
      </c>
    </row>
    <row r="18" spans="1:7">
      <c r="A18" s="237" t="s">
        <v>723</v>
      </c>
      <c r="D18">
        <v>2</v>
      </c>
      <c r="E18">
        <v>2</v>
      </c>
      <c r="G18">
        <v>4</v>
      </c>
    </row>
    <row r="19" spans="1:7">
      <c r="A19" s="237" t="s">
        <v>724</v>
      </c>
      <c r="E19">
        <v>2</v>
      </c>
      <c r="G19">
        <v>2</v>
      </c>
    </row>
    <row r="20" spans="1:7">
      <c r="A20" s="237" t="s">
        <v>728</v>
      </c>
      <c r="D20">
        <v>6</v>
      </c>
      <c r="E20">
        <v>4</v>
      </c>
      <c r="F20">
        <v>3</v>
      </c>
      <c r="G20">
        <v>13</v>
      </c>
    </row>
    <row r="21" spans="1:7">
      <c r="A21" s="237" t="s">
        <v>740</v>
      </c>
      <c r="E21">
        <v>2</v>
      </c>
      <c r="G21">
        <v>2</v>
      </c>
    </row>
    <row r="22" spans="1:7">
      <c r="A22" s="237" t="s">
        <v>734</v>
      </c>
      <c r="B22">
        <v>14</v>
      </c>
      <c r="G22">
        <v>14</v>
      </c>
    </row>
    <row r="23" spans="1:7">
      <c r="A23" s="237" t="s">
        <v>768</v>
      </c>
      <c r="B23">
        <v>50</v>
      </c>
      <c r="C23">
        <v>4</v>
      </c>
      <c r="D23">
        <v>8</v>
      </c>
      <c r="E23">
        <v>10</v>
      </c>
      <c r="F23">
        <v>3</v>
      </c>
      <c r="G23">
        <v>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5F863-7270-4D65-ADE2-92A3E20DEC8F}">
  <sheetPr>
    <tabColor theme="5" tint="-0.249977111117893"/>
  </sheetPr>
  <dimension ref="A1:D19"/>
  <sheetViews>
    <sheetView workbookViewId="0">
      <selection activeCell="A22" sqref="A22"/>
    </sheetView>
  </sheetViews>
  <sheetFormatPr defaultRowHeight="14.4"/>
  <cols>
    <col min="1" max="1" width="34.109375" bestFit="1" customWidth="1"/>
    <col min="2" max="2" width="26.109375" bestFit="1" customWidth="1"/>
    <col min="3" max="3" width="31.33203125" bestFit="1" customWidth="1"/>
    <col min="4" max="4" width="11" bestFit="1" customWidth="1"/>
  </cols>
  <sheetData>
    <row r="1" spans="1:4">
      <c r="A1" s="182" t="s">
        <v>69</v>
      </c>
      <c r="B1" t="s">
        <v>149</v>
      </c>
    </row>
    <row r="2" spans="1:4">
      <c r="A2" s="182" t="s">
        <v>38</v>
      </c>
      <c r="B2" t="s">
        <v>798</v>
      </c>
    </row>
    <row r="4" spans="1:4">
      <c r="A4" s="182" t="s">
        <v>762</v>
      </c>
      <c r="B4" s="182" t="s">
        <v>763</v>
      </c>
    </row>
    <row r="5" spans="1:4">
      <c r="A5" s="182" t="s">
        <v>764</v>
      </c>
      <c r="B5" t="s">
        <v>779</v>
      </c>
      <c r="C5" t="s">
        <v>782</v>
      </c>
      <c r="D5" t="s">
        <v>768</v>
      </c>
    </row>
    <row r="6" spans="1:4">
      <c r="A6" s="237" t="s">
        <v>544</v>
      </c>
      <c r="B6">
        <v>2</v>
      </c>
      <c r="D6">
        <v>2</v>
      </c>
    </row>
    <row r="7" spans="1:4">
      <c r="A7" s="237" t="s">
        <v>577</v>
      </c>
      <c r="B7">
        <v>5</v>
      </c>
      <c r="D7">
        <v>5</v>
      </c>
    </row>
    <row r="8" spans="1:4">
      <c r="A8" s="237" t="s">
        <v>635</v>
      </c>
      <c r="B8">
        <v>1</v>
      </c>
      <c r="D8">
        <v>1</v>
      </c>
    </row>
    <row r="9" spans="1:4">
      <c r="A9" s="237" t="s">
        <v>663</v>
      </c>
      <c r="B9">
        <v>2</v>
      </c>
      <c r="C9">
        <v>1</v>
      </c>
      <c r="D9">
        <v>3</v>
      </c>
    </row>
    <row r="10" spans="1:4">
      <c r="A10" s="237" t="s">
        <v>687</v>
      </c>
      <c r="C10">
        <v>1</v>
      </c>
      <c r="D10">
        <v>1</v>
      </c>
    </row>
    <row r="11" spans="1:4">
      <c r="A11" s="237" t="s">
        <v>696</v>
      </c>
      <c r="B11">
        <v>1</v>
      </c>
      <c r="D11">
        <v>1</v>
      </c>
    </row>
    <row r="12" spans="1:4">
      <c r="A12" s="237" t="s">
        <v>724</v>
      </c>
      <c r="B12">
        <v>1</v>
      </c>
      <c r="D12">
        <v>1</v>
      </c>
    </row>
    <row r="13" spans="1:4">
      <c r="A13" s="237" t="s">
        <v>726</v>
      </c>
      <c r="B13">
        <v>1</v>
      </c>
      <c r="D13">
        <v>1</v>
      </c>
    </row>
    <row r="14" spans="1:4">
      <c r="A14" s="237" t="s">
        <v>738</v>
      </c>
      <c r="B14">
        <v>1</v>
      </c>
      <c r="D14">
        <v>1</v>
      </c>
    </row>
    <row r="15" spans="1:4">
      <c r="A15" s="237" t="s">
        <v>728</v>
      </c>
      <c r="B15">
        <v>1</v>
      </c>
      <c r="D15">
        <v>1</v>
      </c>
    </row>
    <row r="16" spans="1:4">
      <c r="A16" s="237" t="s">
        <v>730</v>
      </c>
      <c r="B16">
        <v>1</v>
      </c>
      <c r="C16">
        <v>0</v>
      </c>
      <c r="D16">
        <v>1</v>
      </c>
    </row>
    <row r="17" spans="1:4">
      <c r="A17" s="237" t="s">
        <v>740</v>
      </c>
      <c r="B17">
        <v>2</v>
      </c>
      <c r="C17">
        <v>0</v>
      </c>
      <c r="D17">
        <v>2</v>
      </c>
    </row>
    <row r="18" spans="1:4">
      <c r="A18" s="237" t="s">
        <v>734</v>
      </c>
      <c r="B18">
        <v>1</v>
      </c>
      <c r="C18">
        <v>2</v>
      </c>
      <c r="D18">
        <v>3</v>
      </c>
    </row>
    <row r="19" spans="1:4">
      <c r="A19" s="237" t="s">
        <v>768</v>
      </c>
      <c r="B19">
        <v>19</v>
      </c>
      <c r="C19">
        <v>4</v>
      </c>
      <c r="D19">
        <v>23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26A4C-A9E9-4F34-812A-C38AD8970AA3}">
  <dimension ref="A1:D24"/>
  <sheetViews>
    <sheetView workbookViewId="0">
      <selection activeCell="F6" sqref="F6"/>
    </sheetView>
  </sheetViews>
  <sheetFormatPr defaultRowHeight="14.4"/>
  <cols>
    <col min="1" max="1" width="53.6640625" bestFit="1" customWidth="1"/>
    <col min="2" max="2" width="15.44140625" bestFit="1" customWidth="1"/>
    <col min="3" max="9" width="2" bestFit="1" customWidth="1"/>
    <col min="10" max="15" width="3" bestFit="1" customWidth="1"/>
    <col min="16" max="16" width="4" bestFit="1" customWidth="1"/>
    <col min="17" max="17" width="11" bestFit="1" customWidth="1"/>
  </cols>
  <sheetData>
    <row r="1" spans="1:4">
      <c r="A1" s="182" t="s">
        <v>176</v>
      </c>
      <c r="B1" t="s">
        <v>424</v>
      </c>
    </row>
    <row r="3" spans="1:4">
      <c r="A3" s="182" t="s">
        <v>764</v>
      </c>
      <c r="B3" t="s">
        <v>799</v>
      </c>
    </row>
    <row r="4" spans="1:4">
      <c r="A4" s="237" t="s">
        <v>184</v>
      </c>
      <c r="B4">
        <v>56</v>
      </c>
    </row>
    <row r="5" spans="1:4">
      <c r="A5" s="43" t="s">
        <v>440</v>
      </c>
      <c r="B5">
        <v>18</v>
      </c>
    </row>
    <row r="6" spans="1:4">
      <c r="A6" s="424" t="s">
        <v>446</v>
      </c>
      <c r="B6">
        <v>18</v>
      </c>
    </row>
    <row r="7" spans="1:4">
      <c r="A7" s="425" t="s">
        <v>187</v>
      </c>
      <c r="B7">
        <v>10</v>
      </c>
    </row>
    <row r="8" spans="1:4">
      <c r="A8" s="425" t="s">
        <v>230</v>
      </c>
      <c r="B8">
        <v>8</v>
      </c>
    </row>
    <row r="9" spans="1:4">
      <c r="A9" s="43" t="s">
        <v>185</v>
      </c>
      <c r="B9">
        <v>5</v>
      </c>
    </row>
    <row r="10" spans="1:4">
      <c r="A10" s="424" t="s">
        <v>460</v>
      </c>
      <c r="B10">
        <v>5</v>
      </c>
    </row>
    <row r="11" spans="1:4">
      <c r="A11" s="425" t="s">
        <v>248</v>
      </c>
      <c r="B11">
        <v>1</v>
      </c>
      <c r="D11" t="s">
        <v>463</v>
      </c>
    </row>
    <row r="12" spans="1:4">
      <c r="A12" s="425" t="s">
        <v>211</v>
      </c>
      <c r="B12">
        <v>2</v>
      </c>
    </row>
    <row r="13" spans="1:4">
      <c r="A13" s="425" t="s">
        <v>414</v>
      </c>
      <c r="B13">
        <v>2</v>
      </c>
    </row>
    <row r="14" spans="1:4">
      <c r="A14" s="43" t="s">
        <v>245</v>
      </c>
      <c r="B14">
        <v>33</v>
      </c>
    </row>
    <row r="15" spans="1:4">
      <c r="A15" s="424" t="s">
        <v>436</v>
      </c>
      <c r="B15">
        <v>17</v>
      </c>
    </row>
    <row r="16" spans="1:4">
      <c r="A16" s="425" t="s">
        <v>187</v>
      </c>
      <c r="B16">
        <v>15</v>
      </c>
    </row>
    <row r="17" spans="1:4">
      <c r="A17" s="425" t="s">
        <v>230</v>
      </c>
      <c r="B17">
        <v>2</v>
      </c>
    </row>
    <row r="18" spans="1:4">
      <c r="A18" s="424" t="s">
        <v>425</v>
      </c>
      <c r="B18">
        <v>16</v>
      </c>
      <c r="D18" t="s">
        <v>800</v>
      </c>
    </row>
    <row r="19" spans="1:4">
      <c r="A19" s="425" t="s">
        <v>211</v>
      </c>
      <c r="B19">
        <v>0</v>
      </c>
    </row>
    <row r="20" spans="1:4">
      <c r="A20" s="425" t="s">
        <v>414</v>
      </c>
      <c r="B20">
        <v>10</v>
      </c>
      <c r="D20" t="s">
        <v>801</v>
      </c>
    </row>
    <row r="21" spans="1:4">
      <c r="A21" s="425" t="s">
        <v>201</v>
      </c>
      <c r="B21">
        <v>2</v>
      </c>
      <c r="D21" t="s">
        <v>802</v>
      </c>
    </row>
    <row r="22" spans="1:4">
      <c r="A22" s="425" t="s">
        <v>190</v>
      </c>
      <c r="B22">
        <v>2</v>
      </c>
      <c r="D22" t="s">
        <v>803</v>
      </c>
    </row>
    <row r="23" spans="1:4">
      <c r="A23" s="425" t="s">
        <v>230</v>
      </c>
      <c r="B23">
        <v>2</v>
      </c>
      <c r="D23" t="s">
        <v>803</v>
      </c>
    </row>
    <row r="24" spans="1:4">
      <c r="A24" s="237" t="s">
        <v>768</v>
      </c>
      <c r="B24">
        <v>56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DA9BB-0932-413D-8796-B5CB83E9C769}">
  <sheetPr>
    <tabColor rgb="FF92D050"/>
  </sheetPr>
  <dimension ref="A1:J37"/>
  <sheetViews>
    <sheetView topLeftCell="A7" workbookViewId="0">
      <selection activeCell="C31" sqref="C31"/>
    </sheetView>
  </sheetViews>
  <sheetFormatPr defaultRowHeight="14.4"/>
  <cols>
    <col min="1" max="1" width="29.6640625" bestFit="1" customWidth="1"/>
    <col min="3" max="3" width="20.6640625" bestFit="1" customWidth="1"/>
    <col min="4" max="4" width="18.6640625" bestFit="1" customWidth="1"/>
    <col min="5" max="5" width="9.44140625" bestFit="1" customWidth="1"/>
    <col min="6" max="6" width="21.5546875" bestFit="1" customWidth="1"/>
    <col min="9" max="9" width="29.6640625" bestFit="1" customWidth="1"/>
  </cols>
  <sheetData>
    <row r="1" spans="1:10">
      <c r="A1" s="405" t="s">
        <v>177</v>
      </c>
      <c r="B1" s="406" t="s">
        <v>176</v>
      </c>
      <c r="C1" s="406" t="s">
        <v>804</v>
      </c>
      <c r="D1" s="406" t="s">
        <v>805</v>
      </c>
      <c r="E1" s="406" t="s">
        <v>806</v>
      </c>
      <c r="F1" s="407" t="s">
        <v>807</v>
      </c>
      <c r="I1" s="408" t="s">
        <v>177</v>
      </c>
      <c r="J1" s="409" t="s">
        <v>176</v>
      </c>
    </row>
    <row r="2" spans="1:10">
      <c r="A2" s="410" t="s">
        <v>808</v>
      </c>
      <c r="B2" s="235" t="s">
        <v>183</v>
      </c>
      <c r="C2" s="235" t="s">
        <v>809</v>
      </c>
      <c r="D2" s="235" t="s">
        <v>810</v>
      </c>
      <c r="E2" s="235">
        <v>66778842</v>
      </c>
      <c r="F2" s="411" t="s">
        <v>811</v>
      </c>
      <c r="I2" s="410" t="s">
        <v>808</v>
      </c>
      <c r="J2" s="412" t="s">
        <v>183</v>
      </c>
    </row>
    <row r="3" spans="1:10">
      <c r="A3" s="410" t="s">
        <v>808</v>
      </c>
      <c r="B3" s="235" t="s">
        <v>183</v>
      </c>
      <c r="C3" s="235" t="s">
        <v>812</v>
      </c>
      <c r="D3" s="235" t="s">
        <v>810</v>
      </c>
      <c r="E3" s="235">
        <v>66778842</v>
      </c>
      <c r="F3" s="411" t="s">
        <v>811</v>
      </c>
      <c r="I3" s="410" t="s">
        <v>813</v>
      </c>
      <c r="J3" s="412" t="s">
        <v>196</v>
      </c>
    </row>
    <row r="4" spans="1:10">
      <c r="A4" s="410" t="s">
        <v>813</v>
      </c>
      <c r="B4" s="235" t="s">
        <v>196</v>
      </c>
      <c r="C4" s="235" t="s">
        <v>809</v>
      </c>
      <c r="D4" s="235" t="s">
        <v>814</v>
      </c>
      <c r="E4" s="235">
        <v>33807055</v>
      </c>
      <c r="F4" s="411" t="s">
        <v>815</v>
      </c>
      <c r="I4" s="410" t="s">
        <v>816</v>
      </c>
      <c r="J4" s="412" t="s">
        <v>240</v>
      </c>
    </row>
    <row r="5" spans="1:10">
      <c r="A5" s="410" t="s">
        <v>813</v>
      </c>
      <c r="B5" s="235" t="s">
        <v>196</v>
      </c>
      <c r="C5" s="235" t="s">
        <v>812</v>
      </c>
      <c r="D5" s="235"/>
      <c r="E5" s="235"/>
      <c r="F5" s="412"/>
      <c r="I5" s="410" t="s">
        <v>817</v>
      </c>
      <c r="J5" s="412" t="s">
        <v>244</v>
      </c>
    </row>
    <row r="6" spans="1:10">
      <c r="A6" s="410" t="s">
        <v>816</v>
      </c>
      <c r="B6" s="235" t="s">
        <v>240</v>
      </c>
      <c r="C6" s="235" t="s">
        <v>809</v>
      </c>
      <c r="D6" s="235" t="s">
        <v>818</v>
      </c>
      <c r="E6" s="235" t="s">
        <v>819</v>
      </c>
      <c r="F6" s="411" t="s">
        <v>820</v>
      </c>
      <c r="I6" s="410" t="s">
        <v>821</v>
      </c>
      <c r="J6" s="412" t="s">
        <v>254</v>
      </c>
    </row>
    <row r="7" spans="1:10">
      <c r="A7" s="410" t="s">
        <v>816</v>
      </c>
      <c r="B7" s="235" t="s">
        <v>240</v>
      </c>
      <c r="C7" s="235" t="s">
        <v>812</v>
      </c>
      <c r="D7" s="235" t="s">
        <v>822</v>
      </c>
      <c r="E7" s="228" t="s">
        <v>823</v>
      </c>
      <c r="F7" s="411" t="s">
        <v>824</v>
      </c>
      <c r="I7" s="410" t="s">
        <v>825</v>
      </c>
      <c r="J7" s="412" t="s">
        <v>259</v>
      </c>
    </row>
    <row r="8" spans="1:10">
      <c r="A8" s="410" t="s">
        <v>817</v>
      </c>
      <c r="B8" s="235" t="s">
        <v>244</v>
      </c>
      <c r="C8" s="235" t="s">
        <v>809</v>
      </c>
      <c r="D8" s="235" t="s">
        <v>826</v>
      </c>
      <c r="E8" s="235">
        <v>55882815</v>
      </c>
      <c r="F8" s="411" t="s">
        <v>827</v>
      </c>
      <c r="I8" s="410" t="s">
        <v>828</v>
      </c>
      <c r="J8" s="412" t="s">
        <v>280</v>
      </c>
    </row>
    <row r="9" spans="1:10">
      <c r="A9" s="410" t="s">
        <v>817</v>
      </c>
      <c r="B9" s="235" t="s">
        <v>244</v>
      </c>
      <c r="C9" s="235" t="s">
        <v>812</v>
      </c>
      <c r="D9" s="235" t="s">
        <v>829</v>
      </c>
      <c r="E9" s="235">
        <v>77170855</v>
      </c>
      <c r="F9" s="411" t="s">
        <v>830</v>
      </c>
      <c r="I9" s="410" t="s">
        <v>831</v>
      </c>
      <c r="J9" s="412" t="s">
        <v>297</v>
      </c>
    </row>
    <row r="10" spans="1:10">
      <c r="A10" s="410" t="s">
        <v>821</v>
      </c>
      <c r="B10" s="235" t="s">
        <v>254</v>
      </c>
      <c r="C10" s="235" t="s">
        <v>809</v>
      </c>
      <c r="D10" s="235" t="s">
        <v>832</v>
      </c>
      <c r="E10" s="235">
        <v>55679692</v>
      </c>
      <c r="F10" s="411" t="s">
        <v>833</v>
      </c>
      <c r="I10" s="410" t="s">
        <v>834</v>
      </c>
      <c r="J10" s="412" t="s">
        <v>300</v>
      </c>
    </row>
    <row r="11" spans="1:10">
      <c r="A11" s="410" t="s">
        <v>821</v>
      </c>
      <c r="B11" s="235" t="s">
        <v>254</v>
      </c>
      <c r="C11" s="235" t="s">
        <v>812</v>
      </c>
      <c r="D11" s="235" t="s">
        <v>835</v>
      </c>
      <c r="E11" s="235">
        <v>77352927</v>
      </c>
      <c r="F11" s="411" t="s">
        <v>836</v>
      </c>
      <c r="I11" s="410" t="s">
        <v>311</v>
      </c>
      <c r="J11" s="412" t="s">
        <v>311</v>
      </c>
    </row>
    <row r="12" spans="1:10">
      <c r="A12" s="410" t="s">
        <v>825</v>
      </c>
      <c r="B12" s="235" t="s">
        <v>259</v>
      </c>
      <c r="C12" s="235" t="s">
        <v>809</v>
      </c>
      <c r="D12" s="235" t="s">
        <v>837</v>
      </c>
      <c r="E12" s="235">
        <v>70723699</v>
      </c>
      <c r="F12" s="411" t="s">
        <v>838</v>
      </c>
      <c r="I12" s="410" t="s">
        <v>839</v>
      </c>
      <c r="J12" s="412" t="s">
        <v>321</v>
      </c>
    </row>
    <row r="13" spans="1:10">
      <c r="A13" s="410" t="s">
        <v>825</v>
      </c>
      <c r="B13" s="235" t="s">
        <v>259</v>
      </c>
      <c r="C13" s="235" t="s">
        <v>812</v>
      </c>
      <c r="D13" s="235" t="s">
        <v>840</v>
      </c>
      <c r="E13" s="413" t="s">
        <v>841</v>
      </c>
      <c r="F13" s="411" t="s">
        <v>842</v>
      </c>
      <c r="I13" s="410" t="s">
        <v>843</v>
      </c>
      <c r="J13" s="412" t="s">
        <v>325</v>
      </c>
    </row>
    <row r="14" spans="1:10">
      <c r="A14" s="410" t="s">
        <v>828</v>
      </c>
      <c r="B14" s="235" t="s">
        <v>280</v>
      </c>
      <c r="C14" s="235" t="s">
        <v>809</v>
      </c>
      <c r="D14" s="235"/>
      <c r="E14" s="235"/>
      <c r="F14" s="412"/>
      <c r="I14" s="410" t="s">
        <v>844</v>
      </c>
      <c r="J14" s="412" t="s">
        <v>340</v>
      </c>
    </row>
    <row r="15" spans="1:10">
      <c r="A15" s="410" t="s">
        <v>828</v>
      </c>
      <c r="B15" s="235" t="s">
        <v>280</v>
      </c>
      <c r="C15" s="235" t="s">
        <v>812</v>
      </c>
      <c r="D15" s="235"/>
      <c r="E15" s="235"/>
      <c r="F15" s="412"/>
      <c r="I15" s="414" t="s">
        <v>845</v>
      </c>
      <c r="J15" s="415" t="s">
        <v>396</v>
      </c>
    </row>
    <row r="16" spans="1:10">
      <c r="A16" s="410" t="s">
        <v>831</v>
      </c>
      <c r="B16" s="235" t="s">
        <v>297</v>
      </c>
      <c r="C16" s="235" t="s">
        <v>809</v>
      </c>
      <c r="D16" s="235" t="s">
        <v>846</v>
      </c>
      <c r="E16" s="235">
        <v>33223078</v>
      </c>
      <c r="F16" s="411" t="s">
        <v>847</v>
      </c>
      <c r="I16" s="414" t="s">
        <v>848</v>
      </c>
      <c r="J16" s="415" t="s">
        <v>400</v>
      </c>
    </row>
    <row r="17" spans="1:10">
      <c r="A17" s="410" t="s">
        <v>831</v>
      </c>
      <c r="B17" s="235" t="s">
        <v>297</v>
      </c>
      <c r="C17" s="235" t="s">
        <v>812</v>
      </c>
      <c r="D17" s="235" t="s">
        <v>846</v>
      </c>
      <c r="E17" s="235">
        <v>33223078</v>
      </c>
      <c r="F17" s="411" t="s">
        <v>847</v>
      </c>
      <c r="I17" s="414" t="s">
        <v>849</v>
      </c>
      <c r="J17" s="415" t="s">
        <v>424</v>
      </c>
    </row>
    <row r="18" spans="1:10">
      <c r="A18" s="410" t="s">
        <v>834</v>
      </c>
      <c r="B18" s="235" t="s">
        <v>300</v>
      </c>
      <c r="C18" s="235" t="s">
        <v>809</v>
      </c>
      <c r="D18" s="235" t="s">
        <v>850</v>
      </c>
      <c r="E18" s="235">
        <v>66192844</v>
      </c>
      <c r="F18" s="411" t="s">
        <v>851</v>
      </c>
    </row>
    <row r="19" spans="1:10">
      <c r="A19" s="410" t="s">
        <v>834</v>
      </c>
      <c r="B19" s="235" t="s">
        <v>300</v>
      </c>
      <c r="C19" s="235" t="s">
        <v>812</v>
      </c>
      <c r="D19" s="235" t="s">
        <v>850</v>
      </c>
      <c r="E19" s="235">
        <v>66192844</v>
      </c>
      <c r="F19" s="411" t="s">
        <v>851</v>
      </c>
    </row>
    <row r="20" spans="1:10">
      <c r="A20" s="410" t="s">
        <v>311</v>
      </c>
      <c r="B20" s="235" t="s">
        <v>311</v>
      </c>
      <c r="C20" s="235" t="s">
        <v>809</v>
      </c>
      <c r="D20" s="235" t="s">
        <v>852</v>
      </c>
      <c r="E20" s="235" t="s">
        <v>853</v>
      </c>
      <c r="F20" s="411" t="s">
        <v>854</v>
      </c>
    </row>
    <row r="21" spans="1:10">
      <c r="A21" s="410" t="s">
        <v>311</v>
      </c>
      <c r="B21" s="235" t="s">
        <v>311</v>
      </c>
      <c r="C21" s="235" t="s">
        <v>812</v>
      </c>
      <c r="D21" s="235" t="s">
        <v>852</v>
      </c>
      <c r="E21" s="235" t="s">
        <v>853</v>
      </c>
      <c r="F21" s="411" t="s">
        <v>854</v>
      </c>
    </row>
    <row r="22" spans="1:10">
      <c r="A22" s="410" t="s">
        <v>839</v>
      </c>
      <c r="B22" s="235" t="s">
        <v>321</v>
      </c>
      <c r="C22" s="235" t="s">
        <v>809</v>
      </c>
      <c r="D22" s="235" t="s">
        <v>855</v>
      </c>
      <c r="E22" s="235"/>
      <c r="F22" s="411" t="s">
        <v>856</v>
      </c>
    </row>
    <row r="23" spans="1:10">
      <c r="A23" s="410" t="s">
        <v>839</v>
      </c>
      <c r="B23" s="235" t="s">
        <v>321</v>
      </c>
      <c r="C23" s="235" t="s">
        <v>812</v>
      </c>
      <c r="D23" s="235" t="s">
        <v>857</v>
      </c>
      <c r="E23" s="235"/>
      <c r="F23" s="411" t="s">
        <v>858</v>
      </c>
    </row>
    <row r="24" spans="1:10">
      <c r="A24" s="410" t="s">
        <v>843</v>
      </c>
      <c r="B24" s="235" t="s">
        <v>325</v>
      </c>
      <c r="C24" s="235" t="s">
        <v>809</v>
      </c>
      <c r="D24" s="235" t="s">
        <v>859</v>
      </c>
      <c r="E24" s="226">
        <v>66916763</v>
      </c>
      <c r="F24" s="411" t="s">
        <v>860</v>
      </c>
    </row>
    <row r="25" spans="1:10">
      <c r="A25" s="410" t="s">
        <v>843</v>
      </c>
      <c r="B25" s="235" t="s">
        <v>325</v>
      </c>
      <c r="C25" s="235" t="s">
        <v>812</v>
      </c>
      <c r="D25" s="235" t="s">
        <v>861</v>
      </c>
      <c r="E25" s="226">
        <v>30122124</v>
      </c>
      <c r="F25" s="411" t="s">
        <v>862</v>
      </c>
    </row>
    <row r="26" spans="1:10">
      <c r="A26" s="410" t="s">
        <v>844</v>
      </c>
      <c r="B26" s="235" t="s">
        <v>340</v>
      </c>
      <c r="C26" s="235" t="s">
        <v>809</v>
      </c>
      <c r="D26" s="235" t="s">
        <v>863</v>
      </c>
      <c r="E26" s="228" t="s">
        <v>864</v>
      </c>
      <c r="F26" s="411" t="s">
        <v>865</v>
      </c>
    </row>
    <row r="27" spans="1:10">
      <c r="A27" s="410" t="s">
        <v>844</v>
      </c>
      <c r="B27" s="235" t="s">
        <v>340</v>
      </c>
      <c r="C27" s="235" t="s">
        <v>812</v>
      </c>
      <c r="D27" s="235" t="s">
        <v>866</v>
      </c>
      <c r="E27" s="228">
        <v>33161527</v>
      </c>
      <c r="F27" s="411" t="s">
        <v>867</v>
      </c>
    </row>
    <row r="28" spans="1:10">
      <c r="A28" s="410" t="s">
        <v>845</v>
      </c>
      <c r="B28" s="235" t="s">
        <v>396</v>
      </c>
      <c r="C28" s="235" t="s">
        <v>809</v>
      </c>
      <c r="D28" s="235" t="s">
        <v>868</v>
      </c>
      <c r="E28" s="228">
        <v>31348996</v>
      </c>
      <c r="F28" s="411" t="s">
        <v>869</v>
      </c>
    </row>
    <row r="29" spans="1:10">
      <c r="A29" s="414" t="s">
        <v>845</v>
      </c>
      <c r="B29" s="416" t="s">
        <v>396</v>
      </c>
      <c r="C29" s="416" t="s">
        <v>812</v>
      </c>
      <c r="D29" s="416" t="s">
        <v>870</v>
      </c>
      <c r="E29" s="417">
        <v>55596574</v>
      </c>
      <c r="F29" s="418" t="s">
        <v>871</v>
      </c>
    </row>
    <row r="30" spans="1:10">
      <c r="A30" s="410" t="s">
        <v>848</v>
      </c>
      <c r="B30" s="235" t="s">
        <v>400</v>
      </c>
      <c r="C30" s="235" t="s">
        <v>809</v>
      </c>
      <c r="D30" s="235" t="s">
        <v>872</v>
      </c>
      <c r="E30" s="228">
        <v>33855533</v>
      </c>
      <c r="F30" s="411" t="s">
        <v>873</v>
      </c>
    </row>
    <row r="31" spans="1:10">
      <c r="A31" s="410" t="s">
        <v>848</v>
      </c>
      <c r="B31" s="235" t="s">
        <v>400</v>
      </c>
      <c r="C31" s="416" t="s">
        <v>812</v>
      </c>
      <c r="D31" s="416" t="s">
        <v>874</v>
      </c>
      <c r="E31" s="417">
        <v>33249222</v>
      </c>
      <c r="F31" s="418" t="s">
        <v>875</v>
      </c>
    </row>
    <row r="32" spans="1:10">
      <c r="A32" s="410" t="s">
        <v>849</v>
      </c>
      <c r="B32" s="235" t="s">
        <v>424</v>
      </c>
      <c r="C32" s="235" t="s">
        <v>809</v>
      </c>
      <c r="D32" s="235" t="s">
        <v>876</v>
      </c>
      <c r="E32" s="228" t="s">
        <v>877</v>
      </c>
      <c r="F32" s="411" t="s">
        <v>878</v>
      </c>
    </row>
    <row r="33" spans="1:6">
      <c r="A33" s="410" t="s">
        <v>849</v>
      </c>
      <c r="B33" s="416" t="s">
        <v>424</v>
      </c>
      <c r="C33" s="416" t="s">
        <v>812</v>
      </c>
      <c r="D33" s="416" t="s">
        <v>879</v>
      </c>
      <c r="E33" s="417" t="s">
        <v>880</v>
      </c>
      <c r="F33" s="418" t="s">
        <v>881</v>
      </c>
    </row>
    <row r="34" spans="1:6">
      <c r="A34" s="414" t="s">
        <v>882</v>
      </c>
      <c r="B34" s="416" t="s">
        <v>501</v>
      </c>
      <c r="C34" s="235" t="s">
        <v>809</v>
      </c>
      <c r="D34" s="419" t="s">
        <v>883</v>
      </c>
      <c r="E34" s="410" t="s">
        <v>884</v>
      </c>
      <c r="F34" s="420" t="s">
        <v>885</v>
      </c>
    </row>
    <row r="35" spans="1:6">
      <c r="A35" s="414" t="s">
        <v>882</v>
      </c>
      <c r="B35" s="416" t="s">
        <v>501</v>
      </c>
      <c r="C35" s="416" t="s">
        <v>812</v>
      </c>
      <c r="D35" s="416" t="s">
        <v>886</v>
      </c>
      <c r="E35" s="417"/>
      <c r="F35" s="418"/>
    </row>
    <row r="36" spans="1:6">
      <c r="A36" s="410" t="s">
        <v>887</v>
      </c>
      <c r="B36" s="235" t="s">
        <v>887</v>
      </c>
      <c r="C36" s="235" t="s">
        <v>809</v>
      </c>
      <c r="D36" s="235" t="s">
        <v>888</v>
      </c>
      <c r="E36" s="228"/>
      <c r="F36" s="411"/>
    </row>
    <row r="37" spans="1:6">
      <c r="A37" s="414" t="s">
        <v>887</v>
      </c>
      <c r="B37" s="416" t="s">
        <v>887</v>
      </c>
      <c r="C37" s="416" t="s">
        <v>812</v>
      </c>
      <c r="D37" s="416" t="s">
        <v>889</v>
      </c>
      <c r="E37" s="417"/>
      <c r="F37" s="418"/>
    </row>
  </sheetData>
  <conditionalFormatting sqref="D30:F31">
    <cfRule type="containsBlanks" dxfId="105" priority="3">
      <formula>LEN(TRIM(D30))=0</formula>
    </cfRule>
  </conditionalFormatting>
  <conditionalFormatting sqref="D34:F34">
    <cfRule type="containsBlanks" dxfId="104" priority="2">
      <formula>LEN(TRIM(D34))=0</formula>
    </cfRule>
  </conditionalFormatting>
  <conditionalFormatting sqref="D36:F36">
    <cfRule type="containsBlanks" dxfId="103" priority="1">
      <formula>LEN(TRIM(D36))=0</formula>
    </cfRule>
  </conditionalFormatting>
  <hyperlinks>
    <hyperlink ref="F2" r:id="rId1" xr:uid="{A7B4B7E1-4007-41F3-A10A-7B7C5F3E65A7}"/>
    <hyperlink ref="F3" r:id="rId2" xr:uid="{0BA7F975-F91B-4746-92FE-13AC47337E18}"/>
    <hyperlink ref="G4" r:id="rId3" display="g.nievas@loc.qa" xr:uid="{F4A61B64-C476-49C3-9E82-196E88E547EF}"/>
    <hyperlink ref="F4" r:id="rId4" xr:uid="{947A7C35-5416-40F6-B558-ACC56CE52C2C}"/>
    <hyperlink ref="F6" r:id="rId5" xr:uid="{8F2873FF-8FF0-43DF-8C08-2FB7CD4536D4}"/>
    <hyperlink ref="F7" r:id="rId6" xr:uid="{7E52F9A8-23E8-428F-945C-58FA2A397909}"/>
    <hyperlink ref="F8" r:id="rId7" xr:uid="{C99AF56F-36B4-4B23-9776-02AD873458C3}"/>
    <hyperlink ref="F9" r:id="rId8" xr:uid="{4E4151E8-BC1E-4B23-8F2F-CD24E422E7F5}"/>
    <hyperlink ref="F11" r:id="rId9" xr:uid="{72D13F16-ED40-4E2D-B09B-A21871275734}"/>
    <hyperlink ref="F10" r:id="rId10" xr:uid="{78E94F23-97CE-474D-A7EB-DB255F6F30E6}"/>
    <hyperlink ref="F12" r:id="rId11" xr:uid="{CEB9690F-A775-418E-800B-8A556974AD96}"/>
    <hyperlink ref="F13" r:id="rId12" xr:uid="{E3B24B6C-A666-4242-8B0F-05DCD2739A9A}"/>
    <hyperlink ref="F16" r:id="rId13" xr:uid="{4F0F0CC7-FE28-4C36-A774-5198EB0ABE30}"/>
    <hyperlink ref="F17" r:id="rId14" xr:uid="{A2C8B627-E909-4535-BE66-14FE46ED58C0}"/>
    <hyperlink ref="F18" r:id="rId15" xr:uid="{9EA1973D-7033-411D-9DB0-9BA7C66B0DEC}"/>
    <hyperlink ref="F19" r:id="rId16" xr:uid="{096883AB-F9D4-4F06-B867-00A07A510DEF}"/>
    <hyperlink ref="F20" r:id="rId17" xr:uid="{1315185A-4285-45CC-B9F1-669CA4751D70}"/>
    <hyperlink ref="F21" r:id="rId18" xr:uid="{8AA11ABE-88D3-41D5-8CB6-B6D418035B20}"/>
    <hyperlink ref="F23" r:id="rId19" xr:uid="{D245ADDC-D760-4BCE-A3B1-DC69397D8AC1}"/>
    <hyperlink ref="F22" r:id="rId20" xr:uid="{FFA3F221-03DE-4B76-B195-FEAFFF8B64B0}"/>
    <hyperlink ref="F25" r:id="rId21" xr:uid="{DC588F9A-77B2-4AE6-A369-D096B7F1D824}"/>
    <hyperlink ref="F24" r:id="rId22" xr:uid="{42EA389D-1A5C-4DD9-B9DF-2CDAE25959A1}"/>
    <hyperlink ref="F26" r:id="rId23" xr:uid="{A8654B7F-2E09-4BCA-A583-836C653BF948}"/>
    <hyperlink ref="F27" r:id="rId24" xr:uid="{F096182B-C582-48CD-A0E2-4841EC0AD521}"/>
    <hyperlink ref="F28" r:id="rId25" xr:uid="{554C6090-BA6C-49CF-AFE9-2DA77B2638B3}"/>
    <hyperlink ref="F29" r:id="rId26" xr:uid="{5E314F30-205E-42E5-A279-1552AEFB1AEB}"/>
    <hyperlink ref="F30" r:id="rId27" xr:uid="{E84844F7-3D72-404B-B355-E83D6F675BE0}"/>
    <hyperlink ref="F31" r:id="rId28" xr:uid="{100BBE52-B19E-49F7-A663-704B9D25BDFC}"/>
    <hyperlink ref="F34" r:id="rId29" xr:uid="{3C224D31-B730-49DE-9350-9D48D1FF10EB}"/>
  </hyperlinks>
  <pageMargins left="0.7" right="0.7" top="0.75" bottom="0.75" header="0.3" footer="0.3"/>
  <pageSetup paperSize="9" orientation="portrait" r:id="rId30"/>
  <headerFooter>
    <oddHeader>&amp;L&amp;"Calibri"&amp;12&amp;K008000 SC Classification:GENERAL BUSINESS\Other General Business&amp;1#_x000D_</oddHeader>
  </headerFooter>
  <tableParts count="2">
    <tablePart r:id="rId31"/>
    <tablePart r:id="rId3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7D4D1-EF19-4965-9D9A-0974486CB5F7}">
  <sheetPr codeName="Sheet9">
    <tabColor theme="5" tint="-0.249977111117893"/>
    <pageSetUpPr fitToPage="1"/>
  </sheetPr>
  <dimension ref="B1:F46"/>
  <sheetViews>
    <sheetView zoomScale="70" zoomScaleNormal="70" workbookViewId="0">
      <selection activeCell="B37" sqref="B37:E37"/>
    </sheetView>
  </sheetViews>
  <sheetFormatPr defaultColWidth="8.6640625" defaultRowHeight="14.4"/>
  <cols>
    <col min="1" max="1" width="3.44140625" customWidth="1"/>
    <col min="2" max="2" width="38.44140625" style="37" bestFit="1" customWidth="1"/>
    <col min="3" max="3" width="24" style="37" customWidth="1"/>
    <col min="4" max="4" width="99.44140625" customWidth="1"/>
    <col min="5" max="5" width="20.44140625" style="37" customWidth="1"/>
    <col min="6" max="6" width="16.44140625" style="37" customWidth="1"/>
    <col min="7" max="7" width="10.6640625" customWidth="1"/>
    <col min="9" max="9" width="17.44140625" bestFit="1" customWidth="1"/>
  </cols>
  <sheetData>
    <row r="1" spans="2:6" ht="35.25" customHeight="1">
      <c r="D1" s="246" t="s">
        <v>890</v>
      </c>
    </row>
    <row r="2" spans="2:6" s="1" customFormat="1">
      <c r="B2" s="106" t="s">
        <v>891</v>
      </c>
      <c r="C2" s="106" t="s">
        <v>809</v>
      </c>
      <c r="D2" s="107" t="s">
        <v>892</v>
      </c>
      <c r="E2" s="108" t="s">
        <v>893</v>
      </c>
      <c r="F2" s="109" t="s">
        <v>168</v>
      </c>
    </row>
    <row r="3" spans="2:6" ht="43.2">
      <c r="B3" s="298" t="s">
        <v>894</v>
      </c>
      <c r="C3" s="280" t="s">
        <v>895</v>
      </c>
      <c r="D3" s="281" t="s">
        <v>896</v>
      </c>
      <c r="E3" s="278"/>
    </row>
    <row r="4" spans="2:6" ht="43.5" customHeight="1">
      <c r="B4" s="298" t="s">
        <v>843</v>
      </c>
      <c r="C4" s="280" t="s">
        <v>897</v>
      </c>
      <c r="D4" s="281" t="s">
        <v>896</v>
      </c>
      <c r="E4" s="278"/>
    </row>
    <row r="5" spans="2:6" ht="63.75" customHeight="1">
      <c r="B5" s="287" t="s">
        <v>898</v>
      </c>
      <c r="C5" s="283" t="s">
        <v>899</v>
      </c>
      <c r="D5" s="281" t="s">
        <v>900</v>
      </c>
      <c r="E5" s="278" t="s">
        <v>901</v>
      </c>
    </row>
    <row r="6" spans="2:6" ht="45" customHeight="1">
      <c r="B6" s="286" t="s">
        <v>813</v>
      </c>
      <c r="C6" s="283" t="s">
        <v>902</v>
      </c>
      <c r="D6" s="281" t="s">
        <v>903</v>
      </c>
      <c r="E6" s="278" t="s">
        <v>901</v>
      </c>
    </row>
    <row r="7" spans="2:6" ht="43.2">
      <c r="B7" s="286" t="s">
        <v>904</v>
      </c>
      <c r="C7" s="283" t="s">
        <v>905</v>
      </c>
      <c r="D7" s="284" t="s">
        <v>906</v>
      </c>
      <c r="E7" s="278" t="s">
        <v>907</v>
      </c>
      <c r="F7" s="37">
        <v>17.03</v>
      </c>
    </row>
    <row r="8" spans="2:6" ht="43.2">
      <c r="B8" s="291" t="s">
        <v>908</v>
      </c>
      <c r="C8" s="280" t="s">
        <v>909</v>
      </c>
      <c r="D8" s="284" t="s">
        <v>910</v>
      </c>
      <c r="E8" s="278"/>
      <c r="F8" s="37">
        <v>18.03</v>
      </c>
    </row>
    <row r="9" spans="2:6" ht="43.2">
      <c r="B9" s="287" t="s">
        <v>911</v>
      </c>
      <c r="C9" s="294" t="s">
        <v>912</v>
      </c>
      <c r="D9" s="284" t="s">
        <v>913</v>
      </c>
      <c r="E9" s="278"/>
      <c r="F9" s="37">
        <v>18.03</v>
      </c>
    </row>
    <row r="10" spans="2:6" ht="43.2">
      <c r="B10" s="287" t="s">
        <v>914</v>
      </c>
      <c r="C10" s="293" t="s">
        <v>915</v>
      </c>
      <c r="D10" s="281"/>
      <c r="E10" s="278"/>
      <c r="F10" s="37">
        <v>17.03</v>
      </c>
    </row>
    <row r="11" spans="2:6" ht="43.2">
      <c r="B11" s="287" t="s">
        <v>916</v>
      </c>
      <c r="C11" s="283" t="s">
        <v>917</v>
      </c>
      <c r="D11" s="281"/>
      <c r="E11" s="278"/>
      <c r="F11" s="37">
        <v>17.03</v>
      </c>
    </row>
    <row r="12" spans="2:6" ht="43.2">
      <c r="B12" s="287" t="s">
        <v>918</v>
      </c>
      <c r="C12" s="283" t="s">
        <v>919</v>
      </c>
      <c r="D12" s="281"/>
      <c r="E12" s="278"/>
      <c r="F12" s="37">
        <v>17.03</v>
      </c>
    </row>
    <row r="13" spans="2:6" ht="43.2">
      <c r="B13" s="287" t="s">
        <v>920</v>
      </c>
      <c r="C13" s="280" t="s">
        <v>921</v>
      </c>
      <c r="D13" s="281"/>
      <c r="E13" s="278"/>
      <c r="F13" s="282">
        <v>14.03</v>
      </c>
    </row>
    <row r="14" spans="2:6" ht="57.6">
      <c r="B14" s="288" t="s">
        <v>922</v>
      </c>
      <c r="C14" s="248" t="s">
        <v>923</v>
      </c>
      <c r="E14" s="247" t="s">
        <v>901</v>
      </c>
    </row>
    <row r="15" spans="2:6" ht="43.2">
      <c r="B15" s="298" t="s">
        <v>924</v>
      </c>
      <c r="C15" s="280" t="s">
        <v>925</v>
      </c>
      <c r="D15" s="455" t="s">
        <v>926</v>
      </c>
      <c r="E15" s="278"/>
      <c r="F15" s="37">
        <v>1.04</v>
      </c>
    </row>
    <row r="16" spans="2:6" ht="43.2">
      <c r="B16" s="298" t="s">
        <v>927</v>
      </c>
      <c r="C16" s="280" t="s">
        <v>928</v>
      </c>
      <c r="D16" s="456"/>
      <c r="E16" s="278" t="s">
        <v>901</v>
      </c>
      <c r="F16" s="37">
        <v>1.04</v>
      </c>
    </row>
    <row r="17" spans="2:6" ht="43.2">
      <c r="B17" s="287" t="s">
        <v>929</v>
      </c>
      <c r="C17" s="280" t="s">
        <v>930</v>
      </c>
      <c r="D17" s="283" t="s">
        <v>931</v>
      </c>
      <c r="E17" s="278"/>
      <c r="F17" s="37">
        <v>17.03</v>
      </c>
    </row>
    <row r="18" spans="2:6" ht="43.2">
      <c r="B18" s="287" t="s">
        <v>932</v>
      </c>
      <c r="C18" s="283" t="s">
        <v>933</v>
      </c>
      <c r="D18" s="281" t="s">
        <v>934</v>
      </c>
      <c r="E18" s="278" t="s">
        <v>901</v>
      </c>
    </row>
    <row r="19" spans="2:6" ht="43.2">
      <c r="B19" s="287" t="s">
        <v>935</v>
      </c>
      <c r="C19" s="283" t="s">
        <v>936</v>
      </c>
      <c r="D19" s="284" t="s">
        <v>937</v>
      </c>
      <c r="E19" s="278"/>
      <c r="F19" s="37">
        <v>1.04</v>
      </c>
    </row>
    <row r="20" spans="2:6" ht="43.2">
      <c r="B20" s="287" t="s">
        <v>938</v>
      </c>
      <c r="C20" s="280" t="s">
        <v>939</v>
      </c>
      <c r="D20" s="284"/>
      <c r="E20" s="278"/>
    </row>
    <row r="21" spans="2:6" ht="43.2">
      <c r="B21" s="287" t="s">
        <v>940</v>
      </c>
      <c r="C21" s="293" t="s">
        <v>941</v>
      </c>
      <c r="D21" s="285"/>
      <c r="E21" s="278"/>
      <c r="F21" s="37">
        <v>17.03</v>
      </c>
    </row>
    <row r="22" spans="2:6" ht="43.2">
      <c r="B22" s="287" t="s">
        <v>942</v>
      </c>
      <c r="C22" s="280" t="s">
        <v>943</v>
      </c>
      <c r="D22" s="284" t="s">
        <v>944</v>
      </c>
      <c r="E22" s="278"/>
      <c r="F22" s="37">
        <v>14.03</v>
      </c>
    </row>
    <row r="23" spans="2:6" ht="43.2">
      <c r="B23" s="289" t="s">
        <v>945</v>
      </c>
      <c r="C23" s="283" t="s">
        <v>946</v>
      </c>
      <c r="D23" s="284"/>
      <c r="E23" s="278"/>
    </row>
    <row r="24" spans="2:6" ht="57.6">
      <c r="B24" s="290" t="s">
        <v>947</v>
      </c>
      <c r="C24" s="248" t="s">
        <v>948</v>
      </c>
      <c r="E24" s="247"/>
    </row>
    <row r="25" spans="2:6" ht="43.2">
      <c r="B25" s="287" t="s">
        <v>949</v>
      </c>
      <c r="C25" s="283" t="s">
        <v>950</v>
      </c>
      <c r="D25" s="283" t="s">
        <v>951</v>
      </c>
      <c r="E25" s="278"/>
    </row>
    <row r="26" spans="2:6" ht="43.2">
      <c r="B26" s="291" t="s">
        <v>952</v>
      </c>
      <c r="C26" s="283" t="s">
        <v>953</v>
      </c>
      <c r="D26" s="284"/>
      <c r="E26" s="278"/>
      <c r="F26" s="37">
        <v>17.03</v>
      </c>
    </row>
    <row r="27" spans="2:6" ht="43.2">
      <c r="B27" s="291" t="s">
        <v>954</v>
      </c>
      <c r="C27" s="283" t="s">
        <v>955</v>
      </c>
      <c r="D27" s="284"/>
      <c r="E27" s="278"/>
      <c r="F27" s="37">
        <v>17.03</v>
      </c>
    </row>
    <row r="28" spans="2:6" ht="43.2">
      <c r="B28" s="291" t="s">
        <v>708</v>
      </c>
      <c r="C28" s="280" t="s">
        <v>956</v>
      </c>
      <c r="D28" s="281" t="s">
        <v>957</v>
      </c>
      <c r="E28" s="278"/>
      <c r="F28" s="37">
        <v>18.03</v>
      </c>
    </row>
    <row r="29" spans="2:6" ht="43.2">
      <c r="B29" s="291" t="s">
        <v>958</v>
      </c>
      <c r="C29" s="280" t="s">
        <v>959</v>
      </c>
      <c r="D29" s="284"/>
      <c r="E29" s="278"/>
    </row>
    <row r="30" spans="2:6" ht="43.2">
      <c r="B30" s="291" t="s">
        <v>960</v>
      </c>
      <c r="C30" s="283" t="s">
        <v>961</v>
      </c>
      <c r="D30" s="284" t="s">
        <v>962</v>
      </c>
      <c r="E30" s="279" t="s">
        <v>963</v>
      </c>
    </row>
    <row r="31" spans="2:6" ht="72">
      <c r="B31" s="291" t="s">
        <v>964</v>
      </c>
      <c r="C31" s="283" t="s">
        <v>965</v>
      </c>
      <c r="D31" s="284"/>
      <c r="E31" s="279" t="s">
        <v>966</v>
      </c>
    </row>
    <row r="32" spans="2:6" ht="43.2">
      <c r="B32" s="291" t="s">
        <v>967</v>
      </c>
      <c r="C32" s="283" t="s">
        <v>968</v>
      </c>
      <c r="D32" s="285" t="s">
        <v>969</v>
      </c>
      <c r="E32" s="279"/>
      <c r="F32" s="37">
        <v>17.03</v>
      </c>
    </row>
    <row r="33" spans="2:6" ht="43.2">
      <c r="B33" s="291" t="s">
        <v>970</v>
      </c>
      <c r="C33" s="283" t="s">
        <v>971</v>
      </c>
      <c r="D33" s="281"/>
      <c r="E33" s="278" t="s">
        <v>901</v>
      </c>
      <c r="F33" s="37">
        <v>17.03</v>
      </c>
    </row>
    <row r="34" spans="2:6" ht="43.2">
      <c r="B34" s="291" t="s">
        <v>513</v>
      </c>
      <c r="C34" s="283" t="s">
        <v>972</v>
      </c>
      <c r="D34" s="283" t="s">
        <v>973</v>
      </c>
      <c r="E34" s="278"/>
      <c r="F34" s="250">
        <v>17.03</v>
      </c>
    </row>
    <row r="35" spans="2:6" ht="43.2">
      <c r="B35" s="291" t="s">
        <v>974</v>
      </c>
      <c r="C35" s="283" t="s">
        <v>975</v>
      </c>
      <c r="D35" s="284"/>
      <c r="E35" s="278" t="s">
        <v>901</v>
      </c>
      <c r="F35" s="37">
        <v>17.03</v>
      </c>
    </row>
    <row r="36" spans="2:6" ht="43.2">
      <c r="B36" s="295" t="s">
        <v>603</v>
      </c>
      <c r="C36" s="248" t="s">
        <v>976</v>
      </c>
      <c r="D36" s="296" t="s">
        <v>977</v>
      </c>
      <c r="E36" s="297"/>
      <c r="F36" s="37">
        <v>4.04</v>
      </c>
    </row>
    <row r="37" spans="2:6" ht="43.2">
      <c r="B37" s="291" t="s">
        <v>978</v>
      </c>
      <c r="C37" s="280" t="s">
        <v>979</v>
      </c>
      <c r="D37" s="285"/>
      <c r="E37" s="278"/>
      <c r="F37" s="37">
        <v>9.09</v>
      </c>
    </row>
    <row r="38" spans="2:6">
      <c r="B38" s="291" t="s">
        <v>849</v>
      </c>
      <c r="C38" s="293" t="s">
        <v>980</v>
      </c>
      <c r="D38" s="281" t="s">
        <v>981</v>
      </c>
      <c r="E38" s="278"/>
    </row>
    <row r="39" spans="2:6" ht="43.2">
      <c r="B39" s="291" t="s">
        <v>982</v>
      </c>
      <c r="C39" s="283" t="s">
        <v>983</v>
      </c>
      <c r="D39" s="283" t="s">
        <v>984</v>
      </c>
      <c r="E39" s="278"/>
      <c r="F39" s="37">
        <v>17.03</v>
      </c>
    </row>
    <row r="40" spans="2:6" ht="43.2">
      <c r="B40" s="291" t="s">
        <v>985</v>
      </c>
      <c r="C40" s="280" t="s">
        <v>986</v>
      </c>
      <c r="D40" s="281"/>
      <c r="E40" s="278"/>
      <c r="F40" s="37">
        <v>17.03</v>
      </c>
    </row>
    <row r="41" spans="2:6" ht="57.6">
      <c r="B41" s="291" t="s">
        <v>839</v>
      </c>
      <c r="C41" s="283" t="s">
        <v>987</v>
      </c>
      <c r="D41" s="281"/>
      <c r="E41" s="278"/>
      <c r="F41" s="37">
        <v>17.03</v>
      </c>
    </row>
    <row r="42" spans="2:6" ht="43.2">
      <c r="B42" s="291" t="s">
        <v>988</v>
      </c>
      <c r="C42" s="283" t="s">
        <v>989</v>
      </c>
      <c r="D42" s="284" t="s">
        <v>990</v>
      </c>
      <c r="E42" s="278"/>
      <c r="F42" s="37">
        <v>28.03</v>
      </c>
    </row>
    <row r="43" spans="2:6" ht="57.6">
      <c r="B43" s="291" t="s">
        <v>991</v>
      </c>
      <c r="C43" s="280" t="s">
        <v>992</v>
      </c>
      <c r="D43" s="280" t="s">
        <v>993</v>
      </c>
      <c r="E43" s="278"/>
      <c r="F43" s="37">
        <v>17.03</v>
      </c>
    </row>
    <row r="44" spans="2:6" ht="43.2">
      <c r="B44" s="290" t="s">
        <v>994</v>
      </c>
      <c r="C44" s="266" t="s">
        <v>995</v>
      </c>
      <c r="D44" t="s">
        <v>606</v>
      </c>
      <c r="E44" s="247" t="s">
        <v>996</v>
      </c>
      <c r="F44" s="37">
        <v>17.03</v>
      </c>
    </row>
    <row r="45" spans="2:6" ht="57.6">
      <c r="B45" s="292" t="s">
        <v>997</v>
      </c>
      <c r="C45" s="283" t="s">
        <v>998</v>
      </c>
      <c r="D45" s="284"/>
      <c r="E45" s="278"/>
      <c r="F45" s="37">
        <v>17.03</v>
      </c>
    </row>
    <row r="46" spans="2:6" ht="43.2">
      <c r="B46" s="291" t="s">
        <v>999</v>
      </c>
      <c r="C46" s="283" t="s">
        <v>1000</v>
      </c>
      <c r="D46" s="284" t="s">
        <v>1001</v>
      </c>
      <c r="E46" s="278"/>
      <c r="F46" s="37">
        <v>18.03</v>
      </c>
    </row>
  </sheetData>
  <autoFilter ref="B2:F46" xr:uid="{4167D4D1-EF19-4965-9D9A-0974486CB5F7}"/>
  <mergeCells count="1">
    <mergeCell ref="D15:D16"/>
  </mergeCells>
  <pageMargins left="0.7" right="0.7" top="0.75" bottom="0.75" header="0.3" footer="0.3"/>
  <pageSetup paperSize="9" scale="43" fitToHeight="0" orientation="portrait" r:id="rId1"/>
  <headerFooter>
    <oddHeader>&amp;L&amp;"Calibri"&amp;12&amp;K008000 SC Classification:GENERAL BUSINESS\Other General Business&amp;1#_x000D_</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A0DCC-8E02-4B56-B20F-CDB1E23643C6}">
  <sheetPr>
    <tabColor theme="5" tint="-0.249977111117893"/>
  </sheetPr>
  <dimension ref="A3:D55"/>
  <sheetViews>
    <sheetView zoomScaleNormal="100" workbookViewId="0">
      <selection activeCell="A13" sqref="A13"/>
    </sheetView>
  </sheetViews>
  <sheetFormatPr defaultColWidth="8.6640625" defaultRowHeight="14.4"/>
  <cols>
    <col min="1" max="1" width="48.21875" bestFit="1" customWidth="1"/>
    <col min="2" max="2" width="20.21875" bestFit="1" customWidth="1"/>
    <col min="3" max="3" width="6.33203125" bestFit="1" customWidth="1"/>
    <col min="4" max="4" width="10.77734375" bestFit="1" customWidth="1"/>
    <col min="5" max="6" width="11.6640625" bestFit="1" customWidth="1"/>
    <col min="7" max="7" width="17.33203125" bestFit="1" customWidth="1"/>
    <col min="8" max="8" width="20.33203125" bestFit="1" customWidth="1"/>
    <col min="9" max="9" width="6.33203125" bestFit="1" customWidth="1"/>
    <col min="11" max="11" width="20.33203125" bestFit="1" customWidth="1"/>
    <col min="12" max="12" width="6.33203125" bestFit="1" customWidth="1"/>
    <col min="13" max="13" width="13.6640625" bestFit="1" customWidth="1"/>
    <col min="14" max="14" width="6.44140625" bestFit="1" customWidth="1"/>
    <col min="15" max="15" width="9.44140625" bestFit="1" customWidth="1"/>
    <col min="16" max="16" width="20.33203125" bestFit="1" customWidth="1"/>
    <col min="17" max="17" width="6.33203125" bestFit="1" customWidth="1"/>
    <col min="18" max="18" width="13.6640625" bestFit="1" customWidth="1"/>
    <col min="19" max="19" width="20.33203125" bestFit="1" customWidth="1"/>
    <col min="20" max="20" width="6.33203125" bestFit="1" customWidth="1"/>
    <col min="21" max="21" width="22.6640625" bestFit="1" customWidth="1"/>
    <col min="22" max="22" width="20.33203125" bestFit="1" customWidth="1"/>
    <col min="23" max="23" width="23.44140625" bestFit="1" customWidth="1"/>
    <col min="24" max="24" width="20.44140625" bestFit="1" customWidth="1"/>
    <col min="25" max="25" width="23.44140625" bestFit="1" customWidth="1"/>
    <col min="26" max="26" width="20.44140625" bestFit="1" customWidth="1"/>
    <col min="27" max="27" width="23.44140625" bestFit="1" customWidth="1"/>
    <col min="28" max="28" width="20.44140625" bestFit="1" customWidth="1"/>
    <col min="29" max="29" width="23.44140625" bestFit="1" customWidth="1"/>
    <col min="30" max="30" width="20.44140625" bestFit="1" customWidth="1"/>
    <col min="31" max="31" width="23.44140625" bestFit="1" customWidth="1"/>
    <col min="32" max="32" width="17.44140625" bestFit="1" customWidth="1"/>
    <col min="33" max="33" width="20.44140625" bestFit="1" customWidth="1"/>
    <col min="34" max="34" width="17.44140625" bestFit="1" customWidth="1"/>
    <col min="35" max="35" width="20.44140625" bestFit="1" customWidth="1"/>
    <col min="36" max="36" width="17.44140625" bestFit="1" customWidth="1"/>
    <col min="37" max="38" width="20.44140625" bestFit="1" customWidth="1"/>
    <col min="39" max="39" width="23.6640625" bestFit="1" customWidth="1"/>
    <col min="40" max="40" width="10.44140625" bestFit="1" customWidth="1"/>
  </cols>
  <sheetData>
    <row r="3" spans="1:4">
      <c r="A3" s="182" t="s">
        <v>75</v>
      </c>
      <c r="B3" t="s">
        <v>663</v>
      </c>
    </row>
    <row r="5" spans="1:4">
      <c r="A5" s="182" t="s">
        <v>762</v>
      </c>
      <c r="B5" s="182" t="s">
        <v>763</v>
      </c>
    </row>
    <row r="6" spans="1:4">
      <c r="A6" s="182" t="s">
        <v>764</v>
      </c>
      <c r="B6" t="s">
        <v>539</v>
      </c>
      <c r="C6" t="s">
        <v>511</v>
      </c>
      <c r="D6" t="s">
        <v>768</v>
      </c>
    </row>
    <row r="7" spans="1:4">
      <c r="A7" s="237" t="s">
        <v>149</v>
      </c>
      <c r="B7">
        <v>13</v>
      </c>
      <c r="C7">
        <v>69</v>
      </c>
      <c r="D7">
        <v>82</v>
      </c>
    </row>
    <row r="8" spans="1:4">
      <c r="A8" s="43" t="s">
        <v>661</v>
      </c>
      <c r="B8">
        <v>13</v>
      </c>
      <c r="C8">
        <v>65</v>
      </c>
      <c r="D8">
        <v>78</v>
      </c>
    </row>
    <row r="9" spans="1:4">
      <c r="A9" s="424" t="s">
        <v>662</v>
      </c>
      <c r="C9">
        <v>7</v>
      </c>
      <c r="D9">
        <v>7</v>
      </c>
    </row>
    <row r="10" spans="1:4">
      <c r="A10" s="425" t="s">
        <v>1012</v>
      </c>
      <c r="C10">
        <v>1</v>
      </c>
      <c r="D10">
        <v>1</v>
      </c>
    </row>
    <row r="11" spans="1:4">
      <c r="A11" s="425" t="s">
        <v>236</v>
      </c>
      <c r="C11">
        <v>1</v>
      </c>
      <c r="D11">
        <v>1</v>
      </c>
    </row>
    <row r="12" spans="1:4">
      <c r="A12" s="425" t="s">
        <v>1010</v>
      </c>
      <c r="C12">
        <v>1</v>
      </c>
      <c r="D12">
        <v>1</v>
      </c>
    </row>
    <row r="13" spans="1:4">
      <c r="A13" s="425" t="s">
        <v>1004</v>
      </c>
      <c r="C13">
        <v>2</v>
      </c>
      <c r="D13">
        <v>2</v>
      </c>
    </row>
    <row r="14" spans="1:4">
      <c r="A14" s="425" t="s">
        <v>1032</v>
      </c>
      <c r="C14">
        <v>1</v>
      </c>
      <c r="D14">
        <v>1</v>
      </c>
    </row>
    <row r="15" spans="1:4">
      <c r="A15" s="425" t="s">
        <v>1019</v>
      </c>
      <c r="C15">
        <v>1</v>
      </c>
      <c r="D15">
        <v>1</v>
      </c>
    </row>
    <row r="16" spans="1:4">
      <c r="A16" s="424" t="s">
        <v>667</v>
      </c>
      <c r="C16">
        <v>8</v>
      </c>
      <c r="D16">
        <v>8</v>
      </c>
    </row>
    <row r="17" spans="1:4">
      <c r="A17" s="425" t="s">
        <v>1003</v>
      </c>
      <c r="C17">
        <v>1</v>
      </c>
      <c r="D17">
        <v>1</v>
      </c>
    </row>
    <row r="18" spans="1:4">
      <c r="A18" s="425" t="s">
        <v>236</v>
      </c>
      <c r="C18">
        <v>2</v>
      </c>
      <c r="D18">
        <v>2</v>
      </c>
    </row>
    <row r="19" spans="1:4">
      <c r="A19" s="425" t="s">
        <v>1010</v>
      </c>
      <c r="C19">
        <v>2</v>
      </c>
      <c r="D19">
        <v>2</v>
      </c>
    </row>
    <row r="20" spans="1:4">
      <c r="A20" s="425" t="s">
        <v>1009</v>
      </c>
      <c r="C20">
        <v>2</v>
      </c>
      <c r="D20">
        <v>2</v>
      </c>
    </row>
    <row r="21" spans="1:4">
      <c r="A21" s="425" t="s">
        <v>1019</v>
      </c>
      <c r="C21">
        <v>1</v>
      </c>
      <c r="D21">
        <v>1</v>
      </c>
    </row>
    <row r="22" spans="1:4">
      <c r="A22" s="424" t="s">
        <v>671</v>
      </c>
      <c r="C22">
        <v>5</v>
      </c>
      <c r="D22">
        <v>5</v>
      </c>
    </row>
    <row r="23" spans="1:4">
      <c r="A23" s="425" t="s">
        <v>236</v>
      </c>
      <c r="C23">
        <v>2</v>
      </c>
      <c r="D23">
        <v>2</v>
      </c>
    </row>
    <row r="24" spans="1:4">
      <c r="A24" s="425" t="s">
        <v>1010</v>
      </c>
      <c r="C24">
        <v>2</v>
      </c>
      <c r="D24">
        <v>2</v>
      </c>
    </row>
    <row r="25" spans="1:4">
      <c r="A25" s="425" t="s">
        <v>1019</v>
      </c>
      <c r="C25">
        <v>1</v>
      </c>
      <c r="D25">
        <v>1</v>
      </c>
    </row>
    <row r="26" spans="1:4">
      <c r="A26" s="424" t="s">
        <v>666</v>
      </c>
      <c r="C26">
        <v>5</v>
      </c>
      <c r="D26">
        <v>5</v>
      </c>
    </row>
    <row r="27" spans="1:4">
      <c r="A27" s="425" t="s">
        <v>236</v>
      </c>
      <c r="C27">
        <v>1</v>
      </c>
      <c r="D27">
        <v>1</v>
      </c>
    </row>
    <row r="28" spans="1:4">
      <c r="A28" s="425" t="s">
        <v>1010</v>
      </c>
      <c r="C28">
        <v>1</v>
      </c>
      <c r="D28">
        <v>1</v>
      </c>
    </row>
    <row r="29" spans="1:4">
      <c r="A29" s="425" t="s">
        <v>1009</v>
      </c>
      <c r="C29">
        <v>2</v>
      </c>
      <c r="D29">
        <v>2</v>
      </c>
    </row>
    <row r="30" spans="1:4">
      <c r="A30" s="425" t="s">
        <v>1019</v>
      </c>
      <c r="C30">
        <v>1</v>
      </c>
      <c r="D30">
        <v>1</v>
      </c>
    </row>
    <row r="31" spans="1:4">
      <c r="A31" s="424" t="s">
        <v>665</v>
      </c>
      <c r="C31">
        <v>8</v>
      </c>
      <c r="D31">
        <v>8</v>
      </c>
    </row>
    <row r="32" spans="1:4">
      <c r="A32" s="425" t="s">
        <v>1017</v>
      </c>
      <c r="C32">
        <v>1</v>
      </c>
      <c r="D32">
        <v>1</v>
      </c>
    </row>
    <row r="33" spans="1:4">
      <c r="A33" s="425" t="s">
        <v>236</v>
      </c>
      <c r="C33">
        <v>2</v>
      </c>
      <c r="D33">
        <v>2</v>
      </c>
    </row>
    <row r="34" spans="1:4">
      <c r="A34" s="425" t="s">
        <v>1010</v>
      </c>
      <c r="C34">
        <v>2</v>
      </c>
      <c r="D34">
        <v>2</v>
      </c>
    </row>
    <row r="35" spans="1:4">
      <c r="A35" s="425" t="s">
        <v>1009</v>
      </c>
      <c r="C35">
        <v>2</v>
      </c>
      <c r="D35">
        <v>2</v>
      </c>
    </row>
    <row r="36" spans="1:4">
      <c r="A36" s="425" t="s">
        <v>1019</v>
      </c>
      <c r="C36">
        <v>1</v>
      </c>
      <c r="D36">
        <v>1</v>
      </c>
    </row>
    <row r="37" spans="1:4">
      <c r="A37" s="424" t="s">
        <v>661</v>
      </c>
      <c r="B37">
        <v>13</v>
      </c>
      <c r="C37">
        <v>1</v>
      </c>
      <c r="D37">
        <v>14</v>
      </c>
    </row>
    <row r="38" spans="1:4">
      <c r="A38" s="425" t="s">
        <v>1007</v>
      </c>
      <c r="B38">
        <v>3</v>
      </c>
      <c r="D38">
        <v>3</v>
      </c>
    </row>
    <row r="39" spans="1:4">
      <c r="A39" s="425" t="s">
        <v>1023</v>
      </c>
      <c r="B39">
        <v>10</v>
      </c>
      <c r="D39">
        <v>10</v>
      </c>
    </row>
    <row r="40" spans="1:4">
      <c r="A40" s="425" t="s">
        <v>1019</v>
      </c>
      <c r="C40">
        <v>1</v>
      </c>
      <c r="D40">
        <v>1</v>
      </c>
    </row>
    <row r="41" spans="1:4">
      <c r="A41" s="424" t="s">
        <v>664</v>
      </c>
      <c r="C41">
        <v>31</v>
      </c>
      <c r="D41">
        <v>31</v>
      </c>
    </row>
    <row r="42" spans="1:4">
      <c r="A42" s="425" t="s">
        <v>1003</v>
      </c>
      <c r="C42">
        <v>1</v>
      </c>
      <c r="D42">
        <v>1</v>
      </c>
    </row>
    <row r="43" spans="1:4">
      <c r="A43" s="425" t="s">
        <v>1026</v>
      </c>
      <c r="C43">
        <v>20</v>
      </c>
      <c r="D43">
        <v>20</v>
      </c>
    </row>
    <row r="44" spans="1:4">
      <c r="A44" s="425" t="s">
        <v>236</v>
      </c>
      <c r="C44">
        <v>2</v>
      </c>
      <c r="D44">
        <v>2</v>
      </c>
    </row>
    <row r="45" spans="1:4">
      <c r="A45" s="425" t="s">
        <v>1010</v>
      </c>
      <c r="C45">
        <v>2</v>
      </c>
      <c r="D45">
        <v>2</v>
      </c>
    </row>
    <row r="46" spans="1:4">
      <c r="A46" s="425" t="s">
        <v>1020</v>
      </c>
      <c r="C46">
        <v>1</v>
      </c>
      <c r="D46">
        <v>1</v>
      </c>
    </row>
    <row r="47" spans="1:4">
      <c r="A47" s="425" t="s">
        <v>1009</v>
      </c>
      <c r="C47">
        <v>4</v>
      </c>
      <c r="D47">
        <v>4</v>
      </c>
    </row>
    <row r="48" spans="1:4">
      <c r="A48" s="425" t="s">
        <v>1019</v>
      </c>
      <c r="C48">
        <v>1</v>
      </c>
      <c r="D48">
        <v>1</v>
      </c>
    </row>
    <row r="49" spans="1:4">
      <c r="A49" s="43" t="s">
        <v>669</v>
      </c>
      <c r="C49">
        <v>4</v>
      </c>
      <c r="D49">
        <v>4</v>
      </c>
    </row>
    <row r="50" spans="1:4">
      <c r="A50" s="424" t="s">
        <v>670</v>
      </c>
      <c r="C50">
        <v>4</v>
      </c>
      <c r="D50">
        <v>4</v>
      </c>
    </row>
    <row r="51" spans="1:4">
      <c r="A51" s="425" t="s">
        <v>770</v>
      </c>
      <c r="C51">
        <v>1</v>
      </c>
      <c r="D51">
        <v>1</v>
      </c>
    </row>
    <row r="52" spans="1:4">
      <c r="A52" s="425" t="s">
        <v>1022</v>
      </c>
      <c r="C52">
        <v>1</v>
      </c>
      <c r="D52">
        <v>1</v>
      </c>
    </row>
    <row r="53" spans="1:4">
      <c r="A53" s="425" t="s">
        <v>1010</v>
      </c>
      <c r="C53">
        <v>1</v>
      </c>
      <c r="D53">
        <v>1</v>
      </c>
    </row>
    <row r="54" spans="1:4">
      <c r="A54" s="425" t="s">
        <v>1019</v>
      </c>
      <c r="C54">
        <v>1</v>
      </c>
      <c r="D54">
        <v>1</v>
      </c>
    </row>
    <row r="55" spans="1:4">
      <c r="A55" s="237" t="s">
        <v>768</v>
      </c>
      <c r="B55">
        <v>13</v>
      </c>
      <c r="C55">
        <v>69</v>
      </c>
      <c r="D55">
        <v>82</v>
      </c>
    </row>
  </sheetData>
  <pageMargins left="0.7" right="0.7" top="0.75" bottom="0.75" header="0.3" footer="0.3"/>
  <pageSetup paperSize="9" orientation="portrait" r:id="rId2"/>
  <headerFooter>
    <oddHeader>&amp;L&amp;"Calibri"&amp;12&amp;K008000 SC Classification:GENERAL BUSINESS\Other General Business&amp;1#_x000D_</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E593B-3271-48EB-8F7E-529F19A31B65}">
  <sheetPr>
    <tabColor theme="5" tint="-0.249977111117893"/>
    <pageSetUpPr fitToPage="1"/>
  </sheetPr>
  <dimension ref="A1:R144"/>
  <sheetViews>
    <sheetView workbookViewId="0">
      <selection activeCell="K29" sqref="K29:N31"/>
    </sheetView>
  </sheetViews>
  <sheetFormatPr defaultColWidth="8.6640625" defaultRowHeight="14.4"/>
  <cols>
    <col min="1" max="1" width="40" bestFit="1" customWidth="1"/>
    <col min="2" max="2" width="17" bestFit="1" customWidth="1"/>
    <col min="3" max="3" width="9.33203125" bestFit="1" customWidth="1"/>
    <col min="4" max="5" width="6.33203125" bestFit="1" customWidth="1"/>
    <col min="6" max="6" width="11.44140625" bestFit="1" customWidth="1"/>
    <col min="7" max="7" width="6.6640625" bestFit="1" customWidth="1"/>
    <col min="8" max="8" width="6.33203125" bestFit="1" customWidth="1"/>
    <col min="9" max="10" width="6" bestFit="1" customWidth="1"/>
    <col min="11" max="11" width="56.33203125" style="239" bestFit="1" customWidth="1"/>
    <col min="12" max="12" width="21.5546875" bestFit="1" customWidth="1"/>
    <col min="13" max="13" width="6.6640625" bestFit="1" customWidth="1"/>
    <col min="14" max="14" width="6" bestFit="1" customWidth="1"/>
    <col min="15" max="15" width="7.44140625" bestFit="1" customWidth="1"/>
    <col min="16" max="16" width="10.6640625" bestFit="1" customWidth="1"/>
    <col min="17" max="17" width="14.44140625" bestFit="1" customWidth="1"/>
    <col min="18" max="19" width="10.44140625" bestFit="1" customWidth="1"/>
  </cols>
  <sheetData>
    <row r="1" spans="1:18">
      <c r="A1" s="182" t="s">
        <v>38</v>
      </c>
      <c r="B1" t="s">
        <v>798</v>
      </c>
      <c r="K1"/>
    </row>
    <row r="2" spans="1:18">
      <c r="A2" s="182" t="s">
        <v>71</v>
      </c>
      <c r="B2" t="s">
        <v>1013</v>
      </c>
      <c r="K2"/>
    </row>
    <row r="3" spans="1:18">
      <c r="A3" s="182" t="s">
        <v>75</v>
      </c>
      <c r="B3" t="s">
        <v>1013</v>
      </c>
      <c r="K3"/>
    </row>
    <row r="4" spans="1:18">
      <c r="A4" s="182" t="s">
        <v>66</v>
      </c>
      <c r="B4" t="s">
        <v>1013</v>
      </c>
      <c r="K4"/>
    </row>
    <row r="5" spans="1:18" s="25" customFormat="1">
      <c r="A5"/>
      <c r="B5"/>
      <c r="C5"/>
      <c r="D5"/>
      <c r="E5"/>
      <c r="F5"/>
      <c r="G5"/>
      <c r="H5"/>
      <c r="I5"/>
      <c r="J5"/>
      <c r="K5" s="182" t="s">
        <v>69</v>
      </c>
      <c r="L5" t="s">
        <v>1002</v>
      </c>
      <c r="M5"/>
      <c r="N5"/>
      <c r="O5"/>
      <c r="P5"/>
      <c r="Q5"/>
      <c r="R5"/>
    </row>
    <row r="6" spans="1:18">
      <c r="A6" s="238" t="s">
        <v>764</v>
      </c>
      <c r="B6" s="25" t="s">
        <v>1014</v>
      </c>
      <c r="K6"/>
    </row>
    <row r="7" spans="1:18">
      <c r="A7" s="237" t="s">
        <v>197</v>
      </c>
      <c r="B7" s="239">
        <v>25</v>
      </c>
      <c r="K7" s="182" t="s">
        <v>1014</v>
      </c>
      <c r="L7" s="182" t="s">
        <v>66</v>
      </c>
    </row>
    <row r="8" spans="1:18" ht="43.2">
      <c r="A8" s="43" t="s">
        <v>199</v>
      </c>
      <c r="B8" s="239">
        <v>24</v>
      </c>
      <c r="K8" s="238" t="s">
        <v>36</v>
      </c>
      <c r="L8" t="s">
        <v>539</v>
      </c>
      <c r="M8" t="s">
        <v>511</v>
      </c>
      <c r="N8" s="25" t="s">
        <v>768</v>
      </c>
    </row>
    <row r="9" spans="1:18">
      <c r="A9" s="422" t="s">
        <v>1003</v>
      </c>
      <c r="B9" s="421">
        <v>24</v>
      </c>
      <c r="K9" t="s">
        <v>1015</v>
      </c>
      <c r="L9" s="239"/>
      <c r="M9" s="239">
        <v>2</v>
      </c>
      <c r="N9" s="239">
        <v>2</v>
      </c>
    </row>
    <row r="10" spans="1:18">
      <c r="A10" s="43" t="s">
        <v>205</v>
      </c>
      <c r="B10" s="239">
        <v>1</v>
      </c>
      <c r="K10" t="s">
        <v>1016</v>
      </c>
      <c r="L10" s="239"/>
      <c r="M10" s="239">
        <v>10</v>
      </c>
      <c r="N10" s="239">
        <v>10</v>
      </c>
    </row>
    <row r="11" spans="1:18">
      <c r="A11" s="422" t="s">
        <v>1017</v>
      </c>
      <c r="B11" s="421">
        <v>1</v>
      </c>
      <c r="K11" t="s">
        <v>1005</v>
      </c>
      <c r="L11" s="239"/>
      <c r="M11" s="239">
        <v>37</v>
      </c>
      <c r="N11" s="239">
        <v>37</v>
      </c>
    </row>
    <row r="12" spans="1:18">
      <c r="A12" s="237" t="s">
        <v>149</v>
      </c>
      <c r="B12" s="239">
        <v>13</v>
      </c>
      <c r="K12" t="s">
        <v>1018</v>
      </c>
      <c r="L12" s="239"/>
      <c r="M12" s="239">
        <v>34</v>
      </c>
      <c r="N12" s="239">
        <v>34</v>
      </c>
    </row>
    <row r="13" spans="1:18">
      <c r="A13" s="237" t="s">
        <v>152</v>
      </c>
      <c r="B13" s="239">
        <v>5</v>
      </c>
      <c r="K13" t="s">
        <v>1019</v>
      </c>
      <c r="L13" s="239"/>
      <c r="M13" s="239">
        <v>8</v>
      </c>
      <c r="N13" s="239">
        <v>8</v>
      </c>
    </row>
    <row r="14" spans="1:18">
      <c r="A14" s="237" t="s">
        <v>768</v>
      </c>
      <c r="B14" s="239">
        <v>43</v>
      </c>
      <c r="K14" t="s">
        <v>790</v>
      </c>
      <c r="L14" s="239"/>
      <c r="M14" s="239">
        <v>9</v>
      </c>
      <c r="N14" s="239">
        <v>9</v>
      </c>
    </row>
    <row r="15" spans="1:18">
      <c r="K15" t="s">
        <v>789</v>
      </c>
      <c r="L15" s="239"/>
      <c r="M15" s="239">
        <v>26</v>
      </c>
      <c r="N15" s="239">
        <v>26</v>
      </c>
    </row>
    <row r="16" spans="1:18">
      <c r="K16" t="s">
        <v>1006</v>
      </c>
      <c r="L16" s="239"/>
      <c r="M16" s="239">
        <v>52</v>
      </c>
      <c r="N16" s="239">
        <v>52</v>
      </c>
    </row>
    <row r="17" spans="11:14">
      <c r="K17" t="s">
        <v>1004</v>
      </c>
      <c r="L17" s="239"/>
      <c r="M17" s="239">
        <v>20</v>
      </c>
      <c r="N17" s="239">
        <v>20</v>
      </c>
    </row>
    <row r="18" spans="11:14">
      <c r="K18" t="s">
        <v>786</v>
      </c>
      <c r="L18" s="239"/>
      <c r="M18" s="239">
        <v>30</v>
      </c>
      <c r="N18" s="239">
        <v>30</v>
      </c>
    </row>
    <row r="19" spans="11:14">
      <c r="K19" t="s">
        <v>785</v>
      </c>
      <c r="L19" s="239"/>
      <c r="M19" s="239">
        <v>14</v>
      </c>
      <c r="N19" s="239">
        <v>14</v>
      </c>
    </row>
    <row r="20" spans="11:14">
      <c r="K20" t="s">
        <v>784</v>
      </c>
      <c r="L20" s="239"/>
      <c r="M20" s="239">
        <v>2</v>
      </c>
      <c r="N20" s="239">
        <v>2</v>
      </c>
    </row>
    <row r="21" spans="11:14">
      <c r="K21" t="s">
        <v>1020</v>
      </c>
      <c r="L21" s="239"/>
      <c r="M21" s="239">
        <v>1</v>
      </c>
      <c r="N21" s="239">
        <v>1</v>
      </c>
    </row>
    <row r="22" spans="11:14">
      <c r="K22" t="s">
        <v>653</v>
      </c>
      <c r="L22" s="239">
        <v>1</v>
      </c>
      <c r="M22" s="239"/>
      <c r="N22" s="239">
        <v>1</v>
      </c>
    </row>
    <row r="23" spans="11:14">
      <c r="K23" t="s">
        <v>1010</v>
      </c>
      <c r="L23" s="239"/>
      <c r="M23" s="239">
        <v>39</v>
      </c>
      <c r="N23" s="239">
        <v>39</v>
      </c>
    </row>
    <row r="24" spans="11:14">
      <c r="K24" t="s">
        <v>1021</v>
      </c>
      <c r="L24" s="239"/>
      <c r="M24" s="239">
        <v>1</v>
      </c>
      <c r="N24" s="239">
        <v>1</v>
      </c>
    </row>
    <row r="25" spans="11:14">
      <c r="K25" t="s">
        <v>1022</v>
      </c>
      <c r="L25" s="239"/>
      <c r="M25" s="239">
        <v>5</v>
      </c>
      <c r="N25" s="239">
        <v>5</v>
      </c>
    </row>
    <row r="26" spans="11:14">
      <c r="K26" s="26" t="s">
        <v>236</v>
      </c>
      <c r="L26" s="421"/>
      <c r="M26" s="421">
        <v>34</v>
      </c>
      <c r="N26" s="421">
        <v>34</v>
      </c>
    </row>
    <row r="27" spans="11:14">
      <c r="K27" t="s">
        <v>1023</v>
      </c>
      <c r="L27" s="239">
        <v>118</v>
      </c>
      <c r="M27" s="239"/>
      <c r="N27" s="239">
        <v>118</v>
      </c>
    </row>
    <row r="28" spans="11:14">
      <c r="K28" t="s">
        <v>1024</v>
      </c>
      <c r="L28" s="239">
        <v>17</v>
      </c>
      <c r="M28" s="239"/>
      <c r="N28" s="239">
        <v>17</v>
      </c>
    </row>
    <row r="29" spans="11:14">
      <c r="K29" t="s">
        <v>1025</v>
      </c>
      <c r="L29" s="239"/>
      <c r="M29" s="239">
        <v>15</v>
      </c>
      <c r="N29" s="239">
        <v>15</v>
      </c>
    </row>
    <row r="30" spans="11:14">
      <c r="K30" s="26" t="s">
        <v>1026</v>
      </c>
      <c r="L30" s="421"/>
      <c r="M30" s="421">
        <v>120</v>
      </c>
      <c r="N30" s="421">
        <v>120</v>
      </c>
    </row>
    <row r="31" spans="11:14">
      <c r="K31" t="s">
        <v>1027</v>
      </c>
      <c r="L31" s="239"/>
      <c r="M31" s="239">
        <v>153</v>
      </c>
      <c r="N31" s="239">
        <v>153</v>
      </c>
    </row>
    <row r="32" spans="11:14">
      <c r="K32" s="26" t="s">
        <v>1028</v>
      </c>
      <c r="L32" s="421"/>
      <c r="M32" s="421">
        <v>50</v>
      </c>
      <c r="N32" s="421">
        <v>50</v>
      </c>
    </row>
    <row r="33" spans="11:14">
      <c r="K33" t="s">
        <v>1029</v>
      </c>
      <c r="L33" s="239">
        <v>3</v>
      </c>
      <c r="M33" s="239"/>
      <c r="N33" s="239">
        <v>3</v>
      </c>
    </row>
    <row r="34" spans="11:14">
      <c r="K34" t="s">
        <v>1012</v>
      </c>
      <c r="L34" s="239"/>
      <c r="M34" s="239">
        <v>2</v>
      </c>
      <c r="N34" s="239">
        <v>2</v>
      </c>
    </row>
    <row r="35" spans="11:14">
      <c r="K35" t="s">
        <v>1017</v>
      </c>
      <c r="L35" s="239"/>
      <c r="M35" s="239">
        <v>2</v>
      </c>
      <c r="N35" s="239">
        <v>2</v>
      </c>
    </row>
    <row r="36" spans="11:14">
      <c r="K36" s="26" t="s">
        <v>1003</v>
      </c>
      <c r="L36" s="421"/>
      <c r="M36" s="421">
        <v>16</v>
      </c>
      <c r="N36" s="421">
        <v>16</v>
      </c>
    </row>
    <row r="37" spans="11:14">
      <c r="K37" t="s">
        <v>1008</v>
      </c>
      <c r="L37" s="239">
        <v>6</v>
      </c>
      <c r="M37" s="239"/>
      <c r="N37" s="239">
        <v>6</v>
      </c>
    </row>
    <row r="38" spans="11:14">
      <c r="K38" t="s">
        <v>1007</v>
      </c>
      <c r="L38" s="239">
        <v>10</v>
      </c>
      <c r="M38" s="239"/>
      <c r="N38" s="239">
        <v>10</v>
      </c>
    </row>
    <row r="39" spans="11:14">
      <c r="K39" t="s">
        <v>1030</v>
      </c>
      <c r="L39" s="239">
        <v>9</v>
      </c>
      <c r="M39" s="239">
        <v>4</v>
      </c>
      <c r="N39" s="239">
        <v>13</v>
      </c>
    </row>
    <row r="40" spans="11:14">
      <c r="K40" t="s">
        <v>771</v>
      </c>
      <c r="L40" s="239"/>
      <c r="M40" s="239">
        <v>4</v>
      </c>
      <c r="N40" s="239">
        <v>4</v>
      </c>
    </row>
    <row r="41" spans="11:14">
      <c r="K41" t="s">
        <v>770</v>
      </c>
      <c r="L41" s="239"/>
      <c r="M41" s="239">
        <v>12</v>
      </c>
      <c r="N41" s="239">
        <v>12</v>
      </c>
    </row>
    <row r="42" spans="11:14">
      <c r="K42" t="s">
        <v>1031</v>
      </c>
      <c r="L42" s="239"/>
      <c r="M42" s="239">
        <v>2</v>
      </c>
      <c r="N42" s="239">
        <v>2</v>
      </c>
    </row>
    <row r="43" spans="11:14">
      <c r="K43" t="s">
        <v>781</v>
      </c>
      <c r="L43" s="239"/>
      <c r="M43" s="239">
        <v>1</v>
      </c>
      <c r="N43" s="239">
        <v>1</v>
      </c>
    </row>
    <row r="44" spans="11:14">
      <c r="K44" t="s">
        <v>796</v>
      </c>
      <c r="L44" s="239"/>
      <c r="M44" s="239">
        <v>4</v>
      </c>
      <c r="N44" s="239">
        <v>4</v>
      </c>
    </row>
    <row r="45" spans="11:14">
      <c r="K45" t="s">
        <v>1032</v>
      </c>
      <c r="L45" s="239"/>
      <c r="M45" s="239">
        <v>1</v>
      </c>
      <c r="N45" s="239">
        <v>1</v>
      </c>
    </row>
    <row r="46" spans="11:14">
      <c r="K46" t="s">
        <v>1033</v>
      </c>
      <c r="L46" s="239">
        <v>1</v>
      </c>
      <c r="M46" s="239"/>
      <c r="N46" s="239">
        <v>1</v>
      </c>
    </row>
    <row r="47" spans="11:14">
      <c r="K47" t="s">
        <v>1011</v>
      </c>
      <c r="L47" s="239"/>
      <c r="M47" s="239">
        <v>4</v>
      </c>
      <c r="N47" s="239">
        <v>4</v>
      </c>
    </row>
    <row r="48" spans="11:14">
      <c r="K48" t="s">
        <v>1009</v>
      </c>
      <c r="L48" s="239"/>
      <c r="M48" s="239">
        <v>40</v>
      </c>
      <c r="N48" s="239">
        <v>40</v>
      </c>
    </row>
    <row r="49" spans="11:14">
      <c r="K49" t="s">
        <v>768</v>
      </c>
      <c r="L49" s="239">
        <v>165</v>
      </c>
      <c r="M49" s="239">
        <v>754</v>
      </c>
      <c r="N49" s="239">
        <v>919</v>
      </c>
    </row>
    <row r="50" spans="11:14">
      <c r="K50"/>
    </row>
    <row r="51" spans="11:14">
      <c r="K51"/>
    </row>
    <row r="52" spans="11:14">
      <c r="K52"/>
    </row>
    <row r="53" spans="11:14">
      <c r="K53"/>
    </row>
    <row r="54" spans="11:14">
      <c r="K54"/>
    </row>
    <row r="55" spans="11:14">
      <c r="K55"/>
    </row>
    <row r="56" spans="11:14">
      <c r="K56"/>
    </row>
    <row r="57" spans="11:14">
      <c r="K57"/>
    </row>
    <row r="58" spans="11:14">
      <c r="K58"/>
    </row>
    <row r="59" spans="11:14">
      <c r="K59"/>
    </row>
    <row r="60" spans="11:14">
      <c r="K60"/>
    </row>
    <row r="61" spans="11:14">
      <c r="K61"/>
    </row>
    <row r="62" spans="11:14">
      <c r="K62"/>
    </row>
    <row r="63" spans="11:14">
      <c r="K63"/>
    </row>
    <row r="64" spans="11:14">
      <c r="K64"/>
    </row>
    <row r="65" spans="11:11">
      <c r="K65"/>
    </row>
    <row r="66" spans="11:11">
      <c r="K66"/>
    </row>
    <row r="67" spans="11:11">
      <c r="K67"/>
    </row>
    <row r="68" spans="11:11">
      <c r="K68"/>
    </row>
    <row r="69" spans="11:11">
      <c r="K69"/>
    </row>
    <row r="70" spans="11:11">
      <c r="K70"/>
    </row>
    <row r="71" spans="11:11">
      <c r="K71"/>
    </row>
    <row r="72" spans="11:11">
      <c r="K72"/>
    </row>
    <row r="73" spans="11:11">
      <c r="K73"/>
    </row>
    <row r="74" spans="11:11">
      <c r="K74"/>
    </row>
    <row r="75" spans="11:11">
      <c r="K75"/>
    </row>
    <row r="76" spans="11:11">
      <c r="K76"/>
    </row>
    <row r="77" spans="11:11">
      <c r="K77"/>
    </row>
    <row r="78" spans="11:11">
      <c r="K78"/>
    </row>
    <row r="79" spans="11:11">
      <c r="K79"/>
    </row>
    <row r="80" spans="11:11">
      <c r="K80"/>
    </row>
    <row r="81" spans="11:11">
      <c r="K81"/>
    </row>
    <row r="82" spans="11:11">
      <c r="K82"/>
    </row>
    <row r="83" spans="11:11">
      <c r="K83"/>
    </row>
    <row r="84" spans="11:11">
      <c r="K84"/>
    </row>
    <row r="85" spans="11:11">
      <c r="K85"/>
    </row>
    <row r="86" spans="11:11">
      <c r="K86"/>
    </row>
    <row r="87" spans="11:11">
      <c r="K87"/>
    </row>
    <row r="88" spans="11:11">
      <c r="K88"/>
    </row>
    <row r="89" spans="11:11">
      <c r="K89"/>
    </row>
    <row r="90" spans="11:11">
      <c r="K90"/>
    </row>
    <row r="91" spans="11:11">
      <c r="K91"/>
    </row>
    <row r="92" spans="11:11">
      <c r="K92"/>
    </row>
    <row r="93" spans="11:11">
      <c r="K93"/>
    </row>
    <row r="94" spans="11:11">
      <c r="K94"/>
    </row>
    <row r="95" spans="11:11">
      <c r="K95"/>
    </row>
    <row r="96" spans="11:11">
      <c r="K96"/>
    </row>
    <row r="97" spans="11:11">
      <c r="K97"/>
    </row>
    <row r="98" spans="11:11">
      <c r="K98"/>
    </row>
    <row r="99" spans="11:11">
      <c r="K99"/>
    </row>
    <row r="100" spans="11:11">
      <c r="K100"/>
    </row>
    <row r="101" spans="11:11">
      <c r="K101"/>
    </row>
    <row r="102" spans="11:11">
      <c r="K102"/>
    </row>
    <row r="103" spans="11:11">
      <c r="K103"/>
    </row>
    <row r="104" spans="11:11">
      <c r="K104"/>
    </row>
    <row r="105" spans="11:11">
      <c r="K105"/>
    </row>
    <row r="106" spans="11:11">
      <c r="K106"/>
    </row>
    <row r="107" spans="11:11">
      <c r="K107"/>
    </row>
    <row r="108" spans="11:11">
      <c r="K108"/>
    </row>
    <row r="109" spans="11:11">
      <c r="K109"/>
    </row>
    <row r="110" spans="11:11">
      <c r="K110"/>
    </row>
    <row r="111" spans="11:11">
      <c r="K111"/>
    </row>
    <row r="112" spans="11:11">
      <c r="K112"/>
    </row>
    <row r="113" spans="11:11">
      <c r="K113"/>
    </row>
    <row r="114" spans="11:11">
      <c r="K114"/>
    </row>
    <row r="115" spans="11:11">
      <c r="K115"/>
    </row>
    <row r="116" spans="11:11">
      <c r="K116"/>
    </row>
    <row r="117" spans="11:11">
      <c r="K117"/>
    </row>
    <row r="118" spans="11:11">
      <c r="K118"/>
    </row>
    <row r="119" spans="11:11">
      <c r="K119"/>
    </row>
    <row r="120" spans="11:11">
      <c r="K120"/>
    </row>
    <row r="121" spans="11:11">
      <c r="K121"/>
    </row>
    <row r="122" spans="11:11">
      <c r="K122"/>
    </row>
    <row r="123" spans="11:11">
      <c r="K123"/>
    </row>
    <row r="124" spans="11:11">
      <c r="K124"/>
    </row>
    <row r="125" spans="11:11">
      <c r="K125"/>
    </row>
    <row r="126" spans="11:11">
      <c r="K126"/>
    </row>
    <row r="127" spans="11:11">
      <c r="K127"/>
    </row>
    <row r="128" spans="11:11">
      <c r="K128"/>
    </row>
    <row r="129" spans="11:11">
      <c r="K129"/>
    </row>
    <row r="130" spans="11:11">
      <c r="K130"/>
    </row>
    <row r="131" spans="11:11">
      <c r="K131"/>
    </row>
    <row r="132" spans="11:11">
      <c r="K132"/>
    </row>
    <row r="133" spans="11:11">
      <c r="K133"/>
    </row>
    <row r="134" spans="11:11">
      <c r="K134"/>
    </row>
    <row r="135" spans="11:11">
      <c r="K135"/>
    </row>
    <row r="136" spans="11:11">
      <c r="K136"/>
    </row>
    <row r="137" spans="11:11">
      <c r="K137"/>
    </row>
    <row r="138" spans="11:11">
      <c r="K138"/>
    </row>
    <row r="139" spans="11:11">
      <c r="K139"/>
    </row>
    <row r="140" spans="11:11">
      <c r="K140"/>
    </row>
    <row r="141" spans="11:11">
      <c r="K141"/>
    </row>
    <row r="142" spans="11:11">
      <c r="K142"/>
    </row>
    <row r="143" spans="11:11">
      <c r="K143"/>
    </row>
    <row r="144" spans="11:11">
      <c r="K144"/>
    </row>
  </sheetData>
  <pageMargins left="0.7" right="0.7" top="0.75" bottom="0.75" header="0.3" footer="0.3"/>
  <pageSetup paperSize="9" scale="41" fitToHeight="0" orientation="portrait" r:id="rId3"/>
  <headerFooter>
    <oddHeader>&amp;L&amp;"Calibri"&amp;12&amp;K008000 SC Classification:GENERAL BUSINESS\Other General Business&amp;1#_x000D_</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5" tint="-0.249977111117893"/>
    <pageSetUpPr fitToPage="1"/>
  </sheetPr>
  <dimension ref="B1:I30"/>
  <sheetViews>
    <sheetView workbookViewId="0"/>
  </sheetViews>
  <sheetFormatPr defaultColWidth="8.6640625" defaultRowHeight="14.4"/>
  <cols>
    <col min="1" max="1" width="3.44140625" customWidth="1"/>
    <col min="2" max="2" width="29.44140625" customWidth="1"/>
    <col min="3" max="3" width="14.44140625" customWidth="1"/>
    <col min="4" max="6" width="15.44140625" customWidth="1"/>
    <col min="7" max="9" width="14.44140625" customWidth="1"/>
    <col min="10" max="10" width="7.44140625" customWidth="1"/>
  </cols>
  <sheetData>
    <row r="1" spans="2:9" s="60" customFormat="1" ht="35.25" customHeight="1">
      <c r="B1" s="75" t="s">
        <v>81</v>
      </c>
      <c r="C1" s="71"/>
      <c r="D1" s="71"/>
      <c r="E1" s="71"/>
      <c r="F1" s="71"/>
      <c r="G1" s="71"/>
      <c r="H1" s="71"/>
      <c r="I1" s="71"/>
    </row>
    <row r="3" spans="2:9" ht="30" customHeight="1">
      <c r="B3" s="187" t="s">
        <v>1034</v>
      </c>
      <c r="C3" s="187"/>
    </row>
    <row r="4" spans="2:9" s="25" customFormat="1" ht="20.25" customHeight="1">
      <c r="B4" s="461" t="s">
        <v>42</v>
      </c>
      <c r="C4" s="460" t="s">
        <v>1035</v>
      </c>
      <c r="D4" s="457" t="s">
        <v>1036</v>
      </c>
      <c r="E4" s="457" t="s">
        <v>1037</v>
      </c>
      <c r="F4" s="457" t="s">
        <v>1038</v>
      </c>
      <c r="G4" s="457" t="s">
        <v>1039</v>
      </c>
      <c r="H4" s="457"/>
      <c r="I4" s="457" t="s">
        <v>1040</v>
      </c>
    </row>
    <row r="5" spans="2:9" s="25" customFormat="1" ht="20.25" customHeight="1">
      <c r="B5" s="461"/>
      <c r="C5" s="460"/>
      <c r="D5" s="457"/>
      <c r="E5" s="457"/>
      <c r="F5" s="457"/>
      <c r="G5" s="185" t="s">
        <v>1041</v>
      </c>
      <c r="H5" s="186" t="s">
        <v>1042</v>
      </c>
      <c r="I5" s="457"/>
    </row>
    <row r="6" spans="2:9" ht="15.75" customHeight="1">
      <c r="B6" s="188" t="s">
        <v>1043</v>
      </c>
      <c r="C6" s="44">
        <v>300</v>
      </c>
      <c r="D6" s="46">
        <v>3</v>
      </c>
      <c r="E6" s="46">
        <v>0.128</v>
      </c>
      <c r="F6" s="46">
        <v>5</v>
      </c>
      <c r="G6" s="48">
        <f t="array" ref="G6:G11">IF(($E$6:$E$11)="N/A","N/A",IF(($D$6:$D$11)="N/A",(($E$6:$E$11)*($C$6:$C$11))/($F$6:$F$11),(($D$6:$D$11)*($E$6:$E$11)*($C$6:$C$11))/($F$6:$F$11)))</f>
        <v>23.04</v>
      </c>
      <c r="H6" s="49">
        <v>50</v>
      </c>
      <c r="I6" s="104" t="s">
        <v>1044</v>
      </c>
    </row>
    <row r="7" spans="2:9" ht="15.75" customHeight="1">
      <c r="B7" s="188" t="s">
        <v>1045</v>
      </c>
      <c r="C7" s="44">
        <v>200</v>
      </c>
      <c r="D7" s="47">
        <v>2</v>
      </c>
      <c r="E7" s="47">
        <v>1.5</v>
      </c>
      <c r="F7" s="47">
        <v>2</v>
      </c>
      <c r="G7" s="50">
        <v>300</v>
      </c>
      <c r="H7" s="51">
        <v>500</v>
      </c>
      <c r="I7" s="52" t="s">
        <v>1044</v>
      </c>
    </row>
    <row r="8" spans="2:9" ht="15.75" customHeight="1">
      <c r="B8" s="188" t="s">
        <v>1046</v>
      </c>
      <c r="C8" s="44">
        <v>200</v>
      </c>
      <c r="D8" s="47">
        <v>1</v>
      </c>
      <c r="E8" s="46">
        <v>20</v>
      </c>
      <c r="F8" s="47">
        <v>2</v>
      </c>
      <c r="G8" s="50">
        <v>2000</v>
      </c>
      <c r="H8" s="51">
        <v>100</v>
      </c>
      <c r="I8" s="52" t="s">
        <v>1047</v>
      </c>
    </row>
    <row r="9" spans="2:9" ht="15.75" customHeight="1">
      <c r="B9" s="188" t="s">
        <v>1048</v>
      </c>
      <c r="C9" s="44">
        <v>100</v>
      </c>
      <c r="D9" s="47">
        <v>1</v>
      </c>
      <c r="E9" s="47">
        <v>100</v>
      </c>
      <c r="F9" s="47">
        <v>2</v>
      </c>
      <c r="G9" s="50">
        <v>5000</v>
      </c>
      <c r="H9" s="51">
        <v>800</v>
      </c>
      <c r="I9" s="52" t="s">
        <v>1047</v>
      </c>
    </row>
    <row r="10" spans="2:9" ht="15.75" customHeight="1">
      <c r="B10" s="188" t="s">
        <v>1049</v>
      </c>
      <c r="C10" s="44">
        <v>200</v>
      </c>
      <c r="D10" s="47">
        <v>2</v>
      </c>
      <c r="E10" s="47">
        <v>2</v>
      </c>
      <c r="F10" s="47">
        <v>2</v>
      </c>
      <c r="G10" s="50">
        <v>400</v>
      </c>
      <c r="H10" s="51">
        <v>20</v>
      </c>
      <c r="I10" s="52" t="s">
        <v>1047</v>
      </c>
    </row>
    <row r="11" spans="2:9" ht="15.75" customHeight="1">
      <c r="B11" s="188" t="s">
        <v>1050</v>
      </c>
      <c r="C11" s="44">
        <v>100</v>
      </c>
      <c r="D11" s="213">
        <v>2</v>
      </c>
      <c r="E11" s="213">
        <v>2</v>
      </c>
      <c r="F11" s="213">
        <v>2</v>
      </c>
      <c r="G11" s="214">
        <v>200</v>
      </c>
      <c r="H11" s="215">
        <v>20</v>
      </c>
      <c r="I11" s="216" t="s">
        <v>1051</v>
      </c>
    </row>
    <row r="12" spans="2:9">
      <c r="B12" s="188" t="s">
        <v>1052</v>
      </c>
      <c r="C12" s="44">
        <v>300</v>
      </c>
      <c r="D12" s="213">
        <v>2</v>
      </c>
      <c r="E12" s="213">
        <v>2</v>
      </c>
      <c r="F12" s="213">
        <v>2</v>
      </c>
      <c r="G12" s="214">
        <f t="array" ref="G12">IF(($E$6:$E$11)="N/A","N/A",IF(($D$6:$D$11)="N/A",(($E$6:$E$11)*($C$6:$C$11))/($F$6:$F$11),(($D$6:$D$11)*($E$6:$E$11)*($C$6:$C$11))/($F$6:$F$11)))</f>
        <v>23.04</v>
      </c>
      <c r="H12" s="215">
        <v>21</v>
      </c>
      <c r="I12" s="216" t="s">
        <v>1051</v>
      </c>
    </row>
    <row r="13" spans="2:9">
      <c r="B13" s="188" t="s">
        <v>1053</v>
      </c>
      <c r="C13" s="44">
        <v>150</v>
      </c>
      <c r="D13" s="213">
        <v>2</v>
      </c>
      <c r="E13" s="213">
        <v>2</v>
      </c>
      <c r="F13" s="213">
        <v>2</v>
      </c>
      <c r="G13" s="214">
        <f t="array" ref="G13">IF(($E$6:$E$11)="N/A","N/A",IF(($D$6:$D$11)="N/A",(($E$6:$E$11)*($C$6:$C$11))/($F$6:$F$11),(($D$6:$D$11)*($E$6:$E$11)*($C$6:$C$11))/($F$6:$F$11)))</f>
        <v>23.04</v>
      </c>
      <c r="H13" s="215">
        <v>22</v>
      </c>
      <c r="I13" s="216" t="s">
        <v>1051</v>
      </c>
    </row>
    <row r="14" spans="2:9">
      <c r="B14" s="188" t="s">
        <v>1054</v>
      </c>
      <c r="C14" s="44">
        <v>100</v>
      </c>
      <c r="D14" s="213">
        <v>2</v>
      </c>
      <c r="E14" s="213">
        <v>2</v>
      </c>
      <c r="F14" s="213">
        <v>2</v>
      </c>
      <c r="G14" s="214">
        <f t="array" ref="G14">IF(($E$6:$E$11)="N/A","N/A",IF(($D$6:$D$11)="N/A",(($E$6:$E$11)*($C$6:$C$11))/($F$6:$F$11),(($D$6:$D$11)*($E$6:$E$11)*($C$6:$C$11))/($F$6:$F$11)))</f>
        <v>23.04</v>
      </c>
      <c r="H14" s="215">
        <v>23</v>
      </c>
      <c r="I14" s="52" t="s">
        <v>1047</v>
      </c>
    </row>
    <row r="15" spans="2:9">
      <c r="B15" s="188" t="s">
        <v>1055</v>
      </c>
      <c r="C15" s="44">
        <v>25</v>
      </c>
      <c r="D15" s="213">
        <v>1</v>
      </c>
      <c r="E15" s="213">
        <v>2</v>
      </c>
      <c r="F15" s="213">
        <v>2</v>
      </c>
      <c r="G15" s="214">
        <f t="array" ref="G15">IF(($E$6:$E$11)="N/A","N/A",IF(($D$6:$D$11)="N/A",(($E$6:$E$11)*($C$6:$C$11))/($F$6:$F$11),(($D$6:$D$11)*($E$6:$E$11)*($C$6:$C$11))/($F$6:$F$11)))</f>
        <v>23.04</v>
      </c>
      <c r="H15" s="215">
        <v>24</v>
      </c>
      <c r="I15" s="216" t="s">
        <v>1051</v>
      </c>
    </row>
    <row r="16" spans="2:9">
      <c r="B16" s="188" t="s">
        <v>1056</v>
      </c>
      <c r="C16" s="44">
        <v>25</v>
      </c>
      <c r="D16" s="213">
        <v>1</v>
      </c>
      <c r="E16" s="213">
        <v>2</v>
      </c>
      <c r="F16" s="213">
        <v>2</v>
      </c>
      <c r="G16" s="214">
        <f t="array" ref="G16">IF(($E$6:$E$11)="N/A","N/A",IF(($D$6:$D$11)="N/A",(($E$6:$E$11)*($C$6:$C$11))/($F$6:$F$11),(($D$6:$D$11)*($E$6:$E$11)*($C$6:$C$11))/($F$6:$F$11)))</f>
        <v>23.04</v>
      </c>
      <c r="H16" s="215">
        <v>25</v>
      </c>
      <c r="I16" s="216" t="s">
        <v>1051</v>
      </c>
    </row>
    <row r="17" spans="2:9">
      <c r="B17" s="188" t="s">
        <v>1057</v>
      </c>
      <c r="C17" s="44">
        <v>50</v>
      </c>
      <c r="D17" s="213">
        <v>2</v>
      </c>
      <c r="E17" s="213">
        <v>2</v>
      </c>
      <c r="F17" s="213">
        <v>2</v>
      </c>
      <c r="G17" s="214">
        <f t="array" ref="G17">IF(($E$6:$E$11)="N/A","N/A",IF(($D$6:$D$11)="N/A",(($E$6:$E$11)*($C$6:$C$11))/($F$6:$F$11),(($D$6:$D$11)*($E$6:$E$11)*($C$6:$C$11))/($F$6:$F$11)))</f>
        <v>23.04</v>
      </c>
      <c r="H17" s="215">
        <v>26</v>
      </c>
      <c r="I17" s="52" t="s">
        <v>1047</v>
      </c>
    </row>
    <row r="18" spans="2:9">
      <c r="E18" s="209"/>
      <c r="F18" s="210" t="s">
        <v>1058</v>
      </c>
      <c r="G18" s="211" t="str">
        <f>ROUND(SUM(G6:G11),0)&amp;" Mbps"</f>
        <v>7923 Mbps</v>
      </c>
      <c r="H18" s="212" t="str">
        <f>ROUND(SUM(H6:H11),0)&amp;" Mbps"</f>
        <v>1490 Mbps</v>
      </c>
    </row>
    <row r="21" spans="2:9" ht="30" customHeight="1">
      <c r="B21" s="187" t="s">
        <v>1059</v>
      </c>
      <c r="C21" s="187" t="s">
        <v>1060</v>
      </c>
      <c r="E21" s="187"/>
      <c r="G21" s="187"/>
      <c r="I21" s="187"/>
    </row>
    <row r="22" spans="2:9" ht="20.25" customHeight="1">
      <c r="B22" s="458" t="s">
        <v>42</v>
      </c>
      <c r="C22" s="460" t="s">
        <v>1035</v>
      </c>
      <c r="D22" s="457" t="s">
        <v>1036</v>
      </c>
      <c r="E22" s="457" t="s">
        <v>1037</v>
      </c>
      <c r="F22" s="457" t="s">
        <v>1038</v>
      </c>
      <c r="G22" s="457" t="s">
        <v>1039</v>
      </c>
      <c r="H22" s="457"/>
      <c r="I22" s="457" t="s">
        <v>1040</v>
      </c>
    </row>
    <row r="23" spans="2:9" ht="20.25" customHeight="1">
      <c r="B23" s="459"/>
      <c r="C23" s="460"/>
      <c r="D23" s="457"/>
      <c r="E23" s="457"/>
      <c r="F23" s="457"/>
      <c r="G23" s="185" t="s">
        <v>1041</v>
      </c>
      <c r="H23" s="186" t="s">
        <v>1042</v>
      </c>
      <c r="I23" s="457"/>
    </row>
    <row r="24" spans="2:9">
      <c r="B24" s="69" t="s">
        <v>1043</v>
      </c>
      <c r="C24" s="45">
        <v>300</v>
      </c>
      <c r="D24" s="46">
        <v>3</v>
      </c>
      <c r="E24" s="46">
        <v>0.128</v>
      </c>
      <c r="F24" s="46">
        <v>5</v>
      </c>
      <c r="G24" s="48">
        <f t="array" ref="G24:G29">IF(($E$24:$E$29)="N/A","N/A",IF(($D$24:$D$29)="N/A",(($E$24:$E$29)*($C$24:$C$29))/($F$24:$F$29),(($D$24:$D$29)*($E$24:$E$29)*($C$24:$C$29))/($F$24:$F$29)))</f>
        <v>23.04</v>
      </c>
      <c r="H24" s="49">
        <v>50</v>
      </c>
      <c r="I24" s="104" t="s">
        <v>1044</v>
      </c>
    </row>
    <row r="25" spans="2:9">
      <c r="B25" s="31" t="s">
        <v>1061</v>
      </c>
      <c r="C25" s="44">
        <v>300</v>
      </c>
      <c r="D25" s="47">
        <v>2</v>
      </c>
      <c r="E25" s="47">
        <v>1.5</v>
      </c>
      <c r="F25" s="47">
        <v>2</v>
      </c>
      <c r="G25" s="50">
        <v>450</v>
      </c>
      <c r="H25" s="51">
        <v>500</v>
      </c>
      <c r="I25" s="52" t="s">
        <v>1044</v>
      </c>
    </row>
    <row r="26" spans="2:9">
      <c r="B26" s="31" t="s">
        <v>1048</v>
      </c>
      <c r="C26" s="44">
        <v>10</v>
      </c>
      <c r="D26" s="47">
        <v>1</v>
      </c>
      <c r="E26" s="46">
        <v>20</v>
      </c>
      <c r="F26" s="47">
        <v>2</v>
      </c>
      <c r="G26" s="50">
        <v>100</v>
      </c>
      <c r="H26" s="51">
        <v>100</v>
      </c>
      <c r="I26" s="52" t="s">
        <v>1062</v>
      </c>
    </row>
    <row r="27" spans="2:9">
      <c r="B27" s="31" t="s">
        <v>1063</v>
      </c>
      <c r="C27" s="44">
        <v>15</v>
      </c>
      <c r="D27" s="47">
        <v>1</v>
      </c>
      <c r="E27" s="47">
        <v>100</v>
      </c>
      <c r="F27" s="47">
        <v>2</v>
      </c>
      <c r="G27" s="50">
        <v>750</v>
      </c>
      <c r="H27" s="51">
        <v>700</v>
      </c>
      <c r="I27" s="52" t="s">
        <v>1047</v>
      </c>
    </row>
    <row r="28" spans="2:9">
      <c r="B28" s="31" t="s">
        <v>1055</v>
      </c>
      <c r="C28" s="44">
        <v>10</v>
      </c>
      <c r="D28" s="47">
        <v>2</v>
      </c>
      <c r="E28" s="47">
        <v>2</v>
      </c>
      <c r="F28" s="47">
        <v>2</v>
      </c>
      <c r="G28" s="50">
        <v>20</v>
      </c>
      <c r="H28" s="51">
        <v>20</v>
      </c>
      <c r="I28" s="52" t="s">
        <v>1051</v>
      </c>
    </row>
    <row r="29" spans="2:9">
      <c r="B29" s="32" t="s">
        <v>1056</v>
      </c>
      <c r="C29" s="133">
        <v>10</v>
      </c>
      <c r="D29" s="213">
        <v>2</v>
      </c>
      <c r="E29" s="213">
        <v>2</v>
      </c>
      <c r="F29" s="213">
        <v>2</v>
      </c>
      <c r="G29" s="214">
        <v>20</v>
      </c>
      <c r="H29" s="215">
        <v>20</v>
      </c>
      <c r="I29" s="216" t="s">
        <v>1051</v>
      </c>
    </row>
    <row r="30" spans="2:9">
      <c r="E30" s="105"/>
      <c r="F30" s="113" t="s">
        <v>1058</v>
      </c>
      <c r="G30" s="114" t="str">
        <f>ROUND(SUM(G24:G29),0)&amp;" Mbps"</f>
        <v>1363 Mbps</v>
      </c>
      <c r="H30" s="115" t="str">
        <f>ROUND(SUM(H24:H29),0)&amp;" Mbps"</f>
        <v>1390 Mbps</v>
      </c>
    </row>
  </sheetData>
  <mergeCells count="14">
    <mergeCell ref="F4:F5"/>
    <mergeCell ref="I4:I5"/>
    <mergeCell ref="G4:H4"/>
    <mergeCell ref="B4:B5"/>
    <mergeCell ref="C4:C5"/>
    <mergeCell ref="D4:D5"/>
    <mergeCell ref="E4:E5"/>
    <mergeCell ref="F22:F23"/>
    <mergeCell ref="G22:H22"/>
    <mergeCell ref="I22:I23"/>
    <mergeCell ref="B22:B23"/>
    <mergeCell ref="C22:C23"/>
    <mergeCell ref="D22:D23"/>
    <mergeCell ref="E22:E23"/>
  </mergeCells>
  <phoneticPr fontId="38" type="noConversion"/>
  <conditionalFormatting sqref="B6:B12 B15:B17">
    <cfRule type="expression" dxfId="66" priority="2">
      <formula>$D6="N/A"</formula>
    </cfRule>
  </conditionalFormatting>
  <conditionalFormatting sqref="B13:B14">
    <cfRule type="expression" dxfId="65" priority="3">
      <formula>#REF!="N/A"</formula>
    </cfRule>
  </conditionalFormatting>
  <dataValidations count="2">
    <dataValidation type="list" allowBlank="1" showInputMessage="1" showErrorMessage="1" sqref="B24:B29 B6:B17" xr:uid="{00000000-0002-0000-0300-000000000000}">
      <formula1>lu_vlan</formula1>
    </dataValidation>
    <dataValidation type="list" allowBlank="1" showInputMessage="1" showErrorMessage="1" sqref="C3 I21 E21 G21 C21" xr:uid="{00000000-0002-0000-0300-000001000000}">
      <formula1>su_venues</formula1>
    </dataValidation>
  </dataValidations>
  <pageMargins left="0.7" right="0.7" top="0.75" bottom="0.75" header="0.3" footer="0.3"/>
  <pageSetup paperSize="9" scale="61" fitToHeight="0" orientation="portrait" r:id="rId1"/>
  <headerFooter>
    <oddHeader>&amp;L&amp;"Calibri"&amp;12&amp;K008000 SC Classification:GENERAL BUSINESS\Other General Business&amp;1#_x000D_</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8" tint="-0.499984740745262"/>
  </sheetPr>
  <dimension ref="A1:P65"/>
  <sheetViews>
    <sheetView topLeftCell="A20" zoomScale="85" zoomScaleNormal="85" workbookViewId="0">
      <selection activeCell="B40" sqref="B40"/>
    </sheetView>
  </sheetViews>
  <sheetFormatPr defaultColWidth="8.6640625" defaultRowHeight="14.4"/>
  <cols>
    <col min="1" max="1" width="5.33203125" customWidth="1"/>
    <col min="2" max="2" width="33.33203125" customWidth="1"/>
    <col min="3" max="3" width="21.6640625" customWidth="1"/>
    <col min="4" max="4" width="21.6640625" bestFit="1" customWidth="1"/>
    <col min="5" max="5" width="51.6640625" customWidth="1"/>
    <col min="6" max="6" width="116.6640625" customWidth="1"/>
    <col min="7" max="7" width="45.6640625" bestFit="1" customWidth="1"/>
    <col min="8" max="8" width="8.5546875" customWidth="1"/>
    <col min="9" max="9" width="33.44140625" customWidth="1"/>
    <col min="10" max="11" width="22.44140625" customWidth="1"/>
    <col min="12" max="12" width="18.44140625" customWidth="1"/>
    <col min="13" max="13" width="17.44140625" hidden="1" customWidth="1"/>
    <col min="14" max="14" width="8" customWidth="1"/>
    <col min="15" max="15" width="58.44140625" customWidth="1"/>
  </cols>
  <sheetData>
    <row r="1" spans="1:16" ht="35.25" customHeight="1">
      <c r="B1" s="118" t="str">
        <f>su_tournament&amp;" "&amp;su_host_country&amp;" "&amp;su_year&amp;": TEAP v"&amp;su_version&amp;" Network Requirements"</f>
        <v>FIFA U-17 World Cup Qatar 2025: TEAP v0.9 Network Requirements</v>
      </c>
      <c r="C1" s="71"/>
      <c r="D1" s="71"/>
      <c r="E1" s="71"/>
      <c r="F1" s="71"/>
      <c r="G1" s="71"/>
      <c r="H1" s="71"/>
      <c r="I1" s="71"/>
      <c r="J1" s="71"/>
      <c r="K1" s="71"/>
      <c r="L1" s="71"/>
      <c r="M1" s="71"/>
      <c r="N1" s="71"/>
    </row>
    <row r="3" spans="1:16" ht="30" customHeight="1">
      <c r="B3" s="3" t="s">
        <v>1064</v>
      </c>
      <c r="C3" s="2"/>
      <c r="D3" s="2"/>
      <c r="E3" s="2"/>
      <c r="F3" s="2"/>
      <c r="G3" s="2"/>
      <c r="H3" s="2"/>
      <c r="I3" s="2"/>
      <c r="J3" s="2"/>
      <c r="K3" s="2"/>
      <c r="L3" s="2"/>
      <c r="M3" s="2"/>
      <c r="N3" s="2"/>
      <c r="O3" s="2"/>
      <c r="P3" s="2"/>
    </row>
    <row r="4" spans="1:16" ht="33.75" customHeight="1">
      <c r="B4" s="218" t="s">
        <v>1065</v>
      </c>
      <c r="C4" s="463" t="s">
        <v>1066</v>
      </c>
      <c r="D4" s="464"/>
      <c r="E4" s="464"/>
      <c r="F4" s="464"/>
    </row>
    <row r="5" spans="1:16">
      <c r="B5" s="219" t="s">
        <v>1043</v>
      </c>
      <c r="C5" s="462" t="s">
        <v>1067</v>
      </c>
      <c r="D5" s="462"/>
      <c r="E5" s="462"/>
      <c r="F5" s="462"/>
    </row>
    <row r="6" spans="1:16" ht="15" customHeight="1">
      <c r="B6" s="219" t="s">
        <v>1045</v>
      </c>
      <c r="C6" s="462" t="s">
        <v>1068</v>
      </c>
      <c r="D6" s="462"/>
      <c r="E6" s="462"/>
      <c r="F6" s="462"/>
    </row>
    <row r="7" spans="1:16" s="276" customFormat="1">
      <c r="B7" s="302" t="s">
        <v>1046</v>
      </c>
      <c r="C7" s="465" t="s">
        <v>1069</v>
      </c>
      <c r="D7" s="465"/>
      <c r="E7" s="465"/>
      <c r="F7" s="465"/>
    </row>
    <row r="8" spans="1:16" ht="15" customHeight="1">
      <c r="B8" s="219" t="s">
        <v>1048</v>
      </c>
      <c r="C8" s="462" t="s">
        <v>1070</v>
      </c>
      <c r="D8" s="462"/>
      <c r="E8" s="462"/>
      <c r="F8" s="462"/>
    </row>
    <row r="9" spans="1:16">
      <c r="B9" s="219" t="s">
        <v>1049</v>
      </c>
      <c r="C9" s="462" t="s">
        <v>1071</v>
      </c>
      <c r="D9" s="462"/>
      <c r="E9" s="462"/>
      <c r="F9" s="462"/>
    </row>
    <row r="10" spans="1:16" s="300" customFormat="1" ht="15" customHeight="1">
      <c r="B10" s="219" t="s">
        <v>1050</v>
      </c>
      <c r="C10" s="462" t="s">
        <v>1072</v>
      </c>
      <c r="D10" s="462"/>
      <c r="E10" s="462"/>
      <c r="F10" s="462"/>
    </row>
    <row r="11" spans="1:16" s="249" customFormat="1">
      <c r="A11"/>
      <c r="B11" s="219" t="s">
        <v>1073</v>
      </c>
      <c r="C11" s="462" t="s">
        <v>1074</v>
      </c>
      <c r="D11" s="462"/>
      <c r="E11" s="462"/>
      <c r="F11" s="462"/>
      <c r="G11"/>
      <c r="H11"/>
      <c r="I11"/>
      <c r="J11"/>
      <c r="K11"/>
      <c r="L11"/>
      <c r="M11"/>
      <c r="N11"/>
      <c r="O11"/>
      <c r="P11"/>
    </row>
    <row r="12" spans="1:16">
      <c r="B12" s="219" t="s">
        <v>1053</v>
      </c>
      <c r="C12" s="462" t="s">
        <v>1075</v>
      </c>
      <c r="D12" s="462"/>
      <c r="E12" s="462"/>
      <c r="F12" s="462"/>
    </row>
    <row r="13" spans="1:16">
      <c r="B13" s="219" t="s">
        <v>1054</v>
      </c>
      <c r="C13" s="462" t="s">
        <v>1076</v>
      </c>
      <c r="D13" s="462"/>
      <c r="E13" s="462"/>
      <c r="F13" s="462"/>
    </row>
    <row r="14" spans="1:16" s="300" customFormat="1">
      <c r="B14" s="301" t="s">
        <v>1077</v>
      </c>
      <c r="C14" s="466" t="s">
        <v>1078</v>
      </c>
      <c r="D14" s="466"/>
      <c r="E14" s="466"/>
      <c r="F14" s="466"/>
    </row>
    <row r="15" spans="1:16" s="300" customFormat="1" ht="30" customHeight="1">
      <c r="B15" s="301" t="s">
        <v>1055</v>
      </c>
      <c r="C15" s="466" t="s">
        <v>1079</v>
      </c>
      <c r="D15" s="466"/>
      <c r="E15" s="466"/>
      <c r="F15" s="466"/>
    </row>
    <row r="16" spans="1:16" s="300" customFormat="1" ht="30.75" customHeight="1">
      <c r="B16" s="301" t="s">
        <v>1056</v>
      </c>
      <c r="C16" s="466" t="s">
        <v>1080</v>
      </c>
      <c r="D16" s="466"/>
      <c r="E16" s="466"/>
      <c r="F16" s="466"/>
    </row>
    <row r="17" spans="1:16" ht="40.200000000000003" customHeight="1">
      <c r="B17" s="219" t="s">
        <v>1081</v>
      </c>
      <c r="C17" s="462" t="s">
        <v>1082</v>
      </c>
      <c r="D17" s="462"/>
      <c r="E17" s="462"/>
      <c r="F17" s="462"/>
    </row>
    <row r="18" spans="1:16" ht="40.200000000000003" customHeight="1">
      <c r="B18" s="219" t="s">
        <v>1043</v>
      </c>
      <c r="C18" s="462" t="s">
        <v>1083</v>
      </c>
      <c r="D18" s="462"/>
      <c r="E18" s="462"/>
      <c r="F18" s="462"/>
    </row>
    <row r="19" spans="1:16" ht="20.25" customHeight="1">
      <c r="B19" s="23"/>
      <c r="C19" s="20"/>
      <c r="D19" s="20"/>
      <c r="E19" s="20"/>
      <c r="F19" s="20"/>
      <c r="G19" s="20"/>
      <c r="H19" s="21"/>
      <c r="I19" s="21"/>
      <c r="J19" s="21"/>
      <c r="K19" s="21"/>
      <c r="L19" s="21"/>
      <c r="M19" s="21"/>
      <c r="N19" s="21"/>
      <c r="O19" s="22"/>
    </row>
    <row r="20" spans="1:16" ht="30" customHeight="1">
      <c r="B20" s="3" t="s">
        <v>1084</v>
      </c>
      <c r="C20" s="2"/>
      <c r="D20" s="2"/>
      <c r="E20" s="2"/>
      <c r="F20" s="2"/>
      <c r="G20" s="2"/>
      <c r="H20" s="2"/>
      <c r="I20" s="2"/>
      <c r="J20" s="2"/>
      <c r="K20" s="2"/>
      <c r="L20" s="2"/>
      <c r="M20" s="2"/>
      <c r="N20" s="2"/>
      <c r="O20" s="2"/>
      <c r="P20" s="2"/>
    </row>
    <row r="21" spans="1:16" s="60" customFormat="1" ht="30" customHeight="1">
      <c r="B21" s="467" t="s">
        <v>1085</v>
      </c>
      <c r="C21" s="469" t="s">
        <v>1086</v>
      </c>
      <c r="D21" s="470"/>
      <c r="E21" s="232" t="s">
        <v>1087</v>
      </c>
      <c r="F21" s="232" t="s">
        <v>1088</v>
      </c>
      <c r="G21" s="2"/>
      <c r="H21" s="2"/>
      <c r="I21" s="2"/>
    </row>
    <row r="22" spans="1:16" ht="44.25" customHeight="1">
      <c r="A22" s="25" t="s">
        <v>1089</v>
      </c>
      <c r="B22" s="468"/>
      <c r="C22" s="207" t="str">
        <f>IF(C21="","","Internet Bandwidth (Mbps)")</f>
        <v>Internet Bandwidth (Mbps)</v>
      </c>
      <c r="D22" s="207" t="str">
        <f>IF(C21="","","Quantity of IP Addresses")</f>
        <v>Quantity of IP Addresses</v>
      </c>
      <c r="E22" s="252" t="s">
        <v>1090</v>
      </c>
      <c r="F22" s="252" t="s">
        <v>1091</v>
      </c>
    </row>
    <row r="23" spans="1:16" ht="17.25" customHeight="1">
      <c r="A23">
        <v>1</v>
      </c>
      <c r="B23" s="307" t="s">
        <v>1043</v>
      </c>
      <c r="C23" s="260">
        <v>300</v>
      </c>
      <c r="D23" s="261" t="s">
        <v>1092</v>
      </c>
      <c r="E23" s="253" t="s">
        <v>1093</v>
      </c>
      <c r="F23" s="312" t="s">
        <v>1094</v>
      </c>
    </row>
    <row r="24" spans="1:16" ht="17.25" customHeight="1">
      <c r="A24">
        <v>2</v>
      </c>
      <c r="B24" s="307" t="s">
        <v>1045</v>
      </c>
      <c r="C24" s="260">
        <v>200</v>
      </c>
      <c r="D24" s="261" t="s">
        <v>1095</v>
      </c>
      <c r="E24" s="305" t="s">
        <v>1096</v>
      </c>
      <c r="F24" s="253" t="s">
        <v>1097</v>
      </c>
    </row>
    <row r="25" spans="1:16" s="249" customFormat="1" ht="17.25" customHeight="1">
      <c r="A25" s="276">
        <v>3</v>
      </c>
      <c r="B25" s="307" t="s">
        <v>1098</v>
      </c>
      <c r="C25" s="260">
        <v>200</v>
      </c>
      <c r="D25" s="261" t="s">
        <v>1095</v>
      </c>
      <c r="E25" s="305" t="s">
        <v>1096</v>
      </c>
      <c r="F25" s="253" t="s">
        <v>1099</v>
      </c>
    </row>
    <row r="26" spans="1:16" s="276" customFormat="1" ht="17.25" customHeight="1">
      <c r="A26" s="276">
        <v>4</v>
      </c>
      <c r="B26" s="307" t="s">
        <v>1048</v>
      </c>
      <c r="C26" s="303">
        <v>1000</v>
      </c>
      <c r="D26" s="304" t="s">
        <v>1100</v>
      </c>
      <c r="E26" s="305" t="s">
        <v>1101</v>
      </c>
      <c r="F26" s="305" t="s">
        <v>1102</v>
      </c>
    </row>
    <row r="27" spans="1:16" ht="17.25" customHeight="1">
      <c r="A27">
        <v>5</v>
      </c>
      <c r="B27" s="299" t="s">
        <v>1049</v>
      </c>
      <c r="C27" s="262">
        <v>500</v>
      </c>
      <c r="D27" s="261" t="s">
        <v>1100</v>
      </c>
      <c r="E27" s="253" t="s">
        <v>1103</v>
      </c>
      <c r="F27" s="253" t="s">
        <v>1104</v>
      </c>
    </row>
    <row r="28" spans="1:16" s="276" customFormat="1" ht="17.25" customHeight="1">
      <c r="A28" s="276">
        <v>6</v>
      </c>
      <c r="B28" s="307" t="s">
        <v>1050</v>
      </c>
      <c r="C28" s="303">
        <v>350</v>
      </c>
      <c r="D28" s="304" t="s">
        <v>1100</v>
      </c>
      <c r="E28" s="305" t="s">
        <v>1096</v>
      </c>
      <c r="F28" s="305" t="s">
        <v>1105</v>
      </c>
    </row>
    <row r="29" spans="1:16" ht="17.25" customHeight="1">
      <c r="A29">
        <v>7</v>
      </c>
      <c r="B29" s="299" t="s">
        <v>1073</v>
      </c>
      <c r="C29" s="262">
        <v>150</v>
      </c>
      <c r="D29" s="261" t="s">
        <v>1100</v>
      </c>
      <c r="E29" s="253" t="s">
        <v>1101</v>
      </c>
      <c r="F29" s="253" t="s">
        <v>1106</v>
      </c>
    </row>
    <row r="30" spans="1:16" s="276" customFormat="1" ht="17.25" customHeight="1">
      <c r="A30" s="276">
        <v>8</v>
      </c>
      <c r="B30" s="299" t="s">
        <v>1053</v>
      </c>
      <c r="C30" s="306">
        <v>200</v>
      </c>
      <c r="D30" s="304" t="s">
        <v>1100</v>
      </c>
      <c r="E30" s="305" t="s">
        <v>1107</v>
      </c>
      <c r="F30" s="305" t="s">
        <v>1108</v>
      </c>
    </row>
    <row r="31" spans="1:16">
      <c r="A31">
        <v>9</v>
      </c>
      <c r="B31" s="299" t="s">
        <v>1054</v>
      </c>
      <c r="C31" s="263">
        <v>100</v>
      </c>
      <c r="D31" s="261" t="s">
        <v>1095</v>
      </c>
      <c r="E31" s="253" t="s">
        <v>1109</v>
      </c>
      <c r="F31" s="253" t="s">
        <v>1110</v>
      </c>
    </row>
    <row r="32" spans="1:16" ht="17.25" customHeight="1">
      <c r="A32">
        <v>10</v>
      </c>
      <c r="B32" s="299" t="s">
        <v>1081</v>
      </c>
      <c r="C32" s="262">
        <v>0</v>
      </c>
      <c r="D32" s="261" t="s">
        <v>1100</v>
      </c>
      <c r="E32" s="253" t="s">
        <v>1107</v>
      </c>
      <c r="F32" s="264" t="s">
        <v>1111</v>
      </c>
    </row>
    <row r="33" spans="1:15" ht="17.25" customHeight="1">
      <c r="A33">
        <v>10</v>
      </c>
      <c r="B33" s="299" t="s">
        <v>1043</v>
      </c>
      <c r="C33" s="262">
        <v>0</v>
      </c>
      <c r="D33" s="261" t="s">
        <v>1100</v>
      </c>
      <c r="E33" s="253" t="s">
        <v>1107</v>
      </c>
      <c r="F33" s="264" t="s">
        <v>1111</v>
      </c>
    </row>
    <row r="34" spans="1:15" ht="20.25" customHeight="1">
      <c r="B34" s="205" t="s">
        <v>1112</v>
      </c>
      <c r="C34" s="206" t="str">
        <f>SUM(C23:C32)&amp;" Mbps"</f>
        <v>3000 Mbps</v>
      </c>
      <c r="D34" s="251"/>
      <c r="E34" s="253"/>
      <c r="F34" s="235"/>
      <c r="K34" s="2"/>
    </row>
    <row r="35" spans="1:15" ht="20.25" customHeight="1">
      <c r="N35" s="2"/>
      <c r="O35" s="2"/>
    </row>
    <row r="36" spans="1:15" ht="30" customHeight="1">
      <c r="B36" s="3" t="s">
        <v>1113</v>
      </c>
      <c r="C36" s="2"/>
      <c r="D36" s="2"/>
      <c r="E36" s="2"/>
      <c r="F36" s="2"/>
      <c r="N36" s="2"/>
      <c r="O36" s="2"/>
    </row>
    <row r="37" spans="1:15" ht="33.75" customHeight="1">
      <c r="B37" s="189" t="s">
        <v>1114</v>
      </c>
      <c r="C37" s="217" t="s">
        <v>1115</v>
      </c>
      <c r="D37" s="190" t="s">
        <v>1116</v>
      </c>
      <c r="E37" s="191" t="s">
        <v>1117</v>
      </c>
      <c r="F37" s="192"/>
    </row>
    <row r="38" spans="1:15">
      <c r="A38">
        <v>1</v>
      </c>
      <c r="B38" s="233" t="str">
        <f>su_short_name</f>
        <v>FU17WC2025</v>
      </c>
      <c r="C38" s="233" t="s">
        <v>1043</v>
      </c>
      <c r="D38" s="254" t="str">
        <f>"FIFA!"&amp;su_short_name</f>
        <v>FIFA!FU17WC2025</v>
      </c>
      <c r="E38" s="233" t="s">
        <v>1118</v>
      </c>
      <c r="F38" s="234"/>
    </row>
    <row r="39" spans="1:15" ht="13.2" customHeight="1">
      <c r="A39">
        <v>2</v>
      </c>
      <c r="B39" s="233" t="str">
        <f>su_short_name&amp;"_MEDIA"</f>
        <v>FU17WC2025_MEDIA</v>
      </c>
      <c r="C39" s="233" t="s">
        <v>1061</v>
      </c>
      <c r="D39" s="254" t="str">
        <f>"Media!"&amp;su_short_name</f>
        <v>Media!FU17WC2025</v>
      </c>
      <c r="E39" s="233" t="s">
        <v>1119</v>
      </c>
      <c r="F39" s="234"/>
    </row>
    <row r="40" spans="1:15" ht="14.7" customHeight="1">
      <c r="A40">
        <v>3</v>
      </c>
      <c r="B40" s="236" t="str">
        <f>su_short_name&amp;"_FOOTBALL"</f>
        <v>FU17WC2025_FOOTBALL</v>
      </c>
      <c r="C40" s="233" t="s">
        <v>1054</v>
      </c>
      <c r="D40" s="254" t="str">
        <f>"FairPlay!"&amp;su_year</f>
        <v>FairPlay!2025</v>
      </c>
      <c r="E40" s="233" t="s">
        <v>1120</v>
      </c>
      <c r="F40" s="234"/>
    </row>
    <row r="41" spans="1:15" ht="14.25" customHeight="1">
      <c r="A41">
        <v>4</v>
      </c>
      <c r="B41" s="236" t="str">
        <f>su_short_name&amp;"_VIP"</f>
        <v>FU17WC2025_VIP</v>
      </c>
      <c r="C41" s="233" t="s">
        <v>1054</v>
      </c>
      <c r="D41" s="254" t="str">
        <f>"VIP!"&amp;su_short_name</f>
        <v>VIP!FU17WC2025</v>
      </c>
      <c r="E41" s="233" t="s">
        <v>1121</v>
      </c>
      <c r="F41" s="234"/>
    </row>
    <row r="42" spans="1:15" ht="14.25" customHeight="1">
      <c r="A42">
        <v>5</v>
      </c>
      <c r="B42" s="236" t="str">
        <f>su_short_name&amp;"_REF"</f>
        <v>FU17WC2025_REF</v>
      </c>
      <c r="C42" s="233" t="s">
        <v>1098</v>
      </c>
      <c r="D42" s="254" t="str">
        <f>"REF!"&amp;su_short_name</f>
        <v>REF!FU17WC2025</v>
      </c>
      <c r="E42" s="233" t="s">
        <v>1122</v>
      </c>
      <c r="F42" s="234"/>
    </row>
    <row r="45" spans="1:15" ht="21">
      <c r="B45" s="3" t="s">
        <v>1123</v>
      </c>
      <c r="C45" s="2"/>
      <c r="D45" s="2"/>
      <c r="E45" s="2"/>
      <c r="F45" s="2"/>
    </row>
    <row r="46" spans="1:15">
      <c r="B46" s="467" t="s">
        <v>1085</v>
      </c>
      <c r="C46" s="469" t="s">
        <v>1086</v>
      </c>
      <c r="D46" s="470"/>
      <c r="E46" s="232" t="s">
        <v>1087</v>
      </c>
      <c r="F46" s="232" t="s">
        <v>1088</v>
      </c>
    </row>
    <row r="47" spans="1:15" ht="28.8">
      <c r="B47" s="468"/>
      <c r="C47" s="207" t="str">
        <f>IF(C46="","","Internet Bandwidth (Mbps)")</f>
        <v>Internet Bandwidth (Mbps)</v>
      </c>
      <c r="D47" s="207" t="str">
        <f>IF(C46="","","Quantity of IP Addresses")</f>
        <v>Quantity of IP Addresses</v>
      </c>
      <c r="E47" s="252" t="s">
        <v>1090</v>
      </c>
      <c r="F47" s="252" t="s">
        <v>1091</v>
      </c>
    </row>
    <row r="48" spans="1:15">
      <c r="B48" s="307" t="s">
        <v>1043</v>
      </c>
      <c r="C48" s="260">
        <v>300</v>
      </c>
      <c r="D48" s="261" t="s">
        <v>1092</v>
      </c>
      <c r="E48" s="253" t="s">
        <v>1093</v>
      </c>
      <c r="F48" s="312" t="s">
        <v>1094</v>
      </c>
    </row>
    <row r="49" spans="2:8">
      <c r="B49" s="307" t="s">
        <v>1045</v>
      </c>
      <c r="C49" s="260">
        <v>200</v>
      </c>
      <c r="D49" s="261" t="s">
        <v>1095</v>
      </c>
      <c r="E49" s="305" t="s">
        <v>1096</v>
      </c>
      <c r="F49" s="253" t="s">
        <v>1097</v>
      </c>
    </row>
    <row r="50" spans="2:8">
      <c r="B50" s="307" t="s">
        <v>1098</v>
      </c>
      <c r="C50" s="260">
        <v>200</v>
      </c>
      <c r="D50" s="261" t="s">
        <v>1095</v>
      </c>
      <c r="E50" s="253" t="s">
        <v>1124</v>
      </c>
      <c r="F50" s="253" t="s">
        <v>1099</v>
      </c>
    </row>
    <row r="51" spans="2:8">
      <c r="B51" s="307" t="s">
        <v>1048</v>
      </c>
      <c r="C51" s="303">
        <v>50</v>
      </c>
      <c r="D51" s="304" t="s">
        <v>1100</v>
      </c>
      <c r="E51" s="305" t="s">
        <v>1125</v>
      </c>
      <c r="F51" s="305" t="s">
        <v>1126</v>
      </c>
    </row>
    <row r="52" spans="2:8">
      <c r="B52" s="299" t="s">
        <v>1049</v>
      </c>
      <c r="C52" s="262">
        <v>200</v>
      </c>
      <c r="D52" s="261" t="s">
        <v>1100</v>
      </c>
      <c r="E52" s="253" t="s">
        <v>1103</v>
      </c>
      <c r="F52" s="253" t="s">
        <v>1104</v>
      </c>
    </row>
    <row r="53" spans="2:8">
      <c r="B53" s="307" t="s">
        <v>1050</v>
      </c>
      <c r="C53" s="303">
        <v>200</v>
      </c>
      <c r="D53" s="304" t="s">
        <v>1100</v>
      </c>
      <c r="E53" s="305" t="s">
        <v>1096</v>
      </c>
      <c r="F53" s="305" t="s">
        <v>1127</v>
      </c>
    </row>
    <row r="54" spans="2:8">
      <c r="B54" s="299" t="s">
        <v>1073</v>
      </c>
      <c r="C54" s="262">
        <v>150</v>
      </c>
      <c r="D54" s="261" t="s">
        <v>1100</v>
      </c>
      <c r="E54" s="253" t="s">
        <v>1101</v>
      </c>
      <c r="F54" s="253" t="s">
        <v>1128</v>
      </c>
    </row>
    <row r="55" spans="2:8">
      <c r="B55" s="299" t="s">
        <v>1053</v>
      </c>
      <c r="C55" s="306">
        <v>100</v>
      </c>
      <c r="D55" s="304" t="s">
        <v>1100</v>
      </c>
      <c r="E55" s="305" t="s">
        <v>1107</v>
      </c>
      <c r="F55" s="305" t="s">
        <v>1108</v>
      </c>
    </row>
    <row r="56" spans="2:8">
      <c r="B56" s="299" t="s">
        <v>1054</v>
      </c>
      <c r="C56" s="263">
        <v>100</v>
      </c>
      <c r="D56" s="261" t="s">
        <v>1095</v>
      </c>
      <c r="E56" s="253" t="s">
        <v>1109</v>
      </c>
      <c r="F56" s="253" t="s">
        <v>1110</v>
      </c>
    </row>
    <row r="57" spans="2:8">
      <c r="B57" s="299" t="s">
        <v>1081</v>
      </c>
      <c r="C57" s="262">
        <v>0</v>
      </c>
      <c r="D57" s="261" t="s">
        <v>1100</v>
      </c>
      <c r="E57" s="253" t="s">
        <v>1107</v>
      </c>
      <c r="F57" s="264" t="s">
        <v>1111</v>
      </c>
    </row>
    <row r="58" spans="2:8">
      <c r="B58" s="205" t="s">
        <v>1112</v>
      </c>
      <c r="C58" s="206" t="str">
        <f>SUM(C48:C57)&amp;" Mbps"</f>
        <v>1500 Mbps</v>
      </c>
      <c r="D58" s="251"/>
      <c r="E58" s="253"/>
      <c r="F58" s="235"/>
    </row>
    <row r="60" spans="2:8" ht="21">
      <c r="B60" s="315" t="s">
        <v>1129</v>
      </c>
      <c r="C60" s="315"/>
      <c r="D60" s="315"/>
      <c r="E60" s="315"/>
      <c r="F60" s="315"/>
      <c r="G60" s="316"/>
      <c r="H60" s="316"/>
    </row>
    <row r="61" spans="2:8">
      <c r="B61" s="317" t="s">
        <v>1115</v>
      </c>
      <c r="C61" s="318" t="s">
        <v>1130</v>
      </c>
      <c r="D61" s="318" t="s">
        <v>1131</v>
      </c>
      <c r="E61" s="318" t="s">
        <v>1114</v>
      </c>
      <c r="F61" s="318" t="s">
        <v>1116</v>
      </c>
      <c r="G61" s="319" t="s">
        <v>1132</v>
      </c>
      <c r="H61" s="319" t="s">
        <v>1133</v>
      </c>
    </row>
    <row r="62" spans="2:8">
      <c r="B62" s="320" t="s">
        <v>1043</v>
      </c>
      <c r="C62" s="321" t="s">
        <v>1134</v>
      </c>
      <c r="D62" s="322" t="s">
        <v>1135</v>
      </c>
      <c r="E62" s="321" t="s">
        <v>1136</v>
      </c>
      <c r="F62" s="316" t="s">
        <v>1137</v>
      </c>
      <c r="G62" s="320" t="s">
        <v>1138</v>
      </c>
      <c r="H62" s="321">
        <v>300</v>
      </c>
    </row>
    <row r="63" spans="2:8">
      <c r="B63" s="323" t="s">
        <v>1061</v>
      </c>
      <c r="C63" s="324" t="s">
        <v>1134</v>
      </c>
      <c r="D63" s="325" t="s">
        <v>1139</v>
      </c>
      <c r="E63" s="324" t="s">
        <v>1140</v>
      </c>
      <c r="F63" s="316" t="s">
        <v>1141</v>
      </c>
      <c r="G63" s="323" t="s">
        <v>1142</v>
      </c>
      <c r="H63" s="324">
        <v>100</v>
      </c>
    </row>
    <row r="64" spans="2:8" ht="27.6">
      <c r="B64" s="323" t="s">
        <v>1063</v>
      </c>
      <c r="C64" s="325" t="s">
        <v>1143</v>
      </c>
      <c r="D64" s="325" t="s">
        <v>1144</v>
      </c>
      <c r="E64" s="325" t="s">
        <v>1145</v>
      </c>
      <c r="F64" s="321" t="s">
        <v>1146</v>
      </c>
      <c r="G64" s="324" t="s">
        <v>1145</v>
      </c>
      <c r="H64" s="324" t="s">
        <v>1146</v>
      </c>
    </row>
    <row r="65" spans="2:8">
      <c r="B65" s="323" t="s">
        <v>1054</v>
      </c>
      <c r="C65" s="325" t="s">
        <v>1134</v>
      </c>
      <c r="D65" s="325" t="s">
        <v>1146</v>
      </c>
      <c r="E65" s="325" t="s">
        <v>1147</v>
      </c>
      <c r="F65" s="324" t="s">
        <v>1148</v>
      </c>
      <c r="G65" s="324" t="s">
        <v>1145</v>
      </c>
      <c r="H65" s="324" t="s">
        <v>1146</v>
      </c>
    </row>
  </sheetData>
  <mergeCells count="19">
    <mergeCell ref="C14:F14"/>
    <mergeCell ref="C17:F17"/>
    <mergeCell ref="C18:F18"/>
    <mergeCell ref="B46:B47"/>
    <mergeCell ref="C46:D46"/>
    <mergeCell ref="C15:F15"/>
    <mergeCell ref="C16:F16"/>
    <mergeCell ref="B21:B22"/>
    <mergeCell ref="C21:D21"/>
    <mergeCell ref="C10:F10"/>
    <mergeCell ref="C11:F11"/>
    <mergeCell ref="C12:F12"/>
    <mergeCell ref="C13:F13"/>
    <mergeCell ref="C4:F4"/>
    <mergeCell ref="C5:F5"/>
    <mergeCell ref="C6:F6"/>
    <mergeCell ref="C8:F8"/>
    <mergeCell ref="C9:F9"/>
    <mergeCell ref="C7:F7"/>
  </mergeCells>
  <conditionalFormatting sqref="C30:C31 B32:C32 D30:D32 B23:C29 B33:D33">
    <cfRule type="expression" dxfId="64" priority="20">
      <formula>$D23="N/A"</formula>
    </cfRule>
  </conditionalFormatting>
  <conditionalFormatting sqref="B31">
    <cfRule type="expression" dxfId="63" priority="39">
      <formula>#REF!="N/A"</formula>
    </cfRule>
  </conditionalFormatting>
  <conditionalFormatting sqref="D23:D26">
    <cfRule type="expression" dxfId="62" priority="12">
      <formula>$D23="N/A"</formula>
    </cfRule>
  </conditionalFormatting>
  <conditionalFormatting sqref="D27">
    <cfRule type="expression" dxfId="61" priority="11">
      <formula>$D27="N/A"</formula>
    </cfRule>
  </conditionalFormatting>
  <conditionalFormatting sqref="D28">
    <cfRule type="expression" dxfId="60" priority="10">
      <formula>$D28="N/A"</formula>
    </cfRule>
  </conditionalFormatting>
  <conditionalFormatting sqref="D29">
    <cfRule type="expression" dxfId="59" priority="9">
      <formula>$D29="N/A"</formula>
    </cfRule>
  </conditionalFormatting>
  <conditionalFormatting sqref="B30">
    <cfRule type="expression" dxfId="58" priority="8">
      <formula>$D30="N/A"</formula>
    </cfRule>
  </conditionalFormatting>
  <conditionalFormatting sqref="C55:C56 B57:C57 D55:D57 B48:C54">
    <cfRule type="expression" dxfId="57" priority="6">
      <formula>$D48="N/A"</formula>
    </cfRule>
  </conditionalFormatting>
  <conditionalFormatting sqref="B56">
    <cfRule type="expression" dxfId="56" priority="7">
      <formula>#REF!="N/A"</formula>
    </cfRule>
  </conditionalFormatting>
  <conditionalFormatting sqref="D48:D51">
    <cfRule type="expression" dxfId="55" priority="5">
      <formula>$D48="N/A"</formula>
    </cfRule>
  </conditionalFormatting>
  <conditionalFormatting sqref="D52">
    <cfRule type="expression" dxfId="54" priority="4">
      <formula>$D52="N/A"</formula>
    </cfRule>
  </conditionalFormatting>
  <conditionalFormatting sqref="D53">
    <cfRule type="expression" dxfId="53" priority="3">
      <formula>$D53="N/A"</formula>
    </cfRule>
  </conditionalFormatting>
  <conditionalFormatting sqref="D54">
    <cfRule type="expression" dxfId="52" priority="2">
      <formula>$D54="N/A"</formula>
    </cfRule>
  </conditionalFormatting>
  <conditionalFormatting sqref="B55">
    <cfRule type="expression" dxfId="51" priority="1">
      <formula>$D55="N/A"</formula>
    </cfRule>
  </conditionalFormatting>
  <dataValidations count="1">
    <dataValidation type="list" allowBlank="1" showInputMessage="1" showErrorMessage="1" sqref="H8:H14 B5:B18 B48:B57 C38:C42 B23:B33" xr:uid="{00000000-0002-0000-0400-000000000000}">
      <formula1>lu_vlan</formula1>
    </dataValidation>
  </dataValidations>
  <pageMargins left="0.7" right="0.7" top="0.75" bottom="0.75" header="0.3" footer="0.3"/>
  <pageSetup paperSize="9" orientation="portrait" r:id="rId1"/>
  <headerFooter>
    <oddHeader>&amp;L&amp;"Calibri"&amp;12&amp;K008000 SC Classification:GENERAL BUSINESS\Other General Business&amp;1#_x000D_</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8" tint="-0.499984740745262"/>
    <pageSetUpPr fitToPage="1"/>
  </sheetPr>
  <dimension ref="B1:F12"/>
  <sheetViews>
    <sheetView zoomScaleNormal="100" workbookViewId="0">
      <selection activeCell="D9" sqref="D9:E9"/>
    </sheetView>
  </sheetViews>
  <sheetFormatPr defaultColWidth="8.6640625" defaultRowHeight="14.4"/>
  <cols>
    <col min="1" max="1" width="3.44140625" customWidth="1"/>
    <col min="2" max="2" width="27.44140625" customWidth="1"/>
    <col min="3" max="3" width="35.44140625" customWidth="1"/>
    <col min="4" max="4" width="45.5546875" bestFit="1" customWidth="1"/>
    <col min="5" max="5" width="8.6640625" bestFit="1" customWidth="1"/>
    <col min="6" max="6" width="13.44140625" customWidth="1"/>
    <col min="7" max="7" width="39.44140625" customWidth="1"/>
    <col min="8" max="8" width="18.44140625" customWidth="1"/>
    <col min="9" max="9" width="57.44140625" bestFit="1" customWidth="1"/>
    <col min="10" max="10" width="3.44140625" bestFit="1" customWidth="1"/>
    <col min="12" max="12" width="32.44140625" bestFit="1" customWidth="1"/>
    <col min="13" max="13" width="57.44140625" bestFit="1" customWidth="1"/>
    <col min="14" max="14" width="3.44140625" bestFit="1" customWidth="1"/>
  </cols>
  <sheetData>
    <row r="1" spans="2:6" s="121" customFormat="1" ht="35.25" customHeight="1">
      <c r="B1" s="118" t="str">
        <f>su_tournament&amp;" "&amp;su_host_country&amp;" "&amp;su_year&amp;": TEAP v"&amp;su_version&amp;" Report - "&amp;IF($C$5="(All)","All Departments",$C$5)</f>
        <v>FIFA U-17 World Cup Qatar 2025: TEAP v0.9 Report - (Multiple Items)</v>
      </c>
      <c r="C1" s="119"/>
      <c r="D1" s="119"/>
      <c r="E1" s="119"/>
      <c r="F1" s="119"/>
    </row>
    <row r="3" spans="2:6" ht="21">
      <c r="B3" s="2" t="s">
        <v>1149</v>
      </c>
      <c r="C3" s="2"/>
      <c r="D3" s="2"/>
      <c r="E3" s="61"/>
      <c r="F3" s="2"/>
    </row>
    <row r="4" spans="2:6" ht="21">
      <c r="B4" s="2"/>
      <c r="C4" s="2"/>
      <c r="D4" s="2"/>
      <c r="E4" s="61"/>
      <c r="F4" s="2"/>
    </row>
    <row r="5" spans="2:6" s="60" customFormat="1" ht="15" customHeight="1">
      <c r="B5" s="182" t="s">
        <v>75</v>
      </c>
      <c r="C5" t="s">
        <v>1002</v>
      </c>
      <c r="D5" s="3"/>
      <c r="E5" s="62"/>
      <c r="F5" s="3"/>
    </row>
    <row r="7" spans="2:6">
      <c r="B7" s="193" t="s">
        <v>69</v>
      </c>
      <c r="C7" s="193" t="s">
        <v>73</v>
      </c>
      <c r="D7" s="193" t="s">
        <v>506</v>
      </c>
      <c r="E7" s="193" t="s">
        <v>53</v>
      </c>
    </row>
    <row r="8" spans="2:6">
      <c r="B8" t="s">
        <v>149</v>
      </c>
      <c r="C8" t="s">
        <v>528</v>
      </c>
      <c r="D8" t="s">
        <v>1150</v>
      </c>
      <c r="E8">
        <v>1</v>
      </c>
    </row>
    <row r="9" spans="2:6">
      <c r="D9" t="s">
        <v>785</v>
      </c>
      <c r="E9">
        <v>8</v>
      </c>
    </row>
    <row r="10" spans="2:6">
      <c r="D10" t="s">
        <v>794</v>
      </c>
      <c r="E10">
        <v>8</v>
      </c>
    </row>
    <row r="11" spans="2:6">
      <c r="B11" s="276" t="s">
        <v>152</v>
      </c>
      <c r="C11" t="s">
        <v>532</v>
      </c>
      <c r="D11" t="s">
        <v>785</v>
      </c>
      <c r="E11" s="276">
        <v>3</v>
      </c>
    </row>
    <row r="12" spans="2:6">
      <c r="B12" s="276"/>
      <c r="D12" t="s">
        <v>794</v>
      </c>
      <c r="E12" s="276">
        <v>3</v>
      </c>
    </row>
  </sheetData>
  <pageMargins left="0.7" right="0.7" top="0.75" bottom="0.75" header="0.3" footer="0.3"/>
  <pageSetup paperSize="9" scale="65" orientation="portrait" r:id="rId2"/>
  <headerFooter>
    <oddHeader>&amp;L&amp;"Calibri"&amp;12&amp;K008000 SC Classification:GENERAL BUSINESS\Other General Business&amp;1#_x000D_</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C82E8-C2C8-4074-BDAE-29859AA52F8F}">
  <sheetPr codeName="Sheet17">
    <tabColor theme="8" tint="-0.499984740745262"/>
  </sheetPr>
  <dimension ref="B1:H253"/>
  <sheetViews>
    <sheetView topLeftCell="C8" workbookViewId="0">
      <selection activeCell="C8" sqref="C8"/>
    </sheetView>
  </sheetViews>
  <sheetFormatPr defaultColWidth="8.44140625" defaultRowHeight="14.4"/>
  <cols>
    <col min="1" max="1" width="3.44140625" customWidth="1"/>
    <col min="2" max="2" width="27.44140625" customWidth="1"/>
    <col min="3" max="3" width="26" bestFit="1" customWidth="1"/>
    <col min="4" max="4" width="37.6640625" bestFit="1" customWidth="1"/>
    <col min="5" max="5" width="51.33203125" bestFit="1" customWidth="1"/>
    <col min="6" max="6" width="9.33203125" bestFit="1" customWidth="1"/>
    <col min="7" max="7" width="9.5546875" bestFit="1" customWidth="1"/>
    <col min="8" max="8" width="15.6640625" customWidth="1"/>
    <col min="9" max="9" width="15.6640625" bestFit="1" customWidth="1"/>
    <col min="10" max="10" width="15" bestFit="1" customWidth="1"/>
  </cols>
  <sheetData>
    <row r="1" spans="2:8" s="121" customFormat="1" ht="35.25" customHeight="1">
      <c r="B1" s="118" t="str">
        <f>su_tournament&amp;" "&amp;su_host_country&amp;" "&amp;su_year&amp;": TEAP v"&amp;su_version&amp;" Report - LOC IT"</f>
        <v>FIFA U-17 World Cup Qatar 2025: TEAP v0.9 Report - LOC IT</v>
      </c>
      <c r="C1" s="119"/>
      <c r="D1" s="119"/>
      <c r="E1" s="119"/>
      <c r="F1" s="119"/>
      <c r="G1" s="119"/>
      <c r="H1" s="119"/>
    </row>
    <row r="3" spans="2:8" ht="21">
      <c r="B3" s="2" t="s">
        <v>1151</v>
      </c>
      <c r="C3" s="2"/>
      <c r="D3" s="2"/>
      <c r="E3" s="61"/>
      <c r="F3" s="2"/>
    </row>
    <row r="4" spans="2:8" ht="21">
      <c r="D4" s="2"/>
      <c r="E4" s="61"/>
      <c r="F4" s="2"/>
    </row>
    <row r="5" spans="2:8" s="60" customFormat="1" ht="15" customHeight="1">
      <c r="B5" s="182" t="s">
        <v>66</v>
      </c>
      <c r="C5" t="s">
        <v>511</v>
      </c>
      <c r="D5" s="3"/>
      <c r="E5" s="62"/>
      <c r="F5" s="3"/>
    </row>
    <row r="7" spans="2:8">
      <c r="B7" s="193" t="s">
        <v>69</v>
      </c>
      <c r="C7" s="193" t="s">
        <v>71</v>
      </c>
      <c r="D7" s="193" t="s">
        <v>73</v>
      </c>
      <c r="E7" s="193" t="s">
        <v>506</v>
      </c>
      <c r="F7" t="s">
        <v>1152</v>
      </c>
      <c r="G7" s="193" t="s">
        <v>1153</v>
      </c>
    </row>
    <row r="8" spans="2:8">
      <c r="B8" t="s">
        <v>149</v>
      </c>
      <c r="C8" t="s">
        <v>335</v>
      </c>
      <c r="D8" t="s">
        <v>678</v>
      </c>
      <c r="E8" t="s">
        <v>1150</v>
      </c>
      <c r="F8">
        <v>1</v>
      </c>
      <c r="G8">
        <v>1</v>
      </c>
    </row>
    <row r="9" spans="2:8">
      <c r="C9" t="s">
        <v>691</v>
      </c>
      <c r="D9" t="s">
        <v>528</v>
      </c>
      <c r="E9" t="s">
        <v>782</v>
      </c>
      <c r="F9">
        <v>1</v>
      </c>
      <c r="G9">
        <v>1</v>
      </c>
    </row>
    <row r="10" spans="2:8">
      <c r="E10" t="s">
        <v>1150</v>
      </c>
      <c r="F10">
        <v>1</v>
      </c>
      <c r="G10">
        <v>1</v>
      </c>
    </row>
    <row r="11" spans="2:8">
      <c r="D11" t="s">
        <v>692</v>
      </c>
      <c r="E11" t="s">
        <v>1028</v>
      </c>
      <c r="F11">
        <v>50</v>
      </c>
      <c r="G11">
        <v>50</v>
      </c>
    </row>
    <row r="12" spans="2:8">
      <c r="C12" t="s">
        <v>694</v>
      </c>
      <c r="D12" t="s">
        <v>695</v>
      </c>
      <c r="E12" t="s">
        <v>779</v>
      </c>
      <c r="F12">
        <v>1</v>
      </c>
      <c r="G12">
        <v>1</v>
      </c>
    </row>
    <row r="13" spans="2:8">
      <c r="E13" t="s">
        <v>797</v>
      </c>
      <c r="F13">
        <v>2</v>
      </c>
      <c r="G13">
        <v>2</v>
      </c>
    </row>
    <row r="14" spans="2:8">
      <c r="E14" t="s">
        <v>783</v>
      </c>
      <c r="F14">
        <v>1</v>
      </c>
      <c r="G14">
        <v>1</v>
      </c>
    </row>
    <row r="15" spans="2:8">
      <c r="E15" t="s">
        <v>1154</v>
      </c>
      <c r="F15">
        <v>1</v>
      </c>
      <c r="G15">
        <v>1</v>
      </c>
    </row>
    <row r="16" spans="2:8">
      <c r="E16" t="s">
        <v>1150</v>
      </c>
      <c r="F16">
        <v>1</v>
      </c>
      <c r="G16">
        <v>1</v>
      </c>
    </row>
    <row r="17" spans="3:7">
      <c r="D17" t="s">
        <v>707</v>
      </c>
      <c r="E17" t="s">
        <v>783</v>
      </c>
      <c r="F17">
        <v>1</v>
      </c>
      <c r="G17">
        <v>1</v>
      </c>
    </row>
    <row r="18" spans="3:7">
      <c r="E18" t="s">
        <v>1154</v>
      </c>
      <c r="F18">
        <v>1</v>
      </c>
      <c r="G18">
        <v>1</v>
      </c>
    </row>
    <row r="19" spans="3:7">
      <c r="E19" t="s">
        <v>1150</v>
      </c>
      <c r="F19">
        <v>1</v>
      </c>
      <c r="G19">
        <v>1</v>
      </c>
    </row>
    <row r="20" spans="3:7">
      <c r="D20" t="s">
        <v>704</v>
      </c>
      <c r="E20" t="s">
        <v>1150</v>
      </c>
      <c r="F20">
        <v>1</v>
      </c>
      <c r="G20">
        <v>1</v>
      </c>
    </row>
    <row r="21" spans="3:7">
      <c r="C21" t="s">
        <v>527</v>
      </c>
      <c r="D21" t="s">
        <v>528</v>
      </c>
      <c r="E21" t="s">
        <v>783</v>
      </c>
      <c r="F21">
        <v>2</v>
      </c>
      <c r="G21">
        <v>2</v>
      </c>
    </row>
    <row r="22" spans="3:7">
      <c r="E22" t="s">
        <v>774</v>
      </c>
      <c r="F22">
        <v>5</v>
      </c>
      <c r="G22">
        <v>15</v>
      </c>
    </row>
    <row r="23" spans="3:7">
      <c r="E23" t="s">
        <v>1154</v>
      </c>
      <c r="F23">
        <v>3</v>
      </c>
      <c r="G23">
        <v>3</v>
      </c>
    </row>
    <row r="24" spans="3:7">
      <c r="E24" t="s">
        <v>787</v>
      </c>
      <c r="F24">
        <v>2</v>
      </c>
      <c r="G24">
        <v>2</v>
      </c>
    </row>
    <row r="25" spans="3:7">
      <c r="E25" t="s">
        <v>773</v>
      </c>
      <c r="F25">
        <v>10</v>
      </c>
      <c r="G25">
        <v>20</v>
      </c>
    </row>
    <row r="26" spans="3:7">
      <c r="E26" t="s">
        <v>772</v>
      </c>
      <c r="F26">
        <v>80</v>
      </c>
      <c r="G26">
        <v>100</v>
      </c>
    </row>
    <row r="27" spans="3:7">
      <c r="E27" t="s">
        <v>1155</v>
      </c>
      <c r="F27">
        <v>1</v>
      </c>
      <c r="G27">
        <v>1</v>
      </c>
    </row>
    <row r="28" spans="3:7">
      <c r="E28" t="s">
        <v>770</v>
      </c>
      <c r="F28">
        <v>10</v>
      </c>
      <c r="G28">
        <v>10</v>
      </c>
    </row>
    <row r="29" spans="3:7">
      <c r="E29" t="s">
        <v>1150</v>
      </c>
      <c r="F29">
        <v>1</v>
      </c>
      <c r="G29">
        <v>1</v>
      </c>
    </row>
    <row r="30" spans="3:7">
      <c r="E30" t="s">
        <v>794</v>
      </c>
      <c r="F30">
        <v>7</v>
      </c>
      <c r="G30">
        <v>7</v>
      </c>
    </row>
    <row r="31" spans="3:7">
      <c r="D31" t="s">
        <v>598</v>
      </c>
      <c r="E31" t="s">
        <v>1154</v>
      </c>
      <c r="F31">
        <v>1</v>
      </c>
      <c r="G31">
        <v>1</v>
      </c>
    </row>
    <row r="32" spans="3:7">
      <c r="E32" t="s">
        <v>787</v>
      </c>
      <c r="F32">
        <v>1</v>
      </c>
      <c r="G32">
        <v>1</v>
      </c>
    </row>
    <row r="33" spans="3:7">
      <c r="E33" t="s">
        <v>780</v>
      </c>
      <c r="F33">
        <v>1</v>
      </c>
      <c r="G33">
        <v>1</v>
      </c>
    </row>
    <row r="34" spans="3:7">
      <c r="E34" t="s">
        <v>794</v>
      </c>
      <c r="F34">
        <v>1</v>
      </c>
      <c r="G34">
        <v>1</v>
      </c>
    </row>
    <row r="35" spans="3:7">
      <c r="E35" t="s">
        <v>1156</v>
      </c>
      <c r="F35">
        <v>1</v>
      </c>
      <c r="G35">
        <v>1</v>
      </c>
    </row>
    <row r="36" spans="3:7">
      <c r="E36" t="s">
        <v>781</v>
      </c>
      <c r="F36">
        <v>1</v>
      </c>
      <c r="G36">
        <v>1</v>
      </c>
    </row>
    <row r="37" spans="3:7">
      <c r="D37" t="s">
        <v>700</v>
      </c>
      <c r="E37" t="s">
        <v>1150</v>
      </c>
      <c r="F37">
        <v>1</v>
      </c>
      <c r="G37">
        <v>1</v>
      </c>
    </row>
    <row r="38" spans="3:7">
      <c r="D38" t="s">
        <v>701</v>
      </c>
      <c r="E38" t="s">
        <v>1150</v>
      </c>
      <c r="F38">
        <v>1</v>
      </c>
      <c r="G38">
        <v>1</v>
      </c>
    </row>
    <row r="39" spans="3:7">
      <c r="D39" t="s">
        <v>703</v>
      </c>
      <c r="E39" t="s">
        <v>1150</v>
      </c>
      <c r="F39">
        <v>1</v>
      </c>
      <c r="G39">
        <v>1</v>
      </c>
    </row>
    <row r="40" spans="3:7">
      <c r="C40" t="s">
        <v>542</v>
      </c>
      <c r="D40" t="s">
        <v>1157</v>
      </c>
      <c r="E40" t="s">
        <v>1150</v>
      </c>
      <c r="F40">
        <v>1</v>
      </c>
      <c r="G40">
        <v>1</v>
      </c>
    </row>
    <row r="41" spans="3:7">
      <c r="E41" t="s">
        <v>785</v>
      </c>
      <c r="F41">
        <v>7</v>
      </c>
      <c r="G41">
        <v>5</v>
      </c>
    </row>
    <row r="42" spans="3:7">
      <c r="E42" t="s">
        <v>794</v>
      </c>
      <c r="F42">
        <v>7</v>
      </c>
      <c r="G42">
        <v>5</v>
      </c>
    </row>
    <row r="43" spans="3:7">
      <c r="D43" t="s">
        <v>557</v>
      </c>
      <c r="E43" t="s">
        <v>787</v>
      </c>
      <c r="F43">
        <v>1</v>
      </c>
      <c r="G43">
        <v>1</v>
      </c>
    </row>
    <row r="44" spans="3:7">
      <c r="E44" t="s">
        <v>789</v>
      </c>
      <c r="F44">
        <v>3</v>
      </c>
      <c r="G44">
        <v>12</v>
      </c>
    </row>
    <row r="45" spans="3:7">
      <c r="D45" t="s">
        <v>543</v>
      </c>
      <c r="E45" t="s">
        <v>779</v>
      </c>
      <c r="F45">
        <v>1</v>
      </c>
      <c r="G45">
        <v>1</v>
      </c>
    </row>
    <row r="46" spans="3:7">
      <c r="E46" t="s">
        <v>787</v>
      </c>
      <c r="F46">
        <v>6</v>
      </c>
      <c r="G46">
        <v>1</v>
      </c>
    </row>
    <row r="47" spans="3:7">
      <c r="E47" t="s">
        <v>1150</v>
      </c>
      <c r="F47">
        <v>1</v>
      </c>
      <c r="G47">
        <v>1</v>
      </c>
    </row>
    <row r="48" spans="3:7">
      <c r="E48" t="s">
        <v>785</v>
      </c>
      <c r="F48">
        <v>1</v>
      </c>
      <c r="G48">
        <v>1</v>
      </c>
    </row>
    <row r="49" spans="3:7">
      <c r="D49" t="s">
        <v>792</v>
      </c>
      <c r="E49" t="s">
        <v>787</v>
      </c>
      <c r="F49">
        <v>2</v>
      </c>
      <c r="G49">
        <v>2</v>
      </c>
    </row>
    <row r="50" spans="3:7">
      <c r="D50" t="s">
        <v>609</v>
      </c>
      <c r="E50" t="s">
        <v>786</v>
      </c>
      <c r="F50">
        <v>3</v>
      </c>
      <c r="G50">
        <v>3</v>
      </c>
    </row>
    <row r="51" spans="3:7">
      <c r="E51" t="s">
        <v>1150</v>
      </c>
      <c r="F51">
        <v>1</v>
      </c>
      <c r="G51">
        <v>1</v>
      </c>
    </row>
    <row r="52" spans="3:7">
      <c r="D52" t="s">
        <v>613</v>
      </c>
      <c r="E52" t="s">
        <v>786</v>
      </c>
      <c r="F52">
        <v>3</v>
      </c>
      <c r="G52">
        <v>3</v>
      </c>
    </row>
    <row r="53" spans="3:7">
      <c r="E53" t="s">
        <v>1150</v>
      </c>
      <c r="F53">
        <v>1</v>
      </c>
      <c r="G53">
        <v>1</v>
      </c>
    </row>
    <row r="54" spans="3:7">
      <c r="D54" t="s">
        <v>614</v>
      </c>
      <c r="E54" t="s">
        <v>786</v>
      </c>
      <c r="F54">
        <v>3</v>
      </c>
      <c r="G54">
        <v>3</v>
      </c>
    </row>
    <row r="55" spans="3:7">
      <c r="E55" t="s">
        <v>1150</v>
      </c>
      <c r="F55">
        <v>1</v>
      </c>
      <c r="G55">
        <v>1</v>
      </c>
    </row>
    <row r="56" spans="3:7">
      <c r="D56" t="s">
        <v>619</v>
      </c>
      <c r="E56" t="s">
        <v>786</v>
      </c>
      <c r="F56">
        <v>7</v>
      </c>
      <c r="G56">
        <v>7</v>
      </c>
    </row>
    <row r="57" spans="3:7">
      <c r="C57" t="s">
        <v>545</v>
      </c>
      <c r="D57" t="s">
        <v>559</v>
      </c>
      <c r="E57" t="s">
        <v>787</v>
      </c>
      <c r="F57">
        <v>1</v>
      </c>
      <c r="G57">
        <v>1</v>
      </c>
    </row>
    <row r="58" spans="3:7">
      <c r="E58" t="s">
        <v>789</v>
      </c>
      <c r="F58">
        <v>3</v>
      </c>
      <c r="G58">
        <v>4</v>
      </c>
    </row>
    <row r="59" spans="3:7">
      <c r="D59" t="s">
        <v>546</v>
      </c>
      <c r="E59" t="s">
        <v>779</v>
      </c>
      <c r="F59">
        <v>1</v>
      </c>
      <c r="G59">
        <v>1</v>
      </c>
    </row>
    <row r="60" spans="3:7">
      <c r="E60" t="s">
        <v>787</v>
      </c>
      <c r="F60">
        <v>6</v>
      </c>
      <c r="G60">
        <v>1</v>
      </c>
    </row>
    <row r="61" spans="3:7">
      <c r="E61" t="s">
        <v>1150</v>
      </c>
      <c r="F61">
        <v>1</v>
      </c>
      <c r="G61">
        <v>1</v>
      </c>
    </row>
    <row r="62" spans="3:7">
      <c r="E62" t="s">
        <v>785</v>
      </c>
      <c r="F62">
        <v>1</v>
      </c>
      <c r="G62">
        <v>1</v>
      </c>
    </row>
    <row r="63" spans="3:7">
      <c r="D63" t="s">
        <v>793</v>
      </c>
      <c r="E63" t="s">
        <v>787</v>
      </c>
      <c r="F63">
        <v>2</v>
      </c>
      <c r="G63">
        <v>2</v>
      </c>
    </row>
    <row r="64" spans="3:7">
      <c r="D64" t="s">
        <v>615</v>
      </c>
      <c r="E64" t="s">
        <v>786</v>
      </c>
      <c r="F64">
        <v>1</v>
      </c>
      <c r="G64">
        <v>3</v>
      </c>
    </row>
    <row r="65" spans="3:7">
      <c r="E65" t="s">
        <v>1150</v>
      </c>
      <c r="F65">
        <v>1</v>
      </c>
      <c r="G65">
        <v>1</v>
      </c>
    </row>
    <row r="66" spans="3:7">
      <c r="D66" t="s">
        <v>622</v>
      </c>
      <c r="E66" t="s">
        <v>786</v>
      </c>
      <c r="F66">
        <v>4</v>
      </c>
      <c r="G66">
        <v>3</v>
      </c>
    </row>
    <row r="67" spans="3:7">
      <c r="C67" t="s">
        <v>534</v>
      </c>
      <c r="D67" t="s">
        <v>682</v>
      </c>
      <c r="E67" t="s">
        <v>1158</v>
      </c>
      <c r="F67">
        <v>1</v>
      </c>
      <c r="G67">
        <v>1</v>
      </c>
    </row>
    <row r="68" spans="3:7">
      <c r="D68" t="s">
        <v>397</v>
      </c>
      <c r="E68" t="s">
        <v>1158</v>
      </c>
      <c r="F68">
        <v>1</v>
      </c>
      <c r="G68">
        <v>1</v>
      </c>
    </row>
    <row r="69" spans="3:7">
      <c r="C69" t="s">
        <v>569</v>
      </c>
      <c r="D69" t="s">
        <v>648</v>
      </c>
      <c r="E69" t="s">
        <v>1159</v>
      </c>
      <c r="F69">
        <v>1</v>
      </c>
      <c r="G69">
        <v>1</v>
      </c>
    </row>
    <row r="70" spans="3:7">
      <c r="D70" t="s">
        <v>649</v>
      </c>
      <c r="E70" t="s">
        <v>1159</v>
      </c>
      <c r="F70">
        <v>1</v>
      </c>
      <c r="G70">
        <v>1</v>
      </c>
    </row>
    <row r="71" spans="3:7">
      <c r="C71" t="s">
        <v>560</v>
      </c>
      <c r="D71" t="s">
        <v>561</v>
      </c>
      <c r="E71" t="s">
        <v>788</v>
      </c>
      <c r="F71">
        <v>2</v>
      </c>
      <c r="G71">
        <v>2</v>
      </c>
    </row>
    <row r="72" spans="3:7">
      <c r="C72" t="s">
        <v>563</v>
      </c>
      <c r="D72" t="s">
        <v>642</v>
      </c>
      <c r="E72" t="s">
        <v>1159</v>
      </c>
      <c r="F72">
        <v>1</v>
      </c>
      <c r="G72">
        <v>1</v>
      </c>
    </row>
    <row r="73" spans="3:7">
      <c r="C73" t="s">
        <v>286</v>
      </c>
      <c r="D73" t="s">
        <v>646</v>
      </c>
      <c r="E73" t="s">
        <v>1159</v>
      </c>
      <c r="F73">
        <v>1</v>
      </c>
      <c r="G73">
        <v>1</v>
      </c>
    </row>
    <row r="74" spans="3:7">
      <c r="D74" t="s">
        <v>647</v>
      </c>
      <c r="E74" t="s">
        <v>1159</v>
      </c>
      <c r="F74">
        <v>1</v>
      </c>
      <c r="G74">
        <v>1</v>
      </c>
    </row>
    <row r="75" spans="3:7">
      <c r="D75" t="s">
        <v>1160</v>
      </c>
      <c r="E75" t="s">
        <v>788</v>
      </c>
      <c r="F75">
        <v>5</v>
      </c>
      <c r="G75">
        <v>3</v>
      </c>
    </row>
    <row r="76" spans="3:7">
      <c r="E76" t="s">
        <v>794</v>
      </c>
      <c r="F76">
        <v>5</v>
      </c>
      <c r="G76">
        <v>1</v>
      </c>
    </row>
    <row r="77" spans="3:7">
      <c r="C77" t="s">
        <v>1161</v>
      </c>
      <c r="D77" t="s">
        <v>551</v>
      </c>
      <c r="E77" t="s">
        <v>1159</v>
      </c>
      <c r="F77">
        <v>1</v>
      </c>
      <c r="G77">
        <v>1</v>
      </c>
    </row>
    <row r="78" spans="3:7">
      <c r="D78" t="s">
        <v>552</v>
      </c>
      <c r="E78" t="s">
        <v>1159</v>
      </c>
      <c r="F78">
        <v>1</v>
      </c>
      <c r="G78">
        <v>1</v>
      </c>
    </row>
    <row r="79" spans="3:7">
      <c r="D79" t="s">
        <v>548</v>
      </c>
      <c r="E79" t="s">
        <v>1159</v>
      </c>
      <c r="F79">
        <v>1</v>
      </c>
      <c r="G79">
        <v>1</v>
      </c>
    </row>
    <row r="80" spans="3:7">
      <c r="D80" t="s">
        <v>550</v>
      </c>
      <c r="E80" t="s">
        <v>1159</v>
      </c>
      <c r="F80">
        <v>1</v>
      </c>
      <c r="G80">
        <v>1</v>
      </c>
    </row>
    <row r="81" spans="3:7">
      <c r="C81" t="s">
        <v>521</v>
      </c>
      <c r="D81" t="s">
        <v>644</v>
      </c>
      <c r="E81" t="s">
        <v>1159</v>
      </c>
      <c r="F81">
        <v>1</v>
      </c>
      <c r="G81">
        <v>1</v>
      </c>
    </row>
    <row r="82" spans="3:7">
      <c r="D82" t="s">
        <v>645</v>
      </c>
      <c r="E82" t="s">
        <v>1159</v>
      </c>
      <c r="F82">
        <v>1</v>
      </c>
      <c r="G82">
        <v>1</v>
      </c>
    </row>
    <row r="83" spans="3:7">
      <c r="C83" t="s">
        <v>255</v>
      </c>
      <c r="D83" t="s">
        <v>646</v>
      </c>
      <c r="E83" t="s">
        <v>1159</v>
      </c>
      <c r="F83">
        <v>1</v>
      </c>
      <c r="G83">
        <v>1</v>
      </c>
    </row>
    <row r="84" spans="3:7">
      <c r="D84" t="s">
        <v>647</v>
      </c>
      <c r="E84" t="s">
        <v>1159</v>
      </c>
      <c r="F84">
        <v>1</v>
      </c>
      <c r="G84">
        <v>1</v>
      </c>
    </row>
    <row r="85" spans="3:7">
      <c r="D85" t="s">
        <v>1160</v>
      </c>
      <c r="E85" t="s">
        <v>788</v>
      </c>
      <c r="F85">
        <v>5</v>
      </c>
      <c r="G85">
        <v>3</v>
      </c>
    </row>
    <row r="86" spans="3:7">
      <c r="E86" t="s">
        <v>794</v>
      </c>
      <c r="F86">
        <v>5</v>
      </c>
      <c r="G86">
        <v>1</v>
      </c>
    </row>
    <row r="87" spans="3:7">
      <c r="C87" t="s">
        <v>515</v>
      </c>
      <c r="D87" t="s">
        <v>646</v>
      </c>
      <c r="E87" t="s">
        <v>1159</v>
      </c>
      <c r="F87">
        <v>1</v>
      </c>
      <c r="G87">
        <v>1</v>
      </c>
    </row>
    <row r="88" spans="3:7">
      <c r="D88" t="s">
        <v>647</v>
      </c>
      <c r="E88" t="s">
        <v>1159</v>
      </c>
      <c r="F88">
        <v>1</v>
      </c>
      <c r="G88">
        <v>1</v>
      </c>
    </row>
    <row r="89" spans="3:7">
      <c r="D89" t="s">
        <v>1160</v>
      </c>
      <c r="E89" t="s">
        <v>788</v>
      </c>
      <c r="F89">
        <v>5</v>
      </c>
      <c r="G89">
        <v>3</v>
      </c>
    </row>
    <row r="90" spans="3:7">
      <c r="E90" t="s">
        <v>794</v>
      </c>
      <c r="F90">
        <v>5</v>
      </c>
      <c r="G90">
        <v>1</v>
      </c>
    </row>
    <row r="91" spans="3:7">
      <c r="C91" t="s">
        <v>516</v>
      </c>
      <c r="D91" t="s">
        <v>646</v>
      </c>
      <c r="E91" t="s">
        <v>1159</v>
      </c>
      <c r="F91">
        <v>1</v>
      </c>
      <c r="G91">
        <v>1</v>
      </c>
    </row>
    <row r="92" spans="3:7">
      <c r="D92" t="s">
        <v>647</v>
      </c>
      <c r="E92" t="s">
        <v>1159</v>
      </c>
      <c r="F92">
        <v>1</v>
      </c>
      <c r="G92">
        <v>1</v>
      </c>
    </row>
    <row r="93" spans="3:7">
      <c r="D93" t="s">
        <v>1160</v>
      </c>
      <c r="E93" t="s">
        <v>782</v>
      </c>
      <c r="F93">
        <v>0</v>
      </c>
      <c r="G93">
        <v>1</v>
      </c>
    </row>
    <row r="94" spans="3:7">
      <c r="E94" t="s">
        <v>788</v>
      </c>
      <c r="F94">
        <v>5</v>
      </c>
      <c r="G94">
        <v>3</v>
      </c>
    </row>
    <row r="95" spans="3:7">
      <c r="E95" t="s">
        <v>1150</v>
      </c>
      <c r="F95">
        <v>1</v>
      </c>
      <c r="G95">
        <v>1</v>
      </c>
    </row>
    <row r="96" spans="3:7">
      <c r="E96" t="s">
        <v>794</v>
      </c>
      <c r="F96">
        <v>5</v>
      </c>
      <c r="G96">
        <v>1</v>
      </c>
    </row>
    <row r="97" spans="3:7">
      <c r="D97" t="s">
        <v>1162</v>
      </c>
      <c r="E97" t="s">
        <v>779</v>
      </c>
      <c r="F97">
        <v>1</v>
      </c>
      <c r="G97">
        <v>1</v>
      </c>
    </row>
    <row r="98" spans="3:7">
      <c r="C98" t="s">
        <v>258</v>
      </c>
      <c r="D98" t="s">
        <v>646</v>
      </c>
      <c r="E98" t="s">
        <v>1159</v>
      </c>
      <c r="F98">
        <v>1</v>
      </c>
      <c r="G98">
        <v>1</v>
      </c>
    </row>
    <row r="99" spans="3:7">
      <c r="D99" t="s">
        <v>647</v>
      </c>
      <c r="E99" t="s">
        <v>1159</v>
      </c>
      <c r="F99">
        <v>1</v>
      </c>
      <c r="G99">
        <v>1</v>
      </c>
    </row>
    <row r="100" spans="3:7">
      <c r="D100" t="s">
        <v>1160</v>
      </c>
      <c r="E100" t="s">
        <v>788</v>
      </c>
      <c r="F100">
        <v>5</v>
      </c>
      <c r="G100">
        <v>3</v>
      </c>
    </row>
    <row r="101" spans="3:7">
      <c r="E101" t="s">
        <v>794</v>
      </c>
      <c r="F101">
        <v>5</v>
      </c>
      <c r="G101">
        <v>1</v>
      </c>
    </row>
    <row r="102" spans="3:7">
      <c r="C102" t="s">
        <v>517</v>
      </c>
      <c r="D102" t="s">
        <v>646</v>
      </c>
      <c r="E102" t="s">
        <v>1159</v>
      </c>
      <c r="F102">
        <v>1</v>
      </c>
      <c r="G102">
        <v>1</v>
      </c>
    </row>
    <row r="103" spans="3:7">
      <c r="D103" t="s">
        <v>647</v>
      </c>
      <c r="E103" t="s">
        <v>1159</v>
      </c>
      <c r="F103">
        <v>1</v>
      </c>
      <c r="G103">
        <v>1</v>
      </c>
    </row>
    <row r="104" spans="3:7">
      <c r="D104" t="s">
        <v>1160</v>
      </c>
      <c r="E104" t="s">
        <v>788</v>
      </c>
      <c r="F104">
        <v>5</v>
      </c>
      <c r="G104">
        <v>3</v>
      </c>
    </row>
    <row r="105" spans="3:7">
      <c r="E105" t="s">
        <v>794</v>
      </c>
      <c r="F105">
        <v>5</v>
      </c>
      <c r="G105">
        <v>1</v>
      </c>
    </row>
    <row r="106" spans="3:7">
      <c r="C106" t="s">
        <v>284</v>
      </c>
      <c r="D106" t="s">
        <v>646</v>
      </c>
      <c r="E106" t="s">
        <v>1159</v>
      </c>
      <c r="F106">
        <v>1</v>
      </c>
      <c r="G106">
        <v>1</v>
      </c>
    </row>
    <row r="107" spans="3:7">
      <c r="D107" t="s">
        <v>647</v>
      </c>
      <c r="E107" t="s">
        <v>1159</v>
      </c>
      <c r="F107">
        <v>1</v>
      </c>
      <c r="G107">
        <v>1</v>
      </c>
    </row>
    <row r="108" spans="3:7">
      <c r="D108" t="s">
        <v>1160</v>
      </c>
      <c r="E108" t="s">
        <v>782</v>
      </c>
      <c r="F108">
        <v>0</v>
      </c>
      <c r="G108">
        <v>1</v>
      </c>
    </row>
    <row r="109" spans="3:7">
      <c r="E109" t="s">
        <v>788</v>
      </c>
      <c r="F109">
        <v>5</v>
      </c>
      <c r="G109">
        <v>3</v>
      </c>
    </row>
    <row r="110" spans="3:7">
      <c r="E110" t="s">
        <v>794</v>
      </c>
      <c r="F110">
        <v>5</v>
      </c>
      <c r="G110">
        <v>1</v>
      </c>
    </row>
    <row r="111" spans="3:7">
      <c r="D111" t="s">
        <v>1163</v>
      </c>
      <c r="E111" t="s">
        <v>779</v>
      </c>
      <c r="F111">
        <v>1</v>
      </c>
      <c r="G111">
        <v>1</v>
      </c>
    </row>
    <row r="112" spans="3:7">
      <c r="C112" t="s">
        <v>518</v>
      </c>
      <c r="D112" t="s">
        <v>646</v>
      </c>
      <c r="E112" t="s">
        <v>1159</v>
      </c>
      <c r="F112">
        <v>1</v>
      </c>
      <c r="G112">
        <v>1</v>
      </c>
    </row>
    <row r="113" spans="3:7">
      <c r="D113" t="s">
        <v>647</v>
      </c>
      <c r="E113" t="s">
        <v>1159</v>
      </c>
      <c r="F113">
        <v>1</v>
      </c>
      <c r="G113">
        <v>1</v>
      </c>
    </row>
    <row r="114" spans="3:7">
      <c r="D114" t="s">
        <v>1160</v>
      </c>
      <c r="E114" t="s">
        <v>788</v>
      </c>
      <c r="F114">
        <v>5</v>
      </c>
      <c r="G114">
        <v>3</v>
      </c>
    </row>
    <row r="115" spans="3:7">
      <c r="E115" t="s">
        <v>794</v>
      </c>
      <c r="F115">
        <v>5</v>
      </c>
      <c r="G115">
        <v>1</v>
      </c>
    </row>
    <row r="116" spans="3:7">
      <c r="C116" t="s">
        <v>661</v>
      </c>
      <c r="D116" t="s">
        <v>667</v>
      </c>
      <c r="E116" t="s">
        <v>779</v>
      </c>
      <c r="F116">
        <v>1</v>
      </c>
      <c r="G116">
        <v>1</v>
      </c>
    </row>
    <row r="117" spans="3:7">
      <c r="E117" t="s">
        <v>783</v>
      </c>
      <c r="F117">
        <v>2</v>
      </c>
      <c r="G117">
        <v>2</v>
      </c>
    </row>
    <row r="118" spans="3:7">
      <c r="E118" t="s">
        <v>1154</v>
      </c>
      <c r="F118">
        <v>2</v>
      </c>
      <c r="G118">
        <v>2</v>
      </c>
    </row>
    <row r="119" spans="3:7">
      <c r="E119" t="s">
        <v>794</v>
      </c>
      <c r="F119">
        <v>0</v>
      </c>
      <c r="G119">
        <v>2</v>
      </c>
    </row>
    <row r="120" spans="3:7">
      <c r="E120" t="s">
        <v>1019</v>
      </c>
      <c r="F120">
        <v>1</v>
      </c>
      <c r="G120">
        <v>1</v>
      </c>
    </row>
    <row r="121" spans="3:7">
      <c r="D121" t="s">
        <v>661</v>
      </c>
      <c r="E121" t="s">
        <v>1019</v>
      </c>
      <c r="F121">
        <v>1</v>
      </c>
      <c r="G121">
        <v>1</v>
      </c>
    </row>
    <row r="122" spans="3:7">
      <c r="D122" t="s">
        <v>662</v>
      </c>
      <c r="E122" t="s">
        <v>783</v>
      </c>
      <c r="F122">
        <v>1</v>
      </c>
      <c r="G122">
        <v>1</v>
      </c>
    </row>
    <row r="123" spans="3:7">
      <c r="E123" t="s">
        <v>1154</v>
      </c>
      <c r="F123">
        <v>1</v>
      </c>
      <c r="G123">
        <v>1</v>
      </c>
    </row>
    <row r="124" spans="3:7">
      <c r="E124" t="s">
        <v>787</v>
      </c>
      <c r="F124">
        <v>2</v>
      </c>
      <c r="G124">
        <v>2</v>
      </c>
    </row>
    <row r="125" spans="3:7">
      <c r="E125" t="s">
        <v>1012</v>
      </c>
      <c r="F125">
        <v>1</v>
      </c>
      <c r="G125">
        <v>1</v>
      </c>
    </row>
    <row r="126" spans="3:7">
      <c r="E126" t="s">
        <v>1164</v>
      </c>
      <c r="F126">
        <v>1</v>
      </c>
      <c r="G126">
        <v>1</v>
      </c>
    </row>
    <row r="127" spans="3:7">
      <c r="E127" t="s">
        <v>1019</v>
      </c>
      <c r="F127">
        <v>1</v>
      </c>
      <c r="G127">
        <v>1</v>
      </c>
    </row>
    <row r="128" spans="3:7">
      <c r="D128" t="s">
        <v>664</v>
      </c>
      <c r="E128" t="s">
        <v>778</v>
      </c>
      <c r="F128">
        <v>1</v>
      </c>
      <c r="G128">
        <v>1</v>
      </c>
    </row>
    <row r="129" spans="4:7">
      <c r="E129" t="s">
        <v>779</v>
      </c>
      <c r="F129">
        <v>1</v>
      </c>
      <c r="G129">
        <v>1</v>
      </c>
    </row>
    <row r="130" spans="4:7">
      <c r="E130" t="s">
        <v>783</v>
      </c>
      <c r="F130">
        <v>2</v>
      </c>
      <c r="G130">
        <v>2</v>
      </c>
    </row>
    <row r="131" spans="4:7">
      <c r="E131" t="s">
        <v>1154</v>
      </c>
      <c r="F131">
        <v>2</v>
      </c>
      <c r="G131">
        <v>2</v>
      </c>
    </row>
    <row r="132" spans="4:7">
      <c r="E132" t="s">
        <v>772</v>
      </c>
      <c r="F132">
        <v>0</v>
      </c>
      <c r="G132">
        <v>20</v>
      </c>
    </row>
    <row r="133" spans="4:7">
      <c r="E133" t="s">
        <v>794</v>
      </c>
      <c r="F133">
        <v>4</v>
      </c>
      <c r="G133">
        <v>4</v>
      </c>
    </row>
    <row r="134" spans="4:7">
      <c r="E134" t="s">
        <v>1019</v>
      </c>
      <c r="F134">
        <v>1</v>
      </c>
      <c r="G134">
        <v>1</v>
      </c>
    </row>
    <row r="135" spans="4:7">
      <c r="D135" t="s">
        <v>665</v>
      </c>
      <c r="E135" t="s">
        <v>782</v>
      </c>
      <c r="F135">
        <v>1</v>
      </c>
      <c r="G135">
        <v>1</v>
      </c>
    </row>
    <row r="136" spans="4:7">
      <c r="E136" t="s">
        <v>783</v>
      </c>
      <c r="F136">
        <v>2</v>
      </c>
      <c r="G136">
        <v>2</v>
      </c>
    </row>
    <row r="137" spans="4:7">
      <c r="E137" t="s">
        <v>1154</v>
      </c>
      <c r="F137">
        <v>2</v>
      </c>
      <c r="G137">
        <v>2</v>
      </c>
    </row>
    <row r="138" spans="4:7">
      <c r="E138" t="s">
        <v>794</v>
      </c>
      <c r="F138">
        <v>0</v>
      </c>
      <c r="G138">
        <v>2</v>
      </c>
    </row>
    <row r="139" spans="4:7">
      <c r="E139" t="s">
        <v>1019</v>
      </c>
      <c r="F139">
        <v>1</v>
      </c>
      <c r="G139">
        <v>1</v>
      </c>
    </row>
    <row r="140" spans="4:7">
      <c r="D140" t="s">
        <v>666</v>
      </c>
      <c r="E140" t="s">
        <v>783</v>
      </c>
      <c r="F140">
        <v>1</v>
      </c>
      <c r="G140">
        <v>1</v>
      </c>
    </row>
    <row r="141" spans="4:7">
      <c r="E141" t="s">
        <v>1154</v>
      </c>
      <c r="F141">
        <v>1</v>
      </c>
      <c r="G141">
        <v>1</v>
      </c>
    </row>
    <row r="142" spans="4:7">
      <c r="E142" t="s">
        <v>794</v>
      </c>
      <c r="F142">
        <v>0</v>
      </c>
      <c r="G142">
        <v>2</v>
      </c>
    </row>
    <row r="143" spans="4:7">
      <c r="E143" t="s">
        <v>1019</v>
      </c>
      <c r="F143">
        <v>1</v>
      </c>
      <c r="G143">
        <v>1</v>
      </c>
    </row>
    <row r="144" spans="4:7">
      <c r="D144" t="s">
        <v>671</v>
      </c>
      <c r="E144" t="s">
        <v>783</v>
      </c>
      <c r="F144">
        <v>2</v>
      </c>
      <c r="G144">
        <v>2</v>
      </c>
    </row>
    <row r="145" spans="3:7">
      <c r="E145" t="s">
        <v>1154</v>
      </c>
      <c r="F145">
        <v>2</v>
      </c>
      <c r="G145">
        <v>2</v>
      </c>
    </row>
    <row r="146" spans="3:7">
      <c r="E146" t="s">
        <v>1019</v>
      </c>
      <c r="F146">
        <v>1</v>
      </c>
      <c r="G146">
        <v>1</v>
      </c>
    </row>
    <row r="147" spans="3:7">
      <c r="C147" t="s">
        <v>638</v>
      </c>
      <c r="D147" t="s">
        <v>561</v>
      </c>
      <c r="E147" t="s">
        <v>783</v>
      </c>
      <c r="F147">
        <v>2</v>
      </c>
      <c r="G147">
        <v>2</v>
      </c>
    </row>
    <row r="148" spans="3:7">
      <c r="E148" t="s">
        <v>1154</v>
      </c>
      <c r="F148">
        <v>2</v>
      </c>
      <c r="G148">
        <v>2</v>
      </c>
    </row>
    <row r="149" spans="3:7">
      <c r="E149" t="s">
        <v>788</v>
      </c>
      <c r="F149">
        <v>5</v>
      </c>
      <c r="G149">
        <v>5</v>
      </c>
    </row>
    <row r="150" spans="3:7">
      <c r="E150" t="s">
        <v>1159</v>
      </c>
      <c r="F150">
        <v>1</v>
      </c>
      <c r="G150">
        <v>1</v>
      </c>
    </row>
    <row r="151" spans="3:7">
      <c r="C151" t="s">
        <v>299</v>
      </c>
      <c r="D151" t="s">
        <v>512</v>
      </c>
      <c r="E151" t="s">
        <v>787</v>
      </c>
      <c r="F151">
        <v>3</v>
      </c>
      <c r="G151">
        <v>3</v>
      </c>
    </row>
    <row r="152" spans="3:7">
      <c r="E152" t="s">
        <v>786</v>
      </c>
      <c r="F152">
        <v>3</v>
      </c>
      <c r="G152">
        <v>3</v>
      </c>
    </row>
    <row r="153" spans="3:7">
      <c r="E153" t="s">
        <v>1150</v>
      </c>
      <c r="F153">
        <v>1</v>
      </c>
      <c r="G153">
        <v>1</v>
      </c>
    </row>
    <row r="154" spans="3:7">
      <c r="C154" t="s">
        <v>709</v>
      </c>
      <c r="D154" t="s">
        <v>710</v>
      </c>
      <c r="E154" t="s">
        <v>1150</v>
      </c>
      <c r="F154">
        <v>1</v>
      </c>
      <c r="G154">
        <v>1</v>
      </c>
    </row>
    <row r="155" spans="3:7">
      <c r="D155" t="s">
        <v>712</v>
      </c>
      <c r="E155" t="s">
        <v>1150</v>
      </c>
      <c r="F155">
        <v>1</v>
      </c>
      <c r="G155">
        <v>1</v>
      </c>
    </row>
    <row r="156" spans="3:7">
      <c r="D156" t="s">
        <v>713</v>
      </c>
      <c r="E156" t="s">
        <v>1150</v>
      </c>
      <c r="F156">
        <v>1</v>
      </c>
      <c r="G156">
        <v>1</v>
      </c>
    </row>
    <row r="157" spans="3:7">
      <c r="C157" t="s">
        <v>281</v>
      </c>
      <c r="D157" t="s">
        <v>576</v>
      </c>
      <c r="E157" t="s">
        <v>779</v>
      </c>
      <c r="F157">
        <v>1</v>
      </c>
      <c r="G157">
        <v>1</v>
      </c>
    </row>
    <row r="158" spans="3:7">
      <c r="E158" t="s">
        <v>783</v>
      </c>
      <c r="F158">
        <v>1</v>
      </c>
      <c r="G158">
        <v>1</v>
      </c>
    </row>
    <row r="159" spans="3:7">
      <c r="E159" t="s">
        <v>1154</v>
      </c>
      <c r="F159">
        <v>1</v>
      </c>
      <c r="G159">
        <v>1</v>
      </c>
    </row>
    <row r="160" spans="3:7">
      <c r="E160" t="s">
        <v>1150</v>
      </c>
      <c r="F160">
        <v>1</v>
      </c>
      <c r="G160">
        <v>1</v>
      </c>
    </row>
    <row r="161" spans="3:7">
      <c r="E161" t="s">
        <v>794</v>
      </c>
      <c r="F161">
        <v>2</v>
      </c>
      <c r="G161">
        <v>2</v>
      </c>
    </row>
    <row r="162" spans="3:7">
      <c r="D162" t="s">
        <v>535</v>
      </c>
      <c r="E162" t="s">
        <v>783</v>
      </c>
      <c r="F162">
        <v>1</v>
      </c>
      <c r="G162">
        <v>1</v>
      </c>
    </row>
    <row r="163" spans="3:7">
      <c r="E163" t="s">
        <v>1154</v>
      </c>
      <c r="F163">
        <v>1</v>
      </c>
      <c r="G163">
        <v>1</v>
      </c>
    </row>
    <row r="164" spans="3:7">
      <c r="E164" t="s">
        <v>1150</v>
      </c>
      <c r="F164">
        <v>1</v>
      </c>
      <c r="G164">
        <v>1</v>
      </c>
    </row>
    <row r="165" spans="3:7">
      <c r="D165" t="s">
        <v>636</v>
      </c>
      <c r="E165" t="s">
        <v>779</v>
      </c>
      <c r="F165">
        <v>1</v>
      </c>
      <c r="G165">
        <v>1</v>
      </c>
    </row>
    <row r="166" spans="3:7">
      <c r="E166" t="s">
        <v>1150</v>
      </c>
      <c r="F166">
        <v>1</v>
      </c>
      <c r="G166">
        <v>1</v>
      </c>
    </row>
    <row r="167" spans="3:7">
      <c r="D167" t="s">
        <v>634</v>
      </c>
      <c r="E167" t="s">
        <v>783</v>
      </c>
      <c r="F167">
        <v>4</v>
      </c>
      <c r="G167">
        <v>4</v>
      </c>
    </row>
    <row r="168" spans="3:7">
      <c r="E168" t="s">
        <v>1154</v>
      </c>
      <c r="F168">
        <v>4</v>
      </c>
      <c r="G168">
        <v>4</v>
      </c>
    </row>
    <row r="169" spans="3:7">
      <c r="E169" t="s">
        <v>1165</v>
      </c>
      <c r="F169">
        <v>1</v>
      </c>
      <c r="G169">
        <v>1</v>
      </c>
    </row>
    <row r="170" spans="3:7">
      <c r="C170" t="s">
        <v>669</v>
      </c>
      <c r="D170" t="s">
        <v>670</v>
      </c>
      <c r="E170" t="s">
        <v>1154</v>
      </c>
      <c r="F170">
        <v>1</v>
      </c>
      <c r="G170">
        <v>1</v>
      </c>
    </row>
    <row r="171" spans="3:7">
      <c r="E171" t="s">
        <v>1155</v>
      </c>
      <c r="F171">
        <v>1</v>
      </c>
      <c r="G171">
        <v>1</v>
      </c>
    </row>
    <row r="172" spans="3:7">
      <c r="E172" t="s">
        <v>770</v>
      </c>
      <c r="F172">
        <v>1</v>
      </c>
      <c r="G172">
        <v>1</v>
      </c>
    </row>
    <row r="173" spans="3:7">
      <c r="E173" t="s">
        <v>1019</v>
      </c>
      <c r="F173">
        <v>1</v>
      </c>
      <c r="G173">
        <v>1</v>
      </c>
    </row>
    <row r="174" spans="3:7">
      <c r="C174" t="s">
        <v>605</v>
      </c>
      <c r="D174" t="s">
        <v>606</v>
      </c>
      <c r="E174" t="s">
        <v>783</v>
      </c>
      <c r="F174">
        <v>4</v>
      </c>
      <c r="G174">
        <v>4</v>
      </c>
    </row>
    <row r="175" spans="3:7">
      <c r="E175" t="s">
        <v>1154</v>
      </c>
      <c r="F175">
        <v>4</v>
      </c>
      <c r="G175">
        <v>4</v>
      </c>
    </row>
    <row r="176" spans="3:7">
      <c r="E176" t="s">
        <v>790</v>
      </c>
      <c r="F176">
        <v>1</v>
      </c>
      <c r="G176">
        <v>1</v>
      </c>
    </row>
    <row r="177" spans="2:7">
      <c r="E177" t="s">
        <v>1150</v>
      </c>
      <c r="F177">
        <v>1</v>
      </c>
      <c r="G177">
        <v>1</v>
      </c>
    </row>
    <row r="178" spans="2:7">
      <c r="E178" t="s">
        <v>795</v>
      </c>
      <c r="F178">
        <v>4</v>
      </c>
      <c r="G178">
        <v>4</v>
      </c>
    </row>
    <row r="179" spans="2:7">
      <c r="C179" t="s">
        <v>608</v>
      </c>
      <c r="D179" t="s">
        <v>606</v>
      </c>
      <c r="E179" t="s">
        <v>1012</v>
      </c>
      <c r="F179">
        <v>1</v>
      </c>
      <c r="G179">
        <v>1</v>
      </c>
    </row>
    <row r="180" spans="2:7">
      <c r="E180" t="s">
        <v>1150</v>
      </c>
      <c r="F180">
        <v>1</v>
      </c>
      <c r="G180">
        <v>1</v>
      </c>
    </row>
    <row r="181" spans="2:7">
      <c r="B181" t="s">
        <v>152</v>
      </c>
      <c r="C181" t="s">
        <v>531</v>
      </c>
      <c r="D181" t="s">
        <v>627</v>
      </c>
      <c r="E181" t="s">
        <v>786</v>
      </c>
      <c r="F181">
        <v>3</v>
      </c>
      <c r="G181">
        <v>3</v>
      </c>
    </row>
    <row r="182" spans="2:7">
      <c r="D182" t="s">
        <v>573</v>
      </c>
      <c r="E182" t="s">
        <v>787</v>
      </c>
      <c r="F182">
        <v>1</v>
      </c>
      <c r="G182">
        <v>1</v>
      </c>
    </row>
    <row r="183" spans="2:7">
      <c r="E183" t="s">
        <v>789</v>
      </c>
      <c r="F183">
        <v>3</v>
      </c>
      <c r="G183">
        <v>2</v>
      </c>
    </row>
    <row r="184" spans="2:7">
      <c r="D184" t="s">
        <v>571</v>
      </c>
      <c r="E184" t="s">
        <v>787</v>
      </c>
      <c r="F184">
        <v>2</v>
      </c>
      <c r="G184">
        <v>2</v>
      </c>
    </row>
    <row r="185" spans="2:7">
      <c r="D185" t="s">
        <v>532</v>
      </c>
      <c r="E185" t="s">
        <v>779</v>
      </c>
      <c r="F185">
        <v>1</v>
      </c>
      <c r="G185">
        <v>1</v>
      </c>
    </row>
    <row r="186" spans="2:7">
      <c r="E186" t="s">
        <v>787</v>
      </c>
      <c r="F186">
        <v>6</v>
      </c>
      <c r="G186">
        <v>1</v>
      </c>
    </row>
    <row r="187" spans="2:7">
      <c r="E187" t="s">
        <v>1150</v>
      </c>
      <c r="F187">
        <v>1</v>
      </c>
      <c r="G187">
        <v>1</v>
      </c>
    </row>
    <row r="188" spans="2:7">
      <c r="E188" t="s">
        <v>785</v>
      </c>
      <c r="F188">
        <v>1</v>
      </c>
      <c r="G188">
        <v>1</v>
      </c>
    </row>
    <row r="189" spans="2:7">
      <c r="D189" t="s">
        <v>625</v>
      </c>
      <c r="E189" t="s">
        <v>786</v>
      </c>
      <c r="F189">
        <v>2</v>
      </c>
      <c r="G189">
        <v>2</v>
      </c>
    </row>
    <row r="190" spans="2:7">
      <c r="E190" t="s">
        <v>1150</v>
      </c>
      <c r="F190">
        <v>1</v>
      </c>
      <c r="G190">
        <v>1</v>
      </c>
    </row>
    <row r="191" spans="2:7">
      <c r="C191" t="s">
        <v>534</v>
      </c>
      <c r="D191" t="s">
        <v>582</v>
      </c>
      <c r="E191" t="s">
        <v>1154</v>
      </c>
      <c r="F191">
        <v>1</v>
      </c>
      <c r="G191">
        <v>1</v>
      </c>
    </row>
    <row r="192" spans="2:7">
      <c r="E192" t="s">
        <v>1155</v>
      </c>
      <c r="F192">
        <v>1</v>
      </c>
      <c r="G192">
        <v>1</v>
      </c>
    </row>
    <row r="193" spans="3:7">
      <c r="E193" t="s">
        <v>1150</v>
      </c>
      <c r="F193">
        <v>1</v>
      </c>
      <c r="G193">
        <v>1</v>
      </c>
    </row>
    <row r="194" spans="3:7">
      <c r="D194" t="s">
        <v>576</v>
      </c>
      <c r="E194" t="s">
        <v>779</v>
      </c>
      <c r="F194">
        <v>1</v>
      </c>
      <c r="G194">
        <v>1</v>
      </c>
    </row>
    <row r="195" spans="3:7">
      <c r="E195" t="s">
        <v>783</v>
      </c>
      <c r="F195">
        <v>1</v>
      </c>
      <c r="G195">
        <v>1</v>
      </c>
    </row>
    <row r="196" spans="3:7">
      <c r="E196" t="s">
        <v>1154</v>
      </c>
      <c r="F196">
        <v>1</v>
      </c>
      <c r="G196">
        <v>1</v>
      </c>
    </row>
    <row r="197" spans="3:7">
      <c r="E197" t="s">
        <v>1150</v>
      </c>
      <c r="F197">
        <v>1</v>
      </c>
      <c r="G197">
        <v>1</v>
      </c>
    </row>
    <row r="198" spans="3:7">
      <c r="D198" t="s">
        <v>682</v>
      </c>
      <c r="E198" t="s">
        <v>1158</v>
      </c>
      <c r="F198">
        <v>1</v>
      </c>
      <c r="G198">
        <v>1</v>
      </c>
    </row>
    <row r="199" spans="3:7">
      <c r="D199" t="s">
        <v>535</v>
      </c>
      <c r="E199" t="s">
        <v>783</v>
      </c>
      <c r="F199">
        <v>1</v>
      </c>
      <c r="G199">
        <v>1</v>
      </c>
    </row>
    <row r="200" spans="3:7">
      <c r="E200" t="s">
        <v>1154</v>
      </c>
      <c r="F200">
        <v>1</v>
      </c>
      <c r="G200">
        <v>1</v>
      </c>
    </row>
    <row r="201" spans="3:7">
      <c r="E201" t="s">
        <v>1150</v>
      </c>
      <c r="F201">
        <v>1</v>
      </c>
      <c r="G201">
        <v>1</v>
      </c>
    </row>
    <row r="202" spans="3:7">
      <c r="C202" t="s">
        <v>569</v>
      </c>
      <c r="D202" t="s">
        <v>646</v>
      </c>
      <c r="E202" t="s">
        <v>788</v>
      </c>
      <c r="F202">
        <v>1</v>
      </c>
      <c r="G202">
        <v>1</v>
      </c>
    </row>
    <row r="203" spans="3:7">
      <c r="E203" t="s">
        <v>1159</v>
      </c>
      <c r="F203">
        <v>1</v>
      </c>
      <c r="G203">
        <v>1</v>
      </c>
    </row>
    <row r="204" spans="3:7">
      <c r="D204" t="s">
        <v>647</v>
      </c>
      <c r="E204" t="s">
        <v>788</v>
      </c>
      <c r="F204">
        <v>1</v>
      </c>
      <c r="G204">
        <v>1</v>
      </c>
    </row>
    <row r="205" spans="3:7">
      <c r="E205" t="s">
        <v>1159</v>
      </c>
      <c r="F205">
        <v>1</v>
      </c>
      <c r="G205">
        <v>1</v>
      </c>
    </row>
    <row r="206" spans="3:7">
      <c r="D206" t="s">
        <v>648</v>
      </c>
      <c r="E206" t="s">
        <v>1159</v>
      </c>
      <c r="F206">
        <v>1</v>
      </c>
      <c r="G206">
        <v>1</v>
      </c>
    </row>
    <row r="207" spans="3:7">
      <c r="D207" t="s">
        <v>649</v>
      </c>
      <c r="E207" t="s">
        <v>1159</v>
      </c>
      <c r="F207">
        <v>1</v>
      </c>
      <c r="G207">
        <v>1</v>
      </c>
    </row>
    <row r="208" spans="3:7">
      <c r="D208" t="s">
        <v>717</v>
      </c>
      <c r="E208" t="s">
        <v>788</v>
      </c>
      <c r="F208">
        <v>1</v>
      </c>
      <c r="G208">
        <v>1</v>
      </c>
    </row>
    <row r="209" spans="3:7">
      <c r="D209" t="s">
        <v>551</v>
      </c>
      <c r="E209" t="s">
        <v>788</v>
      </c>
      <c r="F209">
        <v>1</v>
      </c>
      <c r="G209">
        <v>1</v>
      </c>
    </row>
    <row r="210" spans="3:7">
      <c r="D210" t="s">
        <v>552</v>
      </c>
      <c r="E210" t="s">
        <v>788</v>
      </c>
      <c r="F210">
        <v>1</v>
      </c>
      <c r="G210">
        <v>1</v>
      </c>
    </row>
    <row r="211" spans="3:7">
      <c r="D211" t="s">
        <v>548</v>
      </c>
      <c r="E211" t="s">
        <v>788</v>
      </c>
      <c r="F211">
        <v>1</v>
      </c>
      <c r="G211">
        <v>1</v>
      </c>
    </row>
    <row r="212" spans="3:7">
      <c r="D212" t="s">
        <v>550</v>
      </c>
      <c r="E212" t="s">
        <v>788</v>
      </c>
      <c r="F212">
        <v>1</v>
      </c>
      <c r="G212">
        <v>1</v>
      </c>
    </row>
    <row r="213" spans="3:7">
      <c r="D213" t="s">
        <v>644</v>
      </c>
      <c r="E213" t="s">
        <v>1159</v>
      </c>
      <c r="F213">
        <v>1</v>
      </c>
      <c r="G213">
        <v>1</v>
      </c>
    </row>
    <row r="214" spans="3:7">
      <c r="D214" t="s">
        <v>645</v>
      </c>
      <c r="E214" t="s">
        <v>1159</v>
      </c>
      <c r="F214">
        <v>1</v>
      </c>
      <c r="G214">
        <v>1</v>
      </c>
    </row>
    <row r="215" spans="3:7">
      <c r="C215" t="s">
        <v>528</v>
      </c>
      <c r="D215" t="s">
        <v>528</v>
      </c>
      <c r="E215" t="s">
        <v>1150</v>
      </c>
      <c r="F215">
        <v>1</v>
      </c>
      <c r="G215">
        <v>1</v>
      </c>
    </row>
    <row r="216" spans="3:7">
      <c r="D216" t="s">
        <v>598</v>
      </c>
      <c r="E216" t="s">
        <v>787</v>
      </c>
      <c r="F216">
        <v>2</v>
      </c>
      <c r="G216">
        <v>2</v>
      </c>
    </row>
    <row r="217" spans="3:7">
      <c r="E217" t="s">
        <v>780</v>
      </c>
      <c r="F217">
        <v>1</v>
      </c>
      <c r="G217">
        <v>1</v>
      </c>
    </row>
    <row r="218" spans="3:7">
      <c r="C218" t="s">
        <v>560</v>
      </c>
      <c r="D218" t="s">
        <v>575</v>
      </c>
      <c r="E218" t="s">
        <v>788</v>
      </c>
      <c r="F218">
        <v>2</v>
      </c>
      <c r="G218">
        <v>2</v>
      </c>
    </row>
    <row r="219" spans="3:7">
      <c r="C219" t="s">
        <v>563</v>
      </c>
      <c r="D219" t="s">
        <v>642</v>
      </c>
      <c r="E219" t="s">
        <v>1159</v>
      </c>
      <c r="F219">
        <v>1</v>
      </c>
      <c r="G219">
        <v>1</v>
      </c>
    </row>
    <row r="220" spans="3:7">
      <c r="D220" t="s">
        <v>606</v>
      </c>
      <c r="E220" t="s">
        <v>790</v>
      </c>
      <c r="F220">
        <v>8</v>
      </c>
      <c r="G220">
        <v>8</v>
      </c>
    </row>
    <row r="221" spans="3:7">
      <c r="D221" t="s">
        <v>564</v>
      </c>
      <c r="E221" t="s">
        <v>788</v>
      </c>
      <c r="F221">
        <v>4</v>
      </c>
      <c r="G221">
        <v>4</v>
      </c>
    </row>
    <row r="222" spans="3:7">
      <c r="E222" t="s">
        <v>784</v>
      </c>
      <c r="F222">
        <v>2</v>
      </c>
      <c r="G222">
        <v>2</v>
      </c>
    </row>
    <row r="223" spans="3:7">
      <c r="C223" t="s">
        <v>656</v>
      </c>
      <c r="D223" t="s">
        <v>656</v>
      </c>
      <c r="E223" t="s">
        <v>783</v>
      </c>
      <c r="F223">
        <v>1</v>
      </c>
      <c r="G223">
        <v>1</v>
      </c>
    </row>
    <row r="224" spans="3:7">
      <c r="E224" t="s">
        <v>1154</v>
      </c>
      <c r="F224">
        <v>1</v>
      </c>
      <c r="G224">
        <v>1</v>
      </c>
    </row>
    <row r="225" spans="3:7">
      <c r="E225" t="s">
        <v>1159</v>
      </c>
      <c r="F225">
        <v>1</v>
      </c>
      <c r="G225">
        <v>1</v>
      </c>
    </row>
    <row r="226" spans="3:7">
      <c r="C226" t="s">
        <v>583</v>
      </c>
      <c r="D226" t="s">
        <v>583</v>
      </c>
      <c r="E226" t="s">
        <v>1154</v>
      </c>
      <c r="F226">
        <v>1</v>
      </c>
      <c r="G226">
        <v>1</v>
      </c>
    </row>
    <row r="227" spans="3:7">
      <c r="E227" t="s">
        <v>773</v>
      </c>
      <c r="F227">
        <v>6</v>
      </c>
      <c r="G227">
        <v>6</v>
      </c>
    </row>
    <row r="228" spans="3:7">
      <c r="E228" t="s">
        <v>786</v>
      </c>
      <c r="F228">
        <v>2</v>
      </c>
      <c r="G228">
        <v>2</v>
      </c>
    </row>
    <row r="229" spans="3:7">
      <c r="E229" t="s">
        <v>1155</v>
      </c>
      <c r="F229">
        <v>1</v>
      </c>
      <c r="G229">
        <v>1</v>
      </c>
    </row>
    <row r="230" spans="3:7">
      <c r="E230" t="s">
        <v>1150</v>
      </c>
      <c r="F230">
        <v>1</v>
      </c>
      <c r="G230">
        <v>1</v>
      </c>
    </row>
    <row r="231" spans="3:7">
      <c r="E231" t="s">
        <v>1159</v>
      </c>
      <c r="F231">
        <v>1</v>
      </c>
      <c r="G231">
        <v>1</v>
      </c>
    </row>
    <row r="232" spans="3:7">
      <c r="C232" t="s">
        <v>678</v>
      </c>
      <c r="D232" t="s">
        <v>678</v>
      </c>
      <c r="E232" t="s">
        <v>1150</v>
      </c>
      <c r="F232">
        <v>1</v>
      </c>
      <c r="G232">
        <v>1</v>
      </c>
    </row>
    <row r="233" spans="3:7">
      <c r="C233" t="s">
        <v>638</v>
      </c>
      <c r="D233" t="s">
        <v>638</v>
      </c>
      <c r="E233" t="s">
        <v>783</v>
      </c>
      <c r="F233">
        <v>1</v>
      </c>
      <c r="G233">
        <v>1</v>
      </c>
    </row>
    <row r="234" spans="3:7">
      <c r="E234" t="s">
        <v>1154</v>
      </c>
      <c r="F234">
        <v>1</v>
      </c>
      <c r="G234">
        <v>1</v>
      </c>
    </row>
    <row r="235" spans="3:7">
      <c r="E235" t="s">
        <v>788</v>
      </c>
      <c r="F235">
        <v>5</v>
      </c>
      <c r="G235">
        <v>5</v>
      </c>
    </row>
    <row r="236" spans="3:7">
      <c r="E236" t="s">
        <v>1159</v>
      </c>
      <c r="F236">
        <v>1</v>
      </c>
      <c r="G236">
        <v>1</v>
      </c>
    </row>
    <row r="237" spans="3:7">
      <c r="D237" t="s">
        <v>651</v>
      </c>
      <c r="E237" t="s">
        <v>1159</v>
      </c>
      <c r="F237">
        <v>1</v>
      </c>
      <c r="G237">
        <v>1</v>
      </c>
    </row>
    <row r="238" spans="3:7">
      <c r="D238" t="s">
        <v>655</v>
      </c>
      <c r="E238" t="s">
        <v>1159</v>
      </c>
      <c r="F238">
        <v>1</v>
      </c>
      <c r="G238">
        <v>1</v>
      </c>
    </row>
    <row r="239" spans="3:7">
      <c r="C239" t="s">
        <v>299</v>
      </c>
      <c r="D239" t="s">
        <v>1160</v>
      </c>
      <c r="E239" t="s">
        <v>779</v>
      </c>
      <c r="F239">
        <v>1</v>
      </c>
      <c r="G239">
        <v>1</v>
      </c>
    </row>
    <row r="240" spans="3:7">
      <c r="E240" t="s">
        <v>788</v>
      </c>
      <c r="F240">
        <v>2</v>
      </c>
      <c r="G240">
        <v>3</v>
      </c>
    </row>
    <row r="241" spans="3:7">
      <c r="E241" t="s">
        <v>1150</v>
      </c>
      <c r="F241">
        <v>1</v>
      </c>
      <c r="G241">
        <v>1</v>
      </c>
    </row>
    <row r="242" spans="3:7">
      <c r="E242" t="s">
        <v>794</v>
      </c>
      <c r="F242">
        <v>1</v>
      </c>
      <c r="G242">
        <v>1</v>
      </c>
    </row>
    <row r="243" spans="3:7">
      <c r="D243" t="s">
        <v>512</v>
      </c>
      <c r="E243" t="s">
        <v>787</v>
      </c>
      <c r="F243">
        <v>1</v>
      </c>
      <c r="G243">
        <v>1</v>
      </c>
    </row>
    <row r="244" spans="3:7">
      <c r="E244" t="s">
        <v>786</v>
      </c>
      <c r="F244">
        <v>1</v>
      </c>
      <c r="G244">
        <v>1</v>
      </c>
    </row>
    <row r="245" spans="3:7">
      <c r="E245" t="s">
        <v>1150</v>
      </c>
      <c r="F245">
        <v>1</v>
      </c>
      <c r="G245">
        <v>1</v>
      </c>
    </row>
    <row r="246" spans="3:7">
      <c r="D246" t="s">
        <v>688</v>
      </c>
      <c r="E246" t="s">
        <v>779</v>
      </c>
      <c r="F246">
        <v>1</v>
      </c>
      <c r="G246">
        <v>1</v>
      </c>
    </row>
    <row r="247" spans="3:7">
      <c r="E247" t="s">
        <v>1150</v>
      </c>
      <c r="F247">
        <v>1</v>
      </c>
      <c r="G247">
        <v>1</v>
      </c>
    </row>
    <row r="248" spans="3:7">
      <c r="C248" t="s">
        <v>709</v>
      </c>
      <c r="D248" t="s">
        <v>714</v>
      </c>
      <c r="E248" t="s">
        <v>770</v>
      </c>
      <c r="F248">
        <v>4</v>
      </c>
      <c r="G248">
        <v>1</v>
      </c>
    </row>
    <row r="249" spans="3:7">
      <c r="C249" t="s">
        <v>637</v>
      </c>
      <c r="D249" t="s">
        <v>636</v>
      </c>
      <c r="E249" t="s">
        <v>779</v>
      </c>
      <c r="F249">
        <v>1</v>
      </c>
      <c r="G249">
        <v>1</v>
      </c>
    </row>
    <row r="250" spans="3:7">
      <c r="E250" t="s">
        <v>1150</v>
      </c>
      <c r="F250">
        <v>1</v>
      </c>
      <c r="G250">
        <v>1</v>
      </c>
    </row>
    <row r="251" spans="3:7">
      <c r="D251" t="s">
        <v>634</v>
      </c>
      <c r="E251" t="s">
        <v>783</v>
      </c>
      <c r="F251">
        <v>2</v>
      </c>
      <c r="G251">
        <v>2</v>
      </c>
    </row>
    <row r="252" spans="3:7">
      <c r="E252" t="s">
        <v>1154</v>
      </c>
      <c r="F252">
        <v>2</v>
      </c>
      <c r="G252">
        <v>2</v>
      </c>
    </row>
    <row r="253" spans="3:7">
      <c r="E253" t="s">
        <v>1165</v>
      </c>
      <c r="F253">
        <v>1</v>
      </c>
      <c r="G253">
        <v>1</v>
      </c>
    </row>
  </sheetData>
  <pageMargins left="0.7" right="0.7" top="0.75" bottom="0.75" header="0.3" footer="0.3"/>
  <pageSetup paperSize="9" orientation="portrait" r:id="rId2"/>
  <headerFooter>
    <oddHeader>&amp;L&amp;"Calibri"&amp;12&amp;K008000 SC Classification:GENERAL BUSINESS\Other General Business&amp;1#_x000D_</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8" tint="-0.499984740745262"/>
  </sheetPr>
  <dimension ref="B1:J67"/>
  <sheetViews>
    <sheetView topLeftCell="A7" workbookViewId="0">
      <selection activeCell="B11" sqref="B11"/>
    </sheetView>
  </sheetViews>
  <sheetFormatPr defaultColWidth="8.6640625" defaultRowHeight="14.4"/>
  <cols>
    <col min="1" max="1" width="3.44140625" customWidth="1"/>
    <col min="2" max="2" width="29.44140625" customWidth="1"/>
    <col min="3" max="3" width="30.6640625" customWidth="1"/>
    <col min="4" max="4" width="56.33203125" bestFit="1" customWidth="1"/>
    <col min="5" max="5" width="9.5546875" bestFit="1" customWidth="1"/>
    <col min="6" max="7" width="10.33203125" customWidth="1"/>
    <col min="8" max="8" width="40.44140625" customWidth="1"/>
    <col min="9" max="9" width="34.44140625" bestFit="1" customWidth="1"/>
    <col min="10" max="10" width="9.5546875" bestFit="1" customWidth="1"/>
    <col min="11" max="12" width="10.33203125" customWidth="1"/>
    <col min="13" max="20" width="15.6640625" bestFit="1" customWidth="1"/>
    <col min="21" max="21" width="15" bestFit="1" customWidth="1"/>
  </cols>
  <sheetData>
    <row r="1" spans="2:10" ht="35.25" customHeight="1">
      <c r="B1" s="118" t="str">
        <f>su_tournament&amp;" "&amp;su_host_country&amp;" "&amp;su_year&amp;": TEAP v"&amp;su_version&amp;" Report - FIFA Event Technology"</f>
        <v>FIFA U-17 World Cup Qatar 2025: TEAP v0.9 Report - FIFA Event Technology</v>
      </c>
      <c r="C1" s="26"/>
      <c r="D1" s="26"/>
      <c r="E1" s="26"/>
      <c r="F1" s="26"/>
      <c r="G1" s="26"/>
      <c r="H1" s="117"/>
      <c r="I1" s="26"/>
      <c r="J1" s="26"/>
    </row>
    <row r="3" spans="2:10" ht="21">
      <c r="B3" s="2" t="s">
        <v>1166</v>
      </c>
      <c r="C3" s="2"/>
      <c r="D3" s="2"/>
      <c r="E3" s="61"/>
      <c r="F3" s="61"/>
      <c r="G3" s="61"/>
      <c r="H3" s="2" t="s">
        <v>1167</v>
      </c>
      <c r="I3" s="2"/>
      <c r="J3" s="2"/>
    </row>
    <row r="4" spans="2:10" ht="21">
      <c r="D4" s="2"/>
      <c r="E4" s="61"/>
      <c r="F4" s="61"/>
      <c r="G4" s="61"/>
      <c r="J4" s="2"/>
    </row>
    <row r="5" spans="2:10" s="60" customFormat="1" ht="15" customHeight="1">
      <c r="B5" s="182" t="s">
        <v>66</v>
      </c>
      <c r="C5" t="s">
        <v>1013</v>
      </c>
      <c r="D5" s="3"/>
      <c r="E5" s="62"/>
      <c r="F5" s="62"/>
      <c r="G5" s="62"/>
      <c r="H5" s="182" t="s">
        <v>66</v>
      </c>
      <c r="I5" t="s">
        <v>539</v>
      </c>
      <c r="J5" s="3"/>
    </row>
    <row r="7" spans="2:10">
      <c r="B7" s="193" t="s">
        <v>69</v>
      </c>
      <c r="C7" s="193" t="s">
        <v>38</v>
      </c>
      <c r="D7" s="193" t="s">
        <v>36</v>
      </c>
      <c r="E7" s="194" t="s">
        <v>1153</v>
      </c>
      <c r="G7" s="34"/>
      <c r="H7" s="193" t="s">
        <v>38</v>
      </c>
      <c r="I7" s="193" t="s">
        <v>36</v>
      </c>
      <c r="J7" s="194" t="s">
        <v>1153</v>
      </c>
    </row>
    <row r="8" spans="2:10">
      <c r="B8" t="s">
        <v>152</v>
      </c>
      <c r="C8" t="s">
        <v>1168</v>
      </c>
      <c r="D8" t="s">
        <v>236</v>
      </c>
      <c r="E8">
        <v>7</v>
      </c>
      <c r="H8" t="s">
        <v>1169</v>
      </c>
      <c r="I8" t="s">
        <v>1030</v>
      </c>
      <c r="J8">
        <v>14</v>
      </c>
    </row>
    <row r="9" spans="2:10">
      <c r="C9" t="s">
        <v>1169</v>
      </c>
      <c r="D9" t="s">
        <v>1030</v>
      </c>
      <c r="E9">
        <v>3</v>
      </c>
      <c r="I9" t="s">
        <v>1007</v>
      </c>
      <c r="J9">
        <v>10</v>
      </c>
    </row>
    <row r="10" spans="2:10">
      <c r="D10" t="s">
        <v>1007</v>
      </c>
      <c r="E10">
        <v>2</v>
      </c>
      <c r="I10" t="s">
        <v>1024</v>
      </c>
      <c r="J10">
        <v>15</v>
      </c>
    </row>
    <row r="11" spans="2:10">
      <c r="C11" t="s">
        <v>1170</v>
      </c>
      <c r="D11" t="s">
        <v>770</v>
      </c>
      <c r="E11">
        <v>1</v>
      </c>
      <c r="H11" t="s">
        <v>1171</v>
      </c>
      <c r="I11" t="s">
        <v>653</v>
      </c>
      <c r="J11">
        <v>1</v>
      </c>
    </row>
    <row r="12" spans="2:10">
      <c r="C12" t="s">
        <v>1172</v>
      </c>
      <c r="D12" t="s">
        <v>1006</v>
      </c>
      <c r="E12">
        <v>20</v>
      </c>
      <c r="I12" t="s">
        <v>1008</v>
      </c>
      <c r="J12">
        <v>6</v>
      </c>
    </row>
    <row r="13" spans="2:10">
      <c r="D13" t="s">
        <v>784</v>
      </c>
      <c r="E13">
        <v>2</v>
      </c>
      <c r="I13" t="s">
        <v>1029</v>
      </c>
      <c r="J13">
        <v>3</v>
      </c>
    </row>
    <row r="14" spans="2:10">
      <c r="D14" t="s">
        <v>1004</v>
      </c>
      <c r="E14">
        <v>7</v>
      </c>
      <c r="H14" t="s">
        <v>1173</v>
      </c>
      <c r="I14" t="s">
        <v>1023</v>
      </c>
      <c r="J14">
        <v>108</v>
      </c>
    </row>
    <row r="15" spans="2:10">
      <c r="D15" t="s">
        <v>786</v>
      </c>
      <c r="E15">
        <v>7</v>
      </c>
      <c r="H15" t="s">
        <v>1174</v>
      </c>
      <c r="I15" t="s">
        <v>1033</v>
      </c>
      <c r="J15">
        <v>1</v>
      </c>
    </row>
    <row r="16" spans="2:10">
      <c r="D16" t="s">
        <v>790</v>
      </c>
      <c r="E16">
        <v>8</v>
      </c>
    </row>
    <row r="17" spans="2:5">
      <c r="D17" t="s">
        <v>789</v>
      </c>
      <c r="E17">
        <v>2</v>
      </c>
    </row>
    <row r="18" spans="2:5">
      <c r="D18" t="s">
        <v>1005</v>
      </c>
      <c r="E18">
        <v>12</v>
      </c>
    </row>
    <row r="19" spans="2:5">
      <c r="D19" t="s">
        <v>1016</v>
      </c>
      <c r="E19">
        <v>1</v>
      </c>
    </row>
    <row r="20" spans="2:5">
      <c r="D20" t="s">
        <v>1018</v>
      </c>
      <c r="E20">
        <v>12</v>
      </c>
    </row>
    <row r="21" spans="2:5">
      <c r="D21" t="s">
        <v>1031</v>
      </c>
      <c r="E21">
        <v>1</v>
      </c>
    </row>
    <row r="22" spans="2:5">
      <c r="D22" t="s">
        <v>785</v>
      </c>
      <c r="E22">
        <v>1</v>
      </c>
    </row>
    <row r="23" spans="2:5">
      <c r="D23" t="s">
        <v>1015</v>
      </c>
      <c r="E23">
        <v>1</v>
      </c>
    </row>
    <row r="24" spans="2:5">
      <c r="C24" t="s">
        <v>1171</v>
      </c>
      <c r="D24" t="s">
        <v>653</v>
      </c>
      <c r="E24">
        <v>1</v>
      </c>
    </row>
    <row r="25" spans="2:5">
      <c r="D25" t="s">
        <v>1008</v>
      </c>
      <c r="E25">
        <v>5</v>
      </c>
    </row>
    <row r="26" spans="2:5">
      <c r="D26" t="s">
        <v>1010</v>
      </c>
      <c r="E26">
        <v>9</v>
      </c>
    </row>
    <row r="27" spans="2:5">
      <c r="C27" t="s">
        <v>798</v>
      </c>
      <c r="D27" t="s">
        <v>1003</v>
      </c>
      <c r="E27">
        <v>5</v>
      </c>
    </row>
    <row r="28" spans="2:5">
      <c r="C28" t="s">
        <v>1173</v>
      </c>
      <c r="D28" t="s">
        <v>1023</v>
      </c>
      <c r="E28">
        <v>6</v>
      </c>
    </row>
    <row r="29" spans="2:5">
      <c r="D29" t="s">
        <v>1027</v>
      </c>
      <c r="E29">
        <v>6</v>
      </c>
    </row>
    <row r="30" spans="2:5">
      <c r="C30" t="s">
        <v>1175</v>
      </c>
      <c r="D30" t="s">
        <v>1022</v>
      </c>
      <c r="E30">
        <v>2</v>
      </c>
    </row>
    <row r="31" spans="2:5">
      <c r="C31" t="s">
        <v>1174</v>
      </c>
      <c r="D31" t="s">
        <v>1033</v>
      </c>
      <c r="E31">
        <v>1</v>
      </c>
    </row>
    <row r="32" spans="2:5">
      <c r="B32" t="s">
        <v>149</v>
      </c>
      <c r="C32" t="s">
        <v>1168</v>
      </c>
      <c r="D32" t="s">
        <v>236</v>
      </c>
      <c r="E32">
        <v>26</v>
      </c>
    </row>
    <row r="33" spans="3:5">
      <c r="D33" t="s">
        <v>1021</v>
      </c>
      <c r="E33">
        <v>1</v>
      </c>
    </row>
    <row r="34" spans="3:5">
      <c r="C34" t="s">
        <v>1169</v>
      </c>
      <c r="D34" t="s">
        <v>1030</v>
      </c>
      <c r="E34">
        <v>13</v>
      </c>
    </row>
    <row r="35" spans="3:5">
      <c r="D35" t="s">
        <v>1007</v>
      </c>
      <c r="E35">
        <v>8</v>
      </c>
    </row>
    <row r="36" spans="3:5">
      <c r="D36" t="s">
        <v>1024</v>
      </c>
      <c r="E36">
        <v>16</v>
      </c>
    </row>
    <row r="37" spans="3:5">
      <c r="C37" t="s">
        <v>1170</v>
      </c>
      <c r="D37" t="s">
        <v>770</v>
      </c>
      <c r="E37">
        <v>11</v>
      </c>
    </row>
    <row r="38" spans="3:5">
      <c r="C38" t="s">
        <v>1172</v>
      </c>
      <c r="D38" t="s">
        <v>1006</v>
      </c>
      <c r="E38">
        <v>12</v>
      </c>
    </row>
    <row r="39" spans="3:5">
      <c r="D39" t="s">
        <v>1004</v>
      </c>
      <c r="E39">
        <v>16</v>
      </c>
    </row>
    <row r="40" spans="3:5">
      <c r="D40" t="s">
        <v>786</v>
      </c>
      <c r="E40">
        <v>22</v>
      </c>
    </row>
    <row r="41" spans="3:5">
      <c r="D41" t="s">
        <v>790</v>
      </c>
      <c r="E41">
        <v>1</v>
      </c>
    </row>
    <row r="42" spans="3:5">
      <c r="D42" t="s">
        <v>789</v>
      </c>
      <c r="E42">
        <v>16</v>
      </c>
    </row>
    <row r="43" spans="3:5">
      <c r="D43" t="s">
        <v>1020</v>
      </c>
      <c r="E43">
        <v>1</v>
      </c>
    </row>
    <row r="44" spans="3:5">
      <c r="D44" t="s">
        <v>1005</v>
      </c>
      <c r="E44">
        <v>24</v>
      </c>
    </row>
    <row r="45" spans="3:5">
      <c r="D45" t="s">
        <v>1016</v>
      </c>
      <c r="E45">
        <v>2</v>
      </c>
    </row>
    <row r="46" spans="3:5">
      <c r="D46" t="s">
        <v>1018</v>
      </c>
      <c r="E46">
        <v>26</v>
      </c>
    </row>
    <row r="47" spans="3:5">
      <c r="D47" t="s">
        <v>1031</v>
      </c>
      <c r="E47">
        <v>1</v>
      </c>
    </row>
    <row r="48" spans="3:5">
      <c r="D48" t="s">
        <v>785</v>
      </c>
      <c r="E48">
        <v>7</v>
      </c>
    </row>
    <row r="49" spans="3:5">
      <c r="D49" t="s">
        <v>1015</v>
      </c>
      <c r="E49">
        <v>1</v>
      </c>
    </row>
    <row r="50" spans="3:5">
      <c r="D50" t="s">
        <v>781</v>
      </c>
      <c r="E50">
        <v>1</v>
      </c>
    </row>
    <row r="51" spans="3:5">
      <c r="D51" t="s">
        <v>1019</v>
      </c>
      <c r="E51">
        <v>8</v>
      </c>
    </row>
    <row r="52" spans="3:5">
      <c r="C52" t="s">
        <v>1171</v>
      </c>
      <c r="D52" t="s">
        <v>1008</v>
      </c>
      <c r="E52">
        <v>1</v>
      </c>
    </row>
    <row r="53" spans="3:5">
      <c r="D53" t="s">
        <v>1029</v>
      </c>
      <c r="E53">
        <v>3</v>
      </c>
    </row>
    <row r="54" spans="3:5">
      <c r="D54" t="s">
        <v>1010</v>
      </c>
      <c r="E54">
        <v>29</v>
      </c>
    </row>
    <row r="55" spans="3:5">
      <c r="D55" t="s">
        <v>796</v>
      </c>
      <c r="E55">
        <v>4</v>
      </c>
    </row>
    <row r="56" spans="3:5">
      <c r="D56" t="s">
        <v>1009</v>
      </c>
      <c r="E56">
        <v>30</v>
      </c>
    </row>
    <row r="57" spans="3:5">
      <c r="D57" t="s">
        <v>1011</v>
      </c>
      <c r="E57">
        <v>4</v>
      </c>
    </row>
    <row r="58" spans="3:5">
      <c r="C58" t="s">
        <v>798</v>
      </c>
      <c r="D58" t="s">
        <v>1003</v>
      </c>
      <c r="E58">
        <v>9</v>
      </c>
    </row>
    <row r="59" spans="3:5">
      <c r="D59" t="s">
        <v>1017</v>
      </c>
      <c r="E59">
        <v>2</v>
      </c>
    </row>
    <row r="60" spans="3:5">
      <c r="C60" t="s">
        <v>1173</v>
      </c>
      <c r="D60" t="s">
        <v>1026</v>
      </c>
      <c r="E60">
        <v>100</v>
      </c>
    </row>
    <row r="61" spans="3:5">
      <c r="D61" t="s">
        <v>1025</v>
      </c>
      <c r="E61">
        <v>15</v>
      </c>
    </row>
    <row r="62" spans="3:5">
      <c r="D62" t="s">
        <v>1023</v>
      </c>
      <c r="E62">
        <v>102</v>
      </c>
    </row>
    <row r="63" spans="3:5">
      <c r="D63" t="s">
        <v>1027</v>
      </c>
      <c r="E63">
        <v>20</v>
      </c>
    </row>
    <row r="64" spans="3:5">
      <c r="C64" t="s">
        <v>1175</v>
      </c>
      <c r="D64" t="s">
        <v>1012</v>
      </c>
      <c r="E64">
        <v>2</v>
      </c>
    </row>
    <row r="65" spans="3:5">
      <c r="D65" t="s">
        <v>1022</v>
      </c>
      <c r="E65">
        <v>2</v>
      </c>
    </row>
    <row r="66" spans="3:5">
      <c r="C66" t="s">
        <v>1174</v>
      </c>
      <c r="D66" t="s">
        <v>1032</v>
      </c>
      <c r="E66">
        <v>1</v>
      </c>
    </row>
    <row r="67" spans="3:5">
      <c r="C67" t="s">
        <v>1176</v>
      </c>
      <c r="D67" t="s">
        <v>1028</v>
      </c>
      <c r="E67">
        <v>50</v>
      </c>
    </row>
  </sheetData>
  <pageMargins left="0.7" right="0.7" top="0.75" bottom="0.75" header="0.3" footer="0.3"/>
  <pageSetup paperSize="9" orientation="portrait" r:id="rId3"/>
  <headerFooter>
    <oddHeader>&amp;L&amp;"Calibri"&amp;12&amp;K008000 SC Classification:GENERAL BUSINESS\Other General Business&amp;1#_x000D_</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8" tint="-0.499984740745262"/>
  </sheetPr>
  <dimension ref="B1:H7"/>
  <sheetViews>
    <sheetView workbookViewId="0"/>
  </sheetViews>
  <sheetFormatPr defaultColWidth="8.6640625" defaultRowHeight="14.4"/>
  <cols>
    <col min="1" max="1" width="3.44140625" customWidth="1"/>
    <col min="2" max="2" width="29.44140625" customWidth="1"/>
    <col min="3" max="3" width="27.44140625" customWidth="1"/>
    <col min="4" max="4" width="40.44140625" bestFit="1" customWidth="1"/>
    <col min="5" max="5" width="16.33203125" bestFit="1" customWidth="1"/>
    <col min="6" max="6" width="8.44140625" bestFit="1" customWidth="1"/>
    <col min="7" max="7" width="12.44140625" bestFit="1" customWidth="1"/>
    <col min="8" max="8" width="13.44140625" bestFit="1" customWidth="1"/>
    <col min="9" max="9" width="10.33203125" customWidth="1"/>
    <col min="10" max="17" width="15.6640625" bestFit="1" customWidth="1"/>
    <col min="18" max="18" width="15" bestFit="1" customWidth="1"/>
  </cols>
  <sheetData>
    <row r="1" spans="2:8" ht="35.25" customHeight="1">
      <c r="B1" s="118" t="str">
        <f>su_tournament&amp;" "&amp;su_host_country&amp;" "&amp;su_year&amp;": TEAP v"&amp;su_version&amp;" VITM Checklist"</f>
        <v>FIFA U-17 World Cup Qatar 2025: TEAP v0.9 VITM Checklist</v>
      </c>
      <c r="C1" s="26"/>
      <c r="D1" s="26"/>
      <c r="E1" s="26"/>
      <c r="F1" s="26"/>
      <c r="G1" s="26"/>
      <c r="H1" s="26"/>
    </row>
    <row r="3" spans="2:8" ht="21">
      <c r="B3" s="2" t="s">
        <v>1177</v>
      </c>
      <c r="C3" s="2"/>
      <c r="D3" s="2"/>
      <c r="E3" s="61"/>
      <c r="F3" s="61"/>
      <c r="G3" s="61"/>
    </row>
    <row r="4" spans="2:8" ht="21">
      <c r="D4" s="2"/>
      <c r="E4" s="61"/>
      <c r="F4" s="61"/>
      <c r="G4" s="61"/>
    </row>
    <row r="5" spans="2:8" s="60" customFormat="1" ht="15" customHeight="1">
      <c r="B5" s="182" t="s">
        <v>66</v>
      </c>
      <c r="C5" t="s">
        <v>511</v>
      </c>
      <c r="D5" s="3"/>
      <c r="E5" s="62"/>
      <c r="F5" s="62"/>
      <c r="G5" s="62"/>
    </row>
    <row r="7" spans="2:8">
      <c r="B7" s="182" t="s">
        <v>69</v>
      </c>
      <c r="C7" s="182" t="s">
        <v>71</v>
      </c>
      <c r="D7" s="182" t="s">
        <v>73</v>
      </c>
      <c r="E7" s="182" t="s">
        <v>75</v>
      </c>
      <c r="F7" s="194" t="s">
        <v>1153</v>
      </c>
      <c r="G7" s="194" t="s">
        <v>1178</v>
      </c>
    </row>
  </sheetData>
  <pageMargins left="0.7" right="0.7" top="0.75" bottom="0.75" header="0.3" footer="0.3"/>
  <pageSetup paperSize="9" orientation="portrait" r:id="rId2"/>
  <headerFooter>
    <oddHeader>&amp;L&amp;"Calibri"&amp;12&amp;K008000 SC Classification:GENERAL BUSINESS\Other General Business&amp;1#_x000D_</oddHead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tabColor theme="8" tint="-0.499984740745262"/>
    <pageSetUpPr fitToPage="1"/>
  </sheetPr>
  <dimension ref="B1:P550"/>
  <sheetViews>
    <sheetView workbookViewId="0"/>
  </sheetViews>
  <sheetFormatPr defaultColWidth="8.6640625" defaultRowHeight="14.4"/>
  <cols>
    <col min="1" max="1" width="6.44140625" customWidth="1"/>
    <col min="2" max="2" width="14.44140625" style="43" customWidth="1"/>
    <col min="3" max="3" width="42.44140625" style="43" bestFit="1" customWidth="1"/>
    <col min="4" max="4" width="47.33203125" style="43" customWidth="1"/>
    <col min="5" max="6" width="35.44140625" style="43" customWidth="1"/>
    <col min="7" max="7" width="23" style="43" customWidth="1"/>
    <col min="8" max="8" width="14.44140625" style="178" customWidth="1"/>
    <col min="9" max="9" width="14.44140625" style="172" customWidth="1"/>
    <col min="10" max="10" width="14.44140625" style="179" customWidth="1"/>
    <col min="11" max="11" width="20.44140625" style="171" customWidth="1"/>
    <col min="12" max="12" width="26.44140625" style="43" customWidth="1"/>
    <col min="13" max="13" width="10.33203125" customWidth="1"/>
    <col min="14" max="14" width="15.6640625" bestFit="1" customWidth="1"/>
    <col min="15" max="15" width="28.44140625" bestFit="1" customWidth="1"/>
    <col min="16" max="21" width="15.6640625" bestFit="1" customWidth="1"/>
    <col min="22" max="22" width="15" bestFit="1" customWidth="1"/>
  </cols>
  <sheetData>
    <row r="1" spans="2:16" ht="15" customHeight="1">
      <c r="B1" s="183"/>
    </row>
    <row r="2" spans="2:16" ht="51.75" customHeight="1"/>
    <row r="3" spans="2:16" ht="28.8">
      <c r="B3" s="167" t="str">
        <f>su_tournament&amp;" "&amp;su_host_country&amp;" "&amp;su_year&amp;": TEAP v"&amp;su_version&amp;" Packing List: Outbound"</f>
        <v>FIFA U-17 World Cup Qatar 2025: TEAP v0.9 Packing List: Outbound</v>
      </c>
      <c r="C3" s="168"/>
      <c r="D3" s="168"/>
      <c r="E3" s="168"/>
      <c r="F3" s="168"/>
      <c r="G3" s="168"/>
      <c r="H3" s="173"/>
      <c r="I3" s="174"/>
      <c r="J3" s="175"/>
      <c r="K3" s="169"/>
      <c r="L3" s="168"/>
    </row>
    <row r="4" spans="2:16">
      <c r="B4" s="77"/>
      <c r="C4" s="170"/>
      <c r="D4" s="170"/>
      <c r="E4" s="77"/>
      <c r="F4" s="77"/>
      <c r="G4" s="77"/>
      <c r="H4" s="176"/>
      <c r="I4" s="177"/>
      <c r="J4" s="177"/>
      <c r="K4" s="77"/>
      <c r="L4" s="77"/>
    </row>
    <row r="5" spans="2:16" s="38" customFormat="1" ht="30.75" customHeight="1">
      <c r="B5" s="195" t="s">
        <v>1179</v>
      </c>
      <c r="C5" s="195" t="s">
        <v>36</v>
      </c>
      <c r="D5" s="195" t="s">
        <v>1180</v>
      </c>
      <c r="E5" s="196" t="s">
        <v>1181</v>
      </c>
      <c r="F5" s="196" t="s">
        <v>1182</v>
      </c>
      <c r="G5" s="195" t="s">
        <v>1183</v>
      </c>
      <c r="H5" s="197" t="s">
        <v>1184</v>
      </c>
      <c r="I5" s="198" t="s">
        <v>53</v>
      </c>
      <c r="J5" s="199" t="s">
        <v>1185</v>
      </c>
      <c r="K5" s="196" t="s">
        <v>1186</v>
      </c>
      <c r="L5" s="200" t="s">
        <v>1187</v>
      </c>
      <c r="M5" s="166"/>
      <c r="O5" s="166"/>
      <c r="P5" s="166"/>
    </row>
    <row r="6" spans="2:16">
      <c r="B6" s="180" t="s">
        <v>1188</v>
      </c>
      <c r="C6" s="181"/>
      <c r="D6" s="181"/>
      <c r="E6" s="181"/>
      <c r="F6" s="181"/>
      <c r="G6" s="181"/>
      <c r="H6" s="181"/>
      <c r="I6" s="181"/>
      <c r="J6" s="181"/>
      <c r="K6" s="181"/>
      <c r="L6" s="181"/>
    </row>
    <row r="7" spans="2:16">
      <c r="B7" t="s">
        <v>329</v>
      </c>
      <c r="C7" t="s">
        <v>1189</v>
      </c>
      <c r="D7"/>
      <c r="E7" s="226">
        <v>12447</v>
      </c>
      <c r="F7" s="226" t="s">
        <v>1190</v>
      </c>
      <c r="G7" t="s">
        <v>1191</v>
      </c>
      <c r="H7" s="227">
        <v>200</v>
      </c>
      <c r="I7" s="34">
        <v>1</v>
      </c>
      <c r="J7" s="227">
        <f t="shared" ref="J7:J14" si="0">I7*H7</f>
        <v>200</v>
      </c>
      <c r="K7" s="226">
        <v>112</v>
      </c>
      <c r="L7" s="228" t="s">
        <v>1192</v>
      </c>
    </row>
    <row r="8" spans="2:16">
      <c r="B8" t="s">
        <v>329</v>
      </c>
      <c r="C8" t="s">
        <v>1189</v>
      </c>
      <c r="D8"/>
      <c r="E8" s="226">
        <v>12446</v>
      </c>
      <c r="F8" s="226" t="s">
        <v>1193</v>
      </c>
      <c r="G8" t="s">
        <v>1191</v>
      </c>
      <c r="H8" s="227">
        <v>200</v>
      </c>
      <c r="I8" s="34">
        <v>1</v>
      </c>
      <c r="J8" s="227">
        <f t="shared" si="0"/>
        <v>200</v>
      </c>
      <c r="K8" s="226">
        <v>112</v>
      </c>
      <c r="L8" s="228" t="s">
        <v>1192</v>
      </c>
    </row>
    <row r="9" spans="2:16">
      <c r="B9" t="s">
        <v>329</v>
      </c>
      <c r="C9" t="s">
        <v>1189</v>
      </c>
      <c r="D9"/>
      <c r="E9" s="226">
        <v>12445</v>
      </c>
      <c r="F9" s="226" t="s">
        <v>1194</v>
      </c>
      <c r="G9" t="s">
        <v>1191</v>
      </c>
      <c r="H9" s="227">
        <v>200</v>
      </c>
      <c r="I9" s="34">
        <v>1</v>
      </c>
      <c r="J9" s="227">
        <f t="shared" si="0"/>
        <v>200</v>
      </c>
      <c r="K9" s="226">
        <v>112</v>
      </c>
      <c r="L9" s="228" t="s">
        <v>1192</v>
      </c>
    </row>
    <row r="10" spans="2:16">
      <c r="B10" t="s">
        <v>329</v>
      </c>
      <c r="C10" t="s">
        <v>1189</v>
      </c>
      <c r="D10"/>
      <c r="E10" s="226">
        <v>12444</v>
      </c>
      <c r="F10" s="226" t="s">
        <v>1195</v>
      </c>
      <c r="G10" t="s">
        <v>1191</v>
      </c>
      <c r="H10" s="227">
        <v>200</v>
      </c>
      <c r="I10" s="34">
        <v>1</v>
      </c>
      <c r="J10" s="227">
        <f t="shared" si="0"/>
        <v>200</v>
      </c>
      <c r="K10" s="226">
        <v>112</v>
      </c>
      <c r="L10" s="228" t="s">
        <v>1192</v>
      </c>
    </row>
    <row r="11" spans="2:16">
      <c r="B11" t="s">
        <v>329</v>
      </c>
      <c r="C11" t="s">
        <v>1189</v>
      </c>
      <c r="D11"/>
      <c r="E11" s="226">
        <v>12450</v>
      </c>
      <c r="F11" s="226" t="s">
        <v>1196</v>
      </c>
      <c r="G11" t="s">
        <v>1191</v>
      </c>
      <c r="H11" s="227">
        <v>200</v>
      </c>
      <c r="I11" s="34">
        <v>1</v>
      </c>
      <c r="J11" s="227">
        <f t="shared" si="0"/>
        <v>200</v>
      </c>
      <c r="K11" s="226">
        <v>112</v>
      </c>
      <c r="L11" s="228" t="s">
        <v>1192</v>
      </c>
    </row>
    <row r="12" spans="2:16">
      <c r="B12" t="s">
        <v>329</v>
      </c>
      <c r="C12" t="s">
        <v>1189</v>
      </c>
      <c r="D12"/>
      <c r="E12" s="226">
        <v>12442</v>
      </c>
      <c r="F12" s="226" t="s">
        <v>1197</v>
      </c>
      <c r="G12" t="s">
        <v>1191</v>
      </c>
      <c r="H12" s="227">
        <v>200</v>
      </c>
      <c r="I12" s="34">
        <v>1</v>
      </c>
      <c r="J12" s="227">
        <f t="shared" si="0"/>
        <v>200</v>
      </c>
      <c r="K12" s="226">
        <v>112</v>
      </c>
      <c r="L12" s="228" t="s">
        <v>1192</v>
      </c>
    </row>
    <row r="13" spans="2:16">
      <c r="B13" t="s">
        <v>329</v>
      </c>
      <c r="C13" t="s">
        <v>1189</v>
      </c>
      <c r="D13"/>
      <c r="E13" s="226">
        <v>12442</v>
      </c>
      <c r="F13" s="226" t="s">
        <v>1197</v>
      </c>
      <c r="G13" t="s">
        <v>1191</v>
      </c>
      <c r="H13" s="227">
        <v>200</v>
      </c>
      <c r="I13" s="34">
        <v>1</v>
      </c>
      <c r="J13" s="227">
        <f t="shared" si="0"/>
        <v>200</v>
      </c>
      <c r="K13" s="226">
        <v>138</v>
      </c>
      <c r="L13" s="228" t="s">
        <v>1192</v>
      </c>
    </row>
    <row r="14" spans="2:16">
      <c r="B14" t="s">
        <v>329</v>
      </c>
      <c r="C14" t="s">
        <v>1189</v>
      </c>
      <c r="D14"/>
      <c r="E14" s="226">
        <v>12442</v>
      </c>
      <c r="F14" s="226" t="s">
        <v>1197</v>
      </c>
      <c r="G14" t="s">
        <v>1191</v>
      </c>
      <c r="H14" s="227">
        <v>200</v>
      </c>
      <c r="I14" s="34">
        <v>1</v>
      </c>
      <c r="J14" s="227">
        <f t="shared" si="0"/>
        <v>200</v>
      </c>
      <c r="K14" s="226">
        <v>138</v>
      </c>
      <c r="L14" s="228" t="s">
        <v>1192</v>
      </c>
    </row>
    <row r="15" spans="2:16">
      <c r="B15" t="s">
        <v>329</v>
      </c>
      <c r="C15" t="s">
        <v>1189</v>
      </c>
      <c r="D15"/>
      <c r="E15" s="226">
        <v>12442</v>
      </c>
      <c r="F15" s="226" t="s">
        <v>1197</v>
      </c>
      <c r="G15" t="s">
        <v>1191</v>
      </c>
      <c r="H15" s="227">
        <v>200</v>
      </c>
      <c r="I15" s="34">
        <v>1</v>
      </c>
      <c r="J15" s="227">
        <f t="shared" ref="J15" si="1">I15*H15</f>
        <v>200</v>
      </c>
      <c r="K15" s="226">
        <v>138</v>
      </c>
      <c r="L15" s="228" t="s">
        <v>1192</v>
      </c>
    </row>
    <row r="16" spans="2:16">
      <c r="B16" t="s">
        <v>329</v>
      </c>
      <c r="C16" t="s">
        <v>1189</v>
      </c>
      <c r="D16"/>
      <c r="E16" s="226">
        <v>12442</v>
      </c>
      <c r="F16" s="226" t="s">
        <v>1197</v>
      </c>
      <c r="G16" t="s">
        <v>1191</v>
      </c>
      <c r="H16" s="227">
        <v>200</v>
      </c>
      <c r="I16" s="34">
        <v>1</v>
      </c>
      <c r="J16" s="227">
        <f t="shared" ref="J16" si="2">I16*H16</f>
        <v>200</v>
      </c>
      <c r="K16" s="226">
        <v>138</v>
      </c>
      <c r="L16" s="228" t="s">
        <v>1192</v>
      </c>
    </row>
    <row r="17" spans="2:12">
      <c r="B17" t="s">
        <v>1198</v>
      </c>
      <c r="C17" t="s">
        <v>1199</v>
      </c>
      <c r="D17" t="s">
        <v>1200</v>
      </c>
      <c r="E17" s="226" t="s">
        <v>1201</v>
      </c>
      <c r="F17" s="226" t="s">
        <v>1202</v>
      </c>
      <c r="G17" t="s">
        <v>1203</v>
      </c>
      <c r="H17" s="227">
        <v>7200</v>
      </c>
      <c r="I17" s="34">
        <v>1</v>
      </c>
      <c r="J17" s="227">
        <f t="shared" ref="J17:J52" si="3">H17*I17</f>
        <v>7200</v>
      </c>
      <c r="K17" s="226">
        <v>135</v>
      </c>
      <c r="L17" s="228" t="s">
        <v>1192</v>
      </c>
    </row>
    <row r="18" spans="2:12">
      <c r="B18" t="s">
        <v>1198</v>
      </c>
      <c r="C18" t="s">
        <v>1199</v>
      </c>
      <c r="D18" t="s">
        <v>1200</v>
      </c>
      <c r="E18" s="226" t="s">
        <v>1201</v>
      </c>
      <c r="F18" s="226" t="s">
        <v>1204</v>
      </c>
      <c r="G18" t="s">
        <v>1203</v>
      </c>
      <c r="H18" s="227">
        <v>7200</v>
      </c>
      <c r="I18" s="34">
        <v>1</v>
      </c>
      <c r="J18" s="227">
        <f t="shared" si="3"/>
        <v>7200</v>
      </c>
      <c r="K18" s="226">
        <v>135</v>
      </c>
      <c r="L18" s="228" t="s">
        <v>1192</v>
      </c>
    </row>
    <row r="19" spans="2:12">
      <c r="B19" t="s">
        <v>1198</v>
      </c>
      <c r="C19" t="s">
        <v>1199</v>
      </c>
      <c r="D19" t="s">
        <v>1205</v>
      </c>
      <c r="E19" s="226" t="s">
        <v>1201</v>
      </c>
      <c r="F19" s="226" t="s">
        <v>1206</v>
      </c>
      <c r="G19" t="s">
        <v>1203</v>
      </c>
      <c r="H19" s="227">
        <v>3000</v>
      </c>
      <c r="I19" s="34">
        <v>1</v>
      </c>
      <c r="J19" s="227">
        <f t="shared" si="3"/>
        <v>3000</v>
      </c>
      <c r="K19" s="226">
        <v>135</v>
      </c>
      <c r="L19" s="228" t="s">
        <v>1192</v>
      </c>
    </row>
    <row r="20" spans="2:12">
      <c r="B20" t="s">
        <v>1198</v>
      </c>
      <c r="C20" t="s">
        <v>1199</v>
      </c>
      <c r="D20" t="s">
        <v>1205</v>
      </c>
      <c r="E20" s="226" t="s">
        <v>1201</v>
      </c>
      <c r="F20" s="226" t="s">
        <v>1207</v>
      </c>
      <c r="G20" t="s">
        <v>1203</v>
      </c>
      <c r="H20" s="227">
        <v>3000</v>
      </c>
      <c r="I20" s="34">
        <v>1</v>
      </c>
      <c r="J20" s="227">
        <f t="shared" si="3"/>
        <v>3000</v>
      </c>
      <c r="K20" s="226">
        <v>135</v>
      </c>
      <c r="L20" s="228" t="s">
        <v>1192</v>
      </c>
    </row>
    <row r="21" spans="2:12">
      <c r="B21" t="s">
        <v>1198</v>
      </c>
      <c r="C21" t="s">
        <v>1199</v>
      </c>
      <c r="D21" t="s">
        <v>1205</v>
      </c>
      <c r="E21" s="226" t="s">
        <v>1201</v>
      </c>
      <c r="F21" s="226" t="s">
        <v>1208</v>
      </c>
      <c r="G21" t="s">
        <v>1203</v>
      </c>
      <c r="H21" s="227">
        <v>3000</v>
      </c>
      <c r="I21" s="34">
        <v>1</v>
      </c>
      <c r="J21" s="227">
        <f t="shared" ref="J21" si="4">H21*I21</f>
        <v>3000</v>
      </c>
      <c r="K21" s="226">
        <v>135</v>
      </c>
      <c r="L21" s="228" t="s">
        <v>1192</v>
      </c>
    </row>
    <row r="22" spans="2:12">
      <c r="B22" t="s">
        <v>1198</v>
      </c>
      <c r="C22" t="s">
        <v>1199</v>
      </c>
      <c r="D22" t="s">
        <v>1205</v>
      </c>
      <c r="E22" s="226" t="s">
        <v>1201</v>
      </c>
      <c r="F22" s="226" t="s">
        <v>1209</v>
      </c>
      <c r="G22" t="s">
        <v>1203</v>
      </c>
      <c r="H22" s="227">
        <v>3000</v>
      </c>
      <c r="I22" s="34">
        <v>1</v>
      </c>
      <c r="J22" s="227">
        <f t="shared" si="3"/>
        <v>3000</v>
      </c>
      <c r="K22" s="226">
        <v>135</v>
      </c>
      <c r="L22" s="228" t="s">
        <v>1192</v>
      </c>
    </row>
    <row r="23" spans="2:12">
      <c r="B23" t="s">
        <v>1198</v>
      </c>
      <c r="C23" t="s">
        <v>1199</v>
      </c>
      <c r="D23" t="s">
        <v>1210</v>
      </c>
      <c r="E23" s="226" t="s">
        <v>1201</v>
      </c>
      <c r="F23" s="226" t="s">
        <v>1211</v>
      </c>
      <c r="G23" t="s">
        <v>1191</v>
      </c>
      <c r="H23" s="227">
        <v>150</v>
      </c>
      <c r="I23" s="34">
        <v>1</v>
      </c>
      <c r="J23" s="227">
        <f t="shared" ref="J23:J24" si="5">H23*I23</f>
        <v>150</v>
      </c>
      <c r="K23" s="226">
        <v>136</v>
      </c>
      <c r="L23" s="228" t="s">
        <v>1192</v>
      </c>
    </row>
    <row r="24" spans="2:12">
      <c r="B24" t="s">
        <v>1198</v>
      </c>
      <c r="C24" t="s">
        <v>1199</v>
      </c>
      <c r="D24" t="s">
        <v>1210</v>
      </c>
      <c r="E24" s="226" t="s">
        <v>1201</v>
      </c>
      <c r="F24" s="226" t="s">
        <v>1212</v>
      </c>
      <c r="G24" t="s">
        <v>1191</v>
      </c>
      <c r="H24" s="227">
        <v>150</v>
      </c>
      <c r="I24" s="34">
        <v>1</v>
      </c>
      <c r="J24" s="227">
        <f t="shared" si="5"/>
        <v>150</v>
      </c>
      <c r="K24" s="226">
        <v>136</v>
      </c>
      <c r="L24" s="228" t="s">
        <v>1192</v>
      </c>
    </row>
    <row r="25" spans="2:12">
      <c r="B25" t="s">
        <v>1198</v>
      </c>
      <c r="C25" t="s">
        <v>1199</v>
      </c>
      <c r="D25" t="s">
        <v>1210</v>
      </c>
      <c r="E25" s="226" t="s">
        <v>1201</v>
      </c>
      <c r="F25" s="226" t="s">
        <v>1213</v>
      </c>
      <c r="G25" t="s">
        <v>1191</v>
      </c>
      <c r="H25" s="227">
        <v>150</v>
      </c>
      <c r="I25" s="34">
        <v>1</v>
      </c>
      <c r="J25" s="227">
        <f t="shared" si="3"/>
        <v>150</v>
      </c>
      <c r="K25" s="226">
        <v>136</v>
      </c>
      <c r="L25" s="228" t="s">
        <v>1192</v>
      </c>
    </row>
    <row r="26" spans="2:12">
      <c r="B26" t="s">
        <v>1198</v>
      </c>
      <c r="C26" t="s">
        <v>1199</v>
      </c>
      <c r="D26" t="s">
        <v>1210</v>
      </c>
      <c r="E26" s="226" t="s">
        <v>1201</v>
      </c>
      <c r="F26" s="226" t="s">
        <v>1214</v>
      </c>
      <c r="G26" t="s">
        <v>1191</v>
      </c>
      <c r="H26" s="227">
        <v>150</v>
      </c>
      <c r="I26" s="34">
        <v>1</v>
      </c>
      <c r="J26" s="227">
        <f t="shared" si="3"/>
        <v>150</v>
      </c>
      <c r="K26" s="226">
        <v>136</v>
      </c>
      <c r="L26" s="228" t="s">
        <v>1192</v>
      </c>
    </row>
    <row r="27" spans="2:12">
      <c r="B27" t="s">
        <v>1198</v>
      </c>
      <c r="C27" t="s">
        <v>1199</v>
      </c>
      <c r="D27" t="s">
        <v>1210</v>
      </c>
      <c r="E27" s="226" t="s">
        <v>1201</v>
      </c>
      <c r="F27" s="226" t="s">
        <v>1215</v>
      </c>
      <c r="G27" t="s">
        <v>1191</v>
      </c>
      <c r="H27" s="227">
        <v>150</v>
      </c>
      <c r="I27" s="34">
        <v>1</v>
      </c>
      <c r="J27" s="227">
        <f t="shared" si="3"/>
        <v>150</v>
      </c>
      <c r="K27" s="226">
        <v>136</v>
      </c>
      <c r="L27" s="228" t="s">
        <v>1192</v>
      </c>
    </row>
    <row r="28" spans="2:12">
      <c r="B28" t="s">
        <v>1198</v>
      </c>
      <c r="C28" t="s">
        <v>1199</v>
      </c>
      <c r="D28" t="s">
        <v>1210</v>
      </c>
      <c r="E28" s="226" t="s">
        <v>1201</v>
      </c>
      <c r="F28" s="226" t="s">
        <v>1216</v>
      </c>
      <c r="G28" t="s">
        <v>1191</v>
      </c>
      <c r="H28" s="227">
        <v>150</v>
      </c>
      <c r="I28" s="34">
        <v>1</v>
      </c>
      <c r="J28" s="227">
        <f t="shared" si="3"/>
        <v>150</v>
      </c>
      <c r="K28" s="226">
        <v>136</v>
      </c>
      <c r="L28" s="228" t="s">
        <v>1192</v>
      </c>
    </row>
    <row r="29" spans="2:12">
      <c r="B29" t="s">
        <v>1198</v>
      </c>
      <c r="C29" t="s">
        <v>1199</v>
      </c>
      <c r="D29" t="s">
        <v>1210</v>
      </c>
      <c r="E29" s="226" t="s">
        <v>1201</v>
      </c>
      <c r="F29" s="226" t="s">
        <v>1217</v>
      </c>
      <c r="G29" t="s">
        <v>1191</v>
      </c>
      <c r="H29" s="227">
        <v>150</v>
      </c>
      <c r="I29" s="34">
        <v>1</v>
      </c>
      <c r="J29" s="227">
        <f t="shared" si="3"/>
        <v>150</v>
      </c>
      <c r="K29" s="226">
        <v>136</v>
      </c>
      <c r="L29" s="228" t="s">
        <v>1192</v>
      </c>
    </row>
    <row r="30" spans="2:12">
      <c r="B30" t="s">
        <v>1198</v>
      </c>
      <c r="C30" t="s">
        <v>1199</v>
      </c>
      <c r="D30" t="s">
        <v>1210</v>
      </c>
      <c r="E30" s="226" t="s">
        <v>1201</v>
      </c>
      <c r="F30" s="226" t="s">
        <v>1218</v>
      </c>
      <c r="G30" t="s">
        <v>1191</v>
      </c>
      <c r="H30" s="227">
        <v>150</v>
      </c>
      <c r="I30" s="34">
        <v>1</v>
      </c>
      <c r="J30" s="227">
        <f t="shared" si="3"/>
        <v>150</v>
      </c>
      <c r="K30" s="226">
        <v>136</v>
      </c>
      <c r="L30" s="228" t="s">
        <v>1192</v>
      </c>
    </row>
    <row r="31" spans="2:12">
      <c r="B31" t="s">
        <v>1198</v>
      </c>
      <c r="C31" t="s">
        <v>1199</v>
      </c>
      <c r="D31" t="s">
        <v>1210</v>
      </c>
      <c r="E31" s="226" t="s">
        <v>1201</v>
      </c>
      <c r="F31" s="226" t="s">
        <v>1219</v>
      </c>
      <c r="G31" t="s">
        <v>1191</v>
      </c>
      <c r="H31" s="227">
        <v>150</v>
      </c>
      <c r="I31" s="34">
        <v>1</v>
      </c>
      <c r="J31" s="227">
        <f t="shared" si="3"/>
        <v>150</v>
      </c>
      <c r="K31" s="226">
        <v>136</v>
      </c>
      <c r="L31" s="228" t="s">
        <v>1192</v>
      </c>
    </row>
    <row r="32" spans="2:12">
      <c r="B32" t="s">
        <v>1198</v>
      </c>
      <c r="C32" t="s">
        <v>1199</v>
      </c>
      <c r="D32" t="s">
        <v>1210</v>
      </c>
      <c r="E32" s="226" t="s">
        <v>1201</v>
      </c>
      <c r="F32" s="226" t="s">
        <v>1220</v>
      </c>
      <c r="G32" t="s">
        <v>1191</v>
      </c>
      <c r="H32" s="227">
        <v>150</v>
      </c>
      <c r="I32" s="34">
        <v>1</v>
      </c>
      <c r="J32" s="227">
        <f t="shared" si="3"/>
        <v>150</v>
      </c>
      <c r="K32" s="226">
        <v>136</v>
      </c>
      <c r="L32" s="228" t="s">
        <v>1192</v>
      </c>
    </row>
    <row r="33" spans="2:12">
      <c r="B33" t="s">
        <v>1198</v>
      </c>
      <c r="C33" t="s">
        <v>1199</v>
      </c>
      <c r="D33" t="s">
        <v>1210</v>
      </c>
      <c r="E33" s="226" t="s">
        <v>1201</v>
      </c>
      <c r="F33" s="226" t="s">
        <v>1221</v>
      </c>
      <c r="G33" t="s">
        <v>1191</v>
      </c>
      <c r="H33" s="227">
        <v>150</v>
      </c>
      <c r="I33" s="34">
        <v>1</v>
      </c>
      <c r="J33" s="227">
        <f t="shared" si="3"/>
        <v>150</v>
      </c>
      <c r="K33" s="226">
        <v>136</v>
      </c>
      <c r="L33" s="228" t="s">
        <v>1192</v>
      </c>
    </row>
    <row r="34" spans="2:12">
      <c r="B34" t="s">
        <v>1198</v>
      </c>
      <c r="C34" t="s">
        <v>1199</v>
      </c>
      <c r="D34" t="s">
        <v>1210</v>
      </c>
      <c r="E34" s="226" t="s">
        <v>1201</v>
      </c>
      <c r="F34" s="226" t="s">
        <v>1222</v>
      </c>
      <c r="G34" t="s">
        <v>1191</v>
      </c>
      <c r="H34" s="227">
        <v>150</v>
      </c>
      <c r="I34" s="34">
        <v>1</v>
      </c>
      <c r="J34" s="227">
        <f t="shared" si="3"/>
        <v>150</v>
      </c>
      <c r="K34" s="226">
        <v>136</v>
      </c>
      <c r="L34" s="228" t="s">
        <v>1192</v>
      </c>
    </row>
    <row r="35" spans="2:12">
      <c r="B35" t="s">
        <v>1198</v>
      </c>
      <c r="C35" t="s">
        <v>1199</v>
      </c>
      <c r="D35" t="s">
        <v>1210</v>
      </c>
      <c r="E35" s="226" t="s">
        <v>1201</v>
      </c>
      <c r="F35" s="226" t="s">
        <v>1223</v>
      </c>
      <c r="G35" t="s">
        <v>1191</v>
      </c>
      <c r="H35" s="227">
        <v>150</v>
      </c>
      <c r="I35" s="34">
        <v>1</v>
      </c>
      <c r="J35" s="227">
        <f t="shared" si="3"/>
        <v>150</v>
      </c>
      <c r="K35" s="226">
        <v>136</v>
      </c>
      <c r="L35" s="228" t="s">
        <v>1192</v>
      </c>
    </row>
    <row r="36" spans="2:12">
      <c r="B36" t="s">
        <v>1198</v>
      </c>
      <c r="C36" t="s">
        <v>1199</v>
      </c>
      <c r="D36" t="s">
        <v>1210</v>
      </c>
      <c r="E36" s="226" t="s">
        <v>1201</v>
      </c>
      <c r="F36" s="226" t="s">
        <v>1224</v>
      </c>
      <c r="G36" t="s">
        <v>1191</v>
      </c>
      <c r="H36" s="227">
        <v>150</v>
      </c>
      <c r="I36" s="34">
        <v>1</v>
      </c>
      <c r="J36" s="227">
        <f t="shared" si="3"/>
        <v>150</v>
      </c>
      <c r="K36" s="226">
        <v>136</v>
      </c>
      <c r="L36" s="228" t="s">
        <v>1192</v>
      </c>
    </row>
    <row r="37" spans="2:12">
      <c r="B37" t="s">
        <v>1198</v>
      </c>
      <c r="C37" t="s">
        <v>1199</v>
      </c>
      <c r="D37" t="s">
        <v>1210</v>
      </c>
      <c r="E37" s="226" t="s">
        <v>1201</v>
      </c>
      <c r="F37" s="226" t="s">
        <v>1225</v>
      </c>
      <c r="G37" t="s">
        <v>1191</v>
      </c>
      <c r="H37" s="227">
        <v>150</v>
      </c>
      <c r="I37" s="34">
        <v>1</v>
      </c>
      <c r="J37" s="227">
        <f t="shared" si="3"/>
        <v>150</v>
      </c>
      <c r="K37" s="226">
        <v>136</v>
      </c>
      <c r="L37" s="228" t="s">
        <v>1192</v>
      </c>
    </row>
    <row r="38" spans="2:12">
      <c r="B38" t="s">
        <v>1198</v>
      </c>
      <c r="C38" t="s">
        <v>1199</v>
      </c>
      <c r="D38" t="s">
        <v>1210</v>
      </c>
      <c r="E38" s="226" t="s">
        <v>1201</v>
      </c>
      <c r="F38" s="226" t="s">
        <v>1226</v>
      </c>
      <c r="G38" t="s">
        <v>1191</v>
      </c>
      <c r="H38" s="227">
        <v>150</v>
      </c>
      <c r="I38" s="34">
        <v>1</v>
      </c>
      <c r="J38" s="227">
        <f t="shared" si="3"/>
        <v>150</v>
      </c>
      <c r="K38" s="226">
        <v>136</v>
      </c>
      <c r="L38" s="228" t="s">
        <v>1192</v>
      </c>
    </row>
    <row r="39" spans="2:12">
      <c r="B39" t="s">
        <v>1198</v>
      </c>
      <c r="C39" t="s">
        <v>1199</v>
      </c>
      <c r="D39" t="s">
        <v>1210</v>
      </c>
      <c r="E39" s="226" t="s">
        <v>1201</v>
      </c>
      <c r="F39" s="226" t="s">
        <v>1227</v>
      </c>
      <c r="G39" t="s">
        <v>1191</v>
      </c>
      <c r="H39" s="227">
        <v>150</v>
      </c>
      <c r="I39" s="34">
        <v>1</v>
      </c>
      <c r="J39" s="227">
        <f t="shared" si="3"/>
        <v>150</v>
      </c>
      <c r="K39" s="226">
        <v>136</v>
      </c>
      <c r="L39" s="228" t="s">
        <v>1192</v>
      </c>
    </row>
    <row r="40" spans="2:12">
      <c r="B40" t="s">
        <v>1198</v>
      </c>
      <c r="C40" t="s">
        <v>1199</v>
      </c>
      <c r="D40" t="s">
        <v>1210</v>
      </c>
      <c r="E40" s="226" t="s">
        <v>1201</v>
      </c>
      <c r="F40" s="226" t="s">
        <v>1228</v>
      </c>
      <c r="G40" t="s">
        <v>1191</v>
      </c>
      <c r="H40" s="227">
        <v>150</v>
      </c>
      <c r="I40" s="34">
        <v>1</v>
      </c>
      <c r="J40" s="227">
        <f t="shared" si="3"/>
        <v>150</v>
      </c>
      <c r="K40" s="226">
        <v>136</v>
      </c>
      <c r="L40" s="228" t="s">
        <v>1192</v>
      </c>
    </row>
    <row r="41" spans="2:12">
      <c r="B41" t="s">
        <v>1198</v>
      </c>
      <c r="C41" t="s">
        <v>1199</v>
      </c>
      <c r="D41" t="s">
        <v>1210</v>
      </c>
      <c r="E41" s="226" t="s">
        <v>1201</v>
      </c>
      <c r="F41" s="226" t="s">
        <v>1229</v>
      </c>
      <c r="G41" t="s">
        <v>1191</v>
      </c>
      <c r="H41" s="227">
        <v>150</v>
      </c>
      <c r="I41" s="34">
        <v>1</v>
      </c>
      <c r="J41" s="227">
        <f t="shared" si="3"/>
        <v>150</v>
      </c>
      <c r="K41" s="226">
        <v>136</v>
      </c>
      <c r="L41" s="228" t="s">
        <v>1192</v>
      </c>
    </row>
    <row r="42" spans="2:12">
      <c r="B42" t="s">
        <v>1198</v>
      </c>
      <c r="C42" t="s">
        <v>1199</v>
      </c>
      <c r="D42" t="s">
        <v>1210</v>
      </c>
      <c r="E42" s="226" t="s">
        <v>1201</v>
      </c>
      <c r="F42" s="226" t="s">
        <v>1230</v>
      </c>
      <c r="G42" t="s">
        <v>1191</v>
      </c>
      <c r="H42" s="227">
        <v>150</v>
      </c>
      <c r="I42" s="34">
        <v>1</v>
      </c>
      <c r="J42" s="227">
        <f t="shared" si="3"/>
        <v>150</v>
      </c>
      <c r="K42" s="226">
        <v>136</v>
      </c>
      <c r="L42" s="228" t="s">
        <v>1192</v>
      </c>
    </row>
    <row r="43" spans="2:12">
      <c r="B43" t="s">
        <v>1198</v>
      </c>
      <c r="C43" t="s">
        <v>1199</v>
      </c>
      <c r="D43" t="s">
        <v>1210</v>
      </c>
      <c r="E43" s="226" t="s">
        <v>1201</v>
      </c>
      <c r="F43" s="226" t="s">
        <v>1231</v>
      </c>
      <c r="G43" t="s">
        <v>1191</v>
      </c>
      <c r="H43" s="227">
        <v>150</v>
      </c>
      <c r="I43" s="34">
        <v>1</v>
      </c>
      <c r="J43" s="227">
        <f t="shared" si="3"/>
        <v>150</v>
      </c>
      <c r="K43" s="226">
        <v>136</v>
      </c>
      <c r="L43" s="228" t="s">
        <v>1192</v>
      </c>
    </row>
    <row r="44" spans="2:12">
      <c r="B44" t="s">
        <v>1198</v>
      </c>
      <c r="C44" t="s">
        <v>1199</v>
      </c>
      <c r="D44" t="s">
        <v>1210</v>
      </c>
      <c r="E44" s="226" t="s">
        <v>1201</v>
      </c>
      <c r="F44" s="226" t="s">
        <v>1232</v>
      </c>
      <c r="G44" t="s">
        <v>1191</v>
      </c>
      <c r="H44" s="227">
        <v>150</v>
      </c>
      <c r="I44" s="34">
        <v>1</v>
      </c>
      <c r="J44" s="227">
        <f t="shared" si="3"/>
        <v>150</v>
      </c>
      <c r="K44" s="226">
        <v>136</v>
      </c>
      <c r="L44" s="228" t="s">
        <v>1192</v>
      </c>
    </row>
    <row r="45" spans="2:12">
      <c r="B45" t="s">
        <v>1198</v>
      </c>
      <c r="C45" t="s">
        <v>1199</v>
      </c>
      <c r="D45" t="s">
        <v>1233</v>
      </c>
      <c r="E45" s="226" t="s">
        <v>1201</v>
      </c>
      <c r="F45" s="226" t="s">
        <v>1234</v>
      </c>
      <c r="G45" t="s">
        <v>1203</v>
      </c>
      <c r="H45" s="227">
        <v>80</v>
      </c>
      <c r="I45" s="34">
        <v>20</v>
      </c>
      <c r="J45" s="227">
        <f t="shared" ref="J45" si="6">H45*I45</f>
        <v>1600</v>
      </c>
      <c r="K45" s="226">
        <v>136</v>
      </c>
      <c r="L45" s="228" t="s">
        <v>1192</v>
      </c>
    </row>
    <row r="46" spans="2:12">
      <c r="B46" t="s">
        <v>1198</v>
      </c>
      <c r="C46" t="s">
        <v>1199</v>
      </c>
      <c r="D46" t="s">
        <v>1233</v>
      </c>
      <c r="E46" s="226" t="s">
        <v>1201</v>
      </c>
      <c r="F46" s="226" t="s">
        <v>1235</v>
      </c>
      <c r="G46" t="s">
        <v>1203</v>
      </c>
      <c r="H46" s="227">
        <v>80</v>
      </c>
      <c r="I46" s="34">
        <v>20</v>
      </c>
      <c r="J46" s="227">
        <f t="shared" si="3"/>
        <v>1600</v>
      </c>
      <c r="K46" s="226">
        <v>136</v>
      </c>
      <c r="L46" s="228" t="s">
        <v>1192</v>
      </c>
    </row>
    <row r="47" spans="2:12">
      <c r="B47" t="s">
        <v>1198</v>
      </c>
      <c r="C47" t="s">
        <v>1199</v>
      </c>
      <c r="D47" t="s">
        <v>1236</v>
      </c>
      <c r="E47" s="226" t="s">
        <v>1201</v>
      </c>
      <c r="F47" s="226" t="s">
        <v>1237</v>
      </c>
      <c r="G47" t="s">
        <v>1191</v>
      </c>
      <c r="H47" s="227">
        <v>1100</v>
      </c>
      <c r="I47" s="34">
        <v>1</v>
      </c>
      <c r="J47" s="227">
        <f t="shared" si="3"/>
        <v>1100</v>
      </c>
      <c r="K47" s="226">
        <v>135</v>
      </c>
      <c r="L47" s="228" t="s">
        <v>1192</v>
      </c>
    </row>
    <row r="48" spans="2:12">
      <c r="B48" t="s">
        <v>1198</v>
      </c>
      <c r="C48" t="s">
        <v>1199</v>
      </c>
      <c r="D48" t="s">
        <v>1238</v>
      </c>
      <c r="E48" s="226" t="s">
        <v>1201</v>
      </c>
      <c r="F48" s="226" t="s">
        <v>1201</v>
      </c>
      <c r="G48" t="s">
        <v>1191</v>
      </c>
      <c r="H48" s="227">
        <v>5</v>
      </c>
      <c r="I48" s="34">
        <v>10</v>
      </c>
      <c r="J48" s="227">
        <f t="shared" si="3"/>
        <v>50</v>
      </c>
      <c r="K48" s="226">
        <v>136</v>
      </c>
      <c r="L48" s="228" t="s">
        <v>1192</v>
      </c>
    </row>
    <row r="49" spans="2:12">
      <c r="B49" t="s">
        <v>1198</v>
      </c>
      <c r="C49" t="s">
        <v>1199</v>
      </c>
      <c r="D49" t="s">
        <v>1239</v>
      </c>
      <c r="E49" s="226" t="s">
        <v>1201</v>
      </c>
      <c r="F49" s="226" t="s">
        <v>1201</v>
      </c>
      <c r="G49" t="s">
        <v>1191</v>
      </c>
      <c r="H49" s="227">
        <v>10</v>
      </c>
      <c r="I49" s="34">
        <v>11</v>
      </c>
      <c r="J49" s="227">
        <f t="shared" si="3"/>
        <v>110</v>
      </c>
      <c r="K49" s="226">
        <v>135</v>
      </c>
      <c r="L49" s="228" t="s">
        <v>1192</v>
      </c>
    </row>
    <row r="50" spans="2:12">
      <c r="B50" t="s">
        <v>1198</v>
      </c>
      <c r="C50" t="s">
        <v>1199</v>
      </c>
      <c r="D50" t="s">
        <v>1240</v>
      </c>
      <c r="E50" s="226" t="s">
        <v>1201</v>
      </c>
      <c r="F50" s="226" t="s">
        <v>1201</v>
      </c>
      <c r="G50" t="s">
        <v>1191</v>
      </c>
      <c r="H50" s="227">
        <v>15</v>
      </c>
      <c r="I50" s="34">
        <v>1</v>
      </c>
      <c r="J50" s="227">
        <f t="shared" si="3"/>
        <v>15</v>
      </c>
      <c r="K50" s="226">
        <v>136</v>
      </c>
      <c r="L50" s="228" t="s">
        <v>1192</v>
      </c>
    </row>
    <row r="51" spans="2:12">
      <c r="B51" t="s">
        <v>1198</v>
      </c>
      <c r="C51" t="s">
        <v>1199</v>
      </c>
      <c r="D51" t="s">
        <v>1241</v>
      </c>
      <c r="E51" s="226" t="s">
        <v>1201</v>
      </c>
      <c r="F51" s="226" t="s">
        <v>1201</v>
      </c>
      <c r="G51" t="s">
        <v>1242</v>
      </c>
      <c r="H51" s="227">
        <v>20</v>
      </c>
      <c r="I51" s="34">
        <v>2</v>
      </c>
      <c r="J51" s="227">
        <f t="shared" si="3"/>
        <v>40</v>
      </c>
      <c r="K51" s="226">
        <v>135</v>
      </c>
      <c r="L51" s="228" t="s">
        <v>1192</v>
      </c>
    </row>
    <row r="52" spans="2:12">
      <c r="B52" t="s">
        <v>1198</v>
      </c>
      <c r="C52" t="s">
        <v>1199</v>
      </c>
      <c r="D52" t="s">
        <v>1243</v>
      </c>
      <c r="E52" s="226" t="s">
        <v>1201</v>
      </c>
      <c r="F52" s="226" t="s">
        <v>1201</v>
      </c>
      <c r="G52" t="s">
        <v>1191</v>
      </c>
      <c r="H52" s="227">
        <v>250</v>
      </c>
      <c r="I52" s="34">
        <v>1</v>
      </c>
      <c r="J52" s="227">
        <f t="shared" si="3"/>
        <v>250</v>
      </c>
      <c r="K52" s="226">
        <v>135</v>
      </c>
      <c r="L52" s="228" t="s">
        <v>1192</v>
      </c>
    </row>
    <row r="53" spans="2:12">
      <c r="B53" t="s">
        <v>1244</v>
      </c>
      <c r="C53" t="s">
        <v>1245</v>
      </c>
      <c r="D53" t="s">
        <v>1246</v>
      </c>
      <c r="E53" s="226" t="s">
        <v>1201</v>
      </c>
      <c r="F53" s="226" t="s">
        <v>1201</v>
      </c>
      <c r="G53" t="s">
        <v>1191</v>
      </c>
      <c r="H53" s="227">
        <v>120</v>
      </c>
      <c r="I53" s="34">
        <v>1</v>
      </c>
      <c r="J53" s="227">
        <f t="shared" ref="J53:J67" si="7">I53*H53</f>
        <v>120</v>
      </c>
      <c r="K53" s="226">
        <v>136</v>
      </c>
      <c r="L53" s="228" t="s">
        <v>1192</v>
      </c>
    </row>
    <row r="54" spans="2:12">
      <c r="B54" t="s">
        <v>1247</v>
      </c>
      <c r="C54" t="s">
        <v>1248</v>
      </c>
      <c r="D54" t="s">
        <v>1249</v>
      </c>
      <c r="E54" s="226" t="s">
        <v>1201</v>
      </c>
      <c r="F54" s="226" t="s">
        <v>1250</v>
      </c>
      <c r="G54" t="s">
        <v>1203</v>
      </c>
      <c r="H54" s="227">
        <v>1100</v>
      </c>
      <c r="I54" s="34">
        <v>1</v>
      </c>
      <c r="J54" s="227">
        <f t="shared" ref="J54" si="8">I54*H54</f>
        <v>1100</v>
      </c>
      <c r="K54" s="226">
        <v>136</v>
      </c>
      <c r="L54" s="228" t="s">
        <v>1192</v>
      </c>
    </row>
    <row r="55" spans="2:12">
      <c r="B55" t="s">
        <v>1247</v>
      </c>
      <c r="C55" t="s">
        <v>1248</v>
      </c>
      <c r="D55" t="s">
        <v>1249</v>
      </c>
      <c r="E55" s="226" t="s">
        <v>1201</v>
      </c>
      <c r="F55" s="226" t="s">
        <v>1251</v>
      </c>
      <c r="G55" t="s">
        <v>1203</v>
      </c>
      <c r="H55" s="227">
        <v>1100</v>
      </c>
      <c r="I55" s="34">
        <v>1</v>
      </c>
      <c r="J55" s="227">
        <f t="shared" si="7"/>
        <v>1100</v>
      </c>
      <c r="K55" s="226">
        <v>136</v>
      </c>
      <c r="L55" s="228" t="s">
        <v>1192</v>
      </c>
    </row>
    <row r="56" spans="2:12">
      <c r="B56" t="s">
        <v>591</v>
      </c>
      <c r="C56" t="s">
        <v>1030</v>
      </c>
      <c r="D56" t="s">
        <v>1252</v>
      </c>
      <c r="E56" s="226" t="s">
        <v>1253</v>
      </c>
      <c r="F56" s="226" t="s">
        <v>1254</v>
      </c>
      <c r="G56" t="s">
        <v>1191</v>
      </c>
      <c r="H56" s="227">
        <v>500</v>
      </c>
      <c r="I56" s="34">
        <v>1</v>
      </c>
      <c r="J56" s="227">
        <f t="shared" si="7"/>
        <v>500</v>
      </c>
      <c r="K56" s="226">
        <v>162</v>
      </c>
      <c r="L56" s="228" t="s">
        <v>1192</v>
      </c>
    </row>
    <row r="57" spans="2:12">
      <c r="B57" t="s">
        <v>591</v>
      </c>
      <c r="C57" t="s">
        <v>1030</v>
      </c>
      <c r="D57" t="s">
        <v>1252</v>
      </c>
      <c r="E57" s="226" t="s">
        <v>1255</v>
      </c>
      <c r="F57" s="226" t="s">
        <v>1256</v>
      </c>
      <c r="G57" t="s">
        <v>1191</v>
      </c>
      <c r="H57" s="227">
        <v>500</v>
      </c>
      <c r="I57" s="34">
        <v>1</v>
      </c>
      <c r="J57" s="227">
        <f t="shared" si="7"/>
        <v>500</v>
      </c>
      <c r="K57" s="226">
        <v>162</v>
      </c>
      <c r="L57" s="228" t="s">
        <v>1192</v>
      </c>
    </row>
    <row r="58" spans="2:12">
      <c r="B58" t="s">
        <v>591</v>
      </c>
      <c r="C58" t="s">
        <v>1030</v>
      </c>
      <c r="D58" t="s">
        <v>1252</v>
      </c>
      <c r="E58" s="226" t="s">
        <v>1257</v>
      </c>
      <c r="F58" s="226" t="s">
        <v>1258</v>
      </c>
      <c r="G58" t="s">
        <v>1191</v>
      </c>
      <c r="H58" s="227">
        <v>500</v>
      </c>
      <c r="I58" s="34">
        <v>1</v>
      </c>
      <c r="J58" s="227">
        <f t="shared" si="7"/>
        <v>500</v>
      </c>
      <c r="K58" s="226">
        <v>162</v>
      </c>
      <c r="L58" s="228" t="s">
        <v>1192</v>
      </c>
    </row>
    <row r="59" spans="2:12">
      <c r="B59" t="s">
        <v>591</v>
      </c>
      <c r="C59" t="s">
        <v>1030</v>
      </c>
      <c r="D59" t="s">
        <v>1252</v>
      </c>
      <c r="E59" s="226" t="s">
        <v>1259</v>
      </c>
      <c r="F59" s="226" t="s">
        <v>1260</v>
      </c>
      <c r="G59" t="s">
        <v>1191</v>
      </c>
      <c r="H59" s="227">
        <v>500</v>
      </c>
      <c r="I59" s="34">
        <v>1</v>
      </c>
      <c r="J59" s="227">
        <f t="shared" si="7"/>
        <v>500</v>
      </c>
      <c r="K59" s="226">
        <v>162</v>
      </c>
      <c r="L59" s="228" t="s">
        <v>1192</v>
      </c>
    </row>
    <row r="60" spans="2:12">
      <c r="B60" t="s">
        <v>591</v>
      </c>
      <c r="C60" t="s">
        <v>1030</v>
      </c>
      <c r="D60" t="s">
        <v>1252</v>
      </c>
      <c r="E60" s="226" t="s">
        <v>1261</v>
      </c>
      <c r="F60" s="226" t="s">
        <v>1262</v>
      </c>
      <c r="G60" t="s">
        <v>1191</v>
      </c>
      <c r="H60" s="227">
        <v>500</v>
      </c>
      <c r="I60" s="34">
        <v>1</v>
      </c>
      <c r="J60" s="227">
        <f t="shared" si="7"/>
        <v>500</v>
      </c>
      <c r="K60" s="226">
        <v>162</v>
      </c>
      <c r="L60" s="228" t="s">
        <v>1192</v>
      </c>
    </row>
    <row r="61" spans="2:12">
      <c r="B61" t="s">
        <v>591</v>
      </c>
      <c r="C61" t="s">
        <v>1030</v>
      </c>
      <c r="D61" t="s">
        <v>1252</v>
      </c>
      <c r="E61" s="226" t="s">
        <v>1263</v>
      </c>
      <c r="F61" s="226" t="s">
        <v>1264</v>
      </c>
      <c r="G61" t="s">
        <v>1191</v>
      </c>
      <c r="H61" s="227">
        <v>500</v>
      </c>
      <c r="I61" s="34">
        <v>1</v>
      </c>
      <c r="J61" s="227">
        <f t="shared" si="7"/>
        <v>500</v>
      </c>
      <c r="K61" s="226">
        <v>162</v>
      </c>
      <c r="L61" s="228" t="s">
        <v>1192</v>
      </c>
    </row>
    <row r="62" spans="2:12">
      <c r="B62" t="s">
        <v>591</v>
      </c>
      <c r="C62" t="s">
        <v>1030</v>
      </c>
      <c r="D62" t="s">
        <v>1252</v>
      </c>
      <c r="E62" s="226" t="s">
        <v>1265</v>
      </c>
      <c r="F62" s="226" t="s">
        <v>1266</v>
      </c>
      <c r="G62" t="s">
        <v>1191</v>
      </c>
      <c r="H62" s="227">
        <v>500</v>
      </c>
      <c r="I62" s="34">
        <v>1</v>
      </c>
      <c r="J62" s="227">
        <f t="shared" si="7"/>
        <v>500</v>
      </c>
      <c r="K62" s="226">
        <v>162</v>
      </c>
      <c r="L62" s="228" t="s">
        <v>1192</v>
      </c>
    </row>
    <row r="63" spans="2:12">
      <c r="B63" t="s">
        <v>591</v>
      </c>
      <c r="C63" t="s">
        <v>1030</v>
      </c>
      <c r="D63" t="s">
        <v>1252</v>
      </c>
      <c r="E63" s="226" t="s">
        <v>1267</v>
      </c>
      <c r="F63" s="226" t="s">
        <v>1268</v>
      </c>
      <c r="G63" t="s">
        <v>1191</v>
      </c>
      <c r="H63" s="227">
        <v>500</v>
      </c>
      <c r="I63" s="34">
        <v>1</v>
      </c>
      <c r="J63" s="227">
        <f t="shared" si="7"/>
        <v>500</v>
      </c>
      <c r="K63" s="226">
        <v>162</v>
      </c>
      <c r="L63" s="228" t="s">
        <v>1192</v>
      </c>
    </row>
    <row r="64" spans="2:12">
      <c r="B64" t="s">
        <v>591</v>
      </c>
      <c r="C64" t="s">
        <v>1030</v>
      </c>
      <c r="D64" t="s">
        <v>1252</v>
      </c>
      <c r="E64" s="226" t="s">
        <v>1269</v>
      </c>
      <c r="F64" s="226" t="s">
        <v>1270</v>
      </c>
      <c r="G64" t="s">
        <v>1191</v>
      </c>
      <c r="H64" s="227">
        <v>500</v>
      </c>
      <c r="I64" s="34">
        <v>1</v>
      </c>
      <c r="J64" s="227">
        <f t="shared" si="7"/>
        <v>500</v>
      </c>
      <c r="K64" s="226">
        <v>162</v>
      </c>
      <c r="L64" s="228" t="s">
        <v>1192</v>
      </c>
    </row>
    <row r="65" spans="2:12">
      <c r="B65" t="s">
        <v>591</v>
      </c>
      <c r="C65" t="s">
        <v>1030</v>
      </c>
      <c r="D65" t="s">
        <v>1252</v>
      </c>
      <c r="E65" s="226" t="s">
        <v>1271</v>
      </c>
      <c r="F65" s="226" t="s">
        <v>1272</v>
      </c>
      <c r="G65" t="s">
        <v>1191</v>
      </c>
      <c r="H65" s="227">
        <v>500</v>
      </c>
      <c r="I65" s="34">
        <v>1</v>
      </c>
      <c r="J65" s="227">
        <f t="shared" si="7"/>
        <v>500</v>
      </c>
      <c r="K65" s="226">
        <v>162</v>
      </c>
      <c r="L65" s="228" t="s">
        <v>1192</v>
      </c>
    </row>
    <row r="66" spans="2:12">
      <c r="B66" t="s">
        <v>591</v>
      </c>
      <c r="C66" t="s">
        <v>1030</v>
      </c>
      <c r="D66" t="s">
        <v>1252</v>
      </c>
      <c r="E66" s="226" t="s">
        <v>1273</v>
      </c>
      <c r="F66" s="226" t="s">
        <v>1274</v>
      </c>
      <c r="G66" t="s">
        <v>1191</v>
      </c>
      <c r="H66" s="227">
        <v>500</v>
      </c>
      <c r="I66" s="34">
        <v>1</v>
      </c>
      <c r="J66" s="227">
        <f t="shared" si="7"/>
        <v>500</v>
      </c>
      <c r="K66" s="226">
        <v>184</v>
      </c>
      <c r="L66" s="228" t="s">
        <v>1192</v>
      </c>
    </row>
    <row r="67" spans="2:12">
      <c r="B67" t="s">
        <v>591</v>
      </c>
      <c r="C67" t="s">
        <v>1030</v>
      </c>
      <c r="D67" t="s">
        <v>1252</v>
      </c>
      <c r="E67" s="226" t="s">
        <v>1275</v>
      </c>
      <c r="F67" s="226" t="s">
        <v>1276</v>
      </c>
      <c r="G67" t="s">
        <v>1191</v>
      </c>
      <c r="H67" s="227">
        <v>500</v>
      </c>
      <c r="I67" s="34">
        <v>1</v>
      </c>
      <c r="J67" s="227">
        <f t="shared" si="7"/>
        <v>500</v>
      </c>
      <c r="K67" s="226">
        <v>184</v>
      </c>
      <c r="L67" s="228" t="s">
        <v>1192</v>
      </c>
    </row>
    <row r="68" spans="2:12">
      <c r="B68" t="s">
        <v>591</v>
      </c>
      <c r="C68" t="s">
        <v>1030</v>
      </c>
      <c r="D68" t="s">
        <v>1252</v>
      </c>
      <c r="E68" s="226" t="s">
        <v>1277</v>
      </c>
      <c r="F68" s="226" t="s">
        <v>1278</v>
      </c>
      <c r="G68" t="s">
        <v>1191</v>
      </c>
      <c r="H68" s="227">
        <v>500</v>
      </c>
      <c r="I68" s="34">
        <v>1</v>
      </c>
      <c r="J68" s="227">
        <f t="shared" ref="J68:J103" si="9">I68*H68</f>
        <v>500</v>
      </c>
      <c r="K68" s="226">
        <v>184</v>
      </c>
      <c r="L68" s="228" t="s">
        <v>1192</v>
      </c>
    </row>
    <row r="69" spans="2:12">
      <c r="B69" t="s">
        <v>591</v>
      </c>
      <c r="C69" t="s">
        <v>1030</v>
      </c>
      <c r="D69" t="s">
        <v>1252</v>
      </c>
      <c r="E69" s="226" t="s">
        <v>1279</v>
      </c>
      <c r="F69" s="226" t="s">
        <v>1280</v>
      </c>
      <c r="G69" t="s">
        <v>1191</v>
      </c>
      <c r="H69" s="227">
        <v>500</v>
      </c>
      <c r="I69" s="34">
        <v>1</v>
      </c>
      <c r="J69" s="227">
        <f t="shared" si="9"/>
        <v>500</v>
      </c>
      <c r="K69" s="226">
        <v>184</v>
      </c>
      <c r="L69" s="228" t="s">
        <v>1192</v>
      </c>
    </row>
    <row r="70" spans="2:12">
      <c r="B70" t="s">
        <v>591</v>
      </c>
      <c r="C70" t="s">
        <v>1030</v>
      </c>
      <c r="D70" t="s">
        <v>1252</v>
      </c>
      <c r="E70" s="226" t="s">
        <v>1281</v>
      </c>
      <c r="F70" s="226" t="s">
        <v>1282</v>
      </c>
      <c r="G70" t="s">
        <v>1191</v>
      </c>
      <c r="H70" s="227">
        <v>500</v>
      </c>
      <c r="I70" s="34">
        <v>1</v>
      </c>
      <c r="J70" s="227">
        <f t="shared" si="9"/>
        <v>500</v>
      </c>
      <c r="K70" s="226">
        <v>184</v>
      </c>
      <c r="L70" s="228" t="s">
        <v>1192</v>
      </c>
    </row>
    <row r="71" spans="2:12">
      <c r="B71" t="s">
        <v>591</v>
      </c>
      <c r="C71" t="s">
        <v>1030</v>
      </c>
      <c r="D71" t="s">
        <v>1252</v>
      </c>
      <c r="E71" s="226" t="s">
        <v>1283</v>
      </c>
      <c r="F71" s="226" t="s">
        <v>1284</v>
      </c>
      <c r="G71" t="s">
        <v>1191</v>
      </c>
      <c r="H71" s="227">
        <v>500</v>
      </c>
      <c r="I71" s="34">
        <v>1</v>
      </c>
      <c r="J71" s="227">
        <f t="shared" si="9"/>
        <v>500</v>
      </c>
      <c r="K71" s="226">
        <v>184</v>
      </c>
      <c r="L71" s="228" t="s">
        <v>1192</v>
      </c>
    </row>
    <row r="72" spans="2:12">
      <c r="B72" t="s">
        <v>591</v>
      </c>
      <c r="C72" t="s">
        <v>1030</v>
      </c>
      <c r="D72" t="s">
        <v>1252</v>
      </c>
      <c r="E72" s="226" t="s">
        <v>1285</v>
      </c>
      <c r="F72" s="226" t="s">
        <v>1286</v>
      </c>
      <c r="G72" t="s">
        <v>1191</v>
      </c>
      <c r="H72" s="227">
        <v>500</v>
      </c>
      <c r="I72" s="34">
        <v>1</v>
      </c>
      <c r="J72" s="227">
        <f t="shared" si="9"/>
        <v>500</v>
      </c>
      <c r="K72" s="226">
        <v>184</v>
      </c>
      <c r="L72" s="228" t="s">
        <v>1192</v>
      </c>
    </row>
    <row r="73" spans="2:12">
      <c r="B73" t="s">
        <v>591</v>
      </c>
      <c r="C73" t="s">
        <v>1030</v>
      </c>
      <c r="D73" t="s">
        <v>1252</v>
      </c>
      <c r="E73" s="226" t="s">
        <v>1287</v>
      </c>
      <c r="F73" s="226" t="s">
        <v>1288</v>
      </c>
      <c r="G73" t="s">
        <v>1191</v>
      </c>
      <c r="H73" s="227">
        <v>500</v>
      </c>
      <c r="I73" s="34">
        <v>1</v>
      </c>
      <c r="J73" s="227">
        <f t="shared" si="9"/>
        <v>500</v>
      </c>
      <c r="K73" s="226">
        <v>184</v>
      </c>
      <c r="L73" s="228" t="s">
        <v>1192</v>
      </c>
    </row>
    <row r="74" spans="2:12">
      <c r="B74" t="s">
        <v>591</v>
      </c>
      <c r="C74" t="s">
        <v>1030</v>
      </c>
      <c r="D74" t="s">
        <v>1252</v>
      </c>
      <c r="E74" s="226" t="s">
        <v>1289</v>
      </c>
      <c r="F74" s="226" t="s">
        <v>1290</v>
      </c>
      <c r="G74" t="s">
        <v>1191</v>
      </c>
      <c r="H74" s="227">
        <v>500</v>
      </c>
      <c r="I74" s="34">
        <v>1</v>
      </c>
      <c r="J74" s="227">
        <f t="shared" si="9"/>
        <v>500</v>
      </c>
      <c r="K74" s="226">
        <v>184</v>
      </c>
      <c r="L74" s="228" t="s">
        <v>1192</v>
      </c>
    </row>
    <row r="75" spans="2:12">
      <c r="B75" t="s">
        <v>591</v>
      </c>
      <c r="C75" t="s">
        <v>1030</v>
      </c>
      <c r="D75" t="s">
        <v>1252</v>
      </c>
      <c r="E75" s="226" t="s">
        <v>1291</v>
      </c>
      <c r="F75" s="226" t="s">
        <v>1292</v>
      </c>
      <c r="G75" t="s">
        <v>1191</v>
      </c>
      <c r="H75" s="227">
        <v>500</v>
      </c>
      <c r="I75" s="34">
        <v>1</v>
      </c>
      <c r="J75" s="227">
        <f t="shared" si="9"/>
        <v>500</v>
      </c>
      <c r="K75" s="226">
        <v>184</v>
      </c>
      <c r="L75" s="228" t="s">
        <v>1192</v>
      </c>
    </row>
    <row r="76" spans="2:12">
      <c r="B76" t="s">
        <v>591</v>
      </c>
      <c r="C76" t="s">
        <v>1030</v>
      </c>
      <c r="D76" t="s">
        <v>1252</v>
      </c>
      <c r="E76" s="226" t="s">
        <v>1293</v>
      </c>
      <c r="F76" s="226" t="s">
        <v>1294</v>
      </c>
      <c r="G76" t="s">
        <v>1191</v>
      </c>
      <c r="H76" s="227">
        <v>500</v>
      </c>
      <c r="I76" s="34">
        <v>1</v>
      </c>
      <c r="J76" s="227">
        <f t="shared" si="9"/>
        <v>500</v>
      </c>
      <c r="K76" s="226">
        <v>114</v>
      </c>
      <c r="L76" s="228" t="s">
        <v>1192</v>
      </c>
    </row>
    <row r="77" spans="2:12">
      <c r="B77" t="s">
        <v>591</v>
      </c>
      <c r="C77" t="s">
        <v>1030</v>
      </c>
      <c r="D77" t="s">
        <v>1252</v>
      </c>
      <c r="E77" s="226" t="s">
        <v>1295</v>
      </c>
      <c r="F77" s="226" t="s">
        <v>1296</v>
      </c>
      <c r="G77" t="s">
        <v>1191</v>
      </c>
      <c r="H77" s="227">
        <v>500</v>
      </c>
      <c r="I77" s="34">
        <v>1</v>
      </c>
      <c r="J77" s="227">
        <f t="shared" si="9"/>
        <v>500</v>
      </c>
      <c r="K77" s="226">
        <v>114</v>
      </c>
      <c r="L77" s="228" t="s">
        <v>1192</v>
      </c>
    </row>
    <row r="78" spans="2:12">
      <c r="B78" t="s">
        <v>591</v>
      </c>
      <c r="C78" t="s">
        <v>1030</v>
      </c>
      <c r="D78" t="s">
        <v>1252</v>
      </c>
      <c r="E78" s="226" t="s">
        <v>1297</v>
      </c>
      <c r="F78" s="226" t="s">
        <v>1298</v>
      </c>
      <c r="G78" t="s">
        <v>1191</v>
      </c>
      <c r="H78" s="227">
        <v>500</v>
      </c>
      <c r="I78" s="34">
        <v>1</v>
      </c>
      <c r="J78" s="227">
        <f t="shared" si="9"/>
        <v>500</v>
      </c>
      <c r="K78" s="226">
        <v>114</v>
      </c>
      <c r="L78" s="228" t="s">
        <v>1192</v>
      </c>
    </row>
    <row r="79" spans="2:12">
      <c r="B79" t="s">
        <v>591</v>
      </c>
      <c r="C79" t="s">
        <v>1030</v>
      </c>
      <c r="D79" t="s">
        <v>1252</v>
      </c>
      <c r="E79" s="226" t="s">
        <v>1299</v>
      </c>
      <c r="F79" s="226" t="s">
        <v>1300</v>
      </c>
      <c r="G79" t="s">
        <v>1191</v>
      </c>
      <c r="H79" s="227">
        <v>500</v>
      </c>
      <c r="I79" s="34">
        <v>1</v>
      </c>
      <c r="J79" s="227">
        <f t="shared" si="9"/>
        <v>500</v>
      </c>
      <c r="K79" s="226">
        <v>114</v>
      </c>
      <c r="L79" s="228" t="s">
        <v>1192</v>
      </c>
    </row>
    <row r="80" spans="2:12">
      <c r="B80" t="s">
        <v>591</v>
      </c>
      <c r="C80" t="s">
        <v>1030</v>
      </c>
      <c r="D80" t="s">
        <v>1252</v>
      </c>
      <c r="E80" s="226" t="s">
        <v>1301</v>
      </c>
      <c r="F80" s="226" t="s">
        <v>1302</v>
      </c>
      <c r="G80" t="s">
        <v>1191</v>
      </c>
      <c r="H80" s="227">
        <v>500</v>
      </c>
      <c r="I80" s="34">
        <v>1</v>
      </c>
      <c r="J80" s="227">
        <f t="shared" si="9"/>
        <v>500</v>
      </c>
      <c r="K80" s="226">
        <v>114</v>
      </c>
      <c r="L80" s="228" t="s">
        <v>1192</v>
      </c>
    </row>
    <row r="81" spans="2:12">
      <c r="B81" t="s">
        <v>591</v>
      </c>
      <c r="C81" t="s">
        <v>1030</v>
      </c>
      <c r="D81" t="s">
        <v>1252</v>
      </c>
      <c r="E81" s="226" t="s">
        <v>1303</v>
      </c>
      <c r="F81" s="226" t="s">
        <v>1304</v>
      </c>
      <c r="G81" t="s">
        <v>1191</v>
      </c>
      <c r="H81" s="227">
        <v>500</v>
      </c>
      <c r="I81" s="34">
        <v>1</v>
      </c>
      <c r="J81" s="227">
        <f t="shared" si="9"/>
        <v>500</v>
      </c>
      <c r="K81" s="226">
        <v>114</v>
      </c>
      <c r="L81" s="228" t="s">
        <v>1192</v>
      </c>
    </row>
    <row r="82" spans="2:12">
      <c r="B82" t="s">
        <v>591</v>
      </c>
      <c r="C82" t="s">
        <v>1030</v>
      </c>
      <c r="D82" t="s">
        <v>1252</v>
      </c>
      <c r="E82" s="226" t="s">
        <v>1305</v>
      </c>
      <c r="F82" s="226" t="s">
        <v>1306</v>
      </c>
      <c r="G82" t="s">
        <v>1191</v>
      </c>
      <c r="H82" s="227">
        <v>500</v>
      </c>
      <c r="I82" s="34">
        <v>1</v>
      </c>
      <c r="J82" s="227">
        <f t="shared" si="9"/>
        <v>500</v>
      </c>
      <c r="K82" s="226">
        <v>114</v>
      </c>
      <c r="L82" s="228" t="s">
        <v>1192</v>
      </c>
    </row>
    <row r="83" spans="2:12">
      <c r="B83" t="s">
        <v>591</v>
      </c>
      <c r="C83" t="s">
        <v>1030</v>
      </c>
      <c r="D83" t="s">
        <v>1252</v>
      </c>
      <c r="E83" s="226" t="s">
        <v>1307</v>
      </c>
      <c r="F83" s="226" t="s">
        <v>1308</v>
      </c>
      <c r="G83" t="s">
        <v>1191</v>
      </c>
      <c r="H83" s="227">
        <v>500</v>
      </c>
      <c r="I83" s="34">
        <v>1</v>
      </c>
      <c r="J83" s="227">
        <f t="shared" ref="J83:J87" si="10">I83*H83</f>
        <v>500</v>
      </c>
      <c r="K83" s="226">
        <v>130</v>
      </c>
      <c r="L83" s="228" t="s">
        <v>1192</v>
      </c>
    </row>
    <row r="84" spans="2:12">
      <c r="B84" t="s">
        <v>591</v>
      </c>
      <c r="C84" t="s">
        <v>1030</v>
      </c>
      <c r="D84" t="s">
        <v>1252</v>
      </c>
      <c r="E84" s="226" t="s">
        <v>1309</v>
      </c>
      <c r="F84" s="226" t="s">
        <v>1310</v>
      </c>
      <c r="G84" t="s">
        <v>1191</v>
      </c>
      <c r="H84" s="227">
        <v>500</v>
      </c>
      <c r="I84" s="34">
        <v>1</v>
      </c>
      <c r="J84" s="227">
        <f t="shared" si="10"/>
        <v>500</v>
      </c>
      <c r="K84" s="226">
        <v>130</v>
      </c>
      <c r="L84" s="228" t="s">
        <v>1192</v>
      </c>
    </row>
    <row r="85" spans="2:12">
      <c r="B85" t="s">
        <v>591</v>
      </c>
      <c r="C85" t="s">
        <v>1030</v>
      </c>
      <c r="D85" t="s">
        <v>1252</v>
      </c>
      <c r="E85" s="226" t="s">
        <v>1311</v>
      </c>
      <c r="F85" s="226" t="s">
        <v>1312</v>
      </c>
      <c r="G85" t="s">
        <v>1191</v>
      </c>
      <c r="H85" s="227">
        <v>500</v>
      </c>
      <c r="I85" s="34">
        <v>1</v>
      </c>
      <c r="J85" s="227">
        <f t="shared" si="10"/>
        <v>500</v>
      </c>
      <c r="K85" s="226">
        <v>130</v>
      </c>
      <c r="L85" s="228" t="s">
        <v>1192</v>
      </c>
    </row>
    <row r="86" spans="2:12">
      <c r="B86" t="s">
        <v>591</v>
      </c>
      <c r="C86" t="s">
        <v>1030</v>
      </c>
      <c r="D86" t="s">
        <v>1252</v>
      </c>
      <c r="E86" s="226" t="s">
        <v>1313</v>
      </c>
      <c r="F86" s="226" t="s">
        <v>1314</v>
      </c>
      <c r="G86" t="s">
        <v>1191</v>
      </c>
      <c r="H86" s="227">
        <v>500</v>
      </c>
      <c r="I86" s="34">
        <v>1</v>
      </c>
      <c r="J86" s="227">
        <f t="shared" si="10"/>
        <v>500</v>
      </c>
      <c r="K86" s="226">
        <v>130</v>
      </c>
      <c r="L86" s="228" t="s">
        <v>1192</v>
      </c>
    </row>
    <row r="87" spans="2:12">
      <c r="B87" t="s">
        <v>591</v>
      </c>
      <c r="C87" t="s">
        <v>1030</v>
      </c>
      <c r="D87" t="s">
        <v>1252</v>
      </c>
      <c r="E87" s="226" t="s">
        <v>1315</v>
      </c>
      <c r="F87" s="226" t="s">
        <v>1316</v>
      </c>
      <c r="G87" t="s">
        <v>1191</v>
      </c>
      <c r="H87" s="227">
        <v>500</v>
      </c>
      <c r="I87" s="34">
        <v>1</v>
      </c>
      <c r="J87" s="227">
        <f t="shared" si="10"/>
        <v>500</v>
      </c>
      <c r="K87" s="226">
        <v>130</v>
      </c>
      <c r="L87" s="228" t="s">
        <v>1192</v>
      </c>
    </row>
    <row r="88" spans="2:12">
      <c r="B88" t="s">
        <v>591</v>
      </c>
      <c r="C88" t="s">
        <v>1030</v>
      </c>
      <c r="D88" t="s">
        <v>1252</v>
      </c>
      <c r="E88" s="226" t="s">
        <v>1317</v>
      </c>
      <c r="F88" s="226" t="s">
        <v>1318</v>
      </c>
      <c r="G88" t="s">
        <v>1191</v>
      </c>
      <c r="H88" s="227">
        <v>500</v>
      </c>
      <c r="I88" s="34">
        <v>1</v>
      </c>
      <c r="J88" s="227">
        <f t="shared" si="9"/>
        <v>500</v>
      </c>
      <c r="K88" s="226">
        <v>130</v>
      </c>
      <c r="L88" s="228" t="s">
        <v>1192</v>
      </c>
    </row>
    <row r="89" spans="2:12">
      <c r="B89" t="s">
        <v>591</v>
      </c>
      <c r="C89" t="s">
        <v>1030</v>
      </c>
      <c r="D89" t="s">
        <v>1252</v>
      </c>
      <c r="E89" s="226" t="s">
        <v>1319</v>
      </c>
      <c r="F89" s="226" t="s">
        <v>1320</v>
      </c>
      <c r="G89" t="s">
        <v>1191</v>
      </c>
      <c r="H89" s="227">
        <v>500</v>
      </c>
      <c r="I89" s="34">
        <v>1</v>
      </c>
      <c r="J89" s="227">
        <f t="shared" si="9"/>
        <v>500</v>
      </c>
      <c r="K89" s="226">
        <v>130</v>
      </c>
      <c r="L89" s="228" t="s">
        <v>1192</v>
      </c>
    </row>
    <row r="90" spans="2:12">
      <c r="B90" t="s">
        <v>591</v>
      </c>
      <c r="C90" t="s">
        <v>1030</v>
      </c>
      <c r="D90" t="s">
        <v>1252</v>
      </c>
      <c r="E90" s="226" t="s">
        <v>1321</v>
      </c>
      <c r="F90" s="226" t="s">
        <v>1322</v>
      </c>
      <c r="G90" t="s">
        <v>1191</v>
      </c>
      <c r="H90" s="227">
        <v>500</v>
      </c>
      <c r="I90" s="34">
        <v>1</v>
      </c>
      <c r="J90" s="227">
        <f t="shared" si="9"/>
        <v>500</v>
      </c>
      <c r="K90" s="226">
        <v>130</v>
      </c>
      <c r="L90" s="228" t="s">
        <v>1192</v>
      </c>
    </row>
    <row r="91" spans="2:12">
      <c r="B91" t="s">
        <v>591</v>
      </c>
      <c r="C91" t="s">
        <v>1030</v>
      </c>
      <c r="D91" t="s">
        <v>1252</v>
      </c>
      <c r="E91" s="226" t="s">
        <v>1323</v>
      </c>
      <c r="F91" s="226" t="s">
        <v>1324</v>
      </c>
      <c r="G91" t="s">
        <v>1191</v>
      </c>
      <c r="H91" s="227">
        <v>500</v>
      </c>
      <c r="I91" s="34">
        <v>1</v>
      </c>
      <c r="J91" s="227">
        <f t="shared" si="9"/>
        <v>500</v>
      </c>
      <c r="K91" s="226">
        <v>130</v>
      </c>
      <c r="L91" s="228" t="s">
        <v>1192</v>
      </c>
    </row>
    <row r="92" spans="2:12">
      <c r="B92" t="s">
        <v>591</v>
      </c>
      <c r="C92" t="s">
        <v>1030</v>
      </c>
      <c r="D92" t="s">
        <v>1252</v>
      </c>
      <c r="E92" s="226" t="s">
        <v>1325</v>
      </c>
      <c r="F92" s="226" t="s">
        <v>1326</v>
      </c>
      <c r="G92" t="s">
        <v>1191</v>
      </c>
      <c r="H92" s="227">
        <v>500</v>
      </c>
      <c r="I92" s="34">
        <v>1</v>
      </c>
      <c r="J92" s="227">
        <f t="shared" si="9"/>
        <v>500</v>
      </c>
      <c r="K92" s="226">
        <v>130</v>
      </c>
      <c r="L92" s="228" t="s">
        <v>1192</v>
      </c>
    </row>
    <row r="93" spans="2:12">
      <c r="B93" t="s">
        <v>591</v>
      </c>
      <c r="C93" t="s">
        <v>1030</v>
      </c>
      <c r="D93" t="s">
        <v>1252</v>
      </c>
      <c r="E93" s="229" t="s">
        <v>1327</v>
      </c>
      <c r="F93" s="229" t="s">
        <v>1328</v>
      </c>
      <c r="G93" t="s">
        <v>1191</v>
      </c>
      <c r="H93" s="227">
        <v>500</v>
      </c>
      <c r="I93" s="34">
        <v>1</v>
      </c>
      <c r="J93" s="227">
        <f t="shared" ref="J93:J94" si="11">I93*H93</f>
        <v>500</v>
      </c>
      <c r="K93" s="226">
        <v>178</v>
      </c>
      <c r="L93" s="228" t="s">
        <v>1192</v>
      </c>
    </row>
    <row r="94" spans="2:12">
      <c r="B94" t="s">
        <v>591</v>
      </c>
      <c r="C94" t="s">
        <v>1030</v>
      </c>
      <c r="D94" t="s">
        <v>1252</v>
      </c>
      <c r="E94" s="229" t="s">
        <v>1329</v>
      </c>
      <c r="F94" s="229" t="s">
        <v>1330</v>
      </c>
      <c r="G94" t="s">
        <v>1191</v>
      </c>
      <c r="H94" s="227">
        <v>500</v>
      </c>
      <c r="I94" s="34">
        <v>1</v>
      </c>
      <c r="J94" s="227">
        <f t="shared" si="11"/>
        <v>500</v>
      </c>
      <c r="K94" s="226">
        <v>178</v>
      </c>
      <c r="L94" s="228" t="s">
        <v>1192</v>
      </c>
    </row>
    <row r="95" spans="2:12">
      <c r="B95" t="s">
        <v>597</v>
      </c>
      <c r="C95" t="s">
        <v>1023</v>
      </c>
      <c r="D95" t="s">
        <v>1331</v>
      </c>
      <c r="E95" s="226" t="s">
        <v>1201</v>
      </c>
      <c r="F95" s="230" t="s">
        <v>1332</v>
      </c>
      <c r="G95" t="s">
        <v>1191</v>
      </c>
      <c r="H95" s="227">
        <v>450</v>
      </c>
      <c r="I95" s="34">
        <v>1</v>
      </c>
      <c r="J95" s="227">
        <f t="shared" si="9"/>
        <v>450</v>
      </c>
      <c r="K95" s="226">
        <v>1</v>
      </c>
      <c r="L95" s="228" t="s">
        <v>1192</v>
      </c>
    </row>
    <row r="96" spans="2:12">
      <c r="B96" t="s">
        <v>597</v>
      </c>
      <c r="C96" t="s">
        <v>1023</v>
      </c>
      <c r="D96" t="s">
        <v>1331</v>
      </c>
      <c r="E96" s="226" t="s">
        <v>1201</v>
      </c>
      <c r="F96" s="230" t="s">
        <v>1333</v>
      </c>
      <c r="G96" t="s">
        <v>1191</v>
      </c>
      <c r="H96" s="227">
        <v>450</v>
      </c>
      <c r="I96" s="34">
        <v>1</v>
      </c>
      <c r="J96" s="227">
        <f t="shared" si="9"/>
        <v>450</v>
      </c>
      <c r="K96" s="226">
        <v>1</v>
      </c>
      <c r="L96" s="228" t="s">
        <v>1192</v>
      </c>
    </row>
    <row r="97" spans="2:12">
      <c r="B97" t="s">
        <v>597</v>
      </c>
      <c r="C97" t="s">
        <v>1023</v>
      </c>
      <c r="D97" t="s">
        <v>1331</v>
      </c>
      <c r="E97" s="226" t="s">
        <v>1201</v>
      </c>
      <c r="F97" s="230" t="s">
        <v>1334</v>
      </c>
      <c r="G97" t="s">
        <v>1191</v>
      </c>
      <c r="H97" s="227">
        <v>450</v>
      </c>
      <c r="I97" s="34">
        <v>1</v>
      </c>
      <c r="J97" s="227">
        <f t="shared" si="9"/>
        <v>450</v>
      </c>
      <c r="K97" s="226">
        <v>1</v>
      </c>
      <c r="L97" s="228" t="s">
        <v>1192</v>
      </c>
    </row>
    <row r="98" spans="2:12">
      <c r="B98" t="s">
        <v>597</v>
      </c>
      <c r="C98" t="s">
        <v>1023</v>
      </c>
      <c r="D98" t="s">
        <v>1331</v>
      </c>
      <c r="E98" s="226" t="s">
        <v>1201</v>
      </c>
      <c r="F98" s="230" t="s">
        <v>1335</v>
      </c>
      <c r="G98" t="s">
        <v>1191</v>
      </c>
      <c r="H98" s="227">
        <v>450</v>
      </c>
      <c r="I98" s="34">
        <v>1</v>
      </c>
      <c r="J98" s="227">
        <f t="shared" si="9"/>
        <v>450</v>
      </c>
      <c r="K98" s="226">
        <v>1</v>
      </c>
      <c r="L98" s="228" t="s">
        <v>1192</v>
      </c>
    </row>
    <row r="99" spans="2:12">
      <c r="B99" t="s">
        <v>597</v>
      </c>
      <c r="C99" t="s">
        <v>1023</v>
      </c>
      <c r="D99" t="s">
        <v>1331</v>
      </c>
      <c r="E99" s="226" t="s">
        <v>1201</v>
      </c>
      <c r="F99" s="230" t="s">
        <v>1336</v>
      </c>
      <c r="G99" t="s">
        <v>1191</v>
      </c>
      <c r="H99" s="227">
        <v>450</v>
      </c>
      <c r="I99" s="34">
        <v>1</v>
      </c>
      <c r="J99" s="227">
        <f t="shared" si="9"/>
        <v>450</v>
      </c>
      <c r="K99" s="226">
        <v>1</v>
      </c>
      <c r="L99" s="228" t="s">
        <v>1192</v>
      </c>
    </row>
    <row r="100" spans="2:12">
      <c r="B100" t="s">
        <v>597</v>
      </c>
      <c r="C100" t="s">
        <v>1023</v>
      </c>
      <c r="D100" t="s">
        <v>1331</v>
      </c>
      <c r="E100" s="226" t="s">
        <v>1201</v>
      </c>
      <c r="F100" s="230" t="s">
        <v>1337</v>
      </c>
      <c r="G100" t="s">
        <v>1191</v>
      </c>
      <c r="H100" s="227">
        <v>450</v>
      </c>
      <c r="I100" s="34">
        <v>1</v>
      </c>
      <c r="J100" s="227">
        <f t="shared" si="9"/>
        <v>450</v>
      </c>
      <c r="K100" s="226">
        <v>1</v>
      </c>
      <c r="L100" s="228" t="s">
        <v>1192</v>
      </c>
    </row>
    <row r="101" spans="2:12">
      <c r="B101" t="s">
        <v>597</v>
      </c>
      <c r="C101" t="s">
        <v>1023</v>
      </c>
      <c r="D101" t="s">
        <v>1331</v>
      </c>
      <c r="E101" s="226" t="s">
        <v>1201</v>
      </c>
      <c r="F101" s="230" t="s">
        <v>1338</v>
      </c>
      <c r="G101" t="s">
        <v>1191</v>
      </c>
      <c r="H101" s="227">
        <v>450</v>
      </c>
      <c r="I101" s="34">
        <v>1</v>
      </c>
      <c r="J101" s="227">
        <f t="shared" si="9"/>
        <v>450</v>
      </c>
      <c r="K101" s="226">
        <v>1</v>
      </c>
      <c r="L101" s="228" t="s">
        <v>1192</v>
      </c>
    </row>
    <row r="102" spans="2:12">
      <c r="B102" t="s">
        <v>597</v>
      </c>
      <c r="C102" t="s">
        <v>1023</v>
      </c>
      <c r="D102" t="s">
        <v>1331</v>
      </c>
      <c r="E102" s="226" t="s">
        <v>1201</v>
      </c>
      <c r="F102" s="230" t="s">
        <v>1339</v>
      </c>
      <c r="G102" t="s">
        <v>1191</v>
      </c>
      <c r="H102" s="227">
        <v>450</v>
      </c>
      <c r="I102" s="34">
        <v>1</v>
      </c>
      <c r="J102" s="227">
        <f t="shared" si="9"/>
        <v>450</v>
      </c>
      <c r="K102" s="226">
        <v>1</v>
      </c>
      <c r="L102" s="228" t="s">
        <v>1192</v>
      </c>
    </row>
    <row r="103" spans="2:12">
      <c r="B103" t="s">
        <v>597</v>
      </c>
      <c r="C103" t="s">
        <v>1023</v>
      </c>
      <c r="D103" t="s">
        <v>1331</v>
      </c>
      <c r="E103" s="226" t="s">
        <v>1201</v>
      </c>
      <c r="F103" s="230" t="s">
        <v>1340</v>
      </c>
      <c r="G103" t="s">
        <v>1191</v>
      </c>
      <c r="H103" s="227">
        <v>450</v>
      </c>
      <c r="I103" s="34">
        <v>1</v>
      </c>
      <c r="J103" s="227">
        <f t="shared" si="9"/>
        <v>450</v>
      </c>
      <c r="K103" s="226">
        <v>1</v>
      </c>
      <c r="L103" s="228" t="s">
        <v>1192</v>
      </c>
    </row>
    <row r="104" spans="2:12">
      <c r="B104" t="s">
        <v>597</v>
      </c>
      <c r="C104" t="s">
        <v>1023</v>
      </c>
      <c r="D104" t="s">
        <v>1331</v>
      </c>
      <c r="E104" s="226" t="s">
        <v>1201</v>
      </c>
      <c r="F104" s="230" t="s">
        <v>1341</v>
      </c>
      <c r="G104" t="s">
        <v>1191</v>
      </c>
      <c r="H104" s="227">
        <v>450</v>
      </c>
      <c r="I104" s="34">
        <v>1</v>
      </c>
      <c r="J104" s="227">
        <f t="shared" ref="J104:J135" si="12">I104*H104</f>
        <v>450</v>
      </c>
      <c r="K104" s="226">
        <v>1</v>
      </c>
      <c r="L104" s="228" t="s">
        <v>1192</v>
      </c>
    </row>
    <row r="105" spans="2:12">
      <c r="B105" t="s">
        <v>597</v>
      </c>
      <c r="C105" t="s">
        <v>1023</v>
      </c>
      <c r="D105" t="s">
        <v>1331</v>
      </c>
      <c r="E105" s="226" t="s">
        <v>1201</v>
      </c>
      <c r="F105" s="229" t="s">
        <v>1342</v>
      </c>
      <c r="G105" t="s">
        <v>1191</v>
      </c>
      <c r="H105" s="227">
        <v>450</v>
      </c>
      <c r="I105" s="34">
        <v>1</v>
      </c>
      <c r="J105" s="227">
        <f t="shared" si="12"/>
        <v>450</v>
      </c>
      <c r="K105" s="226">
        <v>2</v>
      </c>
      <c r="L105" s="228" t="s">
        <v>1192</v>
      </c>
    </row>
    <row r="106" spans="2:12">
      <c r="B106" t="s">
        <v>597</v>
      </c>
      <c r="C106" t="s">
        <v>1023</v>
      </c>
      <c r="D106" t="s">
        <v>1331</v>
      </c>
      <c r="E106" s="226" t="s">
        <v>1201</v>
      </c>
      <c r="F106" s="229" t="s">
        <v>1343</v>
      </c>
      <c r="G106" t="s">
        <v>1191</v>
      </c>
      <c r="H106" s="227">
        <v>450</v>
      </c>
      <c r="I106" s="34">
        <v>1</v>
      </c>
      <c r="J106" s="227">
        <f t="shared" si="12"/>
        <v>450</v>
      </c>
      <c r="K106" s="226">
        <v>2</v>
      </c>
      <c r="L106" s="228" t="s">
        <v>1192</v>
      </c>
    </row>
    <row r="107" spans="2:12">
      <c r="B107" t="s">
        <v>597</v>
      </c>
      <c r="C107" t="s">
        <v>1023</v>
      </c>
      <c r="D107" t="s">
        <v>1331</v>
      </c>
      <c r="E107" s="226" t="s">
        <v>1201</v>
      </c>
      <c r="F107" s="229" t="s">
        <v>1344</v>
      </c>
      <c r="G107" t="s">
        <v>1191</v>
      </c>
      <c r="H107" s="227">
        <v>450</v>
      </c>
      <c r="I107" s="34">
        <v>1</v>
      </c>
      <c r="J107" s="227">
        <f t="shared" si="12"/>
        <v>450</v>
      </c>
      <c r="K107" s="226">
        <v>2</v>
      </c>
      <c r="L107" s="228" t="s">
        <v>1192</v>
      </c>
    </row>
    <row r="108" spans="2:12">
      <c r="B108" t="s">
        <v>597</v>
      </c>
      <c r="C108" t="s">
        <v>1023</v>
      </c>
      <c r="D108" t="s">
        <v>1331</v>
      </c>
      <c r="E108" s="226" t="s">
        <v>1201</v>
      </c>
      <c r="F108" s="229" t="s">
        <v>1345</v>
      </c>
      <c r="G108" t="s">
        <v>1191</v>
      </c>
      <c r="H108" s="227">
        <v>450</v>
      </c>
      <c r="I108" s="34">
        <v>1</v>
      </c>
      <c r="J108" s="227">
        <f t="shared" si="12"/>
        <v>450</v>
      </c>
      <c r="K108" s="226">
        <v>2</v>
      </c>
      <c r="L108" s="228" t="s">
        <v>1192</v>
      </c>
    </row>
    <row r="109" spans="2:12">
      <c r="B109" t="s">
        <v>597</v>
      </c>
      <c r="C109" t="s">
        <v>1023</v>
      </c>
      <c r="D109" t="s">
        <v>1331</v>
      </c>
      <c r="E109" s="226" t="s">
        <v>1201</v>
      </c>
      <c r="F109" s="229" t="s">
        <v>1346</v>
      </c>
      <c r="G109" t="s">
        <v>1191</v>
      </c>
      <c r="H109" s="227">
        <v>450</v>
      </c>
      <c r="I109" s="34">
        <v>1</v>
      </c>
      <c r="J109" s="227">
        <f t="shared" si="12"/>
        <v>450</v>
      </c>
      <c r="K109" s="226">
        <v>2</v>
      </c>
      <c r="L109" s="228" t="s">
        <v>1192</v>
      </c>
    </row>
    <row r="110" spans="2:12">
      <c r="B110" t="s">
        <v>597</v>
      </c>
      <c r="C110" t="s">
        <v>1023</v>
      </c>
      <c r="D110" t="s">
        <v>1331</v>
      </c>
      <c r="E110" s="226" t="s">
        <v>1201</v>
      </c>
      <c r="F110" s="229" t="s">
        <v>1347</v>
      </c>
      <c r="G110" t="s">
        <v>1191</v>
      </c>
      <c r="H110" s="227">
        <v>450</v>
      </c>
      <c r="I110" s="34">
        <v>1</v>
      </c>
      <c r="J110" s="227">
        <f t="shared" si="12"/>
        <v>450</v>
      </c>
      <c r="K110" s="226">
        <v>2</v>
      </c>
      <c r="L110" s="228" t="s">
        <v>1192</v>
      </c>
    </row>
    <row r="111" spans="2:12">
      <c r="B111" t="s">
        <v>597</v>
      </c>
      <c r="C111" t="s">
        <v>1023</v>
      </c>
      <c r="D111" t="s">
        <v>1331</v>
      </c>
      <c r="E111" s="226" t="s">
        <v>1201</v>
      </c>
      <c r="F111" s="229" t="s">
        <v>1348</v>
      </c>
      <c r="G111" t="s">
        <v>1191</v>
      </c>
      <c r="H111" s="227">
        <v>450</v>
      </c>
      <c r="I111" s="34">
        <v>1</v>
      </c>
      <c r="J111" s="227">
        <f t="shared" si="12"/>
        <v>450</v>
      </c>
      <c r="K111" s="226">
        <v>2</v>
      </c>
      <c r="L111" s="228" t="s">
        <v>1192</v>
      </c>
    </row>
    <row r="112" spans="2:12">
      <c r="B112" t="s">
        <v>597</v>
      </c>
      <c r="C112" t="s">
        <v>1023</v>
      </c>
      <c r="D112" t="s">
        <v>1331</v>
      </c>
      <c r="E112" s="226" t="s">
        <v>1201</v>
      </c>
      <c r="F112" s="229" t="s">
        <v>1349</v>
      </c>
      <c r="G112" t="s">
        <v>1191</v>
      </c>
      <c r="H112" s="227">
        <v>450</v>
      </c>
      <c r="I112" s="34">
        <v>1</v>
      </c>
      <c r="J112" s="227">
        <f t="shared" si="12"/>
        <v>450</v>
      </c>
      <c r="K112" s="226">
        <v>2</v>
      </c>
      <c r="L112" s="228" t="s">
        <v>1192</v>
      </c>
    </row>
    <row r="113" spans="2:12">
      <c r="B113" t="s">
        <v>597</v>
      </c>
      <c r="C113" t="s">
        <v>1023</v>
      </c>
      <c r="D113" t="s">
        <v>1331</v>
      </c>
      <c r="E113" s="226" t="s">
        <v>1201</v>
      </c>
      <c r="F113" s="229" t="s">
        <v>1350</v>
      </c>
      <c r="G113" t="s">
        <v>1191</v>
      </c>
      <c r="H113" s="227">
        <v>450</v>
      </c>
      <c r="I113" s="34">
        <v>1</v>
      </c>
      <c r="J113" s="227">
        <f t="shared" si="12"/>
        <v>450</v>
      </c>
      <c r="K113" s="226">
        <v>2</v>
      </c>
      <c r="L113" s="228" t="s">
        <v>1192</v>
      </c>
    </row>
    <row r="114" spans="2:12">
      <c r="B114" t="s">
        <v>597</v>
      </c>
      <c r="C114" t="s">
        <v>1023</v>
      </c>
      <c r="D114" t="s">
        <v>1331</v>
      </c>
      <c r="E114" s="226" t="s">
        <v>1201</v>
      </c>
      <c r="F114" s="229" t="s">
        <v>1351</v>
      </c>
      <c r="G114" t="s">
        <v>1191</v>
      </c>
      <c r="H114" s="227">
        <v>450</v>
      </c>
      <c r="I114" s="34">
        <v>1</v>
      </c>
      <c r="J114" s="227">
        <f t="shared" si="12"/>
        <v>450</v>
      </c>
      <c r="K114" s="226">
        <v>2</v>
      </c>
      <c r="L114" s="228" t="s">
        <v>1192</v>
      </c>
    </row>
    <row r="115" spans="2:12">
      <c r="B115" t="s">
        <v>597</v>
      </c>
      <c r="C115" t="s">
        <v>1023</v>
      </c>
      <c r="D115" t="s">
        <v>1331</v>
      </c>
      <c r="E115" s="226" t="s">
        <v>1201</v>
      </c>
      <c r="F115" s="229" t="s">
        <v>1352</v>
      </c>
      <c r="G115" t="s">
        <v>1191</v>
      </c>
      <c r="H115" s="227">
        <v>450</v>
      </c>
      <c r="I115" s="34">
        <v>1</v>
      </c>
      <c r="J115" s="227">
        <f t="shared" si="12"/>
        <v>450</v>
      </c>
      <c r="K115" s="226">
        <v>3</v>
      </c>
      <c r="L115" s="228" t="s">
        <v>1192</v>
      </c>
    </row>
    <row r="116" spans="2:12">
      <c r="B116" t="s">
        <v>597</v>
      </c>
      <c r="C116" t="s">
        <v>1023</v>
      </c>
      <c r="D116" t="s">
        <v>1331</v>
      </c>
      <c r="E116" s="226" t="s">
        <v>1201</v>
      </c>
      <c r="F116" s="229" t="s">
        <v>1353</v>
      </c>
      <c r="G116" t="s">
        <v>1191</v>
      </c>
      <c r="H116" s="227">
        <v>450</v>
      </c>
      <c r="I116" s="34">
        <v>1</v>
      </c>
      <c r="J116" s="227">
        <f t="shared" si="12"/>
        <v>450</v>
      </c>
      <c r="K116" s="226">
        <v>3</v>
      </c>
      <c r="L116" s="228" t="s">
        <v>1192</v>
      </c>
    </row>
    <row r="117" spans="2:12">
      <c r="B117" t="s">
        <v>597</v>
      </c>
      <c r="C117" t="s">
        <v>1023</v>
      </c>
      <c r="D117" t="s">
        <v>1331</v>
      </c>
      <c r="E117" s="226" t="s">
        <v>1201</v>
      </c>
      <c r="F117" s="229" t="s">
        <v>1354</v>
      </c>
      <c r="G117" t="s">
        <v>1191</v>
      </c>
      <c r="H117" s="227">
        <v>450</v>
      </c>
      <c r="I117" s="34">
        <v>1</v>
      </c>
      <c r="J117" s="227">
        <f t="shared" si="12"/>
        <v>450</v>
      </c>
      <c r="K117" s="226">
        <v>3</v>
      </c>
      <c r="L117" s="228" t="s">
        <v>1192</v>
      </c>
    </row>
    <row r="118" spans="2:12">
      <c r="B118" t="s">
        <v>597</v>
      </c>
      <c r="C118" t="s">
        <v>1023</v>
      </c>
      <c r="D118" t="s">
        <v>1331</v>
      </c>
      <c r="E118" s="226" t="s">
        <v>1201</v>
      </c>
      <c r="F118" s="229" t="s">
        <v>1355</v>
      </c>
      <c r="G118" t="s">
        <v>1191</v>
      </c>
      <c r="H118" s="227">
        <v>450</v>
      </c>
      <c r="I118" s="34">
        <v>1</v>
      </c>
      <c r="J118" s="227">
        <f t="shared" si="12"/>
        <v>450</v>
      </c>
      <c r="K118" s="226">
        <v>3</v>
      </c>
      <c r="L118" s="228" t="s">
        <v>1192</v>
      </c>
    </row>
    <row r="119" spans="2:12">
      <c r="B119" t="s">
        <v>597</v>
      </c>
      <c r="C119" t="s">
        <v>1023</v>
      </c>
      <c r="D119" t="s">
        <v>1331</v>
      </c>
      <c r="E119" s="226" t="s">
        <v>1201</v>
      </c>
      <c r="F119" s="229" t="s">
        <v>1356</v>
      </c>
      <c r="G119" t="s">
        <v>1191</v>
      </c>
      <c r="H119" s="227">
        <v>450</v>
      </c>
      <c r="I119" s="34">
        <v>1</v>
      </c>
      <c r="J119" s="227">
        <f t="shared" si="12"/>
        <v>450</v>
      </c>
      <c r="K119" s="226">
        <v>3</v>
      </c>
      <c r="L119" s="228" t="s">
        <v>1192</v>
      </c>
    </row>
    <row r="120" spans="2:12">
      <c r="B120" t="s">
        <v>597</v>
      </c>
      <c r="C120" t="s">
        <v>1023</v>
      </c>
      <c r="D120" t="s">
        <v>1331</v>
      </c>
      <c r="E120" s="226" t="s">
        <v>1201</v>
      </c>
      <c r="F120" s="229" t="s">
        <v>1357</v>
      </c>
      <c r="G120" t="s">
        <v>1191</v>
      </c>
      <c r="H120" s="227">
        <v>450</v>
      </c>
      <c r="I120" s="34">
        <v>1</v>
      </c>
      <c r="J120" s="227">
        <f t="shared" si="12"/>
        <v>450</v>
      </c>
      <c r="K120" s="226">
        <v>3</v>
      </c>
      <c r="L120" s="228" t="s">
        <v>1192</v>
      </c>
    </row>
    <row r="121" spans="2:12">
      <c r="B121" t="s">
        <v>597</v>
      </c>
      <c r="C121" t="s">
        <v>1023</v>
      </c>
      <c r="D121" t="s">
        <v>1331</v>
      </c>
      <c r="E121" s="226" t="s">
        <v>1201</v>
      </c>
      <c r="F121" s="229" t="s">
        <v>1358</v>
      </c>
      <c r="G121" t="s">
        <v>1191</v>
      </c>
      <c r="H121" s="227">
        <v>450</v>
      </c>
      <c r="I121" s="34">
        <v>1</v>
      </c>
      <c r="J121" s="227">
        <f t="shared" si="12"/>
        <v>450</v>
      </c>
      <c r="K121" s="226">
        <v>3</v>
      </c>
      <c r="L121" s="228" t="s">
        <v>1192</v>
      </c>
    </row>
    <row r="122" spans="2:12">
      <c r="B122" t="s">
        <v>597</v>
      </c>
      <c r="C122" t="s">
        <v>1023</v>
      </c>
      <c r="D122" t="s">
        <v>1331</v>
      </c>
      <c r="E122" s="226" t="s">
        <v>1201</v>
      </c>
      <c r="F122" s="229" t="s">
        <v>1359</v>
      </c>
      <c r="G122" t="s">
        <v>1191</v>
      </c>
      <c r="H122" s="227">
        <v>450</v>
      </c>
      <c r="I122" s="34">
        <v>1</v>
      </c>
      <c r="J122" s="227">
        <f t="shared" si="12"/>
        <v>450</v>
      </c>
      <c r="K122" s="226">
        <v>3</v>
      </c>
      <c r="L122" s="228" t="s">
        <v>1192</v>
      </c>
    </row>
    <row r="123" spans="2:12">
      <c r="B123" t="s">
        <v>597</v>
      </c>
      <c r="C123" t="s">
        <v>1023</v>
      </c>
      <c r="D123" t="s">
        <v>1331</v>
      </c>
      <c r="E123" s="226" t="s">
        <v>1201</v>
      </c>
      <c r="F123" s="229" t="s">
        <v>1360</v>
      </c>
      <c r="G123" t="s">
        <v>1191</v>
      </c>
      <c r="H123" s="227">
        <v>450</v>
      </c>
      <c r="I123" s="34">
        <v>1</v>
      </c>
      <c r="J123" s="227">
        <f t="shared" si="12"/>
        <v>450</v>
      </c>
      <c r="K123" s="226">
        <v>3</v>
      </c>
      <c r="L123" s="228" t="s">
        <v>1192</v>
      </c>
    </row>
    <row r="124" spans="2:12">
      <c r="B124" t="s">
        <v>597</v>
      </c>
      <c r="C124" t="s">
        <v>1023</v>
      </c>
      <c r="D124" t="s">
        <v>1331</v>
      </c>
      <c r="E124" s="226" t="s">
        <v>1201</v>
      </c>
      <c r="F124" s="229" t="s">
        <v>1361</v>
      </c>
      <c r="G124" t="s">
        <v>1191</v>
      </c>
      <c r="H124" s="227">
        <v>450</v>
      </c>
      <c r="I124" s="34">
        <v>1</v>
      </c>
      <c r="J124" s="227">
        <f t="shared" si="12"/>
        <v>450</v>
      </c>
      <c r="K124" s="226">
        <v>3</v>
      </c>
      <c r="L124" s="228" t="s">
        <v>1192</v>
      </c>
    </row>
    <row r="125" spans="2:12">
      <c r="B125" t="s">
        <v>597</v>
      </c>
      <c r="C125" t="s">
        <v>1023</v>
      </c>
      <c r="D125" t="s">
        <v>1331</v>
      </c>
      <c r="E125" s="226" t="s">
        <v>1201</v>
      </c>
      <c r="F125" s="229" t="s">
        <v>1362</v>
      </c>
      <c r="G125" t="s">
        <v>1191</v>
      </c>
      <c r="H125" s="227">
        <v>450</v>
      </c>
      <c r="I125" s="34">
        <v>1</v>
      </c>
      <c r="J125" s="227">
        <f t="shared" si="12"/>
        <v>450</v>
      </c>
      <c r="K125" s="226">
        <v>4</v>
      </c>
      <c r="L125" s="228" t="s">
        <v>1192</v>
      </c>
    </row>
    <row r="126" spans="2:12">
      <c r="B126" t="s">
        <v>597</v>
      </c>
      <c r="C126" t="s">
        <v>1023</v>
      </c>
      <c r="D126" t="s">
        <v>1331</v>
      </c>
      <c r="E126" s="226" t="s">
        <v>1201</v>
      </c>
      <c r="F126" s="229" t="s">
        <v>1363</v>
      </c>
      <c r="G126" t="s">
        <v>1191</v>
      </c>
      <c r="H126" s="227">
        <v>450</v>
      </c>
      <c r="I126" s="34">
        <v>1</v>
      </c>
      <c r="J126" s="227">
        <f t="shared" si="12"/>
        <v>450</v>
      </c>
      <c r="K126" s="226">
        <v>4</v>
      </c>
      <c r="L126" s="228" t="s">
        <v>1192</v>
      </c>
    </row>
    <row r="127" spans="2:12">
      <c r="B127" t="s">
        <v>597</v>
      </c>
      <c r="C127" t="s">
        <v>1023</v>
      </c>
      <c r="D127" t="s">
        <v>1331</v>
      </c>
      <c r="E127" s="226" t="s">
        <v>1201</v>
      </c>
      <c r="F127" s="229" t="s">
        <v>1364</v>
      </c>
      <c r="G127" t="s">
        <v>1191</v>
      </c>
      <c r="H127" s="227">
        <v>450</v>
      </c>
      <c r="I127" s="34">
        <v>1</v>
      </c>
      <c r="J127" s="227">
        <f t="shared" si="12"/>
        <v>450</v>
      </c>
      <c r="K127" s="226">
        <v>4</v>
      </c>
      <c r="L127" s="228" t="s">
        <v>1192</v>
      </c>
    </row>
    <row r="128" spans="2:12">
      <c r="B128" t="s">
        <v>597</v>
      </c>
      <c r="C128" t="s">
        <v>1023</v>
      </c>
      <c r="D128" t="s">
        <v>1331</v>
      </c>
      <c r="E128" s="226" t="s">
        <v>1201</v>
      </c>
      <c r="F128" s="229" t="s">
        <v>1365</v>
      </c>
      <c r="G128" t="s">
        <v>1191</v>
      </c>
      <c r="H128" s="227">
        <v>450</v>
      </c>
      <c r="I128" s="34">
        <v>1</v>
      </c>
      <c r="J128" s="227">
        <f t="shared" si="12"/>
        <v>450</v>
      </c>
      <c r="K128" s="226">
        <v>4</v>
      </c>
      <c r="L128" s="228" t="s">
        <v>1192</v>
      </c>
    </row>
    <row r="129" spans="2:12">
      <c r="B129" t="s">
        <v>597</v>
      </c>
      <c r="C129" t="s">
        <v>1023</v>
      </c>
      <c r="D129" t="s">
        <v>1331</v>
      </c>
      <c r="E129" s="226" t="s">
        <v>1201</v>
      </c>
      <c r="F129" s="229" t="s">
        <v>1366</v>
      </c>
      <c r="G129" t="s">
        <v>1191</v>
      </c>
      <c r="H129" s="227">
        <v>450</v>
      </c>
      <c r="I129" s="34">
        <v>1</v>
      </c>
      <c r="J129" s="227">
        <f t="shared" si="12"/>
        <v>450</v>
      </c>
      <c r="K129" s="226">
        <v>4</v>
      </c>
      <c r="L129" s="228" t="s">
        <v>1192</v>
      </c>
    </row>
    <row r="130" spans="2:12">
      <c r="B130" t="s">
        <v>597</v>
      </c>
      <c r="C130" t="s">
        <v>1023</v>
      </c>
      <c r="D130" t="s">
        <v>1331</v>
      </c>
      <c r="E130" s="226" t="s">
        <v>1201</v>
      </c>
      <c r="F130" s="229" t="s">
        <v>1367</v>
      </c>
      <c r="G130" t="s">
        <v>1191</v>
      </c>
      <c r="H130" s="227">
        <v>450</v>
      </c>
      <c r="I130" s="34">
        <v>1</v>
      </c>
      <c r="J130" s="227">
        <f t="shared" si="12"/>
        <v>450</v>
      </c>
      <c r="K130" s="226">
        <v>4</v>
      </c>
      <c r="L130" s="228" t="s">
        <v>1192</v>
      </c>
    </row>
    <row r="131" spans="2:12">
      <c r="B131" t="s">
        <v>597</v>
      </c>
      <c r="C131" t="s">
        <v>1023</v>
      </c>
      <c r="D131" t="s">
        <v>1331</v>
      </c>
      <c r="E131" s="226" t="s">
        <v>1201</v>
      </c>
      <c r="F131" s="229" t="s">
        <v>1368</v>
      </c>
      <c r="G131" t="s">
        <v>1191</v>
      </c>
      <c r="H131" s="227">
        <v>450</v>
      </c>
      <c r="I131" s="34">
        <v>1</v>
      </c>
      <c r="J131" s="227">
        <f t="shared" si="12"/>
        <v>450</v>
      </c>
      <c r="K131" s="226">
        <v>4</v>
      </c>
      <c r="L131" s="228" t="s">
        <v>1192</v>
      </c>
    </row>
    <row r="132" spans="2:12">
      <c r="B132" t="s">
        <v>597</v>
      </c>
      <c r="C132" t="s">
        <v>1023</v>
      </c>
      <c r="D132" t="s">
        <v>1331</v>
      </c>
      <c r="E132" s="226" t="s">
        <v>1201</v>
      </c>
      <c r="F132" s="229" t="s">
        <v>1369</v>
      </c>
      <c r="G132" t="s">
        <v>1191</v>
      </c>
      <c r="H132" s="227">
        <v>450</v>
      </c>
      <c r="I132" s="34">
        <v>1</v>
      </c>
      <c r="J132" s="227">
        <f t="shared" si="12"/>
        <v>450</v>
      </c>
      <c r="K132" s="226">
        <v>4</v>
      </c>
      <c r="L132" s="228" t="s">
        <v>1192</v>
      </c>
    </row>
    <row r="133" spans="2:12">
      <c r="B133" t="s">
        <v>597</v>
      </c>
      <c r="C133" t="s">
        <v>1023</v>
      </c>
      <c r="D133" t="s">
        <v>1331</v>
      </c>
      <c r="E133" s="226" t="s">
        <v>1201</v>
      </c>
      <c r="F133" s="229" t="s">
        <v>1370</v>
      </c>
      <c r="G133" t="s">
        <v>1191</v>
      </c>
      <c r="H133" s="227">
        <v>450</v>
      </c>
      <c r="I133" s="34">
        <v>1</v>
      </c>
      <c r="J133" s="227">
        <f t="shared" si="12"/>
        <v>450</v>
      </c>
      <c r="K133" s="226">
        <v>4</v>
      </c>
      <c r="L133" s="228" t="s">
        <v>1192</v>
      </c>
    </row>
    <row r="134" spans="2:12">
      <c r="B134" t="s">
        <v>597</v>
      </c>
      <c r="C134" t="s">
        <v>1023</v>
      </c>
      <c r="D134" t="s">
        <v>1331</v>
      </c>
      <c r="E134" s="226" t="s">
        <v>1201</v>
      </c>
      <c r="F134" s="229" t="s">
        <v>1371</v>
      </c>
      <c r="G134" t="s">
        <v>1191</v>
      </c>
      <c r="H134" s="227">
        <v>450</v>
      </c>
      <c r="I134" s="34">
        <v>1</v>
      </c>
      <c r="J134" s="227">
        <f t="shared" si="12"/>
        <v>450</v>
      </c>
      <c r="K134" s="226">
        <v>4</v>
      </c>
      <c r="L134" s="228" t="s">
        <v>1192</v>
      </c>
    </row>
    <row r="135" spans="2:12">
      <c r="B135" t="s">
        <v>597</v>
      </c>
      <c r="C135" t="s">
        <v>1023</v>
      </c>
      <c r="D135" t="s">
        <v>1331</v>
      </c>
      <c r="E135" s="226" t="s">
        <v>1201</v>
      </c>
      <c r="F135" s="229" t="s">
        <v>1372</v>
      </c>
      <c r="G135" t="s">
        <v>1191</v>
      </c>
      <c r="H135" s="227">
        <v>450</v>
      </c>
      <c r="I135" s="34">
        <v>1</v>
      </c>
      <c r="J135" s="227">
        <f t="shared" si="12"/>
        <v>450</v>
      </c>
      <c r="K135" s="226">
        <v>5</v>
      </c>
      <c r="L135" s="228" t="s">
        <v>1192</v>
      </c>
    </row>
    <row r="136" spans="2:12">
      <c r="B136" t="s">
        <v>597</v>
      </c>
      <c r="C136" t="s">
        <v>1023</v>
      </c>
      <c r="D136" t="s">
        <v>1331</v>
      </c>
      <c r="E136" s="226" t="s">
        <v>1201</v>
      </c>
      <c r="F136" s="229" t="s">
        <v>1373</v>
      </c>
      <c r="G136" t="s">
        <v>1191</v>
      </c>
      <c r="H136" s="227">
        <v>450</v>
      </c>
      <c r="I136" s="34">
        <v>1</v>
      </c>
      <c r="J136" s="227">
        <f t="shared" ref="J136:J167" si="13">I136*H136</f>
        <v>450</v>
      </c>
      <c r="K136" s="226">
        <v>5</v>
      </c>
      <c r="L136" s="228" t="s">
        <v>1192</v>
      </c>
    </row>
    <row r="137" spans="2:12">
      <c r="B137" t="s">
        <v>597</v>
      </c>
      <c r="C137" t="s">
        <v>1023</v>
      </c>
      <c r="D137" t="s">
        <v>1331</v>
      </c>
      <c r="E137" s="226" t="s">
        <v>1201</v>
      </c>
      <c r="F137" s="229" t="s">
        <v>1374</v>
      </c>
      <c r="G137" t="s">
        <v>1191</v>
      </c>
      <c r="H137" s="227">
        <v>450</v>
      </c>
      <c r="I137" s="34">
        <v>1</v>
      </c>
      <c r="J137" s="227">
        <f t="shared" si="13"/>
        <v>450</v>
      </c>
      <c r="K137" s="226">
        <v>5</v>
      </c>
      <c r="L137" s="228" t="s">
        <v>1192</v>
      </c>
    </row>
    <row r="138" spans="2:12">
      <c r="B138" t="s">
        <v>597</v>
      </c>
      <c r="C138" t="s">
        <v>1023</v>
      </c>
      <c r="D138" t="s">
        <v>1331</v>
      </c>
      <c r="E138" s="226" t="s">
        <v>1201</v>
      </c>
      <c r="F138" s="229" t="s">
        <v>1375</v>
      </c>
      <c r="G138" t="s">
        <v>1191</v>
      </c>
      <c r="H138" s="227">
        <v>450</v>
      </c>
      <c r="I138" s="34">
        <v>1</v>
      </c>
      <c r="J138" s="227">
        <f t="shared" si="13"/>
        <v>450</v>
      </c>
      <c r="K138" s="226">
        <v>5</v>
      </c>
      <c r="L138" s="228" t="s">
        <v>1192</v>
      </c>
    </row>
    <row r="139" spans="2:12">
      <c r="B139" t="s">
        <v>597</v>
      </c>
      <c r="C139" t="s">
        <v>1023</v>
      </c>
      <c r="D139" t="s">
        <v>1331</v>
      </c>
      <c r="E139" s="226" t="s">
        <v>1201</v>
      </c>
      <c r="F139" s="229" t="s">
        <v>1376</v>
      </c>
      <c r="G139" t="s">
        <v>1191</v>
      </c>
      <c r="H139" s="227">
        <v>450</v>
      </c>
      <c r="I139" s="34">
        <v>1</v>
      </c>
      <c r="J139" s="227">
        <f t="shared" si="13"/>
        <v>450</v>
      </c>
      <c r="K139" s="226">
        <v>5</v>
      </c>
      <c r="L139" s="228" t="s">
        <v>1192</v>
      </c>
    </row>
    <row r="140" spans="2:12">
      <c r="B140" t="s">
        <v>597</v>
      </c>
      <c r="C140" t="s">
        <v>1023</v>
      </c>
      <c r="D140" t="s">
        <v>1331</v>
      </c>
      <c r="E140" s="226" t="s">
        <v>1201</v>
      </c>
      <c r="F140" s="229" t="s">
        <v>1377</v>
      </c>
      <c r="G140" t="s">
        <v>1191</v>
      </c>
      <c r="H140" s="227">
        <v>450</v>
      </c>
      <c r="I140" s="34">
        <v>1</v>
      </c>
      <c r="J140" s="227">
        <f t="shared" si="13"/>
        <v>450</v>
      </c>
      <c r="K140" s="226">
        <v>5</v>
      </c>
      <c r="L140" s="228" t="s">
        <v>1192</v>
      </c>
    </row>
    <row r="141" spans="2:12">
      <c r="B141" t="s">
        <v>597</v>
      </c>
      <c r="C141" t="s">
        <v>1023</v>
      </c>
      <c r="D141" t="s">
        <v>1331</v>
      </c>
      <c r="E141" s="226" t="s">
        <v>1201</v>
      </c>
      <c r="F141" s="229" t="s">
        <v>1378</v>
      </c>
      <c r="G141" t="s">
        <v>1191</v>
      </c>
      <c r="H141" s="227">
        <v>450</v>
      </c>
      <c r="I141" s="34">
        <v>1</v>
      </c>
      <c r="J141" s="227">
        <f t="shared" si="13"/>
        <v>450</v>
      </c>
      <c r="K141" s="226">
        <v>5</v>
      </c>
      <c r="L141" s="228" t="s">
        <v>1192</v>
      </c>
    </row>
    <row r="142" spans="2:12">
      <c r="B142" t="s">
        <v>597</v>
      </c>
      <c r="C142" t="s">
        <v>1023</v>
      </c>
      <c r="D142" t="s">
        <v>1331</v>
      </c>
      <c r="E142" s="226" t="s">
        <v>1201</v>
      </c>
      <c r="F142" s="229" t="s">
        <v>1379</v>
      </c>
      <c r="G142" t="s">
        <v>1191</v>
      </c>
      <c r="H142" s="227">
        <v>450</v>
      </c>
      <c r="I142" s="34">
        <v>1</v>
      </c>
      <c r="J142" s="227">
        <f t="shared" si="13"/>
        <v>450</v>
      </c>
      <c r="K142" s="226">
        <v>5</v>
      </c>
      <c r="L142" s="228" t="s">
        <v>1192</v>
      </c>
    </row>
    <row r="143" spans="2:12">
      <c r="B143" t="s">
        <v>597</v>
      </c>
      <c r="C143" t="s">
        <v>1023</v>
      </c>
      <c r="D143" t="s">
        <v>1331</v>
      </c>
      <c r="E143" s="226" t="s">
        <v>1201</v>
      </c>
      <c r="F143" s="229" t="s">
        <v>1380</v>
      </c>
      <c r="G143" t="s">
        <v>1191</v>
      </c>
      <c r="H143" s="227">
        <v>450</v>
      </c>
      <c r="I143" s="34">
        <v>1</v>
      </c>
      <c r="J143" s="227">
        <f t="shared" si="13"/>
        <v>450</v>
      </c>
      <c r="K143" s="226">
        <v>5</v>
      </c>
      <c r="L143" s="228" t="s">
        <v>1192</v>
      </c>
    </row>
    <row r="144" spans="2:12">
      <c r="B144" t="s">
        <v>597</v>
      </c>
      <c r="C144" t="s">
        <v>1023</v>
      </c>
      <c r="D144" t="s">
        <v>1331</v>
      </c>
      <c r="E144" s="226" t="s">
        <v>1201</v>
      </c>
      <c r="F144" s="229" t="s">
        <v>1381</v>
      </c>
      <c r="G144" t="s">
        <v>1191</v>
      </c>
      <c r="H144" s="227">
        <v>450</v>
      </c>
      <c r="I144" s="34">
        <v>1</v>
      </c>
      <c r="J144" s="227">
        <f t="shared" si="13"/>
        <v>450</v>
      </c>
      <c r="K144" s="226">
        <v>5</v>
      </c>
      <c r="L144" s="228" t="s">
        <v>1192</v>
      </c>
    </row>
    <row r="145" spans="2:12">
      <c r="B145" t="s">
        <v>597</v>
      </c>
      <c r="C145" t="s">
        <v>1023</v>
      </c>
      <c r="D145" t="s">
        <v>1331</v>
      </c>
      <c r="E145" s="226" t="s">
        <v>1201</v>
      </c>
      <c r="F145" s="229" t="s">
        <v>1382</v>
      </c>
      <c r="G145" t="s">
        <v>1191</v>
      </c>
      <c r="H145" s="227">
        <v>450</v>
      </c>
      <c r="I145" s="34">
        <v>1</v>
      </c>
      <c r="J145" s="227">
        <f t="shared" si="13"/>
        <v>450</v>
      </c>
      <c r="K145" s="226">
        <v>6</v>
      </c>
      <c r="L145" s="228" t="s">
        <v>1192</v>
      </c>
    </row>
    <row r="146" spans="2:12">
      <c r="B146" t="s">
        <v>597</v>
      </c>
      <c r="C146" t="s">
        <v>1023</v>
      </c>
      <c r="D146" t="s">
        <v>1331</v>
      </c>
      <c r="E146" s="226" t="s">
        <v>1201</v>
      </c>
      <c r="F146" s="229" t="s">
        <v>1383</v>
      </c>
      <c r="G146" t="s">
        <v>1191</v>
      </c>
      <c r="H146" s="227">
        <v>450</v>
      </c>
      <c r="I146" s="34">
        <v>1</v>
      </c>
      <c r="J146" s="227">
        <f t="shared" si="13"/>
        <v>450</v>
      </c>
      <c r="K146" s="226">
        <v>6</v>
      </c>
      <c r="L146" s="228" t="s">
        <v>1192</v>
      </c>
    </row>
    <row r="147" spans="2:12">
      <c r="B147" t="s">
        <v>597</v>
      </c>
      <c r="C147" t="s">
        <v>1023</v>
      </c>
      <c r="D147" t="s">
        <v>1331</v>
      </c>
      <c r="E147" s="226" t="s">
        <v>1201</v>
      </c>
      <c r="F147" s="229" t="s">
        <v>1384</v>
      </c>
      <c r="G147" t="s">
        <v>1191</v>
      </c>
      <c r="H147" s="227">
        <v>450</v>
      </c>
      <c r="I147" s="34">
        <v>1</v>
      </c>
      <c r="J147" s="227">
        <f t="shared" si="13"/>
        <v>450</v>
      </c>
      <c r="K147" s="226">
        <v>6</v>
      </c>
      <c r="L147" s="228" t="s">
        <v>1192</v>
      </c>
    </row>
    <row r="148" spans="2:12">
      <c r="B148" t="s">
        <v>597</v>
      </c>
      <c r="C148" t="s">
        <v>1023</v>
      </c>
      <c r="D148" t="s">
        <v>1331</v>
      </c>
      <c r="E148" s="226" t="s">
        <v>1201</v>
      </c>
      <c r="F148" s="229" t="s">
        <v>1385</v>
      </c>
      <c r="G148" t="s">
        <v>1191</v>
      </c>
      <c r="H148" s="227">
        <v>450</v>
      </c>
      <c r="I148" s="34">
        <v>1</v>
      </c>
      <c r="J148" s="227">
        <f t="shared" si="13"/>
        <v>450</v>
      </c>
      <c r="K148" s="226">
        <v>6</v>
      </c>
      <c r="L148" s="228" t="s">
        <v>1192</v>
      </c>
    </row>
    <row r="149" spans="2:12">
      <c r="B149" t="s">
        <v>597</v>
      </c>
      <c r="C149" t="s">
        <v>1023</v>
      </c>
      <c r="D149" t="s">
        <v>1331</v>
      </c>
      <c r="E149" s="226" t="s">
        <v>1201</v>
      </c>
      <c r="F149" s="229" t="s">
        <v>1386</v>
      </c>
      <c r="G149" t="s">
        <v>1191</v>
      </c>
      <c r="H149" s="227">
        <v>450</v>
      </c>
      <c r="I149" s="34">
        <v>1</v>
      </c>
      <c r="J149" s="227">
        <f t="shared" si="13"/>
        <v>450</v>
      </c>
      <c r="K149" s="226">
        <v>6</v>
      </c>
      <c r="L149" s="228" t="s">
        <v>1192</v>
      </c>
    </row>
    <row r="150" spans="2:12">
      <c r="B150" t="s">
        <v>597</v>
      </c>
      <c r="C150" t="s">
        <v>1023</v>
      </c>
      <c r="D150" t="s">
        <v>1331</v>
      </c>
      <c r="E150" s="226" t="s">
        <v>1201</v>
      </c>
      <c r="F150" s="229" t="s">
        <v>1387</v>
      </c>
      <c r="G150" t="s">
        <v>1191</v>
      </c>
      <c r="H150" s="227">
        <v>450</v>
      </c>
      <c r="I150" s="34">
        <v>1</v>
      </c>
      <c r="J150" s="227">
        <f t="shared" si="13"/>
        <v>450</v>
      </c>
      <c r="K150" s="226">
        <v>6</v>
      </c>
      <c r="L150" s="228" t="s">
        <v>1192</v>
      </c>
    </row>
    <row r="151" spans="2:12">
      <c r="B151" t="s">
        <v>597</v>
      </c>
      <c r="C151" t="s">
        <v>1023</v>
      </c>
      <c r="D151" t="s">
        <v>1331</v>
      </c>
      <c r="E151" s="226" t="s">
        <v>1201</v>
      </c>
      <c r="F151" s="229" t="s">
        <v>1388</v>
      </c>
      <c r="G151" t="s">
        <v>1191</v>
      </c>
      <c r="H151" s="227">
        <v>450</v>
      </c>
      <c r="I151" s="34">
        <v>1</v>
      </c>
      <c r="J151" s="227">
        <f t="shared" si="13"/>
        <v>450</v>
      </c>
      <c r="K151" s="226">
        <v>6</v>
      </c>
      <c r="L151" s="228" t="s">
        <v>1192</v>
      </c>
    </row>
    <row r="152" spans="2:12">
      <c r="B152" t="s">
        <v>597</v>
      </c>
      <c r="C152" t="s">
        <v>1023</v>
      </c>
      <c r="D152" t="s">
        <v>1331</v>
      </c>
      <c r="E152" s="226" t="s">
        <v>1201</v>
      </c>
      <c r="F152" s="229" t="s">
        <v>1389</v>
      </c>
      <c r="G152" t="s">
        <v>1191</v>
      </c>
      <c r="H152" s="227">
        <v>450</v>
      </c>
      <c r="I152" s="34">
        <v>1</v>
      </c>
      <c r="J152" s="227">
        <f t="shared" si="13"/>
        <v>450</v>
      </c>
      <c r="K152" s="226">
        <v>6</v>
      </c>
      <c r="L152" s="228" t="s">
        <v>1192</v>
      </c>
    </row>
    <row r="153" spans="2:12">
      <c r="B153" t="s">
        <v>597</v>
      </c>
      <c r="C153" t="s">
        <v>1023</v>
      </c>
      <c r="D153" t="s">
        <v>1331</v>
      </c>
      <c r="E153" s="226" t="s">
        <v>1201</v>
      </c>
      <c r="F153" s="229" t="s">
        <v>1390</v>
      </c>
      <c r="G153" t="s">
        <v>1191</v>
      </c>
      <c r="H153" s="227">
        <v>450</v>
      </c>
      <c r="I153" s="34">
        <v>1</v>
      </c>
      <c r="J153" s="227">
        <f t="shared" si="13"/>
        <v>450</v>
      </c>
      <c r="K153" s="226">
        <v>6</v>
      </c>
      <c r="L153" s="228" t="s">
        <v>1192</v>
      </c>
    </row>
    <row r="154" spans="2:12">
      <c r="B154" t="s">
        <v>597</v>
      </c>
      <c r="C154" t="s">
        <v>1023</v>
      </c>
      <c r="D154" t="s">
        <v>1331</v>
      </c>
      <c r="E154" s="226" t="s">
        <v>1201</v>
      </c>
      <c r="F154" s="229" t="s">
        <v>1391</v>
      </c>
      <c r="G154" t="s">
        <v>1191</v>
      </c>
      <c r="H154" s="227">
        <v>450</v>
      </c>
      <c r="I154" s="34">
        <v>1</v>
      </c>
      <c r="J154" s="227">
        <f t="shared" si="13"/>
        <v>450</v>
      </c>
      <c r="K154" s="226">
        <v>6</v>
      </c>
      <c r="L154" s="228" t="s">
        <v>1192</v>
      </c>
    </row>
    <row r="155" spans="2:12">
      <c r="B155" t="s">
        <v>597</v>
      </c>
      <c r="C155" t="s">
        <v>1023</v>
      </c>
      <c r="D155" t="s">
        <v>1331</v>
      </c>
      <c r="E155" s="226" t="s">
        <v>1201</v>
      </c>
      <c r="F155" s="229" t="s">
        <v>1392</v>
      </c>
      <c r="G155" t="s">
        <v>1191</v>
      </c>
      <c r="H155" s="227">
        <v>450</v>
      </c>
      <c r="I155" s="34">
        <v>1</v>
      </c>
      <c r="J155" s="227">
        <f t="shared" si="13"/>
        <v>450</v>
      </c>
      <c r="K155" s="226">
        <v>7</v>
      </c>
      <c r="L155" s="228" t="s">
        <v>1192</v>
      </c>
    </row>
    <row r="156" spans="2:12">
      <c r="B156" t="s">
        <v>597</v>
      </c>
      <c r="C156" t="s">
        <v>1023</v>
      </c>
      <c r="D156" t="s">
        <v>1331</v>
      </c>
      <c r="E156" s="226" t="s">
        <v>1201</v>
      </c>
      <c r="F156" s="229" t="s">
        <v>1393</v>
      </c>
      <c r="G156" t="s">
        <v>1191</v>
      </c>
      <c r="H156" s="227">
        <v>450</v>
      </c>
      <c r="I156" s="34">
        <v>1</v>
      </c>
      <c r="J156" s="227">
        <f t="shared" si="13"/>
        <v>450</v>
      </c>
      <c r="K156" s="226">
        <v>7</v>
      </c>
      <c r="L156" s="228" t="s">
        <v>1192</v>
      </c>
    </row>
    <row r="157" spans="2:12">
      <c r="B157" t="s">
        <v>597</v>
      </c>
      <c r="C157" t="s">
        <v>1023</v>
      </c>
      <c r="D157" t="s">
        <v>1331</v>
      </c>
      <c r="E157" s="226" t="s">
        <v>1201</v>
      </c>
      <c r="F157" s="229" t="s">
        <v>1394</v>
      </c>
      <c r="G157" t="s">
        <v>1191</v>
      </c>
      <c r="H157" s="227">
        <v>450</v>
      </c>
      <c r="I157" s="34">
        <v>1</v>
      </c>
      <c r="J157" s="227">
        <f t="shared" si="13"/>
        <v>450</v>
      </c>
      <c r="K157" s="226">
        <v>7</v>
      </c>
      <c r="L157" s="228" t="s">
        <v>1192</v>
      </c>
    </row>
    <row r="158" spans="2:12">
      <c r="B158" t="s">
        <v>597</v>
      </c>
      <c r="C158" t="s">
        <v>1023</v>
      </c>
      <c r="D158" t="s">
        <v>1331</v>
      </c>
      <c r="E158" s="226" t="s">
        <v>1201</v>
      </c>
      <c r="F158" s="229" t="s">
        <v>1395</v>
      </c>
      <c r="G158" t="s">
        <v>1191</v>
      </c>
      <c r="H158" s="227">
        <v>450</v>
      </c>
      <c r="I158" s="34">
        <v>1</v>
      </c>
      <c r="J158" s="227">
        <f t="shared" si="13"/>
        <v>450</v>
      </c>
      <c r="K158" s="226">
        <v>7</v>
      </c>
      <c r="L158" s="228" t="s">
        <v>1192</v>
      </c>
    </row>
    <row r="159" spans="2:12">
      <c r="B159" t="s">
        <v>597</v>
      </c>
      <c r="C159" t="s">
        <v>1023</v>
      </c>
      <c r="D159" t="s">
        <v>1331</v>
      </c>
      <c r="E159" s="226" t="s">
        <v>1201</v>
      </c>
      <c r="F159" s="229" t="s">
        <v>1396</v>
      </c>
      <c r="G159" t="s">
        <v>1191</v>
      </c>
      <c r="H159" s="227">
        <v>450</v>
      </c>
      <c r="I159" s="34">
        <v>1</v>
      </c>
      <c r="J159" s="227">
        <f t="shared" si="13"/>
        <v>450</v>
      </c>
      <c r="K159" s="226">
        <v>7</v>
      </c>
      <c r="L159" s="228" t="s">
        <v>1192</v>
      </c>
    </row>
    <row r="160" spans="2:12">
      <c r="B160" t="s">
        <v>597</v>
      </c>
      <c r="C160" t="s">
        <v>1023</v>
      </c>
      <c r="D160" t="s">
        <v>1331</v>
      </c>
      <c r="E160" s="226" t="s">
        <v>1201</v>
      </c>
      <c r="F160" s="229" t="s">
        <v>1397</v>
      </c>
      <c r="G160" t="s">
        <v>1191</v>
      </c>
      <c r="H160" s="227">
        <v>450</v>
      </c>
      <c r="I160" s="34">
        <v>1</v>
      </c>
      <c r="J160" s="227">
        <f t="shared" si="13"/>
        <v>450</v>
      </c>
      <c r="K160" s="226">
        <v>7</v>
      </c>
      <c r="L160" s="228" t="s">
        <v>1192</v>
      </c>
    </row>
    <row r="161" spans="2:12">
      <c r="B161" t="s">
        <v>597</v>
      </c>
      <c r="C161" t="s">
        <v>1023</v>
      </c>
      <c r="D161" t="s">
        <v>1331</v>
      </c>
      <c r="E161" s="226" t="s">
        <v>1201</v>
      </c>
      <c r="F161" s="229" t="s">
        <v>1398</v>
      </c>
      <c r="G161" t="s">
        <v>1191</v>
      </c>
      <c r="H161" s="227">
        <v>450</v>
      </c>
      <c r="I161" s="34">
        <v>1</v>
      </c>
      <c r="J161" s="227">
        <f t="shared" si="13"/>
        <v>450</v>
      </c>
      <c r="K161" s="226">
        <v>7</v>
      </c>
      <c r="L161" s="228" t="s">
        <v>1192</v>
      </c>
    </row>
    <row r="162" spans="2:12">
      <c r="B162" t="s">
        <v>597</v>
      </c>
      <c r="C162" t="s">
        <v>1023</v>
      </c>
      <c r="D162" t="s">
        <v>1331</v>
      </c>
      <c r="E162" s="226" t="s">
        <v>1201</v>
      </c>
      <c r="F162" s="229" t="s">
        <v>1399</v>
      </c>
      <c r="G162" t="s">
        <v>1191</v>
      </c>
      <c r="H162" s="227">
        <v>450</v>
      </c>
      <c r="I162" s="34">
        <v>1</v>
      </c>
      <c r="J162" s="227">
        <f t="shared" si="13"/>
        <v>450</v>
      </c>
      <c r="K162" s="226">
        <v>7</v>
      </c>
      <c r="L162" s="228" t="s">
        <v>1192</v>
      </c>
    </row>
    <row r="163" spans="2:12">
      <c r="B163" t="s">
        <v>597</v>
      </c>
      <c r="C163" t="s">
        <v>1023</v>
      </c>
      <c r="D163" t="s">
        <v>1331</v>
      </c>
      <c r="E163" s="226" t="s">
        <v>1201</v>
      </c>
      <c r="F163" s="229" t="s">
        <v>1400</v>
      </c>
      <c r="G163" t="s">
        <v>1191</v>
      </c>
      <c r="H163" s="227">
        <v>450</v>
      </c>
      <c r="I163" s="34">
        <v>1</v>
      </c>
      <c r="J163" s="227">
        <f t="shared" si="13"/>
        <v>450</v>
      </c>
      <c r="K163" s="226">
        <v>7</v>
      </c>
      <c r="L163" s="228" t="s">
        <v>1192</v>
      </c>
    </row>
    <row r="164" spans="2:12">
      <c r="B164" t="s">
        <v>597</v>
      </c>
      <c r="C164" t="s">
        <v>1023</v>
      </c>
      <c r="D164" t="s">
        <v>1331</v>
      </c>
      <c r="E164" s="226" t="s">
        <v>1201</v>
      </c>
      <c r="F164" s="229" t="s">
        <v>1401</v>
      </c>
      <c r="G164" t="s">
        <v>1191</v>
      </c>
      <c r="H164" s="227">
        <v>450</v>
      </c>
      <c r="I164" s="34">
        <v>1</v>
      </c>
      <c r="J164" s="227">
        <f t="shared" si="13"/>
        <v>450</v>
      </c>
      <c r="K164" s="226">
        <v>7</v>
      </c>
      <c r="L164" s="228" t="s">
        <v>1192</v>
      </c>
    </row>
    <row r="165" spans="2:12">
      <c r="B165" t="s">
        <v>597</v>
      </c>
      <c r="C165" t="s">
        <v>1023</v>
      </c>
      <c r="D165" t="s">
        <v>1331</v>
      </c>
      <c r="E165" s="226" t="s">
        <v>1201</v>
      </c>
      <c r="F165" s="229" t="s">
        <v>1402</v>
      </c>
      <c r="G165" t="s">
        <v>1191</v>
      </c>
      <c r="H165" s="227">
        <v>450</v>
      </c>
      <c r="I165" s="34">
        <v>1</v>
      </c>
      <c r="J165" s="227">
        <f t="shared" si="13"/>
        <v>450</v>
      </c>
      <c r="K165" s="226">
        <v>8</v>
      </c>
      <c r="L165" s="228" t="s">
        <v>1192</v>
      </c>
    </row>
    <row r="166" spans="2:12">
      <c r="B166" t="s">
        <v>597</v>
      </c>
      <c r="C166" t="s">
        <v>1023</v>
      </c>
      <c r="D166" t="s">
        <v>1331</v>
      </c>
      <c r="E166" s="226" t="s">
        <v>1201</v>
      </c>
      <c r="F166" s="229" t="s">
        <v>1403</v>
      </c>
      <c r="G166" t="s">
        <v>1191</v>
      </c>
      <c r="H166" s="227">
        <v>450</v>
      </c>
      <c r="I166" s="34">
        <v>1</v>
      </c>
      <c r="J166" s="227">
        <f t="shared" si="13"/>
        <v>450</v>
      </c>
      <c r="K166" s="226">
        <v>8</v>
      </c>
      <c r="L166" s="228" t="s">
        <v>1192</v>
      </c>
    </row>
    <row r="167" spans="2:12">
      <c r="B167" t="s">
        <v>597</v>
      </c>
      <c r="C167" t="s">
        <v>1023</v>
      </c>
      <c r="D167" t="s">
        <v>1331</v>
      </c>
      <c r="E167" s="226" t="s">
        <v>1201</v>
      </c>
      <c r="F167" s="229" t="s">
        <v>1404</v>
      </c>
      <c r="G167" t="s">
        <v>1191</v>
      </c>
      <c r="H167" s="227">
        <v>450</v>
      </c>
      <c r="I167" s="34">
        <v>1</v>
      </c>
      <c r="J167" s="227">
        <f t="shared" si="13"/>
        <v>450</v>
      </c>
      <c r="K167" s="226">
        <v>8</v>
      </c>
      <c r="L167" s="228" t="s">
        <v>1192</v>
      </c>
    </row>
    <row r="168" spans="2:12">
      <c r="B168" t="s">
        <v>597</v>
      </c>
      <c r="C168" t="s">
        <v>1023</v>
      </c>
      <c r="D168" t="s">
        <v>1331</v>
      </c>
      <c r="E168" s="226" t="s">
        <v>1201</v>
      </c>
      <c r="F168" s="229" t="s">
        <v>1405</v>
      </c>
      <c r="G168" t="s">
        <v>1191</v>
      </c>
      <c r="H168" s="227">
        <v>450</v>
      </c>
      <c r="I168" s="34">
        <v>1</v>
      </c>
      <c r="J168" s="227">
        <f t="shared" ref="J168:J234" si="14">I168*H168</f>
        <v>450</v>
      </c>
      <c r="K168" s="226">
        <v>8</v>
      </c>
      <c r="L168" s="228" t="s">
        <v>1192</v>
      </c>
    </row>
    <row r="169" spans="2:12">
      <c r="B169" t="s">
        <v>597</v>
      </c>
      <c r="C169" t="s">
        <v>1023</v>
      </c>
      <c r="D169" t="s">
        <v>1331</v>
      </c>
      <c r="E169" s="226" t="s">
        <v>1201</v>
      </c>
      <c r="F169" s="229" t="s">
        <v>1406</v>
      </c>
      <c r="G169" t="s">
        <v>1191</v>
      </c>
      <c r="H169" s="227">
        <v>450</v>
      </c>
      <c r="I169" s="34">
        <v>1</v>
      </c>
      <c r="J169" s="227">
        <f t="shared" si="14"/>
        <v>450</v>
      </c>
      <c r="K169" s="226">
        <v>8</v>
      </c>
      <c r="L169" s="228" t="s">
        <v>1192</v>
      </c>
    </row>
    <row r="170" spans="2:12">
      <c r="B170" t="s">
        <v>597</v>
      </c>
      <c r="C170" t="s">
        <v>1023</v>
      </c>
      <c r="D170" t="s">
        <v>1331</v>
      </c>
      <c r="E170" s="226" t="s">
        <v>1201</v>
      </c>
      <c r="F170" s="229" t="s">
        <v>1407</v>
      </c>
      <c r="G170" t="s">
        <v>1191</v>
      </c>
      <c r="H170" s="227">
        <v>450</v>
      </c>
      <c r="I170" s="34">
        <v>1</v>
      </c>
      <c r="J170" s="227">
        <f t="shared" si="14"/>
        <v>450</v>
      </c>
      <c r="K170" s="226">
        <v>8</v>
      </c>
      <c r="L170" s="228" t="s">
        <v>1192</v>
      </c>
    </row>
    <row r="171" spans="2:12">
      <c r="B171" t="s">
        <v>597</v>
      </c>
      <c r="C171" t="s">
        <v>1023</v>
      </c>
      <c r="D171" t="s">
        <v>1331</v>
      </c>
      <c r="E171" s="226" t="s">
        <v>1201</v>
      </c>
      <c r="F171" s="229" t="s">
        <v>1408</v>
      </c>
      <c r="G171" t="s">
        <v>1191</v>
      </c>
      <c r="H171" s="227">
        <v>450</v>
      </c>
      <c r="I171" s="34">
        <v>1</v>
      </c>
      <c r="J171" s="227">
        <f t="shared" si="14"/>
        <v>450</v>
      </c>
      <c r="K171" s="226">
        <v>8</v>
      </c>
      <c r="L171" s="228" t="s">
        <v>1192</v>
      </c>
    </row>
    <row r="172" spans="2:12">
      <c r="B172" t="s">
        <v>597</v>
      </c>
      <c r="C172" t="s">
        <v>1023</v>
      </c>
      <c r="D172" t="s">
        <v>1331</v>
      </c>
      <c r="E172" s="226" t="s">
        <v>1201</v>
      </c>
      <c r="F172" s="229" t="s">
        <v>1409</v>
      </c>
      <c r="G172" t="s">
        <v>1191</v>
      </c>
      <c r="H172" s="227">
        <v>450</v>
      </c>
      <c r="I172" s="34">
        <v>1</v>
      </c>
      <c r="J172" s="227">
        <f t="shared" si="14"/>
        <v>450</v>
      </c>
      <c r="K172" s="226">
        <v>8</v>
      </c>
      <c r="L172" s="228" t="s">
        <v>1192</v>
      </c>
    </row>
    <row r="173" spans="2:12">
      <c r="B173" t="s">
        <v>597</v>
      </c>
      <c r="C173" t="s">
        <v>1023</v>
      </c>
      <c r="D173" t="s">
        <v>1331</v>
      </c>
      <c r="E173" s="226" t="s">
        <v>1201</v>
      </c>
      <c r="F173" s="229" t="s">
        <v>1410</v>
      </c>
      <c r="G173" t="s">
        <v>1191</v>
      </c>
      <c r="H173" s="227">
        <v>450</v>
      </c>
      <c r="I173" s="34">
        <v>1</v>
      </c>
      <c r="J173" s="227">
        <f t="shared" si="14"/>
        <v>450</v>
      </c>
      <c r="K173" s="226">
        <v>8</v>
      </c>
      <c r="L173" s="228" t="s">
        <v>1192</v>
      </c>
    </row>
    <row r="174" spans="2:12">
      <c r="B174" t="s">
        <v>597</v>
      </c>
      <c r="C174" t="s">
        <v>1023</v>
      </c>
      <c r="D174" t="s">
        <v>1331</v>
      </c>
      <c r="E174" s="226" t="s">
        <v>1201</v>
      </c>
      <c r="F174" s="229" t="s">
        <v>1411</v>
      </c>
      <c r="G174" t="s">
        <v>1191</v>
      </c>
      <c r="H174" s="227">
        <v>450</v>
      </c>
      <c r="I174" s="34">
        <v>1</v>
      </c>
      <c r="J174" s="227">
        <f t="shared" si="14"/>
        <v>450</v>
      </c>
      <c r="K174" s="226">
        <v>8</v>
      </c>
      <c r="L174" s="228" t="s">
        <v>1192</v>
      </c>
    </row>
    <row r="175" spans="2:12">
      <c r="B175" t="s">
        <v>597</v>
      </c>
      <c r="C175" t="s">
        <v>1023</v>
      </c>
      <c r="D175" t="s">
        <v>1331</v>
      </c>
      <c r="E175" s="226" t="s">
        <v>1201</v>
      </c>
      <c r="F175" s="229" t="s">
        <v>1412</v>
      </c>
      <c r="G175" t="s">
        <v>1191</v>
      </c>
      <c r="H175" s="227">
        <v>450</v>
      </c>
      <c r="I175" s="34">
        <v>1</v>
      </c>
      <c r="J175" s="227">
        <f t="shared" si="14"/>
        <v>450</v>
      </c>
      <c r="K175" s="226">
        <v>9</v>
      </c>
      <c r="L175" s="228" t="s">
        <v>1192</v>
      </c>
    </row>
    <row r="176" spans="2:12">
      <c r="B176" t="s">
        <v>597</v>
      </c>
      <c r="C176" t="s">
        <v>1023</v>
      </c>
      <c r="D176" t="s">
        <v>1331</v>
      </c>
      <c r="E176" s="226" t="s">
        <v>1201</v>
      </c>
      <c r="F176" s="229" t="s">
        <v>1413</v>
      </c>
      <c r="G176" t="s">
        <v>1191</v>
      </c>
      <c r="H176" s="227">
        <v>450</v>
      </c>
      <c r="I176" s="34">
        <v>1</v>
      </c>
      <c r="J176" s="227">
        <f t="shared" si="14"/>
        <v>450</v>
      </c>
      <c r="K176" s="226">
        <v>9</v>
      </c>
      <c r="L176" s="228" t="s">
        <v>1192</v>
      </c>
    </row>
    <row r="177" spans="2:12">
      <c r="B177" t="s">
        <v>597</v>
      </c>
      <c r="C177" t="s">
        <v>1023</v>
      </c>
      <c r="D177" t="s">
        <v>1331</v>
      </c>
      <c r="E177" s="226" t="s">
        <v>1201</v>
      </c>
      <c r="F177" s="229" t="s">
        <v>1414</v>
      </c>
      <c r="G177" t="s">
        <v>1191</v>
      </c>
      <c r="H177" s="227">
        <v>450</v>
      </c>
      <c r="I177" s="34">
        <v>1</v>
      </c>
      <c r="J177" s="227">
        <f t="shared" si="14"/>
        <v>450</v>
      </c>
      <c r="K177" s="226">
        <v>9</v>
      </c>
      <c r="L177" s="228" t="s">
        <v>1192</v>
      </c>
    </row>
    <row r="178" spans="2:12">
      <c r="B178" t="s">
        <v>597</v>
      </c>
      <c r="C178" t="s">
        <v>1023</v>
      </c>
      <c r="D178" t="s">
        <v>1331</v>
      </c>
      <c r="E178" s="226" t="s">
        <v>1201</v>
      </c>
      <c r="F178" s="229" t="s">
        <v>1415</v>
      </c>
      <c r="G178" t="s">
        <v>1191</v>
      </c>
      <c r="H178" s="227">
        <v>450</v>
      </c>
      <c r="I178" s="34">
        <v>1</v>
      </c>
      <c r="J178" s="227">
        <f t="shared" si="14"/>
        <v>450</v>
      </c>
      <c r="K178" s="226">
        <v>9</v>
      </c>
      <c r="L178" s="228" t="s">
        <v>1192</v>
      </c>
    </row>
    <row r="179" spans="2:12">
      <c r="B179" t="s">
        <v>597</v>
      </c>
      <c r="C179" t="s">
        <v>1023</v>
      </c>
      <c r="D179" t="s">
        <v>1331</v>
      </c>
      <c r="E179" s="226" t="s">
        <v>1201</v>
      </c>
      <c r="F179" s="229" t="s">
        <v>1416</v>
      </c>
      <c r="G179" t="s">
        <v>1191</v>
      </c>
      <c r="H179" s="227">
        <v>450</v>
      </c>
      <c r="I179" s="34">
        <v>1</v>
      </c>
      <c r="J179" s="227">
        <f t="shared" si="14"/>
        <v>450</v>
      </c>
      <c r="K179" s="226">
        <v>9</v>
      </c>
      <c r="L179" s="228" t="s">
        <v>1192</v>
      </c>
    </row>
    <row r="180" spans="2:12">
      <c r="B180" t="s">
        <v>597</v>
      </c>
      <c r="C180" t="s">
        <v>1023</v>
      </c>
      <c r="D180" t="s">
        <v>1331</v>
      </c>
      <c r="E180" s="226" t="s">
        <v>1201</v>
      </c>
      <c r="F180" s="229" t="s">
        <v>1417</v>
      </c>
      <c r="G180" t="s">
        <v>1191</v>
      </c>
      <c r="H180" s="227">
        <v>450</v>
      </c>
      <c r="I180" s="34">
        <v>1</v>
      </c>
      <c r="J180" s="227">
        <f t="shared" si="14"/>
        <v>450</v>
      </c>
      <c r="K180" s="226">
        <v>9</v>
      </c>
      <c r="L180" s="228" t="s">
        <v>1192</v>
      </c>
    </row>
    <row r="181" spans="2:12">
      <c r="B181" t="s">
        <v>597</v>
      </c>
      <c r="C181" t="s">
        <v>1023</v>
      </c>
      <c r="D181" t="s">
        <v>1331</v>
      </c>
      <c r="E181" s="226" t="s">
        <v>1201</v>
      </c>
      <c r="F181" s="229" t="s">
        <v>1418</v>
      </c>
      <c r="G181" t="s">
        <v>1191</v>
      </c>
      <c r="H181" s="227">
        <v>450</v>
      </c>
      <c r="I181" s="34">
        <v>1</v>
      </c>
      <c r="J181" s="227">
        <f t="shared" si="14"/>
        <v>450</v>
      </c>
      <c r="K181" s="226">
        <v>9</v>
      </c>
      <c r="L181" s="228" t="s">
        <v>1192</v>
      </c>
    </row>
    <row r="182" spans="2:12">
      <c r="B182" t="s">
        <v>597</v>
      </c>
      <c r="C182" t="s">
        <v>1023</v>
      </c>
      <c r="D182" t="s">
        <v>1331</v>
      </c>
      <c r="E182" s="226" t="s">
        <v>1201</v>
      </c>
      <c r="F182" s="229" t="s">
        <v>1419</v>
      </c>
      <c r="G182" t="s">
        <v>1191</v>
      </c>
      <c r="H182" s="227">
        <v>450</v>
      </c>
      <c r="I182" s="34">
        <v>1</v>
      </c>
      <c r="J182" s="227">
        <f t="shared" si="14"/>
        <v>450</v>
      </c>
      <c r="K182" s="226">
        <v>9</v>
      </c>
      <c r="L182" s="228" t="s">
        <v>1192</v>
      </c>
    </row>
    <row r="183" spans="2:12">
      <c r="B183" t="s">
        <v>597</v>
      </c>
      <c r="C183" t="s">
        <v>1023</v>
      </c>
      <c r="D183" t="s">
        <v>1331</v>
      </c>
      <c r="E183" s="226" t="s">
        <v>1201</v>
      </c>
      <c r="F183" s="229" t="s">
        <v>1420</v>
      </c>
      <c r="G183" t="s">
        <v>1191</v>
      </c>
      <c r="H183" s="227">
        <v>450</v>
      </c>
      <c r="I183" s="34">
        <v>1</v>
      </c>
      <c r="J183" s="227">
        <f t="shared" si="14"/>
        <v>450</v>
      </c>
      <c r="K183" s="226">
        <v>9</v>
      </c>
      <c r="L183" s="228" t="s">
        <v>1192</v>
      </c>
    </row>
    <row r="184" spans="2:12">
      <c r="B184" t="s">
        <v>597</v>
      </c>
      <c r="C184" t="s">
        <v>1023</v>
      </c>
      <c r="D184" t="s">
        <v>1331</v>
      </c>
      <c r="E184" s="226" t="s">
        <v>1201</v>
      </c>
      <c r="F184" s="229" t="s">
        <v>1421</v>
      </c>
      <c r="G184" t="s">
        <v>1191</v>
      </c>
      <c r="H184" s="227">
        <v>450</v>
      </c>
      <c r="I184" s="34">
        <v>1</v>
      </c>
      <c r="J184" s="227">
        <f t="shared" si="14"/>
        <v>450</v>
      </c>
      <c r="K184" s="226">
        <v>9</v>
      </c>
      <c r="L184" s="228" t="s">
        <v>1192</v>
      </c>
    </row>
    <row r="185" spans="2:12">
      <c r="B185" t="s">
        <v>597</v>
      </c>
      <c r="C185" t="s">
        <v>1023</v>
      </c>
      <c r="D185" t="s">
        <v>1331</v>
      </c>
      <c r="E185" s="226" t="s">
        <v>1201</v>
      </c>
      <c r="F185" s="229" t="s">
        <v>1422</v>
      </c>
      <c r="G185" t="s">
        <v>1191</v>
      </c>
      <c r="H185" s="227">
        <v>450</v>
      </c>
      <c r="I185" s="34">
        <v>1</v>
      </c>
      <c r="J185" s="227">
        <f t="shared" ref="J185:J204" si="15">I185*H185</f>
        <v>450</v>
      </c>
      <c r="K185" s="226">
        <v>10</v>
      </c>
      <c r="L185" s="228" t="s">
        <v>1192</v>
      </c>
    </row>
    <row r="186" spans="2:12">
      <c r="B186" t="s">
        <v>597</v>
      </c>
      <c r="C186" t="s">
        <v>1023</v>
      </c>
      <c r="D186" t="s">
        <v>1331</v>
      </c>
      <c r="E186" s="226" t="s">
        <v>1201</v>
      </c>
      <c r="F186" s="229" t="s">
        <v>1423</v>
      </c>
      <c r="G186" t="s">
        <v>1191</v>
      </c>
      <c r="H186" s="227">
        <v>450</v>
      </c>
      <c r="I186" s="34">
        <v>1</v>
      </c>
      <c r="J186" s="227">
        <f t="shared" si="15"/>
        <v>450</v>
      </c>
      <c r="K186" s="226">
        <v>10</v>
      </c>
      <c r="L186" s="228" t="s">
        <v>1192</v>
      </c>
    </row>
    <row r="187" spans="2:12">
      <c r="B187" t="s">
        <v>597</v>
      </c>
      <c r="C187" t="s">
        <v>1023</v>
      </c>
      <c r="D187" t="s">
        <v>1331</v>
      </c>
      <c r="E187" s="226" t="s">
        <v>1201</v>
      </c>
      <c r="F187" s="229" t="s">
        <v>1424</v>
      </c>
      <c r="G187" t="s">
        <v>1191</v>
      </c>
      <c r="H187" s="227">
        <v>450</v>
      </c>
      <c r="I187" s="34">
        <v>1</v>
      </c>
      <c r="J187" s="227">
        <f t="shared" si="15"/>
        <v>450</v>
      </c>
      <c r="K187" s="226">
        <v>10</v>
      </c>
      <c r="L187" s="228" t="s">
        <v>1192</v>
      </c>
    </row>
    <row r="188" spans="2:12">
      <c r="B188" t="s">
        <v>597</v>
      </c>
      <c r="C188" t="s">
        <v>1023</v>
      </c>
      <c r="D188" t="s">
        <v>1331</v>
      </c>
      <c r="E188" s="226" t="s">
        <v>1201</v>
      </c>
      <c r="F188" s="229" t="s">
        <v>1425</v>
      </c>
      <c r="G188" t="s">
        <v>1191</v>
      </c>
      <c r="H188" s="227">
        <v>450</v>
      </c>
      <c r="I188" s="34">
        <v>1</v>
      </c>
      <c r="J188" s="227">
        <f t="shared" si="15"/>
        <v>450</v>
      </c>
      <c r="K188" s="226">
        <v>10</v>
      </c>
      <c r="L188" s="228" t="s">
        <v>1192</v>
      </c>
    </row>
    <row r="189" spans="2:12">
      <c r="B189" t="s">
        <v>597</v>
      </c>
      <c r="C189" t="s">
        <v>1023</v>
      </c>
      <c r="D189" t="s">
        <v>1331</v>
      </c>
      <c r="E189" s="226" t="s">
        <v>1201</v>
      </c>
      <c r="F189" s="229" t="s">
        <v>1426</v>
      </c>
      <c r="G189" t="s">
        <v>1191</v>
      </c>
      <c r="H189" s="227">
        <v>450</v>
      </c>
      <c r="I189" s="34">
        <v>1</v>
      </c>
      <c r="J189" s="227">
        <f t="shared" si="15"/>
        <v>450</v>
      </c>
      <c r="K189" s="226">
        <v>10</v>
      </c>
      <c r="L189" s="228" t="s">
        <v>1192</v>
      </c>
    </row>
    <row r="190" spans="2:12">
      <c r="B190" t="s">
        <v>597</v>
      </c>
      <c r="C190" t="s">
        <v>1023</v>
      </c>
      <c r="D190" t="s">
        <v>1331</v>
      </c>
      <c r="E190" s="226" t="s">
        <v>1201</v>
      </c>
      <c r="F190" s="229" t="s">
        <v>1427</v>
      </c>
      <c r="G190" t="s">
        <v>1191</v>
      </c>
      <c r="H190" s="227">
        <v>450</v>
      </c>
      <c r="I190" s="34">
        <v>1</v>
      </c>
      <c r="J190" s="227">
        <f t="shared" si="15"/>
        <v>450</v>
      </c>
      <c r="K190" s="226">
        <v>10</v>
      </c>
      <c r="L190" s="228" t="s">
        <v>1192</v>
      </c>
    </row>
    <row r="191" spans="2:12">
      <c r="B191" t="s">
        <v>597</v>
      </c>
      <c r="C191" t="s">
        <v>1023</v>
      </c>
      <c r="D191" t="s">
        <v>1331</v>
      </c>
      <c r="E191" s="226" t="s">
        <v>1201</v>
      </c>
      <c r="F191" s="229" t="s">
        <v>1428</v>
      </c>
      <c r="G191" t="s">
        <v>1191</v>
      </c>
      <c r="H191" s="227">
        <v>450</v>
      </c>
      <c r="I191" s="34">
        <v>1</v>
      </c>
      <c r="J191" s="227">
        <f t="shared" si="15"/>
        <v>450</v>
      </c>
      <c r="K191" s="226">
        <v>10</v>
      </c>
      <c r="L191" s="228" t="s">
        <v>1192</v>
      </c>
    </row>
    <row r="192" spans="2:12">
      <c r="B192" t="s">
        <v>597</v>
      </c>
      <c r="C192" t="s">
        <v>1023</v>
      </c>
      <c r="D192" t="s">
        <v>1331</v>
      </c>
      <c r="E192" s="226" t="s">
        <v>1201</v>
      </c>
      <c r="F192" s="229" t="s">
        <v>1429</v>
      </c>
      <c r="G192" t="s">
        <v>1191</v>
      </c>
      <c r="H192" s="227">
        <v>450</v>
      </c>
      <c r="I192" s="34">
        <v>1</v>
      </c>
      <c r="J192" s="227">
        <f t="shared" si="15"/>
        <v>450</v>
      </c>
      <c r="K192" s="226">
        <v>10</v>
      </c>
      <c r="L192" s="228" t="s">
        <v>1192</v>
      </c>
    </row>
    <row r="193" spans="2:12">
      <c r="B193" t="s">
        <v>597</v>
      </c>
      <c r="C193" t="s">
        <v>1023</v>
      </c>
      <c r="D193" t="s">
        <v>1331</v>
      </c>
      <c r="E193" s="226" t="s">
        <v>1201</v>
      </c>
      <c r="F193" s="229" t="s">
        <v>1430</v>
      </c>
      <c r="G193" t="s">
        <v>1191</v>
      </c>
      <c r="H193" s="227">
        <v>450</v>
      </c>
      <c r="I193" s="34">
        <v>1</v>
      </c>
      <c r="J193" s="227">
        <f t="shared" si="15"/>
        <v>450</v>
      </c>
      <c r="K193" s="226">
        <v>10</v>
      </c>
      <c r="L193" s="228" t="s">
        <v>1192</v>
      </c>
    </row>
    <row r="194" spans="2:12">
      <c r="B194" t="s">
        <v>597</v>
      </c>
      <c r="C194" t="s">
        <v>1023</v>
      </c>
      <c r="D194" t="s">
        <v>1331</v>
      </c>
      <c r="E194" s="226" t="s">
        <v>1201</v>
      </c>
      <c r="F194" s="229" t="s">
        <v>1431</v>
      </c>
      <c r="G194" t="s">
        <v>1191</v>
      </c>
      <c r="H194" s="227">
        <v>450</v>
      </c>
      <c r="I194" s="34">
        <v>1</v>
      </c>
      <c r="J194" s="227">
        <f t="shared" si="15"/>
        <v>450</v>
      </c>
      <c r="K194" s="226">
        <v>10</v>
      </c>
      <c r="L194" s="228" t="s">
        <v>1192</v>
      </c>
    </row>
    <row r="195" spans="2:12">
      <c r="B195" t="s">
        <v>597</v>
      </c>
      <c r="C195" t="s">
        <v>1023</v>
      </c>
      <c r="D195" t="s">
        <v>1331</v>
      </c>
      <c r="E195" s="226" t="s">
        <v>1201</v>
      </c>
      <c r="F195" s="229" t="s">
        <v>1432</v>
      </c>
      <c r="G195" t="s">
        <v>1191</v>
      </c>
      <c r="H195" s="227">
        <v>450</v>
      </c>
      <c r="I195" s="34">
        <v>1</v>
      </c>
      <c r="J195" s="227">
        <f t="shared" si="15"/>
        <v>450</v>
      </c>
      <c r="K195" s="226">
        <v>11</v>
      </c>
      <c r="L195" s="228" t="s">
        <v>1192</v>
      </c>
    </row>
    <row r="196" spans="2:12">
      <c r="B196" t="s">
        <v>597</v>
      </c>
      <c r="C196" t="s">
        <v>1023</v>
      </c>
      <c r="D196" t="s">
        <v>1331</v>
      </c>
      <c r="E196" s="226" t="s">
        <v>1201</v>
      </c>
      <c r="F196" s="229" t="s">
        <v>1433</v>
      </c>
      <c r="G196" t="s">
        <v>1191</v>
      </c>
      <c r="H196" s="227">
        <v>450</v>
      </c>
      <c r="I196" s="34">
        <v>1</v>
      </c>
      <c r="J196" s="227">
        <f t="shared" si="15"/>
        <v>450</v>
      </c>
      <c r="K196" s="226">
        <v>11</v>
      </c>
      <c r="L196" s="228" t="s">
        <v>1192</v>
      </c>
    </row>
    <row r="197" spans="2:12">
      <c r="B197" t="s">
        <v>597</v>
      </c>
      <c r="C197" t="s">
        <v>1023</v>
      </c>
      <c r="D197" t="s">
        <v>1331</v>
      </c>
      <c r="E197" s="226" t="s">
        <v>1201</v>
      </c>
      <c r="F197" s="229" t="s">
        <v>1434</v>
      </c>
      <c r="G197" t="s">
        <v>1191</v>
      </c>
      <c r="H197" s="227">
        <v>450</v>
      </c>
      <c r="I197" s="34">
        <v>1</v>
      </c>
      <c r="J197" s="227">
        <f t="shared" si="15"/>
        <v>450</v>
      </c>
      <c r="K197" s="226">
        <v>11</v>
      </c>
      <c r="L197" s="228" t="s">
        <v>1192</v>
      </c>
    </row>
    <row r="198" spans="2:12">
      <c r="B198" t="s">
        <v>597</v>
      </c>
      <c r="C198" t="s">
        <v>1023</v>
      </c>
      <c r="D198" t="s">
        <v>1331</v>
      </c>
      <c r="E198" s="226" t="s">
        <v>1201</v>
      </c>
      <c r="F198" s="229" t="s">
        <v>1435</v>
      </c>
      <c r="G198" t="s">
        <v>1191</v>
      </c>
      <c r="H198" s="227">
        <v>450</v>
      </c>
      <c r="I198" s="34">
        <v>1</v>
      </c>
      <c r="J198" s="227">
        <f t="shared" si="15"/>
        <v>450</v>
      </c>
      <c r="K198" s="226">
        <v>11</v>
      </c>
      <c r="L198" s="228" t="s">
        <v>1192</v>
      </c>
    </row>
    <row r="199" spans="2:12">
      <c r="B199" t="s">
        <v>597</v>
      </c>
      <c r="C199" t="s">
        <v>1023</v>
      </c>
      <c r="D199" t="s">
        <v>1331</v>
      </c>
      <c r="E199" s="226" t="s">
        <v>1201</v>
      </c>
      <c r="F199" s="229" t="s">
        <v>1436</v>
      </c>
      <c r="G199" t="s">
        <v>1191</v>
      </c>
      <c r="H199" s="227">
        <v>450</v>
      </c>
      <c r="I199" s="34">
        <v>1</v>
      </c>
      <c r="J199" s="227">
        <f t="shared" si="15"/>
        <v>450</v>
      </c>
      <c r="K199" s="226">
        <v>11</v>
      </c>
      <c r="L199" s="228" t="s">
        <v>1192</v>
      </c>
    </row>
    <row r="200" spans="2:12">
      <c r="B200" t="s">
        <v>597</v>
      </c>
      <c r="C200" t="s">
        <v>1023</v>
      </c>
      <c r="D200" t="s">
        <v>1331</v>
      </c>
      <c r="E200" s="226" t="s">
        <v>1201</v>
      </c>
      <c r="F200" s="229" t="s">
        <v>1437</v>
      </c>
      <c r="G200" t="s">
        <v>1191</v>
      </c>
      <c r="H200" s="227">
        <v>450</v>
      </c>
      <c r="I200" s="34">
        <v>1</v>
      </c>
      <c r="J200" s="227">
        <f t="shared" si="15"/>
        <v>450</v>
      </c>
      <c r="K200" s="226">
        <v>11</v>
      </c>
      <c r="L200" s="228" t="s">
        <v>1192</v>
      </c>
    </row>
    <row r="201" spans="2:12">
      <c r="B201" t="s">
        <v>597</v>
      </c>
      <c r="C201" t="s">
        <v>1023</v>
      </c>
      <c r="D201" t="s">
        <v>1331</v>
      </c>
      <c r="E201" s="226" t="s">
        <v>1201</v>
      </c>
      <c r="F201" s="229" t="s">
        <v>1438</v>
      </c>
      <c r="G201" t="s">
        <v>1191</v>
      </c>
      <c r="H201" s="227">
        <v>450</v>
      </c>
      <c r="I201" s="34">
        <v>1</v>
      </c>
      <c r="J201" s="227">
        <f t="shared" si="15"/>
        <v>450</v>
      </c>
      <c r="K201" s="226">
        <v>11</v>
      </c>
      <c r="L201" s="228" t="s">
        <v>1192</v>
      </c>
    </row>
    <row r="202" spans="2:12">
      <c r="B202" t="s">
        <v>597</v>
      </c>
      <c r="C202" t="s">
        <v>1023</v>
      </c>
      <c r="D202" t="s">
        <v>1331</v>
      </c>
      <c r="E202" s="226" t="s">
        <v>1201</v>
      </c>
      <c r="F202" s="229" t="s">
        <v>1439</v>
      </c>
      <c r="G202" t="s">
        <v>1191</v>
      </c>
      <c r="H202" s="227">
        <v>450</v>
      </c>
      <c r="I202" s="34">
        <v>1</v>
      </c>
      <c r="J202" s="227">
        <f t="shared" si="15"/>
        <v>450</v>
      </c>
      <c r="K202" s="226">
        <v>11</v>
      </c>
      <c r="L202" s="228" t="s">
        <v>1192</v>
      </c>
    </row>
    <row r="203" spans="2:12">
      <c r="B203" t="s">
        <v>597</v>
      </c>
      <c r="C203" t="s">
        <v>1023</v>
      </c>
      <c r="D203" t="s">
        <v>1331</v>
      </c>
      <c r="E203" s="226" t="s">
        <v>1201</v>
      </c>
      <c r="F203" s="229" t="s">
        <v>1440</v>
      </c>
      <c r="G203" t="s">
        <v>1191</v>
      </c>
      <c r="H203" s="227">
        <v>450</v>
      </c>
      <c r="I203" s="34">
        <v>1</v>
      </c>
      <c r="J203" s="227">
        <f t="shared" si="15"/>
        <v>450</v>
      </c>
      <c r="K203" s="226">
        <v>11</v>
      </c>
      <c r="L203" s="228" t="s">
        <v>1192</v>
      </c>
    </row>
    <row r="204" spans="2:12">
      <c r="B204" t="s">
        <v>597</v>
      </c>
      <c r="C204" t="s">
        <v>1023</v>
      </c>
      <c r="D204" t="s">
        <v>1331</v>
      </c>
      <c r="E204" s="226" t="s">
        <v>1201</v>
      </c>
      <c r="F204" s="229" t="s">
        <v>1441</v>
      </c>
      <c r="G204" t="s">
        <v>1191</v>
      </c>
      <c r="H204" s="227">
        <v>450</v>
      </c>
      <c r="I204" s="34">
        <v>1</v>
      </c>
      <c r="J204" s="227">
        <f t="shared" si="15"/>
        <v>450</v>
      </c>
      <c r="K204" s="226">
        <v>11</v>
      </c>
      <c r="L204" s="228" t="s">
        <v>1192</v>
      </c>
    </row>
    <row r="205" spans="2:12">
      <c r="B205" t="s">
        <v>597</v>
      </c>
      <c r="C205" t="s">
        <v>1023</v>
      </c>
      <c r="D205" t="s">
        <v>1331</v>
      </c>
      <c r="E205" s="226" t="s">
        <v>1201</v>
      </c>
      <c r="F205" s="229" t="s">
        <v>1442</v>
      </c>
      <c r="G205" t="s">
        <v>1191</v>
      </c>
      <c r="H205" s="227">
        <v>450</v>
      </c>
      <c r="I205" s="34">
        <v>1</v>
      </c>
      <c r="J205" s="227">
        <f t="shared" si="14"/>
        <v>450</v>
      </c>
      <c r="K205" s="226">
        <v>12</v>
      </c>
      <c r="L205" s="228" t="s">
        <v>1192</v>
      </c>
    </row>
    <row r="206" spans="2:12">
      <c r="B206" t="s">
        <v>597</v>
      </c>
      <c r="C206" t="s">
        <v>1023</v>
      </c>
      <c r="D206" t="s">
        <v>1331</v>
      </c>
      <c r="E206" s="226" t="s">
        <v>1201</v>
      </c>
      <c r="F206" s="229" t="s">
        <v>1443</v>
      </c>
      <c r="G206" t="s">
        <v>1191</v>
      </c>
      <c r="H206" s="227">
        <v>450</v>
      </c>
      <c r="I206" s="34">
        <v>1</v>
      </c>
      <c r="J206" s="227">
        <f t="shared" si="14"/>
        <v>450</v>
      </c>
      <c r="K206" s="226">
        <v>12</v>
      </c>
      <c r="L206" s="228" t="s">
        <v>1192</v>
      </c>
    </row>
    <row r="207" spans="2:12">
      <c r="B207" t="s">
        <v>597</v>
      </c>
      <c r="C207" t="s">
        <v>1023</v>
      </c>
      <c r="D207" t="s">
        <v>1331</v>
      </c>
      <c r="E207" s="226" t="s">
        <v>1201</v>
      </c>
      <c r="F207" s="229" t="s">
        <v>1444</v>
      </c>
      <c r="G207" t="s">
        <v>1191</v>
      </c>
      <c r="H207" s="227">
        <v>450</v>
      </c>
      <c r="I207" s="34">
        <v>1</v>
      </c>
      <c r="J207" s="227">
        <f t="shared" si="14"/>
        <v>450</v>
      </c>
      <c r="K207" s="226">
        <v>12</v>
      </c>
      <c r="L207" s="228" t="s">
        <v>1192</v>
      </c>
    </row>
    <row r="208" spans="2:12">
      <c r="B208" t="s">
        <v>597</v>
      </c>
      <c r="C208" t="s">
        <v>1023</v>
      </c>
      <c r="D208" t="s">
        <v>1331</v>
      </c>
      <c r="E208" s="226" t="s">
        <v>1201</v>
      </c>
      <c r="F208" s="229" t="s">
        <v>1445</v>
      </c>
      <c r="G208" t="s">
        <v>1191</v>
      </c>
      <c r="H208" s="227">
        <v>450</v>
      </c>
      <c r="I208" s="34">
        <v>1</v>
      </c>
      <c r="J208" s="227">
        <f t="shared" si="14"/>
        <v>450</v>
      </c>
      <c r="K208" s="226">
        <v>12</v>
      </c>
      <c r="L208" s="228" t="s">
        <v>1192</v>
      </c>
    </row>
    <row r="209" spans="2:12">
      <c r="B209" t="s">
        <v>597</v>
      </c>
      <c r="C209" t="s">
        <v>1023</v>
      </c>
      <c r="D209" t="s">
        <v>1331</v>
      </c>
      <c r="E209" s="226" t="s">
        <v>1201</v>
      </c>
      <c r="F209" s="229" t="s">
        <v>1446</v>
      </c>
      <c r="G209" t="s">
        <v>1191</v>
      </c>
      <c r="H209" s="227">
        <v>450</v>
      </c>
      <c r="I209" s="34">
        <v>1</v>
      </c>
      <c r="J209" s="227">
        <f t="shared" si="14"/>
        <v>450</v>
      </c>
      <c r="K209" s="226">
        <v>12</v>
      </c>
      <c r="L209" s="228" t="s">
        <v>1192</v>
      </c>
    </row>
    <row r="210" spans="2:12">
      <c r="B210" t="s">
        <v>597</v>
      </c>
      <c r="C210" t="s">
        <v>1023</v>
      </c>
      <c r="D210" t="s">
        <v>1331</v>
      </c>
      <c r="E210" s="226" t="s">
        <v>1201</v>
      </c>
      <c r="F210" s="229" t="s">
        <v>1447</v>
      </c>
      <c r="G210" t="s">
        <v>1191</v>
      </c>
      <c r="H210" s="227">
        <v>450</v>
      </c>
      <c r="I210" s="34">
        <v>1</v>
      </c>
      <c r="J210" s="227">
        <f t="shared" si="14"/>
        <v>450</v>
      </c>
      <c r="K210" s="226">
        <v>12</v>
      </c>
      <c r="L210" s="228" t="s">
        <v>1192</v>
      </c>
    </row>
    <row r="211" spans="2:12">
      <c r="B211" t="s">
        <v>597</v>
      </c>
      <c r="C211" t="s">
        <v>1023</v>
      </c>
      <c r="D211" t="s">
        <v>1331</v>
      </c>
      <c r="E211" s="226" t="s">
        <v>1201</v>
      </c>
      <c r="F211" s="229" t="s">
        <v>1448</v>
      </c>
      <c r="G211" t="s">
        <v>1191</v>
      </c>
      <c r="H211" s="227">
        <v>450</v>
      </c>
      <c r="I211" s="34">
        <v>1</v>
      </c>
      <c r="J211" s="227">
        <f t="shared" si="14"/>
        <v>450</v>
      </c>
      <c r="K211" s="226">
        <v>12</v>
      </c>
      <c r="L211" s="228" t="s">
        <v>1192</v>
      </c>
    </row>
    <row r="212" spans="2:12">
      <c r="B212" t="s">
        <v>597</v>
      </c>
      <c r="C212" t="s">
        <v>1023</v>
      </c>
      <c r="D212" t="s">
        <v>1331</v>
      </c>
      <c r="E212" s="226" t="s">
        <v>1201</v>
      </c>
      <c r="F212" s="229" t="s">
        <v>1449</v>
      </c>
      <c r="G212" t="s">
        <v>1191</v>
      </c>
      <c r="H212" s="227">
        <v>450</v>
      </c>
      <c r="I212" s="34">
        <v>1</v>
      </c>
      <c r="J212" s="227">
        <f t="shared" si="14"/>
        <v>450</v>
      </c>
      <c r="K212" s="226">
        <v>12</v>
      </c>
      <c r="L212" s="228" t="s">
        <v>1192</v>
      </c>
    </row>
    <row r="213" spans="2:12">
      <c r="B213" t="s">
        <v>597</v>
      </c>
      <c r="C213" t="s">
        <v>1023</v>
      </c>
      <c r="D213" t="s">
        <v>1331</v>
      </c>
      <c r="E213" s="226" t="s">
        <v>1201</v>
      </c>
      <c r="F213" s="229" t="s">
        <v>1450</v>
      </c>
      <c r="G213" t="s">
        <v>1191</v>
      </c>
      <c r="H213" s="227">
        <v>450</v>
      </c>
      <c r="I213" s="34">
        <v>1</v>
      </c>
      <c r="J213" s="227">
        <f t="shared" si="14"/>
        <v>450</v>
      </c>
      <c r="K213" s="226">
        <v>12</v>
      </c>
      <c r="L213" s="228" t="s">
        <v>1192</v>
      </c>
    </row>
    <row r="214" spans="2:12">
      <c r="B214" t="s">
        <v>597</v>
      </c>
      <c r="C214" t="s">
        <v>1023</v>
      </c>
      <c r="D214" t="s">
        <v>1331</v>
      </c>
      <c r="E214" s="226" t="s">
        <v>1201</v>
      </c>
      <c r="F214" s="229" t="s">
        <v>1451</v>
      </c>
      <c r="G214" t="s">
        <v>1191</v>
      </c>
      <c r="H214" s="227">
        <v>450</v>
      </c>
      <c r="I214" s="34">
        <v>1</v>
      </c>
      <c r="J214" s="227">
        <f t="shared" si="14"/>
        <v>450</v>
      </c>
      <c r="K214" s="226">
        <v>12</v>
      </c>
      <c r="L214" s="228" t="s">
        <v>1192</v>
      </c>
    </row>
    <row r="215" spans="2:12">
      <c r="B215" t="s">
        <v>597</v>
      </c>
      <c r="C215" t="s">
        <v>1023</v>
      </c>
      <c r="D215" t="s">
        <v>1331</v>
      </c>
      <c r="E215" s="226" t="s">
        <v>1201</v>
      </c>
      <c r="F215" s="229" t="s">
        <v>1452</v>
      </c>
      <c r="G215" t="s">
        <v>1191</v>
      </c>
      <c r="H215" s="227">
        <v>450</v>
      </c>
      <c r="I215" s="34">
        <v>1</v>
      </c>
      <c r="J215" s="227">
        <f t="shared" ref="J215:J224" si="16">I215*H215</f>
        <v>450</v>
      </c>
      <c r="K215" s="226">
        <v>13</v>
      </c>
      <c r="L215" s="228" t="s">
        <v>1192</v>
      </c>
    </row>
    <row r="216" spans="2:12">
      <c r="B216" t="s">
        <v>597</v>
      </c>
      <c r="C216" t="s">
        <v>1023</v>
      </c>
      <c r="D216" t="s">
        <v>1331</v>
      </c>
      <c r="E216" s="226" t="s">
        <v>1201</v>
      </c>
      <c r="F216" s="229" t="s">
        <v>1453</v>
      </c>
      <c r="G216" t="s">
        <v>1191</v>
      </c>
      <c r="H216" s="227">
        <v>450</v>
      </c>
      <c r="I216" s="34">
        <v>1</v>
      </c>
      <c r="J216" s="227">
        <f t="shared" si="16"/>
        <v>450</v>
      </c>
      <c r="K216" s="226">
        <v>13</v>
      </c>
      <c r="L216" s="228" t="s">
        <v>1192</v>
      </c>
    </row>
    <row r="217" spans="2:12">
      <c r="B217" t="s">
        <v>597</v>
      </c>
      <c r="C217" t="s">
        <v>1023</v>
      </c>
      <c r="D217" t="s">
        <v>1331</v>
      </c>
      <c r="E217" s="226" t="s">
        <v>1201</v>
      </c>
      <c r="F217" s="229" t="s">
        <v>1454</v>
      </c>
      <c r="G217" t="s">
        <v>1191</v>
      </c>
      <c r="H217" s="227">
        <v>450</v>
      </c>
      <c r="I217" s="34">
        <v>1</v>
      </c>
      <c r="J217" s="227">
        <f t="shared" si="16"/>
        <v>450</v>
      </c>
      <c r="K217" s="226">
        <v>13</v>
      </c>
      <c r="L217" s="228" t="s">
        <v>1192</v>
      </c>
    </row>
    <row r="218" spans="2:12">
      <c r="B218" t="s">
        <v>597</v>
      </c>
      <c r="C218" t="s">
        <v>1023</v>
      </c>
      <c r="D218" t="s">
        <v>1331</v>
      </c>
      <c r="E218" s="226" t="s">
        <v>1201</v>
      </c>
      <c r="F218" s="229" t="s">
        <v>1455</v>
      </c>
      <c r="G218" t="s">
        <v>1191</v>
      </c>
      <c r="H218" s="227">
        <v>450</v>
      </c>
      <c r="I218" s="34">
        <v>1</v>
      </c>
      <c r="J218" s="227">
        <f t="shared" si="16"/>
        <v>450</v>
      </c>
      <c r="K218" s="226">
        <v>13</v>
      </c>
      <c r="L218" s="228" t="s">
        <v>1192</v>
      </c>
    </row>
    <row r="219" spans="2:12">
      <c r="B219" t="s">
        <v>597</v>
      </c>
      <c r="C219" t="s">
        <v>1023</v>
      </c>
      <c r="D219" t="s">
        <v>1331</v>
      </c>
      <c r="E219" s="226" t="s">
        <v>1201</v>
      </c>
      <c r="F219" s="229" t="s">
        <v>1456</v>
      </c>
      <c r="G219" t="s">
        <v>1191</v>
      </c>
      <c r="H219" s="227">
        <v>450</v>
      </c>
      <c r="I219" s="34">
        <v>1</v>
      </c>
      <c r="J219" s="227">
        <f t="shared" si="16"/>
        <v>450</v>
      </c>
      <c r="K219" s="226">
        <v>13</v>
      </c>
      <c r="L219" s="228" t="s">
        <v>1192</v>
      </c>
    </row>
    <row r="220" spans="2:12">
      <c r="B220" t="s">
        <v>597</v>
      </c>
      <c r="C220" t="s">
        <v>1023</v>
      </c>
      <c r="D220" t="s">
        <v>1331</v>
      </c>
      <c r="E220" s="226" t="s">
        <v>1201</v>
      </c>
      <c r="F220" s="229" t="s">
        <v>1457</v>
      </c>
      <c r="G220" t="s">
        <v>1191</v>
      </c>
      <c r="H220" s="227">
        <v>450</v>
      </c>
      <c r="I220" s="34">
        <v>1</v>
      </c>
      <c r="J220" s="227">
        <f t="shared" si="16"/>
        <v>450</v>
      </c>
      <c r="K220" s="226">
        <v>13</v>
      </c>
      <c r="L220" s="228" t="s">
        <v>1192</v>
      </c>
    </row>
    <row r="221" spans="2:12">
      <c r="B221" t="s">
        <v>597</v>
      </c>
      <c r="C221" t="s">
        <v>1023</v>
      </c>
      <c r="D221" t="s">
        <v>1331</v>
      </c>
      <c r="E221" s="226" t="s">
        <v>1201</v>
      </c>
      <c r="F221" s="229" t="s">
        <v>1458</v>
      </c>
      <c r="G221" t="s">
        <v>1191</v>
      </c>
      <c r="H221" s="227">
        <v>450</v>
      </c>
      <c r="I221" s="34">
        <v>1</v>
      </c>
      <c r="J221" s="227">
        <f t="shared" si="16"/>
        <v>450</v>
      </c>
      <c r="K221" s="226">
        <v>13</v>
      </c>
      <c r="L221" s="228" t="s">
        <v>1192</v>
      </c>
    </row>
    <row r="222" spans="2:12">
      <c r="B222" t="s">
        <v>597</v>
      </c>
      <c r="C222" t="s">
        <v>1023</v>
      </c>
      <c r="D222" t="s">
        <v>1331</v>
      </c>
      <c r="E222" s="226" t="s">
        <v>1201</v>
      </c>
      <c r="F222" s="229" t="s">
        <v>1459</v>
      </c>
      <c r="G222" t="s">
        <v>1191</v>
      </c>
      <c r="H222" s="227">
        <v>450</v>
      </c>
      <c r="I222" s="34">
        <v>1</v>
      </c>
      <c r="J222" s="227">
        <f t="shared" si="16"/>
        <v>450</v>
      </c>
      <c r="K222" s="226">
        <v>13</v>
      </c>
      <c r="L222" s="228" t="s">
        <v>1192</v>
      </c>
    </row>
    <row r="223" spans="2:12">
      <c r="B223" t="s">
        <v>597</v>
      </c>
      <c r="C223" t="s">
        <v>1023</v>
      </c>
      <c r="D223" t="s">
        <v>1331</v>
      </c>
      <c r="E223" s="226" t="s">
        <v>1201</v>
      </c>
      <c r="F223" s="229" t="s">
        <v>1460</v>
      </c>
      <c r="G223" t="s">
        <v>1191</v>
      </c>
      <c r="H223" s="227">
        <v>450</v>
      </c>
      <c r="I223" s="34">
        <v>1</v>
      </c>
      <c r="J223" s="227">
        <f t="shared" si="16"/>
        <v>450</v>
      </c>
      <c r="K223" s="226">
        <v>13</v>
      </c>
      <c r="L223" s="228" t="s">
        <v>1192</v>
      </c>
    </row>
    <row r="224" spans="2:12">
      <c r="B224" t="s">
        <v>597</v>
      </c>
      <c r="C224" t="s">
        <v>1023</v>
      </c>
      <c r="D224" t="s">
        <v>1331</v>
      </c>
      <c r="E224" s="226" t="s">
        <v>1201</v>
      </c>
      <c r="F224" s="229" t="s">
        <v>1461</v>
      </c>
      <c r="G224" t="s">
        <v>1191</v>
      </c>
      <c r="H224" s="227">
        <v>450</v>
      </c>
      <c r="I224" s="34">
        <v>1</v>
      </c>
      <c r="J224" s="227">
        <f t="shared" si="16"/>
        <v>450</v>
      </c>
      <c r="K224" s="226">
        <v>13</v>
      </c>
      <c r="L224" s="228" t="s">
        <v>1192</v>
      </c>
    </row>
    <row r="225" spans="2:12">
      <c r="B225" t="s">
        <v>597</v>
      </c>
      <c r="C225" t="s">
        <v>1023</v>
      </c>
      <c r="D225" t="s">
        <v>1331</v>
      </c>
      <c r="E225" s="226" t="s">
        <v>1201</v>
      </c>
      <c r="F225" s="229" t="s">
        <v>1462</v>
      </c>
      <c r="G225" t="s">
        <v>1191</v>
      </c>
      <c r="H225" s="227">
        <v>450</v>
      </c>
      <c r="I225" s="34">
        <v>1</v>
      </c>
      <c r="J225" s="227">
        <f t="shared" si="14"/>
        <v>450</v>
      </c>
      <c r="K225" s="226">
        <v>14</v>
      </c>
      <c r="L225" s="228" t="s">
        <v>1192</v>
      </c>
    </row>
    <row r="226" spans="2:12">
      <c r="B226" t="s">
        <v>597</v>
      </c>
      <c r="C226" t="s">
        <v>1023</v>
      </c>
      <c r="D226" t="s">
        <v>1331</v>
      </c>
      <c r="E226" s="226" t="s">
        <v>1201</v>
      </c>
      <c r="F226" s="229" t="s">
        <v>1463</v>
      </c>
      <c r="G226" t="s">
        <v>1191</v>
      </c>
      <c r="H226" s="227">
        <v>450</v>
      </c>
      <c r="I226" s="34">
        <v>1</v>
      </c>
      <c r="J226" s="227">
        <f t="shared" si="14"/>
        <v>450</v>
      </c>
      <c r="K226" s="226">
        <v>14</v>
      </c>
      <c r="L226" s="228" t="s">
        <v>1192</v>
      </c>
    </row>
    <row r="227" spans="2:12">
      <c r="B227" t="s">
        <v>597</v>
      </c>
      <c r="C227" t="s">
        <v>1023</v>
      </c>
      <c r="D227" t="s">
        <v>1331</v>
      </c>
      <c r="E227" s="226" t="s">
        <v>1201</v>
      </c>
      <c r="F227" s="229" t="s">
        <v>1464</v>
      </c>
      <c r="G227" t="s">
        <v>1191</v>
      </c>
      <c r="H227" s="227">
        <v>450</v>
      </c>
      <c r="I227" s="34">
        <v>1</v>
      </c>
      <c r="J227" s="227">
        <f t="shared" si="14"/>
        <v>450</v>
      </c>
      <c r="K227" s="226">
        <v>14</v>
      </c>
      <c r="L227" s="228" t="s">
        <v>1192</v>
      </c>
    </row>
    <row r="228" spans="2:12">
      <c r="B228" t="s">
        <v>597</v>
      </c>
      <c r="C228" t="s">
        <v>1023</v>
      </c>
      <c r="D228" t="s">
        <v>1331</v>
      </c>
      <c r="E228" s="226" t="s">
        <v>1201</v>
      </c>
      <c r="F228" s="229" t="s">
        <v>1465</v>
      </c>
      <c r="G228" t="s">
        <v>1191</v>
      </c>
      <c r="H228" s="227">
        <v>450</v>
      </c>
      <c r="I228" s="34">
        <v>1</v>
      </c>
      <c r="J228" s="227">
        <f t="shared" si="14"/>
        <v>450</v>
      </c>
      <c r="K228" s="226">
        <v>14</v>
      </c>
      <c r="L228" s="228" t="s">
        <v>1192</v>
      </c>
    </row>
    <row r="229" spans="2:12">
      <c r="B229" t="s">
        <v>597</v>
      </c>
      <c r="C229" t="s">
        <v>1023</v>
      </c>
      <c r="D229" t="s">
        <v>1331</v>
      </c>
      <c r="E229" s="226" t="s">
        <v>1201</v>
      </c>
      <c r="F229" s="229" t="s">
        <v>1466</v>
      </c>
      <c r="G229" t="s">
        <v>1191</v>
      </c>
      <c r="H229" s="227">
        <v>450</v>
      </c>
      <c r="I229" s="34">
        <v>1</v>
      </c>
      <c r="J229" s="227">
        <f t="shared" si="14"/>
        <v>450</v>
      </c>
      <c r="K229" s="226">
        <v>14</v>
      </c>
      <c r="L229" s="228" t="s">
        <v>1192</v>
      </c>
    </row>
    <row r="230" spans="2:12">
      <c r="B230" t="s">
        <v>597</v>
      </c>
      <c r="C230" t="s">
        <v>1023</v>
      </c>
      <c r="D230" t="s">
        <v>1331</v>
      </c>
      <c r="E230" s="226" t="s">
        <v>1201</v>
      </c>
      <c r="F230" s="229" t="s">
        <v>1467</v>
      </c>
      <c r="G230" t="s">
        <v>1191</v>
      </c>
      <c r="H230" s="227">
        <v>450</v>
      </c>
      <c r="I230" s="34">
        <v>1</v>
      </c>
      <c r="J230" s="227">
        <f t="shared" si="14"/>
        <v>450</v>
      </c>
      <c r="K230" s="226">
        <v>14</v>
      </c>
      <c r="L230" s="228" t="s">
        <v>1192</v>
      </c>
    </row>
    <row r="231" spans="2:12">
      <c r="B231" t="s">
        <v>597</v>
      </c>
      <c r="C231" t="s">
        <v>1023</v>
      </c>
      <c r="D231" t="s">
        <v>1331</v>
      </c>
      <c r="E231" s="226" t="s">
        <v>1201</v>
      </c>
      <c r="F231" s="229" t="s">
        <v>1468</v>
      </c>
      <c r="G231" t="s">
        <v>1191</v>
      </c>
      <c r="H231" s="227">
        <v>450</v>
      </c>
      <c r="I231" s="34">
        <v>1</v>
      </c>
      <c r="J231" s="227">
        <f t="shared" si="14"/>
        <v>450</v>
      </c>
      <c r="K231" s="226">
        <v>14</v>
      </c>
      <c r="L231" s="228" t="s">
        <v>1192</v>
      </c>
    </row>
    <row r="232" spans="2:12">
      <c r="B232" t="s">
        <v>597</v>
      </c>
      <c r="C232" t="s">
        <v>1023</v>
      </c>
      <c r="D232" t="s">
        <v>1331</v>
      </c>
      <c r="E232" s="226" t="s">
        <v>1201</v>
      </c>
      <c r="F232" s="229" t="s">
        <v>1469</v>
      </c>
      <c r="G232" t="s">
        <v>1191</v>
      </c>
      <c r="H232" s="227">
        <v>450</v>
      </c>
      <c r="I232" s="34">
        <v>1</v>
      </c>
      <c r="J232" s="227">
        <f t="shared" si="14"/>
        <v>450</v>
      </c>
      <c r="K232" s="226">
        <v>14</v>
      </c>
      <c r="L232" s="228" t="s">
        <v>1192</v>
      </c>
    </row>
    <row r="233" spans="2:12">
      <c r="B233" t="s">
        <v>597</v>
      </c>
      <c r="C233" t="s">
        <v>1023</v>
      </c>
      <c r="D233" t="s">
        <v>1331</v>
      </c>
      <c r="E233" s="226" t="s">
        <v>1201</v>
      </c>
      <c r="F233" s="229" t="s">
        <v>1470</v>
      </c>
      <c r="G233" t="s">
        <v>1191</v>
      </c>
      <c r="H233" s="227">
        <v>450</v>
      </c>
      <c r="I233" s="34">
        <v>1</v>
      </c>
      <c r="J233" s="227">
        <f t="shared" si="14"/>
        <v>450</v>
      </c>
      <c r="K233" s="226">
        <v>14</v>
      </c>
      <c r="L233" s="228" t="s">
        <v>1192</v>
      </c>
    </row>
    <row r="234" spans="2:12">
      <c r="B234" t="s">
        <v>597</v>
      </c>
      <c r="C234" t="s">
        <v>1023</v>
      </c>
      <c r="D234" t="s">
        <v>1331</v>
      </c>
      <c r="E234" s="226" t="s">
        <v>1201</v>
      </c>
      <c r="F234" s="229" t="s">
        <v>1471</v>
      </c>
      <c r="G234" t="s">
        <v>1191</v>
      </c>
      <c r="H234" s="227">
        <v>450</v>
      </c>
      <c r="I234" s="34">
        <v>1</v>
      </c>
      <c r="J234" s="227">
        <f t="shared" si="14"/>
        <v>450</v>
      </c>
      <c r="K234" s="226">
        <v>14</v>
      </c>
      <c r="L234" s="228" t="s">
        <v>1192</v>
      </c>
    </row>
    <row r="235" spans="2:12">
      <c r="B235" t="s">
        <v>1472</v>
      </c>
      <c r="C235" t="s">
        <v>1473</v>
      </c>
      <c r="D235" t="s">
        <v>1474</v>
      </c>
      <c r="E235" s="226" t="s">
        <v>1201</v>
      </c>
      <c r="F235" s="226" t="s">
        <v>1201</v>
      </c>
      <c r="G235" t="s">
        <v>1191</v>
      </c>
      <c r="H235" s="227">
        <v>5</v>
      </c>
      <c r="I235" s="34">
        <v>1</v>
      </c>
      <c r="J235" s="227">
        <f t="shared" ref="J235:J252" si="17">H235*I235</f>
        <v>5</v>
      </c>
      <c r="K235" s="226">
        <v>112</v>
      </c>
      <c r="L235" s="228" t="s">
        <v>1192</v>
      </c>
    </row>
    <row r="236" spans="2:12">
      <c r="B236" t="s">
        <v>1472</v>
      </c>
      <c r="C236" t="s">
        <v>1473</v>
      </c>
      <c r="D236" t="s">
        <v>1475</v>
      </c>
      <c r="E236" s="226" t="s">
        <v>1201</v>
      </c>
      <c r="F236" s="226" t="s">
        <v>1201</v>
      </c>
      <c r="G236" t="s">
        <v>1191</v>
      </c>
      <c r="H236" s="227">
        <v>5</v>
      </c>
      <c r="I236" s="34">
        <v>1</v>
      </c>
      <c r="J236" s="227">
        <f t="shared" si="17"/>
        <v>5</v>
      </c>
      <c r="K236" s="226">
        <v>112</v>
      </c>
      <c r="L236" s="228" t="s">
        <v>1192</v>
      </c>
    </row>
    <row r="237" spans="2:12">
      <c r="B237" t="s">
        <v>1472</v>
      </c>
      <c r="C237" t="s">
        <v>1473</v>
      </c>
      <c r="D237" t="s">
        <v>1476</v>
      </c>
      <c r="E237" s="226" t="s">
        <v>1201</v>
      </c>
      <c r="F237" s="226" t="s">
        <v>1201</v>
      </c>
      <c r="G237" t="s">
        <v>1477</v>
      </c>
      <c r="H237" s="227">
        <v>10</v>
      </c>
      <c r="I237" s="34">
        <v>2</v>
      </c>
      <c r="J237" s="227">
        <f t="shared" si="17"/>
        <v>20</v>
      </c>
      <c r="K237" s="226">
        <v>112</v>
      </c>
      <c r="L237" s="228" t="s">
        <v>1192</v>
      </c>
    </row>
    <row r="238" spans="2:12">
      <c r="B238" t="s">
        <v>1472</v>
      </c>
      <c r="C238" t="s">
        <v>1473</v>
      </c>
      <c r="D238" t="s">
        <v>1478</v>
      </c>
      <c r="E238" s="226" t="s">
        <v>1201</v>
      </c>
      <c r="F238" s="226" t="s">
        <v>1201</v>
      </c>
      <c r="G238" t="s">
        <v>1191</v>
      </c>
      <c r="H238" s="227">
        <v>2900</v>
      </c>
      <c r="I238" s="34">
        <v>1</v>
      </c>
      <c r="J238" s="227">
        <f t="shared" si="17"/>
        <v>2900</v>
      </c>
      <c r="K238" s="226">
        <v>112</v>
      </c>
      <c r="L238" s="228" t="s">
        <v>1192</v>
      </c>
    </row>
    <row r="239" spans="2:12">
      <c r="B239" t="s">
        <v>1472</v>
      </c>
      <c r="C239" t="s">
        <v>1473</v>
      </c>
      <c r="D239" t="s">
        <v>1479</v>
      </c>
      <c r="E239" s="226" t="s">
        <v>1201</v>
      </c>
      <c r="F239" s="226" t="s">
        <v>1201</v>
      </c>
      <c r="G239" t="s">
        <v>1191</v>
      </c>
      <c r="H239" s="227">
        <v>100</v>
      </c>
      <c r="I239" s="34">
        <v>1</v>
      </c>
      <c r="J239" s="227">
        <f t="shared" si="17"/>
        <v>100</v>
      </c>
      <c r="K239" s="226">
        <v>112</v>
      </c>
      <c r="L239" s="228" t="s">
        <v>1192</v>
      </c>
    </row>
    <row r="240" spans="2:12">
      <c r="B240" t="s">
        <v>1472</v>
      </c>
      <c r="C240" t="s">
        <v>1473</v>
      </c>
      <c r="D240" t="s">
        <v>1480</v>
      </c>
      <c r="E240" s="226" t="s">
        <v>1201</v>
      </c>
      <c r="F240" s="226" t="s">
        <v>1201</v>
      </c>
      <c r="G240" t="s">
        <v>1191</v>
      </c>
      <c r="H240" s="227">
        <v>80</v>
      </c>
      <c r="I240" s="34">
        <v>1</v>
      </c>
      <c r="J240" s="227">
        <f t="shared" si="17"/>
        <v>80</v>
      </c>
      <c r="K240" s="226">
        <v>112</v>
      </c>
      <c r="L240" s="228" t="s">
        <v>1192</v>
      </c>
    </row>
    <row r="241" spans="2:12">
      <c r="B241" t="s">
        <v>1472</v>
      </c>
      <c r="C241" t="s">
        <v>1473</v>
      </c>
      <c r="D241" t="s">
        <v>1481</v>
      </c>
      <c r="E241" s="226" t="s">
        <v>1201</v>
      </c>
      <c r="F241" s="226" t="s">
        <v>1201</v>
      </c>
      <c r="G241" t="s">
        <v>1191</v>
      </c>
      <c r="H241" s="227">
        <v>25</v>
      </c>
      <c r="I241" s="34">
        <v>1</v>
      </c>
      <c r="J241" s="227">
        <f t="shared" si="17"/>
        <v>25</v>
      </c>
      <c r="K241" s="226">
        <v>112</v>
      </c>
      <c r="L241" s="228" t="s">
        <v>1192</v>
      </c>
    </row>
    <row r="242" spans="2:12">
      <c r="B242" t="s">
        <v>1472</v>
      </c>
      <c r="C242" t="s">
        <v>1473</v>
      </c>
      <c r="D242" t="s">
        <v>1482</v>
      </c>
      <c r="E242" s="226" t="s">
        <v>1201</v>
      </c>
      <c r="F242" s="226" t="s">
        <v>1201</v>
      </c>
      <c r="G242" t="s">
        <v>1191</v>
      </c>
      <c r="H242" s="227">
        <v>2</v>
      </c>
      <c r="I242" s="34">
        <v>20</v>
      </c>
      <c r="J242" s="227">
        <f t="shared" si="17"/>
        <v>40</v>
      </c>
      <c r="K242" s="226">
        <v>112</v>
      </c>
      <c r="L242" s="228" t="s">
        <v>1192</v>
      </c>
    </row>
    <row r="243" spans="2:12">
      <c r="B243" t="s">
        <v>1472</v>
      </c>
      <c r="C243" t="s">
        <v>1473</v>
      </c>
      <c r="D243" t="s">
        <v>1483</v>
      </c>
      <c r="E243" s="226" t="s">
        <v>1201</v>
      </c>
      <c r="F243" s="226" t="s">
        <v>1201</v>
      </c>
      <c r="G243" t="s">
        <v>1484</v>
      </c>
      <c r="H243" s="227">
        <v>10</v>
      </c>
      <c r="I243" s="34">
        <v>1</v>
      </c>
      <c r="J243" s="227">
        <f t="shared" si="17"/>
        <v>10</v>
      </c>
      <c r="K243" s="226">
        <v>112</v>
      </c>
      <c r="L243" s="228" t="s">
        <v>1192</v>
      </c>
    </row>
    <row r="244" spans="2:12">
      <c r="B244" t="s">
        <v>1485</v>
      </c>
      <c r="C244" t="s">
        <v>1486</v>
      </c>
      <c r="D244" t="s">
        <v>1487</v>
      </c>
      <c r="E244" s="226" t="s">
        <v>1201</v>
      </c>
      <c r="F244" s="226" t="s">
        <v>1201</v>
      </c>
      <c r="G244" t="s">
        <v>1191</v>
      </c>
      <c r="H244" s="227">
        <v>15</v>
      </c>
      <c r="I244" s="34">
        <v>10</v>
      </c>
      <c r="J244" s="227">
        <f t="shared" si="17"/>
        <v>150</v>
      </c>
      <c r="K244" s="226">
        <v>112</v>
      </c>
      <c r="L244" s="228" t="s">
        <v>1192</v>
      </c>
    </row>
    <row r="245" spans="2:12">
      <c r="B245" t="s">
        <v>1485</v>
      </c>
      <c r="C245" t="s">
        <v>1486</v>
      </c>
      <c r="D245" t="s">
        <v>1488</v>
      </c>
      <c r="E245" s="226" t="s">
        <v>1201</v>
      </c>
      <c r="F245" s="226" t="s">
        <v>1201</v>
      </c>
      <c r="G245" t="s">
        <v>1242</v>
      </c>
      <c r="H245" s="227">
        <v>8</v>
      </c>
      <c r="I245" s="34">
        <v>40</v>
      </c>
      <c r="J245" s="227">
        <f t="shared" si="17"/>
        <v>320</v>
      </c>
      <c r="K245" s="226">
        <v>112</v>
      </c>
      <c r="L245" s="228" t="s">
        <v>1192</v>
      </c>
    </row>
    <row r="246" spans="2:12" s="221" customFormat="1">
      <c r="B246" s="221" t="s">
        <v>1485</v>
      </c>
      <c r="C246" s="221" t="s">
        <v>1486</v>
      </c>
      <c r="D246" s="221" t="s">
        <v>1241</v>
      </c>
      <c r="E246" s="222" t="s">
        <v>1201</v>
      </c>
      <c r="F246" s="222" t="s">
        <v>1201</v>
      </c>
      <c r="G246" s="221" t="s">
        <v>1242</v>
      </c>
      <c r="H246" s="223">
        <v>20</v>
      </c>
      <c r="I246" s="224">
        <v>40</v>
      </c>
      <c r="J246" s="223">
        <f t="shared" si="17"/>
        <v>800</v>
      </c>
      <c r="K246" s="222">
        <v>178</v>
      </c>
      <c r="L246" s="225" t="s">
        <v>1489</v>
      </c>
    </row>
    <row r="247" spans="2:12">
      <c r="B247" t="s">
        <v>1485</v>
      </c>
      <c r="C247" t="s">
        <v>1486</v>
      </c>
      <c r="D247" t="s">
        <v>1490</v>
      </c>
      <c r="E247" s="226" t="s">
        <v>1201</v>
      </c>
      <c r="F247" s="226" t="s">
        <v>1201</v>
      </c>
      <c r="G247" t="s">
        <v>1242</v>
      </c>
      <c r="H247" s="227">
        <v>7</v>
      </c>
      <c r="I247" s="34">
        <v>3</v>
      </c>
      <c r="J247" s="227">
        <f t="shared" si="17"/>
        <v>21</v>
      </c>
      <c r="K247" s="226">
        <v>178</v>
      </c>
      <c r="L247" s="228" t="s">
        <v>1192</v>
      </c>
    </row>
    <row r="248" spans="2:12">
      <c r="B248" t="s">
        <v>1485</v>
      </c>
      <c r="C248" t="s">
        <v>1486</v>
      </c>
      <c r="D248" t="s">
        <v>1491</v>
      </c>
      <c r="E248" s="226" t="s">
        <v>1201</v>
      </c>
      <c r="F248" s="226" t="s">
        <v>1201</v>
      </c>
      <c r="G248" t="s">
        <v>1191</v>
      </c>
      <c r="H248" s="227">
        <v>20</v>
      </c>
      <c r="I248" s="34">
        <v>8</v>
      </c>
      <c r="J248" s="227">
        <f t="shared" si="17"/>
        <v>160</v>
      </c>
      <c r="K248" s="226">
        <v>162</v>
      </c>
      <c r="L248" s="228" t="s">
        <v>1192</v>
      </c>
    </row>
    <row r="249" spans="2:12">
      <c r="B249" t="s">
        <v>1485</v>
      </c>
      <c r="C249" t="s">
        <v>1486</v>
      </c>
      <c r="D249" t="s">
        <v>1492</v>
      </c>
      <c r="E249" s="226" t="s">
        <v>1201</v>
      </c>
      <c r="F249" s="226" t="s">
        <v>1201</v>
      </c>
      <c r="G249" t="s">
        <v>1191</v>
      </c>
      <c r="H249" s="227">
        <v>30</v>
      </c>
      <c r="I249" s="34">
        <v>1</v>
      </c>
      <c r="J249" s="227">
        <f t="shared" si="17"/>
        <v>30</v>
      </c>
      <c r="K249" s="226">
        <v>162</v>
      </c>
      <c r="L249" s="228" t="s">
        <v>1192</v>
      </c>
    </row>
    <row r="250" spans="2:12">
      <c r="B250" t="s">
        <v>1485</v>
      </c>
      <c r="C250" t="s">
        <v>1486</v>
      </c>
      <c r="D250" t="s">
        <v>1493</v>
      </c>
      <c r="E250" s="226" t="s">
        <v>1201</v>
      </c>
      <c r="F250" s="226" t="s">
        <v>1201</v>
      </c>
      <c r="G250" t="s">
        <v>1191</v>
      </c>
      <c r="H250" s="227">
        <v>15</v>
      </c>
      <c r="I250" s="34">
        <v>2</v>
      </c>
      <c r="J250" s="227">
        <f t="shared" si="17"/>
        <v>30</v>
      </c>
      <c r="K250" s="226">
        <v>112</v>
      </c>
      <c r="L250" s="228" t="s">
        <v>1192</v>
      </c>
    </row>
    <row r="251" spans="2:12">
      <c r="B251" t="s">
        <v>1485</v>
      </c>
      <c r="C251" t="s">
        <v>1486</v>
      </c>
      <c r="D251" t="s">
        <v>1494</v>
      </c>
      <c r="E251" s="226" t="s">
        <v>1201</v>
      </c>
      <c r="F251" s="226" t="s">
        <v>1201</v>
      </c>
      <c r="G251" t="s">
        <v>1191</v>
      </c>
      <c r="H251" s="227">
        <v>15</v>
      </c>
      <c r="I251" s="34">
        <v>7</v>
      </c>
      <c r="J251" s="227">
        <f t="shared" si="17"/>
        <v>105</v>
      </c>
      <c r="K251" s="226">
        <v>162</v>
      </c>
      <c r="L251" s="228" t="s">
        <v>1192</v>
      </c>
    </row>
    <row r="252" spans="2:12">
      <c r="B252" t="s">
        <v>1485</v>
      </c>
      <c r="C252" t="s">
        <v>1486</v>
      </c>
      <c r="D252" t="s">
        <v>1495</v>
      </c>
      <c r="E252" s="226" t="s">
        <v>1201</v>
      </c>
      <c r="F252" s="226" t="s">
        <v>1201</v>
      </c>
      <c r="G252" t="s">
        <v>1191</v>
      </c>
      <c r="H252" s="227">
        <v>15</v>
      </c>
      <c r="I252" s="34">
        <v>5</v>
      </c>
      <c r="J252" s="227">
        <f t="shared" si="17"/>
        <v>75</v>
      </c>
      <c r="K252" s="226">
        <v>162</v>
      </c>
      <c r="L252" s="228" t="s">
        <v>1192</v>
      </c>
    </row>
    <row r="253" spans="2:12">
      <c r="B253" t="s">
        <v>1485</v>
      </c>
      <c r="C253" t="s">
        <v>1486</v>
      </c>
      <c r="D253" t="s">
        <v>1496</v>
      </c>
      <c r="E253" s="226" t="s">
        <v>1201</v>
      </c>
      <c r="F253" s="226" t="s">
        <v>1201</v>
      </c>
      <c r="G253" t="s">
        <v>1191</v>
      </c>
      <c r="H253" s="227">
        <v>15</v>
      </c>
      <c r="I253" s="34">
        <v>5</v>
      </c>
      <c r="J253" s="227">
        <f t="shared" ref="J253:J269" si="18">H253*I253</f>
        <v>75</v>
      </c>
      <c r="K253" s="226">
        <v>162</v>
      </c>
      <c r="L253" s="228" t="s">
        <v>1192</v>
      </c>
    </row>
    <row r="254" spans="2:12">
      <c r="B254" t="s">
        <v>1485</v>
      </c>
      <c r="C254" t="s">
        <v>1486</v>
      </c>
      <c r="D254" t="s">
        <v>1497</v>
      </c>
      <c r="E254" s="226" t="s">
        <v>1201</v>
      </c>
      <c r="F254" s="226" t="s">
        <v>1201</v>
      </c>
      <c r="G254" t="s">
        <v>1191</v>
      </c>
      <c r="H254" s="227">
        <v>10</v>
      </c>
      <c r="I254" s="34">
        <v>6</v>
      </c>
      <c r="J254" s="227">
        <f t="shared" si="18"/>
        <v>60</v>
      </c>
      <c r="K254" s="226">
        <v>162</v>
      </c>
      <c r="L254" s="228" t="s">
        <v>1192</v>
      </c>
    </row>
    <row r="255" spans="2:12" s="221" customFormat="1">
      <c r="B255" s="221" t="s">
        <v>1485</v>
      </c>
      <c r="C255" s="221" t="s">
        <v>1486</v>
      </c>
      <c r="D255" s="221" t="s">
        <v>1498</v>
      </c>
      <c r="E255" s="222" t="s">
        <v>1201</v>
      </c>
      <c r="F255" s="222" t="s">
        <v>1201</v>
      </c>
      <c r="G255" s="221" t="s">
        <v>1191</v>
      </c>
      <c r="H255" s="223">
        <v>25</v>
      </c>
      <c r="I255" s="224">
        <v>6</v>
      </c>
      <c r="J255" s="223">
        <f t="shared" si="18"/>
        <v>150</v>
      </c>
      <c r="K255" s="222">
        <v>112</v>
      </c>
      <c r="L255" s="225" t="s">
        <v>1499</v>
      </c>
    </row>
    <row r="256" spans="2:12">
      <c r="B256" t="s">
        <v>1485</v>
      </c>
      <c r="C256" t="s">
        <v>1486</v>
      </c>
      <c r="D256" t="s">
        <v>1500</v>
      </c>
      <c r="E256" s="226" t="s">
        <v>1201</v>
      </c>
      <c r="F256" s="226" t="s">
        <v>1201</v>
      </c>
      <c r="G256" t="s">
        <v>1191</v>
      </c>
      <c r="H256" s="227">
        <v>10</v>
      </c>
      <c r="I256" s="34">
        <v>5</v>
      </c>
      <c r="J256" s="227">
        <f t="shared" si="18"/>
        <v>50</v>
      </c>
      <c r="K256" s="226">
        <v>112</v>
      </c>
      <c r="L256" s="228" t="s">
        <v>1192</v>
      </c>
    </row>
    <row r="257" spans="2:12">
      <c r="B257" t="s">
        <v>1485</v>
      </c>
      <c r="C257" t="s">
        <v>1486</v>
      </c>
      <c r="D257" t="s">
        <v>1501</v>
      </c>
      <c r="E257" s="226" t="s">
        <v>1201</v>
      </c>
      <c r="F257" s="226" t="s">
        <v>1201</v>
      </c>
      <c r="G257" t="s">
        <v>1191</v>
      </c>
      <c r="H257" s="227">
        <v>10</v>
      </c>
      <c r="I257" s="34">
        <v>4</v>
      </c>
      <c r="J257" s="227">
        <f t="shared" si="18"/>
        <v>40</v>
      </c>
      <c r="K257" s="226">
        <v>112</v>
      </c>
      <c r="L257" s="228" t="s">
        <v>1192</v>
      </c>
    </row>
    <row r="258" spans="2:12">
      <c r="B258" t="s">
        <v>1485</v>
      </c>
      <c r="C258" t="s">
        <v>1486</v>
      </c>
      <c r="D258" t="s">
        <v>1502</v>
      </c>
      <c r="E258" s="226" t="s">
        <v>1201</v>
      </c>
      <c r="F258" s="226" t="s">
        <v>1201</v>
      </c>
      <c r="G258" t="s">
        <v>1191</v>
      </c>
      <c r="H258" s="227">
        <v>10</v>
      </c>
      <c r="I258" s="34">
        <v>5</v>
      </c>
      <c r="J258" s="227">
        <f t="shared" si="18"/>
        <v>50</v>
      </c>
      <c r="K258" s="226">
        <v>112</v>
      </c>
      <c r="L258" s="228" t="s">
        <v>1192</v>
      </c>
    </row>
    <row r="259" spans="2:12">
      <c r="B259" t="s">
        <v>1485</v>
      </c>
      <c r="C259" t="s">
        <v>1486</v>
      </c>
      <c r="D259" t="s">
        <v>1503</v>
      </c>
      <c r="E259" s="226" t="s">
        <v>1201</v>
      </c>
      <c r="F259" s="226" t="s">
        <v>1201</v>
      </c>
      <c r="G259" t="s">
        <v>1191</v>
      </c>
      <c r="H259" s="227">
        <v>10</v>
      </c>
      <c r="I259" s="34">
        <v>1</v>
      </c>
      <c r="J259" s="227">
        <f t="shared" si="18"/>
        <v>10</v>
      </c>
      <c r="K259" s="226">
        <v>112</v>
      </c>
      <c r="L259" s="228" t="s">
        <v>1192</v>
      </c>
    </row>
    <row r="260" spans="2:12">
      <c r="B260" t="s">
        <v>1485</v>
      </c>
      <c r="C260" t="s">
        <v>1486</v>
      </c>
      <c r="D260" t="s">
        <v>1504</v>
      </c>
      <c r="E260" s="226" t="s">
        <v>1201</v>
      </c>
      <c r="F260" s="226" t="s">
        <v>1201</v>
      </c>
      <c r="G260" t="s">
        <v>1191</v>
      </c>
      <c r="H260" s="227">
        <v>15</v>
      </c>
      <c r="I260" s="34">
        <v>2</v>
      </c>
      <c r="J260" s="227">
        <f t="shared" si="18"/>
        <v>30</v>
      </c>
      <c r="K260" s="226">
        <v>112</v>
      </c>
      <c r="L260" s="228" t="s">
        <v>1192</v>
      </c>
    </row>
    <row r="261" spans="2:12">
      <c r="B261" t="s">
        <v>1485</v>
      </c>
      <c r="C261" t="s">
        <v>1486</v>
      </c>
      <c r="D261" t="s">
        <v>1505</v>
      </c>
      <c r="E261" s="226" t="s">
        <v>1201</v>
      </c>
      <c r="F261" s="226" t="s">
        <v>1201</v>
      </c>
      <c r="G261" t="s">
        <v>1191</v>
      </c>
      <c r="H261" s="227">
        <v>15</v>
      </c>
      <c r="I261" s="34">
        <v>3</v>
      </c>
      <c r="J261" s="227">
        <f t="shared" si="18"/>
        <v>45</v>
      </c>
      <c r="K261" s="226">
        <v>112</v>
      </c>
      <c r="L261" s="228" t="s">
        <v>1192</v>
      </c>
    </row>
    <row r="262" spans="2:12">
      <c r="B262" t="s">
        <v>1485</v>
      </c>
      <c r="C262" t="s">
        <v>1486</v>
      </c>
      <c r="D262" t="s">
        <v>1506</v>
      </c>
      <c r="E262" s="226" t="s">
        <v>1201</v>
      </c>
      <c r="F262" s="226" t="s">
        <v>1201</v>
      </c>
      <c r="G262" t="s">
        <v>1191</v>
      </c>
      <c r="H262" s="227">
        <v>10</v>
      </c>
      <c r="I262" s="34">
        <v>1</v>
      </c>
      <c r="J262" s="227">
        <f t="shared" si="18"/>
        <v>10</v>
      </c>
      <c r="K262" s="226">
        <v>112</v>
      </c>
      <c r="L262" s="228" t="s">
        <v>1192</v>
      </c>
    </row>
    <row r="263" spans="2:12">
      <c r="B263" t="s">
        <v>1485</v>
      </c>
      <c r="C263" t="s">
        <v>1486</v>
      </c>
      <c r="D263" t="s">
        <v>1507</v>
      </c>
      <c r="E263" s="226" t="s">
        <v>1201</v>
      </c>
      <c r="F263" s="226" t="s">
        <v>1201</v>
      </c>
      <c r="G263" t="s">
        <v>1191</v>
      </c>
      <c r="H263" s="227">
        <v>10</v>
      </c>
      <c r="I263" s="34">
        <v>1</v>
      </c>
      <c r="J263" s="227">
        <f t="shared" si="18"/>
        <v>10</v>
      </c>
      <c r="K263" s="226">
        <v>112</v>
      </c>
      <c r="L263" s="228" t="s">
        <v>1192</v>
      </c>
    </row>
    <row r="264" spans="2:12">
      <c r="B264" t="s">
        <v>1485</v>
      </c>
      <c r="C264" t="s">
        <v>1486</v>
      </c>
      <c r="D264" t="s">
        <v>1508</v>
      </c>
      <c r="E264" s="226" t="s">
        <v>1201</v>
      </c>
      <c r="F264" s="226" t="s">
        <v>1201</v>
      </c>
      <c r="G264" t="s">
        <v>1191</v>
      </c>
      <c r="H264" s="227">
        <v>20</v>
      </c>
      <c r="I264" s="34">
        <v>5</v>
      </c>
      <c r="J264" s="227">
        <f t="shared" si="18"/>
        <v>100</v>
      </c>
      <c r="K264" s="226">
        <v>112</v>
      </c>
      <c r="L264" s="228" t="s">
        <v>1192</v>
      </c>
    </row>
    <row r="265" spans="2:12">
      <c r="B265" t="s">
        <v>1485</v>
      </c>
      <c r="C265" t="s">
        <v>1486</v>
      </c>
      <c r="D265" t="s">
        <v>1509</v>
      </c>
      <c r="E265" s="226" t="s">
        <v>1201</v>
      </c>
      <c r="F265" s="226" t="s">
        <v>1201</v>
      </c>
      <c r="G265" t="s">
        <v>1191</v>
      </c>
      <c r="H265" s="227">
        <v>30</v>
      </c>
      <c r="I265" s="34">
        <v>6</v>
      </c>
      <c r="J265" s="227">
        <f t="shared" si="18"/>
        <v>180</v>
      </c>
      <c r="K265" s="226">
        <v>162</v>
      </c>
      <c r="L265" s="228" t="s">
        <v>1192</v>
      </c>
    </row>
    <row r="266" spans="2:12">
      <c r="B266" t="s">
        <v>1485</v>
      </c>
      <c r="C266" t="s">
        <v>1486</v>
      </c>
      <c r="D266" t="s">
        <v>1510</v>
      </c>
      <c r="E266" s="226" t="s">
        <v>1201</v>
      </c>
      <c r="F266" s="226" t="s">
        <v>1201</v>
      </c>
      <c r="G266" t="s">
        <v>1242</v>
      </c>
      <c r="H266" s="227">
        <v>5</v>
      </c>
      <c r="I266" s="34">
        <v>2</v>
      </c>
      <c r="J266" s="227">
        <f t="shared" si="18"/>
        <v>10</v>
      </c>
      <c r="K266" s="226">
        <v>162</v>
      </c>
      <c r="L266" s="228" t="s">
        <v>1192</v>
      </c>
    </row>
    <row r="267" spans="2:12">
      <c r="B267" t="s">
        <v>1485</v>
      </c>
      <c r="C267" t="s">
        <v>1486</v>
      </c>
      <c r="D267" t="s">
        <v>1511</v>
      </c>
      <c r="E267" s="226" t="s">
        <v>1201</v>
      </c>
      <c r="F267" s="226" t="s">
        <v>1201</v>
      </c>
      <c r="G267" t="s">
        <v>1191</v>
      </c>
      <c r="H267" s="227">
        <v>130</v>
      </c>
      <c r="I267" s="34">
        <v>3</v>
      </c>
      <c r="J267" s="227">
        <f t="shared" si="18"/>
        <v>390</v>
      </c>
      <c r="K267" s="226">
        <v>112</v>
      </c>
      <c r="L267" s="228" t="s">
        <v>1192</v>
      </c>
    </row>
    <row r="268" spans="2:12">
      <c r="B268" t="s">
        <v>1485</v>
      </c>
      <c r="C268" t="s">
        <v>1486</v>
      </c>
      <c r="D268" t="s">
        <v>1512</v>
      </c>
      <c r="E268" s="226" t="s">
        <v>1201</v>
      </c>
      <c r="F268" s="226" t="s">
        <v>1201</v>
      </c>
      <c r="G268" t="s">
        <v>1191</v>
      </c>
      <c r="H268" s="227">
        <v>110</v>
      </c>
      <c r="I268" s="34">
        <v>1</v>
      </c>
      <c r="J268" s="227">
        <f t="shared" si="18"/>
        <v>110</v>
      </c>
      <c r="K268" s="226">
        <v>112</v>
      </c>
      <c r="L268" s="228" t="s">
        <v>1192</v>
      </c>
    </row>
    <row r="269" spans="2:12">
      <c r="B269" t="s">
        <v>1485</v>
      </c>
      <c r="C269" t="s">
        <v>1486</v>
      </c>
      <c r="D269" t="s">
        <v>1513</v>
      </c>
      <c r="E269" s="226" t="s">
        <v>1201</v>
      </c>
      <c r="F269" s="226" t="s">
        <v>1201</v>
      </c>
      <c r="G269" t="s">
        <v>1242</v>
      </c>
      <c r="H269" s="227">
        <v>4</v>
      </c>
      <c r="I269" s="34">
        <v>1</v>
      </c>
      <c r="J269" s="227">
        <f t="shared" si="18"/>
        <v>4</v>
      </c>
      <c r="K269" s="226">
        <v>112</v>
      </c>
      <c r="L269" s="228" t="s">
        <v>1192</v>
      </c>
    </row>
    <row r="270" spans="2:12">
      <c r="B270" t="s">
        <v>349</v>
      </c>
      <c r="C270" t="s">
        <v>1029</v>
      </c>
      <c r="D270" t="s">
        <v>1514</v>
      </c>
      <c r="E270" s="226" t="s">
        <v>1201</v>
      </c>
      <c r="F270" s="226" t="s">
        <v>1201</v>
      </c>
      <c r="G270" t="s">
        <v>1191</v>
      </c>
      <c r="H270" s="227">
        <v>100</v>
      </c>
      <c r="I270" s="34">
        <v>1</v>
      </c>
      <c r="J270" s="227">
        <f t="shared" ref="J270" si="19">I270*H270</f>
        <v>100</v>
      </c>
      <c r="K270" s="226">
        <v>112</v>
      </c>
      <c r="L270" s="228" t="s">
        <v>1192</v>
      </c>
    </row>
    <row r="271" spans="2:12">
      <c r="B271"/>
      <c r="C271" t="s">
        <v>1515</v>
      </c>
      <c r="D271" t="s">
        <v>1516</v>
      </c>
      <c r="E271" s="226" t="s">
        <v>1201</v>
      </c>
      <c r="F271" s="226" t="s">
        <v>1201</v>
      </c>
      <c r="G271"/>
      <c r="H271" s="227"/>
      <c r="I271" s="34"/>
      <c r="J271" s="227">
        <v>80</v>
      </c>
      <c r="K271" s="226">
        <v>114</v>
      </c>
      <c r="L271" s="228" t="s">
        <v>1192</v>
      </c>
    </row>
    <row r="272" spans="2:12">
      <c r="B272" t="s">
        <v>1485</v>
      </c>
      <c r="C272" t="s">
        <v>1517</v>
      </c>
      <c r="D272" t="s">
        <v>1518</v>
      </c>
      <c r="E272" s="226" t="s">
        <v>1201</v>
      </c>
      <c r="F272" s="226" t="s">
        <v>1201</v>
      </c>
      <c r="G272" t="s">
        <v>1242</v>
      </c>
      <c r="H272" s="227">
        <v>10</v>
      </c>
      <c r="I272" s="34">
        <v>11</v>
      </c>
      <c r="J272" s="227">
        <f t="shared" ref="J272" si="20">I272*H272</f>
        <v>110</v>
      </c>
      <c r="K272" s="226">
        <v>162</v>
      </c>
      <c r="L272" s="228" t="s">
        <v>1192</v>
      </c>
    </row>
    <row r="273" spans="2:12">
      <c r="B273" s="180" t="s">
        <v>1192</v>
      </c>
      <c r="C273" s="181"/>
      <c r="D273" s="181"/>
      <c r="E273" s="181"/>
      <c r="F273" s="181"/>
      <c r="G273" s="181"/>
      <c r="H273" s="181"/>
      <c r="I273" s="181"/>
      <c r="J273" s="181"/>
      <c r="K273" s="181"/>
      <c r="L273" s="181"/>
    </row>
    <row r="274" spans="2:12">
      <c r="B274"/>
      <c r="C274" t="s">
        <v>1519</v>
      </c>
      <c r="D274" t="s">
        <v>1520</v>
      </c>
      <c r="E274" s="226" t="s">
        <v>1201</v>
      </c>
      <c r="F274" s="226" t="s">
        <v>1521</v>
      </c>
      <c r="G274" t="s">
        <v>1191</v>
      </c>
      <c r="H274" s="227">
        <v>95</v>
      </c>
      <c r="I274" s="34">
        <v>2</v>
      </c>
      <c r="J274" s="227">
        <f t="shared" ref="J274:J304" si="21">I274*H274</f>
        <v>190</v>
      </c>
      <c r="K274" s="226">
        <v>45</v>
      </c>
      <c r="L274" s="228" t="s">
        <v>1192</v>
      </c>
    </row>
    <row r="275" spans="2:12">
      <c r="B275"/>
      <c r="C275" t="s">
        <v>1519</v>
      </c>
      <c r="D275" t="s">
        <v>1520</v>
      </c>
      <c r="E275" s="226" t="s">
        <v>1201</v>
      </c>
      <c r="F275" s="226" t="s">
        <v>1522</v>
      </c>
      <c r="G275" t="s">
        <v>1191</v>
      </c>
      <c r="H275" s="227">
        <v>95</v>
      </c>
      <c r="I275" s="34">
        <v>2</v>
      </c>
      <c r="J275" s="227">
        <f t="shared" ref="J275" si="22">I275*H275</f>
        <v>190</v>
      </c>
      <c r="K275" s="226">
        <v>45</v>
      </c>
      <c r="L275" s="228" t="s">
        <v>1192</v>
      </c>
    </row>
    <row r="276" spans="2:12">
      <c r="B276"/>
      <c r="C276" t="s">
        <v>1523</v>
      </c>
      <c r="D276" t="s">
        <v>1524</v>
      </c>
      <c r="E276" s="226" t="s">
        <v>1201</v>
      </c>
      <c r="F276" s="226" t="s">
        <v>1201</v>
      </c>
      <c r="G276"/>
      <c r="H276" s="227"/>
      <c r="I276" s="34">
        <v>3</v>
      </c>
      <c r="J276" s="227">
        <v>100</v>
      </c>
      <c r="K276" s="226">
        <v>45</v>
      </c>
      <c r="L276" s="228" t="s">
        <v>1192</v>
      </c>
    </row>
    <row r="277" spans="2:12">
      <c r="B277"/>
      <c r="C277" t="s">
        <v>1525</v>
      </c>
      <c r="D277" t="s">
        <v>1526</v>
      </c>
      <c r="E277" s="226" t="s">
        <v>1201</v>
      </c>
      <c r="F277" s="226" t="s">
        <v>1201</v>
      </c>
      <c r="G277"/>
      <c r="H277" s="227"/>
      <c r="I277" s="34">
        <v>5</v>
      </c>
      <c r="J277" s="227">
        <v>10</v>
      </c>
      <c r="K277" s="226">
        <v>45</v>
      </c>
      <c r="L277" s="228" t="s">
        <v>1192</v>
      </c>
    </row>
    <row r="278" spans="2:12">
      <c r="B278"/>
      <c r="C278" t="s">
        <v>1527</v>
      </c>
      <c r="D278"/>
      <c r="E278" s="226" t="s">
        <v>1201</v>
      </c>
      <c r="F278" s="226" t="s">
        <v>1201</v>
      </c>
      <c r="G278"/>
      <c r="H278" s="227"/>
      <c r="I278" s="34">
        <v>10</v>
      </c>
      <c r="J278" s="227">
        <v>20</v>
      </c>
      <c r="K278" s="226">
        <v>45</v>
      </c>
      <c r="L278" s="228" t="s">
        <v>1192</v>
      </c>
    </row>
    <row r="279" spans="2:12">
      <c r="B279"/>
      <c r="C279" t="s">
        <v>1528</v>
      </c>
      <c r="D279"/>
      <c r="E279" s="226" t="s">
        <v>1201</v>
      </c>
      <c r="F279" s="226" t="s">
        <v>1201</v>
      </c>
      <c r="G279"/>
      <c r="H279" s="227"/>
      <c r="I279" s="34">
        <v>2</v>
      </c>
      <c r="J279" s="227">
        <v>40</v>
      </c>
      <c r="K279" s="226">
        <v>45</v>
      </c>
      <c r="L279" s="228" t="s">
        <v>1192</v>
      </c>
    </row>
    <row r="280" spans="2:12">
      <c r="B280" t="s">
        <v>652</v>
      </c>
      <c r="C280" t="s">
        <v>653</v>
      </c>
      <c r="D280" t="s">
        <v>1529</v>
      </c>
      <c r="E280" s="226" t="s">
        <v>1201</v>
      </c>
      <c r="F280" s="226" t="s">
        <v>1201</v>
      </c>
      <c r="G280" t="s">
        <v>1191</v>
      </c>
      <c r="H280" s="227">
        <v>95</v>
      </c>
      <c r="I280" s="34">
        <v>2</v>
      </c>
      <c r="J280" s="227">
        <f t="shared" si="21"/>
        <v>190</v>
      </c>
      <c r="K280" s="226">
        <v>45</v>
      </c>
      <c r="L280" s="228" t="s">
        <v>1192</v>
      </c>
    </row>
    <row r="281" spans="2:12">
      <c r="B281" t="s">
        <v>191</v>
      </c>
      <c r="C281" t="s">
        <v>771</v>
      </c>
      <c r="D281" t="s">
        <v>1530</v>
      </c>
      <c r="E281" s="226" t="s">
        <v>1201</v>
      </c>
      <c r="F281" s="226" t="s">
        <v>1531</v>
      </c>
      <c r="G281" t="s">
        <v>1203</v>
      </c>
      <c r="H281" s="227">
        <v>500</v>
      </c>
      <c r="I281" s="34">
        <v>1</v>
      </c>
      <c r="J281" s="227">
        <f t="shared" si="21"/>
        <v>500</v>
      </c>
      <c r="K281" s="226">
        <v>160</v>
      </c>
      <c r="L281" s="228" t="s">
        <v>1192</v>
      </c>
    </row>
    <row r="282" spans="2:12">
      <c r="B282" t="s">
        <v>1244</v>
      </c>
      <c r="C282" t="s">
        <v>1245</v>
      </c>
      <c r="D282" t="s">
        <v>1246</v>
      </c>
      <c r="E282" s="226" t="s">
        <v>1201</v>
      </c>
      <c r="F282" s="226" t="s">
        <v>1201</v>
      </c>
      <c r="G282" t="s">
        <v>1191</v>
      </c>
      <c r="H282" s="227">
        <v>120</v>
      </c>
      <c r="I282" s="34">
        <v>1</v>
      </c>
      <c r="J282" s="227">
        <f t="shared" si="21"/>
        <v>120</v>
      </c>
      <c r="K282" s="226">
        <v>160</v>
      </c>
      <c r="L282" s="228" t="s">
        <v>1192</v>
      </c>
    </row>
    <row r="283" spans="2:12">
      <c r="B283" t="s">
        <v>1485</v>
      </c>
      <c r="C283" t="s">
        <v>1486</v>
      </c>
      <c r="D283" t="s">
        <v>1493</v>
      </c>
      <c r="E283" s="226" t="s">
        <v>1201</v>
      </c>
      <c r="F283" s="226" t="s">
        <v>1201</v>
      </c>
      <c r="G283" t="s">
        <v>1191</v>
      </c>
      <c r="H283" s="227">
        <v>15</v>
      </c>
      <c r="I283" s="34">
        <v>5</v>
      </c>
      <c r="J283" s="227">
        <f t="shared" ref="J283" si="23">H283*I283</f>
        <v>75</v>
      </c>
      <c r="K283" s="226">
        <v>160</v>
      </c>
      <c r="L283" s="228" t="s">
        <v>1192</v>
      </c>
    </row>
    <row r="284" spans="2:12">
      <c r="B284" t="s">
        <v>1485</v>
      </c>
      <c r="C284" t="s">
        <v>1486</v>
      </c>
      <c r="D284" t="s">
        <v>1509</v>
      </c>
      <c r="E284" s="226" t="s">
        <v>1201</v>
      </c>
      <c r="F284" s="226" t="s">
        <v>1201</v>
      </c>
      <c r="G284" t="s">
        <v>1191</v>
      </c>
      <c r="H284" s="227">
        <v>30</v>
      </c>
      <c r="I284" s="34">
        <v>5</v>
      </c>
      <c r="J284" s="227">
        <f t="shared" ref="J284" si="24">H284*I284</f>
        <v>150</v>
      </c>
      <c r="K284" s="226">
        <v>160</v>
      </c>
      <c r="L284" s="228" t="s">
        <v>1192</v>
      </c>
    </row>
    <row r="285" spans="2:12">
      <c r="B285" t="s">
        <v>652</v>
      </c>
      <c r="C285" t="s">
        <v>653</v>
      </c>
      <c r="D285" t="s">
        <v>1529</v>
      </c>
      <c r="E285" s="226" t="s">
        <v>1201</v>
      </c>
      <c r="F285" s="226" t="s">
        <v>1201</v>
      </c>
      <c r="G285" t="s">
        <v>1191</v>
      </c>
      <c r="H285" s="227">
        <v>95</v>
      </c>
      <c r="I285" s="34">
        <v>2</v>
      </c>
      <c r="J285" s="227">
        <f t="shared" ref="J285" si="25">I285*H285</f>
        <v>190</v>
      </c>
      <c r="K285" s="226">
        <v>160</v>
      </c>
      <c r="L285" s="228" t="s">
        <v>1192</v>
      </c>
    </row>
    <row r="286" spans="2:12">
      <c r="B286" t="s">
        <v>1532</v>
      </c>
      <c r="C286" t="s">
        <v>1497</v>
      </c>
      <c r="D286"/>
      <c r="E286" s="226" t="s">
        <v>1201</v>
      </c>
      <c r="F286" s="226" t="s">
        <v>1201</v>
      </c>
      <c r="G286" t="s">
        <v>1191</v>
      </c>
      <c r="H286" s="227">
        <v>15</v>
      </c>
      <c r="I286" s="34">
        <v>5</v>
      </c>
      <c r="J286" s="227">
        <f t="shared" ref="J286" si="26">I286*H286</f>
        <v>75</v>
      </c>
      <c r="K286" s="226">
        <v>160</v>
      </c>
      <c r="L286" s="228" t="s">
        <v>1192</v>
      </c>
    </row>
    <row r="287" spans="2:12">
      <c r="B287" t="s">
        <v>1533</v>
      </c>
      <c r="C287" t="s">
        <v>1534</v>
      </c>
      <c r="D287" t="s">
        <v>1252</v>
      </c>
      <c r="E287" s="226" t="s">
        <v>1535</v>
      </c>
      <c r="F287" s="226" t="s">
        <v>1536</v>
      </c>
      <c r="G287" t="s">
        <v>1191</v>
      </c>
      <c r="H287" s="227">
        <v>500</v>
      </c>
      <c r="I287" s="34">
        <v>1</v>
      </c>
      <c r="J287" s="227">
        <f t="shared" ref="J287" si="27">I287*H287</f>
        <v>500</v>
      </c>
      <c r="K287" s="226">
        <v>160</v>
      </c>
      <c r="L287" s="228" t="s">
        <v>1192</v>
      </c>
    </row>
    <row r="288" spans="2:12">
      <c r="B288" t="s">
        <v>1533</v>
      </c>
      <c r="C288" t="s">
        <v>1534</v>
      </c>
      <c r="D288" t="s">
        <v>1252</v>
      </c>
      <c r="E288" s="226" t="s">
        <v>1537</v>
      </c>
      <c r="F288" s="226" t="s">
        <v>1538</v>
      </c>
      <c r="G288" t="s">
        <v>1191</v>
      </c>
      <c r="H288" s="227">
        <v>500</v>
      </c>
      <c r="I288" s="34">
        <v>1</v>
      </c>
      <c r="J288" s="227">
        <f t="shared" si="21"/>
        <v>500</v>
      </c>
      <c r="K288" s="226">
        <v>160</v>
      </c>
      <c r="L288" s="228" t="s">
        <v>1192</v>
      </c>
    </row>
    <row r="289" spans="2:12">
      <c r="B289" t="s">
        <v>1533</v>
      </c>
      <c r="C289" t="s">
        <v>1534</v>
      </c>
      <c r="D289" t="s">
        <v>1252</v>
      </c>
      <c r="E289" s="226" t="s">
        <v>1539</v>
      </c>
      <c r="F289" s="226" t="s">
        <v>1540</v>
      </c>
      <c r="G289" t="s">
        <v>1191</v>
      </c>
      <c r="H289" s="227">
        <v>500</v>
      </c>
      <c r="I289" s="34">
        <v>1</v>
      </c>
      <c r="J289" s="227">
        <f t="shared" si="21"/>
        <v>500</v>
      </c>
      <c r="K289" s="226">
        <v>160</v>
      </c>
      <c r="L289" s="228" t="s">
        <v>1192</v>
      </c>
    </row>
    <row r="290" spans="2:12">
      <c r="B290" t="s">
        <v>1533</v>
      </c>
      <c r="C290" t="s">
        <v>1534</v>
      </c>
      <c r="D290" t="s">
        <v>1252</v>
      </c>
      <c r="E290" s="226" t="s">
        <v>1541</v>
      </c>
      <c r="F290" s="226" t="s">
        <v>1542</v>
      </c>
      <c r="G290" t="s">
        <v>1191</v>
      </c>
      <c r="H290" s="227">
        <v>500</v>
      </c>
      <c r="I290" s="34">
        <v>1</v>
      </c>
      <c r="J290" s="227">
        <f t="shared" si="21"/>
        <v>500</v>
      </c>
      <c r="K290" s="226">
        <v>160</v>
      </c>
      <c r="L290" s="228" t="s">
        <v>1192</v>
      </c>
    </row>
    <row r="291" spans="2:12">
      <c r="B291" t="s">
        <v>1533</v>
      </c>
      <c r="C291" t="s">
        <v>1534</v>
      </c>
      <c r="D291" t="s">
        <v>1252</v>
      </c>
      <c r="E291" s="226" t="s">
        <v>1543</v>
      </c>
      <c r="F291" s="226" t="s">
        <v>1544</v>
      </c>
      <c r="G291" t="s">
        <v>1191</v>
      </c>
      <c r="H291" s="227">
        <v>500</v>
      </c>
      <c r="I291" s="34">
        <v>1</v>
      </c>
      <c r="J291" s="227">
        <f t="shared" si="21"/>
        <v>500</v>
      </c>
      <c r="K291" s="226">
        <v>160</v>
      </c>
      <c r="L291" s="228" t="s">
        <v>1192</v>
      </c>
    </row>
    <row r="292" spans="2:12">
      <c r="B292" t="s">
        <v>1533</v>
      </c>
      <c r="C292" t="s">
        <v>1534</v>
      </c>
      <c r="D292" t="s">
        <v>1252</v>
      </c>
      <c r="E292" s="226" t="s">
        <v>1545</v>
      </c>
      <c r="F292" s="226" t="s">
        <v>1546</v>
      </c>
      <c r="G292" t="s">
        <v>1191</v>
      </c>
      <c r="H292" s="227">
        <v>500</v>
      </c>
      <c r="I292" s="34">
        <v>1</v>
      </c>
      <c r="J292" s="227">
        <f t="shared" si="21"/>
        <v>500</v>
      </c>
      <c r="K292" s="226">
        <v>160</v>
      </c>
      <c r="L292" s="228" t="s">
        <v>1192</v>
      </c>
    </row>
    <row r="293" spans="2:12">
      <c r="B293" t="s">
        <v>591</v>
      </c>
      <c r="C293" t="s">
        <v>1030</v>
      </c>
      <c r="D293" t="s">
        <v>1252</v>
      </c>
      <c r="E293" s="226">
        <v>10393</v>
      </c>
      <c r="F293" s="226" t="s">
        <v>1547</v>
      </c>
      <c r="G293" t="s">
        <v>1191</v>
      </c>
      <c r="H293" s="227">
        <v>500</v>
      </c>
      <c r="I293" s="34">
        <v>1</v>
      </c>
      <c r="J293" s="227">
        <f t="shared" si="21"/>
        <v>500</v>
      </c>
      <c r="K293" s="226">
        <v>45</v>
      </c>
      <c r="L293" s="228" t="s">
        <v>1192</v>
      </c>
    </row>
    <row r="294" spans="2:12">
      <c r="B294" t="s">
        <v>591</v>
      </c>
      <c r="C294" t="s">
        <v>1030</v>
      </c>
      <c r="D294" t="s">
        <v>1252</v>
      </c>
      <c r="E294" s="226" t="s">
        <v>1201</v>
      </c>
      <c r="F294" s="226" t="s">
        <v>1548</v>
      </c>
      <c r="G294" t="s">
        <v>1191</v>
      </c>
      <c r="H294" s="227">
        <v>500</v>
      </c>
      <c r="I294" s="34">
        <v>1</v>
      </c>
      <c r="J294" s="227">
        <f t="shared" si="21"/>
        <v>500</v>
      </c>
      <c r="K294" s="226">
        <v>45</v>
      </c>
      <c r="L294" s="228" t="s">
        <v>1192</v>
      </c>
    </row>
    <row r="295" spans="2:12">
      <c r="B295" t="s">
        <v>597</v>
      </c>
      <c r="C295" t="s">
        <v>1023</v>
      </c>
      <c r="D295" t="s">
        <v>1549</v>
      </c>
      <c r="E295" s="226" t="s">
        <v>1201</v>
      </c>
      <c r="F295" s="231" t="s">
        <v>1550</v>
      </c>
      <c r="G295" t="s">
        <v>1191</v>
      </c>
      <c r="H295" s="227">
        <v>450</v>
      </c>
      <c r="I295" s="34">
        <v>1</v>
      </c>
      <c r="J295" s="227">
        <f t="shared" si="21"/>
        <v>450</v>
      </c>
      <c r="K295" s="226">
        <v>162</v>
      </c>
      <c r="L295" s="228" t="s">
        <v>1192</v>
      </c>
    </row>
    <row r="296" spans="2:12">
      <c r="B296" t="s">
        <v>597</v>
      </c>
      <c r="C296" t="s">
        <v>1023</v>
      </c>
      <c r="D296" t="s">
        <v>1549</v>
      </c>
      <c r="E296" s="226" t="s">
        <v>1201</v>
      </c>
      <c r="F296" s="231" t="s">
        <v>1551</v>
      </c>
      <c r="G296" t="s">
        <v>1191</v>
      </c>
      <c r="H296" s="227">
        <v>450</v>
      </c>
      <c r="I296" s="34">
        <v>1</v>
      </c>
      <c r="J296" s="227">
        <f t="shared" si="21"/>
        <v>450</v>
      </c>
      <c r="K296" s="226">
        <v>162</v>
      </c>
      <c r="L296" s="228" t="s">
        <v>1192</v>
      </c>
    </row>
    <row r="297" spans="2:12">
      <c r="B297" t="s">
        <v>597</v>
      </c>
      <c r="C297" t="s">
        <v>1023</v>
      </c>
      <c r="D297" t="s">
        <v>1549</v>
      </c>
      <c r="E297" s="226" t="s">
        <v>1201</v>
      </c>
      <c r="F297" s="231" t="s">
        <v>1552</v>
      </c>
      <c r="G297" t="s">
        <v>1191</v>
      </c>
      <c r="H297" s="227">
        <v>450</v>
      </c>
      <c r="I297" s="34">
        <v>1</v>
      </c>
      <c r="J297" s="227">
        <f t="shared" ref="J297" si="28">I297*H297</f>
        <v>450</v>
      </c>
      <c r="K297" s="226">
        <v>162</v>
      </c>
      <c r="L297" s="228" t="s">
        <v>1192</v>
      </c>
    </row>
    <row r="298" spans="2:12">
      <c r="B298" t="s">
        <v>597</v>
      </c>
      <c r="C298" t="s">
        <v>1023</v>
      </c>
      <c r="D298" t="s">
        <v>1549</v>
      </c>
      <c r="E298" s="226" t="s">
        <v>1201</v>
      </c>
      <c r="F298" s="231" t="s">
        <v>1553</v>
      </c>
      <c r="G298" t="s">
        <v>1191</v>
      </c>
      <c r="H298" s="227">
        <v>450</v>
      </c>
      <c r="I298" s="34">
        <v>1</v>
      </c>
      <c r="J298" s="227">
        <f t="shared" si="21"/>
        <v>450</v>
      </c>
      <c r="K298" s="226">
        <v>162</v>
      </c>
      <c r="L298" s="228" t="s">
        <v>1192</v>
      </c>
    </row>
    <row r="299" spans="2:12">
      <c r="B299" t="s">
        <v>1554</v>
      </c>
      <c r="C299" t="s">
        <v>1555</v>
      </c>
      <c r="D299"/>
      <c r="E299" s="226" t="s">
        <v>1201</v>
      </c>
      <c r="F299" s="226" t="s">
        <v>1201</v>
      </c>
      <c r="G299" t="s">
        <v>1191</v>
      </c>
      <c r="H299" s="227">
        <v>23</v>
      </c>
      <c r="I299" s="34">
        <v>3</v>
      </c>
      <c r="J299" s="227">
        <f t="shared" si="21"/>
        <v>69</v>
      </c>
      <c r="K299" s="226">
        <v>45</v>
      </c>
      <c r="L299" s="228" t="s">
        <v>1192</v>
      </c>
    </row>
    <row r="300" spans="2:12">
      <c r="B300" t="s">
        <v>1198</v>
      </c>
      <c r="C300" t="s">
        <v>1199</v>
      </c>
      <c r="D300" t="s">
        <v>1238</v>
      </c>
      <c r="E300" s="226" t="s">
        <v>1201</v>
      </c>
      <c r="F300" s="226" t="s">
        <v>1201</v>
      </c>
      <c r="G300" t="s">
        <v>1191</v>
      </c>
      <c r="H300" s="227">
        <v>5</v>
      </c>
      <c r="I300" s="34">
        <v>5</v>
      </c>
      <c r="J300" s="227">
        <f t="shared" ref="J300:J301" si="29">H300*I300</f>
        <v>25</v>
      </c>
      <c r="K300" s="226">
        <v>160</v>
      </c>
      <c r="L300" s="228" t="s">
        <v>1192</v>
      </c>
    </row>
    <row r="301" spans="2:12">
      <c r="B301" t="s">
        <v>1198</v>
      </c>
      <c r="C301" t="s">
        <v>1199</v>
      </c>
      <c r="D301" t="s">
        <v>1239</v>
      </c>
      <c r="E301" s="226" t="s">
        <v>1201</v>
      </c>
      <c r="F301" s="226" t="s">
        <v>1201</v>
      </c>
      <c r="G301" t="s">
        <v>1191</v>
      </c>
      <c r="H301" s="227">
        <v>10</v>
      </c>
      <c r="I301" s="34">
        <v>5</v>
      </c>
      <c r="J301" s="227">
        <f t="shared" si="29"/>
        <v>50</v>
      </c>
      <c r="K301" s="226">
        <v>160</v>
      </c>
      <c r="L301" s="228" t="s">
        <v>1192</v>
      </c>
    </row>
    <row r="302" spans="2:12">
      <c r="B302" t="s">
        <v>1556</v>
      </c>
      <c r="C302" t="s">
        <v>1557</v>
      </c>
      <c r="D302"/>
      <c r="E302" s="226" t="s">
        <v>1201</v>
      </c>
      <c r="F302" s="226" t="s">
        <v>1201</v>
      </c>
      <c r="G302" t="s">
        <v>1242</v>
      </c>
      <c r="H302" s="227">
        <v>7</v>
      </c>
      <c r="I302" s="34">
        <v>1</v>
      </c>
      <c r="J302" s="227">
        <f t="shared" si="21"/>
        <v>7</v>
      </c>
      <c r="K302" s="226">
        <v>160</v>
      </c>
      <c r="L302" s="228" t="s">
        <v>1192</v>
      </c>
    </row>
    <row r="303" spans="2:12">
      <c r="B303" t="s">
        <v>562</v>
      </c>
      <c r="C303" t="s">
        <v>1008</v>
      </c>
      <c r="D303"/>
      <c r="E303" s="226" t="s">
        <v>1201</v>
      </c>
      <c r="F303" s="226" t="s">
        <v>1201</v>
      </c>
      <c r="G303" t="s">
        <v>1191</v>
      </c>
      <c r="H303" s="227">
        <v>30</v>
      </c>
      <c r="I303" s="34">
        <v>5</v>
      </c>
      <c r="J303" s="227">
        <f t="shared" si="21"/>
        <v>150</v>
      </c>
      <c r="K303" s="226">
        <v>160</v>
      </c>
      <c r="L303" s="228" t="s">
        <v>1192</v>
      </c>
    </row>
    <row r="304" spans="2:12">
      <c r="B304" t="s">
        <v>1558</v>
      </c>
      <c r="C304" t="s">
        <v>1488</v>
      </c>
      <c r="D304"/>
      <c r="E304" s="226" t="s">
        <v>1201</v>
      </c>
      <c r="F304" s="226" t="s">
        <v>1201</v>
      </c>
      <c r="G304" t="s">
        <v>1242</v>
      </c>
      <c r="H304" s="227">
        <v>8</v>
      </c>
      <c r="I304" s="34">
        <v>5</v>
      </c>
      <c r="J304" s="227">
        <f t="shared" si="21"/>
        <v>40</v>
      </c>
      <c r="K304" s="226">
        <v>160</v>
      </c>
      <c r="L304" s="228" t="s">
        <v>1192</v>
      </c>
    </row>
    <row r="305" spans="2:12">
      <c r="B305" s="180" t="s">
        <v>1559</v>
      </c>
      <c r="C305" s="181"/>
      <c r="D305" s="181"/>
      <c r="E305" s="181"/>
      <c r="F305" s="181"/>
      <c r="G305" s="181"/>
      <c r="H305" s="181"/>
      <c r="I305" s="181"/>
      <c r="J305" s="181"/>
      <c r="K305" s="181"/>
      <c r="L305" s="181"/>
    </row>
    <row r="306" spans="2:12">
      <c r="B306" t="s">
        <v>1558</v>
      </c>
      <c r="C306" t="s">
        <v>1488</v>
      </c>
      <c r="D306"/>
      <c r="E306" s="226" t="s">
        <v>1201</v>
      </c>
      <c r="F306" s="226" t="s">
        <v>1201</v>
      </c>
      <c r="G306" t="s">
        <v>1242</v>
      </c>
      <c r="H306" s="227">
        <v>8</v>
      </c>
      <c r="I306" s="34">
        <v>7</v>
      </c>
      <c r="J306" s="227">
        <f t="shared" ref="J306" si="30">I306*H306</f>
        <v>56</v>
      </c>
      <c r="K306" s="226">
        <v>2004</v>
      </c>
      <c r="L306" s="228" t="s">
        <v>150</v>
      </c>
    </row>
    <row r="307" spans="2:12">
      <c r="B307" t="s">
        <v>1244</v>
      </c>
      <c r="C307" t="s">
        <v>1245</v>
      </c>
      <c r="D307" t="s">
        <v>1246</v>
      </c>
      <c r="E307" s="226" t="s">
        <v>1201</v>
      </c>
      <c r="F307" s="226" t="s">
        <v>1560</v>
      </c>
      <c r="G307" t="s">
        <v>1191</v>
      </c>
      <c r="H307" s="227">
        <v>120</v>
      </c>
      <c r="I307" s="34">
        <v>1</v>
      </c>
      <c r="J307" s="227">
        <f t="shared" ref="J307:J322" si="31">I307*H307</f>
        <v>120</v>
      </c>
      <c r="K307" s="226">
        <v>2004</v>
      </c>
      <c r="L307" s="228" t="s">
        <v>150</v>
      </c>
    </row>
    <row r="308" spans="2:12">
      <c r="B308" t="s">
        <v>1247</v>
      </c>
      <c r="C308" t="s">
        <v>1248</v>
      </c>
      <c r="D308" t="s">
        <v>1249</v>
      </c>
      <c r="E308" s="226" t="s">
        <v>1201</v>
      </c>
      <c r="F308" s="226" t="s">
        <v>1561</v>
      </c>
      <c r="G308" t="s">
        <v>1203</v>
      </c>
      <c r="H308" s="227">
        <v>1100</v>
      </c>
      <c r="I308" s="34">
        <v>1</v>
      </c>
      <c r="J308" s="227">
        <f t="shared" si="31"/>
        <v>1100</v>
      </c>
      <c r="K308" s="226">
        <v>2004</v>
      </c>
      <c r="L308" s="228" t="s">
        <v>150</v>
      </c>
    </row>
    <row r="309" spans="2:12">
      <c r="B309" t="s">
        <v>1485</v>
      </c>
      <c r="C309" t="s">
        <v>1486</v>
      </c>
      <c r="D309" t="s">
        <v>1238</v>
      </c>
      <c r="E309" s="226" t="s">
        <v>1201</v>
      </c>
      <c r="F309" s="226" t="s">
        <v>1201</v>
      </c>
      <c r="G309" t="s">
        <v>1191</v>
      </c>
      <c r="H309" s="227">
        <v>5</v>
      </c>
      <c r="I309" s="34">
        <v>3</v>
      </c>
      <c r="J309" s="227">
        <f t="shared" ref="J309:J310" si="32">H309*I309</f>
        <v>15</v>
      </c>
      <c r="K309" s="226">
        <v>2004</v>
      </c>
      <c r="L309" s="228" t="s">
        <v>150</v>
      </c>
    </row>
    <row r="310" spans="2:12">
      <c r="B310" t="s">
        <v>1485</v>
      </c>
      <c r="C310" t="s">
        <v>1486</v>
      </c>
      <c r="D310" t="s">
        <v>1239</v>
      </c>
      <c r="E310" s="226" t="s">
        <v>1201</v>
      </c>
      <c r="F310" s="226" t="s">
        <v>1201</v>
      </c>
      <c r="G310" t="s">
        <v>1191</v>
      </c>
      <c r="H310" s="227">
        <v>10</v>
      </c>
      <c r="I310" s="34">
        <v>5</v>
      </c>
      <c r="J310" s="227">
        <f t="shared" si="32"/>
        <v>50</v>
      </c>
      <c r="K310" s="226">
        <v>2004</v>
      </c>
      <c r="L310" s="228" t="s">
        <v>150</v>
      </c>
    </row>
    <row r="311" spans="2:12">
      <c r="B311" t="s">
        <v>1562</v>
      </c>
      <c r="C311" t="s">
        <v>1563</v>
      </c>
      <c r="D311" t="s">
        <v>1564</v>
      </c>
      <c r="E311" s="226" t="s">
        <v>1201</v>
      </c>
      <c r="F311" s="226" t="s">
        <v>1565</v>
      </c>
      <c r="G311" t="s">
        <v>1203</v>
      </c>
      <c r="H311" s="227">
        <v>300</v>
      </c>
      <c r="I311" s="34">
        <v>1</v>
      </c>
      <c r="J311" s="227">
        <f t="shared" si="31"/>
        <v>300</v>
      </c>
      <c r="K311" s="226">
        <v>2004</v>
      </c>
      <c r="L311" s="228" t="s">
        <v>150</v>
      </c>
    </row>
    <row r="312" spans="2:12">
      <c r="B312" t="s">
        <v>1562</v>
      </c>
      <c r="C312" t="s">
        <v>1563</v>
      </c>
      <c r="D312" t="s">
        <v>1564</v>
      </c>
      <c r="E312" s="226" t="s">
        <v>1201</v>
      </c>
      <c r="F312" s="226" t="s">
        <v>1566</v>
      </c>
      <c r="G312" t="s">
        <v>1203</v>
      </c>
      <c r="H312" s="227">
        <v>300</v>
      </c>
      <c r="I312" s="34">
        <v>1</v>
      </c>
      <c r="J312" s="227">
        <f t="shared" si="31"/>
        <v>300</v>
      </c>
      <c r="K312" s="226">
        <v>2004</v>
      </c>
      <c r="L312" s="228" t="s">
        <v>150</v>
      </c>
    </row>
    <row r="313" spans="2:12">
      <c r="B313" t="s">
        <v>1562</v>
      </c>
      <c r="C313" t="s">
        <v>1563</v>
      </c>
      <c r="D313" t="s">
        <v>1564</v>
      </c>
      <c r="E313" s="226" t="s">
        <v>1201</v>
      </c>
      <c r="F313" s="226" t="s">
        <v>1567</v>
      </c>
      <c r="G313" t="s">
        <v>1203</v>
      </c>
      <c r="H313" s="227">
        <v>300</v>
      </c>
      <c r="I313" s="34">
        <v>1</v>
      </c>
      <c r="J313" s="227">
        <f t="shared" si="31"/>
        <v>300</v>
      </c>
      <c r="K313" s="226">
        <v>2004</v>
      </c>
      <c r="L313" s="228" t="s">
        <v>150</v>
      </c>
    </row>
    <row r="314" spans="2:12">
      <c r="B314" t="s">
        <v>1562</v>
      </c>
      <c r="C314" t="s">
        <v>1563</v>
      </c>
      <c r="D314" t="s">
        <v>1564</v>
      </c>
      <c r="E314" s="226" t="s">
        <v>1201</v>
      </c>
      <c r="F314" s="226" t="s">
        <v>1568</v>
      </c>
      <c r="G314" t="s">
        <v>1203</v>
      </c>
      <c r="H314" s="227">
        <v>300</v>
      </c>
      <c r="I314" s="34">
        <v>1</v>
      </c>
      <c r="J314" s="227">
        <f t="shared" ref="J314:J317" si="33">I314*H314</f>
        <v>300</v>
      </c>
      <c r="K314" s="226">
        <v>2004</v>
      </c>
      <c r="L314" s="228" t="s">
        <v>150</v>
      </c>
    </row>
    <row r="315" spans="2:12">
      <c r="B315" t="s">
        <v>1562</v>
      </c>
      <c r="C315" t="s">
        <v>1563</v>
      </c>
      <c r="D315" t="s">
        <v>1564</v>
      </c>
      <c r="E315" s="226" t="s">
        <v>1201</v>
      </c>
      <c r="F315" s="226" t="s">
        <v>1569</v>
      </c>
      <c r="G315" t="s">
        <v>1203</v>
      </c>
      <c r="H315" s="227">
        <v>300</v>
      </c>
      <c r="I315" s="34">
        <v>1</v>
      </c>
      <c r="J315" s="227">
        <f t="shared" si="33"/>
        <v>300</v>
      </c>
      <c r="K315" s="226">
        <v>2004</v>
      </c>
      <c r="L315" s="228" t="s">
        <v>150</v>
      </c>
    </row>
    <row r="316" spans="2:12">
      <c r="B316" t="s">
        <v>1570</v>
      </c>
      <c r="C316" t="s">
        <v>1571</v>
      </c>
      <c r="D316" t="s">
        <v>1572</v>
      </c>
      <c r="E316" s="226" t="s">
        <v>1201</v>
      </c>
      <c r="F316" s="226" t="s">
        <v>1573</v>
      </c>
      <c r="G316" t="s">
        <v>1191</v>
      </c>
      <c r="H316" s="227">
        <v>80</v>
      </c>
      <c r="I316" s="34">
        <v>1</v>
      </c>
      <c r="J316" s="227">
        <f t="shared" si="33"/>
        <v>80</v>
      </c>
      <c r="K316" s="226">
        <v>2004</v>
      </c>
      <c r="L316" s="228" t="s">
        <v>150</v>
      </c>
    </row>
    <row r="317" spans="2:12">
      <c r="B317" t="s">
        <v>1570</v>
      </c>
      <c r="C317" t="s">
        <v>1571</v>
      </c>
      <c r="D317" t="s">
        <v>1572</v>
      </c>
      <c r="E317" s="226" t="s">
        <v>1201</v>
      </c>
      <c r="F317" s="226" t="s">
        <v>1574</v>
      </c>
      <c r="G317" t="s">
        <v>1191</v>
      </c>
      <c r="H317" s="227">
        <v>80</v>
      </c>
      <c r="I317" s="34">
        <v>1</v>
      </c>
      <c r="J317" s="227">
        <f t="shared" si="33"/>
        <v>80</v>
      </c>
      <c r="K317" s="226">
        <v>2004</v>
      </c>
      <c r="L317" s="228" t="s">
        <v>150</v>
      </c>
    </row>
    <row r="318" spans="2:12">
      <c r="B318" t="s">
        <v>1570</v>
      </c>
      <c r="C318" t="s">
        <v>1571</v>
      </c>
      <c r="D318" t="s">
        <v>1572</v>
      </c>
      <c r="E318" s="226" t="s">
        <v>1201</v>
      </c>
      <c r="F318" s="226" t="s">
        <v>1575</v>
      </c>
      <c r="G318" t="s">
        <v>1191</v>
      </c>
      <c r="H318" s="227">
        <v>80</v>
      </c>
      <c r="I318" s="34">
        <v>1</v>
      </c>
      <c r="J318" s="227">
        <f t="shared" ref="J318:J319" si="34">I318*H318</f>
        <v>80</v>
      </c>
      <c r="K318" s="226">
        <v>2004</v>
      </c>
      <c r="L318" s="228" t="s">
        <v>150</v>
      </c>
    </row>
    <row r="319" spans="2:12">
      <c r="B319" t="s">
        <v>1570</v>
      </c>
      <c r="C319" t="s">
        <v>1571</v>
      </c>
      <c r="D319" t="s">
        <v>1572</v>
      </c>
      <c r="E319" s="226" t="s">
        <v>1201</v>
      </c>
      <c r="F319" s="226" t="s">
        <v>1576</v>
      </c>
      <c r="G319" t="s">
        <v>1191</v>
      </c>
      <c r="H319" s="227">
        <v>80</v>
      </c>
      <c r="I319" s="34">
        <v>1</v>
      </c>
      <c r="J319" s="227">
        <f t="shared" si="34"/>
        <v>80</v>
      </c>
      <c r="K319" s="226">
        <v>2004</v>
      </c>
      <c r="L319" s="228" t="s">
        <v>150</v>
      </c>
    </row>
    <row r="320" spans="2:12">
      <c r="B320" t="s">
        <v>1570</v>
      </c>
      <c r="C320" t="s">
        <v>1571</v>
      </c>
      <c r="D320" t="s">
        <v>1572</v>
      </c>
      <c r="E320" s="226" t="s">
        <v>1201</v>
      </c>
      <c r="F320" s="226" t="s">
        <v>1577</v>
      </c>
      <c r="G320" t="s">
        <v>1191</v>
      </c>
      <c r="H320" s="227">
        <v>80</v>
      </c>
      <c r="I320" s="34">
        <v>1</v>
      </c>
      <c r="J320" s="227">
        <f t="shared" si="31"/>
        <v>80</v>
      </c>
      <c r="K320" s="226">
        <v>2004</v>
      </c>
      <c r="L320" s="228" t="s">
        <v>150</v>
      </c>
    </row>
    <row r="321" spans="2:12">
      <c r="B321" t="s">
        <v>1578</v>
      </c>
      <c r="C321" t="s">
        <v>1579</v>
      </c>
      <c r="D321"/>
      <c r="E321" s="226" t="s">
        <v>1201</v>
      </c>
      <c r="F321" s="226" t="s">
        <v>1201</v>
      </c>
      <c r="G321" t="s">
        <v>1242</v>
      </c>
      <c r="H321" s="227">
        <v>20</v>
      </c>
      <c r="I321" s="34">
        <v>5</v>
      </c>
      <c r="J321" s="227">
        <f t="shared" si="31"/>
        <v>100</v>
      </c>
      <c r="K321" s="226">
        <v>2004</v>
      </c>
      <c r="L321" s="228" t="s">
        <v>150</v>
      </c>
    </row>
    <row r="322" spans="2:12">
      <c r="B322" t="s">
        <v>1556</v>
      </c>
      <c r="C322" t="s">
        <v>1557</v>
      </c>
      <c r="D322"/>
      <c r="E322" s="226" t="s">
        <v>1201</v>
      </c>
      <c r="F322" s="226" t="s">
        <v>1201</v>
      </c>
      <c r="G322" t="s">
        <v>1242</v>
      </c>
      <c r="H322" s="227">
        <v>7</v>
      </c>
      <c r="I322" s="34">
        <v>1</v>
      </c>
      <c r="J322" s="227">
        <f t="shared" si="31"/>
        <v>7</v>
      </c>
      <c r="K322" s="226">
        <v>2004</v>
      </c>
      <c r="L322" s="228" t="s">
        <v>150</v>
      </c>
    </row>
    <row r="323" spans="2:12">
      <c r="B323" t="s">
        <v>1198</v>
      </c>
      <c r="C323" t="s">
        <v>1199</v>
      </c>
      <c r="D323" t="s">
        <v>1238</v>
      </c>
      <c r="E323" s="226" t="s">
        <v>1201</v>
      </c>
      <c r="F323" s="226" t="s">
        <v>1201</v>
      </c>
      <c r="G323" t="s">
        <v>1191</v>
      </c>
      <c r="H323" s="227">
        <v>5</v>
      </c>
      <c r="I323" s="34">
        <v>10</v>
      </c>
      <c r="J323" s="227">
        <f t="shared" ref="J323:J324" si="35">H323*I323</f>
        <v>50</v>
      </c>
      <c r="K323" s="226">
        <v>2004</v>
      </c>
      <c r="L323" s="228" t="s">
        <v>150</v>
      </c>
    </row>
    <row r="324" spans="2:12">
      <c r="B324" t="s">
        <v>1198</v>
      </c>
      <c r="C324" t="s">
        <v>1199</v>
      </c>
      <c r="D324" t="s">
        <v>1239</v>
      </c>
      <c r="E324" s="226" t="s">
        <v>1201</v>
      </c>
      <c r="F324" s="226" t="s">
        <v>1201</v>
      </c>
      <c r="G324" t="s">
        <v>1191</v>
      </c>
      <c r="H324" s="227">
        <v>10</v>
      </c>
      <c r="I324" s="34">
        <v>7</v>
      </c>
      <c r="J324" s="227">
        <f t="shared" si="35"/>
        <v>70</v>
      </c>
      <c r="K324" s="226">
        <v>2004</v>
      </c>
      <c r="L324" s="228" t="s">
        <v>150</v>
      </c>
    </row>
    <row r="325" spans="2:12">
      <c r="B325"/>
      <c r="C325"/>
      <c r="D325"/>
      <c r="E325"/>
      <c r="F325"/>
      <c r="G325"/>
      <c r="H325"/>
      <c r="I325"/>
      <c r="J325"/>
      <c r="K325"/>
      <c r="L325"/>
    </row>
    <row r="326" spans="2:12">
      <c r="B326"/>
      <c r="C326"/>
      <c r="D326"/>
      <c r="E326"/>
      <c r="F326"/>
      <c r="G326"/>
      <c r="H326"/>
      <c r="I326"/>
      <c r="J326"/>
      <c r="K326"/>
      <c r="L326"/>
    </row>
    <row r="327" spans="2:12">
      <c r="B327"/>
      <c r="C327"/>
      <c r="D327"/>
      <c r="E327"/>
      <c r="F327"/>
      <c r="G327"/>
      <c r="H327"/>
      <c r="I327"/>
      <c r="J327"/>
      <c r="K327"/>
      <c r="L327"/>
    </row>
    <row r="328" spans="2:12">
      <c r="B328"/>
      <c r="C328"/>
      <c r="D328"/>
      <c r="E328"/>
      <c r="F328"/>
      <c r="G328"/>
      <c r="H328"/>
      <c r="I328"/>
      <c r="J328"/>
      <c r="K328"/>
      <c r="L328"/>
    </row>
    <row r="329" spans="2:12">
      <c r="B329"/>
      <c r="C329"/>
      <c r="D329"/>
      <c r="E329"/>
      <c r="F329"/>
      <c r="G329"/>
      <c r="H329"/>
      <c r="I329"/>
      <c r="J329"/>
      <c r="K329"/>
      <c r="L329"/>
    </row>
    <row r="330" spans="2:12">
      <c r="B330"/>
      <c r="C330"/>
      <c r="D330"/>
      <c r="E330"/>
      <c r="F330"/>
      <c r="G330"/>
      <c r="H330"/>
      <c r="I330"/>
      <c r="J330"/>
      <c r="K330"/>
      <c r="L330"/>
    </row>
    <row r="331" spans="2:12">
      <c r="B331"/>
      <c r="C331"/>
      <c r="D331"/>
      <c r="E331"/>
      <c r="F331"/>
      <c r="G331"/>
      <c r="H331"/>
      <c r="I331"/>
      <c r="J331"/>
      <c r="K331"/>
      <c r="L331"/>
    </row>
    <row r="332" spans="2:12">
      <c r="B332"/>
      <c r="C332"/>
      <c r="D332"/>
      <c r="E332"/>
      <c r="F332"/>
      <c r="G332"/>
      <c r="H332"/>
      <c r="I332"/>
      <c r="J332"/>
      <c r="K332"/>
      <c r="L332"/>
    </row>
    <row r="333" spans="2:12">
      <c r="B333"/>
      <c r="C333"/>
      <c r="D333"/>
      <c r="E333"/>
      <c r="F333"/>
      <c r="G333"/>
      <c r="H333"/>
      <c r="I333"/>
      <c r="J333"/>
      <c r="K333"/>
      <c r="L333"/>
    </row>
    <row r="334" spans="2:12">
      <c r="B334"/>
      <c r="C334"/>
      <c r="D334"/>
      <c r="E334"/>
      <c r="F334"/>
      <c r="G334"/>
      <c r="H334"/>
      <c r="I334"/>
      <c r="J334"/>
      <c r="K334"/>
      <c r="L334"/>
    </row>
    <row r="335" spans="2:12">
      <c r="B335"/>
      <c r="C335"/>
      <c r="D335"/>
      <c r="E335"/>
      <c r="F335"/>
      <c r="G335"/>
      <c r="H335"/>
      <c r="I335"/>
      <c r="J335"/>
      <c r="K335"/>
      <c r="L335"/>
    </row>
    <row r="336" spans="2:12">
      <c r="B336"/>
      <c r="C336"/>
      <c r="D336"/>
      <c r="E336"/>
      <c r="F336"/>
      <c r="G336"/>
      <c r="H336"/>
      <c r="I336"/>
      <c r="J336"/>
      <c r="K336"/>
      <c r="L336"/>
    </row>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sheetData>
  <dataValidations count="1">
    <dataValidation type="list" allowBlank="1" showInputMessage="1" showErrorMessage="1" sqref="L306:L324 L247:L254 L256:L272 L7:L245 L274:L304" xr:uid="{00000000-0002-0000-0A00-000000000000}">
      <formula1>su_venues</formula1>
    </dataValidation>
  </dataValidations>
  <pageMargins left="0.7" right="0.7" top="0.75" bottom="0.75" header="0.3" footer="0.3"/>
  <pageSetup paperSize="8" scale="65" fitToHeight="0" orientation="landscape" r:id="rId1"/>
  <headerFooter>
    <oddHeader>&amp;L&amp;"Calibri"&amp;12&amp;K008000 SC Classification:GENERAL BUSINESS\Other General Business&amp;1#_x000D_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lickGenerate">
                <anchor>
                  <from>
                    <xdr:col>7</xdr:col>
                    <xdr:colOff>762000</xdr:colOff>
                    <xdr:row>1</xdr:row>
                    <xdr:rowOff>99060</xdr:rowOff>
                  </from>
                  <to>
                    <xdr:col>10</xdr:col>
                    <xdr:colOff>0</xdr:colOff>
                    <xdr:row>1</xdr:row>
                    <xdr:rowOff>632460</xdr:rowOff>
                  </to>
                </anchor>
              </controlPr>
            </control>
          </mc:Choice>
        </mc:AlternateContent>
        <mc:AlternateContent xmlns:mc="http://schemas.openxmlformats.org/markup-compatibility/2006">
          <mc:Choice Requires="x14">
            <control shapeId="13314" r:id="rId5" name="Button 2">
              <controlPr defaultSize="0" print="0" autoFill="0" autoPict="0" macro="[0]!DeletePackingList" altText="CLEAR DATA">
                <anchor>
                  <from>
                    <xdr:col>10</xdr:col>
                    <xdr:colOff>685800</xdr:colOff>
                    <xdr:row>1</xdr:row>
                    <xdr:rowOff>99060</xdr:rowOff>
                  </from>
                  <to>
                    <xdr:col>11</xdr:col>
                    <xdr:colOff>1470660</xdr:colOff>
                    <xdr:row>1</xdr:row>
                    <xdr:rowOff>632460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theme="8" tint="-0.499984740745262"/>
  </sheetPr>
  <dimension ref="B1:G319"/>
  <sheetViews>
    <sheetView workbookViewId="0"/>
  </sheetViews>
  <sheetFormatPr defaultColWidth="9.33203125" defaultRowHeight="14.4"/>
  <cols>
    <col min="1" max="1" width="3.44140625" customWidth="1"/>
    <col min="2" max="2" width="10.44140625" customWidth="1"/>
    <col min="3" max="3" width="40.44140625" customWidth="1"/>
    <col min="4" max="4" width="48.44140625" bestFit="1" customWidth="1"/>
    <col min="5" max="5" width="18.33203125" customWidth="1"/>
    <col min="6" max="6" width="21" bestFit="1" customWidth="1"/>
    <col min="7" max="7" width="8.6640625" bestFit="1" customWidth="1"/>
    <col min="8" max="9" width="10.33203125" customWidth="1"/>
    <col min="10" max="17" width="15.6640625" bestFit="1" customWidth="1"/>
    <col min="18" max="18" width="15" bestFit="1" customWidth="1"/>
  </cols>
  <sheetData>
    <row r="1" spans="2:7" ht="35.25" customHeight="1">
      <c r="B1" s="118" t="str">
        <f>su_tournament&amp;" "&amp;su_host_country&amp;" "&amp;su_year&amp;": TEAP v"&amp;su_version&amp;" Packing List: Return"</f>
        <v>FIFA U-17 World Cup Qatar 2025: TEAP v0.9 Packing List: Return</v>
      </c>
      <c r="C1" s="26"/>
      <c r="D1" s="26"/>
      <c r="E1" s="26"/>
      <c r="F1" s="26"/>
      <c r="G1" s="26"/>
    </row>
    <row r="3" spans="2:7" s="60" customFormat="1" ht="15" customHeight="1">
      <c r="B3"/>
      <c r="C3"/>
      <c r="D3" s="3"/>
      <c r="E3" s="62"/>
      <c r="F3" s="62"/>
      <c r="G3" s="62"/>
    </row>
    <row r="5" spans="2:7">
      <c r="B5" s="193" t="s">
        <v>1186</v>
      </c>
      <c r="C5" s="193" t="s">
        <v>36</v>
      </c>
      <c r="D5" s="193" t="s">
        <v>1180</v>
      </c>
      <c r="E5" s="193" t="s">
        <v>1181</v>
      </c>
      <c r="F5" s="193" t="s">
        <v>1182</v>
      </c>
      <c r="G5" s="194" t="s">
        <v>53</v>
      </c>
    </row>
    <row r="6" spans="2:7">
      <c r="B6" t="s">
        <v>791</v>
      </c>
      <c r="C6" t="s">
        <v>791</v>
      </c>
      <c r="D6" t="s">
        <v>791</v>
      </c>
      <c r="E6" t="s">
        <v>791</v>
      </c>
      <c r="F6" t="s">
        <v>791</v>
      </c>
    </row>
    <row r="7" spans="2:7">
      <c r="B7">
        <v>112</v>
      </c>
      <c r="C7" t="s">
        <v>1189</v>
      </c>
      <c r="D7" t="s">
        <v>791</v>
      </c>
      <c r="E7">
        <v>12447</v>
      </c>
      <c r="F7" t="s">
        <v>1190</v>
      </c>
      <c r="G7">
        <v>1</v>
      </c>
    </row>
    <row r="8" spans="2:7">
      <c r="E8">
        <v>12446</v>
      </c>
      <c r="F8" t="s">
        <v>1193</v>
      </c>
      <c r="G8">
        <v>1</v>
      </c>
    </row>
    <row r="9" spans="2:7">
      <c r="E9">
        <v>12445</v>
      </c>
      <c r="F9" t="s">
        <v>1194</v>
      </c>
      <c r="G9">
        <v>1</v>
      </c>
    </row>
    <row r="10" spans="2:7">
      <c r="E10">
        <v>12444</v>
      </c>
      <c r="F10" t="s">
        <v>1195</v>
      </c>
      <c r="G10">
        <v>1</v>
      </c>
    </row>
    <row r="11" spans="2:7">
      <c r="E11">
        <v>12450</v>
      </c>
      <c r="F11" t="s">
        <v>1196</v>
      </c>
      <c r="G11">
        <v>1</v>
      </c>
    </row>
    <row r="12" spans="2:7">
      <c r="E12">
        <v>12442</v>
      </c>
      <c r="F12" t="s">
        <v>1197</v>
      </c>
      <c r="G12">
        <v>1</v>
      </c>
    </row>
    <row r="13" spans="2:7">
      <c r="C13" t="s">
        <v>1473</v>
      </c>
      <c r="D13" t="s">
        <v>1474</v>
      </c>
      <c r="E13" t="s">
        <v>1201</v>
      </c>
      <c r="F13" t="s">
        <v>1201</v>
      </c>
      <c r="G13">
        <v>1</v>
      </c>
    </row>
    <row r="14" spans="2:7">
      <c r="D14" t="s">
        <v>1475</v>
      </c>
      <c r="E14" t="s">
        <v>1201</v>
      </c>
      <c r="F14" t="s">
        <v>1201</v>
      </c>
      <c r="G14">
        <v>1</v>
      </c>
    </row>
    <row r="15" spans="2:7">
      <c r="D15" t="s">
        <v>1476</v>
      </c>
      <c r="E15" t="s">
        <v>1201</v>
      </c>
      <c r="F15" t="s">
        <v>1201</v>
      </c>
      <c r="G15">
        <v>2</v>
      </c>
    </row>
    <row r="16" spans="2:7">
      <c r="D16" t="s">
        <v>1480</v>
      </c>
      <c r="E16" t="s">
        <v>1201</v>
      </c>
      <c r="F16" t="s">
        <v>1201</v>
      </c>
      <c r="G16">
        <v>1</v>
      </c>
    </row>
    <row r="17" spans="3:7">
      <c r="D17" t="s">
        <v>1482</v>
      </c>
      <c r="E17" t="s">
        <v>1201</v>
      </c>
      <c r="F17" t="s">
        <v>1201</v>
      </c>
      <c r="G17">
        <v>20</v>
      </c>
    </row>
    <row r="18" spans="3:7">
      <c r="D18" t="s">
        <v>1479</v>
      </c>
      <c r="E18" t="s">
        <v>1201</v>
      </c>
      <c r="F18" t="s">
        <v>1201</v>
      </c>
      <c r="G18">
        <v>1</v>
      </c>
    </row>
    <row r="19" spans="3:7">
      <c r="D19" t="s">
        <v>1481</v>
      </c>
      <c r="E19" t="s">
        <v>1201</v>
      </c>
      <c r="F19" t="s">
        <v>1201</v>
      </c>
      <c r="G19">
        <v>1</v>
      </c>
    </row>
    <row r="20" spans="3:7">
      <c r="D20" t="s">
        <v>1478</v>
      </c>
      <c r="E20" t="s">
        <v>1201</v>
      </c>
      <c r="F20" t="s">
        <v>1201</v>
      </c>
      <c r="G20">
        <v>1</v>
      </c>
    </row>
    <row r="21" spans="3:7">
      <c r="D21" t="s">
        <v>1483</v>
      </c>
      <c r="E21" t="s">
        <v>1201</v>
      </c>
      <c r="F21" t="s">
        <v>1201</v>
      </c>
      <c r="G21">
        <v>1</v>
      </c>
    </row>
    <row r="22" spans="3:7">
      <c r="C22" t="s">
        <v>1486</v>
      </c>
      <c r="D22" t="s">
        <v>1513</v>
      </c>
      <c r="E22" t="s">
        <v>1201</v>
      </c>
      <c r="F22" t="s">
        <v>1201</v>
      </c>
      <c r="G22">
        <v>1</v>
      </c>
    </row>
    <row r="23" spans="3:7">
      <c r="D23" t="s">
        <v>1511</v>
      </c>
      <c r="E23" t="s">
        <v>1201</v>
      </c>
      <c r="F23" t="s">
        <v>1201</v>
      </c>
      <c r="G23">
        <v>3</v>
      </c>
    </row>
    <row r="24" spans="3:7">
      <c r="D24" t="s">
        <v>1498</v>
      </c>
      <c r="E24" t="s">
        <v>1201</v>
      </c>
      <c r="F24" t="s">
        <v>1201</v>
      </c>
      <c r="G24">
        <v>6</v>
      </c>
    </row>
    <row r="25" spans="3:7">
      <c r="D25" t="s">
        <v>1512</v>
      </c>
      <c r="E25" t="s">
        <v>1201</v>
      </c>
      <c r="F25" t="s">
        <v>1201</v>
      </c>
      <c r="G25">
        <v>1</v>
      </c>
    </row>
    <row r="26" spans="3:7">
      <c r="D26" t="s">
        <v>1488</v>
      </c>
      <c r="E26" t="s">
        <v>1201</v>
      </c>
      <c r="F26" t="s">
        <v>1201</v>
      </c>
      <c r="G26">
        <v>40</v>
      </c>
    </row>
    <row r="27" spans="3:7">
      <c r="D27" t="s">
        <v>1487</v>
      </c>
      <c r="E27" t="s">
        <v>1201</v>
      </c>
      <c r="F27" t="s">
        <v>1201</v>
      </c>
      <c r="G27">
        <v>10</v>
      </c>
    </row>
    <row r="28" spans="3:7">
      <c r="D28" t="s">
        <v>1493</v>
      </c>
      <c r="E28" t="s">
        <v>1201</v>
      </c>
      <c r="F28" t="s">
        <v>1201</v>
      </c>
      <c r="G28">
        <v>2</v>
      </c>
    </row>
    <row r="29" spans="3:7">
      <c r="D29" t="s">
        <v>1508</v>
      </c>
      <c r="E29" t="s">
        <v>1201</v>
      </c>
      <c r="F29" t="s">
        <v>1201</v>
      </c>
      <c r="G29">
        <v>5</v>
      </c>
    </row>
    <row r="30" spans="3:7">
      <c r="D30" t="s">
        <v>1505</v>
      </c>
      <c r="E30" t="s">
        <v>1201</v>
      </c>
      <c r="F30" t="s">
        <v>1201</v>
      </c>
      <c r="G30">
        <v>3</v>
      </c>
    </row>
    <row r="31" spans="3:7">
      <c r="D31" t="s">
        <v>1501</v>
      </c>
      <c r="E31" t="s">
        <v>1201</v>
      </c>
      <c r="F31" t="s">
        <v>1201</v>
      </c>
      <c r="G31">
        <v>4</v>
      </c>
    </row>
    <row r="32" spans="3:7">
      <c r="D32" t="s">
        <v>1500</v>
      </c>
      <c r="E32" t="s">
        <v>1201</v>
      </c>
      <c r="F32" t="s">
        <v>1201</v>
      </c>
      <c r="G32">
        <v>5</v>
      </c>
    </row>
    <row r="33" spans="2:7">
      <c r="D33" t="s">
        <v>1502</v>
      </c>
      <c r="E33" t="s">
        <v>1201</v>
      </c>
      <c r="F33" t="s">
        <v>1201</v>
      </c>
      <c r="G33">
        <v>5</v>
      </c>
    </row>
    <row r="34" spans="2:7">
      <c r="D34" t="s">
        <v>1504</v>
      </c>
      <c r="E34" t="s">
        <v>1201</v>
      </c>
      <c r="F34" t="s">
        <v>1201</v>
      </c>
      <c r="G34">
        <v>2</v>
      </c>
    </row>
    <row r="35" spans="2:7">
      <c r="D35" t="s">
        <v>1503</v>
      </c>
      <c r="E35" t="s">
        <v>1201</v>
      </c>
      <c r="F35" t="s">
        <v>1201</v>
      </c>
      <c r="G35">
        <v>1</v>
      </c>
    </row>
    <row r="36" spans="2:7">
      <c r="D36" t="s">
        <v>1506</v>
      </c>
      <c r="E36" t="s">
        <v>1201</v>
      </c>
      <c r="F36" t="s">
        <v>1201</v>
      </c>
      <c r="G36">
        <v>1</v>
      </c>
    </row>
    <row r="37" spans="2:7">
      <c r="D37" t="s">
        <v>1507</v>
      </c>
      <c r="E37" t="s">
        <v>1201</v>
      </c>
      <c r="F37" t="s">
        <v>1201</v>
      </c>
      <c r="G37">
        <v>1</v>
      </c>
    </row>
    <row r="38" spans="2:7">
      <c r="C38" t="s">
        <v>1029</v>
      </c>
      <c r="D38" t="s">
        <v>1514</v>
      </c>
      <c r="E38" t="s">
        <v>1201</v>
      </c>
      <c r="F38" t="s">
        <v>1201</v>
      </c>
      <c r="G38">
        <v>1</v>
      </c>
    </row>
    <row r="39" spans="2:7">
      <c r="B39">
        <v>138</v>
      </c>
      <c r="C39" t="s">
        <v>1189</v>
      </c>
      <c r="D39" t="s">
        <v>791</v>
      </c>
      <c r="E39">
        <v>12442</v>
      </c>
      <c r="F39" t="s">
        <v>1197</v>
      </c>
      <c r="G39">
        <v>4</v>
      </c>
    </row>
    <row r="40" spans="2:7">
      <c r="B40">
        <v>135</v>
      </c>
      <c r="C40" t="s">
        <v>1199</v>
      </c>
      <c r="D40" t="s">
        <v>1205</v>
      </c>
      <c r="E40" t="s">
        <v>1201</v>
      </c>
      <c r="F40" t="s">
        <v>1206</v>
      </c>
      <c r="G40">
        <v>1</v>
      </c>
    </row>
    <row r="41" spans="2:7">
      <c r="F41" t="s">
        <v>1207</v>
      </c>
      <c r="G41">
        <v>1</v>
      </c>
    </row>
    <row r="42" spans="2:7">
      <c r="F42" t="s">
        <v>1208</v>
      </c>
      <c r="G42">
        <v>1</v>
      </c>
    </row>
    <row r="43" spans="2:7">
      <c r="F43" t="s">
        <v>1209</v>
      </c>
      <c r="G43">
        <v>1</v>
      </c>
    </row>
    <row r="44" spans="2:7">
      <c r="D44" t="s">
        <v>1200</v>
      </c>
      <c r="E44" t="s">
        <v>1201</v>
      </c>
      <c r="F44" t="s">
        <v>1202</v>
      </c>
      <c r="G44">
        <v>1</v>
      </c>
    </row>
    <row r="45" spans="2:7">
      <c r="F45" t="s">
        <v>1204</v>
      </c>
      <c r="G45">
        <v>1</v>
      </c>
    </row>
    <row r="46" spans="2:7">
      <c r="D46" t="s">
        <v>1243</v>
      </c>
      <c r="E46" t="s">
        <v>1201</v>
      </c>
      <c r="F46" t="s">
        <v>1201</v>
      </c>
      <c r="G46">
        <v>1</v>
      </c>
    </row>
    <row r="47" spans="2:7">
      <c r="D47" t="s">
        <v>1239</v>
      </c>
      <c r="E47" t="s">
        <v>1201</v>
      </c>
      <c r="F47" t="s">
        <v>1201</v>
      </c>
      <c r="G47">
        <v>11</v>
      </c>
    </row>
    <row r="48" spans="2:7">
      <c r="D48" t="s">
        <v>1241</v>
      </c>
      <c r="E48" t="s">
        <v>1201</v>
      </c>
      <c r="F48" t="s">
        <v>1201</v>
      </c>
      <c r="G48">
        <v>2</v>
      </c>
    </row>
    <row r="49" spans="2:7">
      <c r="D49" t="s">
        <v>1236</v>
      </c>
      <c r="E49" t="s">
        <v>1201</v>
      </c>
      <c r="F49" t="s">
        <v>1237</v>
      </c>
      <c r="G49">
        <v>1</v>
      </c>
    </row>
    <row r="50" spans="2:7">
      <c r="B50">
        <v>136</v>
      </c>
      <c r="C50" t="s">
        <v>1199</v>
      </c>
      <c r="D50" t="s">
        <v>1238</v>
      </c>
      <c r="E50" t="s">
        <v>1201</v>
      </c>
      <c r="F50" t="s">
        <v>1201</v>
      </c>
      <c r="G50">
        <v>10</v>
      </c>
    </row>
    <row r="51" spans="2:7">
      <c r="D51" t="s">
        <v>1233</v>
      </c>
      <c r="E51" t="s">
        <v>1201</v>
      </c>
      <c r="F51" t="s">
        <v>1234</v>
      </c>
      <c r="G51">
        <v>20</v>
      </c>
    </row>
    <row r="52" spans="2:7">
      <c r="F52" t="s">
        <v>1235</v>
      </c>
      <c r="G52">
        <v>20</v>
      </c>
    </row>
    <row r="53" spans="2:7">
      <c r="D53" t="s">
        <v>1210</v>
      </c>
      <c r="E53" t="s">
        <v>1201</v>
      </c>
      <c r="F53" t="s">
        <v>1211</v>
      </c>
      <c r="G53">
        <v>1</v>
      </c>
    </row>
    <row r="54" spans="2:7">
      <c r="F54" t="s">
        <v>1212</v>
      </c>
      <c r="G54">
        <v>1</v>
      </c>
    </row>
    <row r="55" spans="2:7">
      <c r="F55" t="s">
        <v>1213</v>
      </c>
      <c r="G55">
        <v>1</v>
      </c>
    </row>
    <row r="56" spans="2:7">
      <c r="F56" t="s">
        <v>1214</v>
      </c>
      <c r="G56">
        <v>1</v>
      </c>
    </row>
    <row r="57" spans="2:7">
      <c r="F57" t="s">
        <v>1215</v>
      </c>
      <c r="G57">
        <v>1</v>
      </c>
    </row>
    <row r="58" spans="2:7">
      <c r="F58" t="s">
        <v>1216</v>
      </c>
      <c r="G58">
        <v>1</v>
      </c>
    </row>
    <row r="59" spans="2:7">
      <c r="F59" t="s">
        <v>1217</v>
      </c>
      <c r="G59">
        <v>1</v>
      </c>
    </row>
    <row r="60" spans="2:7">
      <c r="F60" t="s">
        <v>1218</v>
      </c>
      <c r="G60">
        <v>1</v>
      </c>
    </row>
    <row r="61" spans="2:7">
      <c r="F61" t="s">
        <v>1219</v>
      </c>
      <c r="G61">
        <v>1</v>
      </c>
    </row>
    <row r="62" spans="2:7">
      <c r="F62" t="s">
        <v>1220</v>
      </c>
      <c r="G62">
        <v>1</v>
      </c>
    </row>
    <row r="63" spans="2:7">
      <c r="F63" t="s">
        <v>1221</v>
      </c>
      <c r="G63">
        <v>1</v>
      </c>
    </row>
    <row r="64" spans="2:7">
      <c r="F64" t="s">
        <v>1222</v>
      </c>
      <c r="G64">
        <v>1</v>
      </c>
    </row>
    <row r="65" spans="2:7">
      <c r="F65" t="s">
        <v>1223</v>
      </c>
      <c r="G65">
        <v>1</v>
      </c>
    </row>
    <row r="66" spans="2:7">
      <c r="F66" t="s">
        <v>1224</v>
      </c>
      <c r="G66">
        <v>1</v>
      </c>
    </row>
    <row r="67" spans="2:7">
      <c r="F67" t="s">
        <v>1225</v>
      </c>
      <c r="G67">
        <v>1</v>
      </c>
    </row>
    <row r="68" spans="2:7">
      <c r="F68" t="s">
        <v>1226</v>
      </c>
      <c r="G68">
        <v>1</v>
      </c>
    </row>
    <row r="69" spans="2:7">
      <c r="F69" t="s">
        <v>1227</v>
      </c>
      <c r="G69">
        <v>1</v>
      </c>
    </row>
    <row r="70" spans="2:7">
      <c r="F70" t="s">
        <v>1228</v>
      </c>
      <c r="G70">
        <v>1</v>
      </c>
    </row>
    <row r="71" spans="2:7">
      <c r="F71" t="s">
        <v>1229</v>
      </c>
      <c r="G71">
        <v>1</v>
      </c>
    </row>
    <row r="72" spans="2:7">
      <c r="F72" t="s">
        <v>1230</v>
      </c>
      <c r="G72">
        <v>1</v>
      </c>
    </row>
    <row r="73" spans="2:7">
      <c r="F73" t="s">
        <v>1231</v>
      </c>
      <c r="G73">
        <v>1</v>
      </c>
    </row>
    <row r="74" spans="2:7">
      <c r="F74" t="s">
        <v>1232</v>
      </c>
      <c r="G74">
        <v>1</v>
      </c>
    </row>
    <row r="75" spans="2:7">
      <c r="D75" t="s">
        <v>1240</v>
      </c>
      <c r="E75" t="s">
        <v>1201</v>
      </c>
      <c r="F75" t="s">
        <v>1201</v>
      </c>
      <c r="G75">
        <v>1</v>
      </c>
    </row>
    <row r="76" spans="2:7">
      <c r="C76" t="s">
        <v>1248</v>
      </c>
      <c r="D76" t="s">
        <v>1249</v>
      </c>
      <c r="E76" t="s">
        <v>1201</v>
      </c>
      <c r="F76" t="s">
        <v>1250</v>
      </c>
      <c r="G76">
        <v>1</v>
      </c>
    </row>
    <row r="77" spans="2:7">
      <c r="F77" t="s">
        <v>1251</v>
      </c>
      <c r="G77">
        <v>1</v>
      </c>
    </row>
    <row r="78" spans="2:7">
      <c r="C78" t="s">
        <v>1245</v>
      </c>
      <c r="D78" t="s">
        <v>1246</v>
      </c>
      <c r="E78" t="s">
        <v>1201</v>
      </c>
      <c r="F78" t="s">
        <v>1201</v>
      </c>
      <c r="G78">
        <v>1</v>
      </c>
    </row>
    <row r="79" spans="2:7">
      <c r="B79">
        <v>162</v>
      </c>
      <c r="C79" t="s">
        <v>1030</v>
      </c>
      <c r="D79" t="s">
        <v>1252</v>
      </c>
      <c r="E79" t="s">
        <v>1253</v>
      </c>
      <c r="F79" t="s">
        <v>1254</v>
      </c>
      <c r="G79">
        <v>1</v>
      </c>
    </row>
    <row r="80" spans="2:7">
      <c r="E80" t="s">
        <v>1255</v>
      </c>
      <c r="F80" t="s">
        <v>1256</v>
      </c>
      <c r="G80">
        <v>1</v>
      </c>
    </row>
    <row r="81" spans="3:7">
      <c r="E81" t="s">
        <v>1257</v>
      </c>
      <c r="F81" t="s">
        <v>1258</v>
      </c>
      <c r="G81">
        <v>1</v>
      </c>
    </row>
    <row r="82" spans="3:7">
      <c r="E82" t="s">
        <v>1259</v>
      </c>
      <c r="F82" t="s">
        <v>1260</v>
      </c>
      <c r="G82">
        <v>1</v>
      </c>
    </row>
    <row r="83" spans="3:7">
      <c r="E83" t="s">
        <v>1261</v>
      </c>
      <c r="F83" t="s">
        <v>1262</v>
      </c>
      <c r="G83">
        <v>1</v>
      </c>
    </row>
    <row r="84" spans="3:7">
      <c r="E84" t="s">
        <v>1263</v>
      </c>
      <c r="F84" t="s">
        <v>1264</v>
      </c>
      <c r="G84">
        <v>1</v>
      </c>
    </row>
    <row r="85" spans="3:7">
      <c r="E85" t="s">
        <v>1265</v>
      </c>
      <c r="F85" t="s">
        <v>1266</v>
      </c>
      <c r="G85">
        <v>1</v>
      </c>
    </row>
    <row r="86" spans="3:7">
      <c r="E86" t="s">
        <v>1267</v>
      </c>
      <c r="F86" t="s">
        <v>1268</v>
      </c>
      <c r="G86">
        <v>1</v>
      </c>
    </row>
    <row r="87" spans="3:7">
      <c r="E87" t="s">
        <v>1269</v>
      </c>
      <c r="F87" t="s">
        <v>1270</v>
      </c>
      <c r="G87">
        <v>1</v>
      </c>
    </row>
    <row r="88" spans="3:7">
      <c r="E88" t="s">
        <v>1271</v>
      </c>
      <c r="F88" t="s">
        <v>1272</v>
      </c>
      <c r="G88">
        <v>1</v>
      </c>
    </row>
    <row r="89" spans="3:7">
      <c r="C89" t="s">
        <v>1023</v>
      </c>
      <c r="D89" t="s">
        <v>1549</v>
      </c>
      <c r="E89" t="s">
        <v>1201</v>
      </c>
      <c r="F89" t="s">
        <v>1550</v>
      </c>
      <c r="G89">
        <v>1</v>
      </c>
    </row>
    <row r="90" spans="3:7">
      <c r="F90" t="s">
        <v>1551</v>
      </c>
      <c r="G90">
        <v>1</v>
      </c>
    </row>
    <row r="91" spans="3:7">
      <c r="F91" t="s">
        <v>1552</v>
      </c>
      <c r="G91">
        <v>1</v>
      </c>
    </row>
    <row r="92" spans="3:7">
      <c r="F92" t="s">
        <v>1553</v>
      </c>
      <c r="G92">
        <v>1</v>
      </c>
    </row>
    <row r="93" spans="3:7">
      <c r="C93" t="s">
        <v>1486</v>
      </c>
      <c r="D93" t="s">
        <v>1491</v>
      </c>
      <c r="E93" t="s">
        <v>1201</v>
      </c>
      <c r="F93" t="s">
        <v>1201</v>
      </c>
      <c r="G93">
        <v>8</v>
      </c>
    </row>
    <row r="94" spans="3:7">
      <c r="D94" t="s">
        <v>1509</v>
      </c>
      <c r="E94" t="s">
        <v>1201</v>
      </c>
      <c r="F94" t="s">
        <v>1201</v>
      </c>
      <c r="G94">
        <v>6</v>
      </c>
    </row>
    <row r="95" spans="3:7">
      <c r="D95" t="s">
        <v>1497</v>
      </c>
      <c r="E95" t="s">
        <v>1201</v>
      </c>
      <c r="F95" t="s">
        <v>1201</v>
      </c>
      <c r="G95">
        <v>6</v>
      </c>
    </row>
    <row r="96" spans="3:7">
      <c r="D96" t="s">
        <v>1492</v>
      </c>
      <c r="E96" t="s">
        <v>1201</v>
      </c>
      <c r="F96" t="s">
        <v>1201</v>
      </c>
      <c r="G96">
        <v>1</v>
      </c>
    </row>
    <row r="97" spans="2:7">
      <c r="D97" t="s">
        <v>1494</v>
      </c>
      <c r="E97" t="s">
        <v>1201</v>
      </c>
      <c r="F97" t="s">
        <v>1201</v>
      </c>
      <c r="G97">
        <v>7</v>
      </c>
    </row>
    <row r="98" spans="2:7">
      <c r="D98" t="s">
        <v>1496</v>
      </c>
      <c r="E98" t="s">
        <v>1201</v>
      </c>
      <c r="F98" t="s">
        <v>1201</v>
      </c>
      <c r="G98">
        <v>5</v>
      </c>
    </row>
    <row r="99" spans="2:7">
      <c r="D99" t="s">
        <v>1495</v>
      </c>
      <c r="E99" t="s">
        <v>1201</v>
      </c>
      <c r="F99" t="s">
        <v>1201</v>
      </c>
      <c r="G99">
        <v>5</v>
      </c>
    </row>
    <row r="100" spans="2:7">
      <c r="D100" t="s">
        <v>1510</v>
      </c>
      <c r="E100" t="s">
        <v>1201</v>
      </c>
      <c r="F100" t="s">
        <v>1201</v>
      </c>
      <c r="G100">
        <v>2</v>
      </c>
    </row>
    <row r="101" spans="2:7">
      <c r="C101" t="s">
        <v>1517</v>
      </c>
      <c r="D101" t="s">
        <v>1518</v>
      </c>
      <c r="E101" t="s">
        <v>1201</v>
      </c>
      <c r="F101" t="s">
        <v>1201</v>
      </c>
      <c r="G101">
        <v>11</v>
      </c>
    </row>
    <row r="102" spans="2:7">
      <c r="B102">
        <v>184</v>
      </c>
      <c r="C102" t="s">
        <v>1030</v>
      </c>
      <c r="D102" t="s">
        <v>1252</v>
      </c>
      <c r="E102" t="s">
        <v>1273</v>
      </c>
      <c r="F102" t="s">
        <v>1274</v>
      </c>
      <c r="G102">
        <v>1</v>
      </c>
    </row>
    <row r="103" spans="2:7">
      <c r="E103" t="s">
        <v>1275</v>
      </c>
      <c r="F103" t="s">
        <v>1276</v>
      </c>
      <c r="G103">
        <v>1</v>
      </c>
    </row>
    <row r="104" spans="2:7">
      <c r="E104" t="s">
        <v>1277</v>
      </c>
      <c r="F104" t="s">
        <v>1278</v>
      </c>
      <c r="G104">
        <v>1</v>
      </c>
    </row>
    <row r="105" spans="2:7">
      <c r="E105" t="s">
        <v>1279</v>
      </c>
      <c r="F105" t="s">
        <v>1280</v>
      </c>
      <c r="G105">
        <v>1</v>
      </c>
    </row>
    <row r="106" spans="2:7">
      <c r="E106" t="s">
        <v>1281</v>
      </c>
      <c r="F106" t="s">
        <v>1282</v>
      </c>
      <c r="G106">
        <v>1</v>
      </c>
    </row>
    <row r="107" spans="2:7">
      <c r="E107" t="s">
        <v>1283</v>
      </c>
      <c r="F107" t="s">
        <v>1284</v>
      </c>
      <c r="G107">
        <v>1</v>
      </c>
    </row>
    <row r="108" spans="2:7">
      <c r="E108" t="s">
        <v>1285</v>
      </c>
      <c r="F108" t="s">
        <v>1286</v>
      </c>
      <c r="G108">
        <v>1</v>
      </c>
    </row>
    <row r="109" spans="2:7">
      <c r="E109" t="s">
        <v>1287</v>
      </c>
      <c r="F109" t="s">
        <v>1288</v>
      </c>
      <c r="G109">
        <v>1</v>
      </c>
    </row>
    <row r="110" spans="2:7">
      <c r="E110" t="s">
        <v>1289</v>
      </c>
      <c r="F110" t="s">
        <v>1290</v>
      </c>
      <c r="G110">
        <v>1</v>
      </c>
    </row>
    <row r="111" spans="2:7">
      <c r="E111" t="s">
        <v>1291</v>
      </c>
      <c r="F111" t="s">
        <v>1292</v>
      </c>
      <c r="G111">
        <v>1</v>
      </c>
    </row>
    <row r="112" spans="2:7">
      <c r="B112">
        <v>114</v>
      </c>
      <c r="C112" t="s">
        <v>1030</v>
      </c>
      <c r="D112" t="s">
        <v>1252</v>
      </c>
      <c r="E112" t="s">
        <v>1293</v>
      </c>
      <c r="F112" t="s">
        <v>1294</v>
      </c>
      <c r="G112">
        <v>1</v>
      </c>
    </row>
    <row r="113" spans="2:7">
      <c r="E113" t="s">
        <v>1295</v>
      </c>
      <c r="F113" t="s">
        <v>1296</v>
      </c>
      <c r="G113">
        <v>1</v>
      </c>
    </row>
    <row r="114" spans="2:7">
      <c r="E114" t="s">
        <v>1297</v>
      </c>
      <c r="F114" t="s">
        <v>1298</v>
      </c>
      <c r="G114">
        <v>1</v>
      </c>
    </row>
    <row r="115" spans="2:7">
      <c r="E115" t="s">
        <v>1299</v>
      </c>
      <c r="F115" t="s">
        <v>1300</v>
      </c>
      <c r="G115">
        <v>1</v>
      </c>
    </row>
    <row r="116" spans="2:7">
      <c r="E116" t="s">
        <v>1301</v>
      </c>
      <c r="F116" t="s">
        <v>1302</v>
      </c>
      <c r="G116">
        <v>1</v>
      </c>
    </row>
    <row r="117" spans="2:7">
      <c r="E117" t="s">
        <v>1303</v>
      </c>
      <c r="F117" t="s">
        <v>1304</v>
      </c>
      <c r="G117">
        <v>1</v>
      </c>
    </row>
    <row r="118" spans="2:7">
      <c r="E118" t="s">
        <v>1305</v>
      </c>
      <c r="F118" t="s">
        <v>1306</v>
      </c>
      <c r="G118">
        <v>1</v>
      </c>
    </row>
    <row r="119" spans="2:7">
      <c r="C119" t="s">
        <v>1515</v>
      </c>
      <c r="D119" t="s">
        <v>1516</v>
      </c>
      <c r="E119" t="s">
        <v>1201</v>
      </c>
      <c r="F119" t="s">
        <v>1201</v>
      </c>
    </row>
    <row r="120" spans="2:7">
      <c r="B120">
        <v>130</v>
      </c>
      <c r="C120" t="s">
        <v>1030</v>
      </c>
      <c r="D120" t="s">
        <v>1252</v>
      </c>
      <c r="E120" t="s">
        <v>1307</v>
      </c>
      <c r="F120" t="s">
        <v>1308</v>
      </c>
      <c r="G120">
        <v>1</v>
      </c>
    </row>
    <row r="121" spans="2:7">
      <c r="E121" t="s">
        <v>1309</v>
      </c>
      <c r="F121" t="s">
        <v>1310</v>
      </c>
      <c r="G121">
        <v>1</v>
      </c>
    </row>
    <row r="122" spans="2:7">
      <c r="E122" t="s">
        <v>1311</v>
      </c>
      <c r="F122" t="s">
        <v>1312</v>
      </c>
      <c r="G122">
        <v>1</v>
      </c>
    </row>
    <row r="123" spans="2:7">
      <c r="E123" t="s">
        <v>1313</v>
      </c>
      <c r="F123" t="s">
        <v>1314</v>
      </c>
      <c r="G123">
        <v>1</v>
      </c>
    </row>
    <row r="124" spans="2:7">
      <c r="E124" t="s">
        <v>1315</v>
      </c>
      <c r="F124" t="s">
        <v>1316</v>
      </c>
      <c r="G124">
        <v>1</v>
      </c>
    </row>
    <row r="125" spans="2:7">
      <c r="E125" t="s">
        <v>1317</v>
      </c>
      <c r="F125" t="s">
        <v>1318</v>
      </c>
      <c r="G125">
        <v>1</v>
      </c>
    </row>
    <row r="126" spans="2:7">
      <c r="E126" t="s">
        <v>1319</v>
      </c>
      <c r="F126" t="s">
        <v>1320</v>
      </c>
      <c r="G126">
        <v>1</v>
      </c>
    </row>
    <row r="127" spans="2:7">
      <c r="E127" t="s">
        <v>1321</v>
      </c>
      <c r="F127" t="s">
        <v>1322</v>
      </c>
      <c r="G127">
        <v>1</v>
      </c>
    </row>
    <row r="128" spans="2:7">
      <c r="E128" t="s">
        <v>1323</v>
      </c>
      <c r="F128" t="s">
        <v>1324</v>
      </c>
      <c r="G128">
        <v>1</v>
      </c>
    </row>
    <row r="129" spans="2:7">
      <c r="E129" t="s">
        <v>1325</v>
      </c>
      <c r="F129" t="s">
        <v>1326</v>
      </c>
      <c r="G129">
        <v>1</v>
      </c>
    </row>
    <row r="130" spans="2:7">
      <c r="B130">
        <v>178</v>
      </c>
      <c r="C130" t="s">
        <v>1030</v>
      </c>
      <c r="D130" t="s">
        <v>1252</v>
      </c>
      <c r="E130" t="s">
        <v>1327</v>
      </c>
      <c r="F130" t="s">
        <v>1328</v>
      </c>
      <c r="G130">
        <v>1</v>
      </c>
    </row>
    <row r="131" spans="2:7">
      <c r="E131" t="s">
        <v>1329</v>
      </c>
      <c r="F131" t="s">
        <v>1330</v>
      </c>
      <c r="G131">
        <v>1</v>
      </c>
    </row>
    <row r="132" spans="2:7">
      <c r="C132" t="s">
        <v>1486</v>
      </c>
      <c r="D132" t="s">
        <v>1241</v>
      </c>
      <c r="E132" t="s">
        <v>1201</v>
      </c>
      <c r="F132" t="s">
        <v>1201</v>
      </c>
      <c r="G132">
        <v>40</v>
      </c>
    </row>
    <row r="133" spans="2:7">
      <c r="D133" t="s">
        <v>1490</v>
      </c>
      <c r="E133" t="s">
        <v>1201</v>
      </c>
      <c r="F133" t="s">
        <v>1201</v>
      </c>
      <c r="G133">
        <v>3</v>
      </c>
    </row>
    <row r="134" spans="2:7">
      <c r="B134">
        <v>1</v>
      </c>
      <c r="C134" t="s">
        <v>1023</v>
      </c>
      <c r="D134" t="s">
        <v>1331</v>
      </c>
      <c r="E134" t="s">
        <v>1201</v>
      </c>
      <c r="F134" t="s">
        <v>1332</v>
      </c>
      <c r="G134">
        <v>1</v>
      </c>
    </row>
    <row r="135" spans="2:7">
      <c r="F135" t="s">
        <v>1333</v>
      </c>
      <c r="G135">
        <v>1</v>
      </c>
    </row>
    <row r="136" spans="2:7">
      <c r="F136" t="s">
        <v>1334</v>
      </c>
      <c r="G136">
        <v>1</v>
      </c>
    </row>
    <row r="137" spans="2:7">
      <c r="F137" t="s">
        <v>1335</v>
      </c>
      <c r="G137">
        <v>1</v>
      </c>
    </row>
    <row r="138" spans="2:7">
      <c r="F138" t="s">
        <v>1336</v>
      </c>
      <c r="G138">
        <v>1</v>
      </c>
    </row>
    <row r="139" spans="2:7">
      <c r="F139" t="s">
        <v>1337</v>
      </c>
      <c r="G139">
        <v>1</v>
      </c>
    </row>
    <row r="140" spans="2:7">
      <c r="F140" t="s">
        <v>1338</v>
      </c>
      <c r="G140">
        <v>1</v>
      </c>
    </row>
    <row r="141" spans="2:7">
      <c r="F141" t="s">
        <v>1339</v>
      </c>
      <c r="G141">
        <v>1</v>
      </c>
    </row>
    <row r="142" spans="2:7">
      <c r="F142" t="s">
        <v>1340</v>
      </c>
      <c r="G142">
        <v>1</v>
      </c>
    </row>
    <row r="143" spans="2:7">
      <c r="F143" t="s">
        <v>1341</v>
      </c>
      <c r="G143">
        <v>1</v>
      </c>
    </row>
    <row r="144" spans="2:7">
      <c r="B144">
        <v>2</v>
      </c>
      <c r="C144" t="s">
        <v>1023</v>
      </c>
      <c r="D144" t="s">
        <v>1331</v>
      </c>
      <c r="E144" t="s">
        <v>1201</v>
      </c>
      <c r="F144" t="s">
        <v>1342</v>
      </c>
      <c r="G144">
        <v>1</v>
      </c>
    </row>
    <row r="145" spans="2:7">
      <c r="F145" t="s">
        <v>1343</v>
      </c>
      <c r="G145">
        <v>1</v>
      </c>
    </row>
    <row r="146" spans="2:7">
      <c r="F146" t="s">
        <v>1344</v>
      </c>
      <c r="G146">
        <v>1</v>
      </c>
    </row>
    <row r="147" spans="2:7">
      <c r="F147" t="s">
        <v>1345</v>
      </c>
      <c r="G147">
        <v>1</v>
      </c>
    </row>
    <row r="148" spans="2:7">
      <c r="F148" t="s">
        <v>1346</v>
      </c>
      <c r="G148">
        <v>1</v>
      </c>
    </row>
    <row r="149" spans="2:7">
      <c r="F149" t="s">
        <v>1347</v>
      </c>
      <c r="G149">
        <v>1</v>
      </c>
    </row>
    <row r="150" spans="2:7">
      <c r="F150" t="s">
        <v>1348</v>
      </c>
      <c r="G150">
        <v>1</v>
      </c>
    </row>
    <row r="151" spans="2:7">
      <c r="F151" t="s">
        <v>1349</v>
      </c>
      <c r="G151">
        <v>1</v>
      </c>
    </row>
    <row r="152" spans="2:7">
      <c r="F152" t="s">
        <v>1350</v>
      </c>
      <c r="G152">
        <v>1</v>
      </c>
    </row>
    <row r="153" spans="2:7">
      <c r="F153" t="s">
        <v>1351</v>
      </c>
      <c r="G153">
        <v>1</v>
      </c>
    </row>
    <row r="154" spans="2:7">
      <c r="B154">
        <v>3</v>
      </c>
      <c r="C154" t="s">
        <v>1023</v>
      </c>
      <c r="D154" t="s">
        <v>1331</v>
      </c>
      <c r="E154" t="s">
        <v>1201</v>
      </c>
      <c r="F154" t="s">
        <v>1352</v>
      </c>
      <c r="G154">
        <v>1</v>
      </c>
    </row>
    <row r="155" spans="2:7">
      <c r="F155" t="s">
        <v>1353</v>
      </c>
      <c r="G155">
        <v>1</v>
      </c>
    </row>
    <row r="156" spans="2:7">
      <c r="F156" t="s">
        <v>1354</v>
      </c>
      <c r="G156">
        <v>1</v>
      </c>
    </row>
    <row r="157" spans="2:7">
      <c r="F157" t="s">
        <v>1355</v>
      </c>
      <c r="G157">
        <v>1</v>
      </c>
    </row>
    <row r="158" spans="2:7">
      <c r="F158" t="s">
        <v>1356</v>
      </c>
      <c r="G158">
        <v>1</v>
      </c>
    </row>
    <row r="159" spans="2:7">
      <c r="F159" t="s">
        <v>1357</v>
      </c>
      <c r="G159">
        <v>1</v>
      </c>
    </row>
    <row r="160" spans="2:7">
      <c r="F160" t="s">
        <v>1358</v>
      </c>
      <c r="G160">
        <v>1</v>
      </c>
    </row>
    <row r="161" spans="2:7">
      <c r="F161" t="s">
        <v>1359</v>
      </c>
      <c r="G161">
        <v>1</v>
      </c>
    </row>
    <row r="162" spans="2:7">
      <c r="F162" t="s">
        <v>1360</v>
      </c>
      <c r="G162">
        <v>1</v>
      </c>
    </row>
    <row r="163" spans="2:7">
      <c r="F163" t="s">
        <v>1361</v>
      </c>
      <c r="G163">
        <v>1</v>
      </c>
    </row>
    <row r="164" spans="2:7">
      <c r="B164">
        <v>4</v>
      </c>
      <c r="C164" t="s">
        <v>1023</v>
      </c>
      <c r="D164" t="s">
        <v>1331</v>
      </c>
      <c r="E164" t="s">
        <v>1201</v>
      </c>
      <c r="F164" t="s">
        <v>1362</v>
      </c>
      <c r="G164">
        <v>1</v>
      </c>
    </row>
    <row r="165" spans="2:7">
      <c r="F165" t="s">
        <v>1363</v>
      </c>
      <c r="G165">
        <v>1</v>
      </c>
    </row>
    <row r="166" spans="2:7">
      <c r="F166" t="s">
        <v>1364</v>
      </c>
      <c r="G166">
        <v>1</v>
      </c>
    </row>
    <row r="167" spans="2:7">
      <c r="F167" t="s">
        <v>1365</v>
      </c>
      <c r="G167">
        <v>1</v>
      </c>
    </row>
    <row r="168" spans="2:7">
      <c r="F168" t="s">
        <v>1366</v>
      </c>
      <c r="G168">
        <v>1</v>
      </c>
    </row>
    <row r="169" spans="2:7">
      <c r="F169" t="s">
        <v>1367</v>
      </c>
      <c r="G169">
        <v>1</v>
      </c>
    </row>
    <row r="170" spans="2:7">
      <c r="F170" t="s">
        <v>1368</v>
      </c>
      <c r="G170">
        <v>1</v>
      </c>
    </row>
    <row r="171" spans="2:7">
      <c r="F171" t="s">
        <v>1369</v>
      </c>
      <c r="G171">
        <v>1</v>
      </c>
    </row>
    <row r="172" spans="2:7">
      <c r="F172" t="s">
        <v>1370</v>
      </c>
      <c r="G172">
        <v>1</v>
      </c>
    </row>
    <row r="173" spans="2:7">
      <c r="F173" t="s">
        <v>1371</v>
      </c>
      <c r="G173">
        <v>1</v>
      </c>
    </row>
    <row r="174" spans="2:7">
      <c r="B174">
        <v>5</v>
      </c>
      <c r="C174" t="s">
        <v>1023</v>
      </c>
      <c r="D174" t="s">
        <v>1331</v>
      </c>
      <c r="E174" t="s">
        <v>1201</v>
      </c>
      <c r="F174" t="s">
        <v>1372</v>
      </c>
      <c r="G174">
        <v>1</v>
      </c>
    </row>
    <row r="175" spans="2:7">
      <c r="F175" t="s">
        <v>1373</v>
      </c>
      <c r="G175">
        <v>1</v>
      </c>
    </row>
    <row r="176" spans="2:7">
      <c r="F176" t="s">
        <v>1374</v>
      </c>
      <c r="G176">
        <v>1</v>
      </c>
    </row>
    <row r="177" spans="2:7">
      <c r="F177" t="s">
        <v>1375</v>
      </c>
      <c r="G177">
        <v>1</v>
      </c>
    </row>
    <row r="178" spans="2:7">
      <c r="F178" t="s">
        <v>1376</v>
      </c>
      <c r="G178">
        <v>1</v>
      </c>
    </row>
    <row r="179" spans="2:7">
      <c r="F179" t="s">
        <v>1377</v>
      </c>
      <c r="G179">
        <v>1</v>
      </c>
    </row>
    <row r="180" spans="2:7">
      <c r="F180" t="s">
        <v>1378</v>
      </c>
      <c r="G180">
        <v>1</v>
      </c>
    </row>
    <row r="181" spans="2:7">
      <c r="F181" t="s">
        <v>1379</v>
      </c>
      <c r="G181">
        <v>1</v>
      </c>
    </row>
    <row r="182" spans="2:7">
      <c r="F182" t="s">
        <v>1380</v>
      </c>
      <c r="G182">
        <v>1</v>
      </c>
    </row>
    <row r="183" spans="2:7">
      <c r="F183" t="s">
        <v>1381</v>
      </c>
      <c r="G183">
        <v>1</v>
      </c>
    </row>
    <row r="184" spans="2:7">
      <c r="B184">
        <v>6</v>
      </c>
      <c r="C184" t="s">
        <v>1023</v>
      </c>
      <c r="D184" t="s">
        <v>1331</v>
      </c>
      <c r="E184" t="s">
        <v>1201</v>
      </c>
      <c r="F184" t="s">
        <v>1382</v>
      </c>
      <c r="G184">
        <v>1</v>
      </c>
    </row>
    <row r="185" spans="2:7">
      <c r="F185" t="s">
        <v>1383</v>
      </c>
      <c r="G185">
        <v>1</v>
      </c>
    </row>
    <row r="186" spans="2:7">
      <c r="F186" t="s">
        <v>1384</v>
      </c>
      <c r="G186">
        <v>1</v>
      </c>
    </row>
    <row r="187" spans="2:7">
      <c r="F187" t="s">
        <v>1385</v>
      </c>
      <c r="G187">
        <v>1</v>
      </c>
    </row>
    <row r="188" spans="2:7">
      <c r="F188" t="s">
        <v>1386</v>
      </c>
      <c r="G188">
        <v>1</v>
      </c>
    </row>
    <row r="189" spans="2:7">
      <c r="F189" t="s">
        <v>1387</v>
      </c>
      <c r="G189">
        <v>1</v>
      </c>
    </row>
    <row r="190" spans="2:7">
      <c r="F190" t="s">
        <v>1388</v>
      </c>
      <c r="G190">
        <v>1</v>
      </c>
    </row>
    <row r="191" spans="2:7">
      <c r="F191" t="s">
        <v>1389</v>
      </c>
      <c r="G191">
        <v>1</v>
      </c>
    </row>
    <row r="192" spans="2:7">
      <c r="F192" t="s">
        <v>1390</v>
      </c>
      <c r="G192">
        <v>1</v>
      </c>
    </row>
    <row r="193" spans="2:7">
      <c r="F193" t="s">
        <v>1391</v>
      </c>
      <c r="G193">
        <v>1</v>
      </c>
    </row>
    <row r="194" spans="2:7">
      <c r="B194">
        <v>7</v>
      </c>
      <c r="C194" t="s">
        <v>1023</v>
      </c>
      <c r="D194" t="s">
        <v>1331</v>
      </c>
      <c r="E194" t="s">
        <v>1201</v>
      </c>
      <c r="F194" t="s">
        <v>1392</v>
      </c>
      <c r="G194">
        <v>1</v>
      </c>
    </row>
    <row r="195" spans="2:7">
      <c r="F195" t="s">
        <v>1393</v>
      </c>
      <c r="G195">
        <v>1</v>
      </c>
    </row>
    <row r="196" spans="2:7">
      <c r="F196" t="s">
        <v>1394</v>
      </c>
      <c r="G196">
        <v>1</v>
      </c>
    </row>
    <row r="197" spans="2:7">
      <c r="F197" t="s">
        <v>1395</v>
      </c>
      <c r="G197">
        <v>1</v>
      </c>
    </row>
    <row r="198" spans="2:7">
      <c r="F198" t="s">
        <v>1396</v>
      </c>
      <c r="G198">
        <v>1</v>
      </c>
    </row>
    <row r="199" spans="2:7">
      <c r="F199" t="s">
        <v>1397</v>
      </c>
      <c r="G199">
        <v>1</v>
      </c>
    </row>
    <row r="200" spans="2:7">
      <c r="F200" t="s">
        <v>1398</v>
      </c>
      <c r="G200">
        <v>1</v>
      </c>
    </row>
    <row r="201" spans="2:7">
      <c r="F201" t="s">
        <v>1399</v>
      </c>
      <c r="G201">
        <v>1</v>
      </c>
    </row>
    <row r="202" spans="2:7">
      <c r="F202" t="s">
        <v>1400</v>
      </c>
      <c r="G202">
        <v>1</v>
      </c>
    </row>
    <row r="203" spans="2:7">
      <c r="F203" t="s">
        <v>1401</v>
      </c>
      <c r="G203">
        <v>1</v>
      </c>
    </row>
    <row r="204" spans="2:7">
      <c r="B204">
        <v>8</v>
      </c>
      <c r="C204" t="s">
        <v>1023</v>
      </c>
      <c r="D204" t="s">
        <v>1331</v>
      </c>
      <c r="E204" t="s">
        <v>1201</v>
      </c>
      <c r="F204" t="s">
        <v>1402</v>
      </c>
      <c r="G204">
        <v>1</v>
      </c>
    </row>
    <row r="205" spans="2:7">
      <c r="F205" t="s">
        <v>1403</v>
      </c>
      <c r="G205">
        <v>1</v>
      </c>
    </row>
    <row r="206" spans="2:7">
      <c r="F206" t="s">
        <v>1404</v>
      </c>
      <c r="G206">
        <v>1</v>
      </c>
    </row>
    <row r="207" spans="2:7">
      <c r="F207" t="s">
        <v>1405</v>
      </c>
      <c r="G207">
        <v>1</v>
      </c>
    </row>
    <row r="208" spans="2:7">
      <c r="F208" t="s">
        <v>1406</v>
      </c>
      <c r="G208">
        <v>1</v>
      </c>
    </row>
    <row r="209" spans="2:7">
      <c r="F209" t="s">
        <v>1407</v>
      </c>
      <c r="G209">
        <v>1</v>
      </c>
    </row>
    <row r="210" spans="2:7">
      <c r="F210" t="s">
        <v>1408</v>
      </c>
      <c r="G210">
        <v>1</v>
      </c>
    </row>
    <row r="211" spans="2:7">
      <c r="F211" t="s">
        <v>1409</v>
      </c>
      <c r="G211">
        <v>1</v>
      </c>
    </row>
    <row r="212" spans="2:7">
      <c r="F212" t="s">
        <v>1410</v>
      </c>
      <c r="G212">
        <v>1</v>
      </c>
    </row>
    <row r="213" spans="2:7">
      <c r="F213" t="s">
        <v>1411</v>
      </c>
      <c r="G213">
        <v>1</v>
      </c>
    </row>
    <row r="214" spans="2:7">
      <c r="B214">
        <v>9</v>
      </c>
      <c r="C214" t="s">
        <v>1023</v>
      </c>
      <c r="D214" t="s">
        <v>1331</v>
      </c>
      <c r="E214" t="s">
        <v>1201</v>
      </c>
      <c r="F214" t="s">
        <v>1412</v>
      </c>
      <c r="G214">
        <v>1</v>
      </c>
    </row>
    <row r="215" spans="2:7">
      <c r="F215" t="s">
        <v>1413</v>
      </c>
      <c r="G215">
        <v>1</v>
      </c>
    </row>
    <row r="216" spans="2:7">
      <c r="F216" t="s">
        <v>1414</v>
      </c>
      <c r="G216">
        <v>1</v>
      </c>
    </row>
    <row r="217" spans="2:7">
      <c r="F217" t="s">
        <v>1415</v>
      </c>
      <c r="G217">
        <v>1</v>
      </c>
    </row>
    <row r="218" spans="2:7">
      <c r="F218" t="s">
        <v>1416</v>
      </c>
      <c r="G218">
        <v>1</v>
      </c>
    </row>
    <row r="219" spans="2:7">
      <c r="F219" t="s">
        <v>1417</v>
      </c>
      <c r="G219">
        <v>1</v>
      </c>
    </row>
    <row r="220" spans="2:7">
      <c r="F220" t="s">
        <v>1418</v>
      </c>
      <c r="G220">
        <v>1</v>
      </c>
    </row>
    <row r="221" spans="2:7">
      <c r="F221" t="s">
        <v>1419</v>
      </c>
      <c r="G221">
        <v>1</v>
      </c>
    </row>
    <row r="222" spans="2:7">
      <c r="F222" t="s">
        <v>1420</v>
      </c>
      <c r="G222">
        <v>1</v>
      </c>
    </row>
    <row r="223" spans="2:7">
      <c r="F223" t="s">
        <v>1421</v>
      </c>
      <c r="G223">
        <v>1</v>
      </c>
    </row>
    <row r="224" spans="2:7">
      <c r="B224">
        <v>10</v>
      </c>
      <c r="C224" t="s">
        <v>1023</v>
      </c>
      <c r="D224" t="s">
        <v>1331</v>
      </c>
      <c r="E224" t="s">
        <v>1201</v>
      </c>
      <c r="F224" t="s">
        <v>1422</v>
      </c>
      <c r="G224">
        <v>1</v>
      </c>
    </row>
    <row r="225" spans="2:7">
      <c r="F225" t="s">
        <v>1423</v>
      </c>
      <c r="G225">
        <v>1</v>
      </c>
    </row>
    <row r="226" spans="2:7">
      <c r="F226" t="s">
        <v>1424</v>
      </c>
      <c r="G226">
        <v>1</v>
      </c>
    </row>
    <row r="227" spans="2:7">
      <c r="F227" t="s">
        <v>1425</v>
      </c>
      <c r="G227">
        <v>1</v>
      </c>
    </row>
    <row r="228" spans="2:7">
      <c r="F228" t="s">
        <v>1426</v>
      </c>
      <c r="G228">
        <v>1</v>
      </c>
    </row>
    <row r="229" spans="2:7">
      <c r="F229" t="s">
        <v>1427</v>
      </c>
      <c r="G229">
        <v>1</v>
      </c>
    </row>
    <row r="230" spans="2:7">
      <c r="F230" t="s">
        <v>1428</v>
      </c>
      <c r="G230">
        <v>1</v>
      </c>
    </row>
    <row r="231" spans="2:7">
      <c r="F231" t="s">
        <v>1429</v>
      </c>
      <c r="G231">
        <v>1</v>
      </c>
    </row>
    <row r="232" spans="2:7">
      <c r="F232" t="s">
        <v>1430</v>
      </c>
      <c r="G232">
        <v>1</v>
      </c>
    </row>
    <row r="233" spans="2:7">
      <c r="F233" t="s">
        <v>1431</v>
      </c>
      <c r="G233">
        <v>1</v>
      </c>
    </row>
    <row r="234" spans="2:7">
      <c r="B234">
        <v>11</v>
      </c>
      <c r="C234" t="s">
        <v>1023</v>
      </c>
      <c r="D234" t="s">
        <v>1331</v>
      </c>
      <c r="E234" t="s">
        <v>1201</v>
      </c>
      <c r="F234" t="s">
        <v>1432</v>
      </c>
      <c r="G234">
        <v>1</v>
      </c>
    </row>
    <row r="235" spans="2:7">
      <c r="F235" t="s">
        <v>1433</v>
      </c>
      <c r="G235">
        <v>1</v>
      </c>
    </row>
    <row r="236" spans="2:7">
      <c r="F236" t="s">
        <v>1434</v>
      </c>
      <c r="G236">
        <v>1</v>
      </c>
    </row>
    <row r="237" spans="2:7">
      <c r="F237" t="s">
        <v>1435</v>
      </c>
      <c r="G237">
        <v>1</v>
      </c>
    </row>
    <row r="238" spans="2:7">
      <c r="F238" t="s">
        <v>1436</v>
      </c>
      <c r="G238">
        <v>1</v>
      </c>
    </row>
    <row r="239" spans="2:7">
      <c r="F239" t="s">
        <v>1437</v>
      </c>
      <c r="G239">
        <v>1</v>
      </c>
    </row>
    <row r="240" spans="2:7">
      <c r="F240" t="s">
        <v>1438</v>
      </c>
      <c r="G240">
        <v>1</v>
      </c>
    </row>
    <row r="241" spans="2:7">
      <c r="F241" t="s">
        <v>1439</v>
      </c>
      <c r="G241">
        <v>1</v>
      </c>
    </row>
    <row r="242" spans="2:7">
      <c r="F242" t="s">
        <v>1440</v>
      </c>
      <c r="G242">
        <v>1</v>
      </c>
    </row>
    <row r="243" spans="2:7">
      <c r="F243" t="s">
        <v>1441</v>
      </c>
      <c r="G243">
        <v>1</v>
      </c>
    </row>
    <row r="244" spans="2:7">
      <c r="B244">
        <v>12</v>
      </c>
      <c r="C244" t="s">
        <v>1023</v>
      </c>
      <c r="D244" t="s">
        <v>1331</v>
      </c>
      <c r="E244" t="s">
        <v>1201</v>
      </c>
      <c r="F244" t="s">
        <v>1442</v>
      </c>
      <c r="G244">
        <v>1</v>
      </c>
    </row>
    <row r="245" spans="2:7">
      <c r="F245" t="s">
        <v>1443</v>
      </c>
      <c r="G245">
        <v>1</v>
      </c>
    </row>
    <row r="246" spans="2:7">
      <c r="F246" t="s">
        <v>1444</v>
      </c>
      <c r="G246">
        <v>1</v>
      </c>
    </row>
    <row r="247" spans="2:7">
      <c r="F247" t="s">
        <v>1445</v>
      </c>
      <c r="G247">
        <v>1</v>
      </c>
    </row>
    <row r="248" spans="2:7">
      <c r="F248" t="s">
        <v>1446</v>
      </c>
      <c r="G248">
        <v>1</v>
      </c>
    </row>
    <row r="249" spans="2:7">
      <c r="F249" t="s">
        <v>1447</v>
      </c>
      <c r="G249">
        <v>1</v>
      </c>
    </row>
    <row r="250" spans="2:7">
      <c r="F250" t="s">
        <v>1448</v>
      </c>
      <c r="G250">
        <v>1</v>
      </c>
    </row>
    <row r="251" spans="2:7">
      <c r="F251" t="s">
        <v>1449</v>
      </c>
      <c r="G251">
        <v>1</v>
      </c>
    </row>
    <row r="252" spans="2:7">
      <c r="F252" t="s">
        <v>1450</v>
      </c>
      <c r="G252">
        <v>1</v>
      </c>
    </row>
    <row r="253" spans="2:7">
      <c r="F253" t="s">
        <v>1451</v>
      </c>
      <c r="G253">
        <v>1</v>
      </c>
    </row>
    <row r="254" spans="2:7">
      <c r="B254">
        <v>13</v>
      </c>
      <c r="C254" t="s">
        <v>1023</v>
      </c>
      <c r="D254" t="s">
        <v>1331</v>
      </c>
      <c r="E254" t="s">
        <v>1201</v>
      </c>
      <c r="F254" t="s">
        <v>1452</v>
      </c>
      <c r="G254">
        <v>1</v>
      </c>
    </row>
    <row r="255" spans="2:7">
      <c r="F255" t="s">
        <v>1453</v>
      </c>
      <c r="G255">
        <v>1</v>
      </c>
    </row>
    <row r="256" spans="2:7">
      <c r="F256" t="s">
        <v>1454</v>
      </c>
      <c r="G256">
        <v>1</v>
      </c>
    </row>
    <row r="257" spans="2:7">
      <c r="F257" t="s">
        <v>1455</v>
      </c>
      <c r="G257">
        <v>1</v>
      </c>
    </row>
    <row r="258" spans="2:7">
      <c r="F258" t="s">
        <v>1456</v>
      </c>
      <c r="G258">
        <v>1</v>
      </c>
    </row>
    <row r="259" spans="2:7">
      <c r="F259" t="s">
        <v>1457</v>
      </c>
      <c r="G259">
        <v>1</v>
      </c>
    </row>
    <row r="260" spans="2:7">
      <c r="F260" t="s">
        <v>1458</v>
      </c>
      <c r="G260">
        <v>1</v>
      </c>
    </row>
    <row r="261" spans="2:7">
      <c r="F261" t="s">
        <v>1459</v>
      </c>
      <c r="G261">
        <v>1</v>
      </c>
    </row>
    <row r="262" spans="2:7">
      <c r="F262" t="s">
        <v>1460</v>
      </c>
      <c r="G262">
        <v>1</v>
      </c>
    </row>
    <row r="263" spans="2:7">
      <c r="F263" t="s">
        <v>1461</v>
      </c>
      <c r="G263">
        <v>1</v>
      </c>
    </row>
    <row r="264" spans="2:7">
      <c r="B264">
        <v>14</v>
      </c>
      <c r="C264" t="s">
        <v>1023</v>
      </c>
      <c r="D264" t="s">
        <v>1331</v>
      </c>
      <c r="E264" t="s">
        <v>1201</v>
      </c>
      <c r="F264" t="s">
        <v>1462</v>
      </c>
      <c r="G264">
        <v>1</v>
      </c>
    </row>
    <row r="265" spans="2:7">
      <c r="F265" t="s">
        <v>1463</v>
      </c>
      <c r="G265">
        <v>1</v>
      </c>
    </row>
    <row r="266" spans="2:7">
      <c r="F266" t="s">
        <v>1464</v>
      </c>
      <c r="G266">
        <v>1</v>
      </c>
    </row>
    <row r="267" spans="2:7">
      <c r="F267" t="s">
        <v>1465</v>
      </c>
      <c r="G267">
        <v>1</v>
      </c>
    </row>
    <row r="268" spans="2:7">
      <c r="F268" t="s">
        <v>1466</v>
      </c>
      <c r="G268">
        <v>1</v>
      </c>
    </row>
    <row r="269" spans="2:7">
      <c r="F269" t="s">
        <v>1467</v>
      </c>
      <c r="G269">
        <v>1</v>
      </c>
    </row>
    <row r="270" spans="2:7">
      <c r="F270" t="s">
        <v>1468</v>
      </c>
      <c r="G270">
        <v>1</v>
      </c>
    </row>
    <row r="271" spans="2:7">
      <c r="F271" t="s">
        <v>1469</v>
      </c>
      <c r="G271">
        <v>1</v>
      </c>
    </row>
    <row r="272" spans="2:7">
      <c r="F272" t="s">
        <v>1470</v>
      </c>
      <c r="G272">
        <v>1</v>
      </c>
    </row>
    <row r="273" spans="2:7">
      <c r="F273" t="s">
        <v>1471</v>
      </c>
      <c r="G273">
        <v>1</v>
      </c>
    </row>
    <row r="274" spans="2:7">
      <c r="B274">
        <v>45</v>
      </c>
      <c r="C274" t="s">
        <v>1030</v>
      </c>
      <c r="D274" t="s">
        <v>1252</v>
      </c>
      <c r="E274" t="s">
        <v>1201</v>
      </c>
      <c r="F274" t="s">
        <v>1548</v>
      </c>
      <c r="G274">
        <v>1</v>
      </c>
    </row>
    <row r="275" spans="2:7">
      <c r="E275">
        <v>10393</v>
      </c>
      <c r="F275" t="s">
        <v>1547</v>
      </c>
      <c r="G275">
        <v>1</v>
      </c>
    </row>
    <row r="276" spans="2:7">
      <c r="C276" t="s">
        <v>653</v>
      </c>
      <c r="D276" t="s">
        <v>1529</v>
      </c>
      <c r="E276" t="s">
        <v>1201</v>
      </c>
      <c r="F276" t="s">
        <v>1201</v>
      </c>
      <c r="G276">
        <v>2</v>
      </c>
    </row>
    <row r="277" spans="2:7">
      <c r="C277" t="s">
        <v>1519</v>
      </c>
      <c r="D277" t="s">
        <v>1520</v>
      </c>
      <c r="E277" t="s">
        <v>1201</v>
      </c>
      <c r="F277" t="s">
        <v>1521</v>
      </c>
      <c r="G277">
        <v>2</v>
      </c>
    </row>
    <row r="278" spans="2:7">
      <c r="F278" t="s">
        <v>1522</v>
      </c>
      <c r="G278">
        <v>2</v>
      </c>
    </row>
    <row r="279" spans="2:7">
      <c r="C279" t="s">
        <v>1523</v>
      </c>
      <c r="D279" t="s">
        <v>1524</v>
      </c>
      <c r="E279" t="s">
        <v>1201</v>
      </c>
      <c r="F279" t="s">
        <v>1201</v>
      </c>
      <c r="G279">
        <v>3</v>
      </c>
    </row>
    <row r="280" spans="2:7">
      <c r="C280" t="s">
        <v>1525</v>
      </c>
      <c r="D280" t="s">
        <v>1526</v>
      </c>
      <c r="E280" t="s">
        <v>1201</v>
      </c>
      <c r="F280" t="s">
        <v>1201</v>
      </c>
      <c r="G280">
        <v>5</v>
      </c>
    </row>
    <row r="281" spans="2:7">
      <c r="C281" t="s">
        <v>1527</v>
      </c>
      <c r="D281" t="s">
        <v>791</v>
      </c>
      <c r="E281" t="s">
        <v>1201</v>
      </c>
      <c r="F281" t="s">
        <v>1201</v>
      </c>
      <c r="G281">
        <v>10</v>
      </c>
    </row>
    <row r="282" spans="2:7">
      <c r="C282" t="s">
        <v>1528</v>
      </c>
      <c r="D282" t="s">
        <v>791</v>
      </c>
      <c r="E282" t="s">
        <v>1201</v>
      </c>
      <c r="F282" t="s">
        <v>1201</v>
      </c>
      <c r="G282">
        <v>2</v>
      </c>
    </row>
    <row r="283" spans="2:7">
      <c r="C283" t="s">
        <v>1555</v>
      </c>
      <c r="D283" t="s">
        <v>791</v>
      </c>
      <c r="E283" t="s">
        <v>1201</v>
      </c>
      <c r="F283" t="s">
        <v>1201</v>
      </c>
      <c r="G283">
        <v>3</v>
      </c>
    </row>
    <row r="284" spans="2:7">
      <c r="B284">
        <v>160</v>
      </c>
      <c r="C284" t="s">
        <v>1199</v>
      </c>
      <c r="D284" t="s">
        <v>1238</v>
      </c>
      <c r="E284" t="s">
        <v>1201</v>
      </c>
      <c r="F284" t="s">
        <v>1201</v>
      </c>
      <c r="G284">
        <v>5</v>
      </c>
    </row>
    <row r="285" spans="2:7">
      <c r="D285" t="s">
        <v>1239</v>
      </c>
      <c r="E285" t="s">
        <v>1201</v>
      </c>
      <c r="F285" t="s">
        <v>1201</v>
      </c>
      <c r="G285">
        <v>5</v>
      </c>
    </row>
    <row r="286" spans="2:7">
      <c r="C286" t="s">
        <v>771</v>
      </c>
      <c r="D286" t="s">
        <v>1530</v>
      </c>
      <c r="E286" t="s">
        <v>1201</v>
      </c>
      <c r="F286" t="s">
        <v>1531</v>
      </c>
      <c r="G286">
        <v>1</v>
      </c>
    </row>
    <row r="287" spans="2:7">
      <c r="C287" t="s">
        <v>1245</v>
      </c>
      <c r="D287" t="s">
        <v>1246</v>
      </c>
      <c r="E287" t="s">
        <v>1201</v>
      </c>
      <c r="F287" t="s">
        <v>1201</v>
      </c>
      <c r="G287">
        <v>1</v>
      </c>
    </row>
    <row r="288" spans="2:7">
      <c r="C288" t="s">
        <v>1534</v>
      </c>
      <c r="D288" t="s">
        <v>1252</v>
      </c>
      <c r="E288" t="s">
        <v>1535</v>
      </c>
      <c r="F288" t="s">
        <v>1536</v>
      </c>
      <c r="G288">
        <v>1</v>
      </c>
    </row>
    <row r="289" spans="2:7">
      <c r="E289" t="s">
        <v>1537</v>
      </c>
      <c r="F289" t="s">
        <v>1538</v>
      </c>
      <c r="G289">
        <v>1</v>
      </c>
    </row>
    <row r="290" spans="2:7">
      <c r="E290" t="s">
        <v>1539</v>
      </c>
      <c r="F290" t="s">
        <v>1540</v>
      </c>
      <c r="G290">
        <v>1</v>
      </c>
    </row>
    <row r="291" spans="2:7">
      <c r="E291" t="s">
        <v>1541</v>
      </c>
      <c r="F291" t="s">
        <v>1542</v>
      </c>
      <c r="G291">
        <v>1</v>
      </c>
    </row>
    <row r="292" spans="2:7">
      <c r="E292" t="s">
        <v>1543</v>
      </c>
      <c r="F292" t="s">
        <v>1544</v>
      </c>
      <c r="G292">
        <v>1</v>
      </c>
    </row>
    <row r="293" spans="2:7">
      <c r="E293" t="s">
        <v>1545</v>
      </c>
      <c r="F293" t="s">
        <v>1546</v>
      </c>
      <c r="G293">
        <v>1</v>
      </c>
    </row>
    <row r="294" spans="2:7">
      <c r="C294" t="s">
        <v>653</v>
      </c>
      <c r="D294" t="s">
        <v>1529</v>
      </c>
      <c r="E294" t="s">
        <v>1201</v>
      </c>
      <c r="F294" t="s">
        <v>1201</v>
      </c>
      <c r="G294">
        <v>2</v>
      </c>
    </row>
    <row r="295" spans="2:7">
      <c r="C295" t="s">
        <v>1486</v>
      </c>
      <c r="D295" t="s">
        <v>1509</v>
      </c>
      <c r="E295" t="s">
        <v>1201</v>
      </c>
      <c r="F295" t="s">
        <v>1201</v>
      </c>
      <c r="G295">
        <v>5</v>
      </c>
    </row>
    <row r="296" spans="2:7">
      <c r="D296" t="s">
        <v>1493</v>
      </c>
      <c r="E296" t="s">
        <v>1201</v>
      </c>
      <c r="F296" t="s">
        <v>1201</v>
      </c>
      <c r="G296">
        <v>5</v>
      </c>
    </row>
    <row r="297" spans="2:7">
      <c r="C297" t="s">
        <v>1497</v>
      </c>
      <c r="D297" t="s">
        <v>791</v>
      </c>
      <c r="E297" t="s">
        <v>1201</v>
      </c>
      <c r="F297" t="s">
        <v>1201</v>
      </c>
      <c r="G297">
        <v>5</v>
      </c>
    </row>
    <row r="298" spans="2:7">
      <c r="C298" t="s">
        <v>1557</v>
      </c>
      <c r="D298" t="s">
        <v>791</v>
      </c>
      <c r="E298" t="s">
        <v>1201</v>
      </c>
      <c r="F298" t="s">
        <v>1201</v>
      </c>
      <c r="G298">
        <v>1</v>
      </c>
    </row>
    <row r="299" spans="2:7">
      <c r="C299" t="s">
        <v>1008</v>
      </c>
      <c r="D299" t="s">
        <v>791</v>
      </c>
      <c r="E299" t="s">
        <v>1201</v>
      </c>
      <c r="F299" t="s">
        <v>1201</v>
      </c>
      <c r="G299">
        <v>5</v>
      </c>
    </row>
    <row r="300" spans="2:7">
      <c r="C300" t="s">
        <v>1488</v>
      </c>
      <c r="D300" t="s">
        <v>791</v>
      </c>
      <c r="E300" t="s">
        <v>1201</v>
      </c>
      <c r="F300" t="s">
        <v>1201</v>
      </c>
      <c r="G300">
        <v>5</v>
      </c>
    </row>
    <row r="301" spans="2:7">
      <c r="B301">
        <v>2004</v>
      </c>
      <c r="C301" t="s">
        <v>1199</v>
      </c>
      <c r="D301" t="s">
        <v>1238</v>
      </c>
      <c r="E301" t="s">
        <v>1201</v>
      </c>
      <c r="F301" t="s">
        <v>1201</v>
      </c>
      <c r="G301">
        <v>10</v>
      </c>
    </row>
    <row r="302" spans="2:7">
      <c r="D302" t="s">
        <v>1239</v>
      </c>
      <c r="E302" t="s">
        <v>1201</v>
      </c>
      <c r="F302" t="s">
        <v>1201</v>
      </c>
      <c r="G302">
        <v>7</v>
      </c>
    </row>
    <row r="303" spans="2:7">
      <c r="C303" t="s">
        <v>1248</v>
      </c>
      <c r="D303" t="s">
        <v>1249</v>
      </c>
      <c r="E303" t="s">
        <v>1201</v>
      </c>
      <c r="F303" t="s">
        <v>1561</v>
      </c>
      <c r="G303">
        <v>1</v>
      </c>
    </row>
    <row r="304" spans="2:7">
      <c r="C304" t="s">
        <v>1245</v>
      </c>
      <c r="D304" t="s">
        <v>1246</v>
      </c>
      <c r="E304" t="s">
        <v>1201</v>
      </c>
      <c r="F304" t="s">
        <v>1560</v>
      </c>
      <c r="G304">
        <v>1</v>
      </c>
    </row>
    <row r="305" spans="3:7">
      <c r="C305" t="s">
        <v>1563</v>
      </c>
      <c r="D305" t="s">
        <v>1564</v>
      </c>
      <c r="E305" t="s">
        <v>1201</v>
      </c>
      <c r="F305" t="s">
        <v>1565</v>
      </c>
      <c r="G305">
        <v>1</v>
      </c>
    </row>
    <row r="306" spans="3:7">
      <c r="F306" t="s">
        <v>1566</v>
      </c>
      <c r="G306">
        <v>1</v>
      </c>
    </row>
    <row r="307" spans="3:7">
      <c r="F307" t="s">
        <v>1567</v>
      </c>
      <c r="G307">
        <v>1</v>
      </c>
    </row>
    <row r="308" spans="3:7">
      <c r="F308" t="s">
        <v>1568</v>
      </c>
      <c r="G308">
        <v>1</v>
      </c>
    </row>
    <row r="309" spans="3:7">
      <c r="F309" t="s">
        <v>1569</v>
      </c>
      <c r="G309">
        <v>1</v>
      </c>
    </row>
    <row r="310" spans="3:7">
      <c r="C310" t="s">
        <v>1486</v>
      </c>
      <c r="D310" t="s">
        <v>1238</v>
      </c>
      <c r="E310" t="s">
        <v>1201</v>
      </c>
      <c r="F310" t="s">
        <v>1201</v>
      </c>
      <c r="G310">
        <v>3</v>
      </c>
    </row>
    <row r="311" spans="3:7">
      <c r="D311" t="s">
        <v>1239</v>
      </c>
      <c r="E311" t="s">
        <v>1201</v>
      </c>
      <c r="F311" t="s">
        <v>1201</v>
      </c>
      <c r="G311">
        <v>5</v>
      </c>
    </row>
    <row r="312" spans="3:7">
      <c r="C312" t="s">
        <v>1557</v>
      </c>
      <c r="D312" t="s">
        <v>791</v>
      </c>
      <c r="E312" t="s">
        <v>1201</v>
      </c>
      <c r="F312" t="s">
        <v>1201</v>
      </c>
      <c r="G312">
        <v>1</v>
      </c>
    </row>
    <row r="313" spans="3:7">
      <c r="C313" t="s">
        <v>1488</v>
      </c>
      <c r="D313" t="s">
        <v>791</v>
      </c>
      <c r="E313" t="s">
        <v>1201</v>
      </c>
      <c r="F313" t="s">
        <v>1201</v>
      </c>
      <c r="G313">
        <v>7</v>
      </c>
    </row>
    <row r="314" spans="3:7">
      <c r="C314" t="s">
        <v>1571</v>
      </c>
      <c r="D314" t="s">
        <v>1572</v>
      </c>
      <c r="E314" t="s">
        <v>1201</v>
      </c>
      <c r="F314" t="s">
        <v>1573</v>
      </c>
      <c r="G314">
        <v>1</v>
      </c>
    </row>
    <row r="315" spans="3:7">
      <c r="F315" t="s">
        <v>1574</v>
      </c>
      <c r="G315">
        <v>1</v>
      </c>
    </row>
    <row r="316" spans="3:7">
      <c r="F316" t="s">
        <v>1575</v>
      </c>
      <c r="G316">
        <v>1</v>
      </c>
    </row>
    <row r="317" spans="3:7">
      <c r="F317" t="s">
        <v>1576</v>
      </c>
      <c r="G317">
        <v>1</v>
      </c>
    </row>
    <row r="318" spans="3:7">
      <c r="F318" t="s">
        <v>1577</v>
      </c>
      <c r="G318">
        <v>1</v>
      </c>
    </row>
    <row r="319" spans="3:7">
      <c r="C319" t="s">
        <v>1579</v>
      </c>
      <c r="D319" t="s">
        <v>791</v>
      </c>
      <c r="E319" t="s">
        <v>1201</v>
      </c>
      <c r="F319" t="s">
        <v>1201</v>
      </c>
      <c r="G319">
        <v>5</v>
      </c>
    </row>
  </sheetData>
  <pageMargins left="0.7" right="0.7" top="0.75" bottom="0.75" header="0.3" footer="0.3"/>
  <pageSetup paperSize="9" orientation="portrait" r:id="rId2"/>
  <headerFooter>
    <oddHeader>&amp;L&amp;"Calibri"&amp;12&amp;K008000 SC Classification:GENERAL BUSINESS\Other General Business&amp;1#_x000D_</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1" tint="0.249977111117893"/>
  </sheetPr>
  <dimension ref="A1:N130"/>
  <sheetViews>
    <sheetView topLeftCell="A82" zoomScale="85" zoomScaleNormal="85" workbookViewId="0">
      <selection activeCell="A114" sqref="A114"/>
    </sheetView>
  </sheetViews>
  <sheetFormatPr defaultColWidth="53.44140625" defaultRowHeight="14.4"/>
  <cols>
    <col min="1" max="1" width="11.44140625" customWidth="1"/>
    <col min="2" max="2" width="61.44140625" customWidth="1"/>
    <col min="3" max="3" width="65.6640625" bestFit="1" customWidth="1"/>
    <col min="4" max="4" width="25" bestFit="1" customWidth="1"/>
    <col min="5" max="5" width="13.44140625" bestFit="1" customWidth="1"/>
    <col min="6" max="6" width="8.44140625" bestFit="1" customWidth="1"/>
    <col min="7" max="7" width="37" customWidth="1"/>
    <col min="8" max="8" width="49" customWidth="1"/>
    <col min="9" max="9" width="27.33203125" customWidth="1"/>
    <col min="10" max="11" width="16.44140625" customWidth="1"/>
    <col min="12" max="12" width="16.44140625" style="34" customWidth="1"/>
    <col min="13" max="13" width="126.44140625" customWidth="1"/>
    <col min="14" max="14" width="16.44140625" style="43" customWidth="1"/>
  </cols>
  <sheetData>
    <row r="1" spans="1:14" s="1" customFormat="1" ht="37.5" customHeight="1">
      <c r="A1" s="35" t="s">
        <v>1179</v>
      </c>
      <c r="B1" s="36" t="s">
        <v>36</v>
      </c>
      <c r="C1" s="35" t="s">
        <v>506</v>
      </c>
      <c r="D1" s="36" t="s">
        <v>38</v>
      </c>
      <c r="E1" s="35" t="s">
        <v>56</v>
      </c>
      <c r="F1" s="36" t="s">
        <v>508</v>
      </c>
      <c r="G1" s="36" t="s">
        <v>42</v>
      </c>
      <c r="H1" s="36" t="s">
        <v>1180</v>
      </c>
      <c r="I1" s="35" t="s">
        <v>1580</v>
      </c>
      <c r="J1" s="35" t="s">
        <v>1581</v>
      </c>
      <c r="K1" s="35" t="s">
        <v>1582</v>
      </c>
      <c r="L1" s="134" t="s">
        <v>1583</v>
      </c>
      <c r="M1" s="36" t="s">
        <v>1584</v>
      </c>
      <c r="N1" s="35" t="s">
        <v>40</v>
      </c>
    </row>
    <row r="2" spans="1:14">
      <c r="A2" s="6" t="s">
        <v>1585</v>
      </c>
      <c r="B2" s="6" t="s">
        <v>1586</v>
      </c>
      <c r="C2" s="6" t="s">
        <v>1586</v>
      </c>
      <c r="D2" s="6" t="s">
        <v>1168</v>
      </c>
      <c r="E2" s="24"/>
      <c r="F2" s="24"/>
      <c r="G2" s="6"/>
      <c r="H2" s="27"/>
      <c r="I2" s="6"/>
      <c r="J2" s="6"/>
      <c r="K2" s="6"/>
      <c r="L2" s="135"/>
      <c r="M2" s="6" t="s">
        <v>1587</v>
      </c>
      <c r="N2" s="146"/>
    </row>
    <row r="3" spans="1:14">
      <c r="A3" s="6" t="s">
        <v>237</v>
      </c>
      <c r="B3" s="6" t="s">
        <v>236</v>
      </c>
      <c r="C3" s="27" t="s">
        <v>783</v>
      </c>
      <c r="D3" s="6" t="s">
        <v>1168</v>
      </c>
      <c r="E3" s="24">
        <v>1</v>
      </c>
      <c r="F3" s="24"/>
      <c r="G3" s="6"/>
      <c r="H3" s="6"/>
      <c r="I3" s="6"/>
      <c r="J3" s="6"/>
      <c r="K3" s="6"/>
      <c r="L3" s="135"/>
      <c r="M3" s="6" t="s">
        <v>1588</v>
      </c>
      <c r="N3" s="146"/>
    </row>
    <row r="4" spans="1:14">
      <c r="A4" s="7" t="s">
        <v>1589</v>
      </c>
      <c r="B4" s="7" t="s">
        <v>1590</v>
      </c>
      <c r="C4" s="27" t="s">
        <v>783</v>
      </c>
      <c r="D4" s="7" t="s">
        <v>1168</v>
      </c>
      <c r="E4" s="16"/>
      <c r="F4" s="16"/>
      <c r="G4" s="7"/>
      <c r="H4" s="7"/>
      <c r="I4" s="7"/>
      <c r="J4" s="7"/>
      <c r="K4" s="7"/>
      <c r="L4" s="136"/>
      <c r="M4" s="7" t="s">
        <v>1591</v>
      </c>
      <c r="N4" s="147"/>
    </row>
    <row r="5" spans="1:14">
      <c r="A5" s="7" t="s">
        <v>1592</v>
      </c>
      <c r="B5" s="7" t="s">
        <v>1593</v>
      </c>
      <c r="C5" s="28" t="s">
        <v>1594</v>
      </c>
      <c r="D5" s="7" t="s">
        <v>1168</v>
      </c>
      <c r="E5" s="16">
        <v>1</v>
      </c>
      <c r="F5" s="16"/>
      <c r="G5" s="7"/>
      <c r="H5" s="7"/>
      <c r="I5" s="7"/>
      <c r="J5" s="7"/>
      <c r="K5" s="7"/>
      <c r="L5" s="136"/>
      <c r="M5" s="7" t="s">
        <v>1595</v>
      </c>
      <c r="N5" s="147"/>
    </row>
    <row r="6" spans="1:14">
      <c r="A6" s="7" t="s">
        <v>1596</v>
      </c>
      <c r="B6" s="7" t="s">
        <v>1597</v>
      </c>
      <c r="C6" s="28" t="s">
        <v>1594</v>
      </c>
      <c r="D6" s="7" t="s">
        <v>1168</v>
      </c>
      <c r="E6" s="16"/>
      <c r="F6" s="16"/>
      <c r="G6" s="7"/>
      <c r="H6" s="7"/>
      <c r="I6" s="7"/>
      <c r="J6" s="7"/>
      <c r="K6" s="7"/>
      <c r="L6" s="136"/>
      <c r="M6" s="7" t="s">
        <v>1598</v>
      </c>
      <c r="N6" s="147"/>
    </row>
    <row r="7" spans="1:14">
      <c r="A7" s="7" t="s">
        <v>602</v>
      </c>
      <c r="B7" s="7" t="s">
        <v>1021</v>
      </c>
      <c r="C7" s="28" t="s">
        <v>1156</v>
      </c>
      <c r="D7" s="7" t="s">
        <v>1168</v>
      </c>
      <c r="E7" s="16"/>
      <c r="F7" s="16"/>
      <c r="G7" s="7"/>
      <c r="H7" s="7"/>
      <c r="I7" s="7"/>
      <c r="J7" s="7"/>
      <c r="K7" s="7"/>
      <c r="L7" s="136"/>
      <c r="M7" s="7" t="s">
        <v>1599</v>
      </c>
      <c r="N7" s="147"/>
    </row>
    <row r="8" spans="1:14">
      <c r="A8" s="7" t="s">
        <v>1600</v>
      </c>
      <c r="B8" s="7" t="s">
        <v>1601</v>
      </c>
      <c r="C8" s="28" t="s">
        <v>1602</v>
      </c>
      <c r="D8" s="7" t="s">
        <v>1168</v>
      </c>
      <c r="E8" s="16">
        <v>1</v>
      </c>
      <c r="F8" s="16"/>
      <c r="G8" s="18"/>
      <c r="H8" s="7"/>
      <c r="I8" s="19"/>
      <c r="J8" s="19"/>
      <c r="K8" s="19"/>
      <c r="L8" s="137"/>
      <c r="M8" s="7" t="s">
        <v>1603</v>
      </c>
      <c r="N8" s="148"/>
    </row>
    <row r="9" spans="1:14">
      <c r="A9" s="7" t="s">
        <v>1604</v>
      </c>
      <c r="B9" s="7" t="s">
        <v>1605</v>
      </c>
      <c r="C9" s="28" t="s">
        <v>1602</v>
      </c>
      <c r="D9" s="7" t="s">
        <v>1168</v>
      </c>
      <c r="E9" s="16"/>
      <c r="F9" s="16"/>
      <c r="G9" s="18"/>
      <c r="H9" s="28"/>
      <c r="I9" s="19"/>
      <c r="J9" s="19"/>
      <c r="K9" s="19"/>
      <c r="L9" s="137"/>
      <c r="M9" s="7" t="s">
        <v>1606</v>
      </c>
      <c r="N9" s="148"/>
    </row>
    <row r="10" spans="1:14">
      <c r="A10" s="7" t="s">
        <v>616</v>
      </c>
      <c r="B10" s="7" t="s">
        <v>1012</v>
      </c>
      <c r="C10" s="7" t="s">
        <v>1012</v>
      </c>
      <c r="D10" s="28" t="s">
        <v>1175</v>
      </c>
      <c r="E10" s="16"/>
      <c r="F10" s="16"/>
      <c r="G10" s="18"/>
      <c r="H10" s="28" t="s">
        <v>1607</v>
      </c>
      <c r="I10" s="19"/>
      <c r="J10" s="19"/>
      <c r="K10" s="132" t="s">
        <v>1191</v>
      </c>
      <c r="L10" s="137">
        <v>1500</v>
      </c>
      <c r="M10" s="7" t="s">
        <v>1608</v>
      </c>
      <c r="N10" s="148" t="s">
        <v>1609</v>
      </c>
    </row>
    <row r="11" spans="1:14">
      <c r="A11" s="7" t="s">
        <v>249</v>
      </c>
      <c r="B11" s="7" t="s">
        <v>1022</v>
      </c>
      <c r="C11" s="28" t="s">
        <v>1155</v>
      </c>
      <c r="D11" s="7" t="s">
        <v>1175</v>
      </c>
      <c r="E11" s="16"/>
      <c r="F11" s="16"/>
      <c r="G11" s="18"/>
      <c r="H11" s="7"/>
      <c r="I11" s="19"/>
      <c r="J11" s="19"/>
      <c r="K11" s="19"/>
      <c r="L11" s="137"/>
      <c r="M11" s="7" t="s">
        <v>1610</v>
      </c>
      <c r="N11" s="148"/>
    </row>
    <row r="12" spans="1:14">
      <c r="A12" s="8" t="s">
        <v>1533</v>
      </c>
      <c r="B12" s="16" t="s">
        <v>1534</v>
      </c>
      <c r="C12" s="8" t="s">
        <v>1611</v>
      </c>
      <c r="D12" s="10" t="s">
        <v>1169</v>
      </c>
      <c r="E12" s="16"/>
      <c r="F12" s="16"/>
      <c r="G12" s="131"/>
      <c r="H12" s="16" t="s">
        <v>1252</v>
      </c>
      <c r="I12" s="132" t="s">
        <v>1612</v>
      </c>
      <c r="J12" s="132"/>
      <c r="K12" s="132" t="s">
        <v>1191</v>
      </c>
      <c r="L12" s="137">
        <v>500</v>
      </c>
      <c r="M12" s="16" t="s">
        <v>1613</v>
      </c>
      <c r="N12" s="148" t="s">
        <v>1609</v>
      </c>
    </row>
    <row r="13" spans="1:14">
      <c r="A13" s="8" t="s">
        <v>591</v>
      </c>
      <c r="B13" s="16" t="s">
        <v>1030</v>
      </c>
      <c r="C13" s="8" t="s">
        <v>797</v>
      </c>
      <c r="D13" s="16" t="s">
        <v>1169</v>
      </c>
      <c r="E13" s="16"/>
      <c r="F13" s="16"/>
      <c r="G13" s="131"/>
      <c r="H13" s="16" t="s">
        <v>1252</v>
      </c>
      <c r="I13" s="132" t="s">
        <v>1614</v>
      </c>
      <c r="J13" s="132"/>
      <c r="K13" s="132" t="s">
        <v>1191</v>
      </c>
      <c r="L13" s="137">
        <v>500</v>
      </c>
      <c r="M13" s="16" t="s">
        <v>1615</v>
      </c>
      <c r="N13" s="148" t="s">
        <v>1609</v>
      </c>
    </row>
    <row r="14" spans="1:14">
      <c r="A14" s="8" t="s">
        <v>1616</v>
      </c>
      <c r="B14" s="16" t="s">
        <v>1617</v>
      </c>
      <c r="C14" s="8" t="s">
        <v>797</v>
      </c>
      <c r="D14" s="16" t="s">
        <v>1169</v>
      </c>
      <c r="E14" s="16"/>
      <c r="F14" s="16"/>
      <c r="G14" s="131"/>
      <c r="H14" s="16" t="s">
        <v>1252</v>
      </c>
      <c r="I14" s="132" t="s">
        <v>1618</v>
      </c>
      <c r="J14" s="132"/>
      <c r="K14" s="132" t="s">
        <v>1191</v>
      </c>
      <c r="L14" s="137">
        <v>500</v>
      </c>
      <c r="M14" s="16" t="s">
        <v>1619</v>
      </c>
      <c r="N14" s="148" t="s">
        <v>1609</v>
      </c>
    </row>
    <row r="15" spans="1:14">
      <c r="A15" s="8" t="s">
        <v>565</v>
      </c>
      <c r="B15" s="16" t="s">
        <v>1007</v>
      </c>
      <c r="C15" s="8" t="s">
        <v>1620</v>
      </c>
      <c r="D15" s="16" t="s">
        <v>1169</v>
      </c>
      <c r="E15" s="16"/>
      <c r="F15" s="16"/>
      <c r="G15" s="131"/>
      <c r="H15" s="16" t="s">
        <v>1252</v>
      </c>
      <c r="I15" s="132" t="s">
        <v>1621</v>
      </c>
      <c r="J15" s="132"/>
      <c r="K15" s="132" t="s">
        <v>1191</v>
      </c>
      <c r="L15" s="137">
        <v>500</v>
      </c>
      <c r="M15" s="16" t="s">
        <v>1622</v>
      </c>
      <c r="N15" s="148" t="s">
        <v>1609</v>
      </c>
    </row>
    <row r="16" spans="1:14">
      <c r="A16" s="8" t="s">
        <v>1623</v>
      </c>
      <c r="B16" s="16" t="s">
        <v>1624</v>
      </c>
      <c r="C16" s="8" t="s">
        <v>1625</v>
      </c>
      <c r="D16" s="16" t="s">
        <v>1169</v>
      </c>
      <c r="E16" s="16"/>
      <c r="F16" s="16"/>
      <c r="G16" s="131"/>
      <c r="H16" s="16" t="s">
        <v>1252</v>
      </c>
      <c r="I16" s="132" t="s">
        <v>1626</v>
      </c>
      <c r="J16" s="132"/>
      <c r="K16" s="132" t="s">
        <v>1191</v>
      </c>
      <c r="L16" s="137">
        <v>500</v>
      </c>
      <c r="M16" s="16" t="s">
        <v>1627</v>
      </c>
      <c r="N16" s="148" t="s">
        <v>1609</v>
      </c>
    </row>
    <row r="17" spans="1:14">
      <c r="A17" s="8" t="s">
        <v>1628</v>
      </c>
      <c r="B17" s="16" t="s">
        <v>1629</v>
      </c>
      <c r="C17" s="8" t="s">
        <v>1630</v>
      </c>
      <c r="D17" s="16" t="s">
        <v>1169</v>
      </c>
      <c r="E17" s="16"/>
      <c r="F17" s="16"/>
      <c r="G17" s="16"/>
      <c r="H17" s="16" t="s">
        <v>1631</v>
      </c>
      <c r="I17" s="132"/>
      <c r="J17" s="132"/>
      <c r="K17" s="132" t="s">
        <v>1191</v>
      </c>
      <c r="L17" s="137">
        <v>750</v>
      </c>
      <c r="M17" s="16" t="s">
        <v>1632</v>
      </c>
      <c r="N17" s="148" t="s">
        <v>1609</v>
      </c>
    </row>
    <row r="18" spans="1:14">
      <c r="A18" s="8" t="s">
        <v>1633</v>
      </c>
      <c r="B18" s="16" t="s">
        <v>1024</v>
      </c>
      <c r="C18" s="8" t="s">
        <v>775</v>
      </c>
      <c r="D18" s="16" t="s">
        <v>1169</v>
      </c>
      <c r="E18" s="16"/>
      <c r="F18" s="16">
        <v>1</v>
      </c>
      <c r="G18" s="16"/>
      <c r="H18" s="16" t="s">
        <v>1634</v>
      </c>
      <c r="I18" s="16"/>
      <c r="J18" s="16"/>
      <c r="K18" s="132" t="s">
        <v>1191</v>
      </c>
      <c r="L18" s="136">
        <v>850</v>
      </c>
      <c r="M18" s="16" t="s">
        <v>1635</v>
      </c>
      <c r="N18" s="148" t="s">
        <v>1609</v>
      </c>
    </row>
    <row r="19" spans="1:14">
      <c r="A19" s="8" t="s">
        <v>1636</v>
      </c>
      <c r="B19" s="16" t="s">
        <v>1637</v>
      </c>
      <c r="C19" s="8" t="s">
        <v>1638</v>
      </c>
      <c r="D19" s="16" t="s">
        <v>1169</v>
      </c>
      <c r="E19" s="16"/>
      <c r="F19" s="16"/>
      <c r="G19" s="16"/>
      <c r="H19" s="16" t="s">
        <v>1639</v>
      </c>
      <c r="I19" s="16"/>
      <c r="J19" s="16"/>
      <c r="K19" s="132" t="s">
        <v>1191</v>
      </c>
      <c r="L19" s="136">
        <v>500</v>
      </c>
      <c r="M19" s="16" t="s">
        <v>1640</v>
      </c>
      <c r="N19" s="148" t="s">
        <v>1609</v>
      </c>
    </row>
    <row r="20" spans="1:14">
      <c r="A20" s="8" t="s">
        <v>1641</v>
      </c>
      <c r="B20" s="16" t="s">
        <v>1642</v>
      </c>
      <c r="C20" s="8" t="s">
        <v>1643</v>
      </c>
      <c r="D20" s="16" t="s">
        <v>1169</v>
      </c>
      <c r="E20" s="16"/>
      <c r="F20" s="16">
        <v>1</v>
      </c>
      <c r="G20" s="16"/>
      <c r="H20" s="16" t="s">
        <v>1644</v>
      </c>
      <c r="I20" s="16"/>
      <c r="J20" s="16"/>
      <c r="K20" s="132" t="s">
        <v>1191</v>
      </c>
      <c r="L20" s="136">
        <v>600</v>
      </c>
      <c r="M20" s="16" t="s">
        <v>1645</v>
      </c>
      <c r="N20" s="148" t="s">
        <v>1609</v>
      </c>
    </row>
    <row r="21" spans="1:14">
      <c r="A21" s="8" t="s">
        <v>538</v>
      </c>
      <c r="B21" s="16" t="s">
        <v>1024</v>
      </c>
      <c r="C21" s="8" t="s">
        <v>775</v>
      </c>
      <c r="D21" s="16" t="s">
        <v>1169</v>
      </c>
      <c r="E21" s="16"/>
      <c r="F21" s="16">
        <v>1</v>
      </c>
      <c r="G21" s="16"/>
      <c r="H21" s="16" t="s">
        <v>1646</v>
      </c>
      <c r="I21" s="16" t="s">
        <v>1647</v>
      </c>
      <c r="J21" s="16"/>
      <c r="K21" s="132" t="s">
        <v>1191</v>
      </c>
      <c r="L21" s="136">
        <v>200</v>
      </c>
      <c r="M21" s="16" t="s">
        <v>1648</v>
      </c>
      <c r="N21" s="148" t="s">
        <v>1609</v>
      </c>
    </row>
    <row r="22" spans="1:14">
      <c r="A22" s="9" t="s">
        <v>1649</v>
      </c>
      <c r="B22" s="243" t="s">
        <v>1650</v>
      </c>
      <c r="C22" s="10" t="s">
        <v>1650</v>
      </c>
      <c r="D22" s="16" t="s">
        <v>1169</v>
      </c>
      <c r="E22" s="10"/>
      <c r="F22" s="10"/>
      <c r="G22" s="10"/>
      <c r="H22" s="10"/>
      <c r="I22" s="10"/>
      <c r="J22" s="10"/>
      <c r="K22" s="132" t="s">
        <v>1191</v>
      </c>
      <c r="L22" s="138">
        <v>200</v>
      </c>
      <c r="M22" s="10" t="s">
        <v>1650</v>
      </c>
      <c r="N22" s="148" t="s">
        <v>1609</v>
      </c>
    </row>
    <row r="23" spans="1:14">
      <c r="A23" s="9" t="s">
        <v>1651</v>
      </c>
      <c r="B23" s="10" t="s">
        <v>1652</v>
      </c>
      <c r="C23" s="10" t="s">
        <v>1652</v>
      </c>
      <c r="D23" s="16" t="s">
        <v>1169</v>
      </c>
      <c r="E23" s="10"/>
      <c r="F23" s="10"/>
      <c r="G23" s="10"/>
      <c r="H23" s="10" t="s">
        <v>1653</v>
      </c>
      <c r="I23" s="10"/>
      <c r="J23" s="10"/>
      <c r="K23" s="10" t="s">
        <v>1654</v>
      </c>
      <c r="L23" s="138">
        <v>100</v>
      </c>
      <c r="M23" s="10" t="s">
        <v>1652</v>
      </c>
      <c r="N23" s="148" t="s">
        <v>1609</v>
      </c>
    </row>
    <row r="24" spans="1:14">
      <c r="A24" s="9" t="s">
        <v>1655</v>
      </c>
      <c r="B24" s="10" t="s">
        <v>1656</v>
      </c>
      <c r="C24" s="10" t="s">
        <v>1656</v>
      </c>
      <c r="D24" s="10" t="s">
        <v>1170</v>
      </c>
      <c r="E24" s="10"/>
      <c r="F24" s="10"/>
      <c r="G24" s="10"/>
      <c r="H24" s="29" t="s">
        <v>1657</v>
      </c>
      <c r="I24" s="10"/>
      <c r="J24" s="10"/>
      <c r="K24" s="132" t="s">
        <v>1191</v>
      </c>
      <c r="L24" s="137">
        <v>100</v>
      </c>
      <c r="M24" s="10" t="s">
        <v>1658</v>
      </c>
      <c r="N24" s="148" t="s">
        <v>1609</v>
      </c>
    </row>
    <row r="25" spans="1:14">
      <c r="A25" s="9" t="s">
        <v>1198</v>
      </c>
      <c r="B25" s="10" t="s">
        <v>1199</v>
      </c>
      <c r="C25" s="9" t="s">
        <v>1199</v>
      </c>
      <c r="D25" s="10" t="s">
        <v>1170</v>
      </c>
      <c r="E25" s="10"/>
      <c r="F25" s="10"/>
      <c r="G25" s="10"/>
      <c r="H25" s="9"/>
      <c r="I25" s="10"/>
      <c r="J25" s="10"/>
      <c r="K25" s="10"/>
      <c r="L25" s="138"/>
      <c r="M25" s="10" t="s">
        <v>1659</v>
      </c>
      <c r="N25" s="149" t="s">
        <v>1660</v>
      </c>
    </row>
    <row r="26" spans="1:14">
      <c r="A26" s="9" t="s">
        <v>590</v>
      </c>
      <c r="B26" s="10" t="s">
        <v>770</v>
      </c>
      <c r="C26" s="10" t="s">
        <v>770</v>
      </c>
      <c r="D26" s="10" t="s">
        <v>1170</v>
      </c>
      <c r="E26" s="10"/>
      <c r="F26" s="10">
        <v>1</v>
      </c>
      <c r="G26" s="10"/>
      <c r="H26" s="29" t="s">
        <v>1661</v>
      </c>
      <c r="I26" s="10"/>
      <c r="J26" s="10"/>
      <c r="K26" s="132" t="s">
        <v>1191</v>
      </c>
      <c r="L26" s="137">
        <v>400</v>
      </c>
      <c r="M26" s="10" t="s">
        <v>1662</v>
      </c>
      <c r="N26" s="148" t="s">
        <v>1609</v>
      </c>
    </row>
    <row r="27" spans="1:14">
      <c r="A27" s="9" t="s">
        <v>1570</v>
      </c>
      <c r="B27" s="243" t="s">
        <v>1571</v>
      </c>
      <c r="C27" s="10" t="s">
        <v>1571</v>
      </c>
      <c r="D27" s="10" t="s">
        <v>1170</v>
      </c>
      <c r="E27" s="10"/>
      <c r="F27" s="10"/>
      <c r="G27" s="10"/>
      <c r="H27" s="9" t="s">
        <v>1572</v>
      </c>
      <c r="I27" s="10"/>
      <c r="J27" s="10"/>
      <c r="K27" s="132" t="s">
        <v>1191</v>
      </c>
      <c r="L27" s="137">
        <v>80</v>
      </c>
      <c r="M27" s="10" t="s">
        <v>1663</v>
      </c>
      <c r="N27" s="148" t="s">
        <v>1609</v>
      </c>
    </row>
    <row r="28" spans="1:14">
      <c r="A28" s="9" t="s">
        <v>191</v>
      </c>
      <c r="B28" s="10" t="s">
        <v>771</v>
      </c>
      <c r="C28" s="9" t="s">
        <v>771</v>
      </c>
      <c r="D28" s="10" t="s">
        <v>1170</v>
      </c>
      <c r="E28" s="10"/>
      <c r="F28" s="10">
        <v>1</v>
      </c>
      <c r="G28" s="10"/>
      <c r="H28" s="29" t="s">
        <v>1530</v>
      </c>
      <c r="I28" s="10"/>
      <c r="J28" s="10"/>
      <c r="K28" s="132" t="s">
        <v>1203</v>
      </c>
      <c r="L28" s="137">
        <v>500</v>
      </c>
      <c r="M28" s="10" t="s">
        <v>1664</v>
      </c>
      <c r="N28" s="148" t="s">
        <v>1609</v>
      </c>
    </row>
    <row r="29" spans="1:14">
      <c r="A29" s="9" t="s">
        <v>1244</v>
      </c>
      <c r="B29" s="10" t="s">
        <v>1245</v>
      </c>
      <c r="C29" s="10" t="s">
        <v>1245</v>
      </c>
      <c r="D29" s="10" t="s">
        <v>1170</v>
      </c>
      <c r="E29" s="10"/>
      <c r="F29" s="10"/>
      <c r="G29" s="10"/>
      <c r="H29" s="10" t="s">
        <v>1246</v>
      </c>
      <c r="I29" s="10"/>
      <c r="J29" s="10"/>
      <c r="K29" s="132" t="s">
        <v>1191</v>
      </c>
      <c r="L29" s="137">
        <v>120</v>
      </c>
      <c r="M29" s="10" t="s">
        <v>1665</v>
      </c>
      <c r="N29" s="148" t="s">
        <v>1609</v>
      </c>
    </row>
    <row r="30" spans="1:14">
      <c r="A30" s="9" t="s">
        <v>1666</v>
      </c>
      <c r="B30" s="10" t="s">
        <v>1667</v>
      </c>
      <c r="C30" s="10" t="s">
        <v>1667</v>
      </c>
      <c r="D30" s="10" t="s">
        <v>1170</v>
      </c>
      <c r="E30" s="10"/>
      <c r="F30" s="10"/>
      <c r="G30" s="10"/>
      <c r="H30" s="10" t="s">
        <v>1668</v>
      </c>
      <c r="I30" s="10"/>
      <c r="J30" s="10"/>
      <c r="K30" s="132" t="s">
        <v>1191</v>
      </c>
      <c r="L30" s="137">
        <v>150</v>
      </c>
      <c r="M30" s="10" t="s">
        <v>1669</v>
      </c>
      <c r="N30" s="148" t="s">
        <v>1609</v>
      </c>
    </row>
    <row r="31" spans="1:14">
      <c r="A31" s="9" t="s">
        <v>1670</v>
      </c>
      <c r="B31" s="10" t="s">
        <v>1671</v>
      </c>
      <c r="C31" s="10" t="s">
        <v>1671</v>
      </c>
      <c r="D31" s="10" t="s">
        <v>1170</v>
      </c>
      <c r="E31" s="10"/>
      <c r="F31" s="10"/>
      <c r="G31" s="10"/>
      <c r="H31" s="30" t="s">
        <v>1672</v>
      </c>
      <c r="I31" s="10"/>
      <c r="J31" s="10"/>
      <c r="K31" s="132" t="s">
        <v>1203</v>
      </c>
      <c r="L31" s="137">
        <v>900</v>
      </c>
      <c r="M31" s="10" t="s">
        <v>1673</v>
      </c>
      <c r="N31" s="148" t="s">
        <v>1609</v>
      </c>
    </row>
    <row r="32" spans="1:14">
      <c r="A32" s="9" t="s">
        <v>1247</v>
      </c>
      <c r="B32" s="10" t="s">
        <v>1248</v>
      </c>
      <c r="C32" s="10" t="s">
        <v>1248</v>
      </c>
      <c r="D32" s="10" t="s">
        <v>1170</v>
      </c>
      <c r="E32" s="10"/>
      <c r="F32" s="10"/>
      <c r="G32" s="10"/>
      <c r="H32" s="30" t="s">
        <v>1249</v>
      </c>
      <c r="I32" s="10"/>
      <c r="J32" s="10"/>
      <c r="K32" s="132" t="s">
        <v>1203</v>
      </c>
      <c r="L32" s="137">
        <v>1100</v>
      </c>
      <c r="M32" s="10" t="s">
        <v>1674</v>
      </c>
      <c r="N32" s="148" t="s">
        <v>1609</v>
      </c>
    </row>
    <row r="33" spans="1:14">
      <c r="A33" s="9" t="s">
        <v>1562</v>
      </c>
      <c r="B33" s="10" t="s">
        <v>1563</v>
      </c>
      <c r="C33" s="10" t="s">
        <v>1563</v>
      </c>
      <c r="D33" s="10" t="s">
        <v>1170</v>
      </c>
      <c r="E33" s="10"/>
      <c r="F33" s="10"/>
      <c r="G33" s="10"/>
      <c r="H33" s="30" t="s">
        <v>1564</v>
      </c>
      <c r="I33" s="10"/>
      <c r="J33" s="10"/>
      <c r="K33" s="132" t="s">
        <v>1203</v>
      </c>
      <c r="L33" s="137">
        <v>300</v>
      </c>
      <c r="M33" s="10" t="s">
        <v>1675</v>
      </c>
      <c r="N33" s="148" t="s">
        <v>1609</v>
      </c>
    </row>
    <row r="34" spans="1:14">
      <c r="A34" s="9" t="s">
        <v>599</v>
      </c>
      <c r="B34" s="10" t="s">
        <v>781</v>
      </c>
      <c r="C34" s="10" t="s">
        <v>781</v>
      </c>
      <c r="D34" s="10" t="s">
        <v>1172</v>
      </c>
      <c r="E34" s="10">
        <v>1</v>
      </c>
      <c r="F34" s="10"/>
      <c r="G34" s="10"/>
      <c r="H34" s="10"/>
      <c r="I34" s="10"/>
      <c r="J34" s="10"/>
      <c r="K34" s="10"/>
      <c r="L34" s="138"/>
      <c r="M34" s="10" t="s">
        <v>1676</v>
      </c>
      <c r="N34" s="149"/>
    </row>
    <row r="35" spans="1:14">
      <c r="A35" s="9" t="s">
        <v>1677</v>
      </c>
      <c r="B35" s="10" t="s">
        <v>1678</v>
      </c>
      <c r="C35" s="10" t="s">
        <v>1678</v>
      </c>
      <c r="D35" s="10" t="s">
        <v>1172</v>
      </c>
      <c r="E35" s="10">
        <v>1</v>
      </c>
      <c r="F35" s="10"/>
      <c r="G35" s="10"/>
      <c r="H35" s="10"/>
      <c r="I35" s="10"/>
      <c r="J35" s="10"/>
      <c r="K35" s="10"/>
      <c r="L35" s="138"/>
      <c r="M35" s="10" t="s">
        <v>1679</v>
      </c>
      <c r="N35" s="149"/>
    </row>
    <row r="36" spans="1:14">
      <c r="A36" s="9" t="s">
        <v>1680</v>
      </c>
      <c r="B36" s="10" t="s">
        <v>1681</v>
      </c>
      <c r="C36" s="10" t="s">
        <v>1681</v>
      </c>
      <c r="D36" s="10" t="s">
        <v>1172</v>
      </c>
      <c r="E36" s="10">
        <v>1</v>
      </c>
      <c r="F36" s="10"/>
      <c r="G36" s="10"/>
      <c r="H36" s="10"/>
      <c r="I36" s="10"/>
      <c r="J36" s="10"/>
      <c r="K36" s="10"/>
      <c r="L36" s="138"/>
      <c r="M36" s="10" t="s">
        <v>1682</v>
      </c>
      <c r="N36" s="149"/>
    </row>
    <row r="37" spans="1:14">
      <c r="A37" s="9" t="s">
        <v>1683</v>
      </c>
      <c r="B37" s="10" t="s">
        <v>1684</v>
      </c>
      <c r="C37" s="10" t="s">
        <v>1684</v>
      </c>
      <c r="D37" s="10" t="s">
        <v>1172</v>
      </c>
      <c r="E37" s="10">
        <v>1</v>
      </c>
      <c r="F37" s="10"/>
      <c r="G37" s="10"/>
      <c r="H37" s="10"/>
      <c r="I37" s="10"/>
      <c r="J37" s="10"/>
      <c r="K37" s="10"/>
      <c r="L37" s="138"/>
      <c r="M37" s="10" t="s">
        <v>1685</v>
      </c>
      <c r="N37" s="149"/>
    </row>
    <row r="38" spans="1:14">
      <c r="A38" s="9" t="s">
        <v>1686</v>
      </c>
      <c r="B38" s="9" t="s">
        <v>1687</v>
      </c>
      <c r="C38" s="9" t="s">
        <v>1687</v>
      </c>
      <c r="D38" s="9" t="s">
        <v>1172</v>
      </c>
      <c r="E38" s="9">
        <v>1</v>
      </c>
      <c r="F38" s="9"/>
      <c r="G38" s="9"/>
      <c r="H38" s="9"/>
      <c r="I38" s="9"/>
      <c r="J38" s="9"/>
      <c r="K38" s="9"/>
      <c r="L38" s="139"/>
      <c r="M38" s="10" t="s">
        <v>1688</v>
      </c>
      <c r="N38" s="150"/>
    </row>
    <row r="39" spans="1:14">
      <c r="A39" s="9" t="s">
        <v>1689</v>
      </c>
      <c r="B39" s="9" t="s">
        <v>1690</v>
      </c>
      <c r="C39" s="9" t="s">
        <v>1690</v>
      </c>
      <c r="D39" s="9" t="s">
        <v>1172</v>
      </c>
      <c r="E39" s="9">
        <v>1</v>
      </c>
      <c r="F39" s="9"/>
      <c r="G39" s="9"/>
      <c r="H39" s="9"/>
      <c r="I39" s="9"/>
      <c r="J39" s="9"/>
      <c r="K39" s="9"/>
      <c r="L39" s="139"/>
      <c r="M39" s="10" t="s">
        <v>1691</v>
      </c>
      <c r="N39" s="150"/>
    </row>
    <row r="40" spans="1:14">
      <c r="A40" s="9" t="s">
        <v>1692</v>
      </c>
      <c r="B40" s="9" t="s">
        <v>1693</v>
      </c>
      <c r="C40" s="9" t="s">
        <v>1693</v>
      </c>
      <c r="D40" s="9" t="s">
        <v>1172</v>
      </c>
      <c r="E40" s="9">
        <v>1</v>
      </c>
      <c r="F40" s="9"/>
      <c r="G40" s="9"/>
      <c r="H40" s="9"/>
      <c r="I40" s="9"/>
      <c r="J40" s="9"/>
      <c r="K40" s="9"/>
      <c r="L40" s="139"/>
      <c r="M40" s="10" t="s">
        <v>1694</v>
      </c>
      <c r="N40" s="150"/>
    </row>
    <row r="41" spans="1:14">
      <c r="A41" s="9" t="s">
        <v>1695</v>
      </c>
      <c r="B41" s="9" t="s">
        <v>1696</v>
      </c>
      <c r="C41" s="9" t="s">
        <v>1696</v>
      </c>
      <c r="D41" s="9" t="s">
        <v>1172</v>
      </c>
      <c r="E41" s="9">
        <v>1</v>
      </c>
      <c r="F41" s="9"/>
      <c r="G41" s="9"/>
      <c r="H41" s="9"/>
      <c r="I41" s="9"/>
      <c r="J41" s="9"/>
      <c r="K41" s="9"/>
      <c r="L41" s="139"/>
      <c r="M41" s="10" t="s">
        <v>1697</v>
      </c>
      <c r="N41" s="150"/>
    </row>
    <row r="42" spans="1:14">
      <c r="A42" s="9" t="s">
        <v>1698</v>
      </c>
      <c r="B42" s="9" t="s">
        <v>1699</v>
      </c>
      <c r="C42" s="9" t="s">
        <v>1699</v>
      </c>
      <c r="D42" s="9" t="s">
        <v>1172</v>
      </c>
      <c r="E42" s="9">
        <v>1</v>
      </c>
      <c r="F42" s="9"/>
      <c r="G42" s="9"/>
      <c r="H42" s="9"/>
      <c r="I42" s="9"/>
      <c r="J42" s="9"/>
      <c r="K42" s="9"/>
      <c r="L42" s="139"/>
      <c r="M42" s="10" t="s">
        <v>1700</v>
      </c>
      <c r="N42" s="150"/>
    </row>
    <row r="43" spans="1:14">
      <c r="A43" s="9" t="s">
        <v>1701</v>
      </c>
      <c r="B43" s="9" t="s">
        <v>1702</v>
      </c>
      <c r="C43" s="9" t="s">
        <v>1702</v>
      </c>
      <c r="D43" s="9" t="s">
        <v>1172</v>
      </c>
      <c r="E43" s="9">
        <v>1</v>
      </c>
      <c r="F43" s="9"/>
      <c r="G43" s="9"/>
      <c r="H43" s="9"/>
      <c r="I43" s="9"/>
      <c r="J43" s="9"/>
      <c r="K43" s="9"/>
      <c r="L43" s="139"/>
      <c r="M43" s="10" t="s">
        <v>1703</v>
      </c>
      <c r="N43" s="150"/>
    </row>
    <row r="44" spans="1:14">
      <c r="A44" s="9" t="s">
        <v>1704</v>
      </c>
      <c r="B44" s="9" t="s">
        <v>1705</v>
      </c>
      <c r="C44" s="9" t="s">
        <v>1705</v>
      </c>
      <c r="D44" s="9" t="s">
        <v>1172</v>
      </c>
      <c r="E44" s="9">
        <v>1</v>
      </c>
      <c r="F44" s="9"/>
      <c r="G44" s="9"/>
      <c r="H44" s="9"/>
      <c r="I44" s="9"/>
      <c r="J44" s="9"/>
      <c r="K44" s="9"/>
      <c r="L44" s="139"/>
      <c r="M44" s="10" t="s">
        <v>1706</v>
      </c>
      <c r="N44" s="150"/>
    </row>
    <row r="45" spans="1:14">
      <c r="A45" s="9" t="s">
        <v>1707</v>
      </c>
      <c r="B45" s="9" t="s">
        <v>1708</v>
      </c>
      <c r="C45" s="9" t="s">
        <v>1708</v>
      </c>
      <c r="D45" s="9" t="s">
        <v>1172</v>
      </c>
      <c r="E45" s="9">
        <v>1</v>
      </c>
      <c r="F45" s="9"/>
      <c r="G45" s="9"/>
      <c r="H45" s="9"/>
      <c r="I45" s="9"/>
      <c r="J45" s="9"/>
      <c r="K45" s="9"/>
      <c r="L45" s="139"/>
      <c r="M45" s="10" t="s">
        <v>1709</v>
      </c>
      <c r="N45" s="150"/>
    </row>
    <row r="46" spans="1:14">
      <c r="A46" s="11" t="s">
        <v>1710</v>
      </c>
      <c r="B46" s="11" t="s">
        <v>1711</v>
      </c>
      <c r="C46" s="11" t="s">
        <v>1711</v>
      </c>
      <c r="D46" s="11" t="s">
        <v>1172</v>
      </c>
      <c r="E46" s="8">
        <v>1</v>
      </c>
      <c r="F46" s="8"/>
      <c r="G46" s="7"/>
      <c r="H46" s="7"/>
      <c r="I46" s="7"/>
      <c r="J46" s="7"/>
      <c r="K46" s="7"/>
      <c r="L46" s="136"/>
      <c r="M46" s="10" t="s">
        <v>1712</v>
      </c>
      <c r="N46" s="147"/>
    </row>
    <row r="47" spans="1:14">
      <c r="A47" s="12" t="s">
        <v>1713</v>
      </c>
      <c r="B47" s="12" t="s">
        <v>1714</v>
      </c>
      <c r="C47" s="12" t="s">
        <v>1715</v>
      </c>
      <c r="D47" s="12" t="s">
        <v>1172</v>
      </c>
      <c r="E47" s="8">
        <v>1</v>
      </c>
      <c r="F47" s="8"/>
      <c r="G47" s="9" t="s">
        <v>1048</v>
      </c>
      <c r="H47" s="9"/>
      <c r="I47" s="9"/>
      <c r="J47" s="9"/>
      <c r="K47" s="9"/>
      <c r="L47" s="139"/>
      <c r="M47" s="10" t="s">
        <v>1716</v>
      </c>
      <c r="N47" s="150"/>
    </row>
    <row r="48" spans="1:14">
      <c r="A48" s="12" t="s">
        <v>676</v>
      </c>
      <c r="B48" s="12" t="s">
        <v>1020</v>
      </c>
      <c r="C48" s="12" t="s">
        <v>778</v>
      </c>
      <c r="D48" s="12" t="s">
        <v>1172</v>
      </c>
      <c r="E48" s="8">
        <v>1</v>
      </c>
      <c r="F48" s="8"/>
      <c r="G48" s="9" t="s">
        <v>1063</v>
      </c>
      <c r="H48" s="9"/>
      <c r="I48" s="9"/>
      <c r="J48" s="9"/>
      <c r="K48" s="9"/>
      <c r="L48" s="139"/>
      <c r="M48" s="10" t="s">
        <v>1717</v>
      </c>
      <c r="N48" s="150"/>
    </row>
    <row r="49" spans="1:14">
      <c r="A49" s="11" t="s">
        <v>1718</v>
      </c>
      <c r="B49" s="11" t="s">
        <v>1719</v>
      </c>
      <c r="C49" s="11" t="s">
        <v>1720</v>
      </c>
      <c r="D49" s="11" t="s">
        <v>1172</v>
      </c>
      <c r="E49" s="8">
        <v>1</v>
      </c>
      <c r="F49" s="8"/>
      <c r="G49" s="7"/>
      <c r="H49" s="7"/>
      <c r="I49" s="7"/>
      <c r="J49" s="7"/>
      <c r="K49" s="7"/>
      <c r="L49" s="136"/>
      <c r="M49" s="11" t="s">
        <v>1721</v>
      </c>
      <c r="N49" s="147"/>
    </row>
    <row r="50" spans="1:14">
      <c r="A50" s="12" t="s">
        <v>1722</v>
      </c>
      <c r="B50" s="12" t="s">
        <v>1723</v>
      </c>
      <c r="C50" s="12" t="s">
        <v>1723</v>
      </c>
      <c r="D50" s="12" t="s">
        <v>1172</v>
      </c>
      <c r="E50" s="8">
        <v>1</v>
      </c>
      <c r="F50" s="8"/>
      <c r="G50" s="12" t="s">
        <v>1048</v>
      </c>
      <c r="H50" s="12"/>
      <c r="I50" s="12"/>
      <c r="J50" s="12"/>
      <c r="K50" s="12"/>
      <c r="L50" s="140"/>
      <c r="M50" s="10" t="s">
        <v>1724</v>
      </c>
      <c r="N50" s="151"/>
    </row>
    <row r="51" spans="1:14">
      <c r="A51" s="12" t="s">
        <v>225</v>
      </c>
      <c r="B51" s="12" t="s">
        <v>1004</v>
      </c>
      <c r="C51" s="12" t="s">
        <v>787</v>
      </c>
      <c r="D51" s="12" t="s">
        <v>1172</v>
      </c>
      <c r="E51" s="8">
        <v>1</v>
      </c>
      <c r="F51" s="8"/>
      <c r="G51" s="12" t="s">
        <v>1043</v>
      </c>
      <c r="H51" s="12"/>
      <c r="I51" s="12"/>
      <c r="J51" s="12"/>
      <c r="K51" s="12"/>
      <c r="L51" s="140"/>
      <c r="M51" s="10" t="s">
        <v>1725</v>
      </c>
      <c r="N51" s="151"/>
    </row>
    <row r="52" spans="1:14">
      <c r="A52" s="9" t="s">
        <v>523</v>
      </c>
      <c r="B52" s="9" t="s">
        <v>1006</v>
      </c>
      <c r="C52" s="12" t="s">
        <v>788</v>
      </c>
      <c r="D52" s="9" t="s">
        <v>1172</v>
      </c>
      <c r="E52" s="8">
        <v>1</v>
      </c>
      <c r="F52" s="8"/>
      <c r="G52" s="9" t="s">
        <v>1045</v>
      </c>
      <c r="H52" s="9"/>
      <c r="I52" s="9"/>
      <c r="J52" s="9"/>
      <c r="K52" s="9"/>
      <c r="L52" s="139"/>
      <c r="M52" s="10" t="s">
        <v>1726</v>
      </c>
      <c r="N52" s="150"/>
    </row>
    <row r="53" spans="1:14">
      <c r="A53" s="12" t="s">
        <v>1727</v>
      </c>
      <c r="B53" s="12" t="s">
        <v>1728</v>
      </c>
      <c r="C53" s="12" t="s">
        <v>1729</v>
      </c>
      <c r="D53" s="12" t="s">
        <v>1172</v>
      </c>
      <c r="E53" s="8">
        <v>1</v>
      </c>
      <c r="F53" s="8"/>
      <c r="G53" s="12" t="s">
        <v>1046</v>
      </c>
      <c r="H53" s="12"/>
      <c r="I53" s="12"/>
      <c r="J53" s="12"/>
      <c r="K53" s="12"/>
      <c r="L53" s="140"/>
      <c r="M53" s="10" t="s">
        <v>1730</v>
      </c>
      <c r="N53" s="151"/>
    </row>
    <row r="54" spans="1:14">
      <c r="A54" s="12" t="s">
        <v>567</v>
      </c>
      <c r="B54" s="12" t="s">
        <v>784</v>
      </c>
      <c r="C54" s="12" t="s">
        <v>784</v>
      </c>
      <c r="D54" s="12" t="s">
        <v>1172</v>
      </c>
      <c r="E54" s="8">
        <v>1</v>
      </c>
      <c r="F54" s="8"/>
      <c r="G54" s="12" t="s">
        <v>1048</v>
      </c>
      <c r="H54" s="12"/>
      <c r="I54" s="12"/>
      <c r="J54" s="12"/>
      <c r="K54" s="12"/>
      <c r="L54" s="140"/>
      <c r="M54" s="10" t="s">
        <v>1731</v>
      </c>
      <c r="N54" s="151"/>
    </row>
    <row r="55" spans="1:14">
      <c r="A55" s="12" t="s">
        <v>568</v>
      </c>
      <c r="B55" s="12" t="s">
        <v>786</v>
      </c>
      <c r="C55" s="12" t="s">
        <v>786</v>
      </c>
      <c r="D55" s="12" t="s">
        <v>1172</v>
      </c>
      <c r="E55" s="8">
        <v>1</v>
      </c>
      <c r="F55" s="8"/>
      <c r="G55" s="12" t="s">
        <v>1049</v>
      </c>
      <c r="H55" s="12"/>
      <c r="I55" s="12"/>
      <c r="J55" s="12"/>
      <c r="K55" s="12"/>
      <c r="L55" s="140"/>
      <c r="M55" s="10" t="s">
        <v>1731</v>
      </c>
      <c r="N55" s="151"/>
    </row>
    <row r="56" spans="1:14">
      <c r="A56" s="12" t="s">
        <v>623</v>
      </c>
      <c r="B56" s="12" t="s">
        <v>790</v>
      </c>
      <c r="C56" s="12" t="s">
        <v>790</v>
      </c>
      <c r="D56" s="12" t="s">
        <v>1172</v>
      </c>
      <c r="E56" s="8">
        <v>1</v>
      </c>
      <c r="F56" s="8"/>
      <c r="G56" s="12" t="s">
        <v>1050</v>
      </c>
      <c r="H56" s="12"/>
      <c r="I56" s="12"/>
      <c r="J56" s="12"/>
      <c r="K56" s="12"/>
      <c r="L56" s="140"/>
      <c r="M56" s="10" t="s">
        <v>1731</v>
      </c>
      <c r="N56" s="151"/>
    </row>
    <row r="57" spans="1:14">
      <c r="A57" s="12" t="s">
        <v>526</v>
      </c>
      <c r="B57" s="12" t="s">
        <v>785</v>
      </c>
      <c r="C57" s="12" t="s">
        <v>785</v>
      </c>
      <c r="D57" s="12" t="s">
        <v>1172</v>
      </c>
      <c r="E57" s="8">
        <v>1</v>
      </c>
      <c r="F57" s="8"/>
      <c r="G57" s="12" t="s">
        <v>1073</v>
      </c>
      <c r="H57" s="12"/>
      <c r="I57" s="12"/>
      <c r="J57" s="12"/>
      <c r="K57" s="12"/>
      <c r="L57" s="140"/>
      <c r="M57" s="10" t="s">
        <v>1731</v>
      </c>
      <c r="N57" s="151"/>
    </row>
    <row r="58" spans="1:14">
      <c r="A58" s="12" t="s">
        <v>547</v>
      </c>
      <c r="B58" s="12" t="s">
        <v>789</v>
      </c>
      <c r="C58" s="12" t="s">
        <v>789</v>
      </c>
      <c r="D58" s="12" t="s">
        <v>1172</v>
      </c>
      <c r="E58" s="8">
        <v>1</v>
      </c>
      <c r="F58" s="8"/>
      <c r="G58" s="12" t="s">
        <v>1053</v>
      </c>
      <c r="H58" s="12"/>
      <c r="I58" s="12"/>
      <c r="J58" s="12"/>
      <c r="K58" s="12"/>
      <c r="L58" s="140"/>
      <c r="M58" s="10" t="s">
        <v>1731</v>
      </c>
      <c r="N58" s="151"/>
    </row>
    <row r="59" spans="1:14">
      <c r="A59" s="12" t="s">
        <v>1732</v>
      </c>
      <c r="B59" s="12" t="s">
        <v>1733</v>
      </c>
      <c r="C59" s="12" t="s">
        <v>1733</v>
      </c>
      <c r="D59" s="12" t="s">
        <v>1172</v>
      </c>
      <c r="E59" s="8">
        <v>1</v>
      </c>
      <c r="F59" s="8"/>
      <c r="G59" s="12" t="s">
        <v>1077</v>
      </c>
      <c r="H59" s="12"/>
      <c r="I59" s="12"/>
      <c r="J59" s="12"/>
      <c r="K59" s="12"/>
      <c r="L59" s="140"/>
      <c r="M59" s="10" t="s">
        <v>1731</v>
      </c>
      <c r="N59" s="151"/>
    </row>
    <row r="60" spans="1:14">
      <c r="A60" s="12" t="s">
        <v>1734</v>
      </c>
      <c r="B60" s="12" t="s">
        <v>1735</v>
      </c>
      <c r="C60" s="12" t="s">
        <v>1735</v>
      </c>
      <c r="D60" s="12" t="s">
        <v>1172</v>
      </c>
      <c r="E60" s="8">
        <v>1</v>
      </c>
      <c r="F60" s="8"/>
      <c r="G60" s="12" t="s">
        <v>1055</v>
      </c>
      <c r="H60" s="12"/>
      <c r="I60" s="12"/>
      <c r="J60" s="12"/>
      <c r="K60" s="12"/>
      <c r="L60" s="140"/>
      <c r="M60" s="10" t="s">
        <v>1736</v>
      </c>
      <c r="N60" s="151"/>
    </row>
    <row r="61" spans="1:14">
      <c r="A61" s="12" t="s">
        <v>1737</v>
      </c>
      <c r="B61" s="12" t="s">
        <v>1738</v>
      </c>
      <c r="C61" s="12" t="s">
        <v>1738</v>
      </c>
      <c r="D61" s="12" t="s">
        <v>1172</v>
      </c>
      <c r="E61" s="8">
        <v>1</v>
      </c>
      <c r="F61" s="8"/>
      <c r="G61" s="12" t="s">
        <v>1056</v>
      </c>
      <c r="H61" s="12"/>
      <c r="I61" s="12"/>
      <c r="J61" s="12"/>
      <c r="K61" s="12"/>
      <c r="L61" s="140"/>
      <c r="M61" s="10" t="s">
        <v>1739</v>
      </c>
      <c r="N61" s="151"/>
    </row>
    <row r="62" spans="1:14">
      <c r="A62" s="13" t="s">
        <v>216</v>
      </c>
      <c r="B62" s="13" t="s">
        <v>796</v>
      </c>
      <c r="C62" s="13" t="s">
        <v>796</v>
      </c>
      <c r="D62" s="13" t="s">
        <v>1171</v>
      </c>
      <c r="E62" s="13"/>
      <c r="F62" s="13"/>
      <c r="G62" s="13"/>
      <c r="H62" s="13" t="s">
        <v>1740</v>
      </c>
      <c r="I62" s="13"/>
      <c r="J62" s="13"/>
      <c r="K62" s="132" t="s">
        <v>1191</v>
      </c>
      <c r="L62" s="137">
        <v>70</v>
      </c>
      <c r="M62" s="13" t="s">
        <v>796</v>
      </c>
      <c r="N62" s="152" t="s">
        <v>1741</v>
      </c>
    </row>
    <row r="63" spans="1:14">
      <c r="A63" s="8" t="s">
        <v>1532</v>
      </c>
      <c r="B63" s="8" t="s">
        <v>1742</v>
      </c>
      <c r="C63" s="8" t="s">
        <v>1742</v>
      </c>
      <c r="D63" s="8" t="s">
        <v>1171</v>
      </c>
      <c r="E63" s="8"/>
      <c r="F63" s="8"/>
      <c r="G63" s="8"/>
      <c r="H63" s="8"/>
      <c r="I63" s="8"/>
      <c r="J63" s="8"/>
      <c r="K63" s="132" t="s">
        <v>1191</v>
      </c>
      <c r="L63" s="142">
        <v>15</v>
      </c>
      <c r="M63" s="8" t="s">
        <v>1743</v>
      </c>
      <c r="N63" s="152" t="s">
        <v>1741</v>
      </c>
    </row>
    <row r="64" spans="1:14">
      <c r="A64" s="13" t="s">
        <v>1744</v>
      </c>
      <c r="B64" s="13" t="s">
        <v>1745</v>
      </c>
      <c r="C64" s="13" t="s">
        <v>1745</v>
      </c>
      <c r="D64" s="13" t="s">
        <v>1171</v>
      </c>
      <c r="E64" s="13"/>
      <c r="F64" s="13"/>
      <c r="G64" s="13"/>
      <c r="H64" s="13"/>
      <c r="I64" s="13"/>
      <c r="J64" s="13"/>
      <c r="K64" s="132" t="s">
        <v>1191</v>
      </c>
      <c r="L64" s="142">
        <v>5</v>
      </c>
      <c r="M64" s="13" t="s">
        <v>1746</v>
      </c>
      <c r="N64" s="152" t="s">
        <v>1741</v>
      </c>
    </row>
    <row r="65" spans="1:14">
      <c r="A65" s="13" t="s">
        <v>1747</v>
      </c>
      <c r="B65" s="13" t="s">
        <v>1748</v>
      </c>
      <c r="C65" s="13" t="s">
        <v>1748</v>
      </c>
      <c r="D65" s="13" t="s">
        <v>1171</v>
      </c>
      <c r="E65" s="13"/>
      <c r="F65" s="13"/>
      <c r="G65" s="13"/>
      <c r="H65" s="13"/>
      <c r="I65" s="13"/>
      <c r="J65" s="13"/>
      <c r="K65" s="132" t="s">
        <v>1191</v>
      </c>
      <c r="L65" s="142">
        <v>10</v>
      </c>
      <c r="M65" s="13" t="s">
        <v>1749</v>
      </c>
      <c r="N65" s="152" t="s">
        <v>1741</v>
      </c>
    </row>
    <row r="66" spans="1:14">
      <c r="A66" s="13" t="s">
        <v>1750</v>
      </c>
      <c r="B66" s="13" t="s">
        <v>1751</v>
      </c>
      <c r="C66" s="13" t="s">
        <v>1751</v>
      </c>
      <c r="D66" s="13" t="s">
        <v>1171</v>
      </c>
      <c r="E66" s="13"/>
      <c r="F66" s="13"/>
      <c r="G66" s="13"/>
      <c r="H66" s="13"/>
      <c r="I66" s="13"/>
      <c r="J66" s="13"/>
      <c r="K66" s="132" t="s">
        <v>1191</v>
      </c>
      <c r="L66" s="142">
        <v>15</v>
      </c>
      <c r="M66" s="13" t="s">
        <v>1752</v>
      </c>
      <c r="N66" s="152" t="s">
        <v>1741</v>
      </c>
    </row>
    <row r="67" spans="1:14">
      <c r="A67" s="13" t="s">
        <v>562</v>
      </c>
      <c r="B67" s="13" t="s">
        <v>1008</v>
      </c>
      <c r="C67" s="13" t="s">
        <v>1008</v>
      </c>
      <c r="D67" s="13" t="s">
        <v>1171</v>
      </c>
      <c r="E67" s="13"/>
      <c r="F67" s="13"/>
      <c r="G67" s="13"/>
      <c r="H67" s="13"/>
      <c r="I67" s="13"/>
      <c r="J67" s="13"/>
      <c r="K67" s="13" t="s">
        <v>1191</v>
      </c>
      <c r="L67" s="142">
        <v>30</v>
      </c>
      <c r="M67" s="13" t="s">
        <v>1753</v>
      </c>
      <c r="N67" s="152" t="s">
        <v>1741</v>
      </c>
    </row>
    <row r="68" spans="1:14">
      <c r="A68" s="13" t="s">
        <v>652</v>
      </c>
      <c r="B68" s="13" t="s">
        <v>653</v>
      </c>
      <c r="C68" s="13" t="s">
        <v>653</v>
      </c>
      <c r="D68" s="13" t="s">
        <v>1171</v>
      </c>
      <c r="E68" s="13"/>
      <c r="F68" s="13"/>
      <c r="G68" s="13"/>
      <c r="H68" s="13" t="s">
        <v>1529</v>
      </c>
      <c r="I68" s="13"/>
      <c r="J68" s="13"/>
      <c r="K68" s="13" t="s">
        <v>1191</v>
      </c>
      <c r="L68" s="137">
        <v>95</v>
      </c>
      <c r="M68" s="13" t="s">
        <v>653</v>
      </c>
      <c r="N68" s="152" t="s">
        <v>1741</v>
      </c>
    </row>
    <row r="69" spans="1:14">
      <c r="A69" s="8" t="s">
        <v>329</v>
      </c>
      <c r="B69" s="8" t="s">
        <v>1009</v>
      </c>
      <c r="C69" s="8" t="s">
        <v>794</v>
      </c>
      <c r="D69" s="8" t="s">
        <v>1171</v>
      </c>
      <c r="E69" s="8"/>
      <c r="F69" s="8"/>
      <c r="G69" s="8"/>
      <c r="H69" s="8"/>
      <c r="I69" s="8"/>
      <c r="J69" s="8"/>
      <c r="K69" s="13" t="s">
        <v>1191</v>
      </c>
      <c r="L69" s="142">
        <v>200</v>
      </c>
      <c r="M69" s="8" t="s">
        <v>1754</v>
      </c>
      <c r="N69" s="152" t="s">
        <v>1609</v>
      </c>
    </row>
    <row r="70" spans="1:14">
      <c r="A70" s="8" t="s">
        <v>604</v>
      </c>
      <c r="B70" s="8" t="s">
        <v>1011</v>
      </c>
      <c r="C70" s="8" t="s">
        <v>795</v>
      </c>
      <c r="D70" s="8" t="s">
        <v>1171</v>
      </c>
      <c r="E70" s="8"/>
      <c r="F70" s="8"/>
      <c r="G70" s="8"/>
      <c r="H70" s="8"/>
      <c r="I70" s="8"/>
      <c r="J70" s="8"/>
      <c r="K70" s="13" t="s">
        <v>1191</v>
      </c>
      <c r="L70" s="142">
        <v>200</v>
      </c>
      <c r="M70" s="8" t="s">
        <v>1754</v>
      </c>
      <c r="N70" s="152" t="s">
        <v>1609</v>
      </c>
    </row>
    <row r="71" spans="1:14">
      <c r="A71" s="9" t="s">
        <v>1485</v>
      </c>
      <c r="B71" s="244" t="s">
        <v>1755</v>
      </c>
      <c r="C71" s="9" t="s">
        <v>1755</v>
      </c>
      <c r="D71" s="8" t="s">
        <v>1171</v>
      </c>
      <c r="E71" s="8"/>
      <c r="F71" s="8"/>
      <c r="G71" s="9"/>
      <c r="H71" s="9"/>
      <c r="I71" s="9"/>
      <c r="J71" s="9"/>
      <c r="K71" s="9"/>
      <c r="L71" s="140"/>
      <c r="M71" s="9" t="s">
        <v>1756</v>
      </c>
      <c r="N71" s="152" t="s">
        <v>1757</v>
      </c>
    </row>
    <row r="72" spans="1:14">
      <c r="A72" s="9" t="s">
        <v>1758</v>
      </c>
      <c r="B72" s="244" t="s">
        <v>1759</v>
      </c>
      <c r="C72" s="9" t="s">
        <v>1759</v>
      </c>
      <c r="D72" s="8" t="s">
        <v>1171</v>
      </c>
      <c r="E72" s="8"/>
      <c r="F72" s="8"/>
      <c r="G72" s="9"/>
      <c r="H72" s="9"/>
      <c r="I72" s="9"/>
      <c r="J72" s="9"/>
      <c r="K72" s="9"/>
      <c r="L72" s="140"/>
      <c r="M72" s="9" t="s">
        <v>1760</v>
      </c>
      <c r="N72" s="152" t="s">
        <v>1761</v>
      </c>
    </row>
    <row r="73" spans="1:14">
      <c r="A73" s="9" t="s">
        <v>1558</v>
      </c>
      <c r="B73" s="9" t="s">
        <v>1488</v>
      </c>
      <c r="C73" s="9" t="s">
        <v>1488</v>
      </c>
      <c r="D73" s="13" t="s">
        <v>1171</v>
      </c>
      <c r="E73" s="8"/>
      <c r="F73" s="8"/>
      <c r="G73" s="9"/>
      <c r="H73" s="9"/>
      <c r="I73" s="9"/>
      <c r="J73" s="9"/>
      <c r="K73" s="9" t="s">
        <v>1242</v>
      </c>
      <c r="L73" s="140">
        <v>8</v>
      </c>
      <c r="M73" s="9" t="s">
        <v>1762</v>
      </c>
      <c r="N73" s="152" t="s">
        <v>1741</v>
      </c>
    </row>
    <row r="74" spans="1:14">
      <c r="A74" s="13" t="s">
        <v>1578</v>
      </c>
      <c r="B74" s="13" t="s">
        <v>1579</v>
      </c>
      <c r="C74" s="13" t="s">
        <v>1579</v>
      </c>
      <c r="D74" s="13" t="s">
        <v>1171</v>
      </c>
      <c r="E74" s="13"/>
      <c r="F74" s="13"/>
      <c r="G74" s="13"/>
      <c r="H74" s="13"/>
      <c r="I74" s="13"/>
      <c r="J74" s="13"/>
      <c r="K74" s="9" t="s">
        <v>1242</v>
      </c>
      <c r="L74" s="140">
        <v>20</v>
      </c>
      <c r="M74" s="13" t="s">
        <v>1763</v>
      </c>
      <c r="N74" s="152" t="s">
        <v>1741</v>
      </c>
    </row>
    <row r="75" spans="1:14" ht="15" customHeight="1">
      <c r="A75" s="9" t="s">
        <v>1556</v>
      </c>
      <c r="B75" s="9" t="s">
        <v>1557</v>
      </c>
      <c r="C75" s="9" t="s">
        <v>1557</v>
      </c>
      <c r="D75" s="13" t="s">
        <v>1171</v>
      </c>
      <c r="E75" s="8"/>
      <c r="F75" s="8"/>
      <c r="G75" s="9"/>
      <c r="H75" s="9"/>
      <c r="I75" s="9"/>
      <c r="J75" s="9"/>
      <c r="K75" s="9" t="s">
        <v>1242</v>
      </c>
      <c r="L75" s="140">
        <v>7</v>
      </c>
      <c r="M75" s="9" t="s">
        <v>1764</v>
      </c>
      <c r="N75" s="152" t="s">
        <v>1741</v>
      </c>
    </row>
    <row r="76" spans="1:14">
      <c r="A76" s="9" t="s">
        <v>1472</v>
      </c>
      <c r="B76" s="9" t="s">
        <v>1765</v>
      </c>
      <c r="C76" s="9" t="s">
        <v>1765</v>
      </c>
      <c r="D76" s="8" t="s">
        <v>1171</v>
      </c>
      <c r="E76" s="8"/>
      <c r="F76" s="8"/>
      <c r="G76" s="9"/>
      <c r="H76" s="9"/>
      <c r="I76" s="9"/>
      <c r="J76" s="9"/>
      <c r="K76" s="9"/>
      <c r="L76" s="140"/>
      <c r="M76" s="9" t="s">
        <v>1766</v>
      </c>
      <c r="N76" s="152" t="s">
        <v>1767</v>
      </c>
    </row>
    <row r="77" spans="1:14">
      <c r="A77" s="9" t="s">
        <v>1768</v>
      </c>
      <c r="B77" s="9" t="s">
        <v>1769</v>
      </c>
      <c r="C77" s="9" t="s">
        <v>1769</v>
      </c>
      <c r="D77" s="8" t="s">
        <v>1171</v>
      </c>
      <c r="E77" s="8"/>
      <c r="F77" s="8"/>
      <c r="G77" s="9"/>
      <c r="H77" s="9"/>
      <c r="I77" s="9"/>
      <c r="J77" s="9"/>
      <c r="K77" s="9"/>
      <c r="L77" s="140"/>
      <c r="M77" s="9" t="s">
        <v>1770</v>
      </c>
      <c r="N77" s="152" t="s">
        <v>1771</v>
      </c>
    </row>
    <row r="78" spans="1:14" ht="15" customHeight="1">
      <c r="A78" s="13" t="s">
        <v>537</v>
      </c>
      <c r="B78" s="13" t="s">
        <v>1010</v>
      </c>
      <c r="C78" s="13" t="s">
        <v>1154</v>
      </c>
      <c r="D78" s="13" t="s">
        <v>1171</v>
      </c>
      <c r="E78" s="13"/>
      <c r="F78" s="13"/>
      <c r="G78" s="13"/>
      <c r="H78" s="13"/>
      <c r="I78" s="13"/>
      <c r="J78" s="13"/>
      <c r="K78" s="13"/>
      <c r="L78" s="141"/>
      <c r="M78" s="13" t="s">
        <v>1772</v>
      </c>
      <c r="N78" s="152"/>
    </row>
    <row r="79" spans="1:14">
      <c r="A79" s="9" t="s">
        <v>1554</v>
      </c>
      <c r="B79" s="13" t="s">
        <v>1555</v>
      </c>
      <c r="C79" s="13" t="s">
        <v>1555</v>
      </c>
      <c r="D79" s="13" t="s">
        <v>1171</v>
      </c>
      <c r="E79" s="8"/>
      <c r="F79" s="8"/>
      <c r="G79" s="9"/>
      <c r="H79" s="9"/>
      <c r="I79" s="9"/>
      <c r="J79" s="9"/>
      <c r="K79" s="9" t="s">
        <v>1191</v>
      </c>
      <c r="L79" s="140">
        <v>23</v>
      </c>
      <c r="M79" s="13" t="s">
        <v>1555</v>
      </c>
      <c r="N79" s="152" t="s">
        <v>1741</v>
      </c>
    </row>
    <row r="80" spans="1:14">
      <c r="A80" s="8" t="s">
        <v>1773</v>
      </c>
      <c r="B80" s="13" t="s">
        <v>1774</v>
      </c>
      <c r="C80" s="8" t="s">
        <v>1775</v>
      </c>
      <c r="D80" s="8" t="s">
        <v>1171</v>
      </c>
      <c r="E80" s="13"/>
      <c r="F80" s="8"/>
      <c r="G80" s="8"/>
      <c r="H80" s="8"/>
      <c r="I80" s="8"/>
      <c r="J80" s="8"/>
      <c r="K80" s="8" t="s">
        <v>1191</v>
      </c>
      <c r="L80" s="142">
        <v>10</v>
      </c>
      <c r="M80" s="8" t="s">
        <v>1775</v>
      </c>
      <c r="N80" s="152" t="s">
        <v>1741</v>
      </c>
    </row>
    <row r="81" spans="1:14">
      <c r="A81" s="8" t="s">
        <v>1776</v>
      </c>
      <c r="B81" s="13" t="s">
        <v>1777</v>
      </c>
      <c r="C81" s="8" t="s">
        <v>1778</v>
      </c>
      <c r="D81" s="8" t="s">
        <v>1171</v>
      </c>
      <c r="E81" s="13"/>
      <c r="F81" s="8"/>
      <c r="G81" s="8"/>
      <c r="H81" s="8"/>
      <c r="I81" s="8"/>
      <c r="J81" s="8"/>
      <c r="K81" s="8" t="s">
        <v>1191</v>
      </c>
      <c r="L81" s="142">
        <v>10</v>
      </c>
      <c r="M81" s="8" t="s">
        <v>1778</v>
      </c>
      <c r="N81" s="152" t="s">
        <v>1741</v>
      </c>
    </row>
    <row r="82" spans="1:14">
      <c r="A82" s="8" t="s">
        <v>1779</v>
      </c>
      <c r="B82" s="8" t="s">
        <v>1780</v>
      </c>
      <c r="C82" s="8" t="s">
        <v>1781</v>
      </c>
      <c r="D82" s="8" t="s">
        <v>1171</v>
      </c>
      <c r="E82" s="13"/>
      <c r="F82" s="8"/>
      <c r="G82" s="8"/>
      <c r="H82" s="8"/>
      <c r="I82" s="8"/>
      <c r="J82" s="8"/>
      <c r="K82" s="8" t="s">
        <v>1191</v>
      </c>
      <c r="L82" s="142">
        <v>10</v>
      </c>
      <c r="M82" s="8" t="s">
        <v>1781</v>
      </c>
      <c r="N82" s="152" t="s">
        <v>1741</v>
      </c>
    </row>
    <row r="83" spans="1:14">
      <c r="A83" s="8" t="s">
        <v>1782</v>
      </c>
      <c r="B83" s="8" t="s">
        <v>1505</v>
      </c>
      <c r="C83" s="8" t="s">
        <v>1783</v>
      </c>
      <c r="D83" s="8" t="s">
        <v>1171</v>
      </c>
      <c r="E83" s="13"/>
      <c r="F83" s="8"/>
      <c r="G83" s="8"/>
      <c r="H83" s="8"/>
      <c r="I83" s="8"/>
      <c r="J83" s="8"/>
      <c r="K83" s="8" t="s">
        <v>1191</v>
      </c>
      <c r="L83" s="142">
        <v>10</v>
      </c>
      <c r="M83" s="8" t="s">
        <v>1783</v>
      </c>
      <c r="N83" s="152" t="s">
        <v>1741</v>
      </c>
    </row>
    <row r="84" spans="1:14">
      <c r="A84" s="8" t="s">
        <v>1784</v>
      </c>
      <c r="B84" s="8" t="s">
        <v>1785</v>
      </c>
      <c r="C84" s="8" t="s">
        <v>1786</v>
      </c>
      <c r="D84" s="8" t="s">
        <v>1171</v>
      </c>
      <c r="E84" s="13"/>
      <c r="F84" s="8"/>
      <c r="G84" s="8"/>
      <c r="H84" s="8"/>
      <c r="I84" s="8"/>
      <c r="J84" s="8"/>
      <c r="K84" s="8" t="s">
        <v>1191</v>
      </c>
      <c r="L84" s="142">
        <v>10</v>
      </c>
      <c r="M84" s="8" t="s">
        <v>1786</v>
      </c>
      <c r="N84" s="152" t="s">
        <v>1741</v>
      </c>
    </row>
    <row r="85" spans="1:14">
      <c r="A85" s="8" t="s">
        <v>1787</v>
      </c>
      <c r="B85" s="8" t="s">
        <v>1501</v>
      </c>
      <c r="C85" s="8" t="s">
        <v>1788</v>
      </c>
      <c r="D85" s="8" t="s">
        <v>1171</v>
      </c>
      <c r="E85" s="13"/>
      <c r="F85" s="8"/>
      <c r="G85" s="8"/>
      <c r="H85" s="8"/>
      <c r="I85" s="8"/>
      <c r="J85" s="8"/>
      <c r="K85" s="8" t="s">
        <v>1191</v>
      </c>
      <c r="L85" s="142">
        <v>10</v>
      </c>
      <c r="M85" s="8" t="s">
        <v>1788</v>
      </c>
      <c r="N85" s="152" t="s">
        <v>1741</v>
      </c>
    </row>
    <row r="86" spans="1:14">
      <c r="A86" s="8" t="s">
        <v>1789</v>
      </c>
      <c r="B86" s="8" t="s">
        <v>1502</v>
      </c>
      <c r="C86" s="8" t="s">
        <v>1502</v>
      </c>
      <c r="D86" s="8" t="s">
        <v>1171</v>
      </c>
      <c r="E86" s="13"/>
      <c r="F86" s="8"/>
      <c r="G86" s="8"/>
      <c r="H86" s="8"/>
      <c r="I86" s="8"/>
      <c r="J86" s="8"/>
      <c r="K86" s="8" t="s">
        <v>1191</v>
      </c>
      <c r="L86" s="137">
        <v>10</v>
      </c>
      <c r="M86" s="8" t="s">
        <v>1502</v>
      </c>
      <c r="N86" s="152" t="s">
        <v>1741</v>
      </c>
    </row>
    <row r="87" spans="1:14">
      <c r="A87" s="8" t="s">
        <v>1790</v>
      </c>
      <c r="B87" s="8" t="s">
        <v>1500</v>
      </c>
      <c r="C87" s="13" t="s">
        <v>1500</v>
      </c>
      <c r="D87" s="13" t="s">
        <v>1171</v>
      </c>
      <c r="E87" s="13"/>
      <c r="F87" s="13"/>
      <c r="G87" s="13"/>
      <c r="H87" s="13"/>
      <c r="I87" s="13"/>
      <c r="J87" s="13"/>
      <c r="K87" s="13" t="s">
        <v>1191</v>
      </c>
      <c r="L87" s="137">
        <v>10</v>
      </c>
      <c r="M87" s="8" t="s">
        <v>1500</v>
      </c>
      <c r="N87" s="152" t="s">
        <v>1741</v>
      </c>
    </row>
    <row r="88" spans="1:14">
      <c r="A88" s="13" t="s">
        <v>1791</v>
      </c>
      <c r="B88" s="8" t="s">
        <v>1792</v>
      </c>
      <c r="C88" s="13" t="s">
        <v>1793</v>
      </c>
      <c r="D88" s="13" t="s">
        <v>1171</v>
      </c>
      <c r="E88" s="13"/>
      <c r="F88" s="13"/>
      <c r="G88" s="13"/>
      <c r="H88" s="13"/>
      <c r="I88" s="13"/>
      <c r="J88" s="13"/>
      <c r="K88" s="13" t="s">
        <v>1191</v>
      </c>
      <c r="L88" s="137">
        <v>15</v>
      </c>
      <c r="M88" s="13" t="s">
        <v>1793</v>
      </c>
      <c r="N88" s="152" t="s">
        <v>1741</v>
      </c>
    </row>
    <row r="89" spans="1:14">
      <c r="A89" s="13" t="s">
        <v>1794</v>
      </c>
      <c r="B89" s="13" t="s">
        <v>1504</v>
      </c>
      <c r="C89" s="13" t="s">
        <v>1504</v>
      </c>
      <c r="D89" s="13" t="s">
        <v>1171</v>
      </c>
      <c r="E89" s="13"/>
      <c r="F89" s="13"/>
      <c r="G89" s="13"/>
      <c r="H89" s="13"/>
      <c r="I89" s="13"/>
      <c r="J89" s="13"/>
      <c r="K89" s="13" t="s">
        <v>1191</v>
      </c>
      <c r="L89" s="137">
        <v>15</v>
      </c>
      <c r="M89" s="13" t="s">
        <v>1504</v>
      </c>
      <c r="N89" s="152" t="s">
        <v>1741</v>
      </c>
    </row>
    <row r="90" spans="1:14">
      <c r="A90" s="13" t="s">
        <v>1795</v>
      </c>
      <c r="B90" s="13" t="s">
        <v>1796</v>
      </c>
      <c r="C90" s="13" t="s">
        <v>1796</v>
      </c>
      <c r="D90" s="13" t="s">
        <v>1171</v>
      </c>
      <c r="E90" s="13"/>
      <c r="F90" s="13"/>
      <c r="G90" s="13"/>
      <c r="H90" s="13"/>
      <c r="I90" s="13"/>
      <c r="J90" s="13"/>
      <c r="K90" s="13" t="s">
        <v>1191</v>
      </c>
      <c r="L90" s="137">
        <v>20</v>
      </c>
      <c r="M90" s="13" t="s">
        <v>1796</v>
      </c>
      <c r="N90" s="152" t="s">
        <v>1741</v>
      </c>
    </row>
    <row r="91" spans="1:14">
      <c r="A91" s="13" t="s">
        <v>1797</v>
      </c>
      <c r="B91" s="13" t="s">
        <v>1798</v>
      </c>
      <c r="C91" s="13" t="s">
        <v>1798</v>
      </c>
      <c r="D91" s="13" t="s">
        <v>1171</v>
      </c>
      <c r="E91" s="13"/>
      <c r="F91" s="13"/>
      <c r="G91" s="13"/>
      <c r="H91" s="13"/>
      <c r="I91" s="13"/>
      <c r="J91" s="13"/>
      <c r="K91" s="13" t="s">
        <v>1191</v>
      </c>
      <c r="L91" s="137">
        <v>20</v>
      </c>
      <c r="M91" s="13" t="s">
        <v>1798</v>
      </c>
      <c r="N91" s="152" t="s">
        <v>1741</v>
      </c>
    </row>
    <row r="92" spans="1:14">
      <c r="A92" s="13" t="s">
        <v>1799</v>
      </c>
      <c r="B92" s="13" t="s">
        <v>1800</v>
      </c>
      <c r="C92" s="13" t="s">
        <v>1800</v>
      </c>
      <c r="D92" s="13" t="s">
        <v>1171</v>
      </c>
      <c r="E92" s="13"/>
      <c r="F92" s="13"/>
      <c r="G92" s="13"/>
      <c r="H92" s="13"/>
      <c r="I92" s="13"/>
      <c r="J92" s="13"/>
      <c r="K92" s="13" t="s">
        <v>1191</v>
      </c>
      <c r="L92" s="137">
        <v>20</v>
      </c>
      <c r="M92" s="13" t="s">
        <v>1800</v>
      </c>
      <c r="N92" s="152" t="s">
        <v>1741</v>
      </c>
    </row>
    <row r="93" spans="1:14">
      <c r="A93" s="13" t="s">
        <v>349</v>
      </c>
      <c r="B93" s="13" t="s">
        <v>1029</v>
      </c>
      <c r="C93" s="13" t="s">
        <v>1029</v>
      </c>
      <c r="D93" s="13" t="s">
        <v>1171</v>
      </c>
      <c r="E93" s="13"/>
      <c r="F93" s="13"/>
      <c r="G93" s="13"/>
      <c r="H93" s="13" t="s">
        <v>1514</v>
      </c>
      <c r="I93" s="13"/>
      <c r="J93" s="13"/>
      <c r="K93" s="13" t="s">
        <v>1191</v>
      </c>
      <c r="L93" s="137">
        <v>100</v>
      </c>
      <c r="M93" s="13" t="s">
        <v>1800</v>
      </c>
      <c r="N93" s="152" t="s">
        <v>1609</v>
      </c>
    </row>
    <row r="94" spans="1:14">
      <c r="A94" s="14" t="s">
        <v>1801</v>
      </c>
      <c r="B94" s="14" t="s">
        <v>1802</v>
      </c>
      <c r="C94" s="14" t="s">
        <v>1803</v>
      </c>
      <c r="D94" s="12" t="s">
        <v>1804</v>
      </c>
      <c r="E94" s="14"/>
      <c r="F94" s="14"/>
      <c r="G94" s="14"/>
      <c r="H94" s="14" t="s">
        <v>1805</v>
      </c>
      <c r="I94" s="14"/>
      <c r="J94" s="14"/>
      <c r="K94" s="13" t="s">
        <v>1191</v>
      </c>
      <c r="L94" s="137">
        <v>525</v>
      </c>
      <c r="M94" s="12" t="s">
        <v>1806</v>
      </c>
      <c r="N94" s="152" t="s">
        <v>1741</v>
      </c>
    </row>
    <row r="95" spans="1:14">
      <c r="A95" s="14" t="s">
        <v>1807</v>
      </c>
      <c r="B95" s="14" t="s">
        <v>1808</v>
      </c>
      <c r="C95" s="14" t="s">
        <v>1808</v>
      </c>
      <c r="D95" s="12" t="s">
        <v>1804</v>
      </c>
      <c r="E95" s="14"/>
      <c r="F95" s="14"/>
      <c r="G95" s="14"/>
      <c r="H95" s="14"/>
      <c r="I95" s="14"/>
      <c r="J95" s="14"/>
      <c r="K95" s="14" t="s">
        <v>1242</v>
      </c>
      <c r="L95" s="137">
        <v>70</v>
      </c>
      <c r="M95" s="12" t="s">
        <v>1808</v>
      </c>
      <c r="N95" s="152" t="s">
        <v>1741</v>
      </c>
    </row>
    <row r="96" spans="1:14">
      <c r="A96" s="14" t="s">
        <v>1809</v>
      </c>
      <c r="B96" s="14" t="s">
        <v>1810</v>
      </c>
      <c r="C96" s="14" t="s">
        <v>1810</v>
      </c>
      <c r="D96" s="12" t="s">
        <v>1804</v>
      </c>
      <c r="E96" s="14"/>
      <c r="F96" s="14"/>
      <c r="G96" s="14"/>
      <c r="H96" s="14"/>
      <c r="I96" s="14"/>
      <c r="J96" s="14"/>
      <c r="K96" s="14" t="s">
        <v>1242</v>
      </c>
      <c r="L96" s="137">
        <v>15</v>
      </c>
      <c r="M96" s="12" t="s">
        <v>1810</v>
      </c>
      <c r="N96" s="152" t="s">
        <v>1741</v>
      </c>
    </row>
    <row r="97" spans="1:14">
      <c r="A97" s="14" t="s">
        <v>1811</v>
      </c>
      <c r="B97" s="14" t="s">
        <v>1812</v>
      </c>
      <c r="C97" s="14" t="s">
        <v>1812</v>
      </c>
      <c r="D97" s="12" t="s">
        <v>1804</v>
      </c>
      <c r="E97" s="14"/>
      <c r="F97" s="14"/>
      <c r="G97" s="14"/>
      <c r="H97" s="14"/>
      <c r="I97" s="14"/>
      <c r="J97" s="14"/>
      <c r="K97" s="14" t="s">
        <v>1242</v>
      </c>
      <c r="L97" s="137">
        <v>40</v>
      </c>
      <c r="M97" s="12" t="s">
        <v>1812</v>
      </c>
      <c r="N97" s="152" t="s">
        <v>1741</v>
      </c>
    </row>
    <row r="98" spans="1:14">
      <c r="A98" s="14" t="s">
        <v>1813</v>
      </c>
      <c r="B98" s="14" t="s">
        <v>1814</v>
      </c>
      <c r="C98" s="14" t="s">
        <v>1814</v>
      </c>
      <c r="D98" s="12" t="s">
        <v>1804</v>
      </c>
      <c r="E98" s="14"/>
      <c r="F98" s="14"/>
      <c r="G98" s="14"/>
      <c r="H98" s="14"/>
      <c r="I98" s="14"/>
      <c r="J98" s="14"/>
      <c r="K98" s="14" t="s">
        <v>1242</v>
      </c>
      <c r="L98" s="137">
        <v>10</v>
      </c>
      <c r="M98" s="12" t="s">
        <v>1814</v>
      </c>
      <c r="N98" s="152" t="s">
        <v>1741</v>
      </c>
    </row>
    <row r="99" spans="1:14">
      <c r="A99" s="14" t="s">
        <v>202</v>
      </c>
      <c r="B99" s="14" t="s">
        <v>1003</v>
      </c>
      <c r="C99" s="14" t="s">
        <v>779</v>
      </c>
      <c r="D99" s="14" t="s">
        <v>798</v>
      </c>
      <c r="E99" s="8">
        <v>1</v>
      </c>
      <c r="F99" s="8"/>
      <c r="G99" s="15" t="s">
        <v>1043</v>
      </c>
      <c r="H99" s="15"/>
      <c r="I99" s="15"/>
      <c r="J99" s="15"/>
      <c r="K99" s="15"/>
      <c r="L99" s="137"/>
      <c r="M99" s="14" t="s">
        <v>1815</v>
      </c>
      <c r="N99" s="153"/>
    </row>
    <row r="100" spans="1:14">
      <c r="A100" s="14" t="s">
        <v>1816</v>
      </c>
      <c r="B100" s="245" t="s">
        <v>1817</v>
      </c>
      <c r="C100" s="14" t="s">
        <v>779</v>
      </c>
      <c r="D100" s="14" t="s">
        <v>798</v>
      </c>
      <c r="E100" s="8"/>
      <c r="F100" s="8"/>
      <c r="G100" s="14"/>
      <c r="H100" s="14"/>
      <c r="I100" s="14"/>
      <c r="J100" s="14"/>
      <c r="K100" s="14"/>
      <c r="L100" s="137"/>
      <c r="M100" s="14" t="s">
        <v>1818</v>
      </c>
      <c r="N100" s="149"/>
    </row>
    <row r="101" spans="1:14">
      <c r="A101" s="14" t="s">
        <v>207</v>
      </c>
      <c r="B101" s="14" t="s">
        <v>1017</v>
      </c>
      <c r="C101" s="14" t="s">
        <v>782</v>
      </c>
      <c r="D101" s="14" t="s">
        <v>798</v>
      </c>
      <c r="E101" s="8">
        <v>1</v>
      </c>
      <c r="F101" s="8"/>
      <c r="G101" s="15" t="s">
        <v>1043</v>
      </c>
      <c r="H101" s="15"/>
      <c r="I101" s="15"/>
      <c r="J101" s="15"/>
      <c r="K101" s="15"/>
      <c r="L101" s="137"/>
      <c r="M101" s="14" t="s">
        <v>1819</v>
      </c>
      <c r="N101" s="153"/>
    </row>
    <row r="102" spans="1:14">
      <c r="A102" s="14" t="s">
        <v>1820</v>
      </c>
      <c r="B102" s="14" t="s">
        <v>1821</v>
      </c>
      <c r="C102" s="14" t="s">
        <v>782</v>
      </c>
      <c r="D102" s="14" t="s">
        <v>798</v>
      </c>
      <c r="E102" s="8"/>
      <c r="F102" s="8"/>
      <c r="G102" s="14"/>
      <c r="H102" s="14"/>
      <c r="I102" s="14"/>
      <c r="J102" s="14"/>
      <c r="K102" s="14"/>
      <c r="L102" s="137"/>
      <c r="M102" s="14" t="s">
        <v>1822</v>
      </c>
      <c r="N102" s="149"/>
    </row>
    <row r="103" spans="1:14">
      <c r="A103" s="8" t="s">
        <v>1823</v>
      </c>
      <c r="B103" s="8" t="s">
        <v>1824</v>
      </c>
      <c r="C103" s="12" t="s">
        <v>1825</v>
      </c>
      <c r="D103" s="8" t="s">
        <v>798</v>
      </c>
      <c r="E103" s="8"/>
      <c r="F103" s="8"/>
      <c r="G103" s="15"/>
      <c r="H103" s="15" t="s">
        <v>1826</v>
      </c>
      <c r="I103" s="15"/>
      <c r="J103" s="15"/>
      <c r="K103" s="15" t="s">
        <v>1191</v>
      </c>
      <c r="L103" s="137">
        <v>450</v>
      </c>
      <c r="M103" s="12" t="s">
        <v>1827</v>
      </c>
      <c r="N103" s="149" t="s">
        <v>1609</v>
      </c>
    </row>
    <row r="104" spans="1:14">
      <c r="A104" s="8" t="s">
        <v>1828</v>
      </c>
      <c r="B104" s="8" t="s">
        <v>1829</v>
      </c>
      <c r="C104" s="12" t="s">
        <v>1825</v>
      </c>
      <c r="D104" s="8" t="s">
        <v>798</v>
      </c>
      <c r="E104" s="8"/>
      <c r="F104" s="8"/>
      <c r="G104" s="15"/>
      <c r="H104" s="15" t="s">
        <v>1830</v>
      </c>
      <c r="I104" s="15"/>
      <c r="J104" s="15"/>
      <c r="K104" s="15" t="s">
        <v>1191</v>
      </c>
      <c r="L104" s="137">
        <v>280</v>
      </c>
      <c r="M104" s="12" t="s">
        <v>1827</v>
      </c>
      <c r="N104" s="149" t="s">
        <v>1609</v>
      </c>
    </row>
    <row r="105" spans="1:14">
      <c r="A105" s="12" t="s">
        <v>1831</v>
      </c>
      <c r="B105" s="12" t="s">
        <v>1832</v>
      </c>
      <c r="C105" s="12" t="s">
        <v>1833</v>
      </c>
      <c r="D105" s="12" t="s">
        <v>798</v>
      </c>
      <c r="E105" s="9"/>
      <c r="F105" s="9"/>
      <c r="G105" s="15"/>
      <c r="H105" s="15"/>
      <c r="I105" s="15"/>
      <c r="J105" s="15"/>
      <c r="K105" s="15"/>
      <c r="L105" s="143"/>
      <c r="M105" s="12" t="s">
        <v>1834</v>
      </c>
      <c r="N105" s="153"/>
    </row>
    <row r="106" spans="1:14">
      <c r="A106" s="12" t="s">
        <v>1835</v>
      </c>
      <c r="B106" s="12" t="s">
        <v>1836</v>
      </c>
      <c r="C106" s="12" t="s">
        <v>1837</v>
      </c>
      <c r="D106" s="12" t="s">
        <v>798</v>
      </c>
      <c r="E106" s="12"/>
      <c r="F106" s="12"/>
      <c r="G106" s="12"/>
      <c r="H106" s="12"/>
      <c r="I106" s="12"/>
      <c r="J106" s="12"/>
      <c r="K106" s="12"/>
      <c r="L106" s="140"/>
      <c r="M106" s="12" t="s">
        <v>1838</v>
      </c>
      <c r="N106" s="151"/>
    </row>
    <row r="107" spans="1:14">
      <c r="A107" s="14" t="s">
        <v>1839</v>
      </c>
      <c r="B107" s="14" t="s">
        <v>1840</v>
      </c>
      <c r="C107" s="12" t="s">
        <v>1841</v>
      </c>
      <c r="D107" s="14" t="s">
        <v>798</v>
      </c>
      <c r="E107" s="9">
        <v>1</v>
      </c>
      <c r="F107" s="9"/>
      <c r="G107" s="15" t="s">
        <v>1043</v>
      </c>
      <c r="H107" s="15"/>
      <c r="I107" s="15"/>
      <c r="J107" s="15"/>
      <c r="K107" s="15"/>
      <c r="L107" s="143"/>
      <c r="M107" s="12" t="s">
        <v>1842</v>
      </c>
      <c r="N107" s="153"/>
    </row>
    <row r="108" spans="1:14">
      <c r="A108" s="14" t="s">
        <v>1843</v>
      </c>
      <c r="B108" s="14" t="s">
        <v>1844</v>
      </c>
      <c r="C108" s="12" t="s">
        <v>1841</v>
      </c>
      <c r="D108" s="14" t="s">
        <v>798</v>
      </c>
      <c r="E108" s="14"/>
      <c r="F108" s="14"/>
      <c r="G108" s="14"/>
      <c r="H108" s="14"/>
      <c r="I108" s="14"/>
      <c r="J108" s="14"/>
      <c r="K108" s="14"/>
      <c r="L108" s="138"/>
      <c r="M108" s="12" t="s">
        <v>1845</v>
      </c>
      <c r="N108" s="149"/>
    </row>
    <row r="109" spans="1:14">
      <c r="A109" s="14" t="s">
        <v>1846</v>
      </c>
      <c r="B109" s="14" t="s">
        <v>1847</v>
      </c>
      <c r="C109" s="14" t="s">
        <v>1847</v>
      </c>
      <c r="D109" s="14" t="s">
        <v>798</v>
      </c>
      <c r="E109" s="14">
        <v>1</v>
      </c>
      <c r="F109" s="14"/>
      <c r="G109" s="14"/>
      <c r="H109" s="14"/>
      <c r="I109" s="14"/>
      <c r="J109" s="14"/>
      <c r="K109" s="14"/>
      <c r="L109" s="138"/>
      <c r="M109" s="12" t="s">
        <v>1848</v>
      </c>
      <c r="N109" s="149"/>
    </row>
    <row r="110" spans="1:14">
      <c r="A110" s="13" t="s">
        <v>188</v>
      </c>
      <c r="B110" s="13" t="s">
        <v>1027</v>
      </c>
      <c r="C110" s="13" t="s">
        <v>773</v>
      </c>
      <c r="D110" s="16" t="s">
        <v>1173</v>
      </c>
      <c r="E110" s="8"/>
      <c r="F110" s="8">
        <v>1</v>
      </c>
      <c r="G110" s="13"/>
      <c r="H110" s="13"/>
      <c r="I110" s="13"/>
      <c r="J110" s="13"/>
      <c r="K110" s="13"/>
      <c r="L110" s="141"/>
      <c r="M110" s="13" t="s">
        <v>1849</v>
      </c>
      <c r="N110" s="154"/>
    </row>
    <row r="111" spans="1:14">
      <c r="A111" s="13" t="s">
        <v>595</v>
      </c>
      <c r="B111" s="13" t="s">
        <v>1026</v>
      </c>
      <c r="C111" s="13" t="s">
        <v>772</v>
      </c>
      <c r="D111" s="16" t="s">
        <v>1173</v>
      </c>
      <c r="E111" s="13"/>
      <c r="F111" s="13">
        <v>1</v>
      </c>
      <c r="G111" s="13"/>
      <c r="H111" s="13"/>
      <c r="I111" s="13"/>
      <c r="J111" s="13"/>
      <c r="K111" s="13"/>
      <c r="L111" s="141"/>
      <c r="M111" s="13" t="s">
        <v>1850</v>
      </c>
      <c r="N111" s="154"/>
    </row>
    <row r="112" spans="1:14">
      <c r="A112" s="13" t="s">
        <v>596</v>
      </c>
      <c r="B112" s="13" t="s">
        <v>1025</v>
      </c>
      <c r="C112" s="13" t="s">
        <v>774</v>
      </c>
      <c r="D112" s="16" t="s">
        <v>1173</v>
      </c>
      <c r="E112" s="8"/>
      <c r="F112" s="8">
        <v>1</v>
      </c>
      <c r="G112" s="13"/>
      <c r="H112" s="13"/>
      <c r="I112" s="13"/>
      <c r="J112" s="13"/>
      <c r="K112" s="13"/>
      <c r="L112" s="141"/>
      <c r="M112" s="13" t="s">
        <v>1851</v>
      </c>
      <c r="N112" s="154"/>
    </row>
    <row r="113" spans="1:14">
      <c r="A113" s="16" t="s">
        <v>1852</v>
      </c>
      <c r="B113" s="16" t="s">
        <v>1853</v>
      </c>
      <c r="C113" s="16" t="s">
        <v>1854</v>
      </c>
      <c r="D113" s="16" t="s">
        <v>1173</v>
      </c>
      <c r="E113" s="16"/>
      <c r="F113" s="16"/>
      <c r="G113" s="16"/>
      <c r="H113" s="16"/>
      <c r="I113" s="16"/>
      <c r="J113" s="16"/>
      <c r="K113" s="16"/>
      <c r="L113" s="136"/>
      <c r="M113" s="16" t="s">
        <v>1855</v>
      </c>
      <c r="N113" s="147"/>
    </row>
    <row r="114" spans="1:14">
      <c r="A114" s="16" t="s">
        <v>597</v>
      </c>
      <c r="B114" s="16" t="s">
        <v>1023</v>
      </c>
      <c r="C114" s="16" t="s">
        <v>776</v>
      </c>
      <c r="D114" s="16" t="s">
        <v>1173</v>
      </c>
      <c r="E114" s="16"/>
      <c r="F114" s="16">
        <v>1</v>
      </c>
      <c r="G114" s="16"/>
      <c r="H114" s="16"/>
      <c r="I114" s="16"/>
      <c r="J114" s="16"/>
      <c r="K114" s="16" t="s">
        <v>1191</v>
      </c>
      <c r="L114" s="136">
        <v>450</v>
      </c>
      <c r="M114" s="16" t="s">
        <v>1856</v>
      </c>
      <c r="N114" s="147" t="s">
        <v>1609</v>
      </c>
    </row>
    <row r="115" spans="1:14">
      <c r="A115" s="16" t="s">
        <v>1857</v>
      </c>
      <c r="B115" s="16" t="s">
        <v>1858</v>
      </c>
      <c r="C115" s="16" t="s">
        <v>1859</v>
      </c>
      <c r="D115" s="16" t="s">
        <v>1173</v>
      </c>
      <c r="E115" s="16">
        <v>1</v>
      </c>
      <c r="F115" s="16"/>
      <c r="G115" s="16"/>
      <c r="H115" s="16"/>
      <c r="I115" s="16"/>
      <c r="J115" s="16"/>
      <c r="K115" s="16"/>
      <c r="L115" s="136"/>
      <c r="M115" s="16" t="s">
        <v>1860</v>
      </c>
      <c r="N115" s="147"/>
    </row>
    <row r="116" spans="1:14">
      <c r="A116" s="16" t="s">
        <v>1861</v>
      </c>
      <c r="B116" s="16" t="s">
        <v>1862</v>
      </c>
      <c r="C116" s="16" t="s">
        <v>1863</v>
      </c>
      <c r="D116" s="16" t="s">
        <v>1173</v>
      </c>
      <c r="E116" s="16">
        <v>1</v>
      </c>
      <c r="F116" s="16"/>
      <c r="G116" s="16"/>
      <c r="H116" s="16"/>
      <c r="I116" s="16"/>
      <c r="J116" s="16"/>
      <c r="K116" s="16"/>
      <c r="L116" s="136"/>
      <c r="M116" s="16" t="s">
        <v>1864</v>
      </c>
      <c r="N116" s="147"/>
    </row>
    <row r="117" spans="1:14">
      <c r="A117" s="9" t="s">
        <v>690</v>
      </c>
      <c r="B117" s="244" t="s">
        <v>1028</v>
      </c>
      <c r="C117" s="9" t="s">
        <v>1028</v>
      </c>
      <c r="D117" s="9" t="s">
        <v>1176</v>
      </c>
      <c r="E117" s="8"/>
      <c r="F117" s="8"/>
      <c r="G117" s="9"/>
      <c r="H117" s="9"/>
      <c r="I117" s="9"/>
      <c r="J117" s="9"/>
      <c r="K117" s="9"/>
      <c r="L117" s="139"/>
      <c r="M117" s="10"/>
      <c r="N117" s="150"/>
    </row>
    <row r="118" spans="1:14">
      <c r="A118" s="9" t="s">
        <v>650</v>
      </c>
      <c r="B118" s="244" t="s">
        <v>1033</v>
      </c>
      <c r="C118" s="9" t="s">
        <v>1033</v>
      </c>
      <c r="D118" s="9" t="s">
        <v>1174</v>
      </c>
      <c r="E118" s="8"/>
      <c r="F118" s="8"/>
      <c r="G118" s="9"/>
      <c r="H118" s="9"/>
      <c r="I118" s="9"/>
      <c r="J118" s="9"/>
      <c r="K118" s="9"/>
      <c r="L118" s="139"/>
      <c r="M118" s="10"/>
      <c r="N118" s="150"/>
    </row>
    <row r="119" spans="1:14">
      <c r="A119" s="9" t="s">
        <v>519</v>
      </c>
      <c r="B119" s="9" t="s">
        <v>1005</v>
      </c>
      <c r="C119" s="10" t="s">
        <v>1150</v>
      </c>
      <c r="D119" s="9" t="s">
        <v>1172</v>
      </c>
      <c r="E119" s="8"/>
      <c r="F119" s="8"/>
      <c r="G119" s="15" t="s">
        <v>1043</v>
      </c>
      <c r="H119" s="9"/>
      <c r="I119" s="9"/>
      <c r="J119" s="9"/>
      <c r="K119" s="9"/>
      <c r="L119" s="139"/>
      <c r="M119" s="10" t="s">
        <v>1865</v>
      </c>
      <c r="N119" s="150"/>
    </row>
    <row r="120" spans="1:14">
      <c r="A120" s="9" t="s">
        <v>640</v>
      </c>
      <c r="B120" s="9" t="s">
        <v>1018</v>
      </c>
      <c r="C120" s="10" t="s">
        <v>1159</v>
      </c>
      <c r="D120" s="9" t="s">
        <v>1172</v>
      </c>
      <c r="E120" s="8"/>
      <c r="F120" s="8"/>
      <c r="G120" s="9" t="s">
        <v>1061</v>
      </c>
      <c r="H120" s="9"/>
      <c r="I120" s="9"/>
      <c r="J120" s="9"/>
      <c r="K120" s="9"/>
      <c r="L120" s="139"/>
      <c r="M120" s="10" t="s">
        <v>1018</v>
      </c>
      <c r="N120" s="150"/>
    </row>
    <row r="121" spans="1:14">
      <c r="A121" s="9" t="s">
        <v>1866</v>
      </c>
      <c r="B121" s="9" t="s">
        <v>1867</v>
      </c>
      <c r="C121" s="10" t="s">
        <v>1868</v>
      </c>
      <c r="D121" s="9" t="s">
        <v>1172</v>
      </c>
      <c r="E121" s="8"/>
      <c r="F121" s="8"/>
      <c r="G121" s="9" t="s">
        <v>1869</v>
      </c>
      <c r="H121" s="9"/>
      <c r="I121" s="9"/>
      <c r="J121" s="9"/>
      <c r="K121" s="9"/>
      <c r="L121" s="139"/>
      <c r="M121" s="10" t="s">
        <v>1867</v>
      </c>
      <c r="N121" s="150"/>
    </row>
    <row r="122" spans="1:14" ht="13.5" customHeight="1">
      <c r="A122" s="9" t="s">
        <v>681</v>
      </c>
      <c r="B122" s="9" t="s">
        <v>1016</v>
      </c>
      <c r="C122" s="10" t="s">
        <v>1158</v>
      </c>
      <c r="D122" s="9" t="s">
        <v>1172</v>
      </c>
      <c r="E122" s="8"/>
      <c r="F122" s="8"/>
      <c r="G122" s="9" t="s">
        <v>1869</v>
      </c>
      <c r="H122" s="9"/>
      <c r="I122" s="9"/>
      <c r="J122" s="9"/>
      <c r="K122" s="9"/>
      <c r="L122" s="139"/>
      <c r="M122" s="10" t="s">
        <v>1870</v>
      </c>
      <c r="N122" s="150"/>
    </row>
    <row r="123" spans="1:14" ht="13.5" customHeight="1">
      <c r="A123" s="9" t="s">
        <v>668</v>
      </c>
      <c r="B123" s="9" t="s">
        <v>1019</v>
      </c>
      <c r="C123" s="9" t="s">
        <v>1019</v>
      </c>
      <c r="D123" s="9" t="s">
        <v>1172</v>
      </c>
      <c r="E123" s="8"/>
      <c r="F123" s="8"/>
      <c r="G123" s="15" t="s">
        <v>1043</v>
      </c>
      <c r="H123" s="9"/>
      <c r="I123" s="9"/>
      <c r="J123" s="9"/>
      <c r="K123" s="9"/>
      <c r="L123" s="139"/>
      <c r="M123" s="10" t="s">
        <v>1871</v>
      </c>
      <c r="N123" s="150"/>
    </row>
    <row r="124" spans="1:14">
      <c r="A124" s="11" t="s">
        <v>601</v>
      </c>
      <c r="B124" s="11" t="s">
        <v>1031</v>
      </c>
      <c r="C124" s="11" t="s">
        <v>780</v>
      </c>
      <c r="D124" s="9" t="s">
        <v>1172</v>
      </c>
      <c r="E124" s="11">
        <v>1</v>
      </c>
      <c r="F124" s="11"/>
      <c r="G124" s="11" t="s">
        <v>1081</v>
      </c>
      <c r="H124" s="11"/>
      <c r="I124" s="11"/>
      <c r="J124" s="11"/>
      <c r="K124" s="11"/>
      <c r="L124" s="144"/>
      <c r="M124" s="11" t="s">
        <v>1872</v>
      </c>
      <c r="N124" s="155"/>
    </row>
    <row r="125" spans="1:14">
      <c r="A125" s="11" t="s">
        <v>1873</v>
      </c>
      <c r="B125" s="11" t="s">
        <v>1874</v>
      </c>
      <c r="C125" s="11" t="s">
        <v>1875</v>
      </c>
      <c r="D125" s="9" t="s">
        <v>1168</v>
      </c>
      <c r="E125" s="11"/>
      <c r="F125" s="11"/>
      <c r="G125" s="11" t="s">
        <v>1043</v>
      </c>
      <c r="H125" s="11"/>
      <c r="I125" s="11"/>
      <c r="J125" s="11"/>
      <c r="K125" s="11"/>
      <c r="L125" s="144"/>
      <c r="M125" s="11" t="s">
        <v>1876</v>
      </c>
      <c r="N125" s="155"/>
    </row>
    <row r="126" spans="1:14">
      <c r="A126" s="9" t="s">
        <v>633</v>
      </c>
      <c r="B126" s="9" t="s">
        <v>1015</v>
      </c>
      <c r="C126" s="10" t="s">
        <v>1165</v>
      </c>
      <c r="D126" s="9" t="s">
        <v>1172</v>
      </c>
      <c r="E126" s="8"/>
      <c r="F126" s="8"/>
      <c r="G126" s="15" t="s">
        <v>1043</v>
      </c>
      <c r="H126" s="9"/>
      <c r="I126" s="9"/>
      <c r="J126" s="9"/>
      <c r="K126" s="9"/>
      <c r="L126" s="139"/>
      <c r="M126" s="10" t="s">
        <v>1877</v>
      </c>
      <c r="N126" s="150"/>
    </row>
    <row r="127" spans="1:14">
      <c r="A127" s="9" t="s">
        <v>660</v>
      </c>
      <c r="B127" s="9" t="s">
        <v>1032</v>
      </c>
      <c r="C127" s="10" t="s">
        <v>1164</v>
      </c>
      <c r="D127" s="9" t="s">
        <v>1174</v>
      </c>
      <c r="E127" s="8"/>
      <c r="F127" s="8"/>
      <c r="G127" s="9"/>
      <c r="H127" s="9"/>
      <c r="I127" s="9"/>
      <c r="J127" s="9"/>
      <c r="K127" s="9"/>
      <c r="L127" s="139"/>
      <c r="M127" s="9" t="s">
        <v>1032</v>
      </c>
      <c r="N127" s="150"/>
    </row>
    <row r="128" spans="1:14">
      <c r="A128" s="11"/>
      <c r="B128" s="11"/>
      <c r="C128" s="11"/>
      <c r="D128" s="11"/>
      <c r="E128" s="11"/>
      <c r="F128" s="11"/>
      <c r="G128" s="11"/>
      <c r="H128" s="11"/>
      <c r="I128" s="11"/>
      <c r="J128" s="11"/>
      <c r="K128" s="11"/>
      <c r="L128" s="144"/>
      <c r="M128" s="11"/>
      <c r="N128" s="155"/>
    </row>
    <row r="129" spans="1:14">
      <c r="A129" s="11"/>
      <c r="B129" s="11"/>
      <c r="C129" s="11"/>
      <c r="D129" s="11"/>
      <c r="E129" s="11"/>
      <c r="F129" s="11"/>
      <c r="G129" s="11"/>
      <c r="H129" s="11"/>
      <c r="I129" s="11"/>
      <c r="J129" s="11"/>
      <c r="K129" s="11"/>
      <c r="L129" s="144"/>
      <c r="M129" s="11"/>
      <c r="N129" s="155"/>
    </row>
    <row r="130" spans="1:14">
      <c r="A130" s="17"/>
      <c r="B130" s="17"/>
      <c r="C130" s="17"/>
      <c r="D130" s="17"/>
      <c r="E130" s="17"/>
      <c r="F130" s="17"/>
      <c r="G130" s="17"/>
      <c r="H130" s="17"/>
      <c r="I130" s="17"/>
      <c r="J130" s="17"/>
      <c r="K130" s="17"/>
      <c r="L130" s="145"/>
      <c r="M130" s="17"/>
      <c r="N130" s="156"/>
    </row>
  </sheetData>
  <autoFilter ref="A1:N116" xr:uid="{00000000-0009-0000-0000-00000C000000}"/>
  <sortState xmlns:xlrd2="http://schemas.microsoft.com/office/spreadsheetml/2017/richdata2" ref="A95:A167">
    <sortCondition ref="A95"/>
  </sortState>
  <conditionalFormatting sqref="A2:A130">
    <cfRule type="expression" dxfId="3" priority="27">
      <formula>COUNTIF($A$2:$A$130,$A2)&gt;1</formula>
    </cfRule>
  </conditionalFormatting>
  <dataValidations count="1">
    <dataValidation type="list" allowBlank="1" showInputMessage="1" showErrorMessage="1" sqref="G2:G130" xr:uid="{00000000-0002-0000-0C00-000000000000}">
      <formula1>lu_vlan</formula1>
    </dataValidation>
  </dataValidations>
  <pageMargins left="0.7" right="0.7" top="0.75" bottom="0.75" header="0.3" footer="0.3"/>
  <pageSetup paperSize="9" orientation="portrait" r:id="rId1"/>
  <headerFooter>
    <oddHeader>&amp;L&amp;"Calibri"&amp;12&amp;K008000 SC Classification:GENERAL BUSINESS\Other General Business&amp;1#_x000D_</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theme="1" tint="0.249977111117893"/>
  </sheetPr>
  <dimension ref="A1:G131"/>
  <sheetViews>
    <sheetView workbookViewId="0"/>
  </sheetViews>
  <sheetFormatPr defaultColWidth="8.6640625" defaultRowHeight="14.4"/>
  <cols>
    <col min="1" max="1" width="11.33203125" style="43" customWidth="1"/>
    <col min="2" max="2" width="35" customWidth="1"/>
    <col min="3" max="3" width="47.33203125" bestFit="1" customWidth="1"/>
    <col min="4" max="4" width="18.44140625" bestFit="1" customWidth="1"/>
    <col min="5" max="6" width="14.44140625" customWidth="1"/>
    <col min="7" max="7" width="13.44140625" customWidth="1"/>
    <col min="9" max="9" width="38" customWidth="1"/>
  </cols>
  <sheetData>
    <row r="1" spans="1:7" ht="33.75" customHeight="1">
      <c r="A1" s="157" t="s">
        <v>1179</v>
      </c>
      <c r="B1" s="157" t="s">
        <v>36</v>
      </c>
      <c r="C1" s="157" t="s">
        <v>1878</v>
      </c>
      <c r="D1" s="157" t="s">
        <v>1582</v>
      </c>
      <c r="E1" s="161" t="s">
        <v>53</v>
      </c>
      <c r="F1" s="158" t="s">
        <v>1583</v>
      </c>
      <c r="G1" s="157" t="s">
        <v>1879</v>
      </c>
    </row>
    <row r="2" spans="1:7" ht="17.25" customHeight="1">
      <c r="A2" s="159" t="s">
        <v>1198</v>
      </c>
      <c r="B2" s="159" t="s">
        <v>1199</v>
      </c>
      <c r="C2" s="159" t="s">
        <v>1200</v>
      </c>
      <c r="D2" s="159" t="s">
        <v>1203</v>
      </c>
      <c r="E2" s="160">
        <v>1</v>
      </c>
      <c r="F2" s="163">
        <v>7200</v>
      </c>
      <c r="G2" s="159" t="s">
        <v>1880</v>
      </c>
    </row>
    <row r="3" spans="1:7" ht="17.25" customHeight="1">
      <c r="A3" s="159" t="s">
        <v>1198</v>
      </c>
      <c r="B3" s="159" t="s">
        <v>1199</v>
      </c>
      <c r="C3" s="159" t="s">
        <v>1200</v>
      </c>
      <c r="D3" s="159" t="s">
        <v>1203</v>
      </c>
      <c r="E3" s="160">
        <v>1</v>
      </c>
      <c r="F3" s="163">
        <v>7200</v>
      </c>
      <c r="G3" s="159" t="s">
        <v>1880</v>
      </c>
    </row>
    <row r="4" spans="1:7" ht="17.25" customHeight="1">
      <c r="A4" s="159" t="s">
        <v>1198</v>
      </c>
      <c r="B4" s="159" t="s">
        <v>1199</v>
      </c>
      <c r="C4" s="159" t="s">
        <v>1205</v>
      </c>
      <c r="D4" s="159" t="s">
        <v>1203</v>
      </c>
      <c r="E4" s="160">
        <v>1</v>
      </c>
      <c r="F4" s="163">
        <v>3000</v>
      </c>
      <c r="G4" s="159" t="s">
        <v>1880</v>
      </c>
    </row>
    <row r="5" spans="1:7" ht="17.25" customHeight="1">
      <c r="A5" s="159" t="s">
        <v>1198</v>
      </c>
      <c r="B5" s="159" t="s">
        <v>1199</v>
      </c>
      <c r="C5" s="159" t="s">
        <v>1205</v>
      </c>
      <c r="D5" s="159" t="s">
        <v>1203</v>
      </c>
      <c r="E5" s="160">
        <v>1</v>
      </c>
      <c r="F5" s="163">
        <v>3000</v>
      </c>
      <c r="G5" s="159" t="s">
        <v>1880</v>
      </c>
    </row>
    <row r="6" spans="1:7" ht="17.25" customHeight="1">
      <c r="A6" s="159" t="s">
        <v>1198</v>
      </c>
      <c r="B6" s="159" t="s">
        <v>1199</v>
      </c>
      <c r="C6" s="159" t="s">
        <v>1205</v>
      </c>
      <c r="D6" s="159" t="s">
        <v>1203</v>
      </c>
      <c r="E6" s="160">
        <v>1</v>
      </c>
      <c r="F6" s="163">
        <v>3000</v>
      </c>
      <c r="G6" s="159" t="s">
        <v>1880</v>
      </c>
    </row>
    <row r="7" spans="1:7" ht="17.25" customHeight="1">
      <c r="A7" s="159" t="s">
        <v>1198</v>
      </c>
      <c r="B7" s="159" t="s">
        <v>1199</v>
      </c>
      <c r="C7" s="159" t="s">
        <v>1210</v>
      </c>
      <c r="D7" s="159" t="s">
        <v>1191</v>
      </c>
      <c r="E7" s="160">
        <v>1</v>
      </c>
      <c r="F7" s="163">
        <v>150</v>
      </c>
      <c r="G7" s="159" t="s">
        <v>1880</v>
      </c>
    </row>
    <row r="8" spans="1:7" ht="17.25" customHeight="1">
      <c r="A8" s="159" t="s">
        <v>1198</v>
      </c>
      <c r="B8" s="159" t="s">
        <v>1199</v>
      </c>
      <c r="C8" s="159" t="s">
        <v>1210</v>
      </c>
      <c r="D8" s="159" t="s">
        <v>1191</v>
      </c>
      <c r="E8" s="160">
        <v>1</v>
      </c>
      <c r="F8" s="163">
        <v>150</v>
      </c>
      <c r="G8" s="159" t="s">
        <v>1880</v>
      </c>
    </row>
    <row r="9" spans="1:7" ht="17.25" customHeight="1">
      <c r="A9" s="159" t="s">
        <v>1198</v>
      </c>
      <c r="B9" s="159" t="s">
        <v>1199</v>
      </c>
      <c r="C9" s="159" t="s">
        <v>1210</v>
      </c>
      <c r="D9" s="159" t="s">
        <v>1191</v>
      </c>
      <c r="E9" s="160">
        <v>1</v>
      </c>
      <c r="F9" s="163">
        <v>150</v>
      </c>
      <c r="G9" s="159" t="s">
        <v>1880</v>
      </c>
    </row>
    <row r="10" spans="1:7" ht="17.25" customHeight="1">
      <c r="A10" s="159" t="s">
        <v>1198</v>
      </c>
      <c r="B10" s="159" t="s">
        <v>1199</v>
      </c>
      <c r="C10" s="159" t="s">
        <v>1210</v>
      </c>
      <c r="D10" s="159" t="s">
        <v>1191</v>
      </c>
      <c r="E10" s="160">
        <v>1</v>
      </c>
      <c r="F10" s="163">
        <v>150</v>
      </c>
      <c r="G10" s="159" t="s">
        <v>1880</v>
      </c>
    </row>
    <row r="11" spans="1:7" ht="17.25" customHeight="1">
      <c r="A11" s="159" t="s">
        <v>1198</v>
      </c>
      <c r="B11" s="159" t="s">
        <v>1199</v>
      </c>
      <c r="C11" s="159" t="s">
        <v>1210</v>
      </c>
      <c r="D11" s="159" t="s">
        <v>1191</v>
      </c>
      <c r="E11" s="160">
        <v>1</v>
      </c>
      <c r="F11" s="163">
        <v>150</v>
      </c>
      <c r="G11" s="159" t="s">
        <v>1880</v>
      </c>
    </row>
    <row r="12" spans="1:7" ht="17.25" customHeight="1">
      <c r="A12" s="159" t="s">
        <v>1198</v>
      </c>
      <c r="B12" s="159" t="s">
        <v>1199</v>
      </c>
      <c r="C12" s="159" t="s">
        <v>1210</v>
      </c>
      <c r="D12" s="159" t="s">
        <v>1191</v>
      </c>
      <c r="E12" s="160">
        <v>1</v>
      </c>
      <c r="F12" s="163">
        <v>150</v>
      </c>
      <c r="G12" s="159" t="s">
        <v>1880</v>
      </c>
    </row>
    <row r="13" spans="1:7" ht="17.25" customHeight="1">
      <c r="A13" s="159" t="s">
        <v>1198</v>
      </c>
      <c r="B13" s="159" t="s">
        <v>1199</v>
      </c>
      <c r="C13" s="159" t="s">
        <v>1210</v>
      </c>
      <c r="D13" s="159" t="s">
        <v>1191</v>
      </c>
      <c r="E13" s="160">
        <v>1</v>
      </c>
      <c r="F13" s="163">
        <v>150</v>
      </c>
      <c r="G13" s="159" t="s">
        <v>1880</v>
      </c>
    </row>
    <row r="14" spans="1:7" ht="17.25" customHeight="1">
      <c r="A14" s="159" t="s">
        <v>1198</v>
      </c>
      <c r="B14" s="159" t="s">
        <v>1199</v>
      </c>
      <c r="C14" s="159" t="s">
        <v>1210</v>
      </c>
      <c r="D14" s="159" t="s">
        <v>1191</v>
      </c>
      <c r="E14" s="160">
        <v>1</v>
      </c>
      <c r="F14" s="163">
        <v>150</v>
      </c>
      <c r="G14" s="159" t="s">
        <v>1880</v>
      </c>
    </row>
    <row r="15" spans="1:7" ht="17.25" customHeight="1">
      <c r="A15" s="159" t="s">
        <v>1198</v>
      </c>
      <c r="B15" s="159" t="s">
        <v>1199</v>
      </c>
      <c r="C15" s="159" t="s">
        <v>1210</v>
      </c>
      <c r="D15" s="159" t="s">
        <v>1191</v>
      </c>
      <c r="E15" s="160">
        <v>1</v>
      </c>
      <c r="F15" s="163">
        <v>150</v>
      </c>
      <c r="G15" s="159" t="s">
        <v>1880</v>
      </c>
    </row>
    <row r="16" spans="1:7" ht="17.25" customHeight="1">
      <c r="A16" s="159" t="s">
        <v>1198</v>
      </c>
      <c r="B16" s="159" t="s">
        <v>1199</v>
      </c>
      <c r="C16" s="159" t="s">
        <v>1210</v>
      </c>
      <c r="D16" s="159" t="s">
        <v>1191</v>
      </c>
      <c r="E16" s="160">
        <v>1</v>
      </c>
      <c r="F16" s="163">
        <v>150</v>
      </c>
      <c r="G16" s="159" t="s">
        <v>1880</v>
      </c>
    </row>
    <row r="17" spans="1:7" ht="17.25" customHeight="1">
      <c r="A17" s="159" t="s">
        <v>1198</v>
      </c>
      <c r="B17" s="159" t="s">
        <v>1199</v>
      </c>
      <c r="C17" s="159" t="s">
        <v>1210</v>
      </c>
      <c r="D17" s="159" t="s">
        <v>1191</v>
      </c>
      <c r="E17" s="160">
        <v>1</v>
      </c>
      <c r="F17" s="163">
        <v>150</v>
      </c>
      <c r="G17" s="159" t="s">
        <v>1880</v>
      </c>
    </row>
    <row r="18" spans="1:7" ht="17.25" customHeight="1">
      <c r="A18" s="159" t="s">
        <v>1198</v>
      </c>
      <c r="B18" s="159" t="s">
        <v>1199</v>
      </c>
      <c r="C18" s="159" t="s">
        <v>1210</v>
      </c>
      <c r="D18" s="159" t="s">
        <v>1191</v>
      </c>
      <c r="E18" s="160">
        <v>1</v>
      </c>
      <c r="F18" s="163">
        <v>150</v>
      </c>
      <c r="G18" s="159" t="s">
        <v>1880</v>
      </c>
    </row>
    <row r="19" spans="1:7" ht="17.25" customHeight="1">
      <c r="A19" s="159" t="s">
        <v>1198</v>
      </c>
      <c r="B19" s="159" t="s">
        <v>1199</v>
      </c>
      <c r="C19" s="159" t="s">
        <v>1210</v>
      </c>
      <c r="D19" s="159" t="s">
        <v>1191</v>
      </c>
      <c r="E19" s="160">
        <v>1</v>
      </c>
      <c r="F19" s="163">
        <v>150</v>
      </c>
      <c r="G19" s="159" t="s">
        <v>1880</v>
      </c>
    </row>
    <row r="20" spans="1:7" ht="17.25" customHeight="1">
      <c r="A20" s="159" t="s">
        <v>1198</v>
      </c>
      <c r="B20" s="159" t="s">
        <v>1199</v>
      </c>
      <c r="C20" s="159" t="s">
        <v>1210</v>
      </c>
      <c r="D20" s="159" t="s">
        <v>1191</v>
      </c>
      <c r="E20" s="160">
        <v>1</v>
      </c>
      <c r="F20" s="163">
        <v>150</v>
      </c>
      <c r="G20" s="159" t="s">
        <v>1880</v>
      </c>
    </row>
    <row r="21" spans="1:7" ht="17.25" customHeight="1">
      <c r="A21" s="159" t="s">
        <v>1198</v>
      </c>
      <c r="B21" s="159" t="s">
        <v>1199</v>
      </c>
      <c r="C21" s="159" t="s">
        <v>1210</v>
      </c>
      <c r="D21" s="159" t="s">
        <v>1191</v>
      </c>
      <c r="E21" s="160">
        <v>1</v>
      </c>
      <c r="F21" s="163">
        <v>150</v>
      </c>
      <c r="G21" s="159" t="s">
        <v>1880</v>
      </c>
    </row>
    <row r="22" spans="1:7" ht="17.25" customHeight="1">
      <c r="A22" s="159" t="s">
        <v>1198</v>
      </c>
      <c r="B22" s="159" t="s">
        <v>1199</v>
      </c>
      <c r="C22" s="159" t="s">
        <v>1210</v>
      </c>
      <c r="D22" s="159" t="s">
        <v>1191</v>
      </c>
      <c r="E22" s="160">
        <v>1</v>
      </c>
      <c r="F22" s="163">
        <v>150</v>
      </c>
      <c r="G22" s="159" t="s">
        <v>1880</v>
      </c>
    </row>
    <row r="23" spans="1:7" ht="17.25" customHeight="1">
      <c r="A23" s="159" t="s">
        <v>1198</v>
      </c>
      <c r="B23" s="159" t="s">
        <v>1199</v>
      </c>
      <c r="C23" s="159" t="s">
        <v>1210</v>
      </c>
      <c r="D23" s="159" t="s">
        <v>1191</v>
      </c>
      <c r="E23" s="160">
        <v>1</v>
      </c>
      <c r="F23" s="163">
        <v>150</v>
      </c>
      <c r="G23" s="159" t="s">
        <v>1880</v>
      </c>
    </row>
    <row r="24" spans="1:7" ht="17.25" customHeight="1">
      <c r="A24" s="159" t="s">
        <v>1198</v>
      </c>
      <c r="B24" s="159" t="s">
        <v>1199</v>
      </c>
      <c r="C24" s="159" t="s">
        <v>1210</v>
      </c>
      <c r="D24" s="159" t="s">
        <v>1191</v>
      </c>
      <c r="E24" s="160">
        <v>1</v>
      </c>
      <c r="F24" s="163">
        <v>150</v>
      </c>
      <c r="G24" s="159" t="s">
        <v>1880</v>
      </c>
    </row>
    <row r="25" spans="1:7" ht="17.25" customHeight="1">
      <c r="A25" s="159" t="s">
        <v>1198</v>
      </c>
      <c r="B25" s="159" t="s">
        <v>1199</v>
      </c>
      <c r="C25" s="159" t="s">
        <v>1210</v>
      </c>
      <c r="D25" s="159" t="s">
        <v>1191</v>
      </c>
      <c r="E25" s="160">
        <v>1</v>
      </c>
      <c r="F25" s="163">
        <v>150</v>
      </c>
      <c r="G25" s="159" t="s">
        <v>1880</v>
      </c>
    </row>
    <row r="26" spans="1:7" ht="17.25" customHeight="1">
      <c r="A26" s="159" t="s">
        <v>1198</v>
      </c>
      <c r="B26" s="159" t="s">
        <v>1199</v>
      </c>
      <c r="C26" s="159" t="s">
        <v>1210</v>
      </c>
      <c r="D26" s="159" t="s">
        <v>1191</v>
      </c>
      <c r="E26" s="160">
        <v>1</v>
      </c>
      <c r="F26" s="163">
        <v>150</v>
      </c>
      <c r="G26" s="159" t="s">
        <v>1880</v>
      </c>
    </row>
    <row r="27" spans="1:7" ht="17.25" customHeight="1">
      <c r="A27" s="159" t="s">
        <v>1198</v>
      </c>
      <c r="B27" s="159" t="s">
        <v>1199</v>
      </c>
      <c r="C27" s="159" t="s">
        <v>1233</v>
      </c>
      <c r="D27" s="159" t="s">
        <v>1203</v>
      </c>
      <c r="E27" s="160">
        <v>20</v>
      </c>
      <c r="F27" s="163">
        <v>80</v>
      </c>
      <c r="G27" s="159" t="s">
        <v>1881</v>
      </c>
    </row>
    <row r="28" spans="1:7" ht="17.25" customHeight="1">
      <c r="A28" s="159" t="s">
        <v>1198</v>
      </c>
      <c r="B28" s="159" t="s">
        <v>1199</v>
      </c>
      <c r="C28" s="159" t="s">
        <v>1882</v>
      </c>
      <c r="D28" s="159" t="s">
        <v>1191</v>
      </c>
      <c r="E28" s="160">
        <v>1</v>
      </c>
      <c r="F28" s="163">
        <v>2000</v>
      </c>
      <c r="G28" s="159" t="s">
        <v>1880</v>
      </c>
    </row>
    <row r="29" spans="1:7" ht="17.25" customHeight="1">
      <c r="A29" s="159" t="s">
        <v>1198</v>
      </c>
      <c r="B29" s="159" t="s">
        <v>1199</v>
      </c>
      <c r="C29" s="159" t="s">
        <v>1236</v>
      </c>
      <c r="D29" s="159" t="s">
        <v>1191</v>
      </c>
      <c r="E29" s="160">
        <v>1</v>
      </c>
      <c r="F29" s="163">
        <v>1100</v>
      </c>
      <c r="G29" s="159" t="s">
        <v>1880</v>
      </c>
    </row>
    <row r="30" spans="1:7" ht="17.25" customHeight="1">
      <c r="A30" s="159" t="s">
        <v>1198</v>
      </c>
      <c r="B30" s="159" t="s">
        <v>1199</v>
      </c>
      <c r="C30" s="159" t="s">
        <v>1883</v>
      </c>
      <c r="D30" s="159" t="s">
        <v>1191</v>
      </c>
      <c r="E30" s="160">
        <v>1</v>
      </c>
      <c r="F30" s="163">
        <v>550</v>
      </c>
      <c r="G30" s="159" t="s">
        <v>1880</v>
      </c>
    </row>
    <row r="31" spans="1:7" ht="17.25" customHeight="1">
      <c r="A31" s="159" t="s">
        <v>1198</v>
      </c>
      <c r="B31" s="159" t="s">
        <v>1199</v>
      </c>
      <c r="C31" s="159" t="s">
        <v>1238</v>
      </c>
      <c r="D31" s="159" t="s">
        <v>1191</v>
      </c>
      <c r="E31" s="160">
        <v>15</v>
      </c>
      <c r="F31" s="163">
        <v>5</v>
      </c>
      <c r="G31" s="159" t="s">
        <v>1881</v>
      </c>
    </row>
    <row r="32" spans="1:7" ht="17.25" customHeight="1">
      <c r="A32" s="159" t="s">
        <v>1198</v>
      </c>
      <c r="B32" s="159" t="s">
        <v>1199</v>
      </c>
      <c r="C32" s="159" t="s">
        <v>1239</v>
      </c>
      <c r="D32" s="159" t="s">
        <v>1191</v>
      </c>
      <c r="E32" s="160">
        <v>5</v>
      </c>
      <c r="F32" s="163">
        <v>10</v>
      </c>
      <c r="G32" s="159" t="s">
        <v>1881</v>
      </c>
    </row>
    <row r="33" spans="1:7" ht="17.25" customHeight="1">
      <c r="A33" s="159" t="s">
        <v>1198</v>
      </c>
      <c r="B33" s="159" t="s">
        <v>1199</v>
      </c>
      <c r="C33" s="159" t="s">
        <v>1884</v>
      </c>
      <c r="D33" s="159" t="s">
        <v>1191</v>
      </c>
      <c r="E33" s="160">
        <v>5</v>
      </c>
      <c r="F33" s="163">
        <v>15</v>
      </c>
      <c r="G33" s="159" t="s">
        <v>1881</v>
      </c>
    </row>
    <row r="34" spans="1:7" ht="17.25" customHeight="1">
      <c r="A34" s="159" t="s">
        <v>1198</v>
      </c>
      <c r="B34" s="159" t="s">
        <v>1199</v>
      </c>
      <c r="C34" s="159" t="s">
        <v>1241</v>
      </c>
      <c r="D34" s="159" t="s">
        <v>1242</v>
      </c>
      <c r="E34" s="160">
        <v>4</v>
      </c>
      <c r="F34" s="163">
        <v>20</v>
      </c>
      <c r="G34" s="159" t="s">
        <v>1881</v>
      </c>
    </row>
    <row r="35" spans="1:7" ht="17.25" customHeight="1">
      <c r="A35" s="159" t="s">
        <v>1198</v>
      </c>
      <c r="B35" s="159" t="s">
        <v>1199</v>
      </c>
      <c r="C35" s="159" t="s">
        <v>1487</v>
      </c>
      <c r="D35" s="159" t="s">
        <v>1242</v>
      </c>
      <c r="E35" s="160">
        <v>3</v>
      </c>
      <c r="F35" s="184">
        <v>15</v>
      </c>
      <c r="G35" s="159" t="s">
        <v>1881</v>
      </c>
    </row>
    <row r="36" spans="1:7" ht="17.25" customHeight="1">
      <c r="A36" s="159" t="s">
        <v>1198</v>
      </c>
      <c r="B36" s="159" t="s">
        <v>1199</v>
      </c>
      <c r="C36" s="159" t="s">
        <v>1243</v>
      </c>
      <c r="D36" s="159" t="s">
        <v>1191</v>
      </c>
      <c r="E36" s="160">
        <v>1</v>
      </c>
      <c r="F36" s="184">
        <v>250</v>
      </c>
      <c r="G36" s="159" t="s">
        <v>1881</v>
      </c>
    </row>
    <row r="37" spans="1:7" ht="17.25" customHeight="1">
      <c r="A37" s="159" t="s">
        <v>1485</v>
      </c>
      <c r="B37" s="159" t="s">
        <v>1486</v>
      </c>
      <c r="C37" s="159" t="s">
        <v>1487</v>
      </c>
      <c r="D37" s="159" t="s">
        <v>1191</v>
      </c>
      <c r="E37" s="160">
        <v>40</v>
      </c>
      <c r="F37" s="163">
        <v>15</v>
      </c>
      <c r="G37" s="159" t="s">
        <v>1881</v>
      </c>
    </row>
    <row r="38" spans="1:7" ht="17.25" customHeight="1">
      <c r="A38" s="159" t="s">
        <v>1485</v>
      </c>
      <c r="B38" s="159" t="s">
        <v>1486</v>
      </c>
      <c r="C38" s="159" t="s">
        <v>1488</v>
      </c>
      <c r="D38" s="159" t="s">
        <v>1242</v>
      </c>
      <c r="E38" s="160">
        <v>50</v>
      </c>
      <c r="F38" s="163">
        <v>8</v>
      </c>
      <c r="G38" s="159" t="s">
        <v>1881</v>
      </c>
    </row>
    <row r="39" spans="1:7" ht="17.25" customHeight="1">
      <c r="A39" s="159" t="s">
        <v>1485</v>
      </c>
      <c r="B39" s="159" t="s">
        <v>1486</v>
      </c>
      <c r="C39" s="159" t="s">
        <v>1241</v>
      </c>
      <c r="D39" s="159" t="s">
        <v>1242</v>
      </c>
      <c r="E39" s="160">
        <v>40</v>
      </c>
      <c r="F39" s="163">
        <v>20</v>
      </c>
      <c r="G39" s="159" t="s">
        <v>1881</v>
      </c>
    </row>
    <row r="40" spans="1:7" ht="17.25" customHeight="1">
      <c r="A40" s="159" t="s">
        <v>1485</v>
      </c>
      <c r="B40" s="159" t="s">
        <v>1486</v>
      </c>
      <c r="C40" s="159" t="s">
        <v>1490</v>
      </c>
      <c r="D40" s="159" t="s">
        <v>1242</v>
      </c>
      <c r="E40" s="160">
        <v>10</v>
      </c>
      <c r="F40" s="163">
        <v>7</v>
      </c>
      <c r="G40" s="159" t="s">
        <v>1881</v>
      </c>
    </row>
    <row r="41" spans="1:7" ht="17.25" customHeight="1">
      <c r="A41" s="159" t="s">
        <v>1485</v>
      </c>
      <c r="B41" s="159" t="s">
        <v>1486</v>
      </c>
      <c r="C41" s="159" t="s">
        <v>1491</v>
      </c>
      <c r="D41" s="159" t="s">
        <v>1191</v>
      </c>
      <c r="E41" s="160">
        <v>10</v>
      </c>
      <c r="F41" s="163">
        <v>20</v>
      </c>
      <c r="G41" s="159" t="s">
        <v>1881</v>
      </c>
    </row>
    <row r="42" spans="1:7" ht="17.25" customHeight="1">
      <c r="A42" s="159" t="s">
        <v>1485</v>
      </c>
      <c r="B42" s="159" t="s">
        <v>1486</v>
      </c>
      <c r="C42" s="159" t="s">
        <v>1492</v>
      </c>
      <c r="D42" s="159" t="s">
        <v>1191</v>
      </c>
      <c r="E42" s="160">
        <v>2</v>
      </c>
      <c r="F42" s="163">
        <v>30</v>
      </c>
      <c r="G42" s="159" t="s">
        <v>1881</v>
      </c>
    </row>
    <row r="43" spans="1:7" ht="17.25" customHeight="1">
      <c r="A43" s="159" t="s">
        <v>1485</v>
      </c>
      <c r="B43" s="159" t="s">
        <v>1486</v>
      </c>
      <c r="C43" s="159" t="s">
        <v>653</v>
      </c>
      <c r="D43" s="159" t="s">
        <v>1191</v>
      </c>
      <c r="E43" s="160">
        <v>5</v>
      </c>
      <c r="F43" s="163">
        <v>20</v>
      </c>
      <c r="G43" s="159" t="s">
        <v>1881</v>
      </c>
    </row>
    <row r="44" spans="1:7" ht="17.25" customHeight="1">
      <c r="A44" s="159" t="s">
        <v>1485</v>
      </c>
      <c r="B44" s="159" t="s">
        <v>1486</v>
      </c>
      <c r="C44" s="159" t="s">
        <v>1885</v>
      </c>
      <c r="D44" s="159" t="s">
        <v>1191</v>
      </c>
      <c r="E44" s="160">
        <v>5</v>
      </c>
      <c r="F44" s="163">
        <v>20</v>
      </c>
      <c r="G44" s="159" t="s">
        <v>1881</v>
      </c>
    </row>
    <row r="45" spans="1:7" ht="17.25" customHeight="1">
      <c r="A45" s="159" t="s">
        <v>1485</v>
      </c>
      <c r="B45" s="159" t="s">
        <v>1486</v>
      </c>
      <c r="C45" s="159" t="s">
        <v>1886</v>
      </c>
      <c r="D45" s="159" t="s">
        <v>1191</v>
      </c>
      <c r="E45" s="160">
        <v>1</v>
      </c>
      <c r="F45" s="163">
        <v>750</v>
      </c>
      <c r="G45" s="159" t="s">
        <v>1881</v>
      </c>
    </row>
    <row r="46" spans="1:7" ht="17.25" customHeight="1">
      <c r="A46" s="159" t="s">
        <v>1485</v>
      </c>
      <c r="B46" s="159" t="s">
        <v>1486</v>
      </c>
      <c r="C46" s="159" t="s">
        <v>1493</v>
      </c>
      <c r="D46" s="159" t="s">
        <v>1191</v>
      </c>
      <c r="E46" s="160">
        <v>10</v>
      </c>
      <c r="F46" s="163">
        <v>15</v>
      </c>
      <c r="G46" s="159" t="s">
        <v>1881</v>
      </c>
    </row>
    <row r="47" spans="1:7" ht="17.25" customHeight="1">
      <c r="A47" s="159" t="s">
        <v>1485</v>
      </c>
      <c r="B47" s="159" t="s">
        <v>1486</v>
      </c>
      <c r="C47" s="159" t="s">
        <v>1494</v>
      </c>
      <c r="D47" s="159" t="s">
        <v>1191</v>
      </c>
      <c r="E47" s="160">
        <v>15</v>
      </c>
      <c r="F47" s="163">
        <v>15</v>
      </c>
      <c r="G47" s="159" t="s">
        <v>1881</v>
      </c>
    </row>
    <row r="48" spans="1:7" ht="17.25" customHeight="1">
      <c r="A48" s="159" t="s">
        <v>1485</v>
      </c>
      <c r="B48" s="159" t="s">
        <v>1486</v>
      </c>
      <c r="C48" s="159" t="s">
        <v>1495</v>
      </c>
      <c r="D48" s="159" t="s">
        <v>1191</v>
      </c>
      <c r="E48" s="160">
        <v>15</v>
      </c>
      <c r="F48" s="163">
        <v>15</v>
      </c>
      <c r="G48" s="159" t="s">
        <v>1881</v>
      </c>
    </row>
    <row r="49" spans="1:7" ht="17.25" customHeight="1">
      <c r="A49" s="159" t="s">
        <v>1485</v>
      </c>
      <c r="B49" s="159" t="s">
        <v>1486</v>
      </c>
      <c r="C49" s="159" t="s">
        <v>1496</v>
      </c>
      <c r="D49" s="159" t="s">
        <v>1191</v>
      </c>
      <c r="E49" s="160">
        <v>5</v>
      </c>
      <c r="F49" s="163">
        <v>15</v>
      </c>
      <c r="G49" s="159" t="s">
        <v>1881</v>
      </c>
    </row>
    <row r="50" spans="1:7" ht="17.25" customHeight="1">
      <c r="A50" s="159" t="s">
        <v>1485</v>
      </c>
      <c r="B50" s="159" t="s">
        <v>1486</v>
      </c>
      <c r="C50" s="159" t="s">
        <v>1497</v>
      </c>
      <c r="D50" s="159" t="s">
        <v>1191</v>
      </c>
      <c r="E50" s="160">
        <v>20</v>
      </c>
      <c r="F50" s="163">
        <v>10</v>
      </c>
      <c r="G50" s="159" t="s">
        <v>1881</v>
      </c>
    </row>
    <row r="51" spans="1:7" ht="17.25" customHeight="1">
      <c r="A51" s="159" t="s">
        <v>1485</v>
      </c>
      <c r="B51" s="159" t="s">
        <v>1486</v>
      </c>
      <c r="C51" s="159" t="s">
        <v>1498</v>
      </c>
      <c r="D51" s="159" t="s">
        <v>1191</v>
      </c>
      <c r="E51" s="160">
        <v>5</v>
      </c>
      <c r="F51" s="163">
        <v>25</v>
      </c>
      <c r="G51" s="159" t="s">
        <v>1881</v>
      </c>
    </row>
    <row r="52" spans="1:7" ht="17.25" customHeight="1">
      <c r="A52" s="159" t="s">
        <v>1485</v>
      </c>
      <c r="B52" s="159" t="s">
        <v>1486</v>
      </c>
      <c r="C52" s="159" t="s">
        <v>1500</v>
      </c>
      <c r="D52" s="159" t="s">
        <v>1191</v>
      </c>
      <c r="E52" s="160">
        <v>20</v>
      </c>
      <c r="F52" s="163">
        <v>10</v>
      </c>
      <c r="G52" s="159" t="s">
        <v>1881</v>
      </c>
    </row>
    <row r="53" spans="1:7" ht="17.25" customHeight="1">
      <c r="A53" s="159" t="s">
        <v>1485</v>
      </c>
      <c r="B53" s="159" t="s">
        <v>1486</v>
      </c>
      <c r="C53" s="159" t="s">
        <v>1501</v>
      </c>
      <c r="D53" s="159" t="s">
        <v>1191</v>
      </c>
      <c r="E53" s="160">
        <v>20</v>
      </c>
      <c r="F53" s="163">
        <v>10</v>
      </c>
      <c r="G53" s="159" t="s">
        <v>1881</v>
      </c>
    </row>
    <row r="54" spans="1:7" ht="17.25" customHeight="1">
      <c r="A54" s="159" t="s">
        <v>1485</v>
      </c>
      <c r="B54" s="159" t="s">
        <v>1486</v>
      </c>
      <c r="C54" s="159" t="s">
        <v>1502</v>
      </c>
      <c r="D54" s="159" t="s">
        <v>1191</v>
      </c>
      <c r="E54" s="160">
        <v>20</v>
      </c>
      <c r="F54" s="163">
        <v>10</v>
      </c>
      <c r="G54" s="159" t="s">
        <v>1881</v>
      </c>
    </row>
    <row r="55" spans="1:7" ht="17.25" customHeight="1">
      <c r="A55" s="159" t="s">
        <v>1485</v>
      </c>
      <c r="B55" s="159" t="s">
        <v>1486</v>
      </c>
      <c r="C55" s="159" t="s">
        <v>1792</v>
      </c>
      <c r="D55" s="159" t="s">
        <v>1191</v>
      </c>
      <c r="E55" s="160">
        <v>5</v>
      </c>
      <c r="F55" s="163">
        <v>10</v>
      </c>
      <c r="G55" s="159" t="s">
        <v>1881</v>
      </c>
    </row>
    <row r="56" spans="1:7" ht="17.25" customHeight="1">
      <c r="A56" s="159" t="s">
        <v>1485</v>
      </c>
      <c r="B56" s="159" t="s">
        <v>1486</v>
      </c>
      <c r="C56" s="159" t="s">
        <v>1785</v>
      </c>
      <c r="D56" s="159" t="s">
        <v>1191</v>
      </c>
      <c r="E56" s="160">
        <v>20</v>
      </c>
      <c r="F56" s="163">
        <v>10</v>
      </c>
      <c r="G56" s="159" t="s">
        <v>1881</v>
      </c>
    </row>
    <row r="57" spans="1:7" ht="17.25" customHeight="1">
      <c r="A57" s="159" t="s">
        <v>1485</v>
      </c>
      <c r="B57" s="159" t="s">
        <v>1486</v>
      </c>
      <c r="C57" s="159" t="s">
        <v>1504</v>
      </c>
      <c r="D57" s="159" t="s">
        <v>1191</v>
      </c>
      <c r="E57" s="160">
        <v>10</v>
      </c>
      <c r="F57" s="163">
        <v>15</v>
      </c>
      <c r="G57" s="159" t="s">
        <v>1881</v>
      </c>
    </row>
    <row r="58" spans="1:7" ht="17.25" customHeight="1">
      <c r="A58" s="159" t="s">
        <v>1485</v>
      </c>
      <c r="B58" s="159" t="s">
        <v>1486</v>
      </c>
      <c r="C58" s="159" t="s">
        <v>1505</v>
      </c>
      <c r="D58" s="159" t="s">
        <v>1191</v>
      </c>
      <c r="E58" s="160">
        <v>5</v>
      </c>
      <c r="F58" s="163">
        <v>15</v>
      </c>
      <c r="G58" s="159" t="s">
        <v>1881</v>
      </c>
    </row>
    <row r="59" spans="1:7" ht="17.25" customHeight="1">
      <c r="A59" s="159" t="s">
        <v>1485</v>
      </c>
      <c r="B59" s="159" t="s">
        <v>1486</v>
      </c>
      <c r="C59" s="159" t="s">
        <v>1780</v>
      </c>
      <c r="D59" s="159" t="s">
        <v>1191</v>
      </c>
      <c r="E59" s="160">
        <v>10</v>
      </c>
      <c r="F59" s="163">
        <v>10</v>
      </c>
      <c r="G59" s="159" t="s">
        <v>1881</v>
      </c>
    </row>
    <row r="60" spans="1:7" ht="17.25" customHeight="1">
      <c r="A60" s="159" t="s">
        <v>1485</v>
      </c>
      <c r="B60" s="159" t="s">
        <v>1486</v>
      </c>
      <c r="C60" s="159" t="s">
        <v>1777</v>
      </c>
      <c r="D60" s="159" t="s">
        <v>1191</v>
      </c>
      <c r="E60" s="160">
        <v>10</v>
      </c>
      <c r="F60" s="163">
        <v>10</v>
      </c>
      <c r="G60" s="159" t="s">
        <v>1881</v>
      </c>
    </row>
    <row r="61" spans="1:7" ht="17.25" customHeight="1">
      <c r="A61" s="159" t="s">
        <v>1485</v>
      </c>
      <c r="B61" s="159" t="s">
        <v>1486</v>
      </c>
      <c r="C61" s="159" t="s">
        <v>1774</v>
      </c>
      <c r="D61" s="159" t="s">
        <v>1191</v>
      </c>
      <c r="E61" s="160">
        <v>10</v>
      </c>
      <c r="F61" s="163">
        <v>10</v>
      </c>
      <c r="G61" s="159" t="s">
        <v>1881</v>
      </c>
    </row>
    <row r="62" spans="1:7" ht="17.25" customHeight="1">
      <c r="A62" s="159" t="s">
        <v>1485</v>
      </c>
      <c r="B62" s="159" t="s">
        <v>1486</v>
      </c>
      <c r="C62" s="159" t="s">
        <v>1508</v>
      </c>
      <c r="D62" s="159" t="s">
        <v>1191</v>
      </c>
      <c r="E62" s="160">
        <v>10</v>
      </c>
      <c r="F62" s="163">
        <v>20</v>
      </c>
      <c r="G62" s="159" t="s">
        <v>1881</v>
      </c>
    </row>
    <row r="63" spans="1:7" ht="17.25" customHeight="1">
      <c r="A63" s="159" t="s">
        <v>1485</v>
      </c>
      <c r="B63" s="159" t="s">
        <v>1486</v>
      </c>
      <c r="C63" s="159" t="s">
        <v>1509</v>
      </c>
      <c r="D63" s="159" t="s">
        <v>1191</v>
      </c>
      <c r="E63" s="160">
        <v>5</v>
      </c>
      <c r="F63" s="163">
        <v>30</v>
      </c>
      <c r="G63" s="159" t="s">
        <v>1881</v>
      </c>
    </row>
    <row r="64" spans="1:7" ht="17.25" customHeight="1">
      <c r="A64" s="159" t="s">
        <v>1485</v>
      </c>
      <c r="B64" s="159" t="s">
        <v>1486</v>
      </c>
      <c r="C64" s="159" t="s">
        <v>1510</v>
      </c>
      <c r="D64" s="159" t="s">
        <v>1242</v>
      </c>
      <c r="E64" s="160">
        <v>2</v>
      </c>
      <c r="F64" s="163">
        <v>5</v>
      </c>
      <c r="G64" s="159" t="s">
        <v>1881</v>
      </c>
    </row>
    <row r="65" spans="1:7" ht="17.25" customHeight="1">
      <c r="A65" s="159" t="s">
        <v>1485</v>
      </c>
      <c r="B65" s="159" t="s">
        <v>1486</v>
      </c>
      <c r="C65" s="159" t="s">
        <v>1238</v>
      </c>
      <c r="D65" s="159" t="s">
        <v>1191</v>
      </c>
      <c r="E65" s="160">
        <v>25</v>
      </c>
      <c r="F65" s="163">
        <v>5</v>
      </c>
      <c r="G65" s="159" t="s">
        <v>1881</v>
      </c>
    </row>
    <row r="66" spans="1:7" ht="17.25" customHeight="1">
      <c r="A66" s="159" t="s">
        <v>1485</v>
      </c>
      <c r="B66" s="159" t="s">
        <v>1486</v>
      </c>
      <c r="C66" s="159" t="s">
        <v>1239</v>
      </c>
      <c r="D66" s="159" t="s">
        <v>1191</v>
      </c>
      <c r="E66" s="160">
        <v>25</v>
      </c>
      <c r="F66" s="163">
        <v>10</v>
      </c>
      <c r="G66" s="159" t="s">
        <v>1881</v>
      </c>
    </row>
    <row r="67" spans="1:7" ht="17.25" customHeight="1">
      <c r="A67" s="159" t="s">
        <v>1485</v>
      </c>
      <c r="B67" s="159" t="s">
        <v>1486</v>
      </c>
      <c r="C67" s="159" t="s">
        <v>1887</v>
      </c>
      <c r="D67" s="159" t="s">
        <v>1191</v>
      </c>
      <c r="E67" s="160">
        <v>25</v>
      </c>
      <c r="F67" s="163">
        <v>2</v>
      </c>
      <c r="G67" s="159" t="s">
        <v>1881</v>
      </c>
    </row>
    <row r="68" spans="1:7" ht="17.25" customHeight="1">
      <c r="A68" s="159" t="s">
        <v>1485</v>
      </c>
      <c r="B68" s="159" t="s">
        <v>1486</v>
      </c>
      <c r="C68" s="159" t="s">
        <v>1888</v>
      </c>
      <c r="D68" s="159" t="s">
        <v>1191</v>
      </c>
      <c r="E68" s="160">
        <v>15</v>
      </c>
      <c r="F68" s="163">
        <v>20</v>
      </c>
      <c r="G68" s="159" t="s">
        <v>1881</v>
      </c>
    </row>
    <row r="69" spans="1:7" ht="17.25" customHeight="1">
      <c r="A69" s="159" t="s">
        <v>1485</v>
      </c>
      <c r="B69" s="159" t="s">
        <v>1486</v>
      </c>
      <c r="C69" s="159" t="s">
        <v>1511</v>
      </c>
      <c r="D69" s="159" t="s">
        <v>1191</v>
      </c>
      <c r="E69" s="160">
        <v>2</v>
      </c>
      <c r="F69" s="163">
        <v>130</v>
      </c>
      <c r="G69" s="159" t="s">
        <v>1881</v>
      </c>
    </row>
    <row r="70" spans="1:7" ht="17.25" customHeight="1">
      <c r="A70" s="159" t="s">
        <v>1485</v>
      </c>
      <c r="B70" s="159" t="s">
        <v>1486</v>
      </c>
      <c r="C70" s="159" t="s">
        <v>1512</v>
      </c>
      <c r="D70" s="159" t="s">
        <v>1191</v>
      </c>
      <c r="E70" s="160">
        <v>2</v>
      </c>
      <c r="F70" s="163">
        <v>110</v>
      </c>
      <c r="G70" s="159" t="s">
        <v>1881</v>
      </c>
    </row>
    <row r="71" spans="1:7" ht="17.25" customHeight="1">
      <c r="A71" s="159" t="s">
        <v>1485</v>
      </c>
      <c r="B71" s="159" t="s">
        <v>1486</v>
      </c>
      <c r="C71" s="159" t="s">
        <v>1889</v>
      </c>
      <c r="D71" s="159" t="s">
        <v>1242</v>
      </c>
      <c r="E71" s="160">
        <v>1</v>
      </c>
      <c r="F71" s="163">
        <v>8</v>
      </c>
      <c r="G71" s="159" t="s">
        <v>1881</v>
      </c>
    </row>
    <row r="72" spans="1:7" ht="17.25" customHeight="1">
      <c r="A72" s="159" t="s">
        <v>1485</v>
      </c>
      <c r="B72" s="159" t="s">
        <v>1486</v>
      </c>
      <c r="C72" s="159" t="s">
        <v>1513</v>
      </c>
      <c r="D72" s="159" t="s">
        <v>1242</v>
      </c>
      <c r="E72" s="160">
        <v>1</v>
      </c>
      <c r="F72" s="163">
        <v>4</v>
      </c>
      <c r="G72" s="159" t="s">
        <v>1881</v>
      </c>
    </row>
    <row r="73" spans="1:7" ht="17.25" customHeight="1">
      <c r="A73" s="159" t="s">
        <v>1758</v>
      </c>
      <c r="B73" s="159" t="s">
        <v>1890</v>
      </c>
      <c r="C73" s="159" t="s">
        <v>1488</v>
      </c>
      <c r="D73" s="159" t="s">
        <v>1242</v>
      </c>
      <c r="E73" s="160">
        <v>20</v>
      </c>
      <c r="F73" s="163">
        <v>8</v>
      </c>
      <c r="G73" s="159" t="s">
        <v>1881</v>
      </c>
    </row>
    <row r="74" spans="1:7" ht="17.25" customHeight="1">
      <c r="A74" s="159" t="s">
        <v>1758</v>
      </c>
      <c r="B74" s="159" t="s">
        <v>1890</v>
      </c>
      <c r="C74" s="159" t="s">
        <v>1241</v>
      </c>
      <c r="D74" s="159" t="s">
        <v>1242</v>
      </c>
      <c r="E74" s="160">
        <v>10</v>
      </c>
      <c r="F74" s="163">
        <v>20</v>
      </c>
      <c r="G74" s="159" t="s">
        <v>1881</v>
      </c>
    </row>
    <row r="75" spans="1:7" ht="17.25" customHeight="1">
      <c r="A75" s="159" t="s">
        <v>1758</v>
      </c>
      <c r="B75" s="159" t="s">
        <v>1890</v>
      </c>
      <c r="C75" s="159" t="s">
        <v>1490</v>
      </c>
      <c r="D75" s="159" t="s">
        <v>1242</v>
      </c>
      <c r="E75" s="160">
        <v>4</v>
      </c>
      <c r="F75" s="163">
        <v>7</v>
      </c>
      <c r="G75" s="159" t="s">
        <v>1881</v>
      </c>
    </row>
    <row r="76" spans="1:7" ht="17.25" customHeight="1">
      <c r="A76" s="159" t="s">
        <v>1758</v>
      </c>
      <c r="B76" s="159" t="s">
        <v>1890</v>
      </c>
      <c r="C76" s="159" t="s">
        <v>1491</v>
      </c>
      <c r="D76" s="159" t="s">
        <v>1191</v>
      </c>
      <c r="E76" s="160">
        <v>2</v>
      </c>
      <c r="F76" s="163">
        <v>20</v>
      </c>
      <c r="G76" s="159" t="s">
        <v>1881</v>
      </c>
    </row>
    <row r="77" spans="1:7" ht="17.25" customHeight="1">
      <c r="A77" s="159" t="s">
        <v>1758</v>
      </c>
      <c r="B77" s="159" t="s">
        <v>1890</v>
      </c>
      <c r="C77" s="159" t="s">
        <v>653</v>
      </c>
      <c r="D77" s="159" t="s">
        <v>1191</v>
      </c>
      <c r="E77" s="160">
        <v>2</v>
      </c>
      <c r="F77" s="163">
        <v>20</v>
      </c>
      <c r="G77" s="159" t="s">
        <v>1881</v>
      </c>
    </row>
    <row r="78" spans="1:7" ht="17.25" customHeight="1">
      <c r="A78" s="159" t="s">
        <v>1758</v>
      </c>
      <c r="B78" s="159" t="s">
        <v>1890</v>
      </c>
      <c r="C78" s="159" t="s">
        <v>1885</v>
      </c>
      <c r="D78" s="159" t="s">
        <v>1191</v>
      </c>
      <c r="E78" s="160">
        <v>2</v>
      </c>
      <c r="F78" s="163">
        <v>20</v>
      </c>
      <c r="G78" s="159" t="s">
        <v>1881</v>
      </c>
    </row>
    <row r="79" spans="1:7" ht="17.25" customHeight="1">
      <c r="A79" s="159" t="s">
        <v>1758</v>
      </c>
      <c r="B79" s="159" t="s">
        <v>1890</v>
      </c>
      <c r="C79" s="159" t="s">
        <v>1886</v>
      </c>
      <c r="D79" s="159" t="s">
        <v>1191</v>
      </c>
      <c r="E79" s="160">
        <v>1</v>
      </c>
      <c r="F79" s="163">
        <v>750</v>
      </c>
      <c r="G79" s="159" t="s">
        <v>1881</v>
      </c>
    </row>
    <row r="80" spans="1:7" ht="17.25" customHeight="1">
      <c r="A80" s="159" t="s">
        <v>1758</v>
      </c>
      <c r="B80" s="159" t="s">
        <v>1890</v>
      </c>
      <c r="C80" s="159" t="s">
        <v>1493</v>
      </c>
      <c r="D80" s="159" t="s">
        <v>1191</v>
      </c>
      <c r="E80" s="160">
        <v>5</v>
      </c>
      <c r="F80" s="163">
        <v>23</v>
      </c>
      <c r="G80" s="159" t="s">
        <v>1881</v>
      </c>
    </row>
    <row r="81" spans="1:7" ht="17.25" customHeight="1">
      <c r="A81" s="159" t="s">
        <v>1758</v>
      </c>
      <c r="B81" s="159" t="s">
        <v>1890</v>
      </c>
      <c r="C81" s="159" t="s">
        <v>1494</v>
      </c>
      <c r="D81" s="159" t="s">
        <v>1191</v>
      </c>
      <c r="E81" s="160">
        <v>5</v>
      </c>
      <c r="F81" s="163">
        <v>15</v>
      </c>
      <c r="G81" s="159" t="s">
        <v>1881</v>
      </c>
    </row>
    <row r="82" spans="1:7" ht="17.25" customHeight="1">
      <c r="A82" s="159" t="s">
        <v>1758</v>
      </c>
      <c r="B82" s="159" t="s">
        <v>1890</v>
      </c>
      <c r="C82" s="159" t="s">
        <v>1495</v>
      </c>
      <c r="D82" s="159" t="s">
        <v>1191</v>
      </c>
      <c r="E82" s="160">
        <v>5</v>
      </c>
      <c r="F82" s="163">
        <v>15</v>
      </c>
      <c r="G82" s="159" t="s">
        <v>1881</v>
      </c>
    </row>
    <row r="83" spans="1:7" ht="17.25" customHeight="1">
      <c r="A83" s="159" t="s">
        <v>1758</v>
      </c>
      <c r="B83" s="159" t="s">
        <v>1890</v>
      </c>
      <c r="C83" s="159" t="s">
        <v>1496</v>
      </c>
      <c r="D83" s="159" t="s">
        <v>1191</v>
      </c>
      <c r="E83" s="160">
        <v>2</v>
      </c>
      <c r="F83" s="163">
        <v>15</v>
      </c>
      <c r="G83" s="159" t="s">
        <v>1881</v>
      </c>
    </row>
    <row r="84" spans="1:7" ht="17.25" customHeight="1">
      <c r="A84" s="159" t="s">
        <v>1758</v>
      </c>
      <c r="B84" s="159" t="s">
        <v>1890</v>
      </c>
      <c r="C84" s="159" t="s">
        <v>1497</v>
      </c>
      <c r="D84" s="159" t="s">
        <v>1191</v>
      </c>
      <c r="E84" s="160">
        <v>5</v>
      </c>
      <c r="F84" s="163">
        <v>10</v>
      </c>
      <c r="G84" s="159" t="s">
        <v>1881</v>
      </c>
    </row>
    <row r="85" spans="1:7" ht="17.25" customHeight="1">
      <c r="A85" s="159" t="s">
        <v>1758</v>
      </c>
      <c r="B85" s="159" t="s">
        <v>1890</v>
      </c>
      <c r="C85" s="159" t="s">
        <v>1502</v>
      </c>
      <c r="D85" s="159" t="s">
        <v>1191</v>
      </c>
      <c r="E85" s="160">
        <v>5</v>
      </c>
      <c r="F85" s="163">
        <v>10</v>
      </c>
      <c r="G85" s="159" t="s">
        <v>1881</v>
      </c>
    </row>
    <row r="86" spans="1:7" ht="17.25" customHeight="1">
      <c r="A86" s="159" t="s">
        <v>1758</v>
      </c>
      <c r="B86" s="159" t="s">
        <v>1890</v>
      </c>
      <c r="C86" s="159" t="s">
        <v>1792</v>
      </c>
      <c r="D86" s="159" t="s">
        <v>1191</v>
      </c>
      <c r="E86" s="160">
        <v>2</v>
      </c>
      <c r="F86" s="163">
        <v>10</v>
      </c>
      <c r="G86" s="159" t="s">
        <v>1881</v>
      </c>
    </row>
    <row r="87" spans="1:7" ht="17.25" customHeight="1">
      <c r="A87" s="159" t="s">
        <v>1758</v>
      </c>
      <c r="B87" s="159" t="s">
        <v>1890</v>
      </c>
      <c r="C87" s="159" t="s">
        <v>1785</v>
      </c>
      <c r="D87" s="159" t="s">
        <v>1191</v>
      </c>
      <c r="E87" s="160">
        <v>5</v>
      </c>
      <c r="F87" s="163">
        <v>10</v>
      </c>
      <c r="G87" s="159" t="s">
        <v>1881</v>
      </c>
    </row>
    <row r="88" spans="1:7" ht="17.25" customHeight="1">
      <c r="A88" s="159" t="s">
        <v>1758</v>
      </c>
      <c r="B88" s="159" t="s">
        <v>1890</v>
      </c>
      <c r="C88" s="159" t="s">
        <v>1504</v>
      </c>
      <c r="D88" s="159" t="s">
        <v>1191</v>
      </c>
      <c r="E88" s="160">
        <v>5</v>
      </c>
      <c r="F88" s="163">
        <v>15</v>
      </c>
      <c r="G88" s="159" t="s">
        <v>1881</v>
      </c>
    </row>
    <row r="89" spans="1:7" ht="17.25" customHeight="1">
      <c r="A89" s="159" t="s">
        <v>1758</v>
      </c>
      <c r="B89" s="159" t="s">
        <v>1890</v>
      </c>
      <c r="C89" s="159" t="s">
        <v>1008</v>
      </c>
      <c r="D89" s="159" t="s">
        <v>1191</v>
      </c>
      <c r="E89" s="160">
        <v>5</v>
      </c>
      <c r="F89" s="163">
        <v>30</v>
      </c>
      <c r="G89" s="159" t="s">
        <v>1881</v>
      </c>
    </row>
    <row r="90" spans="1:7" ht="17.25" customHeight="1">
      <c r="A90" s="159" t="s">
        <v>1758</v>
      </c>
      <c r="B90" s="159" t="s">
        <v>1890</v>
      </c>
      <c r="C90" s="159" t="s">
        <v>1510</v>
      </c>
      <c r="D90" s="159" t="s">
        <v>1191</v>
      </c>
      <c r="E90" s="160">
        <v>2</v>
      </c>
      <c r="F90" s="163">
        <v>20</v>
      </c>
      <c r="G90" s="159" t="s">
        <v>1881</v>
      </c>
    </row>
    <row r="91" spans="1:7" ht="17.25" customHeight="1">
      <c r="A91" s="159" t="s">
        <v>1758</v>
      </c>
      <c r="B91" s="159" t="s">
        <v>1890</v>
      </c>
      <c r="C91" s="159" t="s">
        <v>1238</v>
      </c>
      <c r="D91" s="159" t="s">
        <v>1191</v>
      </c>
      <c r="E91" s="160">
        <v>10</v>
      </c>
      <c r="F91" s="163">
        <v>5</v>
      </c>
      <c r="G91" s="159" t="s">
        <v>1881</v>
      </c>
    </row>
    <row r="92" spans="1:7" ht="17.25" customHeight="1">
      <c r="A92" s="159" t="s">
        <v>1758</v>
      </c>
      <c r="B92" s="159" t="s">
        <v>1890</v>
      </c>
      <c r="C92" s="159" t="s">
        <v>1239</v>
      </c>
      <c r="D92" s="159" t="s">
        <v>1191</v>
      </c>
      <c r="E92" s="160">
        <v>10</v>
      </c>
      <c r="F92" s="163">
        <v>10</v>
      </c>
      <c r="G92" s="159" t="s">
        <v>1881</v>
      </c>
    </row>
    <row r="93" spans="1:7" ht="17.25" customHeight="1">
      <c r="A93" s="159" t="s">
        <v>1758</v>
      </c>
      <c r="B93" s="159" t="s">
        <v>1890</v>
      </c>
      <c r="C93" s="159" t="s">
        <v>1887</v>
      </c>
      <c r="D93" s="159" t="s">
        <v>1191</v>
      </c>
      <c r="E93" s="160">
        <v>10</v>
      </c>
      <c r="F93" s="163">
        <v>2</v>
      </c>
      <c r="G93" s="159" t="s">
        <v>1881</v>
      </c>
    </row>
    <row r="94" spans="1:7" ht="17.25" customHeight="1">
      <c r="A94" s="159" t="s">
        <v>1758</v>
      </c>
      <c r="B94" s="159" t="s">
        <v>1890</v>
      </c>
      <c r="C94" s="159" t="s">
        <v>1888</v>
      </c>
      <c r="D94" s="159" t="s">
        <v>1191</v>
      </c>
      <c r="E94" s="160">
        <v>2</v>
      </c>
      <c r="F94" s="163">
        <v>20</v>
      </c>
      <c r="G94" s="159" t="s">
        <v>1881</v>
      </c>
    </row>
    <row r="95" spans="1:7" ht="17.25" customHeight="1">
      <c r="A95" s="159" t="s">
        <v>1472</v>
      </c>
      <c r="B95" s="159" t="s">
        <v>1473</v>
      </c>
      <c r="C95" s="159" t="s">
        <v>1474</v>
      </c>
      <c r="D95" s="159" t="s">
        <v>1191</v>
      </c>
      <c r="E95" s="160">
        <v>2</v>
      </c>
      <c r="F95" s="163">
        <v>5</v>
      </c>
      <c r="G95" s="159" t="s">
        <v>1881</v>
      </c>
    </row>
    <row r="96" spans="1:7" ht="17.25" customHeight="1">
      <c r="A96" s="159" t="s">
        <v>1472</v>
      </c>
      <c r="B96" s="159" t="s">
        <v>1473</v>
      </c>
      <c r="C96" s="159" t="s">
        <v>1475</v>
      </c>
      <c r="D96" s="159" t="s">
        <v>1191</v>
      </c>
      <c r="E96" s="160">
        <v>2</v>
      </c>
      <c r="F96" s="163">
        <v>5</v>
      </c>
      <c r="G96" s="159" t="s">
        <v>1881</v>
      </c>
    </row>
    <row r="97" spans="1:7" ht="17.25" customHeight="1">
      <c r="A97" s="159" t="s">
        <v>1472</v>
      </c>
      <c r="B97" s="159" t="s">
        <v>1473</v>
      </c>
      <c r="C97" s="159" t="s">
        <v>1476</v>
      </c>
      <c r="D97" s="159" t="s">
        <v>1477</v>
      </c>
      <c r="E97" s="160">
        <v>5</v>
      </c>
      <c r="F97" s="163">
        <v>10</v>
      </c>
      <c r="G97" s="159" t="s">
        <v>1881</v>
      </c>
    </row>
    <row r="98" spans="1:7" ht="17.25" customHeight="1">
      <c r="A98" s="159" t="s">
        <v>1472</v>
      </c>
      <c r="B98" s="159" t="s">
        <v>1473</v>
      </c>
      <c r="C98" s="159" t="s">
        <v>1891</v>
      </c>
      <c r="D98" s="159" t="s">
        <v>1191</v>
      </c>
      <c r="E98" s="160">
        <v>5</v>
      </c>
      <c r="F98" s="163">
        <v>3</v>
      </c>
      <c r="G98" s="159" t="s">
        <v>1881</v>
      </c>
    </row>
    <row r="99" spans="1:7" ht="17.25" customHeight="1">
      <c r="A99" s="159" t="s">
        <v>1472</v>
      </c>
      <c r="B99" s="159" t="s">
        <v>1473</v>
      </c>
      <c r="C99" s="159" t="s">
        <v>1892</v>
      </c>
      <c r="D99" s="159" t="s">
        <v>1191</v>
      </c>
      <c r="E99" s="160">
        <v>1</v>
      </c>
      <c r="F99" s="163">
        <v>30</v>
      </c>
      <c r="G99" s="159" t="s">
        <v>1881</v>
      </c>
    </row>
    <row r="100" spans="1:7" ht="17.25" customHeight="1">
      <c r="A100" s="159" t="s">
        <v>1472</v>
      </c>
      <c r="B100" s="159" t="s">
        <v>1473</v>
      </c>
      <c r="C100" s="159" t="s">
        <v>1893</v>
      </c>
      <c r="D100" s="159" t="s">
        <v>1191</v>
      </c>
      <c r="E100" s="160">
        <v>3</v>
      </c>
      <c r="F100" s="163">
        <v>10</v>
      </c>
      <c r="G100" s="159" t="s">
        <v>1881</v>
      </c>
    </row>
    <row r="101" spans="1:7" ht="17.25" customHeight="1">
      <c r="A101" s="159" t="s">
        <v>1472</v>
      </c>
      <c r="B101" s="159" t="s">
        <v>1473</v>
      </c>
      <c r="C101" s="159" t="s">
        <v>1478</v>
      </c>
      <c r="D101" s="159" t="s">
        <v>1191</v>
      </c>
      <c r="E101" s="160">
        <v>1</v>
      </c>
      <c r="F101" s="184">
        <v>2900</v>
      </c>
      <c r="G101" s="159" t="s">
        <v>1880</v>
      </c>
    </row>
    <row r="102" spans="1:7" ht="17.25" customHeight="1">
      <c r="A102" s="159" t="s">
        <v>1472</v>
      </c>
      <c r="B102" s="159" t="s">
        <v>1473</v>
      </c>
      <c r="C102" s="159" t="s">
        <v>1894</v>
      </c>
      <c r="D102" s="159" t="s">
        <v>1191</v>
      </c>
      <c r="E102" s="160">
        <v>1</v>
      </c>
      <c r="F102" s="163">
        <v>120</v>
      </c>
      <c r="G102" s="159" t="s">
        <v>1880</v>
      </c>
    </row>
    <row r="103" spans="1:7" ht="17.25" customHeight="1">
      <c r="A103" s="159" t="s">
        <v>1472</v>
      </c>
      <c r="B103" s="159" t="s">
        <v>1473</v>
      </c>
      <c r="C103" s="159" t="s">
        <v>1895</v>
      </c>
      <c r="D103" s="159" t="s">
        <v>1191</v>
      </c>
      <c r="E103" s="160">
        <v>1</v>
      </c>
      <c r="F103" s="163">
        <v>20</v>
      </c>
      <c r="G103" s="159" t="s">
        <v>1881</v>
      </c>
    </row>
    <row r="104" spans="1:7" ht="17.25" customHeight="1">
      <c r="A104" s="159" t="s">
        <v>1472</v>
      </c>
      <c r="B104" s="159" t="s">
        <v>1473</v>
      </c>
      <c r="C104" s="159" t="s">
        <v>1479</v>
      </c>
      <c r="D104" s="159" t="s">
        <v>1191</v>
      </c>
      <c r="E104" s="160">
        <v>1</v>
      </c>
      <c r="F104" s="163">
        <v>100</v>
      </c>
      <c r="G104" s="159" t="s">
        <v>1881</v>
      </c>
    </row>
    <row r="105" spans="1:7" ht="17.25" customHeight="1">
      <c r="A105" s="159" t="s">
        <v>1472</v>
      </c>
      <c r="B105" s="159" t="s">
        <v>1473</v>
      </c>
      <c r="C105" s="159" t="s">
        <v>1896</v>
      </c>
      <c r="D105" s="159" t="s">
        <v>1191</v>
      </c>
      <c r="E105" s="160">
        <v>1</v>
      </c>
      <c r="F105" s="163">
        <v>40</v>
      </c>
      <c r="G105" s="159" t="s">
        <v>1881</v>
      </c>
    </row>
    <row r="106" spans="1:7" ht="17.25" customHeight="1">
      <c r="A106" s="159" t="s">
        <v>1472</v>
      </c>
      <c r="B106" s="159" t="s">
        <v>1473</v>
      </c>
      <c r="C106" s="159" t="s">
        <v>1897</v>
      </c>
      <c r="D106" s="159" t="s">
        <v>1191</v>
      </c>
      <c r="E106" s="160">
        <v>1</v>
      </c>
      <c r="F106" s="163">
        <v>100</v>
      </c>
      <c r="G106" s="159" t="s">
        <v>1881</v>
      </c>
    </row>
    <row r="107" spans="1:7" ht="17.25" customHeight="1">
      <c r="A107" s="159" t="s">
        <v>1472</v>
      </c>
      <c r="B107" s="159" t="s">
        <v>1473</v>
      </c>
      <c r="C107" s="159" t="s">
        <v>1481</v>
      </c>
      <c r="D107" s="159" t="s">
        <v>1191</v>
      </c>
      <c r="E107" s="160">
        <v>1</v>
      </c>
      <c r="F107" s="163">
        <v>25</v>
      </c>
      <c r="G107" s="159" t="s">
        <v>1881</v>
      </c>
    </row>
    <row r="108" spans="1:7" ht="17.25" customHeight="1">
      <c r="A108" s="159" t="s">
        <v>1472</v>
      </c>
      <c r="B108" s="159" t="s">
        <v>1473</v>
      </c>
      <c r="C108" s="159" t="s">
        <v>1480</v>
      </c>
      <c r="D108" s="159" t="s">
        <v>1191</v>
      </c>
      <c r="E108" s="160">
        <v>1</v>
      </c>
      <c r="F108" s="163">
        <v>80</v>
      </c>
      <c r="G108" s="159" t="s">
        <v>1881</v>
      </c>
    </row>
    <row r="109" spans="1:7" ht="17.25" customHeight="1">
      <c r="A109" s="159" t="s">
        <v>1472</v>
      </c>
      <c r="B109" s="159" t="s">
        <v>1473</v>
      </c>
      <c r="C109" s="159" t="s">
        <v>1898</v>
      </c>
      <c r="D109" s="159" t="s">
        <v>1191</v>
      </c>
      <c r="E109" s="160">
        <v>1</v>
      </c>
      <c r="F109" s="163">
        <v>100</v>
      </c>
      <c r="G109" s="159" t="s">
        <v>1881</v>
      </c>
    </row>
    <row r="110" spans="1:7" ht="17.25" customHeight="1">
      <c r="A110" s="159" t="s">
        <v>1472</v>
      </c>
      <c r="B110" s="159" t="s">
        <v>1473</v>
      </c>
      <c r="C110" s="159" t="s">
        <v>1899</v>
      </c>
      <c r="D110" s="159" t="s">
        <v>1477</v>
      </c>
      <c r="E110" s="160">
        <v>2</v>
      </c>
      <c r="F110" s="163">
        <v>10</v>
      </c>
      <c r="G110" s="159" t="s">
        <v>1881</v>
      </c>
    </row>
    <row r="111" spans="1:7" ht="17.25" customHeight="1">
      <c r="A111" s="159" t="s">
        <v>1472</v>
      </c>
      <c r="B111" s="159" t="s">
        <v>1473</v>
      </c>
      <c r="C111" s="159" t="s">
        <v>1900</v>
      </c>
      <c r="D111" s="159" t="s">
        <v>1477</v>
      </c>
      <c r="E111" s="160">
        <v>2</v>
      </c>
      <c r="F111" s="163">
        <v>10</v>
      </c>
      <c r="G111" s="159" t="s">
        <v>1881</v>
      </c>
    </row>
    <row r="112" spans="1:7" ht="17.25" customHeight="1">
      <c r="A112" s="159" t="s">
        <v>1472</v>
      </c>
      <c r="B112" s="159" t="s">
        <v>1473</v>
      </c>
      <c r="C112" s="159" t="s">
        <v>1482</v>
      </c>
      <c r="D112" s="159" t="s">
        <v>1191</v>
      </c>
      <c r="E112" s="160">
        <v>20</v>
      </c>
      <c r="F112" s="163">
        <v>2</v>
      </c>
      <c r="G112" s="159" t="s">
        <v>1881</v>
      </c>
    </row>
    <row r="113" spans="1:7" ht="17.25" customHeight="1">
      <c r="A113" s="159" t="s">
        <v>1472</v>
      </c>
      <c r="B113" s="159" t="s">
        <v>1473</v>
      </c>
      <c r="C113" s="159" t="s">
        <v>1483</v>
      </c>
      <c r="D113" s="159" t="s">
        <v>1484</v>
      </c>
      <c r="E113" s="160">
        <v>1</v>
      </c>
      <c r="F113" s="163">
        <v>10</v>
      </c>
      <c r="G113" s="159" t="s">
        <v>1881</v>
      </c>
    </row>
    <row r="114" spans="1:7" ht="17.25" customHeight="1">
      <c r="A114" s="159" t="s">
        <v>1472</v>
      </c>
      <c r="B114" s="159" t="s">
        <v>1473</v>
      </c>
      <c r="C114" s="159" t="s">
        <v>1901</v>
      </c>
      <c r="D114" s="159" t="s">
        <v>1191</v>
      </c>
      <c r="E114" s="160">
        <v>2</v>
      </c>
      <c r="F114" s="163">
        <v>3</v>
      </c>
      <c r="G114" s="159" t="s">
        <v>1881</v>
      </c>
    </row>
    <row r="115" spans="1:7" ht="17.25" customHeight="1">
      <c r="A115" s="159" t="s">
        <v>1768</v>
      </c>
      <c r="B115" s="159" t="s">
        <v>1902</v>
      </c>
      <c r="C115" s="159" t="s">
        <v>1894</v>
      </c>
      <c r="D115" s="159" t="s">
        <v>1191</v>
      </c>
      <c r="E115" s="160">
        <v>1</v>
      </c>
      <c r="F115" s="163">
        <v>120</v>
      </c>
      <c r="G115" s="159" t="s">
        <v>1880</v>
      </c>
    </row>
    <row r="116" spans="1:7" ht="17.25" customHeight="1">
      <c r="A116" s="159" t="s">
        <v>1768</v>
      </c>
      <c r="B116" s="159" t="s">
        <v>1902</v>
      </c>
      <c r="C116" s="159" t="s">
        <v>1474</v>
      </c>
      <c r="D116" s="159" t="s">
        <v>1191</v>
      </c>
      <c r="E116" s="160">
        <v>1</v>
      </c>
      <c r="F116" s="163">
        <v>5</v>
      </c>
      <c r="G116" s="159" t="s">
        <v>1881</v>
      </c>
    </row>
    <row r="117" spans="1:7" ht="17.25" customHeight="1">
      <c r="A117" s="159" t="s">
        <v>1768</v>
      </c>
      <c r="B117" s="159" t="s">
        <v>1902</v>
      </c>
      <c r="C117" s="159" t="s">
        <v>1475</v>
      </c>
      <c r="D117" s="159" t="s">
        <v>1191</v>
      </c>
      <c r="E117" s="160">
        <v>1</v>
      </c>
      <c r="F117" s="163">
        <v>5</v>
      </c>
      <c r="G117" s="159" t="s">
        <v>1881</v>
      </c>
    </row>
    <row r="118" spans="1:7" ht="17.25" customHeight="1">
      <c r="A118" s="159" t="s">
        <v>1768</v>
      </c>
      <c r="B118" s="159" t="s">
        <v>1902</v>
      </c>
      <c r="C118" s="159" t="s">
        <v>1476</v>
      </c>
      <c r="D118" s="159" t="s">
        <v>1477</v>
      </c>
      <c r="E118" s="160">
        <v>2</v>
      </c>
      <c r="F118" s="163">
        <v>10</v>
      </c>
      <c r="G118" s="159" t="s">
        <v>1881</v>
      </c>
    </row>
    <row r="119" spans="1:7" ht="17.25" customHeight="1">
      <c r="A119" s="159" t="s">
        <v>1768</v>
      </c>
      <c r="B119" s="159" t="s">
        <v>1902</v>
      </c>
      <c r="C119" s="159" t="s">
        <v>1891</v>
      </c>
      <c r="D119" s="159" t="s">
        <v>1191</v>
      </c>
      <c r="E119" s="160">
        <v>2</v>
      </c>
      <c r="F119" s="163">
        <v>3</v>
      </c>
      <c r="G119" s="159" t="s">
        <v>1881</v>
      </c>
    </row>
    <row r="120" spans="1:7" ht="17.25" customHeight="1">
      <c r="A120" s="159" t="s">
        <v>1768</v>
      </c>
      <c r="B120" s="159" t="s">
        <v>1902</v>
      </c>
      <c r="C120" s="159" t="s">
        <v>1892</v>
      </c>
      <c r="D120" s="159" t="s">
        <v>1191</v>
      </c>
      <c r="E120" s="160">
        <v>1</v>
      </c>
      <c r="F120" s="163">
        <v>30</v>
      </c>
      <c r="G120" s="159" t="s">
        <v>1881</v>
      </c>
    </row>
    <row r="121" spans="1:7" ht="17.25" customHeight="1">
      <c r="A121" s="159" t="s">
        <v>1768</v>
      </c>
      <c r="B121" s="159" t="s">
        <v>1902</v>
      </c>
      <c r="C121" s="159" t="s">
        <v>1893</v>
      </c>
      <c r="D121" s="159" t="s">
        <v>1191</v>
      </c>
      <c r="E121" s="160">
        <v>2</v>
      </c>
      <c r="F121" s="163">
        <v>10</v>
      </c>
      <c r="G121" s="159" t="s">
        <v>1881</v>
      </c>
    </row>
    <row r="122" spans="1:7" ht="17.25" customHeight="1">
      <c r="A122" s="159" t="s">
        <v>1768</v>
      </c>
      <c r="B122" s="159" t="s">
        <v>1902</v>
      </c>
      <c r="C122" s="159" t="s">
        <v>1895</v>
      </c>
      <c r="D122" s="159" t="s">
        <v>1191</v>
      </c>
      <c r="E122" s="160">
        <v>1</v>
      </c>
      <c r="F122" s="163">
        <v>20</v>
      </c>
      <c r="G122" s="159" t="s">
        <v>1881</v>
      </c>
    </row>
    <row r="123" spans="1:7" ht="17.25" customHeight="1">
      <c r="A123" s="159" t="s">
        <v>1768</v>
      </c>
      <c r="B123" s="159" t="s">
        <v>1902</v>
      </c>
      <c r="C123" s="159" t="s">
        <v>1479</v>
      </c>
      <c r="D123" s="159" t="s">
        <v>1191</v>
      </c>
      <c r="E123" s="160">
        <v>1</v>
      </c>
      <c r="F123" s="163">
        <v>100</v>
      </c>
      <c r="G123" s="159" t="s">
        <v>1881</v>
      </c>
    </row>
    <row r="124" spans="1:7" ht="17.25" customHeight="1">
      <c r="A124" s="159" t="s">
        <v>1768</v>
      </c>
      <c r="B124" s="159" t="s">
        <v>1902</v>
      </c>
      <c r="C124" s="159" t="s">
        <v>1896</v>
      </c>
      <c r="D124" s="159" t="s">
        <v>1191</v>
      </c>
      <c r="E124" s="160">
        <v>1</v>
      </c>
      <c r="F124" s="163">
        <v>40</v>
      </c>
      <c r="G124" s="159" t="s">
        <v>1881</v>
      </c>
    </row>
    <row r="125" spans="1:7" ht="17.25" customHeight="1">
      <c r="A125" s="159" t="s">
        <v>1768</v>
      </c>
      <c r="B125" s="159" t="s">
        <v>1902</v>
      </c>
      <c r="C125" s="159" t="s">
        <v>1897</v>
      </c>
      <c r="D125" s="159" t="s">
        <v>1191</v>
      </c>
      <c r="E125" s="160">
        <v>1</v>
      </c>
      <c r="F125" s="163">
        <v>100</v>
      </c>
      <c r="G125" s="159" t="s">
        <v>1881</v>
      </c>
    </row>
    <row r="126" spans="1:7" ht="17.25" customHeight="1">
      <c r="A126" s="159" t="s">
        <v>1768</v>
      </c>
      <c r="B126" s="159" t="s">
        <v>1902</v>
      </c>
      <c r="C126" s="159" t="s">
        <v>1481</v>
      </c>
      <c r="D126" s="159" t="s">
        <v>1191</v>
      </c>
      <c r="E126" s="160">
        <v>1</v>
      </c>
      <c r="F126" s="163">
        <v>25</v>
      </c>
      <c r="G126" s="159" t="s">
        <v>1881</v>
      </c>
    </row>
    <row r="127" spans="1:7" ht="17.25" customHeight="1">
      <c r="A127" s="159" t="s">
        <v>1768</v>
      </c>
      <c r="B127" s="159" t="s">
        <v>1902</v>
      </c>
      <c r="C127" s="159" t="s">
        <v>1480</v>
      </c>
      <c r="D127" s="159" t="s">
        <v>1191</v>
      </c>
      <c r="E127" s="160">
        <v>1</v>
      </c>
      <c r="F127" s="163">
        <v>80</v>
      </c>
      <c r="G127" s="159" t="s">
        <v>1881</v>
      </c>
    </row>
    <row r="128" spans="1:7" ht="17.25" customHeight="1">
      <c r="A128" s="159" t="s">
        <v>1768</v>
      </c>
      <c r="B128" s="159" t="s">
        <v>1902</v>
      </c>
      <c r="C128" s="159" t="s">
        <v>1903</v>
      </c>
      <c r="D128" s="159" t="s">
        <v>1191</v>
      </c>
      <c r="E128" s="160">
        <v>1</v>
      </c>
      <c r="F128" s="163">
        <v>20</v>
      </c>
      <c r="G128" s="159" t="s">
        <v>1881</v>
      </c>
    </row>
    <row r="129" spans="1:7" ht="17.25" customHeight="1">
      <c r="A129" s="159" t="s">
        <v>1768</v>
      </c>
      <c r="B129" s="159" t="s">
        <v>1902</v>
      </c>
      <c r="C129" s="159" t="s">
        <v>1899</v>
      </c>
      <c r="D129" s="159" t="s">
        <v>1477</v>
      </c>
      <c r="E129" s="160">
        <v>1</v>
      </c>
      <c r="F129" s="163">
        <v>10</v>
      </c>
      <c r="G129" s="159" t="s">
        <v>1881</v>
      </c>
    </row>
    <row r="130" spans="1:7" ht="17.25" customHeight="1">
      <c r="A130" s="159" t="s">
        <v>1768</v>
      </c>
      <c r="B130" s="159" t="s">
        <v>1902</v>
      </c>
      <c r="C130" s="159" t="s">
        <v>1900</v>
      </c>
      <c r="D130" s="159" t="s">
        <v>1477</v>
      </c>
      <c r="E130" s="160">
        <v>1</v>
      </c>
      <c r="F130" s="163">
        <v>10</v>
      </c>
      <c r="G130" s="159" t="s">
        <v>1881</v>
      </c>
    </row>
    <row r="131" spans="1:7" ht="17.25" customHeight="1">
      <c r="A131" s="162" t="s">
        <v>1768</v>
      </c>
      <c r="B131" s="162" t="s">
        <v>1902</v>
      </c>
      <c r="C131" s="162" t="s">
        <v>1901</v>
      </c>
      <c r="D131" s="162" t="s">
        <v>1191</v>
      </c>
      <c r="E131" s="164">
        <v>2</v>
      </c>
      <c r="F131" s="165">
        <v>3</v>
      </c>
      <c r="G131" s="162" t="s">
        <v>1881</v>
      </c>
    </row>
  </sheetData>
  <pageMargins left="0.7" right="0.7" top="0.75" bottom="0.75" header="0.3" footer="0.3"/>
  <pageSetup paperSize="9" orientation="portrait" r:id="rId1"/>
  <headerFooter>
    <oddHeader>&amp;L&amp;"Calibri"&amp;12&amp;K008000 SC Classification:GENERAL BUSINESS\Other General Business&amp;1#_x000D_</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theme="1" tint="0.249977111117893"/>
  </sheetPr>
  <dimension ref="B1:H16"/>
  <sheetViews>
    <sheetView workbookViewId="0"/>
  </sheetViews>
  <sheetFormatPr defaultColWidth="8.6640625" defaultRowHeight="14.4"/>
  <cols>
    <col min="1" max="1" width="3.44140625" customWidth="1"/>
    <col min="2" max="2" width="29.44140625" customWidth="1"/>
    <col min="3" max="3" width="26.6640625" customWidth="1"/>
    <col min="4" max="4" width="29.44140625" bestFit="1" customWidth="1"/>
    <col min="5" max="5" width="8.44140625" bestFit="1" customWidth="1"/>
    <col min="6" max="6" width="9" bestFit="1" customWidth="1"/>
    <col min="7" max="7" width="10.33203125" customWidth="1"/>
    <col min="8" max="8" width="15.44140625" customWidth="1"/>
    <col min="9" max="9" width="10.33203125" customWidth="1"/>
    <col min="10" max="10" width="15.6640625" bestFit="1" customWidth="1"/>
    <col min="11" max="11" width="28.44140625" bestFit="1" customWidth="1"/>
    <col min="12" max="17" width="15.6640625" bestFit="1" customWidth="1"/>
    <col min="18" max="18" width="15" bestFit="1" customWidth="1"/>
  </cols>
  <sheetData>
    <row r="1" spans="2:8" ht="35.25" customHeight="1">
      <c r="B1" s="118" t="str">
        <f>su_tournament&amp;" "&amp;su_host_country&amp;" "&amp;su_year&amp;": TEAP v"&amp;su_version&amp;" Packing List Source Data - DO NOT EDIT"</f>
        <v>FIFA U-17 World Cup Qatar 2025: TEAP v0.9 Packing List Source Data - DO NOT EDIT</v>
      </c>
      <c r="C1" s="26"/>
      <c r="D1" s="26"/>
      <c r="E1" s="26"/>
      <c r="F1" s="26"/>
      <c r="G1" s="26"/>
      <c r="H1" s="26"/>
    </row>
    <row r="3" spans="2:8" ht="21">
      <c r="B3" s="2" t="s">
        <v>1904</v>
      </c>
      <c r="C3" s="2"/>
      <c r="D3" s="2"/>
      <c r="E3" s="61"/>
      <c r="F3" s="61"/>
      <c r="G3" s="61"/>
    </row>
    <row r="4" spans="2:8" ht="21">
      <c r="B4" s="182" t="s">
        <v>66</v>
      </c>
      <c r="C4" t="s">
        <v>1013</v>
      </c>
      <c r="D4" s="2"/>
      <c r="E4" s="61"/>
      <c r="F4" s="61"/>
      <c r="G4" s="61"/>
    </row>
    <row r="5" spans="2:8" s="60" customFormat="1" ht="15" customHeight="1">
      <c r="B5" s="182" t="s">
        <v>38</v>
      </c>
      <c r="C5" t="s">
        <v>1002</v>
      </c>
      <c r="D5" s="3"/>
      <c r="E5" s="62"/>
      <c r="F5" s="62"/>
      <c r="G5" s="62"/>
    </row>
    <row r="7" spans="2:8">
      <c r="B7" s="182" t="s">
        <v>69</v>
      </c>
      <c r="C7" s="182" t="s">
        <v>33</v>
      </c>
      <c r="D7" s="182" t="s">
        <v>36</v>
      </c>
      <c r="E7" s="34" t="s">
        <v>1153</v>
      </c>
    </row>
    <row r="8" spans="2:8">
      <c r="B8" t="s">
        <v>1905</v>
      </c>
      <c r="C8" t="s">
        <v>329</v>
      </c>
      <c r="D8" t="s">
        <v>1189</v>
      </c>
      <c r="E8">
        <v>1</v>
      </c>
    </row>
    <row r="9" spans="2:8">
      <c r="C9" t="s">
        <v>202</v>
      </c>
      <c r="D9" t="s">
        <v>1003</v>
      </c>
      <c r="E9">
        <v>3</v>
      </c>
    </row>
    <row r="10" spans="2:8">
      <c r="C10" t="s">
        <v>237</v>
      </c>
      <c r="D10" t="s">
        <v>236</v>
      </c>
      <c r="E10">
        <v>4</v>
      </c>
    </row>
    <row r="11" spans="2:8">
      <c r="C11" t="s">
        <v>537</v>
      </c>
      <c r="D11" t="s">
        <v>1010</v>
      </c>
      <c r="E11">
        <v>4</v>
      </c>
    </row>
    <row r="12" spans="2:8">
      <c r="C12" t="s">
        <v>1828</v>
      </c>
      <c r="D12" t="s">
        <v>1829</v>
      </c>
      <c r="E12">
        <v>2</v>
      </c>
    </row>
    <row r="13" spans="2:8">
      <c r="C13" t="s">
        <v>1744</v>
      </c>
      <c r="D13" t="s">
        <v>1745</v>
      </c>
      <c r="E13">
        <v>5</v>
      </c>
    </row>
    <row r="14" spans="2:8">
      <c r="C14" t="s">
        <v>1747</v>
      </c>
      <c r="D14" t="s">
        <v>1748</v>
      </c>
      <c r="E14">
        <v>2</v>
      </c>
    </row>
    <row r="15" spans="2:8">
      <c r="C15" t="s">
        <v>1604</v>
      </c>
      <c r="D15" t="s">
        <v>1605</v>
      </c>
      <c r="E15">
        <v>4</v>
      </c>
    </row>
    <row r="16" spans="2:8">
      <c r="C16" t="s">
        <v>590</v>
      </c>
      <c r="D16" t="s">
        <v>770</v>
      </c>
      <c r="E16">
        <v>4</v>
      </c>
    </row>
  </sheetData>
  <pageMargins left="0.7" right="0.7" top="0.75" bottom="0.75" header="0.3" footer="0.3"/>
  <pageSetup paperSize="9" orientation="portrait" r:id="rId2"/>
  <headerFooter>
    <oddHeader>&amp;L&amp;"Calibri"&amp;12&amp;K008000 SC Classification:GENERAL BUSINESS\Other General Business&amp;1#_x000D_</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theme="1" tint="0.249977111117893"/>
  </sheetPr>
  <dimension ref="B2:H16"/>
  <sheetViews>
    <sheetView workbookViewId="0">
      <selection activeCell="E13" sqref="E13"/>
    </sheetView>
  </sheetViews>
  <sheetFormatPr defaultColWidth="8.6640625" defaultRowHeight="14.4"/>
  <cols>
    <col min="1" max="1" width="5.44140625" customWidth="1"/>
    <col min="2" max="2" width="31.44140625" customWidth="1"/>
    <col min="3" max="3" width="14.6640625" customWidth="1"/>
    <col min="4" max="4" width="5.44140625" customWidth="1"/>
    <col min="5" max="5" width="33.44140625" customWidth="1"/>
    <col min="6" max="6" width="5.44140625" customWidth="1"/>
    <col min="7" max="7" width="22.44140625" bestFit="1" customWidth="1"/>
    <col min="8" max="8" width="5.44140625" customWidth="1"/>
  </cols>
  <sheetData>
    <row r="2" spans="2:8">
      <c r="B2" s="36" t="s">
        <v>1906</v>
      </c>
      <c r="C2" s="36" t="s">
        <v>1907</v>
      </c>
      <c r="E2" s="36" t="s">
        <v>1908</v>
      </c>
      <c r="G2" s="36" t="s">
        <v>66</v>
      </c>
    </row>
    <row r="3" spans="2:8">
      <c r="B3" s="124" t="s">
        <v>1909</v>
      </c>
      <c r="C3" s="125" t="s">
        <v>1910</v>
      </c>
      <c r="D3" s="43"/>
      <c r="E3" s="124" t="s">
        <v>1043</v>
      </c>
      <c r="F3" s="43"/>
      <c r="G3" s="126" t="s">
        <v>539</v>
      </c>
      <c r="H3" s="43"/>
    </row>
    <row r="4" spans="2:8">
      <c r="B4" s="124" t="s">
        <v>1911</v>
      </c>
      <c r="C4" s="125" t="s">
        <v>1912</v>
      </c>
      <c r="D4" s="43"/>
      <c r="E4" s="124" t="s">
        <v>1098</v>
      </c>
      <c r="F4" s="43"/>
      <c r="G4" s="127" t="s">
        <v>511</v>
      </c>
      <c r="H4" s="43"/>
    </row>
    <row r="5" spans="2:8">
      <c r="B5" s="124" t="s">
        <v>1913</v>
      </c>
      <c r="C5" s="125" t="s">
        <v>1914</v>
      </c>
      <c r="D5" s="43"/>
      <c r="E5" s="124" t="s">
        <v>1045</v>
      </c>
      <c r="F5" s="43"/>
      <c r="G5" s="127" t="s">
        <v>1915</v>
      </c>
      <c r="H5" s="43"/>
    </row>
    <row r="6" spans="2:8">
      <c r="B6" s="124" t="s">
        <v>1916</v>
      </c>
      <c r="C6" s="125" t="s">
        <v>1917</v>
      </c>
      <c r="D6" s="43"/>
      <c r="E6" s="124" t="s">
        <v>1048</v>
      </c>
      <c r="F6" s="43"/>
      <c r="G6" s="127" t="s">
        <v>1918</v>
      </c>
      <c r="H6" s="43"/>
    </row>
    <row r="7" spans="2:8">
      <c r="B7" s="124" t="s">
        <v>1919</v>
      </c>
      <c r="C7" s="125" t="s">
        <v>1920</v>
      </c>
      <c r="D7" s="43"/>
      <c r="E7" s="124" t="s">
        <v>1049</v>
      </c>
      <c r="F7" s="43"/>
      <c r="G7" s="128" t="s">
        <v>1921</v>
      </c>
      <c r="H7" s="43"/>
    </row>
    <row r="8" spans="2:8">
      <c r="B8" s="124" t="s">
        <v>1922</v>
      </c>
      <c r="C8" s="125" t="s">
        <v>1923</v>
      </c>
      <c r="D8" s="43"/>
      <c r="E8" s="124" t="s">
        <v>1073</v>
      </c>
      <c r="F8" s="43"/>
      <c r="G8" s="43"/>
      <c r="H8" s="43"/>
    </row>
    <row r="9" spans="2:8">
      <c r="B9" s="124" t="s">
        <v>141</v>
      </c>
      <c r="C9" s="125" t="s">
        <v>1924</v>
      </c>
      <c r="D9" s="43"/>
      <c r="E9" s="124" t="s">
        <v>1925</v>
      </c>
      <c r="F9" s="43"/>
      <c r="G9" s="43"/>
      <c r="H9" s="43"/>
    </row>
    <row r="10" spans="2:8">
      <c r="B10" s="124" t="s">
        <v>1926</v>
      </c>
      <c r="C10" s="125" t="s">
        <v>1927</v>
      </c>
      <c r="D10" s="43"/>
      <c r="E10" s="124" t="s">
        <v>1050</v>
      </c>
      <c r="F10" s="43"/>
      <c r="G10" s="43"/>
      <c r="H10" s="43"/>
    </row>
    <row r="11" spans="2:8">
      <c r="B11" s="124" t="s">
        <v>1928</v>
      </c>
      <c r="C11" s="125" t="s">
        <v>1929</v>
      </c>
      <c r="D11" s="43"/>
      <c r="E11" s="124" t="s">
        <v>1053</v>
      </c>
      <c r="F11" s="43"/>
      <c r="G11" s="43"/>
      <c r="H11" s="43"/>
    </row>
    <row r="12" spans="2:8">
      <c r="B12" s="124" t="s">
        <v>1930</v>
      </c>
      <c r="C12" s="125" t="s">
        <v>1931</v>
      </c>
      <c r="D12" s="43"/>
      <c r="E12" s="124" t="s">
        <v>1054</v>
      </c>
      <c r="F12" s="43"/>
      <c r="G12" s="43"/>
      <c r="H12" s="43"/>
    </row>
    <row r="13" spans="2:8">
      <c r="B13" s="128" t="s">
        <v>1932</v>
      </c>
      <c r="C13" s="129" t="s">
        <v>1933</v>
      </c>
      <c r="D13" s="43"/>
      <c r="E13" s="124" t="s">
        <v>1077</v>
      </c>
      <c r="F13" s="43"/>
      <c r="G13" s="43"/>
      <c r="H13" s="43"/>
    </row>
    <row r="14" spans="2:8">
      <c r="B14" s="43"/>
      <c r="C14" s="43"/>
      <c r="D14" s="43"/>
      <c r="E14" s="124" t="s">
        <v>1081</v>
      </c>
      <c r="F14" s="43"/>
      <c r="G14" s="43"/>
      <c r="H14" s="43"/>
    </row>
    <row r="15" spans="2:8">
      <c r="E15" s="124" t="s">
        <v>1055</v>
      </c>
    </row>
    <row r="16" spans="2:8">
      <c r="E16" s="128" t="s">
        <v>1056</v>
      </c>
    </row>
  </sheetData>
  <pageMargins left="0.7" right="0.7" top="0.75" bottom="0.75" header="0.3" footer="0.3"/>
  <pageSetup paperSize="9" orientation="portrait" r:id="rId1"/>
  <headerFooter>
    <oddHeader>&amp;L&amp;"Calibri"&amp;12&amp;K008000 SC Classification:GENERAL BUSINESS\Other General Business&amp;1#_x000D_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5a187b51-3738-4a13-b508-93f9b6ef67f4">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DAF5CEB25BE754BB29797FF27B49030" ma:contentTypeVersion="10" ma:contentTypeDescription="Create a new document." ma:contentTypeScope="" ma:versionID="15300a59b4ce7e64a76d970269f7715e">
  <xsd:schema xmlns:xsd="http://www.w3.org/2001/XMLSchema" xmlns:xs="http://www.w3.org/2001/XMLSchema" xmlns:p="http://schemas.microsoft.com/office/2006/metadata/properties" xmlns:ns2="5a187b51-3738-4a13-b508-93f9b6ef67f4" targetNamespace="http://schemas.microsoft.com/office/2006/metadata/properties" ma:root="true" ma:fieldsID="527ffa0453ee2d2b88857999499c7e86" ns2:_="">
    <xsd:import namespace="5a187b51-3738-4a13-b508-93f9b6ef67f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lcf76f155ced4ddcb4097134ff3c332f"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187b51-3738-4a13-b508-93f9b6ef67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53c16f8c-67f9-44bd-8484-a60bdff8e403"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822E001-FBA9-4B87-ADB2-439CE0365C8D}">
  <ds:schemaRefs>
    <ds:schemaRef ds:uri="http://schemas.microsoft.com/office/2006/documentManagement/types"/>
    <ds:schemaRef ds:uri="http://purl.org/dc/terms/"/>
    <ds:schemaRef ds:uri="http://schemas.openxmlformats.org/package/2006/metadata/core-properties"/>
    <ds:schemaRef ds:uri="http://schemas.microsoft.com/office/infopath/2007/PartnerControls"/>
    <ds:schemaRef ds:uri="http://schemas.microsoft.com/office/2006/metadata/properties"/>
    <ds:schemaRef ds:uri="http://purl.org/dc/elements/1.1/"/>
    <ds:schemaRef ds:uri="http://purl.org/dc/dcmitype/"/>
    <ds:schemaRef ds:uri="5a187b51-3738-4a13-b508-93f9b6ef67f4"/>
    <ds:schemaRef ds:uri="http://www.w3.org/XML/1998/namespace"/>
  </ds:schemaRefs>
</ds:datastoreItem>
</file>

<file path=customXml/itemProps2.xml><?xml version="1.0" encoding="utf-8"?>
<ds:datastoreItem xmlns:ds="http://schemas.openxmlformats.org/officeDocument/2006/customXml" ds:itemID="{091A4ABB-E35C-4E7B-8956-134AB683C1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a187b51-3738-4a13-b508-93f9b6ef67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1F4346C-6827-4F11-A274-43D70F750C04}">
  <ds:schemaRefs>
    <ds:schemaRef ds:uri="http://schemas.microsoft.com/DataMashup"/>
  </ds:schemaRefs>
</ds:datastoreItem>
</file>

<file path=customXml/itemProps4.xml><?xml version="1.0" encoding="utf-8"?>
<ds:datastoreItem xmlns:ds="http://schemas.openxmlformats.org/officeDocument/2006/customXml" ds:itemID="{75FAFE0C-1453-4F8A-9E1B-1E2502C5363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19</vt:i4>
      </vt:variant>
    </vt:vector>
  </HeadingPairs>
  <TitlesOfParts>
    <vt:vector size="46" baseType="lpstr">
      <vt:lpstr>Instructions</vt:lpstr>
      <vt:lpstr>Event Setup</vt:lpstr>
      <vt:lpstr>Version Release Notes</vt:lpstr>
      <vt:lpstr>LOC Requirement</vt:lpstr>
      <vt:lpstr>TEAP Data Entry</vt:lpstr>
      <vt:lpstr>Pivot TVs</vt:lpstr>
      <vt:lpstr>Pivot Sim</vt:lpstr>
      <vt:lpstr>Pivot NW</vt:lpstr>
      <vt:lpstr>Pivot EU</vt:lpstr>
      <vt:lpstr>Pivot PR</vt:lpstr>
      <vt:lpstr>Pivot LOC</vt:lpstr>
      <vt:lpstr>Contact</vt:lpstr>
      <vt:lpstr>Customer Journey</vt:lpstr>
      <vt:lpstr>Pivot Table</vt:lpstr>
      <vt:lpstr>No use-Pivot Type</vt:lpstr>
      <vt:lpstr>No use-Internet Service Config</vt:lpstr>
      <vt:lpstr>Network Requirements</vt:lpstr>
      <vt:lpstr>TEAP Report - FAs</vt:lpstr>
      <vt:lpstr>TEAP Report - LOC</vt:lpstr>
      <vt:lpstr>TEAP Report - Event Tech</vt:lpstr>
      <vt:lpstr>VITM Checklist</vt:lpstr>
      <vt:lpstr>Packing List - Outbound</vt:lpstr>
      <vt:lpstr>Packing List - Return</vt:lpstr>
      <vt:lpstr>Products and Services</vt:lpstr>
      <vt:lpstr>Event IT Kit-list</vt:lpstr>
      <vt:lpstr>Packing List - SOURCE</vt:lpstr>
      <vt:lpstr>Lookups</vt:lpstr>
      <vt:lpstr>codecheck</vt:lpstr>
      <vt:lpstr>de_curr_qty</vt:lpstr>
      <vt:lpstr>de_fp_code</vt:lpstr>
      <vt:lpstr>de_venue</vt:lpstr>
      <vt:lpstr>lu_entity</vt:lpstr>
      <vt:lpstr>lu_tournament_table</vt:lpstr>
      <vt:lpstr>lu_tournaments</vt:lpstr>
      <vt:lpstr>lu_vlan</vt:lpstr>
      <vt:lpstr>'Customer Journey'!Print_Area</vt:lpstr>
      <vt:lpstr>Instructions!Print_Area</vt:lpstr>
      <vt:lpstr>'No use-Internet Service Config'!Print_Area</vt:lpstr>
      <vt:lpstr>'Version Release Notes'!Print_Area</vt:lpstr>
      <vt:lpstr>ps_headers</vt:lpstr>
      <vt:lpstr>ps_table</vt:lpstr>
      <vt:lpstr>su_host_country</vt:lpstr>
      <vt:lpstr>su_short_name</vt:lpstr>
      <vt:lpstr>su_tournament</vt:lpstr>
      <vt:lpstr>su_version</vt:lpstr>
      <vt:lpstr>su_year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Smith, Shane (FIFA)</dc:creator>
  <cp:keywords/>
  <dc:description/>
  <cp:lastModifiedBy>Pavel Kornilov</cp:lastModifiedBy>
  <cp:revision/>
  <cp:lastPrinted>2025-11-17T07:06:42Z</cp:lastPrinted>
  <dcterms:created xsi:type="dcterms:W3CDTF">2018-10-18T08:03:38Z</dcterms:created>
  <dcterms:modified xsi:type="dcterms:W3CDTF">2025-11-26T10:36:45Z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0x010100BDAF5CEB25BE754BB29797FF27B49030</vt:lpwstr>
  </property>
  <property fmtid="{D5CDD505-2E9C-101B-9397-08002B2CF9AE}" pid="3" name="xd_Signature">
    <vt:bool>false</vt:bool>
  </property>
  <property fmtid="{D5CDD505-2E9C-101B-9397-08002B2CF9AE}" pid="4" name="xd_ProgID">
    <vt:lpwstr/>
  </property>
  <property fmtid="{D5CDD505-2E9C-101B-9397-08002B2CF9AE}" pid="5" name="TemplateUrl">
    <vt:lpwstr/>
  </property>
  <property fmtid="{D5CDD505-2E9C-101B-9397-08002B2CF9AE}" pid="6" name="ComplianceAssetId">
    <vt:lpwstr/>
  </property>
  <property fmtid="{D5CDD505-2E9C-101B-9397-08002B2CF9AE}" pid="7" name="_ExtendedDescription">
    <vt:lpwstr/>
  </property>
  <property fmtid="{D5CDD505-2E9C-101B-9397-08002B2CF9AE}" pid="8" name="TriggerFlowInfo">
    <vt:lpwstr/>
  </property>
  <property fmtid="{D5CDD505-2E9C-101B-9397-08002B2CF9AE}" pid="9" name="MediaServiceImageTags">
    <vt:lpwstr/>
  </property>
  <property fmtid="{D5CDD505-2E9C-101B-9397-08002B2CF9AE}" pid="10" name="MSIP_Label_b8c30eeb-121d-4964-af0b-90ef6f9271bd_Enabled">
    <vt:lpwstr>true</vt:lpwstr>
  </property>
  <property fmtid="{D5CDD505-2E9C-101B-9397-08002B2CF9AE}" pid="11" name="MSIP_Label_b8c30eeb-121d-4964-af0b-90ef6f9271bd_SetDate">
    <vt:lpwstr>2025-09-16T07:13:01Z</vt:lpwstr>
  </property>
  <property fmtid="{D5CDD505-2E9C-101B-9397-08002B2CF9AE}" pid="12" name="MSIP_Label_b8c30eeb-121d-4964-af0b-90ef6f9271bd_Method">
    <vt:lpwstr>Privileged</vt:lpwstr>
  </property>
  <property fmtid="{D5CDD505-2E9C-101B-9397-08002B2CF9AE}" pid="13" name="MSIP_Label_b8c30eeb-121d-4964-af0b-90ef6f9271bd_Name">
    <vt:lpwstr>Other General Business</vt:lpwstr>
  </property>
  <property fmtid="{D5CDD505-2E9C-101B-9397-08002B2CF9AE}" pid="14" name="MSIP_Label_b8c30eeb-121d-4964-af0b-90ef6f9271bd_SiteId">
    <vt:lpwstr>993ca615-6bd5-4d1c-8a7b-a1a99efc64b7</vt:lpwstr>
  </property>
  <property fmtid="{D5CDD505-2E9C-101B-9397-08002B2CF9AE}" pid="15" name="MSIP_Label_b8c30eeb-121d-4964-af0b-90ef6f9271bd_ActionId">
    <vt:lpwstr>9769a4c7-4d9d-4e74-b2fe-f869d65ccc4e</vt:lpwstr>
  </property>
  <property fmtid="{D5CDD505-2E9C-101B-9397-08002B2CF9AE}" pid="16" name="MSIP_Label_b8c30eeb-121d-4964-af0b-90ef6f9271bd_ContentBits">
    <vt:lpwstr>1</vt:lpwstr>
  </property>
  <property fmtid="{D5CDD505-2E9C-101B-9397-08002B2CF9AE}" pid="17" name="MSIP_Label_b8c30eeb-121d-4964-af0b-90ef6f9271bd_Tag">
    <vt:lpwstr>10, 0, 1, 1</vt:lpwstr>
  </property>
</Properties>
</file>