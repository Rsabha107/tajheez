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namedSheetViews/namedSheetView1.xml" ContentType="application/vnd.ms-excel.namedsheetviews+xml"/>
  <Override PartName="/xl/pivotTables/pivotTable3.xml" ContentType="application/vnd.openxmlformats-officedocument.spreadsheetml.pivotTable+xml"/>
  <Override PartName="/xl/namedSheetViews/namedSheetView2.xml" ContentType="application/vnd.ms-excel.namedsheetview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pivotTables/pivotTable8.xml" ContentType="application/vnd.openxmlformats-officedocument.spreadsheetml.pivotTable+xml"/>
  <Override PartName="/xl/tables/table3.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namedSheetViews/namedSheetView3.xml" ContentType="application/vnd.ms-excel.namedsheetviews+xml"/>
  <Override PartName="/xl/pivotTables/pivotTable11.xml" ContentType="application/vnd.openxmlformats-officedocument.spreadsheetml.pivotTable+xml"/>
  <Override PartName="/xl/namedSheetViews/namedSheetView4.xml" ContentType="application/vnd.ms-excel.namedsheetviews+xml"/>
  <Override PartName="/xl/pivotTables/pivotTable12.xml" ContentType="application/vnd.openxmlformats-officedocument.spreadsheetml.pivotTable+xml"/>
  <Override PartName="/xl/namedSheetViews/namedSheetView5.xml" ContentType="application/vnd.ms-excel.namedsheetviews+xml"/>
  <Override PartName="/xl/pivotTables/pivotTable13.xml" ContentType="application/vnd.openxmlformats-officedocument.spreadsheetml.pivotTable+xml"/>
  <Override PartName="/xl/namedSheetViews/namedSheetView6.xml" ContentType="application/vnd.ms-excel.namedsheetviews+xml"/>
  <Override PartName="/xl/pivotTables/pivotTable14.xml" ContentType="application/vnd.openxmlformats-officedocument.spreadsheetml.pivotTable+xml"/>
  <Override PartName="/xl/namedSheetViews/namedSheetView7.xml" ContentType="application/vnd.ms-excel.namedsheetviews+xml"/>
  <Override PartName="/xl/pivotTables/pivotTable15.xml" ContentType="application/vnd.openxmlformats-officedocument.spreadsheetml.pivotTable+xml"/>
  <Override PartName="/xl/namedSheetViews/namedSheetView8.xml" ContentType="application/vnd.ms-excel.namedsheetviews+xml"/>
  <Override PartName="/xl/pivotTables/pivotTable16.xml" ContentType="application/vnd.openxmlformats-officedocument.spreadsheetml.pivotTable+xml"/>
  <Override PartName="/xl/namedSheetViews/namedSheetView9.xml" ContentType="application/vnd.ms-excel.namedsheetviews+xml"/>
  <Override PartName="/xl/pivotTables/pivotTable17.xml" ContentType="application/vnd.openxmlformats-officedocument.spreadsheetml.pivotTable+xml"/>
  <Override PartName="/xl/namedSheetViews/namedSheetView10.xml" ContentType="application/vnd.ms-excel.namedsheetviews+xml"/>
  <Override PartName="/xl/pivotTables/pivotTable18.xml" ContentType="application/vnd.openxmlformats-officedocument.spreadsheetml.pivotTable+xml"/>
  <Override PartName="/xl/namedSheetViews/namedSheetView11.xml" ContentType="application/vnd.ms-excel.namedsheetviews+xml"/>
  <Override PartName="/xl/pivotTables/pivotTable19.xml" ContentType="application/vnd.openxmlformats-officedocument.spreadsheetml.pivotTable+xml"/>
  <Override PartName="/xl/namedSheetViews/namedSheetView12.xml" ContentType="application/vnd.ms-excel.namedsheetviews+xml"/>
  <Override PartName="/xl/pivotTables/pivotTable20.xml" ContentType="application/vnd.openxmlformats-officedocument.spreadsheetml.pivotTable+xml"/>
  <Override PartName="/xl/namedSheetViews/namedSheetView13.xml" ContentType="application/vnd.ms-excel.namedsheetviews+xml"/>
  <Override PartName="/xl/pivotTables/pivotTable21.xml" ContentType="application/vnd.openxmlformats-officedocument.spreadsheetml.pivotTable+xml"/>
  <Override PartName="/xl/namedSheetViews/namedSheetView14.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slicers/slicer1.xml" ContentType="application/vnd.ms-excel.slicer+xml"/>
  <Override PartName="/xl/namedSheetViews/namedSheetView15.xml" ContentType="application/vnd.ms-excel.namedsheetviews+xml"/>
  <Override PartName="/xl/pivotTables/pivotTable22.xml" ContentType="application/vnd.openxmlformats-officedocument.spreadsheetml.pivotTable+xml"/>
  <Override PartName="/xl/namedSheetViews/namedSheetView16.xml" ContentType="application/vnd.ms-excel.namedsheetviews+xml"/>
  <Override PartName="/xl/pivotTables/pivotTable23.xml" ContentType="application/vnd.openxmlformats-officedocument.spreadsheetml.pivotTable+xml"/>
  <Override PartName="/xl/namedSheetViews/namedSheetView17.xml" ContentType="application/vnd.ms-excel.namedsheetviews+xml"/>
  <Override PartName="/xl/tables/table7.xml" ContentType="application/vnd.openxmlformats-officedocument.spreadsheetml.table+xml"/>
  <Override PartName="/xl/namedSheetViews/namedSheetView18.xml" ContentType="application/vnd.ms-excel.namedsheetviews+xml"/>
  <Override PartName="/xl/tables/table8.xml" ContentType="application/vnd.openxmlformats-officedocument.spreadsheetml.table+xml"/>
  <Override PartName="/xl/tables/table9.xml" ContentType="application/vnd.openxmlformats-officedocument.spreadsheetml.table+xml"/>
  <Override PartName="/xl/namedSheetViews/namedSheetView19.xml" ContentType="application/vnd.ms-excel.namedsheetviews+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10.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defaultThemeVersion="166925"/>
  <mc:AlternateContent xmlns:mc="http://schemas.openxmlformats.org/markup-compatibility/2006">
    <mc:Choice Requires="x15">
      <x15ac:absPath xmlns:x15ac="http://schemas.microsoft.com/office/spreadsheetml/2010/11/ac" url="https://scqa0.sharepoint.com/sites/EventICTplanning-Legacy-FIFAU17/Shared Documents/04. FAC25/IT Requirements/"/>
    </mc:Choice>
  </mc:AlternateContent>
  <xr:revisionPtr revIDLastSave="7720" documentId="13_ncr:1_{0FB352A6-1826-419B-99F0-22A392FA3A2E}" xr6:coauthVersionLast="47" xr6:coauthVersionMax="47" xr10:uidLastSave="{FEF8479F-D8EC-4A1C-9E63-CE912A0D251B}"/>
  <bookViews>
    <workbookView xWindow="-30" yWindow="-16320" windowWidth="29040" windowHeight="15720" firstSheet="25" activeTab="25" xr2:uid="{3869475A-8260-4F31-BD68-357919329F32}"/>
  </bookViews>
  <sheets>
    <sheet name="U17 TEAP IMPORT" sheetId="26" state="hidden" r:id="rId1"/>
    <sheet name="Services per FA with Activa (3)" sheetId="14" state="hidden" r:id="rId2"/>
    <sheet name="Service Per Owner" sheetId="9" state="hidden" r:id="rId3"/>
    <sheet name="Services per FA with Activation" sheetId="8" state="hidden" r:id="rId4"/>
    <sheet name="Hotels" sheetId="54" r:id="rId5"/>
    <sheet name="974" sheetId="53" r:id="rId6"/>
    <sheet name="Telco_NEW" sheetId="50" r:id="rId7"/>
    <sheet name="LUS" sheetId="49" r:id="rId8"/>
    <sheet name="Detail1" sheetId="52" state="hidden" r:id="rId9"/>
    <sheet name="AV_NEW" sheetId="47" r:id="rId10"/>
    <sheet name="Sheet1" sheetId="55" r:id="rId11"/>
    <sheet name="EU_NEW" sheetId="48" r:id="rId12"/>
    <sheet name="EU Report" sheetId="46" state="hidden" r:id="rId13"/>
    <sheet name="AV Report" sheetId="44" state="hidden" r:id="rId14"/>
    <sheet name="FA Report" sheetId="43" state="hidden" r:id="rId15"/>
    <sheet name="CMP Report" sheetId="41" state="hidden" r:id="rId16"/>
    <sheet name="BRO Report" sheetId="40" state="hidden" r:id="rId17"/>
    <sheet name="Printers Export" sheetId="38" state="hidden" r:id="rId18"/>
    <sheet name="UDAC Report for SM" sheetId="27" state="hidden" r:id="rId19"/>
    <sheet name="Telco Report" sheetId="36" state="hidden" r:id="rId20"/>
    <sheet name="MEO Report" sheetId="42" state="hidden" r:id="rId21"/>
    <sheet name="AlBidda Requirements" sheetId="34" state="hidden" r:id="rId22"/>
    <sheet name="ECS NW Report" sheetId="33" state="hidden" r:id="rId23"/>
    <sheet name="NW OVL Locations" sheetId="37" r:id="rId24"/>
    <sheet name="DataTables" sheetId="4" r:id="rId25"/>
    <sheet name="Requirements" sheetId="1" r:id="rId26"/>
    <sheet name="WKF Stadia" sheetId="39" state="hidden" r:id="rId27"/>
    <sheet name="UDAC Report" sheetId="24" state="hidden" r:id="rId28"/>
    <sheet name="Solutions" sheetId="5" state="hidden" r:id="rId29"/>
    <sheet name="Contact" sheetId="2" r:id="rId30"/>
    <sheet name="RSP,AND,TS Report" sheetId="35" state="hidden" r:id="rId31"/>
    <sheet name="Services For Dropdown" sheetId="6" state="hidden" r:id="rId32"/>
    <sheet name="Solutions DropDown" sheetId="7" state="hidden" r:id="rId33"/>
    <sheet name="VAHO" sheetId="30" state="hidden" r:id="rId34"/>
    <sheet name="Printers" sheetId="32" state="hidden" r:id="rId35"/>
    <sheet name="Venue Activation" sheetId="31" state="hidden" r:id="rId36"/>
  </sheets>
  <externalReferences>
    <externalReference r:id="rId37"/>
    <externalReference r:id="rId38"/>
  </externalReferences>
  <definedNames>
    <definedName name="_xlnm._FilterDatabase" localSheetId="24" hidden="1">DataTables!$B$2:$D$58</definedName>
    <definedName name="_xlnm._FilterDatabase" localSheetId="25" hidden="1">Requirements!$F$1243:$F$1243</definedName>
    <definedName name="AV">'Services For Dropdown'!$A$2:$A$27</definedName>
    <definedName name="AV_Portable_Speaker">'Solutions DropDown'!$C$17:$C$57</definedName>
    <definedName name="AV_Special_Request">'Solutions DropDown'!$D$17:$D$57</definedName>
    <definedName name="AV_TV_Large_Standalone">'Solutions DropDown'!$B$17:$B$57</definedName>
    <definedName name="Category">'[1]Data for picklists'!$A$1:$G$1</definedName>
    <definedName name="CATV_IPTV">'Services For Dropdown'!$B$2:$B$27</definedName>
    <definedName name="EU_Barcode_scanner">'Solutions DropDown'!$G$17:$G$57</definedName>
    <definedName name="EU_Equipment">'Services For Dropdown'!$C$2:$C$27</definedName>
    <definedName name="EU_Laptop_Event_Operations">'Solutions DropDown'!$H$17:$H$57</definedName>
    <definedName name="EU_Monitor">'Solutions DropDown'!$I$17:$I$57</definedName>
    <definedName name="EU_Special_Request">'Solutions DropDown'!$J$17:$J$57</definedName>
    <definedName name="FA" localSheetId="5">t_FA[FA]</definedName>
    <definedName name="FA" localSheetId="21">t_FA[FA]</definedName>
    <definedName name="FA" localSheetId="13">t_FA[FA]</definedName>
    <definedName name="FA" localSheetId="16">t_FA[FA]</definedName>
    <definedName name="FA" localSheetId="15">t_FA[FA]</definedName>
    <definedName name="FA" localSheetId="22">t_FA[FA]</definedName>
    <definedName name="FA" localSheetId="12">t_FA[FA]</definedName>
    <definedName name="FA" localSheetId="11">t_FA[FA]</definedName>
    <definedName name="FA" localSheetId="14">t_FA[FA]</definedName>
    <definedName name="FA" localSheetId="4">t_FA[FA]</definedName>
    <definedName name="FA" localSheetId="7">t_FA[FA]</definedName>
    <definedName name="FA" localSheetId="20">t_FA[FA]</definedName>
    <definedName name="FA" localSheetId="23">t_FA[FA]</definedName>
    <definedName name="FA" localSheetId="17">t_FA[FA]</definedName>
    <definedName name="FA" localSheetId="1">t_FA[FA]</definedName>
    <definedName name="FA" localSheetId="19">t_FA[FA]</definedName>
    <definedName name="FA" localSheetId="6">t_FA[FA]</definedName>
    <definedName name="FA" localSheetId="27">t_FA[FA]</definedName>
    <definedName name="FA" localSheetId="18">t_FA[FA]</definedName>
    <definedName name="FA" localSheetId="26">t_FA[FA]</definedName>
    <definedName name="FA">t_FA[FA]</definedName>
    <definedName name="ICT_Comment">IFERROR(VLOOKUP(Requirements!XFD1,[1]!t_ServiceCatalogue[[Code]:[Pre Comment]],4,FALSE),"")</definedName>
    <definedName name="l_Category" localSheetId="5">(t_ServiceCatalogue[Category])</definedName>
    <definedName name="l_Category" localSheetId="21">(t_ServiceCatalogue[Category])</definedName>
    <definedName name="l_Category" localSheetId="13">(t_ServiceCatalogue[Category])</definedName>
    <definedName name="l_Category" localSheetId="16">(t_ServiceCatalogue[Category])</definedName>
    <definedName name="l_Category" localSheetId="15">(t_ServiceCatalogue[Category])</definedName>
    <definedName name="l_Category" localSheetId="22">(t_ServiceCatalogue[Category])</definedName>
    <definedName name="l_Category" localSheetId="12">(t_ServiceCatalogue[Category])</definedName>
    <definedName name="l_Category" localSheetId="11">(t_ServiceCatalogue[Category])</definedName>
    <definedName name="l_Category" localSheetId="14">(t_ServiceCatalogue[Category])</definedName>
    <definedName name="l_Category" localSheetId="4">(t_ServiceCatalogue[Category])</definedName>
    <definedName name="l_Category" localSheetId="7">(t_ServiceCatalogue[Category])</definedName>
    <definedName name="l_Category" localSheetId="20">(t_ServiceCatalogue[Category])</definedName>
    <definedName name="l_Category" localSheetId="23">(t_ServiceCatalogue[Category])</definedName>
    <definedName name="l_Category" localSheetId="17">(t_ServiceCatalogue[Category])</definedName>
    <definedName name="l_Category" localSheetId="1">(t_ServiceCatalogue[Category])</definedName>
    <definedName name="l_Category" localSheetId="19">(t_ServiceCatalogue[Category])</definedName>
    <definedName name="l_Category" localSheetId="6">(t_ServiceCatalogue[Category])</definedName>
    <definedName name="l_Category" localSheetId="27">(t_ServiceCatalogue[Category])</definedName>
    <definedName name="l_Category" localSheetId="18">(t_ServiceCatalogue[Category])</definedName>
    <definedName name="l_Category" localSheetId="26">(t_ServiceCatalogue[Category])</definedName>
    <definedName name="l_Category">(t_ServiceCatalogue[Category])</definedName>
    <definedName name="lu_entity">[2]Lookups!$G$3:$G$7</definedName>
    <definedName name="lu_tournament_table">[2]Lookups!$B$3:$C$13</definedName>
    <definedName name="lu_tournaments">[2]Lookups!$B$3:$B$13</definedName>
    <definedName name="lu_vlan">[2]Lookups!$E$3:$E$16</definedName>
    <definedName name="Network">'Services For Dropdown'!$D$2:$D$27</definedName>
    <definedName name="Network_Special_Request">'Solutions DropDown'!$L$17:$L$57</definedName>
    <definedName name="Network_Wired_Port_General_Internet_">'Solutions DropDown'!$K$17:$K$57</definedName>
    <definedName name="_xlnm.Print_Area" localSheetId="21">'AlBidda Requirements'!$A$1:$F$199</definedName>
    <definedName name="_xlnm.Print_Area" localSheetId="13">'AV Report'!$A$1:$F$199</definedName>
    <definedName name="_xlnm.Print_Area" localSheetId="16">'BRO Report'!$A$1:$F$199</definedName>
    <definedName name="_xlnm.Print_Area" localSheetId="15">'CMP Report'!$A$1:$F$199</definedName>
    <definedName name="_xlnm.Print_Area" localSheetId="22">'ECS NW Report'!$A$1:$F$199</definedName>
    <definedName name="_xlnm.Print_Area" localSheetId="12">'EU Report'!$A$1:$F$200</definedName>
    <definedName name="_xlnm.Print_Area" localSheetId="14">'FA Report'!$A$1:$F$199</definedName>
    <definedName name="_xlnm.Print_Area" localSheetId="20">'MEO Report'!$A$1:$F$199</definedName>
    <definedName name="_xlnm.Print_Area" localSheetId="23">'NW OVL Locations'!$A$1:$F$199</definedName>
    <definedName name="_xlnm.Print_Area" localSheetId="17">'Printers Export'!$A$1:$F$199</definedName>
    <definedName name="_xlnm.Print_Area" localSheetId="3">'Services per FA with Activation'!$A$1:$F$199</definedName>
    <definedName name="_xlnm.Print_Area" localSheetId="19">'Telco Report'!$A$1:$F$199</definedName>
    <definedName name="_xlnm.Print_Area" localSheetId="27">'UDAC Report'!$A$1:$F$199</definedName>
    <definedName name="_xlnm.Print_Area" localSheetId="18">'UDAC Report for SM'!$A$1:$F$199</definedName>
    <definedName name="_xlnm.Print_Area" localSheetId="26">'WKF Stadia'!$A$1:$F$199</definedName>
    <definedName name="Printing">'Services For Dropdown'!$E$2:$E$27</definedName>
    <definedName name="Printing_Access_to_Printer">'Solutions DropDown'!$O$17:$O$57</definedName>
    <definedName name="Printing_Dedicated_Colour_A3">'Solutions DropDown'!$N$17:$N$57</definedName>
    <definedName name="Printing_Dedicated_Colour_A4">'Solutions DropDown'!$M$17:$M$57</definedName>
    <definedName name="Printing_Special_Request">'Solutions DropDown'!$P$17:$P$57</definedName>
    <definedName name="ps_headers">'[2]Products and Services'!$A$1:$N$1</definedName>
    <definedName name="ps_table">'[2]Products and Services'!$A$2:$N$130</definedName>
    <definedName name="ServiceOwners" localSheetId="5">t_ServiceOwner[Title]</definedName>
    <definedName name="ServiceOwners" localSheetId="21">t_ServiceOwner[Title]</definedName>
    <definedName name="ServiceOwners" localSheetId="13">t_ServiceOwner[Title]</definedName>
    <definedName name="ServiceOwners" localSheetId="16">t_ServiceOwner[Title]</definedName>
    <definedName name="ServiceOwners" localSheetId="15">t_ServiceOwner[Title]</definedName>
    <definedName name="ServiceOwners" localSheetId="22">t_ServiceOwner[Title]</definedName>
    <definedName name="ServiceOwners" localSheetId="12">t_ServiceOwner[Title]</definedName>
    <definedName name="ServiceOwners" localSheetId="11">t_ServiceOwner[Title]</definedName>
    <definedName name="ServiceOwners" localSheetId="14">t_ServiceOwner[Title]</definedName>
    <definedName name="ServiceOwners" localSheetId="4">t_ServiceOwner[Title]</definedName>
    <definedName name="ServiceOwners" localSheetId="7">t_ServiceOwner[Title]</definedName>
    <definedName name="ServiceOwners" localSheetId="20">t_ServiceOwner[Title]</definedName>
    <definedName name="ServiceOwners" localSheetId="23">t_ServiceOwner[Title]</definedName>
    <definedName name="ServiceOwners" localSheetId="17">t_ServiceOwner[Title]</definedName>
    <definedName name="ServiceOwners" localSheetId="2">t_ServiceOwner[Title]</definedName>
    <definedName name="ServiceOwners" localSheetId="1">t_ServiceOwner[Title]</definedName>
    <definedName name="ServiceOwners" localSheetId="19">t_ServiceOwner[Title]</definedName>
    <definedName name="ServiceOwners" localSheetId="6">t_ServiceOwner[Title]</definedName>
    <definedName name="ServiceOwners" localSheetId="27">t_ServiceOwner[Title]</definedName>
    <definedName name="ServiceOwners" localSheetId="18">t_ServiceOwner[Title]</definedName>
    <definedName name="ServiceOwners" localSheetId="26">t_ServiceOwner[Title]</definedName>
    <definedName name="ServiceOwners">t_ServiceOwner[Title]</definedName>
    <definedName name="SIM_Telco">'Services For Dropdown'!$F$2:$F$27</definedName>
    <definedName name="Slicer_Delivered">#N/A</definedName>
    <definedName name="Slicer_FA">#N/A</definedName>
    <definedName name="Slicer_Owner">#N/A</definedName>
    <definedName name="Slicer_Venue">#N/A</definedName>
    <definedName name="Slicer_VTM_Status">#N/A</definedName>
    <definedName name="Status">'Solutions DropDown'!$K$3:$K$11</definedName>
    <definedName name="su_host_country">'[2]Event Setup'!$D$8</definedName>
    <definedName name="su_short_name">'[2]Event Setup'!$D$6</definedName>
    <definedName name="su_tournament">'[2]Event Setup'!$D$4</definedName>
    <definedName name="su_venues">OFFSET('[2]Event Setup'!$D$14,0,0,COUNTA('[2]Event Setup'!$D$14:$D$53),1)</definedName>
    <definedName name="su_version">'[2]Event Setup'!$D$12</definedName>
    <definedName name="su_year">'[2]Event Setup'!$D$10</definedName>
    <definedName name="Telco_Special_Request">'Solutions DropDown'!$S$17:$S$57</definedName>
    <definedName name="Telecom_MiFi_Router">'Solutions DropDown'!$Q$17:$Q$57</definedName>
    <definedName name="Telecom_SIM_Data_Only">'Solutions DropDown'!$R$17:$R$57</definedName>
    <definedName name="TV_Large_IPTV">'Solutions DropDown'!$E$17:$E$57</definedName>
    <definedName name="TV_Media_Tribunes_CATV">'Solutions DropDown'!$F$17:$F$57</definedName>
    <definedName name="Venues" localSheetId="5">_xlfn.UNIQUE(t_fac25_requirements[Venue])</definedName>
    <definedName name="Venues" localSheetId="21">_xlfn.UNIQUE(t_fac25_requirements[Venue])</definedName>
    <definedName name="Venues" localSheetId="13">_xlfn.UNIQUE(t_fac25_requirements[Venue])</definedName>
    <definedName name="Venues" localSheetId="16">_xlfn.UNIQUE(t_fac25_requirements[Venue])</definedName>
    <definedName name="Venues" localSheetId="15">_xlfn.UNIQUE(t_fac25_requirements[Venue])</definedName>
    <definedName name="Venues" localSheetId="22">_xlfn.UNIQUE(t_fac25_requirements[Venue])</definedName>
    <definedName name="Venues" localSheetId="12">_xlfn.UNIQUE(t_fac25_requirements[Venue])</definedName>
    <definedName name="Venues" localSheetId="11">_xlfn.UNIQUE(t_fac25_requirements[Venue])</definedName>
    <definedName name="Venues" localSheetId="14">_xlfn.UNIQUE(t_fac25_requirements[Venue])</definedName>
    <definedName name="Venues" localSheetId="4">_xlfn.UNIQUE(t_fac25_requirements[Venue])</definedName>
    <definedName name="Venues" localSheetId="7">_xlfn.UNIQUE(t_fac25_requirements[Venue])</definedName>
    <definedName name="Venues" localSheetId="20">_xlfn.UNIQUE(t_fac25_requirements[Venue])</definedName>
    <definedName name="Venues" localSheetId="23">_xlfn.UNIQUE(t_fac25_requirements[Venue])</definedName>
    <definedName name="Venues" localSheetId="17">_xlfn.UNIQUE(t_fac25_requirements[Venue])</definedName>
    <definedName name="Venues" localSheetId="19">_xlfn.UNIQUE(t_fac25_requirements[Venue])</definedName>
    <definedName name="Venues" localSheetId="6">_xlfn.UNIQUE(t_fac25_requirements[Venue])</definedName>
    <definedName name="Venues" localSheetId="26">_xlfn.UNIQUE(t_fac25_requirements[Venue])</definedName>
    <definedName name="Venues">_xlfn.UNIQUE(t_fac25_requirements[Venue])</definedName>
    <definedName name="WiFi">'Services For Dropdown'!$G$2:$G$27</definedName>
    <definedName name="WiFi_Football">'Solutions DropDown'!$X$17:$X$57</definedName>
    <definedName name="WiFi_General_WiFi">'Solutions DropDown'!$T$17:$T$57</definedName>
    <definedName name="WiFi_HOS_WiFi">'Solutions DropDown'!$V$17:$V$57</definedName>
    <definedName name="WiFi_Media_WiFi">'Solutions DropDown'!$W$17:$W$57</definedName>
    <definedName name="WiFi_Mobile">'Solutions DropDown'!$Y$17:$Y$57</definedName>
    <definedName name="WiFi_VIP_WiFi">'Solutions DropDown'!$U$17:$U$57</definedName>
  </definedNames>
  <calcPr calcId="191028"/>
  <pivotCaches>
    <pivotCache cacheId="2337" r:id="rId3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0"/>
        <x14:slicerCache r:id="rId41"/>
        <x14:slicerCache r:id="rId42"/>
        <x14:slicerCache r:id="rId43"/>
        <x14:slicerCache r:id="rId4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1" i="1" l="1" a="1"/>
  <c r="D141" i="1" s="1"/>
  <c r="D1236" i="1"/>
  <c r="D1223" i="1" a="1"/>
  <c r="D1223" i="1" s="1"/>
  <c r="D1235" i="1"/>
  <c r="D1234" i="1"/>
  <c r="D1233" i="1"/>
  <c r="D1232" i="1"/>
  <c r="D1231" i="1"/>
  <c r="D1230" i="1"/>
  <c r="D1229" i="1"/>
  <c r="D1228" i="1"/>
  <c r="D1227" i="1"/>
  <c r="D1226" i="1"/>
  <c r="D1225" i="1"/>
  <c r="B1223" i="1" a="1"/>
  <c r="B1223" i="1" s="1"/>
  <c r="B1222" i="1" a="1"/>
  <c r="B1222" i="1" s="1"/>
  <c r="B1221" i="1" a="1"/>
  <c r="B1221" i="1" s="1"/>
  <c r="B1220" i="1" a="1"/>
  <c r="B1220" i="1" s="1"/>
  <c r="B1219" i="1" a="1"/>
  <c r="B1219" i="1" s="1"/>
  <c r="B1218" i="1" a="1"/>
  <c r="B1218" i="1" s="1"/>
  <c r="B1217" i="1" a="1"/>
  <c r="B1217" i="1" s="1"/>
  <c r="B1216" i="1" a="1"/>
  <c r="B1216" i="1" s="1"/>
  <c r="B1215" i="1" a="1"/>
  <c r="B1215" i="1" s="1"/>
  <c r="B1214" i="1" a="1"/>
  <c r="B1214" i="1" s="1"/>
  <c r="B1213" i="1" a="1"/>
  <c r="B1213" i="1" s="1"/>
  <c r="B1212" i="1" a="1"/>
  <c r="B1212" i="1" s="1"/>
  <c r="B1211" i="1" a="1"/>
  <c r="B1211" i="1" s="1"/>
  <c r="B1210" i="1" a="1"/>
  <c r="B1210" i="1" s="1"/>
  <c r="B1209" i="1" a="1"/>
  <c r="B1209" i="1" s="1"/>
  <c r="B1208" i="1" a="1"/>
  <c r="B1208" i="1" s="1"/>
  <c r="B1207" i="1" a="1"/>
  <c r="B1207" i="1" s="1"/>
  <c r="B1206" i="1" a="1"/>
  <c r="B1206" i="1" s="1"/>
  <c r="B1205" i="1" a="1"/>
  <c r="B1205" i="1" s="1"/>
  <c r="B1204" i="1" a="1"/>
  <c r="B1204" i="1" s="1"/>
  <c r="B1203" i="1" a="1"/>
  <c r="B1203" i="1" s="1"/>
  <c r="B1202" i="1" a="1"/>
  <c r="B1202" i="1" s="1"/>
  <c r="B1201" i="1" a="1"/>
  <c r="B1201" i="1" s="1"/>
  <c r="B1200" i="1" a="1"/>
  <c r="B1200" i="1" s="1"/>
  <c r="B1199" i="1" a="1"/>
  <c r="B1199" i="1" s="1"/>
  <c r="B1198" i="1" a="1"/>
  <c r="B1198" i="1" s="1"/>
  <c r="B1197" i="1" a="1"/>
  <c r="B1197" i="1" s="1"/>
  <c r="B1196" i="1" a="1"/>
  <c r="B1196" i="1" s="1"/>
  <c r="B1195" i="1" a="1"/>
  <c r="B1195" i="1" s="1"/>
  <c r="B1194" i="1" a="1"/>
  <c r="B1194" i="1" s="1"/>
  <c r="B1193" i="1" a="1"/>
  <c r="B1193" i="1" s="1"/>
  <c r="B1192" i="1" a="1"/>
  <c r="B1192" i="1" s="1"/>
  <c r="B1191" i="1" a="1"/>
  <c r="B1191" i="1" s="1"/>
  <c r="B1190" i="1" a="1"/>
  <c r="B1190" i="1" s="1"/>
  <c r="B1189" i="1" a="1"/>
  <c r="B1189" i="1" s="1"/>
  <c r="B1188" i="1" a="1"/>
  <c r="B1188" i="1" s="1"/>
  <c r="B1187" i="1" a="1"/>
  <c r="B1187" i="1" s="1"/>
  <c r="B1186" i="1" a="1"/>
  <c r="B1186" i="1" s="1"/>
  <c r="B1185" i="1" a="1"/>
  <c r="B1185" i="1" s="1"/>
  <c r="B1184" i="1" a="1"/>
  <c r="B1184" i="1" s="1"/>
  <c r="B1183" i="1" a="1"/>
  <c r="B1183" i="1" s="1"/>
  <c r="B1182" i="1" a="1"/>
  <c r="B1182" i="1" s="1"/>
  <c r="B1181" i="1" a="1"/>
  <c r="B1181" i="1" s="1"/>
  <c r="B1180" i="1" a="1"/>
  <c r="B1180" i="1" s="1"/>
  <c r="B1179" i="1" a="1"/>
  <c r="B1179" i="1" s="1"/>
  <c r="B1178" i="1" a="1"/>
  <c r="B1178" i="1" s="1"/>
  <c r="B1177" i="1" a="1"/>
  <c r="B1177" i="1" s="1"/>
  <c r="B1176" i="1" a="1"/>
  <c r="B1176" i="1" s="1"/>
  <c r="B1175" i="1" a="1"/>
  <c r="B1175" i="1" s="1"/>
  <c r="B1174" i="1" a="1"/>
  <c r="B1174" i="1" s="1"/>
  <c r="B1173" i="1" a="1"/>
  <c r="B1173" i="1" s="1"/>
  <c r="B1172" i="1" a="1"/>
  <c r="B1172" i="1" s="1"/>
  <c r="B1171" i="1" a="1"/>
  <c r="B1171" i="1" s="1"/>
  <c r="B1170" i="1" a="1"/>
  <c r="B1170" i="1" s="1"/>
  <c r="B1169" i="1" a="1"/>
  <c r="B1169" i="1" s="1"/>
  <c r="B1168" i="1" a="1"/>
  <c r="B1168" i="1" s="1"/>
  <c r="B1167" i="1" a="1"/>
  <c r="B1167" i="1" s="1"/>
  <c r="B1166" i="1" a="1"/>
  <c r="B1166" i="1" s="1"/>
  <c r="B1165" i="1" a="1"/>
  <c r="B1165" i="1" s="1"/>
  <c r="B1164" i="1" a="1"/>
  <c r="B1164" i="1" s="1"/>
  <c r="B1163" i="1" a="1"/>
  <c r="B1163" i="1" s="1"/>
  <c r="B1162" i="1" a="1"/>
  <c r="B1162" i="1" s="1"/>
  <c r="B1161" i="1" a="1"/>
  <c r="B1161" i="1" s="1"/>
  <c r="B1160" i="1" a="1"/>
  <c r="B1160" i="1" s="1"/>
  <c r="B1159" i="1" a="1"/>
  <c r="B1159" i="1" s="1"/>
  <c r="B1158" i="1" a="1"/>
  <c r="B1158" i="1" s="1"/>
  <c r="B1157" i="1" a="1"/>
  <c r="B1157" i="1" s="1"/>
  <c r="B1156" i="1" a="1"/>
  <c r="B1156" i="1" s="1"/>
  <c r="B1155" i="1" a="1"/>
  <c r="B1155" i="1" s="1"/>
  <c r="B1154" i="1" a="1"/>
  <c r="B1154" i="1" s="1"/>
  <c r="B1153" i="1" a="1"/>
  <c r="B1153" i="1" s="1"/>
  <c r="B1152" i="1" a="1"/>
  <c r="B1152" i="1" s="1"/>
  <c r="B1151" i="1" a="1"/>
  <c r="B1151" i="1" s="1"/>
  <c r="B1150" i="1" a="1"/>
  <c r="B1150" i="1" s="1"/>
  <c r="B1149" i="1" a="1"/>
  <c r="B1149" i="1" s="1"/>
  <c r="B1148" i="1" a="1"/>
  <c r="B1148" i="1" s="1"/>
  <c r="B1147" i="1" a="1"/>
  <c r="B1147" i="1" s="1"/>
  <c r="B1146" i="1" a="1"/>
  <c r="B1146" i="1" s="1"/>
  <c r="B1145" i="1" a="1"/>
  <c r="B1145" i="1" s="1"/>
  <c r="B1144" i="1" a="1"/>
  <c r="B1144" i="1" s="1"/>
  <c r="B1143" i="1" a="1"/>
  <c r="B1143" i="1" s="1"/>
  <c r="B1142" i="1" a="1"/>
  <c r="B1142" i="1" s="1"/>
  <c r="B1141" i="1" a="1"/>
  <c r="B1141" i="1" s="1"/>
  <c r="B1140" i="1" a="1"/>
  <c r="B1140" i="1" s="1"/>
  <c r="B1139" i="1" a="1"/>
  <c r="B1139" i="1" s="1"/>
  <c r="B1138" i="1" a="1"/>
  <c r="B1138" i="1" s="1"/>
  <c r="B1137" i="1" a="1"/>
  <c r="B1137" i="1" s="1"/>
  <c r="B1136" i="1" a="1"/>
  <c r="B1136" i="1" s="1"/>
  <c r="B1135" i="1" a="1"/>
  <c r="B1135" i="1" s="1"/>
  <c r="B1134" i="1" a="1"/>
  <c r="B1134" i="1" s="1"/>
  <c r="B1133" i="1" a="1"/>
  <c r="B1133" i="1" s="1"/>
  <c r="B1132" i="1" a="1"/>
  <c r="B1132" i="1" s="1"/>
  <c r="B1131" i="1" a="1"/>
  <c r="B1131" i="1" s="1"/>
  <c r="D1222" i="1"/>
  <c r="D1221" i="1"/>
  <c r="D1220" i="1"/>
  <c r="D1219" i="1"/>
  <c r="D1218" i="1"/>
  <c r="D1217" i="1"/>
  <c r="D1216" i="1"/>
  <c r="D1215" i="1"/>
  <c r="D1214" i="1"/>
  <c r="D1213" i="1"/>
  <c r="D1212"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A1" i="1"/>
  <c r="D1153" i="1"/>
  <c r="D1152" i="1"/>
  <c r="D1151" i="1"/>
  <c r="D1150" i="1"/>
  <c r="D1149" i="1"/>
  <c r="D1148" i="1"/>
  <c r="D1147" i="1"/>
  <c r="D1146" i="1"/>
  <c r="D1145" i="1"/>
  <c r="D1144" i="1"/>
  <c r="D1143" i="1"/>
  <c r="D1142" i="1"/>
  <c r="D1141" i="1"/>
  <c r="D1140" i="1"/>
  <c r="D1139" i="1" l="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B1130" i="1" a="1"/>
  <c r="B1130" i="1" s="1"/>
  <c r="B1129" i="1" a="1"/>
  <c r="B1129" i="1" s="1"/>
  <c r="B1128" i="1" a="1"/>
  <c r="B1128" i="1" s="1"/>
  <c r="B1127" i="1" a="1"/>
  <c r="B1127" i="1" s="1"/>
  <c r="B1126" i="1" a="1"/>
  <c r="B1126" i="1" s="1"/>
  <c r="B1125" i="1" a="1"/>
  <c r="B1125" i="1" s="1"/>
  <c r="B1124" i="1" a="1"/>
  <c r="B1124" i="1" s="1"/>
  <c r="B1123" i="1" a="1"/>
  <c r="B1123" i="1" s="1"/>
  <c r="B1122" i="1" a="1"/>
  <c r="B1122" i="1" s="1"/>
  <c r="B1121" i="1" a="1"/>
  <c r="B1121" i="1" s="1"/>
  <c r="B1120" i="1" a="1"/>
  <c r="B1120" i="1" s="1"/>
  <c r="B1119" i="1" a="1"/>
  <c r="B1119" i="1" s="1"/>
  <c r="B1118" i="1" a="1"/>
  <c r="B1118" i="1" s="1"/>
  <c r="B1117" i="1" a="1"/>
  <c r="B1117" i="1" s="1"/>
  <c r="B1116" i="1" a="1"/>
  <c r="B1116" i="1" s="1"/>
  <c r="B1115" i="1" a="1"/>
  <c r="B1115" i="1" s="1"/>
  <c r="B1114" i="1" a="1"/>
  <c r="B1114" i="1" s="1"/>
  <c r="D1113" i="1"/>
  <c r="B1113" i="1" a="1"/>
  <c r="B1113" i="1" s="1"/>
  <c r="D1112" i="1"/>
  <c r="B1112" i="1" a="1"/>
  <c r="B1112" i="1" s="1"/>
  <c r="D1111" i="1"/>
  <c r="B1111" i="1" a="1"/>
  <c r="B1111" i="1" s="1"/>
  <c r="D1108" i="1"/>
  <c r="B1106" i="1" a="1"/>
  <c r="B1106" i="1" s="1"/>
  <c r="B1107" i="1" a="1"/>
  <c r="B1107" i="1" s="1"/>
  <c r="B1108" i="1" a="1"/>
  <c r="B1108" i="1" s="1"/>
  <c r="B1109" i="1" a="1"/>
  <c r="B1109" i="1" s="1"/>
  <c r="B1110" i="1" a="1"/>
  <c r="B1110" i="1" s="1"/>
  <c r="B1105" i="1" a="1"/>
  <c r="B1105" i="1" s="1"/>
  <c r="B1086" i="1" a="1"/>
  <c r="B1086" i="1" s="1"/>
  <c r="B1085" i="1" a="1"/>
  <c r="B1085" i="1" s="1"/>
  <c r="B1084" i="1" a="1"/>
  <c r="B1084" i="1" s="1"/>
  <c r="B1083" i="1" a="1"/>
  <c r="B1083" i="1" s="1"/>
  <c r="B1082" i="1" a="1"/>
  <c r="B1082" i="1" s="1"/>
  <c r="B1081" i="1" a="1"/>
  <c r="B1081" i="1" s="1"/>
  <c r="B1080" i="1" a="1"/>
  <c r="B1080" i="1" s="1"/>
  <c r="B1079" i="1" a="1"/>
  <c r="B1079" i="1" s="1"/>
  <c r="B1078" i="1" a="1"/>
  <c r="B1078" i="1" s="1"/>
  <c r="B1077" i="1" a="1"/>
  <c r="B1077" i="1" s="1"/>
  <c r="B1076" i="1" a="1"/>
  <c r="B1076" i="1" s="1"/>
  <c r="B1075" i="1" a="1"/>
  <c r="B1075" i="1" s="1"/>
  <c r="B1072" i="1" a="1"/>
  <c r="B1072" i="1" s="1"/>
  <c r="B1070" i="1" a="1"/>
  <c r="B1070" i="1" s="1"/>
  <c r="B1068" i="1" a="1"/>
  <c r="B1068" i="1" s="1"/>
  <c r="B1066" i="1" a="1"/>
  <c r="B1066" i="1" s="1"/>
  <c r="B1064" i="1" a="1"/>
  <c r="B1064" i="1" s="1"/>
  <c r="B1062" i="1" a="1"/>
  <c r="B1062" i="1" s="1"/>
  <c r="B1004" i="1" a="1"/>
  <c r="B1004" i="1" s="1"/>
  <c r="B1003" i="1" a="1"/>
  <c r="B1003" i="1" s="1"/>
  <c r="B1002" i="1" a="1"/>
  <c r="B1002" i="1" s="1"/>
  <c r="B976" i="1" a="1"/>
  <c r="B976" i="1" s="1"/>
  <c r="B975" i="1" a="1"/>
  <c r="B975" i="1" s="1"/>
  <c r="B974" i="1" a="1"/>
  <c r="B974" i="1" s="1"/>
  <c r="B973" i="1" a="1"/>
  <c r="B973" i="1" s="1"/>
  <c r="B972" i="1" a="1"/>
  <c r="B972" i="1" s="1"/>
  <c r="B970" i="1" a="1"/>
  <c r="B970" i="1" s="1"/>
  <c r="B968" i="1" a="1"/>
  <c r="B968" i="1" s="1"/>
  <c r="B962" i="1" a="1"/>
  <c r="B962" i="1" s="1"/>
  <c r="B946" i="1" a="1"/>
  <c r="B946" i="1" s="1"/>
  <c r="B940" i="1" a="1"/>
  <c r="B940" i="1" s="1"/>
  <c r="B924" i="1" a="1"/>
  <c r="B924" i="1" s="1"/>
  <c r="B918" i="1" a="1"/>
  <c r="B918" i="1" s="1"/>
  <c r="B902" i="1" a="1"/>
  <c r="B902" i="1" s="1"/>
  <c r="B896" i="1" a="1"/>
  <c r="B896" i="1" s="1"/>
  <c r="B880" i="1" a="1"/>
  <c r="B880" i="1" s="1"/>
  <c r="B874" i="1" a="1"/>
  <c r="B874" i="1" s="1"/>
  <c r="B858" i="1" a="1"/>
  <c r="B858" i="1" s="1"/>
  <c r="B852" i="1" a="1"/>
  <c r="B852" i="1" s="1"/>
  <c r="B829" i="1" a="1"/>
  <c r="B829" i="1" s="1"/>
  <c r="B637" i="1" a="1"/>
  <c r="B637" i="1" s="1"/>
  <c r="D1110" i="1"/>
  <c r="D1109" i="1"/>
  <c r="D1107" i="1"/>
  <c r="D1106" i="1"/>
  <c r="D1105" i="1"/>
  <c r="D1104" i="1"/>
  <c r="B1104" i="1" a="1"/>
  <c r="B1104" i="1" s="1"/>
  <c r="D1103" i="1"/>
  <c r="D1102" i="1"/>
  <c r="D1101" i="1"/>
  <c r="D1100" i="1"/>
  <c r="B1100" i="1" a="1"/>
  <c r="B1100" i="1" s="1"/>
  <c r="D1094" i="1"/>
  <c r="D1099" i="1"/>
  <c r="D1098" i="1"/>
  <c r="D1097" i="1"/>
  <c r="D1096" i="1"/>
  <c r="D1095" i="1"/>
  <c r="D1093" i="1"/>
  <c r="B1093" i="1" a="1"/>
  <c r="B1093" i="1" s="1"/>
  <c r="A1" i="46"/>
  <c r="A1" i="42"/>
  <c r="B1092" i="1" a="1"/>
  <c r="B1092" i="1" s="1"/>
  <c r="D1092" i="1"/>
  <c r="B1091" i="1" a="1"/>
  <c r="B1091" i="1" s="1"/>
  <c r="D1091" i="1"/>
  <c r="B1090" i="1" a="1"/>
  <c r="B1090" i="1" s="1"/>
  <c r="D1090" i="1"/>
  <c r="B1089" i="1" a="1"/>
  <c r="B1089" i="1" s="1"/>
  <c r="D1089" i="1"/>
  <c r="B1088" i="1" a="1"/>
  <c r="B1088" i="1" s="1"/>
  <c r="D1088" i="1"/>
  <c r="B1087" i="1" a="1"/>
  <c r="B1087" i="1" s="1"/>
  <c r="D1087" i="1"/>
  <c r="A1" i="44"/>
  <c r="A1" i="43"/>
  <c r="D1081" i="1"/>
  <c r="D1082" i="1"/>
  <c r="D1083" i="1"/>
  <c r="D1084" i="1"/>
  <c r="D1085" i="1"/>
  <c r="D1086" i="1"/>
  <c r="D1075" i="1"/>
  <c r="D1076" i="1"/>
  <c r="D1077" i="1"/>
  <c r="D1078" i="1"/>
  <c r="D1079" i="1"/>
  <c r="D1080" i="1"/>
  <c r="B1074" i="1" a="1"/>
  <c r="B1074" i="1" s="1"/>
  <c r="D1074" i="1"/>
  <c r="B1073" i="1" a="1"/>
  <c r="B1073" i="1" s="1"/>
  <c r="D1072" i="1"/>
  <c r="D1073" i="1"/>
  <c r="B1071" i="1" a="1"/>
  <c r="B1071" i="1" s="1"/>
  <c r="D1070" i="1"/>
  <c r="D1071" i="1"/>
  <c r="B1069" i="1" a="1"/>
  <c r="B1069" i="1" s="1"/>
  <c r="D1068" i="1"/>
  <c r="D1069" i="1"/>
  <c r="B1067" i="1" a="1"/>
  <c r="B1067" i="1" s="1"/>
  <c r="D1066" i="1"/>
  <c r="D1067" i="1"/>
  <c r="B1065" i="1" a="1"/>
  <c r="B1065" i="1" s="1"/>
  <c r="D1064" i="1"/>
  <c r="D1065" i="1"/>
  <c r="B1063" i="1" a="1"/>
  <c r="B1063" i="1" s="1"/>
  <c r="D1063" i="1"/>
  <c r="D1062" i="1"/>
  <c r="D65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997" i="1"/>
  <c r="D136" i="1"/>
  <c r="D1025" i="1"/>
  <c r="B1025" i="1" a="1"/>
  <c r="B1025" i="1" s="1"/>
  <c r="D1024" i="1"/>
  <c r="B1024" i="1" a="1"/>
  <c r="B1024" i="1" s="1"/>
  <c r="D1023" i="1"/>
  <c r="B1023" i="1" a="1"/>
  <c r="B1023" i="1" s="1"/>
  <c r="D1022" i="1"/>
  <c r="B1022" i="1" a="1"/>
  <c r="B1022" i="1" s="1"/>
  <c r="D1021" i="1"/>
  <c r="B1021" i="1" a="1"/>
  <c r="B1021" i="1" s="1"/>
  <c r="D1020" i="1"/>
  <c r="B1020" i="1" a="1"/>
  <c r="B1020" i="1" s="1"/>
  <c r="E4" i="31"/>
  <c r="F4" i="31" s="1"/>
  <c r="D3" i="31"/>
  <c r="D1019" i="1"/>
  <c r="D1018" i="1"/>
  <c r="D1017" i="1"/>
  <c r="D1016" i="1"/>
  <c r="D1015" i="1"/>
  <c r="B988" i="1" a="1"/>
  <c r="B988" i="1" s="1"/>
  <c r="D988" i="1"/>
  <c r="B971" i="1" a="1"/>
  <c r="B971" i="1" s="1"/>
  <c r="B1009" i="1" a="1"/>
  <c r="B1009" i="1" s="1"/>
  <c r="B1010" i="1" a="1"/>
  <c r="B1010" i="1" s="1"/>
  <c r="B1011" i="1" a="1"/>
  <c r="B1011" i="1" s="1"/>
  <c r="B999" i="1" a="1"/>
  <c r="B999" i="1" s="1"/>
  <c r="B1001" i="1" a="1"/>
  <c r="B1001" i="1" s="1"/>
  <c r="B1013" i="1" a="1"/>
  <c r="B1013" i="1" s="1"/>
  <c r="B984" i="1" a="1"/>
  <c r="B984" i="1" s="1"/>
  <c r="B979" i="1" a="1"/>
  <c r="B979" i="1" s="1"/>
  <c r="B987" i="1" a="1"/>
  <c r="B987" i="1" s="1"/>
  <c r="B983" i="1" a="1"/>
  <c r="B983" i="1" s="1"/>
  <c r="B998" i="1" a="1"/>
  <c r="B998" i="1" s="1"/>
  <c r="B1012" i="1" a="1"/>
  <c r="B1012" i="1" s="1"/>
  <c r="B990" i="1" a="1"/>
  <c r="B990" i="1" s="1"/>
  <c r="B1008" i="1" a="1"/>
  <c r="B1008" i="1" s="1"/>
  <c r="B1000" i="1" a="1"/>
  <c r="B1000" i="1" s="1"/>
  <c r="B995" i="1" a="1"/>
  <c r="B995" i="1" s="1"/>
  <c r="B992" i="1" a="1"/>
  <c r="B992" i="1" s="1"/>
  <c r="B986" i="1" a="1"/>
  <c r="B986" i="1" s="1"/>
  <c r="B982" i="1" a="1"/>
  <c r="B982" i="1" s="1"/>
  <c r="B1007" i="1" a="1"/>
  <c r="B1007" i="1" s="1"/>
  <c r="B991" i="1" a="1"/>
  <c r="B991" i="1" s="1"/>
  <c r="B989" i="1" a="1"/>
  <c r="B989" i="1" s="1"/>
  <c r="B978" i="1" a="1"/>
  <c r="B978" i="1" s="1"/>
  <c r="B981" i="1" a="1"/>
  <c r="B981" i="1" s="1"/>
  <c r="B994" i="1" a="1"/>
  <c r="B994" i="1" s="1"/>
  <c r="B996" i="1" a="1"/>
  <c r="B996" i="1" s="1"/>
  <c r="D996" i="1"/>
  <c r="D994" i="1"/>
  <c r="D981" i="1"/>
  <c r="D978" i="1"/>
  <c r="D989" i="1"/>
  <c r="D991" i="1"/>
  <c r="D1007" i="1"/>
  <c r="D1002" i="1"/>
  <c r="D971" i="1"/>
  <c r="D982" i="1"/>
  <c r="D986" i="1"/>
  <c r="D1003" i="1"/>
  <c r="D992" i="1"/>
  <c r="D995" i="1"/>
  <c r="D1000" i="1"/>
  <c r="D1008" i="1"/>
  <c r="D990" i="1"/>
  <c r="D975" i="1"/>
  <c r="D973" i="1"/>
  <c r="D1012" i="1"/>
  <c r="D998" i="1"/>
  <c r="D983" i="1"/>
  <c r="D987" i="1"/>
  <c r="D979" i="1"/>
  <c r="D976" i="1"/>
  <c r="D984" i="1"/>
  <c r="D1013" i="1"/>
  <c r="D1001" i="1"/>
  <c r="D1004" i="1"/>
  <c r="D972" i="1"/>
  <c r="D1009" i="1"/>
  <c r="D1010" i="1"/>
  <c r="D1011" i="1"/>
  <c r="D999" i="1"/>
  <c r="C5" i="26" a="1"/>
  <c r="C5" i="26" s="1"/>
  <c r="C6" i="26" a="1"/>
  <c r="C6" i="26" s="1"/>
  <c r="C7" i="26" a="1"/>
  <c r="C7" i="26" s="1"/>
  <c r="C8" i="26" a="1"/>
  <c r="C8" i="26" s="1"/>
  <c r="C9" i="26" a="1"/>
  <c r="C9" i="26" s="1"/>
  <c r="C10" i="26" a="1"/>
  <c r="C10" i="26" s="1"/>
  <c r="C11" i="26" a="1"/>
  <c r="C11" i="26" s="1"/>
  <c r="C12" i="26" a="1"/>
  <c r="C12" i="26" s="1"/>
  <c r="C13" i="26" a="1"/>
  <c r="C13" i="26" s="1"/>
  <c r="C14" i="26" a="1"/>
  <c r="C14" i="26" s="1"/>
  <c r="C15" i="26" a="1"/>
  <c r="C15" i="26" s="1"/>
  <c r="C16" i="26" a="1"/>
  <c r="C16" i="26" s="1"/>
  <c r="C17" i="26" a="1"/>
  <c r="C17" i="26" s="1"/>
  <c r="C18" i="26" a="1"/>
  <c r="C18" i="26" s="1"/>
  <c r="C19" i="26" a="1"/>
  <c r="C19" i="26" s="1"/>
  <c r="C20" i="26" a="1"/>
  <c r="C20" i="26" s="1"/>
  <c r="C21" i="26" a="1"/>
  <c r="C21" i="26" s="1"/>
  <c r="C22" i="26" a="1"/>
  <c r="C22" i="26" s="1"/>
  <c r="C23" i="26" a="1"/>
  <c r="C23" i="26" s="1"/>
  <c r="C24" i="26" a="1"/>
  <c r="C24" i="26" s="1"/>
  <c r="C25" i="26" a="1"/>
  <c r="C25" i="26" s="1"/>
  <c r="C26" i="26" a="1"/>
  <c r="C26" i="26" s="1"/>
  <c r="C27" i="26" a="1"/>
  <c r="C27" i="26" s="1"/>
  <c r="C28" i="26" a="1"/>
  <c r="C28" i="26" s="1"/>
  <c r="C29" i="26" a="1"/>
  <c r="C29" i="26" s="1"/>
  <c r="C30" i="26" a="1"/>
  <c r="C30" i="26" s="1"/>
  <c r="C31" i="26" a="1"/>
  <c r="C31" i="26" s="1"/>
  <c r="C32" i="26" a="1"/>
  <c r="C32" i="26" s="1"/>
  <c r="C33" i="26" a="1"/>
  <c r="C33" i="26" s="1"/>
  <c r="C34" i="26" a="1"/>
  <c r="C34" i="26" s="1"/>
  <c r="C35" i="26" a="1"/>
  <c r="C35" i="26" s="1"/>
  <c r="C36" i="26" a="1"/>
  <c r="C36" i="26" s="1"/>
  <c r="C37" i="26" a="1"/>
  <c r="C37" i="26" s="1"/>
  <c r="C38" i="26" a="1"/>
  <c r="C38" i="26" s="1"/>
  <c r="C39" i="26" a="1"/>
  <c r="C39" i="26" s="1"/>
  <c r="C40" i="26" a="1"/>
  <c r="C40" i="26" s="1"/>
  <c r="C41" i="26" a="1"/>
  <c r="C41" i="26" s="1"/>
  <c r="C42" i="26" a="1"/>
  <c r="C42" i="26" s="1"/>
  <c r="C43" i="26" a="1"/>
  <c r="C43" i="26" s="1"/>
  <c r="C44" i="26" a="1"/>
  <c r="C44" i="26" s="1"/>
  <c r="C45" i="26" a="1"/>
  <c r="C45" i="26" s="1"/>
  <c r="C46" i="26" a="1"/>
  <c r="C46" i="26" s="1"/>
  <c r="C47" i="26" a="1"/>
  <c r="C47" i="26" s="1"/>
  <c r="C48" i="26" a="1"/>
  <c r="C48" i="26" s="1"/>
  <c r="C49" i="26" a="1"/>
  <c r="C49" i="26" s="1"/>
  <c r="C50" i="26" a="1"/>
  <c r="C50" i="26" s="1"/>
  <c r="C51" i="26" a="1"/>
  <c r="C51" i="26" s="1"/>
  <c r="C52" i="26" a="1"/>
  <c r="C52" i="26" s="1"/>
  <c r="C53" i="26" a="1"/>
  <c r="C53" i="26" s="1"/>
  <c r="C54" i="26" a="1"/>
  <c r="C54" i="26" s="1"/>
  <c r="C55" i="26" a="1"/>
  <c r="C55" i="26" s="1"/>
  <c r="C56" i="26" a="1"/>
  <c r="C56" i="26" s="1"/>
  <c r="C57" i="26" a="1"/>
  <c r="C57" i="26" s="1"/>
  <c r="C58" i="26" a="1"/>
  <c r="C58" i="26" s="1"/>
  <c r="C59" i="26" a="1"/>
  <c r="C59" i="26" s="1"/>
  <c r="C60" i="26" a="1"/>
  <c r="C60" i="26" s="1"/>
  <c r="C61" i="26" a="1"/>
  <c r="C61" i="26" s="1"/>
  <c r="C62" i="26" a="1"/>
  <c r="C62" i="26" s="1"/>
  <c r="C4" i="26" a="1"/>
  <c r="C4" i="26" s="1"/>
  <c r="G4" i="31" l="1"/>
  <c r="H4" i="31" s="1"/>
  <c r="B308" i="1" a="1"/>
  <c r="B308" i="1" s="1"/>
  <c r="D308" i="1"/>
  <c r="B309" i="1" a="1"/>
  <c r="B309" i="1" s="1"/>
  <c r="D309" i="1"/>
  <c r="B310" i="1" a="1"/>
  <c r="B310" i="1" s="1"/>
  <c r="D310" i="1"/>
  <c r="I4" i="31" l="1"/>
  <c r="D1014" i="1"/>
  <c r="D836" i="1"/>
  <c r="B969" i="1" a="1"/>
  <c r="B969" i="1" s="1"/>
  <c r="B659" i="1" a="1"/>
  <c r="B659" i="1" s="1"/>
  <c r="B658" i="1" a="1"/>
  <c r="B658" i="1" s="1"/>
  <c r="B657" i="1" a="1"/>
  <c r="B657" i="1" s="1"/>
  <c r="B656" i="1" a="1"/>
  <c r="B656" i="1" s="1"/>
  <c r="B655" i="1" a="1"/>
  <c r="B655" i="1" s="1"/>
  <c r="B654" i="1" a="1"/>
  <c r="B654" i="1" s="1"/>
  <c r="B653" i="1" a="1"/>
  <c r="B653" i="1" s="1"/>
  <c r="B967" i="1" a="1"/>
  <c r="B967" i="1" s="1"/>
  <c r="B966" i="1" a="1"/>
  <c r="B966" i="1" s="1"/>
  <c r="B965" i="1" a="1"/>
  <c r="B965" i="1" s="1"/>
  <c r="B964" i="1" a="1"/>
  <c r="B964" i="1" s="1"/>
  <c r="B963" i="1" a="1"/>
  <c r="B963" i="1" s="1"/>
  <c r="B961" i="1" a="1"/>
  <c r="B961" i="1" s="1"/>
  <c r="B960" i="1" a="1"/>
  <c r="B960" i="1" s="1"/>
  <c r="B959" i="1" a="1"/>
  <c r="B959" i="1" s="1"/>
  <c r="B958" i="1" a="1"/>
  <c r="B958" i="1" s="1"/>
  <c r="B957" i="1" a="1"/>
  <c r="B957" i="1" s="1"/>
  <c r="B956" i="1" a="1"/>
  <c r="B956" i="1" s="1"/>
  <c r="B955" i="1" a="1"/>
  <c r="B955" i="1" s="1"/>
  <c r="B954" i="1" a="1"/>
  <c r="B954" i="1" s="1"/>
  <c r="B953" i="1" a="1"/>
  <c r="B953" i="1" s="1"/>
  <c r="B952" i="1" a="1"/>
  <c r="B952" i="1" s="1"/>
  <c r="B951" i="1" a="1"/>
  <c r="B951" i="1" s="1"/>
  <c r="B950" i="1" a="1"/>
  <c r="B950" i="1" s="1"/>
  <c r="B949" i="1" a="1"/>
  <c r="B949" i="1" s="1"/>
  <c r="B948" i="1" a="1"/>
  <c r="B948" i="1" s="1"/>
  <c r="B947" i="1" a="1"/>
  <c r="B947" i="1" s="1"/>
  <c r="B945" i="1" a="1"/>
  <c r="B945" i="1" s="1"/>
  <c r="B944" i="1" a="1"/>
  <c r="B944" i="1" s="1"/>
  <c r="B943" i="1" a="1"/>
  <c r="B943" i="1" s="1"/>
  <c r="B942" i="1" a="1"/>
  <c r="B942" i="1" s="1"/>
  <c r="B941" i="1" a="1"/>
  <c r="B941" i="1" s="1"/>
  <c r="B939" i="1" a="1"/>
  <c r="B939" i="1" s="1"/>
  <c r="B938" i="1" a="1"/>
  <c r="B938" i="1" s="1"/>
  <c r="B937" i="1" a="1"/>
  <c r="B937" i="1" s="1"/>
  <c r="B936" i="1" a="1"/>
  <c r="B936" i="1" s="1"/>
  <c r="B935" i="1" a="1"/>
  <c r="B935" i="1" s="1"/>
  <c r="B934" i="1" a="1"/>
  <c r="B934" i="1" s="1"/>
  <c r="B933" i="1" a="1"/>
  <c r="B933" i="1" s="1"/>
  <c r="B932" i="1" a="1"/>
  <c r="B932" i="1" s="1"/>
  <c r="B931" i="1" a="1"/>
  <c r="B931" i="1" s="1"/>
  <c r="B930" i="1" a="1"/>
  <c r="B930" i="1" s="1"/>
  <c r="B929" i="1" a="1"/>
  <c r="B929" i="1" s="1"/>
  <c r="B928" i="1" a="1"/>
  <c r="B928" i="1" s="1"/>
  <c r="B927" i="1" a="1"/>
  <c r="B927" i="1" s="1"/>
  <c r="B926" i="1" a="1"/>
  <c r="B926" i="1" s="1"/>
  <c r="B925" i="1" a="1"/>
  <c r="B925" i="1" s="1"/>
  <c r="B923" i="1" a="1"/>
  <c r="B923" i="1" s="1"/>
  <c r="B922" i="1" a="1"/>
  <c r="B922" i="1" s="1"/>
  <c r="B921" i="1" a="1"/>
  <c r="B921" i="1" s="1"/>
  <c r="B920" i="1" a="1"/>
  <c r="B920" i="1" s="1"/>
  <c r="B919" i="1" a="1"/>
  <c r="B919" i="1" s="1"/>
  <c r="B917" i="1" a="1"/>
  <c r="B917" i="1" s="1"/>
  <c r="B916" i="1" a="1"/>
  <c r="B916" i="1" s="1"/>
  <c r="B915" i="1" a="1"/>
  <c r="B915" i="1" s="1"/>
  <c r="B914" i="1" a="1"/>
  <c r="B914" i="1" s="1"/>
  <c r="B913" i="1" a="1"/>
  <c r="B913" i="1" s="1"/>
  <c r="B912" i="1" a="1"/>
  <c r="B912" i="1" s="1"/>
  <c r="B911" i="1" a="1"/>
  <c r="B911" i="1" s="1"/>
  <c r="B910" i="1" a="1"/>
  <c r="B910" i="1" s="1"/>
  <c r="B909" i="1" a="1"/>
  <c r="B909" i="1" s="1"/>
  <c r="B908" i="1" a="1"/>
  <c r="B908" i="1" s="1"/>
  <c r="B907" i="1" a="1"/>
  <c r="B907" i="1" s="1"/>
  <c r="B906" i="1" a="1"/>
  <c r="B906" i="1" s="1"/>
  <c r="B905" i="1" a="1"/>
  <c r="B905" i="1" s="1"/>
  <c r="B904" i="1" a="1"/>
  <c r="B904" i="1" s="1"/>
  <c r="B903" i="1" a="1"/>
  <c r="B903" i="1" s="1"/>
  <c r="B901" i="1" a="1"/>
  <c r="B901" i="1" s="1"/>
  <c r="B900" i="1" a="1"/>
  <c r="B900" i="1" s="1"/>
  <c r="B899" i="1" a="1"/>
  <c r="B899" i="1" s="1"/>
  <c r="B898" i="1" a="1"/>
  <c r="B898" i="1" s="1"/>
  <c r="B897" i="1" a="1"/>
  <c r="B897" i="1" s="1"/>
  <c r="B895" i="1" a="1"/>
  <c r="B895" i="1" s="1"/>
  <c r="B894" i="1" a="1"/>
  <c r="B894" i="1" s="1"/>
  <c r="B893" i="1" a="1"/>
  <c r="B893" i="1" s="1"/>
  <c r="B892" i="1" a="1"/>
  <c r="B892" i="1" s="1"/>
  <c r="B891" i="1" a="1"/>
  <c r="B891" i="1" s="1"/>
  <c r="B890" i="1" a="1"/>
  <c r="B890" i="1" s="1"/>
  <c r="B889" i="1" a="1"/>
  <c r="B889" i="1" s="1"/>
  <c r="B888" i="1" a="1"/>
  <c r="B888" i="1" s="1"/>
  <c r="B887" i="1" a="1"/>
  <c r="B887" i="1" s="1"/>
  <c r="B886" i="1" a="1"/>
  <c r="B886" i="1" s="1"/>
  <c r="B885" i="1" a="1"/>
  <c r="B885" i="1" s="1"/>
  <c r="B884" i="1" a="1"/>
  <c r="B884" i="1" s="1"/>
  <c r="B883" i="1" a="1"/>
  <c r="B883" i="1" s="1"/>
  <c r="B882" i="1" a="1"/>
  <c r="B882" i="1" s="1"/>
  <c r="B881" i="1" a="1"/>
  <c r="B881" i="1" s="1"/>
  <c r="B879" i="1" a="1"/>
  <c r="B879" i="1" s="1"/>
  <c r="B878" i="1" a="1"/>
  <c r="B878" i="1" s="1"/>
  <c r="B877" i="1" a="1"/>
  <c r="B877" i="1" s="1"/>
  <c r="B876" i="1" a="1"/>
  <c r="B876" i="1" s="1"/>
  <c r="B875" i="1" a="1"/>
  <c r="B875" i="1" s="1"/>
  <c r="B873" i="1" a="1"/>
  <c r="B873" i="1" s="1"/>
  <c r="B872" i="1" a="1"/>
  <c r="B872" i="1" s="1"/>
  <c r="B871" i="1" a="1"/>
  <c r="B871" i="1" s="1"/>
  <c r="B870" i="1" a="1"/>
  <c r="B870" i="1" s="1"/>
  <c r="B869" i="1" a="1"/>
  <c r="B869" i="1" s="1"/>
  <c r="B868" i="1" a="1"/>
  <c r="B868" i="1" s="1"/>
  <c r="B867" i="1" a="1"/>
  <c r="B867" i="1" s="1"/>
  <c r="B866" i="1" a="1"/>
  <c r="B866" i="1" s="1"/>
  <c r="B865" i="1" a="1"/>
  <c r="B865" i="1" s="1"/>
  <c r="B864" i="1" a="1"/>
  <c r="B864" i="1" s="1"/>
  <c r="B863" i="1" a="1"/>
  <c r="B863" i="1" s="1"/>
  <c r="B862" i="1" a="1"/>
  <c r="B862" i="1" s="1"/>
  <c r="B861" i="1" a="1"/>
  <c r="B861" i="1" s="1"/>
  <c r="B860" i="1" a="1"/>
  <c r="B860" i="1" s="1"/>
  <c r="B859" i="1" a="1"/>
  <c r="B859" i="1" s="1"/>
  <c r="B857" i="1" a="1"/>
  <c r="B857" i="1" s="1"/>
  <c r="B856" i="1" a="1"/>
  <c r="B856" i="1" s="1"/>
  <c r="B855" i="1" a="1"/>
  <c r="B855" i="1" s="1"/>
  <c r="B854" i="1" a="1"/>
  <c r="B854" i="1" s="1"/>
  <c r="B853" i="1" a="1"/>
  <c r="B853" i="1" s="1"/>
  <c r="B851" i="1" a="1"/>
  <c r="B851" i="1" s="1"/>
  <c r="B850" i="1" a="1"/>
  <c r="B850" i="1" s="1"/>
  <c r="B849" i="1" a="1"/>
  <c r="B849" i="1" s="1"/>
  <c r="B848" i="1" a="1"/>
  <c r="B848" i="1" s="1"/>
  <c r="B847" i="1" a="1"/>
  <c r="B847" i="1" s="1"/>
  <c r="B846" i="1" a="1"/>
  <c r="B846" i="1" s="1"/>
  <c r="B845" i="1" a="1"/>
  <c r="B845" i="1" s="1"/>
  <c r="B844" i="1" a="1"/>
  <c r="B844" i="1" s="1"/>
  <c r="B843" i="1" a="1"/>
  <c r="B843" i="1" s="1"/>
  <c r="B842" i="1" a="1"/>
  <c r="B842" i="1" s="1"/>
  <c r="B841" i="1" a="1"/>
  <c r="B841" i="1" s="1"/>
  <c r="B840" i="1" a="1"/>
  <c r="B840" i="1" s="1"/>
  <c r="B839" i="1" a="1"/>
  <c r="B839" i="1" s="1"/>
  <c r="B838" i="1" a="1"/>
  <c r="B838" i="1" s="1"/>
  <c r="B837" i="1" a="1"/>
  <c r="B837" i="1" s="1"/>
  <c r="J4" i="31" l="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653" i="1"/>
  <c r="D654" i="1"/>
  <c r="D655" i="1"/>
  <c r="D656" i="1"/>
  <c r="D657" i="1"/>
  <c r="D658" i="1"/>
  <c r="D659" i="1"/>
  <c r="D969" i="1"/>
  <c r="D970" i="1"/>
  <c r="K4" i="31" l="1"/>
  <c r="B16" i="7" a="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980" i="1" a="1"/>
  <c r="B980" i="1" s="1"/>
  <c r="B977" i="1" a="1"/>
  <c r="B977" i="1" s="1"/>
  <c r="B1006" i="1" a="1"/>
  <c r="B1006" i="1" s="1"/>
  <c r="B12" i="1" a="1"/>
  <c r="B12" i="1" s="1"/>
  <c r="B13" i="1" a="1"/>
  <c r="B13"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14" i="1" a="1"/>
  <c r="B14" i="1" s="1"/>
  <c r="B15" i="1" a="1"/>
  <c r="B15" i="1" s="1"/>
  <c r="B135" i="1" a="1"/>
  <c r="B135"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137" i="1" a="1"/>
  <c r="B137" i="1" s="1"/>
  <c r="B138" i="1" a="1"/>
  <c r="B138"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139" i="1" a="1"/>
  <c r="B139" i="1" s="1"/>
  <c r="B140" i="1" a="1"/>
  <c r="B140" i="1" s="1"/>
  <c r="B626" i="1" a="1"/>
  <c r="B626" i="1" s="1"/>
  <c r="B627" i="1" a="1"/>
  <c r="B627" i="1" s="1"/>
  <c r="B628" i="1" a="1"/>
  <c r="B628" i="1" s="1"/>
  <c r="B629" i="1" a="1"/>
  <c r="B629" i="1" s="1"/>
  <c r="B630" i="1" a="1"/>
  <c r="B630" i="1" s="1"/>
  <c r="B631" i="1" a="1"/>
  <c r="B631" i="1" s="1"/>
  <c r="B632" i="1" a="1"/>
  <c r="B632" i="1" s="1"/>
  <c r="B311" i="1" a="1"/>
  <c r="B311" i="1" s="1"/>
  <c r="B312" i="1" a="1"/>
  <c r="B312" i="1" s="1"/>
  <c r="B313" i="1" a="1"/>
  <c r="B313" i="1" s="1"/>
  <c r="B344" i="1" a="1"/>
  <c r="B344" i="1" s="1"/>
  <c r="B345" i="1" a="1"/>
  <c r="B345" i="1" s="1"/>
  <c r="B624" i="1" a="1"/>
  <c r="B624" i="1" s="1"/>
  <c r="B625" i="1" a="1"/>
  <c r="B625" i="1" s="1"/>
  <c r="B633" i="1" a="1"/>
  <c r="B633" i="1" s="1"/>
  <c r="B634" i="1" a="1"/>
  <c r="B634" i="1" s="1"/>
  <c r="B635" i="1" a="1"/>
  <c r="B635" i="1" s="1"/>
  <c r="B643" i="1" a="1"/>
  <c r="B643" i="1" s="1"/>
  <c r="B644" i="1" a="1"/>
  <c r="B644" i="1" s="1"/>
  <c r="B645" i="1" a="1"/>
  <c r="B645" i="1" s="1"/>
  <c r="B646" i="1" a="1"/>
  <c r="B646" i="1" s="1"/>
  <c r="B647" i="1" a="1"/>
  <c r="B647" i="1" s="1"/>
  <c r="B648" i="1" a="1"/>
  <c r="B648" i="1" s="1"/>
  <c r="B636" i="1" a="1"/>
  <c r="B636" i="1" s="1"/>
  <c r="B638" i="1" a="1"/>
  <c r="B638" i="1" s="1"/>
  <c r="B639" i="1" a="1"/>
  <c r="B639" i="1" s="1"/>
  <c r="B640" i="1" a="1"/>
  <c r="B640" i="1" s="1"/>
  <c r="B641" i="1" a="1"/>
  <c r="B641" i="1" s="1"/>
  <c r="B642" i="1" a="1"/>
  <c r="B642" i="1" s="1"/>
  <c r="B649" i="1" a="1"/>
  <c r="B649" i="1" s="1"/>
  <c r="B650" i="1" a="1"/>
  <c r="B650" i="1" s="1"/>
  <c r="B651" i="1" a="1"/>
  <c r="B651"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30" i="1" a="1"/>
  <c r="B830" i="1" s="1"/>
  <c r="B831" i="1" a="1"/>
  <c r="B831" i="1" s="1"/>
  <c r="B832" i="1" a="1"/>
  <c r="B832" i="1" s="1"/>
  <c r="B833" i="1" a="1"/>
  <c r="B833" i="1" s="1"/>
  <c r="B834" i="1" a="1"/>
  <c r="B834" i="1" s="1"/>
  <c r="B835" i="1" a="1"/>
  <c r="B835" i="1" s="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980" i="1"/>
  <c r="D977" i="1"/>
  <c r="D1006" i="1"/>
  <c r="D12" i="1"/>
  <c r="D13"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14" i="1"/>
  <c r="D15" i="1"/>
  <c r="D135"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137" i="1"/>
  <c r="D138"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139" i="1"/>
  <c r="D140" i="1"/>
  <c r="D626" i="1"/>
  <c r="D627" i="1"/>
  <c r="D628" i="1"/>
  <c r="D629" i="1"/>
  <c r="D630" i="1"/>
  <c r="D631" i="1"/>
  <c r="D632" i="1"/>
  <c r="D311" i="1"/>
  <c r="D312" i="1"/>
  <c r="D313" i="1"/>
  <c r="D344" i="1"/>
  <c r="D345" i="1"/>
  <c r="D624" i="1"/>
  <c r="D625" i="1"/>
  <c r="D633" i="1"/>
  <c r="D634" i="1"/>
  <c r="D635" i="1"/>
  <c r="D643" i="1"/>
  <c r="D644" i="1"/>
  <c r="D645" i="1"/>
  <c r="D646" i="1"/>
  <c r="D647" i="1"/>
  <c r="D648" i="1"/>
  <c r="D636" i="1"/>
  <c r="D637" i="1"/>
  <c r="D638" i="1"/>
  <c r="D639" i="1"/>
  <c r="D640" i="1"/>
  <c r="D641" i="1"/>
  <c r="D642" i="1"/>
  <c r="D649" i="1"/>
  <c r="D650" i="1"/>
  <c r="D651"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L4" i="31" l="1"/>
  <c r="B16" i="7"/>
  <c r="B17" i="7" s="1" a="1"/>
  <c r="B17" i="7" s="1"/>
  <c r="X17" i="7" a="1"/>
  <c r="X17" i="7" s="1"/>
  <c r="L17" i="7" a="1"/>
  <c r="L17" i="7" s="1"/>
  <c r="W17" i="7" a="1"/>
  <c r="W17" i="7" s="1"/>
  <c r="J17" i="7" a="1"/>
  <c r="J17" i="7" s="1"/>
  <c r="Q17" i="7" a="1"/>
  <c r="Q17" i="7" s="1"/>
  <c r="V17" i="7" a="1"/>
  <c r="V17" i="7" s="1"/>
  <c r="I17" i="7" a="1"/>
  <c r="I17" i="7" s="1"/>
  <c r="P17" i="7" a="1"/>
  <c r="P17" i="7" s="1"/>
  <c r="U17" i="7" a="1"/>
  <c r="U17" i="7" s="1"/>
  <c r="H17" i="7" a="1"/>
  <c r="H17" i="7" s="1"/>
  <c r="C17" i="7" a="1"/>
  <c r="C17" i="7" s="1"/>
  <c r="T17" i="7" a="1"/>
  <c r="T17" i="7" s="1"/>
  <c r="G17" i="7" a="1"/>
  <c r="G17" i="7" s="1"/>
  <c r="S17" i="7" a="1"/>
  <c r="S17" i="7" s="1"/>
  <c r="F17" i="7" a="1"/>
  <c r="F17" i="7" s="1"/>
  <c r="R17" i="7" a="1"/>
  <c r="R17" i="7" s="1"/>
  <c r="E17" i="7" a="1"/>
  <c r="E17" i="7" s="1"/>
  <c r="D17" i="7" a="1"/>
  <c r="D17" i="7" s="1"/>
  <c r="O17" i="7" a="1"/>
  <c r="O17" i="7" s="1"/>
  <c r="K17" i="7" a="1"/>
  <c r="K17" i="7" s="1"/>
  <c r="M17" i="7" a="1"/>
  <c r="M17" i="7" s="1"/>
  <c r="N17" i="7" a="1"/>
  <c r="N17" i="7" s="1"/>
  <c r="B2" i="7" a="1"/>
  <c r="I3" i="7" s="1" a="1"/>
  <c r="I3" i="7" s="1"/>
  <c r="X3" i="7" a="1"/>
  <c r="X3" i="7" s="1"/>
  <c r="W3" i="7" a="1"/>
  <c r="W3" i="7" s="1"/>
  <c r="V3" i="7" a="1"/>
  <c r="V3" i="7" s="1"/>
  <c r="U3" i="7" a="1"/>
  <c r="U3" i="7" s="1"/>
  <c r="T3" i="7" a="1"/>
  <c r="T3" i="7" s="1"/>
  <c r="S3" i="7" a="1"/>
  <c r="S3" i="7" s="1"/>
  <c r="R3" i="7" a="1"/>
  <c r="R3" i="7" s="1"/>
  <c r="Q3" i="7" a="1"/>
  <c r="Q3" i="7" s="1"/>
  <c r="P3" i="7" a="1"/>
  <c r="P3" i="7" s="1"/>
  <c r="O3" i="7" a="1"/>
  <c r="O3" i="7" s="1"/>
  <c r="N3" i="7" a="1"/>
  <c r="N3" i="7" s="1"/>
  <c r="M3" i="7" a="1"/>
  <c r="M3" i="7" s="1"/>
  <c r="L3" i="7" a="1"/>
  <c r="L3" i="7" s="1"/>
  <c r="J3" i="7" a="1"/>
  <c r="J3" i="7" s="1"/>
  <c r="B5" i="1" a="1"/>
  <c r="B5" i="1" s="1"/>
  <c r="B6" i="1" a="1"/>
  <c r="B6" i="1" s="1"/>
  <c r="B7" i="1" a="1"/>
  <c r="B7" i="1" s="1"/>
  <c r="B8" i="1" a="1"/>
  <c r="B8" i="1" s="1"/>
  <c r="B9" i="1" a="1"/>
  <c r="B9" i="1" s="1"/>
  <c r="B10" i="1" a="1"/>
  <c r="B10" i="1" s="1"/>
  <c r="B11" i="1" a="1"/>
  <c r="B11" i="1" s="1"/>
  <c r="B993" i="1" a="1"/>
  <c r="B993" i="1" s="1"/>
  <c r="B1005" i="1" a="1"/>
  <c r="B1005" i="1" s="1"/>
  <c r="B985" i="1" a="1"/>
  <c r="B985" i="1" s="1"/>
  <c r="B4" i="1" a="1"/>
  <c r="B4" i="1" s="1"/>
  <c r="A1" i="6" a="1"/>
  <c r="D5" i="1"/>
  <c r="D6" i="1"/>
  <c r="D7" i="1"/>
  <c r="D8" i="1"/>
  <c r="D9" i="1"/>
  <c r="D10" i="1"/>
  <c r="D11" i="1"/>
  <c r="D993" i="1"/>
  <c r="D1005" i="1"/>
  <c r="D974" i="1"/>
  <c r="D985" i="1"/>
  <c r="D4" i="1"/>
  <c r="M4" i="31" l="1"/>
  <c r="B2" i="7"/>
  <c r="B3" i="7" s="1" a="1"/>
  <c r="B3" i="7" s="1"/>
  <c r="C3" i="7" a="1"/>
  <c r="C3" i="7" s="1"/>
  <c r="E3" i="7" a="1"/>
  <c r="E3" i="7" s="1"/>
  <c r="F3" i="7" a="1"/>
  <c r="F3" i="7" s="1"/>
  <c r="D3" i="7" a="1"/>
  <c r="D3" i="7" s="1"/>
  <c r="G3" i="7" a="1"/>
  <c r="G3" i="7" s="1"/>
  <c r="G9" i="7" a="1"/>
  <c r="G9" i="7" s="1"/>
  <c r="H3" i="7" a="1"/>
  <c r="H3" i="7" s="1"/>
  <c r="A1" i="6"/>
  <c r="A2" i="6" s="1" a="1"/>
  <c r="A2" i="6" s="1"/>
  <c r="D2" i="6" a="1"/>
  <c r="D2" i="6" s="1"/>
  <c r="B2" i="6" a="1"/>
  <c r="B2" i="6" s="1"/>
  <c r="C2" i="6" a="1"/>
  <c r="C2" i="6" s="1"/>
  <c r="E2" i="6" a="1"/>
  <c r="E2" i="6" s="1"/>
  <c r="F2" i="6" a="1"/>
  <c r="F2" i="6" s="1"/>
  <c r="G2" i="6" a="1"/>
  <c r="G2" i="6" s="1"/>
  <c r="N4" i="31" l="1"/>
  <c r="O4" i="31" l="1"/>
  <c r="P4" i="31" l="1"/>
  <c r="Q4" i="31" l="1"/>
  <c r="R4" i="31" l="1"/>
  <c r="S4" i="31" l="1"/>
  <c r="T4" i="31" l="1"/>
  <c r="U4" i="31" l="1"/>
  <c r="V4" i="31" l="1"/>
  <c r="W4" i="31" l="1"/>
  <c r="X4" i="31" l="1"/>
  <c r="Y4" i="31" l="1"/>
  <c r="Z4" i="31" l="1"/>
  <c r="AA4" i="31" l="1"/>
  <c r="AB4" i="31" l="1"/>
  <c r="AC4" i="31" l="1"/>
  <c r="AD4" i="31" l="1"/>
  <c r="AE4" i="31" l="1"/>
  <c r="AF4" i="31" l="1"/>
  <c r="AG4" i="31" l="1"/>
  <c r="AH4" i="31" l="1"/>
  <c r="AH3" i="31" l="1"/>
  <c r="AI4" i="31"/>
  <c r="AJ4" i="31" l="1"/>
  <c r="AK4" i="31" l="1"/>
  <c r="AL4" i="31" l="1"/>
  <c r="AM4" i="31" l="1"/>
  <c r="AN4" i="31" l="1"/>
  <c r="AO4" i="31" l="1"/>
  <c r="AP4" i="31" l="1"/>
  <c r="AQ4" i="31" l="1"/>
  <c r="AR4" i="31" l="1"/>
  <c r="AS4" i="31" l="1"/>
  <c r="AT4" i="31" l="1"/>
  <c r="AU4" i="31" l="1"/>
  <c r="AV4" i="31" l="1"/>
  <c r="AW4" i="31" l="1"/>
  <c r="AX4" i="31" l="1"/>
  <c r="AY4" i="31" l="1"/>
  <c r="AZ4" i="31" l="1"/>
  <c r="BA4" i="31" l="1"/>
  <c r="BB4" i="31" l="1"/>
  <c r="BC4" i="31" l="1"/>
  <c r="BD4" i="31" l="1"/>
  <c r="BE4" i="31" l="1"/>
  <c r="BF4" i="31" l="1"/>
  <c r="BG4" i="31" l="1"/>
  <c r="BH4" i="31" l="1"/>
  <c r="BI4" i="31" l="1"/>
  <c r="BJ4" i="31" l="1"/>
  <c r="BK4" i="31" l="1"/>
  <c r="BL4" i="31" l="1"/>
  <c r="BM4" i="31" l="1"/>
  <c r="BN4" i="31" l="1"/>
  <c r="BM3" i="31"/>
  <c r="BO4" i="31" l="1"/>
  <c r="BP4" i="31" l="1"/>
  <c r="BQ4" i="31" l="1"/>
  <c r="BR4" i="31" l="1"/>
  <c r="BS4" i="31" l="1"/>
  <c r="BT4" i="31" l="1"/>
  <c r="BU4" i="31" l="1"/>
  <c r="BV4" i="31" l="1"/>
  <c r="BW4" i="31" l="1"/>
  <c r="BX4" i="31" l="1"/>
  <c r="BY4" i="31" l="1"/>
  <c r="BZ4" i="31" l="1"/>
  <c r="CA4" i="31" l="1"/>
  <c r="CB4" i="31" l="1"/>
  <c r="CC4" i="31" l="1"/>
  <c r="CD4" i="31" l="1"/>
  <c r="CE4" i="31" l="1"/>
  <c r="CF4" i="31" l="1"/>
  <c r="CG4" i="31" l="1"/>
  <c r="CH4" i="31" l="1"/>
  <c r="CI4" i="31" l="1"/>
  <c r="CJ4" i="31" l="1"/>
  <c r="CK4" i="31" l="1"/>
  <c r="CL4" i="31" l="1"/>
  <c r="CM4" i="31" l="1"/>
  <c r="CN4" i="31" l="1"/>
  <c r="CO4" i="31" l="1"/>
  <c r="CP4" i="31" l="1"/>
  <c r="CQ4" i="31" l="1"/>
  <c r="CR4" i="31" l="1"/>
  <c r="CQ3" i="31"/>
  <c r="CS4" i="31" l="1"/>
  <c r="CT4" i="31" l="1"/>
  <c r="CU4" i="31" l="1"/>
  <c r="CV4" i="31" l="1"/>
  <c r="CW4" i="31" l="1"/>
  <c r="CX4" i="31" l="1"/>
  <c r="CY4" i="31" l="1"/>
  <c r="CZ4" i="31" l="1"/>
  <c r="DA4" i="31" l="1"/>
  <c r="DB4" i="31" l="1"/>
  <c r="DC4" i="31" l="1"/>
  <c r="DD4" i="31" l="1"/>
  <c r="DE4" i="31" l="1"/>
  <c r="DF4" i="31" l="1"/>
  <c r="DG4" i="31" l="1"/>
  <c r="DH4" i="31" l="1"/>
  <c r="DI4" i="31" l="1"/>
  <c r="DJ4" i="31" l="1"/>
  <c r="DK4" i="31" l="1"/>
  <c r="DL4" i="31" l="1"/>
  <c r="DM4" i="31" l="1"/>
  <c r="DN4" i="31" l="1"/>
  <c r="DO4" i="31" l="1"/>
  <c r="DP4" i="31" l="1"/>
  <c r="DQ4" i="31" l="1"/>
  <c r="DR4" i="31" l="1"/>
  <c r="DS4" i="31" l="1"/>
  <c r="DT4" i="31" l="1"/>
  <c r="DU4" i="3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<sst xmlns="http://schemas.openxmlformats.org/spreadsheetml/2006/main" count="16647" uniqueCount="2145">
  <si>
    <t>Owner</t>
  </si>
  <si>
    <t>FA</t>
  </si>
  <si>
    <t>FA Name</t>
  </si>
  <si>
    <t>Venue</t>
  </si>
  <si>
    <t>Area</t>
  </si>
  <si>
    <t>Space</t>
  </si>
  <si>
    <t>Category</t>
  </si>
  <si>
    <t>Item</t>
  </si>
  <si>
    <t>Solution</t>
  </si>
  <si>
    <t>Status</t>
  </si>
  <si>
    <t>Old Quantity2</t>
  </si>
  <si>
    <t xml:space="preserve">New Quantity </t>
  </si>
  <si>
    <t>Start Date</t>
  </si>
  <si>
    <t>End Date</t>
  </si>
  <si>
    <t>Code</t>
  </si>
  <si>
    <t>ICT Comment</t>
  </si>
  <si>
    <t>Notes</t>
  </si>
  <si>
    <t>ID</t>
  </si>
  <si>
    <t>ACR</t>
  </si>
  <si>
    <t>Non_Comp</t>
  </si>
  <si>
    <t>UDAC</t>
  </si>
  <si>
    <t>MAC - Several locations inside</t>
  </si>
  <si>
    <t>Printing</t>
  </si>
  <si>
    <t>Printing - Dedicated - Colour - A4</t>
  </si>
  <si>
    <t>MFDDNW</t>
  </si>
  <si>
    <t>Printing of accreditations.</t>
  </si>
  <si>
    <t>FAC01042</t>
  </si>
  <si>
    <t>MAC - Bulk Distribution area</t>
  </si>
  <si>
    <t>Printing - Dedicated - Colour - A3</t>
  </si>
  <si>
    <t>MFDLNW</t>
  </si>
  <si>
    <t>Make copies of all forms to be signed among other documents. To scan and make copies of IDs when reporting lost, damaged or stolen accreditation.</t>
  </si>
  <si>
    <t>FAC01043</t>
  </si>
  <si>
    <t>EU_Equipment</t>
  </si>
  <si>
    <t>EU - Laptop - Event Operations</t>
  </si>
  <si>
    <t>LAPOPS</t>
  </si>
  <si>
    <t>It can also be AIO PCs</t>
  </si>
  <si>
    <t>FAC01044</t>
  </si>
  <si>
    <t>EU - Barcode scanner</t>
  </si>
  <si>
    <t>ACCBAR</t>
  </si>
  <si>
    <t>To scan QIDs and accreditations.</t>
  </si>
  <si>
    <t>FAC01045</t>
  </si>
  <si>
    <t>EU - Special Request</t>
  </si>
  <si>
    <t>EUQSPE</t>
  </si>
  <si>
    <t>not submitted into FIFA TEAP</t>
  </si>
  <si>
    <t>Mouse to expedite accreditation process at front desk.</t>
  </si>
  <si>
    <t>FAC01046</t>
  </si>
  <si>
    <t>Network</t>
  </si>
  <si>
    <t xml:space="preserve">Network - Wired Port - General Internet </t>
  </si>
  <si>
    <t>WRDGEN</t>
  </si>
  <si>
    <t>Cable network connection for each printer, laptop and TV.</t>
  </si>
  <si>
    <t>FAC01047</t>
  </si>
  <si>
    <t>MAC</t>
  </si>
  <si>
    <t>WiFi</t>
  </si>
  <si>
    <t>WiFi - General WiFi</t>
  </si>
  <si>
    <t>WANGEN</t>
  </si>
  <si>
    <t>WiFI for all MAC</t>
  </si>
  <si>
    <t>FAC01048</t>
  </si>
  <si>
    <t>MAC - Meeting room and Director's office</t>
  </si>
  <si>
    <t>CATV_IPTV</t>
  </si>
  <si>
    <t>TV - Large - IPTV</t>
  </si>
  <si>
    <t>TVLGIP</t>
  </si>
  <si>
    <t xml:space="preserve">TV for presentations to the volunteers and staff. TV at Directors office to follow up with competition. </t>
  </si>
  <si>
    <t>FAC01049</t>
  </si>
  <si>
    <t>LOG</t>
  </si>
  <si>
    <t>RSP</t>
  </si>
  <si>
    <t>LOG Point</t>
  </si>
  <si>
    <t>FAC01050</t>
  </si>
  <si>
    <t>LOG Point is outside of RSP and  to print the daily MDS bookings to share with SEC and daily reports</t>
  </si>
  <si>
    <t>FAC01051</t>
  </si>
  <si>
    <t>if the general wifi doesn't work at log point, then we would need wifi mobile</t>
  </si>
  <si>
    <t>FAC01052</t>
  </si>
  <si>
    <t>Al Bidda</t>
  </si>
  <si>
    <t>LCC Logistics Coordination Center</t>
  </si>
  <si>
    <t>If LCC will be located in Al Bidda, requirements will change to 2.</t>
  </si>
  <si>
    <t>FAC01053</t>
  </si>
  <si>
    <t>If a wired port is not available, we will need access to a Wi-Fi network that can support approximately 20 laptops.</t>
  </si>
  <si>
    <t>FAC01054</t>
  </si>
  <si>
    <t>Printing - Access to Printer</t>
  </si>
  <si>
    <t>MFDSHR</t>
  </si>
  <si>
    <t>submitted in the TEAP as A3 device, will be removed if not required</t>
  </si>
  <si>
    <t>Not required if  LCC will be located in Al Bidda</t>
  </si>
  <si>
    <t>FAC01055</t>
  </si>
  <si>
    <t>TSV</t>
  </si>
  <si>
    <t xml:space="preserve">with the TLOs </t>
  </si>
  <si>
    <t>SIM_Telco</t>
  </si>
  <si>
    <t>Telecom - SIM - Data Only</t>
  </si>
  <si>
    <t>SIMDAT</t>
  </si>
  <si>
    <t/>
  </si>
  <si>
    <t>Sim Cards to be given to the TLOs who will be at the teams Hotels</t>
  </si>
  <si>
    <t>FAC01056</t>
  </si>
  <si>
    <t>WKF</t>
  </si>
  <si>
    <t>Volunteer Support Services Centre</t>
  </si>
  <si>
    <t xml:space="preserve">To be utilised for FAC25 as well. </t>
  </si>
  <si>
    <t>FAC01057</t>
  </si>
  <si>
    <t>EU - Monitor</t>
  </si>
  <si>
    <t>DSKMNT</t>
  </si>
  <si>
    <t>FAC01058</t>
  </si>
  <si>
    <t>FAC01059</t>
  </si>
  <si>
    <t>FAC01060</t>
  </si>
  <si>
    <t>To be utilised for FAC25 as well. 
We need to print information for our call center as it is essential for supporting the day-to-day needs of our volunteer operations team</t>
  </si>
  <si>
    <t>FAC01061</t>
  </si>
  <si>
    <t>Telco - Special Request</t>
  </si>
  <si>
    <t>SPEREQ</t>
  </si>
  <si>
    <t>submitted to FIFA TEAP as mobile phone</t>
  </si>
  <si>
    <t>To be utilised for FAC25 as well. 
Mobile Phones and full package sim cards
The volunteer  call center is handling all the calls for the volunteer program and excuting all the calls requests from all  FAs.</t>
  </si>
  <si>
    <t>FAC01062</t>
  </si>
  <si>
    <t>To be utilised for FAC25 as well.</t>
  </si>
  <si>
    <t>FAC01063</t>
  </si>
  <si>
    <t>To be utilised for FAC25 as well. 
For use with the laptops</t>
  </si>
  <si>
    <t>FAC01064</t>
  </si>
  <si>
    <t>AV</t>
  </si>
  <si>
    <t>AV - TV - Large - Standalone</t>
  </si>
  <si>
    <t>TVLGSA</t>
  </si>
  <si>
    <t>To be utilised for FAC25 as well. 
Required to display  the stats on the screen</t>
  </si>
  <si>
    <t>FAC01065</t>
  </si>
  <si>
    <t>AV - Special Request</t>
  </si>
  <si>
    <t>AVRSPE</t>
  </si>
  <si>
    <t>To be utilised for FAC25 as well. 
Headset 
To be used in the call center for volunteers who are handling the calls</t>
  </si>
  <si>
    <t>FAC01066</t>
  </si>
  <si>
    <t>Uniform Distribution Centre</t>
  </si>
  <si>
    <t>FAC01067</t>
  </si>
  <si>
    <t>To be utilised for FAC25 as well. 
Prinetr to be shared between 2 volunteers at check-in (3)
In case of individual prinetr implemented for each agent,the number will be increased to 5</t>
  </si>
  <si>
    <t>FAC01068</t>
  </si>
  <si>
    <t>FAC01069</t>
  </si>
  <si>
    <t>FAC01070</t>
  </si>
  <si>
    <t>FAC01071</t>
  </si>
  <si>
    <t>To be utilised for FAC25 as well. 
Required to support Training sessions RST, VST for Uni &amp; ACR volunteers</t>
  </si>
  <si>
    <t>FAC01072</t>
  </si>
  <si>
    <t>WKF Centre</t>
  </si>
  <si>
    <t>FAC01073</t>
  </si>
  <si>
    <t>FAC01074</t>
  </si>
  <si>
    <t xml:space="preserve">To be utilised for FAC25 as well. 
Mobile Phones and full package sim cards
To contact volunteers for shift fulfilment </t>
  </si>
  <si>
    <t>FAC01075</t>
  </si>
  <si>
    <t>FAC01076</t>
  </si>
  <si>
    <t>AV - Portable Speaker</t>
  </si>
  <si>
    <t>PORSPE</t>
  </si>
  <si>
    <t>FAC01077</t>
  </si>
  <si>
    <t>MOB</t>
  </si>
  <si>
    <t>MOC</t>
  </si>
  <si>
    <t>VAPP Office</t>
  </si>
  <si>
    <t>FAC01078</t>
  </si>
  <si>
    <t>FAC01079</t>
  </si>
  <si>
    <t>FAC01080</t>
  </si>
  <si>
    <t>FAC01081</t>
  </si>
  <si>
    <t>FAC01082</t>
  </si>
  <si>
    <t>BUSS AND FLEETS OPS CENTER</t>
  </si>
  <si>
    <t>FAC01083</t>
  </si>
  <si>
    <t>FAC01084</t>
  </si>
  <si>
    <t>Network - Special Request</t>
  </si>
  <si>
    <t>WRDSPE</t>
  </si>
  <si>
    <t xml:space="preserve">For live tracking  and updated feeds from all the fleets and busses used for this tournament </t>
  </si>
  <si>
    <t>FAC01085</t>
  </si>
  <si>
    <t>multiple schedule printing and no access to the OPS center for unauthorized personnals</t>
  </si>
  <si>
    <t>FAC01086</t>
  </si>
  <si>
    <t>used as a hotline nnumber on the operatonal center in 2 shifts.</t>
  </si>
  <si>
    <t>FAC01087</t>
  </si>
  <si>
    <t>TKT</t>
  </si>
  <si>
    <t>Ticketing HQ (LOCATION TBC)</t>
  </si>
  <si>
    <t xml:space="preserve">4 x TV with HDMI </t>
  </si>
  <si>
    <t>FAC01088</t>
  </si>
  <si>
    <t>to be connected to TV-Large-Standalone</t>
  </si>
  <si>
    <t>FAC01089</t>
  </si>
  <si>
    <t>FAC01090</t>
  </si>
  <si>
    <t>1 x Wireless connection for up to 50 devices</t>
  </si>
  <si>
    <t>FAC01091</t>
  </si>
  <si>
    <t>Telecom - MiFi - Router</t>
  </si>
  <si>
    <t>ITSR4G</t>
  </si>
  <si>
    <t>Backup</t>
  </si>
  <si>
    <t>FAC01092</t>
  </si>
  <si>
    <t>A3 printer for Ticketing HQ (TBC)</t>
  </si>
  <si>
    <t>FAC01093</t>
  </si>
  <si>
    <t>A4 printer for Ticketing HQ (TBC)</t>
  </si>
  <si>
    <t>FAC01094</t>
  </si>
  <si>
    <t>Monitor 27" with cable for connection (HDMI, Thunderbolt(type-c), etc.)</t>
  </si>
  <si>
    <t>FAC01095</t>
  </si>
  <si>
    <t>Projector FHD with HDMI cable and screen - TBC</t>
  </si>
  <si>
    <t>FAC01096</t>
  </si>
  <si>
    <t>AND</t>
  </si>
  <si>
    <t>Al Maha Office</t>
  </si>
  <si>
    <t>FAC01097</t>
  </si>
  <si>
    <t>FAC01098</t>
  </si>
  <si>
    <t>FAC01099</t>
  </si>
  <si>
    <t>ICT</t>
  </si>
  <si>
    <t>RDR</t>
  </si>
  <si>
    <t>FAC01100</t>
  </si>
  <si>
    <t>(Multiple Items)</t>
  </si>
  <si>
    <t>Column Labels</t>
  </si>
  <si>
    <t>Service \ FA</t>
  </si>
  <si>
    <t>BRO</t>
  </si>
  <si>
    <t>CAT</t>
  </si>
  <si>
    <t>CER</t>
  </si>
  <si>
    <t>CMP</t>
  </si>
  <si>
    <t>ECR</t>
  </si>
  <si>
    <t>GOP</t>
  </si>
  <si>
    <t>MEO</t>
  </si>
  <si>
    <t>PLI</t>
  </si>
  <si>
    <t>SHU</t>
  </si>
  <si>
    <t>SSOC</t>
  </si>
  <si>
    <t>VUM</t>
  </si>
  <si>
    <t>SPS</t>
  </si>
  <si>
    <t>FIFA GOP</t>
  </si>
  <si>
    <t>REF</t>
  </si>
  <si>
    <t>Grand Total</t>
  </si>
  <si>
    <t>EU</t>
  </si>
  <si>
    <t>Services Per Owner</t>
  </si>
  <si>
    <t>Row Labels</t>
  </si>
  <si>
    <t>COM</t>
  </si>
  <si>
    <t>PWR</t>
  </si>
  <si>
    <t>AAS</t>
  </si>
  <si>
    <t>EU - SPE - Tablet</t>
  </si>
  <si>
    <t>EU - SPE - Mouse</t>
  </si>
  <si>
    <t>ABS</t>
  </si>
  <si>
    <t>ECS</t>
  </si>
  <si>
    <t>KIS</t>
  </si>
  <si>
    <t>LUS</t>
  </si>
  <si>
    <t>EU - NS - Eth to USB</t>
  </si>
  <si>
    <t>EU - SPE - Keyboard + Mouse</t>
  </si>
  <si>
    <t>FAC25. FAs' IT Service Activation Demand Per Month</t>
  </si>
  <si>
    <t>FA -&gt; Service</t>
  </si>
  <si>
    <t>NW</t>
  </si>
  <si>
    <t>Telco/SIM</t>
  </si>
  <si>
    <t>Telecom - SPE - Phone + SIM</t>
  </si>
  <si>
    <t>(All)</t>
  </si>
  <si>
    <t>Delivered</t>
  </si>
  <si>
    <t>FALSE</t>
  </si>
  <si>
    <t xml:space="preserve">Sum of New Quantity </t>
  </si>
  <si>
    <t>VIP Hotel</t>
  </si>
  <si>
    <t>Guest ops office</t>
  </si>
  <si>
    <t>Telecom - SPE - Voice SIM</t>
  </si>
  <si>
    <t>Chiefs and senior mgmt. office</t>
  </si>
  <si>
    <t>FIFA Club</t>
  </si>
  <si>
    <t>LOC Office</t>
  </si>
  <si>
    <t>Entire Hotel</t>
  </si>
  <si>
    <t>WiFi - VIP WiFi</t>
  </si>
  <si>
    <t>REF Hotel</t>
  </si>
  <si>
    <t>Instant Feedback</t>
  </si>
  <si>
    <t>WiFi - Football</t>
  </si>
  <si>
    <t>Fitness Office - Al Dana 2</t>
  </si>
  <si>
    <t>Legacy Projector</t>
  </si>
  <si>
    <t>Class Room - Alwajba 2+3</t>
  </si>
  <si>
    <t>Professional Speakers and Microphones</t>
  </si>
  <si>
    <t>Match Analysts - Al Diwan 2</t>
  </si>
  <si>
    <t>Dedicated 100 Mbps</t>
  </si>
  <si>
    <t>Technical Office - Al Dana 1</t>
  </si>
  <si>
    <t>REF Administration - Barzan</t>
  </si>
  <si>
    <t>Physio/ Medical Room</t>
  </si>
  <si>
    <t>Broadcast Compound</t>
  </si>
  <si>
    <t>FTI equiment cabin</t>
  </si>
  <si>
    <t>Network - WIRED - FTI</t>
  </si>
  <si>
    <t>HB OB Van</t>
  </si>
  <si>
    <t>TOC</t>
  </si>
  <si>
    <t>All Cabins</t>
  </si>
  <si>
    <t>WiFi - Media WiFi</t>
  </si>
  <si>
    <t>Competition Areas</t>
  </si>
  <si>
    <t>FIFA Match Director office</t>
  </si>
  <si>
    <t>Flash interview positions</t>
  </si>
  <si>
    <t>Network - WIRED - Photo</t>
  </si>
  <si>
    <t>MCM room</t>
  </si>
  <si>
    <t>Player Medical Clinic</t>
  </si>
  <si>
    <t>Field of Play</t>
  </si>
  <si>
    <t>4th official Bench</t>
  </si>
  <si>
    <t>Photographers Pitch Positions</t>
  </si>
  <si>
    <t>Photographers Pitch Positions - Behind Goal L</t>
  </si>
  <si>
    <t>Photographers Pitch Positions - Behind Goal R</t>
  </si>
  <si>
    <t>Photographers Pitch Positions 16 m line (4+4)</t>
  </si>
  <si>
    <t>Pitchside presentation positions 16m</t>
  </si>
  <si>
    <t>Presentation positions behind goals</t>
  </si>
  <si>
    <t>Team A + Team B Benches</t>
  </si>
  <si>
    <t>Media Areas</t>
  </si>
  <si>
    <t>Media Café</t>
  </si>
  <si>
    <t>Media Welcome Desk</t>
  </si>
  <si>
    <t>Mixed Zone</t>
  </si>
  <si>
    <t>Press Conference Room</t>
  </si>
  <si>
    <t>AV - SP - PCR Audio</t>
  </si>
  <si>
    <t>SMC Media Information Desk</t>
  </si>
  <si>
    <t>SMC Working Area</t>
  </si>
  <si>
    <t>SMC Working Area - Media</t>
  </si>
  <si>
    <t>SMC Working Area - Photographers</t>
  </si>
  <si>
    <t>Media Tribunes</t>
  </si>
  <si>
    <t>Analysts desks A</t>
  </si>
  <si>
    <t>Network - WIRED - Media</t>
  </si>
  <si>
    <t>Analysts desks A&amp;B</t>
  </si>
  <si>
    <t>TV - Media Tribunes - CATV</t>
  </si>
  <si>
    <t>Analysts desks B</t>
  </si>
  <si>
    <t>Commentary positions</t>
  </si>
  <si>
    <t>Media Tribune</t>
  </si>
  <si>
    <t>Media Tribune - Data Collector</t>
  </si>
  <si>
    <t>Media Tribune Photo Positions</t>
  </si>
  <si>
    <t>Other</t>
  </si>
  <si>
    <t>ACS Office</t>
  </si>
  <si>
    <t>VOC</t>
  </si>
  <si>
    <t>Workforce Centre</t>
  </si>
  <si>
    <t>Workforce Centre - Office</t>
  </si>
  <si>
    <t>Stadium - Hospitality</t>
  </si>
  <si>
    <t>Hospitality Areas</t>
  </si>
  <si>
    <t>WiFi - HOS WiFi</t>
  </si>
  <si>
    <t>Stadium Inner Perimeter</t>
  </si>
  <si>
    <t>F&amp;B Concessions</t>
  </si>
  <si>
    <t>WiFi - Technical</t>
  </si>
  <si>
    <t>General stadium area</t>
  </si>
  <si>
    <t>Spectator Clinics</t>
  </si>
  <si>
    <t>SPS Office</t>
  </si>
  <si>
    <t>TCR</t>
  </si>
  <si>
    <t>Internet Line</t>
  </si>
  <si>
    <t>Ticketing Resolution points 1-4 (4)</t>
  </si>
  <si>
    <t>Stadium Offices</t>
  </si>
  <si>
    <t>Admin office (10)</t>
  </si>
  <si>
    <t>Broadcast Management Office</t>
  </si>
  <si>
    <t xml:space="preserve">Ceremonies/PMC Office </t>
  </si>
  <si>
    <t>Content Production 1</t>
  </si>
  <si>
    <t>Content Production 2</t>
  </si>
  <si>
    <t>General Office</t>
  </si>
  <si>
    <t>Graphics production office</t>
  </si>
  <si>
    <t>Infotainment Control Room</t>
  </si>
  <si>
    <t>LOC/FIFA MEO Office</t>
  </si>
  <si>
    <t>LOG Compound</t>
  </si>
  <si>
    <t>MRD Office/Youth Program Room</t>
  </si>
  <si>
    <t>TV/Presentation Studios</t>
  </si>
  <si>
    <t>Venue Commander' office (5)</t>
  </si>
  <si>
    <t>Venue Commander's office</t>
  </si>
  <si>
    <t>Venue EACS office (1) - TBC</t>
  </si>
  <si>
    <t>Venue Operations Centre (VOC) (1)</t>
  </si>
  <si>
    <t>Venue Security Coordinators' office (5)</t>
  </si>
  <si>
    <t>VUM Office</t>
  </si>
  <si>
    <t>ICT Storage</t>
  </si>
  <si>
    <t>Stadium Outer Perimeter</t>
  </si>
  <si>
    <t>External building allocated to FAs</t>
  </si>
  <si>
    <t>Fan Zone Operational area</t>
  </si>
  <si>
    <t>Mobility  - event Transport / Last mile  offices</t>
  </si>
  <si>
    <t>Outer perimeter entry points (M&amp;Bs) (5)</t>
  </si>
  <si>
    <t>STC 1-6 (6 portable cabins)</t>
  </si>
  <si>
    <t>Venue Accreditation Help Office</t>
  </si>
  <si>
    <t>STC 1-2</t>
  </si>
  <si>
    <t>WiFi - Public</t>
  </si>
  <si>
    <t>STC 3-4</t>
  </si>
  <si>
    <t>Network - WIRED - Technical</t>
  </si>
  <si>
    <t>VIP/VVIP Areas</t>
  </si>
  <si>
    <t>VIP area</t>
  </si>
  <si>
    <t>VIP Medical Clinic</t>
  </si>
  <si>
    <t>VVIP area</t>
  </si>
  <si>
    <t>TV - IPTV - Legacy</t>
  </si>
  <si>
    <t>VVIP Medical Clinic</t>
  </si>
  <si>
    <t>Competition Area</t>
  </si>
  <si>
    <t>Doping Control Room</t>
  </si>
  <si>
    <t>LOC CMP Office</t>
  </si>
  <si>
    <t>MMC</t>
  </si>
  <si>
    <t>STC 1-8 (8 portable cabins)</t>
  </si>
  <si>
    <t>Training site</t>
  </si>
  <si>
    <t>Pitch</t>
  </si>
  <si>
    <t>Event workforce</t>
  </si>
  <si>
    <t>TRUE</t>
  </si>
  <si>
    <t>Main Ticketing Centre (1) TBC</t>
  </si>
  <si>
    <t>Ticketing Resolution points 1-6 (6)</t>
  </si>
  <si>
    <t>Restricted Items Storages</t>
  </si>
  <si>
    <t>Outer perimeter entry points (M&amp;Bs) (10)</t>
  </si>
  <si>
    <t>Outer perimeter entry points (M&amp;Bs) (15)</t>
  </si>
  <si>
    <t>Outer perimeter entry points (M&amp;Bs) (6)</t>
  </si>
  <si>
    <t>MOC - BUS AND FLEET OPS CENTER</t>
  </si>
  <si>
    <t>Photographers Working Area</t>
  </si>
  <si>
    <t>BRS office</t>
  </si>
  <si>
    <t>Media Information Desk</t>
  </si>
  <si>
    <t>Media working area</t>
  </si>
  <si>
    <t>AV - SP - VideoWall</t>
  </si>
  <si>
    <t>MEO Office</t>
  </si>
  <si>
    <t>Venue Commander Office</t>
  </si>
  <si>
    <t>Ceremonies Office</t>
  </si>
  <si>
    <t>LOC MEO Office</t>
  </si>
  <si>
    <t>Details for Sum of New Quantity  - Item: TV - Large - IPTV, Venue: ABS, Owner: AV, Category: AV, Delivered: FALSE (+)</t>
  </si>
  <si>
    <t>VTM Status</t>
  </si>
  <si>
    <t>Broadcast Operations</t>
  </si>
  <si>
    <t>Confirmed</t>
  </si>
  <si>
    <t>SK 15/10: Changed to IPTV</t>
  </si>
  <si>
    <t>FAC00227</t>
  </si>
  <si>
    <t>Ceremonies &amp; Infotainment</t>
  </si>
  <si>
    <t>TV + STB</t>
  </si>
  <si>
    <t>SK 04.10: Based on Service availability. Nice to have item</t>
  </si>
  <si>
    <t>FAC00051</t>
  </si>
  <si>
    <t xml:space="preserve">Events and Community Relations </t>
  </si>
  <si>
    <t>OVL TV</t>
  </si>
  <si>
    <t>SK 21/10: Based on legacy availability</t>
  </si>
  <si>
    <t>with TV live stream</t>
  </si>
  <si>
    <t>FAC00455</t>
  </si>
  <si>
    <t>Competition</t>
  </si>
  <si>
    <t>FAC00558</t>
  </si>
  <si>
    <t>Media Operations</t>
  </si>
  <si>
    <t>FIFA MEO Office</t>
  </si>
  <si>
    <t>AVSPCR</t>
  </si>
  <si>
    <t>SK 14/10: As per MEO confirmation</t>
  </si>
  <si>
    <t>FAC00744</t>
  </si>
  <si>
    <t>HOS</t>
  </si>
  <si>
    <t>Hospitality Services</t>
  </si>
  <si>
    <t>MI 30.10: Quantity reduced from 26 to 16 after CR evaluation
MI 19.10: CR009 HOS requirements</t>
  </si>
  <si>
    <t>FAC00742</t>
  </si>
  <si>
    <t xml:space="preserve">MI 19.10: CR010: FIFA Request for TV at the Mixed Zone </t>
  </si>
  <si>
    <t>MRD</t>
  </si>
  <si>
    <t>Commercial/MRD</t>
  </si>
  <si>
    <t>SK 27/10: Confirmed with Bradley to keep 1 IPTV and 1 Standalone TV</t>
  </si>
  <si>
    <t>TVs to be used at Comm/MRD Partners Offices &amp;  YP Room with possible use of Playstations</t>
  </si>
  <si>
    <t>FAC00479</t>
  </si>
  <si>
    <t>FAC00733</t>
  </si>
  <si>
    <t>MED</t>
  </si>
  <si>
    <t>Medical</t>
  </si>
  <si>
    <t>Required for Match Coverage</t>
  </si>
  <si>
    <t>SK 21/10: To Confirm Necessety</t>
  </si>
  <si>
    <t>FAC00413</t>
  </si>
  <si>
    <t>FAC00725</t>
  </si>
  <si>
    <t>Venue Management</t>
  </si>
  <si>
    <t>To Validate</t>
  </si>
  <si>
    <t>SK 21/10: To Check with Venue if Available already</t>
  </si>
  <si>
    <t>FAC00071</t>
  </si>
  <si>
    <t>Guest Operations</t>
  </si>
  <si>
    <t>TV stand  for large TV is required</t>
  </si>
  <si>
    <t>FAC00532</t>
  </si>
  <si>
    <t>Workforce</t>
  </si>
  <si>
    <t>SK 21.10: + HDMI</t>
  </si>
  <si>
    <t>With stand and remote</t>
  </si>
  <si>
    <t>FAC00365</t>
  </si>
  <si>
    <t>CCR</t>
  </si>
  <si>
    <t>PCR</t>
  </si>
  <si>
    <t>Training Rooms</t>
  </si>
  <si>
    <t xml:space="preserve">Welome Desk &amp; Training Rooms </t>
  </si>
  <si>
    <t>Venue Ticketing office (1) - TBC</t>
  </si>
  <si>
    <t>Accreditation</t>
  </si>
  <si>
    <t>To scan QIDs and accreditations. Start date TBC once match schedule is available.</t>
  </si>
  <si>
    <t>FAC00517</t>
  </si>
  <si>
    <t>Venue Security Coordinators' office</t>
  </si>
  <si>
    <t>Mobility  - Parking /  Event Transport / Last mile  offices</t>
  </si>
  <si>
    <t>LOC protocol office</t>
  </si>
  <si>
    <t>QTY</t>
  </si>
  <si>
    <t>TSG</t>
  </si>
  <si>
    <t>ACS</t>
  </si>
  <si>
    <t>All areas</t>
  </si>
  <si>
    <t xml:space="preserve">Contractors canteen </t>
  </si>
  <si>
    <t>Entry gates (TBC)</t>
  </si>
  <si>
    <t>Ceremonies Holding Area</t>
  </si>
  <si>
    <t>Green Rooms</t>
  </si>
  <si>
    <t>FNB</t>
  </si>
  <si>
    <t>FVS cabin</t>
  </si>
  <si>
    <t>TV</t>
  </si>
  <si>
    <t>Speaker</t>
  </si>
  <si>
    <t>CATV</t>
  </si>
  <si>
    <t>Headend</t>
  </si>
  <si>
    <t>FAC25. BRO - IT Service Demand</t>
  </si>
  <si>
    <t>Graphics production cabin</t>
  </si>
  <si>
    <t>IBCC cabins</t>
  </si>
  <si>
    <t>TIR cabin</t>
  </si>
  <si>
    <t>TV Studio</t>
  </si>
  <si>
    <t>(blank)</t>
  </si>
  <si>
    <t>FAC25. Printing Scope Draft</t>
  </si>
  <si>
    <t>require attention as OVL</t>
  </si>
  <si>
    <t>FAC25. UDAC - IT Service Demand</t>
  </si>
  <si>
    <t>Not available</t>
  </si>
  <si>
    <t>WKF canteen</t>
  </si>
  <si>
    <t>SSOC UAC</t>
  </si>
  <si>
    <t>&lt;9/1/2025</t>
  </si>
  <si>
    <t>Sep</t>
  </si>
  <si>
    <t>Oct</t>
  </si>
  <si>
    <t>Oct Total</t>
  </si>
  <si>
    <t>Nov</t>
  </si>
  <si>
    <t>Nov Total</t>
  </si>
  <si>
    <t>Dec</t>
  </si>
  <si>
    <t>12-Oct</t>
  </si>
  <si>
    <t>14-Oct</t>
  </si>
  <si>
    <t>20-Oct</t>
  </si>
  <si>
    <t>1-Oct</t>
  </si>
  <si>
    <t>15-Nov</t>
  </si>
  <si>
    <t>16-Nov</t>
  </si>
  <si>
    <t>20-Nov</t>
  </si>
  <si>
    <t>22-Nov</t>
  </si>
  <si>
    <t>1-Nov</t>
  </si>
  <si>
    <t>9-Nov</t>
  </si>
  <si>
    <t>Broadcast Office</t>
  </si>
  <si>
    <t>Comms Office</t>
  </si>
  <si>
    <t>Head Coach Holding Area/Interview Studio</t>
  </si>
  <si>
    <t>MEO Meeting Room</t>
  </si>
  <si>
    <t>Photography Service Centre Desk</t>
  </si>
  <si>
    <t>FAC25. AlBidda- IT Service Demand</t>
  </si>
  <si>
    <t xml:space="preserve">Ground floor - VAPP Office </t>
  </si>
  <si>
    <t>Workforce Centre - Welcome Zone</t>
  </si>
  <si>
    <t>Event Transport ooffice</t>
  </si>
  <si>
    <t>FAC25. NW Cabling Scope Draft</t>
  </si>
  <si>
    <t>FIFA Services</t>
  </si>
  <si>
    <t>LOC Services</t>
  </si>
  <si>
    <t>FP Name</t>
  </si>
  <si>
    <t>Item Name</t>
  </si>
  <si>
    <t>Description</t>
  </si>
  <si>
    <t>FIFA Representation Code</t>
  </si>
  <si>
    <t>Onwer</t>
  </si>
  <si>
    <t>Audio</t>
  </si>
  <si>
    <t>AV Solution (Mics + Speakers)</t>
  </si>
  <si>
    <t>AVMSYS</t>
  </si>
  <si>
    <t>TV Screen with HDMI cable</t>
  </si>
  <si>
    <t>Audio transformer SDI to USB</t>
  </si>
  <si>
    <t>AUDUSB</t>
  </si>
  <si>
    <t>Portable speacker with handheld wireless mic</t>
  </si>
  <si>
    <t>To be described in notes</t>
  </si>
  <si>
    <t>TV - Small - Media Tribunes - RF Distro</t>
  </si>
  <si>
    <t>TVSMRF</t>
  </si>
  <si>
    <t>Live feed TV</t>
  </si>
  <si>
    <t>TV - Medium - Standalone</t>
  </si>
  <si>
    <t>TVMDSA</t>
  </si>
  <si>
    <t>Low latency Live TV solution for Media Tribune</t>
  </si>
  <si>
    <t>Display Devices</t>
  </si>
  <si>
    <t>TV - Large - Standalone</t>
  </si>
  <si>
    <t>Office Projector - 6K</t>
  </si>
  <si>
    <t>Proj6k</t>
  </si>
  <si>
    <t>Shared Laptop for Event Operations</t>
  </si>
  <si>
    <t>LAPEVT</t>
  </si>
  <si>
    <t>FIFA IT Hardware</t>
  </si>
  <si>
    <t>Tablet - FIFA Professional Tablet + 4G</t>
  </si>
  <si>
    <t>TABLEN</t>
  </si>
  <si>
    <t>External Monitor</t>
  </si>
  <si>
    <t>Laptop - Presentation Build</t>
  </si>
  <si>
    <t>LAPPRE</t>
  </si>
  <si>
    <t>Laptop - FIFA Event Build</t>
  </si>
  <si>
    <t>Network cable port with internet access</t>
  </si>
  <si>
    <t>FIFA IT Network Solutions</t>
  </si>
  <si>
    <t xml:space="preserve">IT Solution - 4G Internet backup </t>
  </si>
  <si>
    <t>ITSIBU</t>
  </si>
  <si>
    <t>IT Solution - Router + 4G</t>
  </si>
  <si>
    <t>Dedicated A4 printer&amp;scanner, please describe why it should be dedicated</t>
  </si>
  <si>
    <t>Network &amp; Connectivity</t>
  </si>
  <si>
    <t>Wireless coverage - Shared Internet Service - Wi-Fi FIFA</t>
  </si>
  <si>
    <t>IS00WF</t>
  </si>
  <si>
    <t>Dedicated A3/A4 printer &amp; scanner, please describe why it should be dedicated</t>
  </si>
  <si>
    <t>Wireless coverage - Shared Internet Service - Wi-Fi FOOTBALL</t>
  </si>
  <si>
    <t>IS00WS</t>
  </si>
  <si>
    <t>Access to shared printer&amp;scanner</t>
  </si>
  <si>
    <t>Wired Port - Team A</t>
  </si>
  <si>
    <t>WRDTMA</t>
  </si>
  <si>
    <t>Printing - Special Request</t>
  </si>
  <si>
    <t>MFDSPE</t>
  </si>
  <si>
    <t>Special Request, e.g. technician</t>
  </si>
  <si>
    <t>Wired Port - Media Internet</t>
  </si>
  <si>
    <t>WRDMED</t>
  </si>
  <si>
    <t>Mobile router, for remote or outstanding locations</t>
  </si>
  <si>
    <t>Wired Port - ACR-TKT-Ipcodec</t>
  </si>
  <si>
    <t>WRDSTA</t>
  </si>
  <si>
    <t>Data package, usage to be described in notes</t>
  </si>
  <si>
    <t>Wired Port - Team B</t>
  </si>
  <si>
    <t>WRDTMB</t>
  </si>
  <si>
    <t>Wireless coverage - Shared Internet Service - Wi-Fi VIP</t>
  </si>
  <si>
    <t>IS00VP</t>
  </si>
  <si>
    <t>WiFi for staff</t>
  </si>
  <si>
    <t xml:space="preserve">Wired Port - General Internet </t>
  </si>
  <si>
    <t>WANVIP</t>
  </si>
  <si>
    <t>WiFi for suites and Lounges</t>
  </si>
  <si>
    <t>Wired Port - Photographers</t>
  </si>
  <si>
    <t>WRDPHO</t>
  </si>
  <si>
    <t>WANHOS</t>
  </si>
  <si>
    <t>Wireless coverage - Internet Service - Wi-Fi Media</t>
  </si>
  <si>
    <t>IS00WM</t>
  </si>
  <si>
    <t>WANMEO</t>
  </si>
  <si>
    <t>WiFi for Media</t>
  </si>
  <si>
    <t>IT Monitoring network port</t>
  </si>
  <si>
    <t>ITMON</t>
  </si>
  <si>
    <t>WANTMS</t>
  </si>
  <si>
    <t>WiFi for Teams and PMAs</t>
  </si>
  <si>
    <t>Internet Service - 50Mbps</t>
  </si>
  <si>
    <t>IS0050</t>
  </si>
  <si>
    <t>WiFi - Mobile</t>
  </si>
  <si>
    <t>WANMOB</t>
  </si>
  <si>
    <t>WiFi based on 5G coverage for remote or outstanding locations</t>
  </si>
  <si>
    <t>Wired Port - Stream &amp; World feed</t>
  </si>
  <si>
    <t>WRDSTR</t>
  </si>
  <si>
    <t>Wired Port - FTI</t>
  </si>
  <si>
    <t>WRDFTI</t>
  </si>
  <si>
    <t>Wired Port - Content</t>
  </si>
  <si>
    <t>WRDSTU</t>
  </si>
  <si>
    <t>Wired Port - 100Mbps - guaranteed</t>
  </si>
  <si>
    <t>WDF100</t>
  </si>
  <si>
    <t>TVLLEG</t>
  </si>
  <si>
    <t>Live feed TV - Legacy</t>
  </si>
  <si>
    <t>Wireless coverage - Internet Service - Wi-Fi Guests</t>
  </si>
  <si>
    <t>IS00WV</t>
  </si>
  <si>
    <t>EUSPMO</t>
  </si>
  <si>
    <t>Wired Port - TSG</t>
  </si>
  <si>
    <t>WRDTSG</t>
  </si>
  <si>
    <t>EUSPTA</t>
  </si>
  <si>
    <t>Wired Port - 20Mbps - guaranteed</t>
  </si>
  <si>
    <t>WDF020</t>
  </si>
  <si>
    <t>Peripherals</t>
  </si>
  <si>
    <t>24" Monitor - HDMI/DP</t>
  </si>
  <si>
    <t>TV Stand - Medium &amp; Large TVs</t>
  </si>
  <si>
    <t>TVSTND</t>
  </si>
  <si>
    <t>Network - WIRED - Stream</t>
  </si>
  <si>
    <t>Laptop Cable Lock</t>
  </si>
  <si>
    <t>CABLOK</t>
  </si>
  <si>
    <t>Barcode scanner</t>
  </si>
  <si>
    <t>Portable Speaker</t>
  </si>
  <si>
    <t>Webcam</t>
  </si>
  <si>
    <t>CAM001</t>
  </si>
  <si>
    <t>Radio</t>
  </si>
  <si>
    <t>Radio PMR In Stadium</t>
  </si>
  <si>
    <t>RADIO</t>
  </si>
  <si>
    <t>Network - WIRED - TSG</t>
  </si>
  <si>
    <t>Reprographics</t>
  </si>
  <si>
    <t>MFD Desktop - Colour - A4 - Network</t>
  </si>
  <si>
    <t>Network - WIRED - Content</t>
  </si>
  <si>
    <t>Printer - Colour - A4 - Network</t>
  </si>
  <si>
    <t>PRTCNW</t>
  </si>
  <si>
    <t>AVSPVW</t>
  </si>
  <si>
    <t>MFD Large - Colour - A3 - Network</t>
  </si>
  <si>
    <t>Telephony</t>
  </si>
  <si>
    <t>Telephone - Mobile - Smart Phone</t>
  </si>
  <si>
    <t>TELMOB</t>
  </si>
  <si>
    <t>SIM - Data Only</t>
  </si>
  <si>
    <t>SIM - International</t>
  </si>
  <si>
    <t>SIMINT</t>
  </si>
  <si>
    <t>SIM - Domestic</t>
  </si>
  <si>
    <t>SIMDOM</t>
  </si>
  <si>
    <t>Service Owners</t>
  </si>
  <si>
    <t>Custom Services</t>
  </si>
  <si>
    <t>Title</t>
  </si>
  <si>
    <t>Services</t>
  </si>
  <si>
    <t>Special Request</t>
  </si>
  <si>
    <t>UNI IT Setup</t>
  </si>
  <si>
    <t>AV, CATV, IPTV, PA etc.</t>
  </si>
  <si>
    <t>Volunteer Support IT Setup</t>
  </si>
  <si>
    <t>Telecom Services</t>
  </si>
  <si>
    <t>WKF Centre IT Setup</t>
  </si>
  <si>
    <t>End-User Equipment and Support</t>
  </si>
  <si>
    <t>VTM</t>
  </si>
  <si>
    <t xml:space="preserve">Venue Technology </t>
  </si>
  <si>
    <t>NEW</t>
  </si>
  <si>
    <t>SK 21/10: To consider Tech WiFi creation</t>
  </si>
  <si>
    <t>quantity according the number of concessions and POS number</t>
  </si>
  <si>
    <t>FAC00001</t>
  </si>
  <si>
    <t>FAC00002</t>
  </si>
  <si>
    <t>FAC00003</t>
  </si>
  <si>
    <t>FAC00004</t>
  </si>
  <si>
    <t>FAC00005</t>
  </si>
  <si>
    <t>FAC00006</t>
  </si>
  <si>
    <t>FAC00007</t>
  </si>
  <si>
    <t>SK 05/10: Changed to access to printer. The device should be available.</t>
  </si>
  <si>
    <t>FAC00008</t>
  </si>
  <si>
    <t>MOC - WKF canteen</t>
  </si>
  <si>
    <t>Canceled</t>
  </si>
  <si>
    <t>16.09 MI: Scope removed</t>
  </si>
  <si>
    <t>Meal redemption process</t>
  </si>
  <si>
    <t>FAC00135</t>
  </si>
  <si>
    <t>FAC00136</t>
  </si>
  <si>
    <t>SK 17.09: Merged with FAC01053. Reduced to 2 since located in Al Bidda
SK 05.10: Changed to Standalone TV instead of IPTV</t>
  </si>
  <si>
    <t>FAC00310</t>
  </si>
  <si>
    <t>SK 17.09: Merged with FAC01054. To Validate with EU</t>
  </si>
  <si>
    <t>FAC00311</t>
  </si>
  <si>
    <t>FAC00013</t>
  </si>
  <si>
    <t>FAC00014</t>
  </si>
  <si>
    <t>FAC00015</t>
  </si>
  <si>
    <t>FAC00016</t>
  </si>
  <si>
    <t>FAC00017</t>
  </si>
  <si>
    <t>FAC00018</t>
  </si>
  <si>
    <t>FAC00019</t>
  </si>
  <si>
    <t>FAC00020</t>
  </si>
  <si>
    <t>FAC00021</t>
  </si>
  <si>
    <t>FAC00022</t>
  </si>
  <si>
    <t>FAC00023</t>
  </si>
  <si>
    <t>FAC00024</t>
  </si>
  <si>
    <t>SK 06/10: Confirmed that in EMC scope by Rana Dagher on 03.09</t>
  </si>
  <si>
    <t>Cue Sheets, Line Ups and any other required documents as IFT team cannot leave the control room</t>
  </si>
  <si>
    <t>FAC00025</t>
  </si>
  <si>
    <t>FAC00026</t>
  </si>
  <si>
    <t>FAC00027</t>
  </si>
  <si>
    <t>FAC00028</t>
  </si>
  <si>
    <t>FAC00029</t>
  </si>
  <si>
    <t>FAC00030</t>
  </si>
  <si>
    <t>SK 06/10: General office device to be used</t>
  </si>
  <si>
    <t>Maps, Routes, Signage and other required documents for Operations</t>
  </si>
  <si>
    <t>FAC00031</t>
  </si>
  <si>
    <t>FAC00032</t>
  </si>
  <si>
    <t>FAC00033</t>
  </si>
  <si>
    <t>FAC00034</t>
  </si>
  <si>
    <t>FAC00035</t>
  </si>
  <si>
    <t>FAC00036</t>
  </si>
  <si>
    <t>High speed internet coverage for  IFT control room</t>
  </si>
  <si>
    <t>FAC00037</t>
  </si>
  <si>
    <t>FAC00038</t>
  </si>
  <si>
    <t>FAC00039</t>
  </si>
  <si>
    <t>FAC00040</t>
  </si>
  <si>
    <t>FAC00041</t>
  </si>
  <si>
    <t>FAC00042</t>
  </si>
  <si>
    <t>FAC00043</t>
  </si>
  <si>
    <t>FAC00044</t>
  </si>
  <si>
    <t xml:space="preserve">SK 04.10: WiFi capacity is insufficient. </t>
  </si>
  <si>
    <t>FAC00045</t>
  </si>
  <si>
    <t>Ceremonies/PMC Office</t>
  </si>
  <si>
    <t>FAC00046</t>
  </si>
  <si>
    <t>FAC00047</t>
  </si>
  <si>
    <t>FAC00048</t>
  </si>
  <si>
    <t>FAC00049</t>
  </si>
  <si>
    <t>FAC00050</t>
  </si>
  <si>
    <t>FAC00052</t>
  </si>
  <si>
    <t>SK 30/07: start date changed from 1 Jul to 1-Sep as per input from Apos</t>
  </si>
  <si>
    <t>FAC00053</t>
  </si>
  <si>
    <t>FAC00054</t>
  </si>
  <si>
    <t>SK 21/10: General LOC offices only</t>
  </si>
  <si>
    <t>FAC00055</t>
  </si>
  <si>
    <t>FAC00056</t>
  </si>
  <si>
    <t>Or projector if available on venue, please liaise with Stadium Authority.</t>
  </si>
  <si>
    <t>FAC00057</t>
  </si>
  <si>
    <t>This is for the use of all FAs that will be staying in the general office area.</t>
  </si>
  <si>
    <t>FAC00058</t>
  </si>
  <si>
    <t>This is for important documents related to the Venue Management.</t>
  </si>
  <si>
    <t>FAC00059</t>
  </si>
  <si>
    <t>FAC00060</t>
  </si>
  <si>
    <t>FAC00061</t>
  </si>
  <si>
    <t>FAC00062</t>
  </si>
  <si>
    <t>FAC00063</t>
  </si>
  <si>
    <t>FAC00064</t>
  </si>
  <si>
    <t>FAC00065</t>
  </si>
  <si>
    <t>FAC00066</t>
  </si>
  <si>
    <t>Please provide WiFi for external bldgs such as Admin Bldg and halls.</t>
  </si>
  <si>
    <t>FAC00067</t>
  </si>
  <si>
    <t>FAC00068</t>
  </si>
  <si>
    <t>FAC00069</t>
  </si>
  <si>
    <t>FAC00070</t>
  </si>
  <si>
    <t>FAC00072</t>
  </si>
  <si>
    <t>FAC00073</t>
  </si>
  <si>
    <t>FAC00074</t>
  </si>
  <si>
    <t>FAC00075</t>
  </si>
  <si>
    <t>FAC00076</t>
  </si>
  <si>
    <t>FAC00077</t>
  </si>
  <si>
    <t>FAC00078</t>
  </si>
  <si>
    <t>FAC00079</t>
  </si>
  <si>
    <t>FAC00080</t>
  </si>
  <si>
    <t>FAC00081</t>
  </si>
  <si>
    <t>Please provide WiFi for external bldgs (SSOC/ MOI, WKF/VOL Centre).</t>
  </si>
  <si>
    <t>FAC00082</t>
  </si>
  <si>
    <t>FAC00083</t>
  </si>
  <si>
    <t>FAC00084</t>
  </si>
  <si>
    <t>FAC00085</t>
  </si>
  <si>
    <t>FAC00086</t>
  </si>
  <si>
    <t>FAC00087</t>
  </si>
  <si>
    <t>FAC00088</t>
  </si>
  <si>
    <t>FAC00089</t>
  </si>
  <si>
    <t>FAC00090</t>
  </si>
  <si>
    <t>FAC00091</t>
  </si>
  <si>
    <t>FAC00092</t>
  </si>
  <si>
    <t>FAC00093</t>
  </si>
  <si>
    <t>FAC00094</t>
  </si>
  <si>
    <t>FAC00095</t>
  </si>
  <si>
    <t>FAC00096</t>
  </si>
  <si>
    <t xml:space="preserve">VUM Office </t>
  </si>
  <si>
    <t>Offices located in mezzanine floor.</t>
  </si>
  <si>
    <t>FAC00097</t>
  </si>
  <si>
    <t>FAC00098</t>
  </si>
  <si>
    <t>FAC00099</t>
  </si>
  <si>
    <t>This is for the use of all FAs and VUM located in the 1st floor offices.</t>
  </si>
  <si>
    <t>FAC00100</t>
  </si>
  <si>
    <t>FAC00101</t>
  </si>
  <si>
    <t>16.09 MI: Quantity changed from 3 to 2</t>
  </si>
  <si>
    <t>FAC00102</t>
  </si>
  <si>
    <t>FAC00103</t>
  </si>
  <si>
    <t>FAC00104</t>
  </si>
  <si>
    <t>FAC00105</t>
  </si>
  <si>
    <t xml:space="preserve">WIFI connection </t>
  </si>
  <si>
    <t>FAC00106</t>
  </si>
  <si>
    <t>FAC00107</t>
  </si>
  <si>
    <t>FAC00108</t>
  </si>
  <si>
    <t>FAC00109</t>
  </si>
  <si>
    <t>FAC00110</t>
  </si>
  <si>
    <t>FAC00111</t>
  </si>
  <si>
    <t>FAC00112</t>
  </si>
  <si>
    <t>FAC00113</t>
  </si>
  <si>
    <t>FAC00114</t>
  </si>
  <si>
    <t>FAC00115</t>
  </si>
  <si>
    <t>FAC00116</t>
  </si>
  <si>
    <t>FAC00117</t>
  </si>
  <si>
    <t>FAC00118</t>
  </si>
  <si>
    <t>FAC00119</t>
  </si>
  <si>
    <t>FAC00120</t>
  </si>
  <si>
    <t>FAC00121</t>
  </si>
  <si>
    <t>FAC00122</t>
  </si>
  <si>
    <t>FAC00123</t>
  </si>
  <si>
    <t>FAC00124</t>
  </si>
  <si>
    <t>FAC00125</t>
  </si>
  <si>
    <t>FAC00126</t>
  </si>
  <si>
    <t>Laptop will be moved from Aspire to KIS as per Catering Team</t>
  </si>
  <si>
    <t>FAC00127</t>
  </si>
  <si>
    <t>FAC00128</t>
  </si>
  <si>
    <t>FAC00129</t>
  </si>
  <si>
    <t>FAC00130</t>
  </si>
  <si>
    <t>FAC00131</t>
  </si>
  <si>
    <t>SK 17.09: Removed since located at Al Bidda. Merged with FAC01055</t>
  </si>
  <si>
    <t>FAC00312</t>
  </si>
  <si>
    <t xml:space="preserve">MI 14.10: CR002 change request to provide 1 SIM card </t>
  </si>
  <si>
    <t>for communications FA, Stakeholder FA, Media relations FA</t>
  </si>
  <si>
    <t>FAC00343</t>
  </si>
  <si>
    <t>FAC00344</t>
  </si>
  <si>
    <t>SK 05:10: To validate requirements if needed-</t>
  </si>
  <si>
    <t>JM 6:10 I contacted them they accepted to ask for sc laptop</t>
  </si>
  <si>
    <t>FAC00687</t>
  </si>
  <si>
    <t xml:space="preserve">SK 05/10: dedicated printer changed to access only - </t>
  </si>
  <si>
    <r>
      <rPr>
        <sz val="11"/>
        <color rgb="FF000000"/>
        <rFont val="Calibri"/>
        <family val="2"/>
        <scheme val="minor"/>
      </rPr>
      <t>A printer is required for high-volume ticket printing for the Shukran Program, with paper available at all times.</t>
    </r>
    <r>
      <rPr>
        <sz val="11"/>
        <color rgb="FFFF0000"/>
        <rFont val="Calibri"/>
        <family val="2"/>
        <scheme val="minor"/>
      </rPr>
      <t>JM 6:10 they are fine with A3 access</t>
    </r>
  </si>
  <si>
    <t>FAC00688</t>
  </si>
  <si>
    <t>SK 15/10: renamed as per alignment with BRO</t>
  </si>
  <si>
    <t>FAC00137</t>
  </si>
  <si>
    <t>SK 15/10: renamed and reduced as per alignment with BRO
SK 19/11: to be changed to Network - WIRED - Stream in case of BRO Request</t>
  </si>
  <si>
    <t>50 MBPS, for streaming</t>
  </si>
  <si>
    <t>FAC00138</t>
  </si>
  <si>
    <t>SK 15/10: as per alignment with BRO</t>
  </si>
  <si>
    <t>20 mbps dedicated, IP codec</t>
  </si>
  <si>
    <t>FAC00139</t>
  </si>
  <si>
    <t>SK 15/10: provision in alignment with BRO Manager based on WiFi coverage</t>
  </si>
  <si>
    <t>FAC00140</t>
  </si>
  <si>
    <t>SK 15/10: in alignment with BRO</t>
  </si>
  <si>
    <t>Technical FTI</t>
  </si>
  <si>
    <t>FAC00141</t>
  </si>
  <si>
    <t>SK 15/10: based on legacy in alignment with BRO Manager based on WiFi coverage</t>
  </si>
  <si>
    <t>FAC00142</t>
  </si>
  <si>
    <t>FIFA Technical content</t>
  </si>
  <si>
    <t>FAC00143</t>
  </si>
  <si>
    <t>For the HB and Media Partners immediate servicing</t>
  </si>
  <si>
    <t>FAC00144</t>
  </si>
  <si>
    <t>1 drop per studio</t>
  </si>
  <si>
    <t>FAC00145</t>
  </si>
  <si>
    <t>SK 15/10: Photo Vlan, based on legacy availability + in alignment with BRO Manager</t>
  </si>
  <si>
    <t>50 Mbps lines for possible Media partners streaming</t>
  </si>
  <si>
    <t>FAC00146</t>
  </si>
  <si>
    <t>SK 15/10: Photo Vlan, 4 + 4</t>
  </si>
  <si>
    <t>4 at 16mL and 4 at 16mR - Photographers internet</t>
  </si>
  <si>
    <t>FAC00147</t>
  </si>
  <si>
    <t>SK 15/10: Photo Wlan, 2+2 extension of MEO PHO positions closer to goal line</t>
  </si>
  <si>
    <t>2 behind each goal - Photographers internet</t>
  </si>
  <si>
    <t>FAC00148</t>
  </si>
  <si>
    <t>SK 15/10: MEO Vlan</t>
  </si>
  <si>
    <t>Media Internet - exact amount of commentary positions TBC</t>
  </si>
  <si>
    <t>FAC00149</t>
  </si>
  <si>
    <t>Small TV - RF Distro - exact amount of commentary positions TBC</t>
  </si>
  <si>
    <t>FAC00150</t>
  </si>
  <si>
    <t>FAC00151</t>
  </si>
  <si>
    <t>FAC00152</t>
  </si>
  <si>
    <t>FAC00153</t>
  </si>
  <si>
    <t>Infotainment control room</t>
  </si>
  <si>
    <t>Infotainment graphics production - TBC</t>
  </si>
  <si>
    <t>FAC00154</t>
  </si>
  <si>
    <t>Camera platform</t>
  </si>
  <si>
    <t>FAC00155</t>
  </si>
  <si>
    <t>FAC00156</t>
  </si>
  <si>
    <t>FAC00157</t>
  </si>
  <si>
    <t>FAC00158</t>
  </si>
  <si>
    <t>FAC00159</t>
  </si>
  <si>
    <t>FAC00160</t>
  </si>
  <si>
    <t>FAC00161</t>
  </si>
  <si>
    <t>FAC00162</t>
  </si>
  <si>
    <t>FAC00163</t>
  </si>
  <si>
    <t>FAC00164</t>
  </si>
  <si>
    <t>FAC00165</t>
  </si>
  <si>
    <t>FAC00166</t>
  </si>
  <si>
    <t>FAC00167</t>
  </si>
  <si>
    <t>For U17 final - only 8 will be used</t>
  </si>
  <si>
    <t>FAC00168</t>
  </si>
  <si>
    <t>For U17 final - only 4 will be used</t>
  </si>
  <si>
    <t>FAC00169</t>
  </si>
  <si>
    <t>FAC00170</t>
  </si>
  <si>
    <t>FAC00171</t>
  </si>
  <si>
    <t>FAC00172</t>
  </si>
  <si>
    <t>FAC00173</t>
  </si>
  <si>
    <t>FAC00174</t>
  </si>
  <si>
    <t>FAC00175</t>
  </si>
  <si>
    <t>FAC00176</t>
  </si>
  <si>
    <t>FAC00177</t>
  </si>
  <si>
    <t>FAC00178</t>
  </si>
  <si>
    <t>FAC00179</t>
  </si>
  <si>
    <t>FAC00180</t>
  </si>
  <si>
    <t>FAC00181</t>
  </si>
  <si>
    <t>FAC00182</t>
  </si>
  <si>
    <t>FAC00183</t>
  </si>
  <si>
    <t>FAC00184</t>
  </si>
  <si>
    <t>FAC00185</t>
  </si>
  <si>
    <t>FAC00186</t>
  </si>
  <si>
    <t>FAC00187</t>
  </si>
  <si>
    <t>FAC00188</t>
  </si>
  <si>
    <t>FAC00189</t>
  </si>
  <si>
    <t>FAC00190</t>
  </si>
  <si>
    <t>FAC00191</t>
  </si>
  <si>
    <t>FAC00192</t>
  </si>
  <si>
    <t>FAC00193</t>
  </si>
  <si>
    <t>FAC00194</t>
  </si>
  <si>
    <t>FAC00195</t>
  </si>
  <si>
    <t>FAC00196</t>
  </si>
  <si>
    <t>FAC00197</t>
  </si>
  <si>
    <t>FAC00198</t>
  </si>
  <si>
    <t>FAC00199</t>
  </si>
  <si>
    <t>FAC00200</t>
  </si>
  <si>
    <t>FAC00201</t>
  </si>
  <si>
    <t>FAC00202</t>
  </si>
  <si>
    <t>FAC00203</t>
  </si>
  <si>
    <t>FAC00204</t>
  </si>
  <si>
    <t>FAC00205</t>
  </si>
  <si>
    <t>FAC00206</t>
  </si>
  <si>
    <t>FAC00207</t>
  </si>
  <si>
    <t>FAC00208</t>
  </si>
  <si>
    <t>FAC00209</t>
  </si>
  <si>
    <t>FAC00210</t>
  </si>
  <si>
    <t>FAC00211</t>
  </si>
  <si>
    <t>FAC00212</t>
  </si>
  <si>
    <t>FAC00213</t>
  </si>
  <si>
    <t>FAC00214</t>
  </si>
  <si>
    <t>FAC00215</t>
  </si>
  <si>
    <t>FAC00216</t>
  </si>
  <si>
    <t>FAC00217</t>
  </si>
  <si>
    <t>FAC00218</t>
  </si>
  <si>
    <t>FAC00219</t>
  </si>
  <si>
    <t>FAC00220</t>
  </si>
  <si>
    <t>FAC00221</t>
  </si>
  <si>
    <t>FAC00222</t>
  </si>
  <si>
    <t>FAC00223</t>
  </si>
  <si>
    <t>FAC00224</t>
  </si>
  <si>
    <t>FAC00225</t>
  </si>
  <si>
    <t>FAC00226</t>
  </si>
  <si>
    <t>FAC00228</t>
  </si>
  <si>
    <t>FAC00229</t>
  </si>
  <si>
    <t>FAC00230</t>
  </si>
  <si>
    <t>FAC00231</t>
  </si>
  <si>
    <t>FAC00232</t>
  </si>
  <si>
    <t>FAC00233</t>
  </si>
  <si>
    <t>FAC00234</t>
  </si>
  <si>
    <t>FAC00235</t>
  </si>
  <si>
    <t>FAC00236</t>
  </si>
  <si>
    <t>FAC00237</t>
  </si>
  <si>
    <t>FAC00238</t>
  </si>
  <si>
    <t>FAC00239</t>
  </si>
  <si>
    <t>FAC00240</t>
  </si>
  <si>
    <t>FAC00241</t>
  </si>
  <si>
    <t>FAC00242</t>
  </si>
  <si>
    <t>FAC00243</t>
  </si>
  <si>
    <t>FAC00244</t>
  </si>
  <si>
    <t>FAC00245</t>
  </si>
  <si>
    <t>FAC00246</t>
  </si>
  <si>
    <t>FAC00247</t>
  </si>
  <si>
    <t>FAC00248</t>
  </si>
  <si>
    <t>FAC00249</t>
  </si>
  <si>
    <t>FAC00250</t>
  </si>
  <si>
    <t>SK 15/10: as per alignment with BRO IBC is canceled</t>
  </si>
  <si>
    <t>FAC00251</t>
  </si>
  <si>
    <t>2x100Mbps dedicated lines for signal uplink</t>
  </si>
  <si>
    <t>FAC00252</t>
  </si>
  <si>
    <t>FAC00253</t>
  </si>
  <si>
    <t>FAC00254</t>
  </si>
  <si>
    <t>2x20Mbps guaranteed</t>
  </si>
  <si>
    <t>FAC00255</t>
  </si>
  <si>
    <t>FAC00256</t>
  </si>
  <si>
    <t>FAC00257</t>
  </si>
  <si>
    <t>FAC00258</t>
  </si>
  <si>
    <t>FAC00259</t>
  </si>
  <si>
    <t>FAC00260</t>
  </si>
  <si>
    <t>FAC00261</t>
  </si>
  <si>
    <t>1x100Mbps</t>
  </si>
  <si>
    <t>FAC00262</t>
  </si>
  <si>
    <t>FAC00263</t>
  </si>
  <si>
    <t>FAC00264</t>
  </si>
  <si>
    <t>FAC00265</t>
  </si>
  <si>
    <t>FAC00266</t>
  </si>
  <si>
    <t>FAC00267</t>
  </si>
  <si>
    <t>FAC00268</t>
  </si>
  <si>
    <t>FAC00269</t>
  </si>
  <si>
    <t>FAC00270</t>
  </si>
  <si>
    <t>FAC00271</t>
  </si>
  <si>
    <t>FAC00272</t>
  </si>
  <si>
    <t>FAC00273</t>
  </si>
  <si>
    <t>FAC00274</t>
  </si>
  <si>
    <t>FAC00275</t>
  </si>
  <si>
    <t>FAC00276</t>
  </si>
  <si>
    <t>FAC00277</t>
  </si>
  <si>
    <t>FAC00278</t>
  </si>
  <si>
    <t>SK 15/10: In Scope</t>
  </si>
  <si>
    <t>Audio splitter box - 20 outputs (floor/translation)</t>
  </si>
  <si>
    <t>FAC00279</t>
  </si>
  <si>
    <t>FAC00280</t>
  </si>
  <si>
    <t>FAC00281</t>
  </si>
  <si>
    <t>FAC00282</t>
  </si>
  <si>
    <t>FAC00283</t>
  </si>
  <si>
    <t>FAC00284</t>
  </si>
  <si>
    <t>FAC00285</t>
  </si>
  <si>
    <t>If there is no wifi available in our compound, then LOG would need Cable Network Connection</t>
  </si>
  <si>
    <t>FAC00286</t>
  </si>
  <si>
    <t>LOG has to print Truck Manufests, Delivery Notes, Room Data Sheets, Pallet Label and the compound will be far from Aspire Dome</t>
  </si>
  <si>
    <t>FAC00287</t>
  </si>
  <si>
    <t>FAC00288</t>
  </si>
  <si>
    <t>FAC00289</t>
  </si>
  <si>
    <t>FAC00290</t>
  </si>
  <si>
    <t>FAC00291</t>
  </si>
  <si>
    <t>FAC00292</t>
  </si>
  <si>
    <t>FAC00293</t>
  </si>
  <si>
    <t>FAC00294</t>
  </si>
  <si>
    <t>FAC00295</t>
  </si>
  <si>
    <t>FAC00296</t>
  </si>
  <si>
    <t>FAC00297</t>
  </si>
  <si>
    <t>SK 07/10: Wired Port will be provided if required by specific case</t>
  </si>
  <si>
    <t>FAC00298</t>
  </si>
  <si>
    <t>FAC00299</t>
  </si>
  <si>
    <t>FAC00300</t>
  </si>
  <si>
    <t>FAC00301</t>
  </si>
  <si>
    <t>FAC00302</t>
  </si>
  <si>
    <t>FAC00303</t>
  </si>
  <si>
    <t>SK 17.09: Merged with FAC00307 and FAC01050
MI 1.10: RSP start date is changed to 27 Oct from 1 Nov and End date changed to 19 Dec from 13 Dec as per Maria to cover U17 &amp; FAC</t>
  </si>
  <si>
    <t>FAC00304</t>
  </si>
  <si>
    <t>SK 17.09: Merged with FAC00308 and FAC01051
MI 1.10: RSP start date is changed to 27 Oct from 1 Nov and End date changed to 19 Dec from 13 Dec as per Maria to cover U17 &amp; FAC</t>
  </si>
  <si>
    <t>FAC00305</t>
  </si>
  <si>
    <t>SK 17.09: WiFi converted to MiFi
Merged with FAC00309 and FAC01052
MI 1.10: RSP start date is changed to 27 Oct from 1 Nov and End date changed to 19 Dec from 13 Dec as per Maria to cover U17 &amp; FAC</t>
  </si>
  <si>
    <t>FAC00306</t>
  </si>
  <si>
    <t>SK 23.09: Merged with U17 requirements
MI 02.10: VAPP office location changed to Ground floor from MOC</t>
  </si>
  <si>
    <t>JM 22:10 I recieved email yesterday asking to discard the laptop as they got them from LOC</t>
  </si>
  <si>
    <t>FAC00696</t>
  </si>
  <si>
    <t>FAC00697</t>
  </si>
  <si>
    <t>MI 02.10: VAPP office location changed to Ground floor from MOC</t>
  </si>
  <si>
    <t>FAC00698</t>
  </si>
  <si>
    <t>SK 21/10: Changed to A4 from A3 in Alignment with Valentin S.</t>
  </si>
  <si>
    <t>To be located inside SSOC office for security related documents.</t>
  </si>
  <si>
    <t>FAC00313</t>
  </si>
  <si>
    <t>SK 21/10: Based on room specific</t>
  </si>
  <si>
    <t>FAC00314</t>
  </si>
  <si>
    <t>FAC00315</t>
  </si>
  <si>
    <t>FAC00316</t>
  </si>
  <si>
    <t>FAC00317</t>
  </si>
  <si>
    <t>FAC00318</t>
  </si>
  <si>
    <t>FAC00319</t>
  </si>
  <si>
    <t>FAC00320</t>
  </si>
  <si>
    <t>FAC00321</t>
  </si>
  <si>
    <t>FAC00322</t>
  </si>
  <si>
    <t>FAC00323</t>
  </si>
  <si>
    <t>FAC00324</t>
  </si>
  <si>
    <t>FAC00325</t>
  </si>
  <si>
    <t>FAC00326</t>
  </si>
  <si>
    <t>FAC00327</t>
  </si>
  <si>
    <t>FAC00328</t>
  </si>
  <si>
    <t>FAC00329</t>
  </si>
  <si>
    <t>FAC00330</t>
  </si>
  <si>
    <t>FAC00331</t>
  </si>
  <si>
    <t>FAC00332</t>
  </si>
  <si>
    <t>FAC00333</t>
  </si>
  <si>
    <t>FAC00334</t>
  </si>
  <si>
    <t>FAC00335</t>
  </si>
  <si>
    <t>FAC00336</t>
  </si>
  <si>
    <t>FAC00337</t>
  </si>
  <si>
    <t>FAC00338</t>
  </si>
  <si>
    <t>FAC00339</t>
  </si>
  <si>
    <t>FAC00340</t>
  </si>
  <si>
    <t>FAC00341</t>
  </si>
  <si>
    <t>FAC00342</t>
  </si>
  <si>
    <t>SK: Check if required since located in Al Bidda
MI 02.10: VAPP office location changed to Ground floor from MOC</t>
  </si>
  <si>
    <r>
      <rPr>
        <sz val="11"/>
        <color rgb="FF000000"/>
        <rFont val="Calibri"/>
        <family val="2"/>
      </rPr>
      <t>to be placed in outtside the perimer  to printout  the  schedules   and daily updated -</t>
    </r>
    <r>
      <rPr>
        <sz val="11"/>
        <color rgb="FFFF0000"/>
        <rFont val="Calibri"/>
        <family val="2"/>
      </rPr>
      <t xml:space="preserve"> JM 22:10 I recieved email yesterday asking to discard the printer as they will use the A3 in G floor 1:11 A4 PRINTER PROVIDED AND 4 USERE HAVE BEEN CONNECTED G FLOOR</t>
    </r>
  </si>
  <si>
    <t>FAC00699</t>
  </si>
  <si>
    <t>FAC00700</t>
  </si>
  <si>
    <t>Main Media Center</t>
  </si>
  <si>
    <t>SK 06.10: Media WiFi will be available but for Media Reps only</t>
  </si>
  <si>
    <t>FAC00345</t>
  </si>
  <si>
    <t>FAC00346</t>
  </si>
  <si>
    <t>FAC00347</t>
  </si>
  <si>
    <t>SK 06.10: WiFi cannot be shared across stadium, please be more precised on request.</t>
  </si>
  <si>
    <t>staff is roaming and placed at different areas - wifi to cover all areas needed</t>
  </si>
  <si>
    <t>FAC00348</t>
  </si>
  <si>
    <t>FAC00349</t>
  </si>
  <si>
    <t>FAC00350</t>
  </si>
  <si>
    <t>FAC00351</t>
  </si>
  <si>
    <t>FAC00352</t>
  </si>
  <si>
    <t>FAC00353</t>
  </si>
  <si>
    <t xml:space="preserve">Training Centre Welcome Desk </t>
  </si>
  <si>
    <t xml:space="preserve">Venue space still TBC </t>
  </si>
  <si>
    <t>FAC00354</t>
  </si>
  <si>
    <t xml:space="preserve">Tranining Centre Welcome Desk </t>
  </si>
  <si>
    <t>FAC00355</t>
  </si>
  <si>
    <t>FAC00356</t>
  </si>
  <si>
    <t xml:space="preserve">With mircophone x 2 </t>
  </si>
  <si>
    <t>FAC00357</t>
  </si>
  <si>
    <t>FAC00358</t>
  </si>
  <si>
    <t>FAC00359</t>
  </si>
  <si>
    <t xml:space="preserve">Purpose of printing training materials during operational delivery </t>
  </si>
  <si>
    <t>FAC00360</t>
  </si>
  <si>
    <t>85 inch for presentation</t>
  </si>
  <si>
    <t>FAC00361</t>
  </si>
  <si>
    <t>FAC00362</t>
  </si>
  <si>
    <t>SK 21.10: Changed to A4 from A3, aligned on Meeting with WKF</t>
  </si>
  <si>
    <t xml:space="preserve">WKF Centre is located in the Hospitality Lounge which is far from the general office and we need to print on a daily basis during operations. </t>
  </si>
  <si>
    <t>FAC00363</t>
  </si>
  <si>
    <t>FAC00364</t>
  </si>
  <si>
    <t xml:space="preserve">To be used to call volunteers for their shifts and communicate with them on a regular basis </t>
  </si>
  <si>
    <t>FAC00366</t>
  </si>
  <si>
    <t>Wi-Fi for the office and welcome zone area for work related and check-in purposes</t>
  </si>
  <si>
    <t>FAC00368</t>
  </si>
  <si>
    <t>FAC00369</t>
  </si>
  <si>
    <t>FAC00370</t>
  </si>
  <si>
    <t>FAC00371</t>
  </si>
  <si>
    <t>FAC00372</t>
  </si>
  <si>
    <t>FAC00373</t>
  </si>
  <si>
    <t>FAC00375</t>
  </si>
  <si>
    <t>FAC00376</t>
  </si>
  <si>
    <t>FAC00377</t>
  </si>
  <si>
    <t>FAC00378</t>
  </si>
  <si>
    <t>FAC00379</t>
  </si>
  <si>
    <t>FAC00380</t>
  </si>
  <si>
    <t>SK 21.10: OVL setup</t>
  </si>
  <si>
    <t>FAC00382</t>
  </si>
  <si>
    <t>FAC00383</t>
  </si>
  <si>
    <t>FAC00384</t>
  </si>
  <si>
    <t>FAC00385</t>
  </si>
  <si>
    <t>FAC00386</t>
  </si>
  <si>
    <t>FAC00387</t>
  </si>
  <si>
    <t>FAC00389</t>
  </si>
  <si>
    <t>FAC00390</t>
  </si>
  <si>
    <t>FAC00391</t>
  </si>
  <si>
    <t>FAC00392</t>
  </si>
  <si>
    <t>FAC00393</t>
  </si>
  <si>
    <t>FAC00394</t>
  </si>
  <si>
    <t>FAC00396</t>
  </si>
  <si>
    <t>FAC00397</t>
  </si>
  <si>
    <t>FAC00398</t>
  </si>
  <si>
    <t>FAC00399</t>
  </si>
  <si>
    <t>FAC00400</t>
  </si>
  <si>
    <t>FAC00401</t>
  </si>
  <si>
    <t xml:space="preserve">SK 21.10: Based on the space handover to LOC, + 1 week to complete setup </t>
  </si>
  <si>
    <t>FAC00403</t>
  </si>
  <si>
    <t>FAC00404</t>
  </si>
  <si>
    <t>FAC00405</t>
  </si>
  <si>
    <t>FAC00406</t>
  </si>
  <si>
    <t>FAC00407</t>
  </si>
  <si>
    <t>FAC00409</t>
  </si>
  <si>
    <t xml:space="preserve">Required for Electronic Medical Record </t>
  </si>
  <si>
    <t>FAC00414</t>
  </si>
  <si>
    <t>FAC00415</t>
  </si>
  <si>
    <t>FAC00416</t>
  </si>
  <si>
    <t>FAC00417</t>
  </si>
  <si>
    <t>FAC00418</t>
  </si>
  <si>
    <t>FAC00419</t>
  </si>
  <si>
    <t>FAC00420</t>
  </si>
  <si>
    <t>FAC00421</t>
  </si>
  <si>
    <t>FAC00422</t>
  </si>
  <si>
    <t>FAC00423</t>
  </si>
  <si>
    <t>FAC00424</t>
  </si>
  <si>
    <t>FAC00425</t>
  </si>
  <si>
    <t>FAC00426</t>
  </si>
  <si>
    <t>FAC00427</t>
  </si>
  <si>
    <t>FAC00428</t>
  </si>
  <si>
    <t>FAC00429</t>
  </si>
  <si>
    <t>FAC00430</t>
  </si>
  <si>
    <t>FAC00431</t>
  </si>
  <si>
    <t>FAC00432</t>
  </si>
  <si>
    <t>FAC00433</t>
  </si>
  <si>
    <t>FAC00434</t>
  </si>
  <si>
    <t>FAC00435</t>
  </si>
  <si>
    <t>FAC00436</t>
  </si>
  <si>
    <t>FAC00437</t>
  </si>
  <si>
    <t>FAC00438</t>
  </si>
  <si>
    <t>FAC00439</t>
  </si>
  <si>
    <t>FAC00440</t>
  </si>
  <si>
    <t>FAC00441</t>
  </si>
  <si>
    <t>FAC00442</t>
  </si>
  <si>
    <t>20GB per SIM Card</t>
  </si>
  <si>
    <t>FAC00443</t>
  </si>
  <si>
    <t>500GB per SIM Card</t>
  </si>
  <si>
    <t>FAC00444</t>
  </si>
  <si>
    <t>FAC00445</t>
  </si>
  <si>
    <t>FAC00446</t>
  </si>
  <si>
    <t>FAC00447</t>
  </si>
  <si>
    <t>FAC00448</t>
  </si>
  <si>
    <t>FAC00449</t>
  </si>
  <si>
    <t>FAC00450</t>
  </si>
  <si>
    <t>FAC00451</t>
  </si>
  <si>
    <t>FAC00452</t>
  </si>
  <si>
    <t>20GB per SIM Card (MMC)</t>
  </si>
  <si>
    <t>FAC00453</t>
  </si>
  <si>
    <t>500GB per SIM Card (MMC)</t>
  </si>
  <si>
    <t>FAC00454</t>
  </si>
  <si>
    <t>SK 21/10: reduced QTY in Alignment with Sara</t>
  </si>
  <si>
    <t>FAC00456</t>
  </si>
  <si>
    <t>SK 21/10: General office printer approach</t>
  </si>
  <si>
    <t>As the operational room functions independently, we will require access to a nearby printer to support our workflow efficiently</t>
  </si>
  <si>
    <t>FAC00457</t>
  </si>
  <si>
    <t>SK 21/10: or MiFi, Based on legacy availability</t>
  </si>
  <si>
    <t xml:space="preserve">WIFI for the fan zone and operational office </t>
  </si>
  <si>
    <t>FAC00458</t>
  </si>
  <si>
    <t>FAC00459</t>
  </si>
  <si>
    <t>FAC00460</t>
  </si>
  <si>
    <t>FAC00461</t>
  </si>
  <si>
    <t>FAC00462</t>
  </si>
  <si>
    <t>FAC00463</t>
  </si>
  <si>
    <t>FAC00464</t>
  </si>
  <si>
    <t>FAC00465</t>
  </si>
  <si>
    <t>FAC00466</t>
  </si>
  <si>
    <t>FAC00467</t>
  </si>
  <si>
    <t>FAC00468</t>
  </si>
  <si>
    <t>FAC00469</t>
  </si>
  <si>
    <t>FAC00470</t>
  </si>
  <si>
    <t>FAC00471</t>
  </si>
  <si>
    <t>FAC00472</t>
  </si>
  <si>
    <t>FAC00473</t>
  </si>
  <si>
    <t>FAC00474</t>
  </si>
  <si>
    <t>FAC00475</t>
  </si>
  <si>
    <t>FAC00476</t>
  </si>
  <si>
    <t>FAC00477</t>
  </si>
  <si>
    <t>FAC00478</t>
  </si>
  <si>
    <t>All Comm/MRD Designated offices and areas</t>
  </si>
  <si>
    <t>FAC00480</t>
  </si>
  <si>
    <t>SK 27/10: Confirmed with Bradley Habana to keep 1 IPTV and 1 Standalone TV</t>
  </si>
  <si>
    <t>FAC00481</t>
  </si>
  <si>
    <t>FAC00482</t>
  </si>
  <si>
    <t>FAC00483</t>
  </si>
  <si>
    <t>FAC00484</t>
  </si>
  <si>
    <t>FAC00485</t>
  </si>
  <si>
    <t>FAC00486</t>
  </si>
  <si>
    <t>FAC00487</t>
  </si>
  <si>
    <t>FAC00488</t>
  </si>
  <si>
    <t>FAC00489</t>
  </si>
  <si>
    <t>FAC00490</t>
  </si>
  <si>
    <t>FAC00491</t>
  </si>
  <si>
    <t>FAC00492</t>
  </si>
  <si>
    <t>FAC00493</t>
  </si>
  <si>
    <t>FAC00494</t>
  </si>
  <si>
    <t>Cable network connection for each printer and laptop.  Start date TBC once match schedule is available.</t>
  </si>
  <si>
    <t>FAC00495</t>
  </si>
  <si>
    <t>WiFi for all VAHO</t>
  </si>
  <si>
    <t>FAC00496</t>
  </si>
  <si>
    <t>12NOV: Reduced as per Alignment with ACR Team (Hajash)</t>
  </si>
  <si>
    <t>Printing of accreditations. Start date TBC once match schedule is available.</t>
  </si>
  <si>
    <t>FAC00497</t>
  </si>
  <si>
    <t>Start date TBC once match schedule is available.</t>
  </si>
  <si>
    <t>FAC00498</t>
  </si>
  <si>
    <t>FAC00499</t>
  </si>
  <si>
    <t>Mouse to expedite front desks accreditation process. Start date TBC once match schedule is available.</t>
  </si>
  <si>
    <t>FAC00500</t>
  </si>
  <si>
    <t>FAC00501</t>
  </si>
  <si>
    <t>WiFi for all VAHO. Start date TBC once match schedule is available.</t>
  </si>
  <si>
    <t>FAC00502</t>
  </si>
  <si>
    <t>FAC00503</t>
  </si>
  <si>
    <t>FAC00504</t>
  </si>
  <si>
    <t>FAC00505</t>
  </si>
  <si>
    <t>FAC00506</t>
  </si>
  <si>
    <t>FAC00507</t>
  </si>
  <si>
    <t>FAC00508</t>
  </si>
  <si>
    <t>FAC00509</t>
  </si>
  <si>
    <t>FAC00510</t>
  </si>
  <si>
    <t>FAC00511</t>
  </si>
  <si>
    <t>FAC00512</t>
  </si>
  <si>
    <t>FAC00513</t>
  </si>
  <si>
    <t>FAC00514</t>
  </si>
  <si>
    <t>FAC00515</t>
  </si>
  <si>
    <t>FAC00516</t>
  </si>
  <si>
    <t>FAC00518</t>
  </si>
  <si>
    <t>FAC00519</t>
  </si>
  <si>
    <t>FAC00520</t>
  </si>
  <si>
    <t>FAC00521</t>
  </si>
  <si>
    <t>FAC00522</t>
  </si>
  <si>
    <t>FAC00523</t>
  </si>
  <si>
    <t>FAC00524</t>
  </si>
  <si>
    <t>FAC00525</t>
  </si>
  <si>
    <t>FAC00526</t>
  </si>
  <si>
    <t>FAC00527</t>
  </si>
  <si>
    <t>FAC00528</t>
  </si>
  <si>
    <t>FAC00529</t>
  </si>
  <si>
    <t>FAC00530</t>
  </si>
  <si>
    <t>FAC00531</t>
  </si>
  <si>
    <t>FAC00533</t>
  </si>
  <si>
    <t>FAC00534</t>
  </si>
  <si>
    <t>FAC00535</t>
  </si>
  <si>
    <t>FAC00536</t>
  </si>
  <si>
    <t>FAC00537</t>
  </si>
  <si>
    <t>FAC00538</t>
  </si>
  <si>
    <t>FAC00539</t>
  </si>
  <si>
    <t>FAC00540</t>
  </si>
  <si>
    <t>FAC00541</t>
  </si>
  <si>
    <t>FAC00542</t>
  </si>
  <si>
    <t>FAC00543</t>
  </si>
  <si>
    <t>FAC00544</t>
  </si>
  <si>
    <t>FAC00545</t>
  </si>
  <si>
    <t>FAC00546</t>
  </si>
  <si>
    <t>FAC00547</t>
  </si>
  <si>
    <t>FAC00548</t>
  </si>
  <si>
    <t>FAC00549</t>
  </si>
  <si>
    <t>FAC00550</t>
  </si>
  <si>
    <t>All legacy TVs to be operational in the VIP/VVIP areas</t>
  </si>
  <si>
    <t>FAC00551</t>
  </si>
  <si>
    <t>FAC00552</t>
  </si>
  <si>
    <t>FAC00553</t>
  </si>
  <si>
    <t>FAC00554</t>
  </si>
  <si>
    <t>FAC00555</t>
  </si>
  <si>
    <t>FAC00556</t>
  </si>
  <si>
    <t>for FIFA/LOC CPM team</t>
  </si>
  <si>
    <t>FAC00557</t>
  </si>
  <si>
    <t>FAC00559</t>
  </si>
  <si>
    <t>FAC00560</t>
  </si>
  <si>
    <t>FAC00561</t>
  </si>
  <si>
    <t>FAC00562</t>
  </si>
  <si>
    <t>FAC00563</t>
  </si>
  <si>
    <t>FAC00564</t>
  </si>
  <si>
    <t>FAC00565</t>
  </si>
  <si>
    <t>FAC00566</t>
  </si>
  <si>
    <t>FAC00567</t>
  </si>
  <si>
    <t>FAC00568</t>
  </si>
  <si>
    <t>SK 06/10: IPTV changed to Standalone TV</t>
  </si>
  <si>
    <t>FAC00577</t>
  </si>
  <si>
    <t>FAC00578</t>
  </si>
  <si>
    <t>FAC00579</t>
  </si>
  <si>
    <t>FAC00580</t>
  </si>
  <si>
    <t>FAC00581</t>
  </si>
  <si>
    <t>FAC00582</t>
  </si>
  <si>
    <t>SK 18.11: Not required for FAC25. Media Cabled will be provided</t>
  </si>
  <si>
    <t>FAC00627</t>
  </si>
  <si>
    <t>FAC00628</t>
  </si>
  <si>
    <t>FAC00629</t>
  </si>
  <si>
    <t>FAC00630</t>
  </si>
  <si>
    <t>SK 19/11: Not required for FAC 2025. Related to MTR</t>
  </si>
  <si>
    <t>FAC00631</t>
  </si>
  <si>
    <t>FAC00632</t>
  </si>
  <si>
    <t>SK 19/11: As per confirmation from FTI - Nathan</t>
  </si>
  <si>
    <t>FAC00633</t>
  </si>
  <si>
    <t>FAC00634</t>
  </si>
  <si>
    <t>FAC00635</t>
  </si>
  <si>
    <t>FAC00636</t>
  </si>
  <si>
    <t>FAC00637</t>
  </si>
  <si>
    <t>FAC00638</t>
  </si>
  <si>
    <t>SK 19/11: Removed As per confirmation from FTI - Nathan</t>
  </si>
  <si>
    <t>Wired Port - FVS</t>
  </si>
  <si>
    <t>FAC00639</t>
  </si>
  <si>
    <t>FAC00640</t>
  </si>
  <si>
    <t>FAC00641</t>
  </si>
  <si>
    <t>FAC00642</t>
  </si>
  <si>
    <t>FAC00643</t>
  </si>
  <si>
    <t>FAC00644</t>
  </si>
  <si>
    <t xml:space="preserve">Wired Port - Internet </t>
  </si>
  <si>
    <t>FAC00645</t>
  </si>
  <si>
    <t>FAC00647</t>
  </si>
  <si>
    <t>FAC00648</t>
  </si>
  <si>
    <t>FAC00650</t>
  </si>
  <si>
    <t>FAC00651</t>
  </si>
  <si>
    <t>SK 23/10: Request meeting with Hawk Eye</t>
  </si>
  <si>
    <t>FAC00652</t>
  </si>
  <si>
    <t>FAC00653</t>
  </si>
  <si>
    <t>FAC00654</t>
  </si>
  <si>
    <t>FAC00655</t>
  </si>
  <si>
    <t>FAC00656</t>
  </si>
  <si>
    <t>FAC00657</t>
  </si>
  <si>
    <t>FAC00658</t>
  </si>
  <si>
    <t>FAC00659</t>
  </si>
  <si>
    <t>SK 19/11: two per desk</t>
  </si>
  <si>
    <t>FAC00660</t>
  </si>
  <si>
    <t>FAC00661</t>
  </si>
  <si>
    <t>FAC00662</t>
  </si>
  <si>
    <t>FAC00663</t>
  </si>
  <si>
    <t>FAC00664</t>
  </si>
  <si>
    <t>FAC00665</t>
  </si>
  <si>
    <t>FAC00666</t>
  </si>
  <si>
    <t>FAC00667</t>
  </si>
  <si>
    <t>FAC00668</t>
  </si>
  <si>
    <t>SK 23/10: Changed to WiFi as per meeting with Aigerim</t>
  </si>
  <si>
    <t>Wireless coverage - Shared Internet Service - FIFA</t>
  </si>
  <si>
    <t>FAC00669</t>
  </si>
  <si>
    <t>FAC00670</t>
  </si>
  <si>
    <t>Check with Aigerim what is data collector</t>
  </si>
  <si>
    <t>Wired Port - Internet for Media - for event data collection</t>
  </si>
  <si>
    <t>FAC00671</t>
  </si>
  <si>
    <t>FAC00672</t>
  </si>
  <si>
    <t>FAC00673</t>
  </si>
  <si>
    <t>FAC00674</t>
  </si>
  <si>
    <t>FAC00675</t>
  </si>
  <si>
    <t>FAC00676</t>
  </si>
  <si>
    <t>FAC00677</t>
  </si>
  <si>
    <t>FAC00678</t>
  </si>
  <si>
    <t>FAC00679</t>
  </si>
  <si>
    <t>SK 19/11: Green desk on MTR</t>
  </si>
  <si>
    <t>FAC00680</t>
  </si>
  <si>
    <t>FAC00681</t>
  </si>
  <si>
    <t>FAC00682</t>
  </si>
  <si>
    <t>FAC00683</t>
  </si>
  <si>
    <t>FAC00684</t>
  </si>
  <si>
    <t>FAC00686</t>
  </si>
  <si>
    <t>SK 23.09: Merged with U17 requirements</t>
  </si>
  <si>
    <t>FAC00701</t>
  </si>
  <si>
    <t xml:space="preserve">SK 05.10: Changed to standalone TV </t>
  </si>
  <si>
    <t xml:space="preserve">to watch the match live, to prpare the fleets and other vehicles for the team. </t>
  </si>
  <si>
    <t>FAC00702</t>
  </si>
  <si>
    <t xml:space="preserve">SK 18.11: Changed to 1x MiFi in case legacy is not available </t>
  </si>
  <si>
    <t>FAC00689</t>
  </si>
  <si>
    <t>FAC00690</t>
  </si>
  <si>
    <t>FAC00691</t>
  </si>
  <si>
    <t>FAC00692</t>
  </si>
  <si>
    <t>FAC00693</t>
  </si>
  <si>
    <t>FAC00694</t>
  </si>
  <si>
    <t>Printing the VAPP receipt aknowledgement form to be signed</t>
  </si>
  <si>
    <t>FAC00695</t>
  </si>
  <si>
    <t>Video  Wall / 4 Tv screen to be setuped in the Buss and fleets operataion Cener for  live tracking fleets and reporting.</t>
  </si>
  <si>
    <t>FAC00703</t>
  </si>
  <si>
    <t>scheduling and processing the  daily  updated  sheeet to give  the drivers and other  stake holders</t>
  </si>
  <si>
    <t>FAC00704</t>
  </si>
  <si>
    <r>
      <rPr>
        <sz val="11"/>
        <color rgb="FF000000"/>
        <rFont val="Calibri"/>
        <family val="2"/>
        <scheme val="minor"/>
      </rPr>
      <t xml:space="preserve">SIM WITH MOBILE - BOC HOTLINE NUMBER - </t>
    </r>
    <r>
      <rPr>
        <sz val="11"/>
        <color rgb="FFFF0000"/>
        <rFont val="Calibri"/>
        <family val="2"/>
        <scheme val="minor"/>
      </rPr>
      <t>JM 22:10  confirmation email has been sent by AllA about recievenig them</t>
    </r>
  </si>
  <si>
    <t>FAC00705</t>
  </si>
  <si>
    <t>FAC00712</t>
  </si>
  <si>
    <t xml:space="preserve">MOC Support area for Funtional Areas operationsal usage </t>
  </si>
  <si>
    <t>FAC00713</t>
  </si>
  <si>
    <t>SK 05.10: To be used available ports only. The focus is on WiFi.</t>
  </si>
  <si>
    <t xml:space="preserve">Printer network </t>
  </si>
  <si>
    <t>FAC00714</t>
  </si>
  <si>
    <t>MI 02.10: Quantity changed to 2 from 1. As per Bahaa, A3 to be replaced by A4</t>
  </si>
  <si>
    <t xml:space="preserve">Printer of MOC Executive director </t>
  </si>
  <si>
    <t>FAC00715</t>
  </si>
  <si>
    <t>MI 02.10: Quantity changed to 0 from 1. A3 to be replaced by A4</t>
  </si>
  <si>
    <t xml:space="preserve">Printer for all users of the MOC </t>
  </si>
  <si>
    <t>FAC00716</t>
  </si>
  <si>
    <t>High speed Wifi for a large space &amp; up to 150 users of the MOC</t>
  </si>
  <si>
    <t>FAC00717</t>
  </si>
  <si>
    <t>Cell phone with calls &amp; data - MOC emergency phones</t>
  </si>
  <si>
    <t>FAC00718</t>
  </si>
  <si>
    <t>Rejected</t>
  </si>
  <si>
    <t>ME 30/07: Item is not available. Not in scope of LOC ICT</t>
  </si>
  <si>
    <t>RFID readers and 1 writer for the tournament access permit urpose ( can be cancelled maybe in second phase of evaluation)</t>
  </si>
  <si>
    <t>FAC00706</t>
  </si>
  <si>
    <t>FAC00707</t>
  </si>
  <si>
    <t>FAC00708</t>
  </si>
  <si>
    <t>FAC00709</t>
  </si>
  <si>
    <t>FAC00710</t>
  </si>
  <si>
    <t xml:space="preserve"> </t>
  </si>
  <si>
    <t>FAC00711</t>
  </si>
  <si>
    <t xml:space="preserve">Stock should be avalible from DEC handedover Monitors </t>
  </si>
  <si>
    <t>FAC00719</t>
  </si>
  <si>
    <t xml:space="preserve">For stakeholder and AV screen operations </t>
  </si>
  <si>
    <t>FAC00720</t>
  </si>
  <si>
    <t xml:space="preserve">We are in contact with Mohammed Khater to install the previous AV MOC (Videowall system) items used in DEC to insatall/configure it through the avalible contractor </t>
  </si>
  <si>
    <t>FAC00721</t>
  </si>
  <si>
    <t>MI 19.10: CR006 - 1 printer in CEO office and 1 printer in PLI office MOC</t>
  </si>
  <si>
    <t>SK 07.09: Start date changed to 20-SEP</t>
  </si>
  <si>
    <t>FAC01033</t>
  </si>
  <si>
    <t>SK 07.09: Laptoips for monitoring</t>
  </si>
  <si>
    <t>FAC01034</t>
  </si>
  <si>
    <t>SK 07.09: Multifuncional room on ground floor. To asses the service availability/extend coverage</t>
  </si>
  <si>
    <t>FAC01035</t>
  </si>
  <si>
    <t>FAC01036</t>
  </si>
  <si>
    <t>SK 07.09: Reduced from 5 to 1, start date from 1-OCT (old - 1-OCT)
To review Existing Network stability. 100 GB/month, JM 13/10: We will provide the SIM on 15th Oct and Activation will be on 20th Oct as informed by Ameer.</t>
  </si>
  <si>
    <t>FAC01037</t>
  </si>
  <si>
    <t>A3 printer with consumables</t>
  </si>
  <si>
    <t>FAC01038</t>
  </si>
  <si>
    <t>SK 07.09: Not required</t>
  </si>
  <si>
    <t>A4 printer with consumables</t>
  </si>
  <si>
    <t>FAC01039</t>
  </si>
  <si>
    <t>FAC00722</t>
  </si>
  <si>
    <t>FAC00723</t>
  </si>
  <si>
    <t>FAC00724</t>
  </si>
  <si>
    <t>FAC00726</t>
  </si>
  <si>
    <t>FAC00727</t>
  </si>
  <si>
    <t>15.09 MI - Quantity to be finalized later</t>
  </si>
  <si>
    <t>MT layout TBC  - please refer to MT layout once finalized</t>
  </si>
  <si>
    <t>FAC00728</t>
  </si>
  <si>
    <t>FAC00729</t>
  </si>
  <si>
    <t>FAC00730</t>
  </si>
  <si>
    <t>FAC00731</t>
  </si>
  <si>
    <t>FAC00732</t>
  </si>
  <si>
    <t>FAC00734</t>
  </si>
  <si>
    <t>FAC00735</t>
  </si>
  <si>
    <t>FAC00736</t>
  </si>
  <si>
    <t>FAC00737</t>
  </si>
  <si>
    <t>FAC00738</t>
  </si>
  <si>
    <t>FAC00739</t>
  </si>
  <si>
    <t>Sound and translation system (simultaneous or remote)
5 headtable microphones
4 speakers
4 wireless microphones
100 translation devices (if simultanous interpretation solution will be used, if remote, can be removed from requirements)
3 translation booths (if simultanous interpretation solution will be used, if remote, can be removed from requirements)
Split boxes (exact requirements from BRO)</t>
  </si>
  <si>
    <t>FAC00740</t>
  </si>
  <si>
    <t>FAC00741</t>
  </si>
  <si>
    <t>MFDSNW</t>
  </si>
  <si>
    <t xml:space="preserve">MEO has a lot of printing requirements which enables MEO venue media team to conduct the job within their office, which is usually far away from the venue team office, sometimes even outside the stadium in SMC. </t>
  </si>
  <si>
    <t>FAC00743</t>
  </si>
  <si>
    <t>FAC00745</t>
  </si>
  <si>
    <t>Tablet or iPad</t>
  </si>
  <si>
    <t>FAC00746</t>
  </si>
  <si>
    <t>FAC00747</t>
  </si>
  <si>
    <t>At media entrance - L1</t>
  </si>
  <si>
    <t>FAC00748</t>
  </si>
  <si>
    <t>FAC00749</t>
  </si>
  <si>
    <t>FAC00750</t>
  </si>
  <si>
    <t>Space TBC if OVL or existing space in stadium</t>
  </si>
  <si>
    <t>FAC00751</t>
  </si>
  <si>
    <t>SK 27/10: Changed to Legacy IPTV in the Legacy SMC</t>
  </si>
  <si>
    <t>FAC00752</t>
  </si>
  <si>
    <t>SK 27/10: As per MEO Confirmation</t>
  </si>
  <si>
    <t>FAC00753</t>
  </si>
  <si>
    <t>FAC00754</t>
  </si>
  <si>
    <t>FAC00755</t>
  </si>
  <si>
    <t>FAC00756</t>
  </si>
  <si>
    <t>FAC00757</t>
  </si>
  <si>
    <t>FAC00758</t>
  </si>
  <si>
    <t>FAC00759</t>
  </si>
  <si>
    <t>FAC00760</t>
  </si>
  <si>
    <t>FAC00761</t>
  </si>
  <si>
    <t>FAC00762</t>
  </si>
  <si>
    <t>FAC00763</t>
  </si>
  <si>
    <t>FAC00764</t>
  </si>
  <si>
    <t>FAC00765</t>
  </si>
  <si>
    <t>FAC00766</t>
  </si>
  <si>
    <t>FAC00767</t>
  </si>
  <si>
    <t>FAC00768</t>
  </si>
  <si>
    <t>FAC00769</t>
  </si>
  <si>
    <t>FAC00770</t>
  </si>
  <si>
    <t>FAC00771</t>
  </si>
  <si>
    <t>FAC00772</t>
  </si>
  <si>
    <t>FAC00773</t>
  </si>
  <si>
    <t>FAC00774</t>
  </si>
  <si>
    <t>At media entrance - Gate 40</t>
  </si>
  <si>
    <t>FAC00775</t>
  </si>
  <si>
    <t>FAC00776</t>
  </si>
  <si>
    <t>FAC00777</t>
  </si>
  <si>
    <t>FAC00778</t>
  </si>
  <si>
    <t>FAC00779</t>
  </si>
  <si>
    <t>FAC00780</t>
  </si>
  <si>
    <t>FAC00781</t>
  </si>
  <si>
    <t>FAC00782</t>
  </si>
  <si>
    <t>FAC00783</t>
  </si>
  <si>
    <t>FAC00784</t>
  </si>
  <si>
    <t>FAC00785</t>
  </si>
  <si>
    <t>FAC00786</t>
  </si>
  <si>
    <t>FAC00787</t>
  </si>
  <si>
    <t>FAC00788</t>
  </si>
  <si>
    <t>FAC00789</t>
  </si>
  <si>
    <t>FAC00790</t>
  </si>
  <si>
    <t>FAC00791</t>
  </si>
  <si>
    <t>FAC00792</t>
  </si>
  <si>
    <t>FAC00793</t>
  </si>
  <si>
    <t>FAC00794</t>
  </si>
  <si>
    <t>FAC00795</t>
  </si>
  <si>
    <t>FAC00796</t>
  </si>
  <si>
    <t>FAC00797</t>
  </si>
  <si>
    <t>FAC00798</t>
  </si>
  <si>
    <t>FAC00799</t>
  </si>
  <si>
    <t>FAC00800</t>
  </si>
  <si>
    <t>FAC00801</t>
  </si>
  <si>
    <t>FAC00802</t>
  </si>
  <si>
    <t>FAC00803</t>
  </si>
  <si>
    <t>FAC00804</t>
  </si>
  <si>
    <t>FAC00805</t>
  </si>
  <si>
    <t>FAC00806</t>
  </si>
  <si>
    <t>FAC00807</t>
  </si>
  <si>
    <t>FAC00808</t>
  </si>
  <si>
    <t>FAC00809</t>
  </si>
  <si>
    <t>FAC00810</t>
  </si>
  <si>
    <t>FAC00811</t>
  </si>
  <si>
    <t>FAC00812</t>
  </si>
  <si>
    <t>FAC00813</t>
  </si>
  <si>
    <t>FAC00814</t>
  </si>
  <si>
    <t>FAC00815</t>
  </si>
  <si>
    <t>FAC00816</t>
  </si>
  <si>
    <t>FAC00817</t>
  </si>
  <si>
    <t>FAC00818</t>
  </si>
  <si>
    <t>FAC00819</t>
  </si>
  <si>
    <t>FAC00820</t>
  </si>
  <si>
    <t>FAC00821</t>
  </si>
  <si>
    <t>FAC00822</t>
  </si>
  <si>
    <t>FAC00823</t>
  </si>
  <si>
    <t>10/09 SK: Changed to A4 due to stadium printing concept</t>
  </si>
  <si>
    <t>FAC00824</t>
  </si>
  <si>
    <t>FAC00825</t>
  </si>
  <si>
    <t>FAC00826</t>
  </si>
  <si>
    <t>FAC00827</t>
  </si>
  <si>
    <t>FAC00828</t>
  </si>
  <si>
    <t>FAC00829</t>
  </si>
  <si>
    <t>FAC00830</t>
  </si>
  <si>
    <t>FAC00831</t>
  </si>
  <si>
    <t>FAC00832</t>
  </si>
  <si>
    <t>FAC00833</t>
  </si>
  <si>
    <t>FAC00834</t>
  </si>
  <si>
    <t>FAC00835</t>
  </si>
  <si>
    <t>FAC00836</t>
  </si>
  <si>
    <t>FAC00837</t>
  </si>
  <si>
    <t>FAC00838</t>
  </si>
  <si>
    <t>FAC00839</t>
  </si>
  <si>
    <t>FAC00840</t>
  </si>
  <si>
    <t>FAC00841</t>
  </si>
  <si>
    <t>FAC00842</t>
  </si>
  <si>
    <t>FAC00843</t>
  </si>
  <si>
    <t>FAC00844</t>
  </si>
  <si>
    <t>FAC00845</t>
  </si>
  <si>
    <t>FAC00846</t>
  </si>
  <si>
    <t>FAC00847</t>
  </si>
  <si>
    <t>FAC00848</t>
  </si>
  <si>
    <t>FAC00849</t>
  </si>
  <si>
    <t>Media Welcome Desk (Located in Photographers' Working Area L2)</t>
  </si>
  <si>
    <t>FAC00850</t>
  </si>
  <si>
    <t>Space TBC if OVL Tent or Aspire Ladies Hall</t>
  </si>
  <si>
    <t>FAC00851</t>
  </si>
  <si>
    <t>FAC00852</t>
  </si>
  <si>
    <t>FAC00853</t>
  </si>
  <si>
    <t>FAC00854</t>
  </si>
  <si>
    <t>FAC00855</t>
  </si>
  <si>
    <t>FAC00856</t>
  </si>
  <si>
    <t>FAC00857</t>
  </si>
  <si>
    <t>FAC00858</t>
  </si>
  <si>
    <t>FAC00859</t>
  </si>
  <si>
    <t>Located in Photographers' Working Area L2</t>
  </si>
  <si>
    <t>FAC00860</t>
  </si>
  <si>
    <t>FAC00861</t>
  </si>
  <si>
    <t>FAC00862</t>
  </si>
  <si>
    <t>FAC00863</t>
  </si>
  <si>
    <t>FAC00864</t>
  </si>
  <si>
    <t>FAC00865</t>
  </si>
  <si>
    <t>FAC00866</t>
  </si>
  <si>
    <t>FAC00867</t>
  </si>
  <si>
    <t>FAC00868</t>
  </si>
  <si>
    <t>FAC00869</t>
  </si>
  <si>
    <t>FAC00870</t>
  </si>
  <si>
    <t>FAC00871</t>
  </si>
  <si>
    <t>FAC00872</t>
  </si>
  <si>
    <t>FAC00873</t>
  </si>
  <si>
    <t>FAC00874</t>
  </si>
  <si>
    <t>FAC00875</t>
  </si>
  <si>
    <t>FAC00876</t>
  </si>
  <si>
    <t>SK 14.10: Nice to have, WiFi could work as a main solution</t>
  </si>
  <si>
    <t>FAC00877</t>
  </si>
  <si>
    <t>FAC00878</t>
  </si>
  <si>
    <t>FAC00879</t>
  </si>
  <si>
    <t>FAC00880</t>
  </si>
  <si>
    <t>15.09 MI - Quantity changed from 250 to 350</t>
  </si>
  <si>
    <t>FAC00881</t>
  </si>
  <si>
    <t>SK 14.10: Reduced to 70 as per meeting with MEO</t>
  </si>
  <si>
    <t>FAC00883</t>
  </si>
  <si>
    <t>FAC00884</t>
  </si>
  <si>
    <t>For match viewing area</t>
  </si>
  <si>
    <t>FAC00885</t>
  </si>
  <si>
    <t>FAC00887</t>
  </si>
  <si>
    <t>15.09 MI - Quantity changed from 80 to 200</t>
  </si>
  <si>
    <t>FAC00888</t>
  </si>
  <si>
    <t>FAC00889</t>
  </si>
  <si>
    <t>FAC00890</t>
  </si>
  <si>
    <t>15.09 MI - Quantity changed from 15 to 30</t>
  </si>
  <si>
    <t>FAC00891</t>
  </si>
  <si>
    <t>FAC00892</t>
  </si>
  <si>
    <t>FAC00893</t>
  </si>
  <si>
    <t>FAC00894</t>
  </si>
  <si>
    <t>FAC00895</t>
  </si>
  <si>
    <t>FAC00896</t>
  </si>
  <si>
    <t>FAC00897</t>
  </si>
  <si>
    <t>15.09 MI - Quantity changed from 5 to 10</t>
  </si>
  <si>
    <t>FAC00898</t>
  </si>
  <si>
    <t>SK 07/10: Talk to MEO te replace with limited number of MiFi as per number of open trainings.
SK 14/10: Changed to MiFi devices</t>
  </si>
  <si>
    <t>For each training pitch of Egla and QU (17 pitches TBC)</t>
  </si>
  <si>
    <t>FAC00899</t>
  </si>
  <si>
    <t>15.09 MI - Requirement not captured previously</t>
  </si>
  <si>
    <t>FAC00900</t>
  </si>
  <si>
    <t>STC 1</t>
  </si>
  <si>
    <t>5 x wired connections x each STC (6) - 4 x laptops &amp; 1 x printer
EACS network - TBC, Dedicated VLAN - TBD - Internet access is required</t>
  </si>
  <si>
    <t>FAC00901</t>
  </si>
  <si>
    <t>1 x wireless connection for up 10 devices x each STC (6)
EACS network - TBC, Dedicated VLAN - TBD - Internet access is required</t>
  </si>
  <si>
    <t>FAC00902</t>
  </si>
  <si>
    <t>SK 07.09: 6 -&gt; 2; 
SK 22.11: 1x Moved to storage as per Rauf email confirmation</t>
  </si>
  <si>
    <t>1 x A4 printer x each STC (6)</t>
  </si>
  <si>
    <t>FAC00903</t>
  </si>
  <si>
    <t>To Review</t>
  </si>
  <si>
    <t>SK 22.11: Base on number of locations</t>
  </si>
  <si>
    <t>1 x MIFI Router x each STC (6) - Data traffic TBC</t>
  </si>
  <si>
    <t>FAC00904</t>
  </si>
  <si>
    <t>SK 07.09: Laptops are expected to be provided by TKT SP</t>
  </si>
  <si>
    <t>4 x laptops for each STC (6) - TBC with appointed Ticketing Service Provider</t>
  </si>
  <si>
    <t>FAC00905</t>
  </si>
  <si>
    <t>SK 07.09: WiFi is not feasible. To share ICT feadback 6 -&gt; 0</t>
  </si>
  <si>
    <t>1 x wireless connection x each M&amp;B coverding whole entry area
Quantity of equipment to be connected - TBC
EACS network - TBC, Dedicated VLAN - TBD - Internet access is required</t>
  </si>
  <si>
    <t>FAC00906</t>
  </si>
  <si>
    <t>SK 07.09: ICT to provide package suggestion based on match schedule.</t>
  </si>
  <si>
    <t>As per Hayya Requirements, number and dates</t>
  </si>
  <si>
    <t>FAC00907</t>
  </si>
  <si>
    <t>SK 27.10: Should support access to TKT server</t>
  </si>
  <si>
    <t>2 x wired EACS network connections per each TRP
EACS network and internet access is required</t>
  </si>
  <si>
    <t>FAC00908</t>
  </si>
  <si>
    <t>1 x wireless connection for up 10 devices 
EACS network - TBC, Dedicated VLAN - TBD - Internet access is required</t>
  </si>
  <si>
    <t>FAC00909</t>
  </si>
  <si>
    <t>Aligned to cancel</t>
  </si>
  <si>
    <t>1 x MIFI router x each TRP</t>
  </si>
  <si>
    <t>FAC00910</t>
  </si>
  <si>
    <t>2 x laptops for each TRP (4) - TBC with appointed Ticketing Service Provider</t>
  </si>
  <si>
    <t>FAC00911</t>
  </si>
  <si>
    <t>SK 7.09: Not in ICT scope., Aspire has to provide it as part of Turnstile infra solution</t>
  </si>
  <si>
    <t>Certain gates located on the inner perimeter will need to be covered with wireless connection to support PDA scanners with access to the EACS network. Specific gates TBC</t>
  </si>
  <si>
    <t>FAC00912</t>
  </si>
  <si>
    <t>Venue Ticketing Office - TBC
1 x wireless connection for up 15 devices 
EACS network - TBC, Dedicated VLAN - TBD - Internet access is required</t>
  </si>
  <si>
    <t>FAC00913</t>
  </si>
  <si>
    <t>SK 07.09: Canceled</t>
  </si>
  <si>
    <t>Venue Ticketing Office - TBC
6 x wired connections for 5 x laptops &amp; 1 x printer
EACS network - TBC, Dedicated VLAN - TBD - internet access is required</t>
  </si>
  <si>
    <t>FAC00914</t>
  </si>
  <si>
    <t>SK 07/09: General Office printer to be used</t>
  </si>
  <si>
    <t>Venue Ticketing Office - TBC
1 x A3 printer</t>
  </si>
  <si>
    <t>FAC00915</t>
  </si>
  <si>
    <t>SK 27.10: Based on call with Rauf</t>
  </si>
  <si>
    <t>Venue Ticketing Office - TBC
1 x TV with HDMI</t>
  </si>
  <si>
    <t>FAC00916</t>
  </si>
  <si>
    <t>Venue EACS office
3 x wired connections for  2 x workstations/laptops, 1 x printer 
EACS network - TBC, Dedicated VLAN - TBD - Internet access is required</t>
  </si>
  <si>
    <t>FAC00917</t>
  </si>
  <si>
    <t>Venue EACS office
1 x wireless connection for up to 20 devices
EACS network - TBC, Dedicated VLAN - TBD - Internet access is required</t>
  </si>
  <si>
    <t>FAC00918</t>
  </si>
  <si>
    <t>Venue EACS office
1 x A4 printer</t>
  </si>
  <si>
    <t>FAC00919</t>
  </si>
  <si>
    <t>SK 22.11: EACS VLAN for monitoring</t>
  </si>
  <si>
    <t>2 x wired ports for 2 x laptops
EACS network - TBC, Dedicated VLAN - TBD</t>
  </si>
  <si>
    <t>FAC00920</t>
  </si>
  <si>
    <t>SK 07.09: Laptoips for monitoring
SK 22.11: Reduced per Rauf Confirmation via email</t>
  </si>
  <si>
    <t>2 x laptops to provide entry statistics (main and secondary)</t>
  </si>
  <si>
    <t>FAC00921</t>
  </si>
  <si>
    <t>SK 22.11: Moved from TKT to ICT Storage as per Rauf email</t>
  </si>
  <si>
    <t>1 x TV with HDMI (TBC - in case is not available in VOC)</t>
  </si>
  <si>
    <t>FAC00922</t>
  </si>
  <si>
    <t>SK 22.11: Check service availability</t>
  </si>
  <si>
    <t>FAC00923</t>
  </si>
  <si>
    <t>FAC00924</t>
  </si>
  <si>
    <t>FAC00925</t>
  </si>
  <si>
    <t>FAC00926</t>
  </si>
  <si>
    <t>4 x laptops for each STC (8) - TBC with appointed Ticketing Service Provider</t>
  </si>
  <si>
    <t>FAC00927</t>
  </si>
  <si>
    <t>SK 07.09: WiFi is not feasible. To share ICT feadback 10  -&gt; 0</t>
  </si>
  <si>
    <t>FAC00928</t>
  </si>
  <si>
    <t>TBC - Depending on company appointed for access control
1 x SIM with data x each PDA scanner (Q-ty TBC)</t>
  </si>
  <si>
    <t>FAC00929</t>
  </si>
  <si>
    <t>FAC00930</t>
  </si>
  <si>
    <t>FAC00931</t>
  </si>
  <si>
    <t>FAC00932</t>
  </si>
  <si>
    <t>2 x laptops for each TRP (6) - TBC with appointed Ticketing Service Provider</t>
  </si>
  <si>
    <t>FAC00933</t>
  </si>
  <si>
    <t>FAC00934</t>
  </si>
  <si>
    <t>FAC00935</t>
  </si>
  <si>
    <t>FAC00936</t>
  </si>
  <si>
    <t>FAC00937</t>
  </si>
  <si>
    <t>FAC00938</t>
  </si>
  <si>
    <t>FAC00939</t>
  </si>
  <si>
    <t>FAC00940</t>
  </si>
  <si>
    <t>FAC00941</t>
  </si>
  <si>
    <t>FAC00942</t>
  </si>
  <si>
    <t>FAC00943</t>
  </si>
  <si>
    <t>SK 07.09: Based on stadium needs</t>
  </si>
  <si>
    <t>FAC00944</t>
  </si>
  <si>
    <t>FAC00945</t>
  </si>
  <si>
    <t>FAC00946</t>
  </si>
  <si>
    <t>FAC00947</t>
  </si>
  <si>
    <t>FAC00948</t>
  </si>
  <si>
    <t>FAC00949</t>
  </si>
  <si>
    <t>SK 07.09: WiFi is not feasible. To share ICT feadback 15  -&gt; 0</t>
  </si>
  <si>
    <t>FAC00950</t>
  </si>
  <si>
    <t>FAC00951</t>
  </si>
  <si>
    <t>FAC00952</t>
  </si>
  <si>
    <t>FAC00953</t>
  </si>
  <si>
    <t>FAC00954</t>
  </si>
  <si>
    <t>FAC00955</t>
  </si>
  <si>
    <t>FAC00956</t>
  </si>
  <si>
    <t>FAC00957</t>
  </si>
  <si>
    <t>FAC00958</t>
  </si>
  <si>
    <t>FAC00959</t>
  </si>
  <si>
    <t>FAC00960</t>
  </si>
  <si>
    <t>FAC00961</t>
  </si>
  <si>
    <t>FAC00962</t>
  </si>
  <si>
    <t>FAC00963</t>
  </si>
  <si>
    <t>FAC00964</t>
  </si>
  <si>
    <t>FAC00965</t>
  </si>
  <si>
    <t>FAC00966</t>
  </si>
  <si>
    <t>FAC00967</t>
  </si>
  <si>
    <t>FAC00968</t>
  </si>
  <si>
    <t>FAC00969</t>
  </si>
  <si>
    <t>FAC00970</t>
  </si>
  <si>
    <t>FAC00971</t>
  </si>
  <si>
    <t>FAC00972</t>
  </si>
  <si>
    <t>FAC00973</t>
  </si>
  <si>
    <t>FAC00974</t>
  </si>
  <si>
    <t>FAC00975</t>
  </si>
  <si>
    <t>FAC00976</t>
  </si>
  <si>
    <t>FAC00977</t>
  </si>
  <si>
    <t>FAC00978</t>
  </si>
  <si>
    <t>FAC00979</t>
  </si>
  <si>
    <t>FAC00980</t>
  </si>
  <si>
    <t>FAC00981</t>
  </si>
  <si>
    <t>FAC00982</t>
  </si>
  <si>
    <t>FAC00983</t>
  </si>
  <si>
    <t>FAC00984</t>
  </si>
  <si>
    <t>FAC00985</t>
  </si>
  <si>
    <t>FAC00986</t>
  </si>
  <si>
    <t>FAC00987</t>
  </si>
  <si>
    <t>FAC00988</t>
  </si>
  <si>
    <t>FAC00989</t>
  </si>
  <si>
    <t>FAC00990</t>
  </si>
  <si>
    <t>FAC00991</t>
  </si>
  <si>
    <t>FAC00992</t>
  </si>
  <si>
    <t>FAC00993</t>
  </si>
  <si>
    <t>SK 07.09: WiFi is not feasible. To share ICT feadback 5 -&gt; 0</t>
  </si>
  <si>
    <t>FAC00994</t>
  </si>
  <si>
    <t>FAC00995</t>
  </si>
  <si>
    <t>FAC00996</t>
  </si>
  <si>
    <t>FAC00997</t>
  </si>
  <si>
    <t>FAC00998</t>
  </si>
  <si>
    <t>FAC00999</t>
  </si>
  <si>
    <t>FAC01000</t>
  </si>
  <si>
    <t>FAC01001</t>
  </si>
  <si>
    <t>FAC01002</t>
  </si>
  <si>
    <t>FAC01003</t>
  </si>
  <si>
    <t>FAC01004</t>
  </si>
  <si>
    <t>FAC01005</t>
  </si>
  <si>
    <t>FAC01006</t>
  </si>
  <si>
    <t>FAC01007</t>
  </si>
  <si>
    <t>FAC01008</t>
  </si>
  <si>
    <t>FAC01009</t>
  </si>
  <si>
    <t>FAC01010</t>
  </si>
  <si>
    <t>SK 22.11: Validate feasibility</t>
  </si>
  <si>
    <t>FAC01011</t>
  </si>
  <si>
    <t>FAC01012</t>
  </si>
  <si>
    <t>FAC01013</t>
  </si>
  <si>
    <t>FAC01014</t>
  </si>
  <si>
    <t>FAC01015</t>
  </si>
  <si>
    <t>FAC01016</t>
  </si>
  <si>
    <t>FAC01017</t>
  </si>
  <si>
    <t>FAC01018</t>
  </si>
  <si>
    <t>FAC01019</t>
  </si>
  <si>
    <t>FAC01020</t>
  </si>
  <si>
    <t>FAC01021</t>
  </si>
  <si>
    <t>FAC01022</t>
  </si>
  <si>
    <t>FAC01023</t>
  </si>
  <si>
    <t>FAC01024</t>
  </si>
  <si>
    <t>FAC01025</t>
  </si>
  <si>
    <t>FAC01026</t>
  </si>
  <si>
    <t>FAC01027</t>
  </si>
  <si>
    <t>FAC01028</t>
  </si>
  <si>
    <t>FAC01029</t>
  </si>
  <si>
    <t>FAC01030</t>
  </si>
  <si>
    <t>FAC01031</t>
  </si>
  <si>
    <t>FAC01032</t>
  </si>
  <si>
    <t>SK 07.09: TKT to requiest through the email</t>
  </si>
  <si>
    <r>
      <rPr>
        <sz val="11"/>
        <color rgb="FF000000"/>
        <rFont val="Calibri"/>
        <family val="2"/>
      </rPr>
      <t xml:space="preserve">Monitor 27" with cable for connection (HDMI, Thunderbolt(type-c), etc.),JM 13:10 : User requested only for 5 monitors for now and he will request for the rest if need it. </t>
    </r>
    <r>
      <rPr>
        <sz val="11"/>
        <color rgb="FFFF0000"/>
        <rFont val="Calibri"/>
        <family val="2"/>
      </rPr>
      <t>Etibar asked for extra 4 monitors  13 :10 and have been delivered to 11th floor as requested.( total 9 monitors)</t>
    </r>
  </si>
  <si>
    <t>FAC01040</t>
  </si>
  <si>
    <t>SK 07.09 - not required</t>
  </si>
  <si>
    <t>Projector FHD with HDMI cable - TBC</t>
  </si>
  <si>
    <t>FAC01041</t>
  </si>
  <si>
    <t>Unfortunatelly headsets are not available</t>
  </si>
  <si>
    <t>VUM office</t>
  </si>
  <si>
    <t>FAC00011</t>
  </si>
  <si>
    <t>to be provided in Al Bidda</t>
  </si>
  <si>
    <t>FAC00133</t>
  </si>
  <si>
    <t>FAC00132</t>
  </si>
  <si>
    <t>SK 17.09: Agreed with Charbel to reuse his office monitors</t>
  </si>
  <si>
    <t>FAC00012</t>
  </si>
  <si>
    <t>USBETH</t>
  </si>
  <si>
    <t>SK 18.09: Based on laptop with Eth availability. Adapters to be procured</t>
  </si>
  <si>
    <t>FAC01111</t>
  </si>
  <si>
    <t>SK 18.09: To be confirmed by Khaled by today</t>
  </si>
  <si>
    <t>Mouse. To be utilised for FAC25 as well. For use with the laptops</t>
  </si>
  <si>
    <t>Shared space</t>
  </si>
  <si>
    <t>FAC00009</t>
  </si>
  <si>
    <t>SK 17.09: Shared Device to be used</t>
  </si>
  <si>
    <t>MI 16.10: CR004 - 6 Laser Color Printers requested  by ACR director for SSOC UAC</t>
  </si>
  <si>
    <t>NSMOB</t>
  </si>
  <si>
    <t>FAC00010</t>
  </si>
  <si>
    <t>FAC00134</t>
  </si>
  <si>
    <t>ME 07/10: The monitors are not available please relocate your office device if required. ME 09/10:Spoke with Ivo and informed him that we rejected the monito request.</t>
  </si>
  <si>
    <t>SK 17.09 New item added</t>
  </si>
  <si>
    <t>FAC01112</t>
  </si>
  <si>
    <t>FAC01113</t>
  </si>
  <si>
    <t>FAC01114</t>
  </si>
  <si>
    <t>FAC01115</t>
  </si>
  <si>
    <t>FAC01116</t>
  </si>
  <si>
    <t>FAC01117</t>
  </si>
  <si>
    <t>SK 06/10: the requirements are valid. Allocation per correct VLAN is pending</t>
  </si>
  <si>
    <t>MI 19.10: CR008 - SPS requirements</t>
  </si>
  <si>
    <t>SPS has over 500 staff members, including around 50 supervisors, and needs to print thousands of operational documents for each matchday. Relying on a shared printer is not practical, as it leads to significant delays and wastes both time and resources.</t>
  </si>
  <si>
    <t>SPS has over 800 staff members, including around 50 supervisors, and needs to print thousands of operational documents for each matchday. Relying on a shared printer is not practical, as it leads to significant delays and wastes both time and resources.</t>
  </si>
  <si>
    <t>SPS has over 400 staff members, including around 50 supervisors, and needs to print thousands of operational documents for each matchday. Relying on a shared printer is not practical, as it leads to significant delays and wastes both time and resources.</t>
  </si>
  <si>
    <t>SPS has around 400 staff members, including around 50 supervisors, and needs to print thousands of operational documents for each matchday. Relying on a shared printer is not practical, as it leads to significant delays and wastes both time and resources.</t>
  </si>
  <si>
    <t> </t>
  </si>
  <si>
    <t xml:space="preserve">As we are digitalising our restricted items storage operation, we need MiFi Routers in each of the restricted items storages. Or mobile with Data sim will work. </t>
  </si>
  <si>
    <t>MI 19.10: CR008 - SPS requirements
SK 22.11: implemented based on legacy/OVL availability</t>
  </si>
  <si>
    <t>As we are digitalising our restricted items storage operation, we need laptops for all the RIS operators to use the application</t>
  </si>
  <si>
    <t xml:space="preserve">These mobile devices are required for the stroller storage operation. Will use the data to access the SPS Storage web application </t>
  </si>
  <si>
    <t>MI 30.10: Quantity reduced from 10 to 8 after CR evaluation
MI 19.10: CR009 HOS requirements</t>
  </si>
  <si>
    <t>MI 19.10: CR009 HOS requirements</t>
  </si>
  <si>
    <t>MI 30.10: Quantity reduced from 16 to 4 after CR evaluation
MI 19.10: CR009 HOS requirements</t>
  </si>
  <si>
    <t>MI 30.10: Quantity reduced from 14  to 0 after CR evaluation
MI 19.10: CR009 HOS requirements</t>
  </si>
  <si>
    <t>MI 30.10: Quantity reduced to 0 as TV requirement removed
MI 19.10: CR009 HOS requirements</t>
  </si>
  <si>
    <t>MI 30.10: Quantity reduced from 4  to 0 after CR evaluation
MI 19.10: CR009 HOS requirements</t>
  </si>
  <si>
    <t xml:space="preserve">MI 19.10: CR007 - Vodafone SIM card by AND </t>
  </si>
  <si>
    <t>Contingency + 1 from TKT</t>
  </si>
  <si>
    <t>Moved from VAHO to store for contingency</t>
  </si>
  <si>
    <t>FIC staff SSID</t>
  </si>
  <si>
    <t>for Concil members with International calls</t>
  </si>
  <si>
    <t>ME: 9/12/205: An additional 20 monitors have been provided to the FIFA office</t>
  </si>
  <si>
    <t>23 Nov deployed</t>
  </si>
  <si>
    <t>propose Standalone, Standalone ok or projector</t>
  </si>
  <si>
    <t>WiFI</t>
  </si>
  <si>
    <t>50Mb</t>
  </si>
  <si>
    <t>Legacy, + Gooseneck Mic for speaker + 2 handheld</t>
  </si>
  <si>
    <t>can be shared with Technical Office</t>
  </si>
  <si>
    <t>Cannot be reduced</t>
  </si>
  <si>
    <t>specs attached per email</t>
  </si>
  <si>
    <t>can be shared with match Analyst</t>
  </si>
  <si>
    <t>or projector</t>
  </si>
  <si>
    <t>Projector already available</t>
  </si>
  <si>
    <t> Please review if could be reduced and switched to standalone</t>
  </si>
  <si>
    <t xml:space="preserve">Managed Support Services at Al Bidda MOC ,U17, and FAC Venues </t>
  </si>
  <si>
    <t>MI 17:11 - CR027 raised for provision of laptops for managed support services in various venues</t>
  </si>
  <si>
    <t xml:space="preserve">Provisioning of Laptops for Managed Support Services at Al Bidda MOC ,U17, and FAC Venues </t>
  </si>
  <si>
    <t>MI 19:11 - CR028 raised for provision of 10 Lenovo pads to Royston Larsado</t>
  </si>
  <si>
    <t xml:space="preserve">Provision of 10 Lenovo pads for Event Workforce team (Mr. Royston), for use during both the U17 World Cup and the FIFA Arab Cup </t>
  </si>
  <si>
    <t>STC 2</t>
  </si>
  <si>
    <t>STC 3</t>
  </si>
  <si>
    <t>STC 4</t>
  </si>
  <si>
    <t>STC 5-6</t>
  </si>
  <si>
    <t>STC 7</t>
  </si>
  <si>
    <t>STC 8</t>
  </si>
  <si>
    <t>STC 5</t>
  </si>
  <si>
    <t>STC 6</t>
  </si>
  <si>
    <t>SK 22.11: Check if MiFi replacement is required</t>
  </si>
  <si>
    <t>As per PLI/FIFA request, CR is expected</t>
  </si>
  <si>
    <t>As per CMP, CR is expected</t>
  </si>
  <si>
    <t>FIFA RIC</t>
  </si>
  <si>
    <t xml:space="preserve">Interpretation services </t>
  </si>
  <si>
    <t>MI 27.11: CR026 FIFA requirements for Interpretation Services</t>
  </si>
  <si>
    <t>Marketing requires to braodcast whatsapp message</t>
  </si>
  <si>
    <t>MI 30.11: CR032 - 1 SIM card &amp; Phone requested by marketing for the opening game of the Arab Cup to send a WhatsApp broadcast message.</t>
  </si>
  <si>
    <t>FAC25. WKF STA - IT Service Demand</t>
  </si>
  <si>
    <t>Dependencies</t>
  </si>
  <si>
    <t>Desciption</t>
  </si>
  <si>
    <t>Executing Entity</t>
  </si>
  <si>
    <t>Applicable Venues</t>
  </si>
  <si>
    <t>COST</t>
  </si>
  <si>
    <t>COST Per Month</t>
  </si>
  <si>
    <t>Activation COST</t>
  </si>
  <si>
    <t>Limit</t>
  </si>
  <si>
    <t>What is the dependency</t>
  </si>
  <si>
    <t>OVL CATV Rollout</t>
  </si>
  <si>
    <t>Rollout, logistics, operations</t>
  </si>
  <si>
    <t>-</t>
  </si>
  <si>
    <t>No</t>
  </si>
  <si>
    <t>Yes</t>
  </si>
  <si>
    <t>Intaleq</t>
  </si>
  <si>
    <t>KIS, 974, LUS</t>
  </si>
  <si>
    <t>OVL CATV Full</t>
  </si>
  <si>
    <t>Full CATV Setup</t>
  </si>
  <si>
    <t>JHS</t>
  </si>
  <si>
    <t>OVL TV + OVL STB/DMP</t>
  </si>
  <si>
    <t>TecnoQ + Intaleq</t>
  </si>
  <si>
    <t>Non-Comp</t>
  </si>
  <si>
    <t>STA</t>
  </si>
  <si>
    <t>ABS, LUS</t>
  </si>
  <si>
    <t>Aspire STA</t>
  </si>
  <si>
    <t>FIFA+ Streaming</t>
  </si>
  <si>
    <t>OVL TV + Xiaomi Stick + FIFA TV</t>
  </si>
  <si>
    <t>TecnoQ + AV</t>
  </si>
  <si>
    <t>Ooredoo+ Streaming</t>
  </si>
  <si>
    <t xml:space="preserve">OVL TV + ooredoo IPTV </t>
  </si>
  <si>
    <t>TecnoQ + AV + ooredoo</t>
  </si>
  <si>
    <t>MOC + ABHA + JBH</t>
  </si>
  <si>
    <t>Legacy Aspire WiFi</t>
  </si>
  <si>
    <t>Based on basebuild infrastructure</t>
  </si>
  <si>
    <t>no</t>
  </si>
  <si>
    <t>Aspire</t>
  </si>
  <si>
    <t>LUS, ABS, AAS, 974, KIS</t>
  </si>
  <si>
    <t>OVL Legacy Extension</t>
  </si>
  <si>
    <t>OVL access points + SW + configuration</t>
  </si>
  <si>
    <t>SFM, Intaleq, Bin Omran</t>
  </si>
  <si>
    <t>All</t>
  </si>
  <si>
    <t>Legacy QF WiFi</t>
  </si>
  <si>
    <t>QF IT</t>
  </si>
  <si>
    <t>Dedicated line</t>
  </si>
  <si>
    <t>yes</t>
  </si>
  <si>
    <t>BinOmran</t>
  </si>
  <si>
    <t>Network at Stadium</t>
  </si>
  <si>
    <t>Configure network point, IP Addresses and IT Staff to configure the printer</t>
  </si>
  <si>
    <t>Darwish</t>
  </si>
  <si>
    <t>configured port, know IP adress and NW settings</t>
  </si>
  <si>
    <t>Standalone at Stadium</t>
  </si>
  <si>
    <t>Printer + USB Cable + Admin access on Laptop</t>
  </si>
  <si>
    <t>Technician for MD</t>
  </si>
  <si>
    <t>Legacy TV</t>
  </si>
  <si>
    <t>Available at the venue</t>
  </si>
  <si>
    <t>FM</t>
  </si>
  <si>
    <t>Existing staff, logistics, installation, support</t>
  </si>
  <si>
    <t>TechnoQ</t>
  </si>
  <si>
    <t>STA, Non-Comp</t>
  </si>
  <si>
    <t xml:space="preserve">OVL Interpretation system </t>
  </si>
  <si>
    <t xml:space="preserve">TechnoQ will install OVL OVL Interpretation system </t>
  </si>
  <si>
    <t>STA + MMC</t>
  </si>
  <si>
    <t xml:space="preserve">OVL Remote Interpretation system </t>
  </si>
  <si>
    <t xml:space="preserve">TechnoQ will install OVL Remote Interpretation system </t>
  </si>
  <si>
    <t xml:space="preserve">OVL press conference </t>
  </si>
  <si>
    <t xml:space="preserve">TechnoQ will install OVL press conference </t>
  </si>
  <si>
    <t>video Wall</t>
  </si>
  <si>
    <t>TechnoQ will install Leagacy video Wall</t>
  </si>
  <si>
    <t xml:space="preserve">MOC </t>
  </si>
  <si>
    <t>waiting for the prposal</t>
  </si>
  <si>
    <t>Xiaomi Stick + FIFA TV</t>
  </si>
  <si>
    <t>OVL video Wall</t>
  </si>
  <si>
    <t>TechnoQ will install OVL LED video Wall</t>
  </si>
  <si>
    <t>Samsung Mobile Phone - Legacy</t>
  </si>
  <si>
    <t>Existing staff</t>
  </si>
  <si>
    <t>SC</t>
  </si>
  <si>
    <t>Telecom - SIM - Voice and Data</t>
  </si>
  <si>
    <t>Mobile PAckage ( 1500 Local min+14GB data)</t>
  </si>
  <si>
    <t xml:space="preserve">ooredoo </t>
  </si>
  <si>
    <t>Data SIM Medium Pack- 25 GB</t>
  </si>
  <si>
    <t>MiFi Router Legacy + data SIM Max Pack - 500 GB</t>
  </si>
  <si>
    <t xml:space="preserve">SC + ooredoo </t>
  </si>
  <si>
    <t>Configure with event image and collect from the distribution center</t>
  </si>
  <si>
    <t>setup the approved laptop and handover to the FA (Existing stock)</t>
  </si>
  <si>
    <t>Get the monitor ready with HDMI cable and provided in the requested location</t>
  </si>
  <si>
    <t>setup the approved Monitor and handover to the FA at the requested location (Existing stock)</t>
  </si>
  <si>
    <t>Existing stock</t>
  </si>
  <si>
    <t>Handover the Barcode scanners to the FA (Exsiting stock)</t>
  </si>
  <si>
    <t>Lenovo Tablet</t>
  </si>
  <si>
    <t xml:space="preserve">Use old android devices from stock. </t>
  </si>
  <si>
    <t>Position</t>
  </si>
  <si>
    <t>Name</t>
  </si>
  <si>
    <t>Phone</t>
  </si>
  <si>
    <t>Email</t>
  </si>
  <si>
    <t xml:space="preserve">Access Management </t>
  </si>
  <si>
    <t>FA Lead</t>
  </si>
  <si>
    <t>Bared Halajian</t>
  </si>
  <si>
    <t>b.halajian@sc.qa</t>
  </si>
  <si>
    <t>FA Requirements Focal</t>
  </si>
  <si>
    <t>Martin Cantero</t>
  </si>
  <si>
    <t>Arrival &amp; Departure</t>
  </si>
  <si>
    <t>Griselda Nievas</t>
  </si>
  <si>
    <t>g.nievas@loc.qa</t>
  </si>
  <si>
    <t>Catering</t>
  </si>
  <si>
    <t>Noha Ziedan</t>
  </si>
  <si>
    <t>7400 9398</t>
  </si>
  <si>
    <t>n.ziedan@sc.qa</t>
  </si>
  <si>
    <t>Mustapha Berrebbah</t>
  </si>
  <si>
    <t>5574 3753</t>
  </si>
  <si>
    <t>m.berrebbah@sc.qa</t>
  </si>
  <si>
    <t>TBC</t>
  </si>
  <si>
    <t>TBC - Sara Albatesh</t>
  </si>
  <si>
    <t>s.albatesh@sc.qa</t>
  </si>
  <si>
    <t>Comms / Stakeholder / MER</t>
  </si>
  <si>
    <t>Food &amp; Beverage Concessions</t>
  </si>
  <si>
    <t xml:space="preserve">Chady Maalouly </t>
  </si>
  <si>
    <t>c.maalouly@sc.qa</t>
  </si>
  <si>
    <t xml:space="preserve">Tamara Kemulariya </t>
  </si>
  <si>
    <t>t.kemulariya@sc.qa</t>
  </si>
  <si>
    <t>Logistics</t>
  </si>
  <si>
    <t>Gzanfer Raqib</t>
  </si>
  <si>
    <t>+974 4475 1649</t>
  </si>
  <si>
    <t>g.raqib@sc.qa</t>
  </si>
  <si>
    <t>Ligia Rondon</t>
  </si>
  <si>
    <t>3056 9188</t>
  </si>
  <si>
    <t>m.silva@sc.qa</t>
  </si>
  <si>
    <t>TBC - Damon Lane Tilley</t>
  </si>
  <si>
    <t>damon.tilley@aspetar.com</t>
  </si>
  <si>
    <t>Power</t>
  </si>
  <si>
    <t>Dmitrii Solonenkin</t>
  </si>
  <si>
    <t>d.solonenkin@sc.qa</t>
  </si>
  <si>
    <t>Spectator Services</t>
  </si>
  <si>
    <t>Kelly Johnston</t>
  </si>
  <si>
    <t>k.johnston@sc.qa</t>
  </si>
  <si>
    <t>Sayyed Thangal</t>
  </si>
  <si>
    <t>s.thangal@sc.qa</t>
  </si>
  <si>
    <t>Mobility</t>
  </si>
  <si>
    <t>Irma Dik</t>
  </si>
  <si>
    <t>IDik@ssoc.gov.qa</t>
  </si>
  <si>
    <t>Planning and Integration</t>
  </si>
  <si>
    <t>Team Services</t>
  </si>
  <si>
    <t>Shukran</t>
  </si>
  <si>
    <t>Jassim Alobaidly</t>
  </si>
  <si>
    <t>j.alobaidly@sc.qa</t>
  </si>
  <si>
    <t>Catherine Chebil</t>
  </si>
  <si>
    <t>c.chebil@sc.qa</t>
  </si>
  <si>
    <t>Ganna Musiienko</t>
  </si>
  <si>
    <t>3359 7642</t>
  </si>
  <si>
    <t>g.musiienko@sc.qa</t>
  </si>
  <si>
    <t>Ticketing</t>
  </si>
  <si>
    <t>Lubna Amath</t>
  </si>
  <si>
    <t>3352 0949</t>
  </si>
  <si>
    <t>l.amath@sc.qa</t>
  </si>
  <si>
    <t>ABDULAZIZ FAKHROO</t>
  </si>
  <si>
    <t>ab.fakhroo@sc.qa</t>
  </si>
  <si>
    <t xml:space="preserve">THAHIR NAFEES </t>
  </si>
  <si>
    <t>t.sayid@sc.qa</t>
  </si>
  <si>
    <t>Referee</t>
  </si>
  <si>
    <t>Maha El Batran</t>
  </si>
  <si>
    <t>m.elbatran@sc.qa</t>
  </si>
  <si>
    <t>Rana Bou Dagher</t>
  </si>
  <si>
    <t>r.dagher@loc.qa</t>
  </si>
  <si>
    <t>FIFA Interpretation Services</t>
  </si>
  <si>
    <t>Natalia Alyabyeva</t>
  </si>
  <si>
    <t>6643 3633</t>
  </si>
  <si>
    <t>n.alyabyeva@sc.qa</t>
  </si>
  <si>
    <t>Vladimir Malgin</t>
  </si>
  <si>
    <t>5094 9775</t>
  </si>
  <si>
    <t>v.malgin@sc.qa</t>
  </si>
  <si>
    <t>Haya AlKuwari</t>
  </si>
  <si>
    <t>hm.alkuwari@sc.qa</t>
  </si>
  <si>
    <t>TBC - Samera Elmi</t>
  </si>
  <si>
    <t>selmi@qsl.com.qa</t>
  </si>
  <si>
    <t>Anastasiia Glushkova</t>
  </si>
  <si>
    <t>a.glushkova@sc.qa</t>
  </si>
  <si>
    <t>Vera Turuntseva</t>
  </si>
  <si>
    <t>v.turuntseva@sc.qa</t>
  </si>
  <si>
    <t>Vanessa Sales</t>
  </si>
  <si>
    <t>v.sales@sc.qa</t>
  </si>
  <si>
    <t xml:space="preserve">Bahaa Challa </t>
  </si>
  <si>
    <t>b.challa@sc.qa</t>
  </si>
  <si>
    <t>Aigerim Jumayeva</t>
  </si>
  <si>
    <t>a.jumayeva@sc.qa</t>
  </si>
  <si>
    <t>Mostafa Abdelazim</t>
  </si>
  <si>
    <t>mabdulazeem@qfa.qa</t>
  </si>
  <si>
    <t>Nasser Mubark Alkuwari</t>
  </si>
  <si>
    <t>nmalkuwari@qsl.com.qa</t>
  </si>
  <si>
    <t>Chiheb Eddine Sboui</t>
  </si>
  <si>
    <t>csboui@qsl.com.qa</t>
  </si>
  <si>
    <t>Sarah Odeh/Wasan Al Jaber</t>
  </si>
  <si>
    <t>30254567 / 77774497</t>
  </si>
  <si>
    <t>s.odeh@sc.qa / wy.aljaber@sc.qa</t>
  </si>
  <si>
    <t>Yulia Kozlova</t>
  </si>
  <si>
    <t>3032 0946</t>
  </si>
  <si>
    <t>y.kozlova@sc.qa</t>
  </si>
  <si>
    <t>Rauf Novruzov</t>
  </si>
  <si>
    <t>r.novruzov@sc.qa</t>
  </si>
  <si>
    <t>Sergei Koliushin</t>
  </si>
  <si>
    <t>s.koliushin@sc.qa</t>
  </si>
  <si>
    <t>Ivo Vermeulen</t>
  </si>
  <si>
    <t>6631 8058</t>
  </si>
  <si>
    <t>i.vermeulen@sc.qa</t>
  </si>
  <si>
    <t>FIFA Guest OPS</t>
  </si>
  <si>
    <t>FAC25 Non-Comp:  Remote Search Park (RSP), Arrival &amp; Departure (AND), Training Site (TS) - IT Service Demand</t>
  </si>
  <si>
    <t>Quantity</t>
  </si>
  <si>
    <t>Not Available</t>
  </si>
  <si>
    <t>Reviewed by VTM</t>
  </si>
  <si>
    <t>Reviewed by SM</t>
  </si>
  <si>
    <t>New</t>
  </si>
  <si>
    <t>Months (Start Date)</t>
  </si>
  <si>
    <t>Days (Start Date)</t>
  </si>
  <si>
    <t>30-Nov</t>
  </si>
  <si>
    <t>30-Nov Total</t>
  </si>
  <si>
    <t>2-Nov</t>
  </si>
  <si>
    <t>2-Nov Total</t>
  </si>
  <si>
    <t>Initial Counters</t>
  </si>
  <si>
    <t>Final Counters</t>
  </si>
  <si>
    <t>Printer model</t>
  </si>
  <si>
    <t>Deployed</t>
  </si>
  <si>
    <t>Deployment date</t>
  </si>
  <si>
    <t>Dismantling Date</t>
  </si>
  <si>
    <t>IP</t>
  </si>
  <si>
    <t>Mask</t>
  </si>
  <si>
    <t>Gate</t>
  </si>
  <si>
    <t>BW A4</t>
  </si>
  <si>
    <t>Color A4</t>
  </si>
  <si>
    <t>BW A3</t>
  </si>
  <si>
    <t>Color A3</t>
  </si>
  <si>
    <t>BW A43</t>
  </si>
  <si>
    <t>Color A43</t>
  </si>
  <si>
    <t>BW A32</t>
  </si>
  <si>
    <t>Color A32</t>
  </si>
  <si>
    <t>Comment</t>
  </si>
  <si>
    <t>Setup</t>
  </si>
  <si>
    <t>BumpOut</t>
  </si>
  <si>
    <t>OPS</t>
  </si>
  <si>
    <t>Venue/Milestone</t>
  </si>
  <si>
    <t>OPS Start</t>
  </si>
  <si>
    <t>OPS End</t>
  </si>
  <si>
    <t>Al Bidda - TKT Center</t>
  </si>
  <si>
    <t>Al Bidda - TKT HQ</t>
  </si>
  <si>
    <t>Al Bidda - LCC</t>
  </si>
  <si>
    <t>Al Bidda - TSV TLOs</t>
  </si>
  <si>
    <t xml:space="preserve">Training 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</si>
</sst>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mmmm"/>
    <numFmt numFmtId="166" formatCode="dd"/>
  </numFmts>
  <fonts count="22">
    <font>
      <sz val="11"/>
      <color theme="1"/>
      <name val="Calibri"/>
      <family val="2"/>
      <scheme val="minor"/>
    </font>
    <font>
      <b/>
      <sz val="11"/>
      <color theme="0"/>
      <name val="Calibri"/>
      <family val="2"/>
      <scheme val="minor"/>
    </font>
    <font>
      <b/>
      <sz val="11"/>
      <color theme="1"/>
      <name val="Calibri"/>
      <family val="2"/>
      <scheme val="minor"/>
    </font>
    <font>
      <b/>
      <i/>
      <sz val="14"/>
      <color rgb="FFFFFFFF"/>
      <name val="Calibri"/>
      <family val="2"/>
      <scheme val="minor"/>
    </font>
    <font>
      <b/>
      <sz val="14"/>
      <color rgb="FFFFFFFF"/>
      <name val="Calibri"/>
      <family val="2"/>
      <scheme val="minor"/>
    </font>
    <font>
      <i/>
      <sz val="11"/>
      <name val="Calibri"/>
      <family val="2"/>
      <scheme val="minor"/>
    </font>
    <font>
      <sz val="11"/>
      <name val="Calibri"/>
      <family val="2"/>
      <scheme val="minor"/>
    </font>
    <font>
      <b/>
      <sz val="12"/>
      <color theme="0"/>
      <name val="Calibri"/>
      <family val="2"/>
      <scheme val="minor"/>
    </font>
    <font>
      <u/>
      <sz val="11"/>
      <color theme="10"/>
      <name val="Calibri"/>
      <family val="2"/>
      <scheme val="minor"/>
    </font>
    <font>
      <b/>
      <sz val="14"/>
      <color rgb="FFFF0000"/>
      <name val="Calibri"/>
      <family val="2"/>
      <scheme val="minor"/>
    </font>
    <font>
      <sz val="11"/>
      <color rgb="FF000000"/>
      <name val="Calibri"/>
      <family val="2"/>
      <charset val="1"/>
    </font>
    <font>
      <sz val="11"/>
      <color rgb="FF000000"/>
      <name val="Calibri"/>
      <family val="2"/>
    </font>
    <font>
      <b/>
      <sz val="11"/>
      <name val="Calibri"/>
      <family val="2"/>
      <scheme val="minor"/>
    </font>
    <font>
      <sz val="18"/>
      <color theme="1"/>
      <name val="Calibri"/>
      <family val="2"/>
      <scheme val="minor"/>
    </font>
    <font>
      <sz val="11"/>
      <color rgb="FFFF0000"/>
      <name val="Calibri"/>
      <family val="2"/>
      <scheme val="minor"/>
    </font>
    <font>
      <sz val="11"/>
      <color rgb="FF000000"/>
      <name val="Calibri"/>
      <family val="2"/>
      <scheme val="minor"/>
    </font>
    <font>
      <b/>
      <sz val="11"/>
      <color rgb="FFFF0000"/>
      <name val="Calibri"/>
      <family val="2"/>
      <scheme val="minor"/>
    </font>
    <font>
      <sz val="8"/>
      <name val="Calibri"/>
      <family val="2"/>
      <scheme val="minor"/>
    </font>
    <font>
      <sz val="11"/>
      <color rgb="FFFF0000"/>
      <name val="Calibri"/>
      <family val="2"/>
    </font>
    <font>
      <b/>
      <sz val="12"/>
      <color theme="1"/>
      <name val="Calibri"/>
      <family val="2"/>
      <scheme val="minor"/>
    </font>
    <font>
      <i/>
      <sz val="10"/>
      <color rgb="FFFF0000"/>
      <name val="Calibri"/>
      <family val="2"/>
    </font>
    <font>
      <sz val="11"/>
      <color theme="1"/>
      <name val="Calibri"/>
      <family val="2"/>
    </font>
  </fonts>
  <fills count="22">
    <fill>
      <patternFill patternType="none"/>
    </fill>
    <fill>
      <patternFill patternType="gray125"/>
    </fill>
    <fill>
      <patternFill patternType="solid">
        <fgColor rgb="FF595959"/>
        <bgColor rgb="FF000000"/>
      </patternFill>
    </fill>
    <fill>
      <patternFill patternType="solid">
        <fgColor rgb="FF262626"/>
        <bgColor rgb="FF000000"/>
      </patternFill>
    </fill>
    <fill>
      <patternFill patternType="solid">
        <fgColor theme="4"/>
        <bgColor theme="4"/>
      </patternFill>
    </fill>
    <fill>
      <patternFill patternType="solid">
        <fgColor rgb="FFEDEDED"/>
        <bgColor rgb="FF000000"/>
      </patternFill>
    </fill>
    <fill>
      <patternFill patternType="solid">
        <fgColor rgb="FFF8CBAD"/>
        <bgColor rgb="FF000000"/>
      </patternFill>
    </fill>
    <fill>
      <patternFill patternType="solid">
        <fgColor theme="5" tint="-0.249977111117893"/>
        <bgColor indexed="64"/>
      </patternFill>
    </fill>
    <fill>
      <patternFill patternType="solid">
        <fgColor theme="8" tint="-0.249977111117893"/>
        <bgColor theme="1"/>
      </patternFill>
    </fill>
    <fill>
      <patternFill patternType="solid">
        <fgColor theme="0" tint="-0.34998626667073579"/>
        <bgColor theme="1"/>
      </patternFill>
    </fill>
    <fill>
      <patternFill patternType="solid">
        <fgColor theme="0"/>
        <bgColor indexed="64"/>
      </patternFill>
    </fill>
    <fill>
      <patternFill patternType="solid">
        <fgColor theme="1"/>
        <bgColor theme="1"/>
      </patternFill>
    </fill>
    <fill>
      <patternFill patternType="solid">
        <fgColor theme="4"/>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ECF0F8"/>
        <bgColor indexed="64"/>
      </patternFill>
    </fill>
    <fill>
      <patternFill patternType="solid">
        <fgColor theme="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0000"/>
        <bgColor indexed="64"/>
      </patternFill>
    </fill>
  </fills>
  <borders count="33">
    <border>
      <left/>
      <right/>
      <top/>
      <bottom/>
      <diagonal/>
    </border>
    <border>
      <left style="thin">
        <color rgb="FF808080"/>
      </left>
      <right style="thin">
        <color rgb="FF808080"/>
      </right>
      <top style="thin">
        <color rgb="FF808080"/>
      </top>
      <bottom style="thin">
        <color rgb="FF808080"/>
      </bottom>
      <diagonal/>
    </border>
    <border>
      <left/>
      <right/>
      <top style="thin">
        <color theme="4"/>
      </top>
      <bottom/>
      <diagonal/>
    </border>
    <border>
      <left style="thin">
        <color rgb="FF808080"/>
      </left>
      <right style="thin">
        <color rgb="FF808080"/>
      </right>
      <top style="hair">
        <color indexed="64"/>
      </top>
      <bottom style="hair">
        <color indexed="64"/>
      </bottom>
      <diagonal/>
    </border>
    <border>
      <left style="thin">
        <color indexed="64"/>
      </left>
      <right style="thin">
        <color rgb="FF808080"/>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theme="8" tint="-0.249977111117893"/>
      </left>
      <right style="thin">
        <color theme="8" tint="-0.249977111117893"/>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8" tint="-0.249977111117893"/>
      </left>
      <right style="thin">
        <color theme="8" tint="-0.249977111117893"/>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style="thin">
        <color theme="8" tint="-0.249977111117893"/>
      </left>
      <right style="thin">
        <color theme="8" tint="-0.249977111117893"/>
      </right>
      <top style="thin">
        <color theme="8" tint="-0.249977111117893"/>
      </top>
      <bottom/>
      <diagonal/>
    </border>
    <border>
      <left style="thin">
        <color rgb="FF305496"/>
      </left>
      <right style="thin">
        <color rgb="FF305496"/>
      </right>
      <top style="thin">
        <color rgb="FF305496"/>
      </top>
      <bottom style="thin">
        <color rgb="FF305496"/>
      </bottom>
      <diagonal/>
    </border>
    <border>
      <left/>
      <right style="thin">
        <color rgb="FF305496"/>
      </right>
      <top style="thin">
        <color rgb="FF305496"/>
      </top>
      <bottom style="thin">
        <color rgb="FF305496"/>
      </bottom>
      <diagonal/>
    </border>
    <border>
      <left/>
      <right style="thin">
        <color rgb="FF305496"/>
      </right>
      <top/>
      <bottom style="thin">
        <color rgb="FF305496"/>
      </bottom>
      <diagonal/>
    </border>
    <border>
      <left/>
      <right/>
      <top/>
      <bottom style="thin">
        <color rgb="FF305496"/>
      </bottom>
      <diagonal/>
    </border>
    <border>
      <left style="thin">
        <color rgb="FF305496"/>
      </left>
      <right style="thin">
        <color rgb="FF305496"/>
      </right>
      <top style="thin">
        <color rgb="FF305496"/>
      </top>
      <bottom/>
      <diagonal/>
    </border>
    <border>
      <left/>
      <right style="thin">
        <color rgb="FF305496"/>
      </right>
      <top/>
      <bottom/>
      <diagonal/>
    </border>
    <border>
      <left style="thin">
        <color rgb="FF305496"/>
      </left>
      <right style="thin">
        <color rgb="FF305496"/>
      </right>
      <top/>
      <bottom style="thin">
        <color rgb="FF305496"/>
      </bottom>
      <diagonal/>
    </border>
    <border>
      <left/>
      <right/>
      <top style="thin">
        <color theme="4"/>
      </top>
      <bottom style="thin">
        <color theme="4"/>
      </bottom>
      <diagonal/>
    </border>
    <border>
      <left style="thin">
        <color rgb="FF305496"/>
      </left>
      <right style="thin">
        <color rgb="FF305496"/>
      </right>
      <top/>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171">
    <xf numFmtId="0" fontId="0" fillId="0" borderId="0" xfId="0"/>
    <xf numFmtId="0" fontId="3" fillId="2" borderId="1" xfId="0" applyFont="1" applyFill="1" applyBorder="1" applyAlignment="1">
      <alignment horizontal="left" vertical="center" wrapText="1" indent="1"/>
    </xf>
    <xf numFmtId="0" fontId="3" fillId="2" borderId="1" xfId="0" applyFont="1" applyFill="1" applyBorder="1" applyAlignment="1">
      <alignment horizontal="left" vertical="center" indent="1"/>
    </xf>
    <xf numFmtId="0" fontId="4" fillId="3" borderId="1" xfId="0" applyFont="1" applyFill="1" applyBorder="1" applyAlignment="1">
      <alignment horizontal="left" vertical="center" wrapText="1" indent="1"/>
    </xf>
    <xf numFmtId="0" fontId="1" fillId="4" borderId="2" xfId="0" applyFont="1" applyFill="1" applyBorder="1"/>
    <xf numFmtId="0" fontId="1" fillId="4" borderId="0" xfId="0" applyFont="1" applyFill="1"/>
    <xf numFmtId="0" fontId="5" fillId="5" borderId="3" xfId="0" applyFont="1" applyFill="1" applyBorder="1" applyAlignment="1">
      <alignment horizontal="left" wrapText="1" indent="1"/>
    </xf>
    <xf numFmtId="0" fontId="6" fillId="6" borderId="4" xfId="0" applyFont="1" applyFill="1" applyBorder="1" applyAlignment="1">
      <alignment horizontal="left" indent="1"/>
    </xf>
    <xf numFmtId="0" fontId="0" fillId="0" borderId="2" xfId="0" applyBorder="1"/>
    <xf numFmtId="0" fontId="5" fillId="5" borderId="3" xfId="0" applyFont="1" applyFill="1" applyBorder="1" applyAlignment="1">
      <alignment horizontal="left" indent="1"/>
    </xf>
    <xf numFmtId="0" fontId="6" fillId="6" borderId="4" xfId="0" applyFont="1" applyFill="1" applyBorder="1" applyAlignment="1">
      <alignment horizontal="left" wrapText="1" indent="1"/>
    </xf>
    <xf numFmtId="0" fontId="0" fillId="0" borderId="6" xfId="0" applyBorder="1"/>
    <xf numFmtId="0" fontId="0" fillId="0" borderId="6" xfId="0" applyBorder="1" applyAlignment="1">
      <alignment horizontal="center"/>
    </xf>
    <xf numFmtId="0" fontId="0" fillId="0" borderId="5" xfId="0" applyBorder="1"/>
    <xf numFmtId="0" fontId="8" fillId="0" borderId="7" xfId="1" applyFill="1" applyBorder="1"/>
    <xf numFmtId="0" fontId="0" fillId="0" borderId="7" xfId="0" applyBorder="1"/>
    <xf numFmtId="0" fontId="2" fillId="0" borderId="8" xfId="0" applyFont="1" applyBorder="1"/>
    <xf numFmtId="0" fontId="2" fillId="0" borderId="9" xfId="0" applyFont="1" applyBorder="1"/>
    <xf numFmtId="0" fontId="2" fillId="0" borderId="10" xfId="0" applyFont="1" applyBorder="1"/>
    <xf numFmtId="0" fontId="0" fillId="0" borderId="11" xfId="0" applyBorder="1"/>
    <xf numFmtId="0" fontId="0" fillId="0" borderId="12" xfId="0" applyBorder="1"/>
    <xf numFmtId="0" fontId="8" fillId="0" borderId="13" xfId="1" applyFill="1" applyBorder="1"/>
    <xf numFmtId="0" fontId="1" fillId="11" borderId="8" xfId="0" applyFont="1" applyFill="1" applyBorder="1"/>
    <xf numFmtId="0" fontId="1" fillId="11" borderId="10" xfId="0" applyFont="1" applyFill="1" applyBorder="1"/>
    <xf numFmtId="0" fontId="7" fillId="7" borderId="0" xfId="0" applyFont="1" applyFill="1" applyAlignment="1">
      <alignment vertical="top"/>
    </xf>
    <xf numFmtId="0" fontId="7" fillId="8" borderId="0" xfId="0" applyFont="1" applyFill="1" applyAlignment="1">
      <alignment vertical="top"/>
    </xf>
    <xf numFmtId="0" fontId="7" fillId="9" borderId="0" xfId="0" applyFont="1" applyFill="1" applyAlignment="1" applyProtection="1">
      <alignment vertical="top"/>
      <protection hidden="1"/>
    </xf>
    <xf numFmtId="0" fontId="7" fillId="9" borderId="0" xfId="0" applyFont="1" applyFill="1" applyAlignment="1">
      <alignment vertical="top"/>
    </xf>
    <xf numFmtId="0" fontId="0" fillId="0" borderId="0" xfId="0" applyProtection="1">
      <protection locked="0"/>
    </xf>
    <xf numFmtId="0" fontId="0" fillId="0" borderId="0" xfId="0" applyAlignment="1" applyProtection="1">
      <alignment horizontal="center"/>
      <protection locked="0"/>
    </xf>
    <xf numFmtId="164" fontId="0" fillId="0" borderId="0" xfId="0" applyNumberFormat="1" applyAlignment="1" applyProtection="1">
      <alignment horizontal="center"/>
      <protection locked="0"/>
    </xf>
    <xf numFmtId="164" fontId="6" fillId="0" borderId="0" xfId="0" applyNumberFormat="1" applyFont="1" applyAlignment="1" applyProtection="1">
      <alignment horizontal="center"/>
      <protection locked="0"/>
    </xf>
    <xf numFmtId="0" fontId="0" fillId="0" borderId="0" xfId="0" applyAlignment="1">
      <alignment horizontal="center"/>
    </xf>
    <xf numFmtId="0" fontId="6" fillId="0" borderId="0" xfId="0" applyFont="1" applyProtection="1">
      <protection locked="0"/>
    </xf>
    <xf numFmtId="0" fontId="6" fillId="0" borderId="0" xfId="0" applyFont="1" applyAlignment="1" applyProtection="1">
      <alignment horizontal="center"/>
      <protection locked="0"/>
    </xf>
    <xf numFmtId="0" fontId="6" fillId="10" borderId="0" xfId="0" applyFont="1" applyFill="1" applyProtection="1">
      <protection locked="0"/>
    </xf>
    <xf numFmtId="0" fontId="6" fillId="10" borderId="0" xfId="0" applyFont="1" applyFill="1" applyAlignment="1" applyProtection="1">
      <alignment horizontal="center"/>
      <protection locked="0"/>
    </xf>
    <xf numFmtId="0" fontId="7" fillId="8" borderId="15" xfId="0" applyFont="1" applyFill="1" applyBorder="1" applyAlignment="1">
      <alignment vertical="top"/>
    </xf>
    <xf numFmtId="0" fontId="2" fillId="0" borderId="0" xfId="0" applyFont="1"/>
    <xf numFmtId="0" fontId="9" fillId="0" borderId="0" xfId="0" applyFont="1"/>
    <xf numFmtId="0" fontId="8" fillId="0" borderId="7" xfId="1" applyBorder="1"/>
    <xf numFmtId="0" fontId="0" fillId="0" borderId="14" xfId="0" applyBorder="1"/>
    <xf numFmtId="0" fontId="0" fillId="0" borderId="5" xfId="0" applyBorder="1" applyAlignment="1">
      <alignment horizontal="center"/>
    </xf>
    <xf numFmtId="0" fontId="0" fillId="0" borderId="0" xfId="0" applyAlignment="1">
      <alignment horizontal="left"/>
    </xf>
    <xf numFmtId="0" fontId="0" fillId="0" borderId="17" xfId="0" applyBorder="1"/>
    <xf numFmtId="0" fontId="10" fillId="0" borderId="17" xfId="0" applyFont="1" applyBorder="1"/>
    <xf numFmtId="0" fontId="0" fillId="0" borderId="18" xfId="0" applyBorder="1"/>
    <xf numFmtId="0" fontId="0" fillId="13" borderId="17" xfId="0" applyFill="1" applyBorder="1"/>
    <xf numFmtId="0" fontId="0" fillId="13" borderId="18" xfId="0" applyFill="1" applyBorder="1"/>
    <xf numFmtId="0" fontId="0" fillId="13" borderId="17" xfId="0" applyFill="1" applyBorder="1" applyAlignment="1">
      <alignment horizontal="center"/>
    </xf>
    <xf numFmtId="0" fontId="0" fillId="0" borderId="16" xfId="0" applyBorder="1" applyAlignment="1">
      <alignment horizontal="center"/>
    </xf>
    <xf numFmtId="0" fontId="0" fillId="13" borderId="16" xfId="0" applyFill="1" applyBorder="1" applyAlignment="1">
      <alignment horizontal="center"/>
    </xf>
    <xf numFmtId="0" fontId="0" fillId="0" borderId="17" xfId="0" applyBorder="1" applyAlignment="1">
      <alignment horizontal="center"/>
    </xf>
    <xf numFmtId="3" fontId="0" fillId="0" borderId="0" xfId="0" applyNumberFormat="1" applyAlignment="1">
      <alignment horizontal="center"/>
    </xf>
    <xf numFmtId="0" fontId="11" fillId="0" borderId="0" xfId="0" applyFont="1"/>
    <xf numFmtId="0" fontId="6" fillId="0" borderId="0" xfId="0" applyFont="1"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wrapText="1"/>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Protection="1">
      <protection locked="0"/>
    </xf>
    <xf numFmtId="0" fontId="12" fillId="0" borderId="0" xfId="0" applyFont="1" applyAlignment="1">
      <alignment horizontal="left"/>
    </xf>
    <xf numFmtId="0" fontId="0" fillId="0" borderId="13" xfId="0" applyBorder="1"/>
    <xf numFmtId="0" fontId="0" fillId="14" borderId="0" xfId="0" applyFill="1" applyAlignment="1">
      <alignment horizontal="left"/>
    </xf>
    <xf numFmtId="0" fontId="2" fillId="0" borderId="0" xfId="0" applyFont="1" applyAlignment="1">
      <alignment horizontal="center"/>
    </xf>
    <xf numFmtId="0" fontId="0" fillId="15" borderId="0" xfId="0" applyFill="1" applyAlignment="1">
      <alignment horizontal="center"/>
    </xf>
    <xf numFmtId="0" fontId="0" fillId="14" borderId="0" xfId="0" applyFill="1" applyAlignment="1">
      <alignment horizontal="center"/>
    </xf>
    <xf numFmtId="0" fontId="2" fillId="14" borderId="0" xfId="0" applyFont="1" applyFill="1" applyAlignment="1">
      <alignment horizontal="center"/>
    </xf>
    <xf numFmtId="0" fontId="6" fillId="0" borderId="0" xfId="0" applyFont="1" applyAlignment="1">
      <alignment horizontal="left" wrapText="1"/>
    </xf>
    <xf numFmtId="0" fontId="0" fillId="0" borderId="0" xfId="0" applyAlignment="1">
      <alignment horizontal="left" indent="3"/>
    </xf>
    <xf numFmtId="0" fontId="0" fillId="14" borderId="0" xfId="0" applyFill="1" applyAlignment="1">
      <alignment horizontal="left"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0" fontId="0" fillId="0" borderId="0" xfId="0" pivotButton="1" applyAlignment="1">
      <alignment horizontal="left"/>
    </xf>
    <xf numFmtId="0" fontId="0" fillId="0" borderId="0" xfId="0" applyAlignment="1">
      <alignment horizontal="center" vertical="center" indent="4"/>
    </xf>
    <xf numFmtId="0" fontId="0" fillId="17" borderId="0" xfId="0" applyFill="1" applyAlignment="1">
      <alignment horizontal="center"/>
    </xf>
    <xf numFmtId="0" fontId="0" fillId="18" borderId="0" xfId="0" applyFill="1"/>
    <xf numFmtId="0" fontId="0" fillId="18" borderId="0" xfId="0" applyFill="1" applyAlignment="1">
      <alignment horizontal="center"/>
    </xf>
    <xf numFmtId="0" fontId="14" fillId="0" borderId="0" xfId="0" applyFont="1" applyAlignment="1">
      <alignment horizontal="center"/>
    </xf>
    <xf numFmtId="0" fontId="15" fillId="0" borderId="0" xfId="0" applyFont="1" applyAlignment="1">
      <alignment horizontal="center"/>
    </xf>
    <xf numFmtId="0" fontId="0" fillId="0" borderId="0" xfId="0" applyAlignment="1">
      <alignment wrapText="1"/>
    </xf>
    <xf numFmtId="0" fontId="0" fillId="0" borderId="0" xfId="0" applyAlignment="1">
      <alignment horizontal="center" vertical="center" indent="3"/>
    </xf>
    <xf numFmtId="0" fontId="7" fillId="7" borderId="19" xfId="0" applyFont="1" applyFill="1" applyBorder="1" applyAlignment="1">
      <alignment vertical="top"/>
    </xf>
    <xf numFmtId="0" fontId="7" fillId="8" borderId="19" xfId="0" applyFont="1" applyFill="1" applyBorder="1" applyAlignment="1">
      <alignment vertical="top"/>
    </xf>
    <xf numFmtId="0" fontId="7" fillId="9" borderId="19" xfId="0" applyFont="1" applyFill="1" applyBorder="1" applyAlignment="1" applyProtection="1">
      <alignment vertical="top"/>
      <protection hidden="1"/>
    </xf>
    <xf numFmtId="0" fontId="7" fillId="9" borderId="19" xfId="0" applyFont="1" applyFill="1" applyBorder="1" applyAlignment="1">
      <alignment vertical="top"/>
    </xf>
    <xf numFmtId="0" fontId="0" fillId="0" borderId="19" xfId="0" applyBorder="1" applyProtection="1">
      <protection locked="0"/>
    </xf>
    <xf numFmtId="0" fontId="0" fillId="0" borderId="19" xfId="0" applyBorder="1" applyAlignment="1" applyProtection="1">
      <alignment horizontal="center"/>
      <protection locked="0"/>
    </xf>
    <xf numFmtId="164" fontId="0" fillId="0" borderId="19" xfId="0" applyNumberFormat="1" applyBorder="1" applyAlignment="1" applyProtection="1">
      <alignment horizontal="center"/>
      <protection locked="0"/>
    </xf>
    <xf numFmtId="0" fontId="0" fillId="0" borderId="19" xfId="0" applyBorder="1"/>
    <xf numFmtId="0" fontId="16" fillId="0" borderId="19" xfId="0" applyFont="1" applyBorder="1" applyAlignment="1">
      <alignment horizontal="right"/>
    </xf>
    <xf numFmtId="0" fontId="0" fillId="0" borderId="20" xfId="0" applyBorder="1" applyProtection="1">
      <protection locked="0"/>
    </xf>
    <xf numFmtId="0" fontId="0" fillId="0" borderId="21" xfId="0" applyBorder="1" applyProtection="1">
      <protection locked="0"/>
    </xf>
    <xf numFmtId="164" fontId="6" fillId="0" borderId="19" xfId="0" applyNumberFormat="1" applyFont="1" applyBorder="1" applyAlignment="1" applyProtection="1">
      <alignment horizontal="center"/>
      <protection locked="0"/>
    </xf>
    <xf numFmtId="16" fontId="0" fillId="0" borderId="19" xfId="0" applyNumberFormat="1" applyBorder="1" applyAlignment="1" applyProtection="1">
      <alignment horizontal="center"/>
      <protection locked="0"/>
    </xf>
    <xf numFmtId="16" fontId="0" fillId="0" borderId="22" xfId="0" applyNumberFormat="1" applyBorder="1" applyAlignment="1" applyProtection="1">
      <alignment horizontal="center"/>
      <protection locked="0"/>
    </xf>
    <xf numFmtId="0" fontId="15" fillId="0" borderId="5" xfId="0" applyFont="1" applyBorder="1"/>
    <xf numFmtId="0" fontId="15" fillId="0" borderId="6" xfId="0" applyFont="1" applyBorder="1"/>
    <xf numFmtId="0" fontId="15" fillId="0" borderId="11" xfId="0" applyFont="1" applyBorder="1"/>
    <xf numFmtId="0" fontId="15" fillId="0" borderId="12" xfId="0" applyFont="1" applyBorder="1"/>
    <xf numFmtId="0" fontId="0" fillId="0" borderId="0" xfId="0" pivotButton="1" applyAlignment="1">
      <alignment horizontal="center"/>
    </xf>
    <xf numFmtId="0" fontId="0" fillId="0" borderId="0" xfId="0" applyAlignment="1">
      <alignment horizontal="center" vertical="center" wrapText="1"/>
    </xf>
    <xf numFmtId="0" fontId="0" fillId="0" borderId="0" xfId="0" applyAlignment="1">
      <alignment horizontal="left" vertical="center"/>
    </xf>
    <xf numFmtId="0" fontId="0" fillId="0" borderId="0" xfId="0">
      <extLst>
        <ext xmlns:xfpb="http://schemas.microsoft.com/office/spreadsheetml/2022/featurepropertybag" uri="{C7286773-470A-42A8-94C5-96B5CB345126}">
          <xfpb:xfComplement i="0"/>
        </ext>
      </extLst>
    </xf>
    <xf numFmtId="14" fontId="0" fillId="0" borderId="0" xfId="0" applyNumberFormat="1"/>
    <xf numFmtId="166" fontId="0" fillId="0" borderId="0" xfId="0" applyNumberFormat="1"/>
    <xf numFmtId="16" fontId="0" fillId="0" borderId="0" xfId="0" applyNumberFormat="1"/>
    <xf numFmtId="0" fontId="0" fillId="19" borderId="0" xfId="0" applyFill="1"/>
    <xf numFmtId="16" fontId="0" fillId="10" borderId="0" xfId="0" applyNumberFormat="1" applyFill="1"/>
    <xf numFmtId="0" fontId="18" fillId="0" borderId="0" xfId="0" applyFont="1"/>
    <xf numFmtId="0" fontId="0" fillId="18" borderId="0" xfId="0" applyFill="1" applyAlignment="1">
      <alignment horizontal="left" indent="1"/>
    </xf>
    <xf numFmtId="0" fontId="0" fillId="18" borderId="0" xfId="0" applyFill="1" applyAlignment="1">
      <alignment horizontal="left"/>
    </xf>
    <xf numFmtId="0" fontId="11" fillId="0" borderId="23" xfId="0" applyFont="1" applyBorder="1"/>
    <xf numFmtId="0" fontId="11" fillId="0" borderId="24" xfId="0" applyFont="1" applyBorder="1"/>
    <xf numFmtId="0" fontId="11" fillId="0" borderId="25" xfId="0" applyFont="1" applyBorder="1"/>
    <xf numFmtId="0" fontId="11" fillId="0" borderId="26" xfId="0" applyFont="1" applyBorder="1"/>
    <xf numFmtId="0" fontId="11" fillId="0" borderId="7" xfId="0" applyFont="1" applyBorder="1"/>
    <xf numFmtId="0" fontId="11" fillId="0" borderId="27" xfId="0" applyFont="1" applyBorder="1"/>
    <xf numFmtId="0" fontId="11" fillId="0" borderId="28" xfId="0" applyFont="1" applyBorder="1"/>
    <xf numFmtId="0" fontId="11" fillId="0" borderId="6" xfId="0" applyFont="1" applyBorder="1"/>
    <xf numFmtId="0" fontId="11" fillId="0" borderId="23" xfId="0" applyFont="1" applyBorder="1" applyAlignment="1">
      <alignment horizontal="center"/>
    </xf>
    <xf numFmtId="16" fontId="20" fillId="0" borderId="24" xfId="0" applyNumberFormat="1" applyFont="1" applyBorder="1" applyAlignment="1">
      <alignment horizontal="center"/>
    </xf>
    <xf numFmtId="0" fontId="11" fillId="0" borderId="29" xfId="0" applyFont="1" applyBorder="1" applyAlignment="1">
      <alignment horizontal="center"/>
    </xf>
    <xf numFmtId="16" fontId="20" fillId="0" borderId="25" xfId="0" applyNumberFormat="1" applyFont="1" applyBorder="1" applyAlignment="1">
      <alignment horizontal="center"/>
    </xf>
    <xf numFmtId="0" fontId="11" fillId="0" borderId="6" xfId="0" applyFont="1" applyBorder="1" applyAlignment="1">
      <alignment horizontal="center"/>
    </xf>
    <xf numFmtId="0" fontId="11" fillId="0" borderId="9" xfId="0" applyFont="1" applyBorder="1" applyAlignment="1">
      <alignment horizontal="center"/>
    </xf>
    <xf numFmtId="0" fontId="8" fillId="0" borderId="7" xfId="1" applyFill="1" applyBorder="1" applyAlignment="1"/>
    <xf numFmtId="0" fontId="11" fillId="0" borderId="12" xfId="0" applyFont="1" applyBorder="1"/>
    <xf numFmtId="0" fontId="8" fillId="0" borderId="13" xfId="1" applyFill="1" applyBorder="1" applyAlignment="1"/>
    <xf numFmtId="0" fontId="11" fillId="0" borderId="23" xfId="0" applyFont="1" applyBorder="1" applyAlignment="1">
      <alignment vertical="top" wrapText="1"/>
    </xf>
    <xf numFmtId="0" fontId="6" fillId="10" borderId="0" xfId="0" applyFont="1" applyFill="1" applyAlignment="1">
      <alignment horizontal="left"/>
    </xf>
    <xf numFmtId="0" fontId="14" fillId="0" borderId="0" xfId="0" applyFont="1"/>
    <xf numFmtId="0" fontId="21" fillId="0" borderId="0" xfId="0" applyFont="1"/>
    <xf numFmtId="0" fontId="6" fillId="0" borderId="0" xfId="0" applyFont="1" applyAlignment="1">
      <alignment horizontal="center"/>
    </xf>
    <xf numFmtId="0" fontId="0" fillId="0" borderId="0" xfId="0" pivotButton="1" applyAlignment="1">
      <alignment horizontal="left" vertical="top"/>
    </xf>
    <xf numFmtId="0" fontId="0" fillId="0" borderId="0" xfId="0" applyAlignment="1">
      <alignment horizontal="left" vertical="top"/>
    </xf>
    <xf numFmtId="0" fontId="13" fillId="16" borderId="0" xfId="0" applyFont="1" applyFill="1"/>
    <xf numFmtId="0" fontId="13" fillId="16" borderId="0" xfId="0" applyFont="1" applyFill="1" applyAlignment="1">
      <alignment horizontal="left"/>
    </xf>
    <xf numFmtId="0" fontId="2" fillId="0" borderId="9" xfId="0" applyFont="1" applyBorder="1" applyAlignment="1">
      <alignment horizontal="center"/>
    </xf>
    <xf numFmtId="0" fontId="11" fillId="0" borderId="12" xfId="0" applyFont="1" applyBorder="1" applyAlignment="1">
      <alignment horizontal="center"/>
    </xf>
    <xf numFmtId="0" fontId="0" fillId="0" borderId="12" xfId="0" applyBorder="1" applyAlignment="1">
      <alignment horizontal="center"/>
    </xf>
    <xf numFmtId="0" fontId="15" fillId="0" borderId="6" xfId="0" applyFont="1" applyBorder="1" applyAlignment="1">
      <alignment horizontal="center"/>
    </xf>
    <xf numFmtId="0" fontId="15" fillId="0" borderId="12" xfId="0" applyFont="1" applyBorder="1" applyAlignment="1">
      <alignment horizontal="center"/>
    </xf>
    <xf numFmtId="0" fontId="6" fillId="10" borderId="0" xfId="0" applyFont="1" applyFill="1" applyAlignment="1">
      <alignment horizontal="left" vertical="top" wrapText="1"/>
    </xf>
    <xf numFmtId="164" fontId="20" fillId="0" borderId="25" xfId="0" applyNumberFormat="1" applyFont="1" applyBorder="1" applyAlignment="1" applyProtection="1">
      <alignment horizontal="center"/>
      <protection locked="0"/>
    </xf>
    <xf numFmtId="0" fontId="0" fillId="0" borderId="0" xfId="0" applyAlignment="1">
      <alignment horizontal="left" vertical="top" indent="1"/>
    </xf>
    <xf numFmtId="0" fontId="0" fillId="0" borderId="2" xfId="0" applyBorder="1" applyProtection="1">
      <protection locked="0"/>
    </xf>
    <xf numFmtId="0" fontId="0" fillId="0" borderId="30" xfId="0" applyBorder="1"/>
    <xf numFmtId="0" fontId="0" fillId="0" borderId="30" xfId="0" applyBorder="1" applyProtection="1">
      <protection locked="0"/>
    </xf>
    <xf numFmtId="0" fontId="0" fillId="0" borderId="30" xfId="0" applyBorder="1" applyAlignment="1">
      <alignment horizontal="left"/>
    </xf>
    <xf numFmtId="0" fontId="0" fillId="0" borderId="2" xfId="0" applyBorder="1" applyAlignment="1">
      <alignment horizontal="left"/>
    </xf>
    <xf numFmtId="0" fontId="15" fillId="0" borderId="0" xfId="0" applyFont="1" applyAlignment="1">
      <alignment horizontal="left"/>
    </xf>
    <xf numFmtId="14" fontId="0" fillId="18" borderId="0" xfId="0" applyNumberFormat="1" applyFill="1"/>
    <xf numFmtId="0" fontId="0" fillId="18" borderId="0" xfId="0" applyFill="1" applyAlignment="1">
      <alignment wrapText="1"/>
    </xf>
    <xf numFmtId="0" fontId="0" fillId="21" borderId="0" xfId="0" applyFill="1"/>
    <xf numFmtId="14" fontId="0" fillId="21" borderId="0" xfId="0" applyNumberFormat="1" applyFill="1"/>
    <xf numFmtId="0" fontId="6" fillId="0" borderId="2" xfId="0" applyFont="1" applyBorder="1" applyAlignment="1">
      <alignment horizontal="left"/>
    </xf>
    <xf numFmtId="0" fontId="0" fillId="18" borderId="0" xfId="0" applyFill="1" applyAlignment="1">
      <alignment horizontal="center" vertical="center"/>
    </xf>
    <xf numFmtId="0" fontId="11" fillId="0" borderId="23" xfId="0" applyFont="1" applyBorder="1" applyAlignment="1">
      <alignment vertical="top"/>
    </xf>
    <xf numFmtId="0" fontId="11" fillId="0" borderId="31" xfId="0" applyFont="1" applyBorder="1" applyAlignment="1">
      <alignment horizontal="center"/>
    </xf>
    <xf numFmtId="164" fontId="20" fillId="0" borderId="28" xfId="0" applyNumberFormat="1" applyFont="1" applyBorder="1" applyAlignment="1" applyProtection="1">
      <alignment horizontal="center"/>
      <protection locked="0"/>
    </xf>
    <xf numFmtId="0" fontId="11" fillId="0" borderId="27" xfId="0" applyFont="1" applyBorder="1" applyAlignment="1">
      <alignment vertical="top"/>
    </xf>
    <xf numFmtId="0" fontId="11" fillId="0" borderId="32" xfId="0" applyFont="1" applyBorder="1" applyAlignment="1">
      <alignment horizontal="center"/>
    </xf>
    <xf numFmtId="0" fontId="13" fillId="16" borderId="0" xfId="0" applyFont="1" applyFill="1" applyAlignment="1">
      <alignment horizontal="center"/>
    </xf>
    <xf numFmtId="0" fontId="1" fillId="12" borderId="0" xfId="0" applyFont="1" applyFill="1" applyAlignment="1">
      <alignment horizontal="center"/>
    </xf>
    <xf numFmtId="0" fontId="19" fillId="20" borderId="0" xfId="0" applyFont="1" applyFill="1" applyAlignment="1">
      <alignment horizontal="center"/>
    </xf>
    <xf numFmtId="0" fontId="0" fillId="0" borderId="0" xfId="0" applyAlignment="1">
      <alignment horizontal="center"/>
    </xf>
    <xf numFmtId="165" fontId="0" fillId="0" borderId="0" xfId="0" applyNumberFormat="1" applyAlignment="1">
      <alignment horizontal="center"/>
    </xf>
  </cellXfs>
  <cellStyles count="2">
    <cellStyle name="Hyperlink" xfId="1" builtinId="8"/>
    <cellStyle name="Normal" xfId="0" builtinId="0"/>
  </cellStyles>
  <dxfs count="2906">
    <dxf>
      <fill>
        <patternFill>
          <bgColor theme="9" tint="0.79998168889431442"/>
        </patternFill>
      </fill>
    </dxf>
    <dxf>
      <fill>
        <patternFill patternType="none">
          <bgColor auto="1"/>
        </patternFill>
      </fill>
      <border>
        <left style="thin">
          <color rgb="FFFF0000"/>
        </left>
        <right style="thin">
          <color rgb="FFFF0000"/>
        </right>
        <top/>
        <bottom/>
      </border>
    </dxf>
    <dxf>
      <fill>
        <patternFill patternType="none">
          <bgColor auto="1"/>
        </patternFill>
      </fill>
      <border>
        <left style="thin">
          <color rgb="FFFF0000"/>
        </left>
        <right style="thin">
          <color rgb="FFFF0000"/>
        </right>
        <top/>
        <bottom/>
      </border>
    </dxf>
    <dxf>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border diagonalUp="0" diagonalDown="0" outline="0">
        <left style="thin">
          <color indexed="64"/>
        </left>
        <right style="thin">
          <color indexed="64"/>
        </right>
        <top/>
        <bottom/>
      </border>
    </dxf>
    <dxf>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ill>
        <patternFill>
          <bgColor rgb="FFFFFF00"/>
        </patternFill>
      </fill>
    </dxf>
    <dxf>
      <fill>
        <patternFill>
          <bgColor theme="7" tint="0.79998168889431442"/>
        </patternFill>
      </fill>
    </dxf>
    <dxf>
      <fill>
        <patternFill>
          <bgColor theme="7" tint="0.79998168889431442"/>
        </patternFill>
      </fill>
    </dxf>
    <dxf>
      <fill>
        <patternFill>
          <bgColor rgb="FFFFFF00"/>
        </patternFill>
      </fill>
    </dxf>
    <dxf>
      <fill>
        <patternFill>
          <bgColor theme="7" tint="0.79998168889431442"/>
        </patternFill>
      </fill>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textRotation="0" wrapText="0" indent="0" justifyLastLine="0" shrinkToFit="0" readingOrder="0"/>
    </dxf>
    <dxf>
      <font>
        <strike val="0"/>
        <outline val="0"/>
        <shadow val="0"/>
        <u val="none"/>
        <vertAlign val="baseline"/>
        <sz val="11"/>
        <color auto="1"/>
        <name val="Calibri"/>
        <family val="2"/>
        <scheme val="minor"/>
      </font>
      <alignment horizontal="left" textRotation="0" wrapText="0" indent="0" justifyLastLine="0" shrinkToFit="0" readingOrder="0"/>
    </dxf>
    <dxf>
      <alignment horizontal="left" vertical="bottom" textRotation="0" wrapText="0" indent="0" justifyLastLine="0" shrinkToFit="0" readingOrder="0"/>
    </dxf>
    <dxf>
      <numFmt numFmtId="164" formatCode="[$-409]d\-mmm;@"/>
      <alignment horizontal="center" vertical="bottom" textRotation="0" wrapText="0" indent="0" justifyLastLine="0" shrinkToFit="0" readingOrder="0"/>
      <protection locked="0" hidden="0"/>
    </dxf>
    <dxf>
      <numFmt numFmtId="164" formatCode="[$-409]d\-mmm;@"/>
      <alignment horizontal="center" vertical="bottom" textRotation="0" wrapText="0" indent="0" justifyLastLine="0" shrinkToFit="0" readingOrder="0"/>
      <protection locked="0" hidden="0"/>
    </dxf>
    <dxf>
      <alignment horizontal="center" vertical="bottom" textRotation="0" wrapText="0" indent="0" justifyLastLine="0" shrinkToFit="0" readingOrder="0"/>
    </dxf>
    <dxf>
      <alignment horizontal="center" vertical="bottom" textRotation="0" wrapText="0" indent="0" justifyLastLine="0" shrinkToFit="0" readingOrder="0"/>
    </dxf>
    <dxf>
      <protection locked="0" hidden="0"/>
    </dxf>
    <dxf>
      <numFmt numFmtId="0" formatCode="General"/>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0"/>
        <name val="Calibri"/>
        <family val="2"/>
        <scheme val="minor"/>
      </font>
      <fill>
        <patternFill patternType="solid">
          <fgColor theme="1"/>
          <bgColor theme="8" tint="-0.249977111117893"/>
        </patternFill>
      </fill>
      <alignment horizontal="general" vertical="top" textRotation="0" wrapText="0" indent="0" justifyLastLine="0" shrinkToFit="0" readingOrder="0"/>
      <border diagonalUp="0" diagonalDown="0" outline="0">
        <left style="thin">
          <color theme="8" tint="-0.249977111117893"/>
        </left>
        <right style="thin">
          <color theme="8" tint="-0.249977111117893"/>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color theme="2" tint="-0.24994659260841701"/>
      </font>
    </dxf>
    <dxf>
      <font>
        <strike/>
        <color theme="2" tint="-0.24994659260841701"/>
      </font>
    </dxf>
    <dxf>
      <font>
        <strike/>
        <color theme="2" tint="-0.24994659260841701"/>
      </font>
    </dxf>
    <dxf>
      <fill>
        <patternFill>
          <bgColor rgb="FFFFFF00"/>
        </patternFill>
      </fill>
    </dxf>
    <dxf>
      <fill>
        <patternFill>
          <bgColor rgb="FFFFFF00"/>
        </patternFill>
      </fill>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strike/>
        <color theme="2" tint="-0.24994659260841701"/>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outline="0">
        <left style="thin">
          <color theme="4"/>
        </lef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color rgb="FF9C0006"/>
      </font>
      <fill>
        <patternFill>
          <bgColor rgb="FFFFC7CE"/>
        </patternFill>
      </fill>
    </dxf>
    <dxf>
      <fill>
        <patternFill>
          <bgColor theme="4" tint="0.59996337778862885"/>
        </patternFill>
      </fill>
    </dxf>
    <dxf>
      <numFmt numFmtId="167" formatCode="dd/mm/yyyy"/>
    </dxf>
    <dxf>
      <numFmt numFmtId="167" formatCode="dd/mm/yyyy"/>
    </dxf>
    <dxf>
      <numFmt numFmtId="167" formatCode="dd/mm/yyyy"/>
    </dxf>
    <dxf>
      <numFmt numFmtId="167" formatCode="dd/mm/yyyy"/>
    </dxf>
    <dxf>
      <numFmt numFmtId="168" formatCode="dd\-mmm"/>
      <alignment horizontal="center" vertical="bottom" textRotation="0" wrapText="0" indent="0" justifyLastLine="0" shrinkToFit="0" readingOrder="0"/>
      <border diagonalUp="0" diagonalDown="0">
        <left style="thin">
          <color theme="8" tint="-0.249977111117893"/>
        </left>
        <right style="thin">
          <color theme="8" tint="-0.249977111117893"/>
        </right>
        <top style="thin">
          <color theme="8" tint="-0.249977111117893"/>
        </top>
        <bottom style="thin">
          <color theme="8" tint="-0.249977111117893"/>
        </bottom>
        <vertical/>
        <horizontal/>
      </border>
      <protection locked="0" hidden="0"/>
    </dxf>
    <dxf>
      <numFmt numFmtId="168" formatCode="dd\-mmm"/>
      <alignment horizontal="center" vertical="bottom" textRotation="0" wrapText="0" indent="0" justifyLastLine="0" shrinkToFit="0" readingOrder="0"/>
      <border diagonalUp="0" diagonalDown="0">
        <left style="thin">
          <color theme="8" tint="-0.249977111117893"/>
        </left>
        <right style="thin">
          <color theme="8" tint="-0.249977111117893"/>
        </right>
        <top style="thin">
          <color theme="8" tint="-0.249977111117893"/>
        </top>
        <bottom style="thin">
          <color theme="8" tint="-0.249977111117893"/>
        </bottom>
        <vertical/>
        <horizontal/>
      </border>
      <protection locked="0" hidden="0"/>
    </dxf>
    <dxf>
      <alignment horizontal="center" vertical="bottom" textRotation="0" wrapText="0" indent="0" justifyLastLine="0" shrinkToFit="0" readingOrder="0"/>
    </dxf>
    <dxf>
      <border diagonalUp="0" diagonalDown="0">
        <left style="thin">
          <color theme="8" tint="-0.249977111117893"/>
        </left>
        <right style="thin">
          <color theme="8" tint="-0.249977111117893"/>
        </right>
        <top style="thin">
          <color theme="8" tint="-0.249977111117893"/>
        </top>
        <bottom style="thin">
          <color theme="8" tint="-0.249977111117893"/>
        </bottom>
        <vertical/>
        <horizontal/>
      </border>
      <protection locked="0" hidden="0"/>
    </dxf>
    <dxf>
      <border diagonalUp="0" diagonalDown="0">
        <left style="thin">
          <color theme="8" tint="-0.249977111117893"/>
        </left>
        <right style="thin">
          <color theme="8" tint="-0.249977111117893"/>
        </right>
        <top style="thin">
          <color theme="8" tint="-0.249977111117893"/>
        </top>
        <bottom style="thin">
          <color theme="8" tint="-0.249977111117893"/>
        </bottom>
        <vertical/>
        <horizontal/>
      </border>
      <protection locked="0" hidden="0"/>
    </dxf>
    <dxf>
      <border diagonalUp="0" diagonalDown="0">
        <left style="thin">
          <color theme="8" tint="-0.249977111117893"/>
        </left>
        <right style="thin">
          <color theme="8" tint="-0.249977111117893"/>
        </right>
        <top style="thin">
          <color theme="8" tint="-0.249977111117893"/>
        </top>
        <bottom style="thin">
          <color theme="8" tint="-0.249977111117893"/>
        </bottom>
        <vertical/>
        <horizontal/>
      </border>
      <protection locked="0" hidden="0"/>
    </dxf>
    <dxf>
      <numFmt numFmtId="0" formatCode="General"/>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0"/>
        <name val="Calibri"/>
        <family val="2"/>
        <scheme val="minor"/>
      </font>
      <fill>
        <patternFill patternType="solid">
          <fgColor theme="1"/>
          <bgColor theme="8" tint="-0.249977111117893"/>
        </patternFill>
      </fill>
      <alignment horizontal="general" vertical="top" textRotation="0" wrapText="0" indent="0" justifyLastLine="0" shrinkToFit="0" readingOrder="0"/>
      <border diagonalUp="0" diagonalDown="0" outline="0">
        <left style="thin">
          <color theme="8" tint="-0.249977111117893"/>
        </left>
        <right style="thin">
          <color theme="8" tint="-0.249977111117893"/>
        </right>
        <top/>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ill>
    </dxf>
    <dxf>
      <fill>
        <patternFill patternType="none"/>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ill>
    </dxf>
    <dxf>
      <fill>
        <patternFill patternType="none"/>
      </fill>
    </dxf>
    <dxf>
      <alignment horizontal="center"/>
    </dxf>
    <dxf>
      <alignment horizontal="center"/>
    </dxf>
    <dxf>
      <alignment horizontal="center"/>
    </dxf>
    <dxf>
      <alignment horizontal="center"/>
    </dxf>
    <dxf>
      <alignment horizontal="center"/>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ill>
    </dxf>
    <dxf>
      <fill>
        <patternFill patternType="none"/>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ill>
    </dxf>
    <dxf>
      <fill>
        <patternFill patternType="none"/>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ill>
    </dxf>
    <dxf>
      <fill>
        <patternFill patternType="none"/>
      </fill>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none"/>
      </fill>
    </dxf>
    <dxf>
      <fill>
        <patternFill patternType="none"/>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indent="4"/>
    </dxf>
    <dxf>
      <alignment relativeIndent="1"/>
    </dxf>
    <dxf>
      <alignment horizontal="general" indent="0"/>
    </dxf>
    <dxf>
      <alignment horizontal="left"/>
    </dxf>
    <dxf>
      <alignment relativeIndent="1"/>
    </dxf>
    <dxf>
      <alignment relativeIndent="1"/>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none"/>
      </fill>
    </dxf>
    <dxf>
      <fill>
        <patternFill patternType="none"/>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textRotation="0"/>
    </dxf>
    <dxf>
      <alignment textRotation="0"/>
    </dxf>
    <dxf>
      <alignment textRotation="0"/>
    </dxf>
    <dxf>
      <alignment textRotation="0"/>
    </dxf>
    <dxf>
      <alignment wrapText="1"/>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textRotation="0"/>
    </dxf>
    <dxf>
      <alignment textRotation="0"/>
    </dxf>
    <dxf>
      <alignment textRotation="0"/>
    </dxf>
    <dxf>
      <alignment textRotation="0"/>
    </dxf>
    <dxf>
      <alignment wrapText="1"/>
    </dxf>
    <dxf>
      <alignment horizontal="center"/>
    </dxf>
    <dxf>
      <alignment horizontal="center"/>
    </dxf>
    <dxf>
      <alignment horizontal="center"/>
    </dxf>
    <dxf>
      <font>
        <b/>
      </font>
    </dxf>
    <dxf>
      <fill>
        <patternFill patternType="solid">
          <bgColor rgb="FFECF0F8"/>
        </patternFill>
      </fill>
    </dxf>
    <dxf>
      <fill>
        <patternFill patternType="solid">
          <fgColor indexed="64"/>
          <bgColor rgb="FFECF0F8"/>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alignment textRotation="0"/>
    </dxf>
    <dxf>
      <alignment textRotation="0"/>
    </dxf>
    <dxf>
      <alignment textRotation="0"/>
    </dxf>
    <dxf>
      <alignment textRotation="0"/>
    </dxf>
    <dxf>
      <alignment wrapText="1"/>
    </dxf>
    <dxf>
      <alignment horizontal="center"/>
    </dxf>
    <dxf>
      <alignment horizontal="center"/>
    </dxf>
    <dxf>
      <alignment horizontal="center"/>
    </dxf>
    <dxf>
      <font>
        <b/>
      </font>
    </dxf>
    <dxf>
      <fill>
        <patternFill patternType="solid">
          <bgColor rgb="FFECF0F8"/>
        </patternFill>
      </fill>
    </dxf>
    <dxf>
      <fill>
        <patternFill patternType="solid">
          <fgColor indexed="64"/>
          <bgColor rgb="FFECF0F8"/>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font>
    </dxf>
    <dxf>
      <font>
        <b/>
      </font>
    </dxf>
    <dxf>
      <font>
        <b/>
      </font>
    </dxf>
    <dxf>
      <font>
        <b/>
      </font>
    </dxf>
    <dxf>
      <fill>
        <patternFill patternType="solid">
          <fgColor indexed="64"/>
          <bgColor rgb="FFECF0F8"/>
        </patternFill>
      </fill>
    </dxf>
    <dxf>
      <fill>
        <patternFill patternType="solid">
          <fgColor indexed="64"/>
          <bgColor rgb="FFECF0F8"/>
        </patternFill>
      </fill>
    </dxf>
  </dxfs>
  <tableStyles count="0" defaultTableStyle="TableStyleMedium2" defaultPivotStyle="PivotStyleLight16"/>
  <colors>
    <mruColors>
      <color rgb="FFEC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3.xml"/><Relationship Id="rId47" Type="http://schemas.openxmlformats.org/officeDocument/2006/relationships/sharedStrings" Target="sharedString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microsoft.com/office/2007/relationships/slicerCache" Target="slicerCaches/slicerCache1.xml"/><Relationship Id="rId45" Type="http://schemas.openxmlformats.org/officeDocument/2006/relationships/theme" Target="theme/theme1.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5.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07/relationships/slicerCache" Target="slicerCaches/slicerCache4.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styles" Target="styles.xml"/><Relationship Id="rId20" Type="http://schemas.openxmlformats.org/officeDocument/2006/relationships/worksheet" Target="worksheets/sheet20.xml"/><Relationship Id="rId41"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editAs="absolute">
    <xdr:from>
      <xdr:col>6</xdr:col>
      <xdr:colOff>3684270</xdr:colOff>
      <xdr:row>0</xdr:row>
      <xdr:rowOff>11430</xdr:rowOff>
    </xdr:from>
    <xdr:to>
      <xdr:col>7</xdr:col>
      <xdr:colOff>579755</xdr:colOff>
      <xdr:row>0</xdr:row>
      <xdr:rowOff>1398270</xdr:rowOff>
    </xdr:to>
    <mc:AlternateContent xmlns:mc="http://schemas.openxmlformats.org/markup-compatibility/2006" xmlns:sle15="http://schemas.microsoft.com/office/drawing/2012/slicer">
      <mc:Choice Requires="sle15">
        <xdr:graphicFrame macro="">
          <xdr:nvGraphicFramePr>
            <xdr:cNvPr id="26" name="Owner">
              <a:extLst>
                <a:ext uri="{FF2B5EF4-FFF2-40B4-BE49-F238E27FC236}">
                  <a16:creationId xmlns:a16="http://schemas.microsoft.com/office/drawing/2014/main" id="{5722BFB7-AC51-13C6-C600-F293FB5F4D68}"/>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0655300" y="9525"/>
              <a:ext cx="1000125" cy="13906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739140</xdr:colOff>
      <xdr:row>0</xdr:row>
      <xdr:rowOff>11430</xdr:rowOff>
    </xdr:from>
    <xdr:to>
      <xdr:col>6</xdr:col>
      <xdr:colOff>3634740</xdr:colOff>
      <xdr:row>0</xdr:row>
      <xdr:rowOff>1409700</xdr:rowOff>
    </xdr:to>
    <mc:AlternateContent xmlns:mc="http://schemas.openxmlformats.org/markup-compatibility/2006" xmlns:sle15="http://schemas.microsoft.com/office/drawing/2012/slicer">
      <mc:Choice Requires="sle15">
        <xdr:graphicFrame macro="">
          <xdr:nvGraphicFramePr>
            <xdr:cNvPr id="25" name="FA">
              <a:extLst>
                <a:ext uri="{FF2B5EF4-FFF2-40B4-BE49-F238E27FC236}">
                  <a16:creationId xmlns:a16="http://schemas.microsoft.com/office/drawing/2014/main" id="{D537CA3A-CD0D-1893-1708-16EF9CCF9304}"/>
                </a:ext>
                <a:ext uri="{147F2762-F138-4A5C-976F-8EAC2B608ADB}">
                  <a16:predDERef xmlns:a16="http://schemas.microsoft.com/office/drawing/2014/main" pred="{5722BFB7-AC51-13C6-C600-F293FB5F4D68}"/>
                </a:ext>
              </a:extLst>
            </xdr:cNvPr>
            <xdr:cNvGraphicFramePr/>
          </xdr:nvGraphicFramePr>
          <xdr:xfrm>
            <a:off x="0" y="0"/>
            <a:ext cx="0" cy="0"/>
          </xdr:xfrm>
          <a:graphic>
            <a:graphicData uri="http://schemas.microsoft.com/office/drawing/2010/slicer">
              <sle:slicer xmlns:sle="http://schemas.microsoft.com/office/drawing/2010/slicer" name="FA"/>
            </a:graphicData>
          </a:graphic>
        </xdr:graphicFrame>
      </mc:Choice>
      <mc:Fallback xmlns="">
        <xdr:sp macro="" textlink="">
          <xdr:nvSpPr>
            <xdr:cNvPr id="0" name=""/>
            <xdr:cNvSpPr>
              <a:spLocks noTextEdit="1"/>
            </xdr:cNvSpPr>
          </xdr:nvSpPr>
          <xdr:spPr>
            <a:xfrm>
              <a:off x="4848225" y="9525"/>
              <a:ext cx="5759450" cy="14001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73025</xdr:colOff>
      <xdr:row>0</xdr:row>
      <xdr:rowOff>0</xdr:rowOff>
    </xdr:from>
    <xdr:to>
      <xdr:col>4</xdr:col>
      <xdr:colOff>758825</xdr:colOff>
      <xdr:row>0</xdr:row>
      <xdr:rowOff>1386840</xdr:rowOff>
    </xdr:to>
    <mc:AlternateContent xmlns:mc="http://schemas.openxmlformats.org/markup-compatibility/2006" xmlns:sle15="http://schemas.microsoft.com/office/drawing/2012/slicer">
      <mc:Choice Requires="sle15">
        <xdr:graphicFrame macro="">
          <xdr:nvGraphicFramePr>
            <xdr:cNvPr id="24" name="Venue">
              <a:extLst>
                <a:ext uri="{FF2B5EF4-FFF2-40B4-BE49-F238E27FC236}">
                  <a16:creationId xmlns:a16="http://schemas.microsoft.com/office/drawing/2014/main" id="{66291918-55B5-F0E3-3C19-E74AE2B02B36}"/>
                </a:ext>
                <a:ext uri="{147F2762-F138-4A5C-976F-8EAC2B608ADB}">
                  <a16:predDERef xmlns:a16="http://schemas.microsoft.com/office/drawing/2014/main" pred="{D537CA3A-CD0D-1893-1708-16EF9CCF9304}"/>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892175" y="19050"/>
              <a:ext cx="3924300" cy="13906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21591</xdr:colOff>
      <xdr:row>0</xdr:row>
      <xdr:rowOff>53341</xdr:rowOff>
    </xdr:from>
    <xdr:to>
      <xdr:col>0</xdr:col>
      <xdr:colOff>808356</xdr:colOff>
      <xdr:row>0</xdr:row>
      <xdr:rowOff>979170</xdr:rowOff>
    </xdr:to>
    <mc:AlternateContent xmlns:mc="http://schemas.openxmlformats.org/markup-compatibility/2006" xmlns:sle15="http://schemas.microsoft.com/office/drawing/2012/slicer">
      <mc:Choice Requires="sle15">
        <xdr:graphicFrame macro="">
          <xdr:nvGraphicFramePr>
            <xdr:cNvPr id="27" name="Delivered">
              <a:extLst>
                <a:ext uri="{FF2B5EF4-FFF2-40B4-BE49-F238E27FC236}">
                  <a16:creationId xmlns:a16="http://schemas.microsoft.com/office/drawing/2014/main" id="{F01C4CE0-CAE6-CDD2-03AF-2DDC3C1AFA6E}"/>
                </a:ext>
              </a:extLst>
            </xdr:cNvPr>
            <xdr:cNvGraphicFramePr/>
          </xdr:nvGraphicFramePr>
          <xdr:xfrm>
            <a:off x="0" y="0"/>
            <a:ext cx="0" cy="0"/>
          </xdr:xfrm>
          <a:graphic>
            <a:graphicData uri="http://schemas.microsoft.com/office/drawing/2010/slicer">
              <sle:slicer xmlns:sle="http://schemas.microsoft.com/office/drawing/2010/slicer" name="Delivered"/>
            </a:graphicData>
          </a:graphic>
        </xdr:graphicFrame>
      </mc:Choice>
      <mc:Fallback xmlns="">
        <xdr:sp macro="" textlink="">
          <xdr:nvSpPr>
            <xdr:cNvPr id="0" name=""/>
            <xdr:cNvSpPr>
              <a:spLocks noTextEdit="1"/>
            </xdr:cNvSpPr>
          </xdr:nvSpPr>
          <xdr:spPr>
            <a:xfrm>
              <a:off x="25401" y="57151"/>
              <a:ext cx="781050" cy="9239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632248</xdr:colOff>
      <xdr:row>0</xdr:row>
      <xdr:rowOff>9315</xdr:rowOff>
    </xdr:from>
    <xdr:to>
      <xdr:col>8</xdr:col>
      <xdr:colOff>744643</xdr:colOff>
      <xdr:row>0</xdr:row>
      <xdr:rowOff>1398271</xdr:rowOff>
    </xdr:to>
    <mc:AlternateContent xmlns:mc="http://schemas.openxmlformats.org/markup-compatibility/2006" xmlns:sle15="http://schemas.microsoft.com/office/drawing/2012/slicer">
      <mc:Choice Requires="sle15">
        <xdr:graphicFrame macro="">
          <xdr:nvGraphicFramePr>
            <xdr:cNvPr id="2" name="VTM Status">
              <a:extLst>
                <a:ext uri="{FF2B5EF4-FFF2-40B4-BE49-F238E27FC236}">
                  <a16:creationId xmlns:a16="http://schemas.microsoft.com/office/drawing/2014/main" id="{1B184CE1-4FCE-D05E-7B19-00E19DD77B0F}"/>
                </a:ext>
              </a:extLst>
            </xdr:cNvPr>
            <xdr:cNvGraphicFramePr/>
          </xdr:nvGraphicFramePr>
          <xdr:xfrm>
            <a:off x="0" y="0"/>
            <a:ext cx="0" cy="0"/>
          </xdr:xfrm>
          <a:graphic>
            <a:graphicData uri="http://schemas.microsoft.com/office/drawing/2010/slicer">
              <sle:slicer xmlns:sle="http://schemas.microsoft.com/office/drawing/2010/slicer" name="VTM Status"/>
            </a:graphicData>
          </a:graphic>
        </xdr:graphicFrame>
      </mc:Choice>
      <mc:Fallback xmlns="">
        <xdr:sp macro="" textlink="">
          <xdr:nvSpPr>
            <xdr:cNvPr id="0" name=""/>
            <xdr:cNvSpPr>
              <a:spLocks noTextEdit="1"/>
            </xdr:cNvSpPr>
          </xdr:nvSpPr>
          <xdr:spPr>
            <a:xfrm>
              <a:off x="12735983" y="10585"/>
              <a:ext cx="1202267" cy="13864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koliushin\AppData\Local\Microsoft\Windows\INetCache\Content.Outlook\1BCIOU40\FAC25-IT_Requirements_TKT_12072025.xlsx" TargetMode="External"/><Relationship Id="rId1" Type="http://schemas.openxmlformats.org/officeDocument/2006/relationships/externalLinkPath" Target="/Users/s.koliushin/AppData/Local/Microsoft/Windows/INetCache/Content.Outlook/1BCIOU40/FAC25-IT_Requirements_TKT_1207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cqa0.sharepoint.com/sites/EventICTplanning-Legacy-FIFAU17/Shared%20Documents/02.%20U17/IT%20Requirements/FIFA%20TEAP%20%20FU17WC2025_1.1%20LOC%20incorporated.xlsm" TargetMode="External"/><Relationship Id="rId1" Type="http://schemas.openxmlformats.org/officeDocument/2006/relationships/externalLinkPath" Target="/sites/EventICTplanning-Legacy-FIFAU17/Shared%20Documents/02.%20U17/IT%20Requirements/FIFA%20TEAP%20%20FU17WC2025_1.1%20LOC%20incorporat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vice Catalogue"/>
      <sheetName val="IT Requirements"/>
      <sheetName val="List Of Venues"/>
      <sheetName val="DataTables"/>
      <sheetName val="Data for picklists"/>
      <sheetName val="FAC25-IT_Requirements_TKT_1207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vent Setup"/>
      <sheetName val="Version Release Notes"/>
      <sheetName val="TEAP Data Entry"/>
      <sheetName val="LOC Requirement"/>
      <sheetName val="Contact"/>
      <sheetName val="Customer Journey"/>
      <sheetName val="Pivot Table"/>
      <sheetName val="No use-Pivot Type"/>
      <sheetName val="No use-Internet Service Config"/>
      <sheetName val="Network Requirements"/>
      <sheetName val="TEAP Report - FAs"/>
      <sheetName val="TEAP Report - LOC"/>
      <sheetName val="TEAP Report - Event Tech"/>
      <sheetName val="VITM Checklist"/>
      <sheetName val="Packing List - Outbound"/>
      <sheetName val="Packing List - Return"/>
      <sheetName val="Products and Services"/>
      <sheetName val="Event IT Kit-list"/>
      <sheetName val="Packing List - SOURCE"/>
      <sheetName val="Lookups"/>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902030D4-9804-4FEB-85AB-1914E0E2C334}"/>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526C9366-ECAF-4BF0-AD00-F4729FEBA3D1}"/>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D7776E2E-FD03-D745-8BFE-C61B48BBC645}"/>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6CFD0125-6054-4E94-A2A7-7CCA77448E6A}"/>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743B7B9B-CE0F-49A5-94BA-16B5ADB85F98}"/>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5A2FDBFC-C138-4D70-80C9-957F28933C7D}"/>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0EDE7470-2086-AE47-87BA-4F0CDB998EA2}"/>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D905C3CD-269D-4A78-8CF4-3757A6F30E07}"/>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F58F6BAA-2F56-4335-9816-F5E13A9ACEB8}"/>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23E8E743-7F0C-41BB-895E-B4D1D7E5CC47}"/>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80AC1E84-B529-8442-81CC-E2BEFBBDBDC5}"/>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0359EA4A-1B2A-43C7-B941-5B6BECB698AA}"/>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B1C790D0-F183-411D-B387-BFCFEC7EBE0A}"/>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935C565C-05B1-4293-9A74-EE1EBBDF9290}"/>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AS" id="{C8EAA39C-7DCE-4AB1-A764-DBAE6F542A29}">
    <nsvFilter filterId="{73B7D0BC-AE9C-4D3A-A944-AF3B17B66A96}" ref="A3:R1236" tableId="2">
      <columnFilter colId="4" id="{B514E4D7-2E48-47A6-91BB-B60E5050DB1C}">
        <filter colId="4">
          <x:filters>
            <x:filter val="AAS"/>
          </x:filters>
        </filter>
      </columnFilter>
    </nsvFilter>
  </namedSheetView>
  <namedSheetView name="abdullah" id="{689B1D41-62D1-4009-9F69-8A907742F281}">
    <nsvFilter filterId="{73B7D0BC-AE9C-4D3A-A944-AF3B17B66A96}" ref="A3:R1236" tableId="2">
      <columnFilter colId="1" id="{A3A0C2F1-9637-4C37-9C23-72B72DF04553}">
        <filter colId="1">
          <x:filters>
            <x:filter val="EU"/>
          </x:filters>
        </filter>
      </columnFilter>
      <columnFilter colId="4" id="{B514E4D7-2E48-47A6-91BB-B60E5050DB1C}">
        <filter colId="4">
          <x:filters>
            <x:filter val="AAS"/>
          </x:filters>
        </filter>
      </columnFilter>
      <columnFilter colId="8" id="{F92A94DC-DAA2-497E-AF4E-2E2151EB0BFB}">
        <filter colId="8">
          <x:filters>
            <x:filter val="EU - Barcode scanner"/>
            <x:filter val="EU - SPE - Mouse"/>
            <x:filter val="EU - SPE - Tablet"/>
          </x:filters>
        </filter>
      </columnFilter>
      <columnFilter colId="9" id="{187B2978-E04B-4930-9B85-D772C0855540}">
        <filter colId="9">
          <x:filters>
            <x:filter val="Confirmed"/>
          </x:filters>
        </filter>
      </columnFilter>
    </nsvFilter>
  </namedSheetView>
  <namedSheetView name="Ali" id="{011BCF53-D81C-42F9-8558-8F90820B7F46}">
    <nsvFilter filterId="{73B7D0BC-AE9C-4D3A-A944-AF3B17B66A96}" ref="A3:R1236" tableId="2">
      <columnFilter colId="4" id="{B514E4D7-2E48-47A6-91BB-B60E5050DB1C}">
        <filter colId="4">
          <x:filters>
            <x:filter val="Non_Comp"/>
          </x:filters>
        </filter>
      </columnFilter>
      <columnFilter colId="5" id="{DAB846D4-E1CB-4A84-8B0F-E25944EE4C09}">
        <filter colId="5">
          <x:filters>
            <x:filter val="MMC"/>
          </x:filters>
        </filter>
      </columnFilter>
      <columnFilter colId="7" id="{D0E45EB2-EEDB-4EAA-BC8D-8FA10F8698A9}">
        <filter colId="7">
          <x:filters>
            <x:filter val="AV"/>
            <x:filter val="CATV_IPTV"/>
          </x:filters>
        </filter>
      </columnFilter>
      <columnFilter colId="8" id="{F92A94DC-DAA2-497E-AF4E-2E2151EB0BFB}">
        <filter colId="8">
          <x:filters>
            <x:filter val="TV - Large - IPTV"/>
          </x:filters>
        </filter>
      </columnFilter>
    </nsvFilter>
  </namedSheetView>
  <namedSheetView name="ALJoori" id="{3022666B-0F6C-499F-9706-7B7EB1175173}">
    <nsvFilter filterId="{73B7D0BC-AE9C-4D3A-A944-AF3B17B66A96}" ref="A3:R1236" tableId="2">
      <columnFilter colId="4" id="{B514E4D7-2E48-47A6-91BB-B60E5050DB1C}">
        <filter colId="4">
          <x:filters>
            <x:filter val="Non_Comp"/>
          </x:filters>
        </filter>
      </columnFilter>
      <columnFilter colId="5" id="{DAB846D4-E1CB-4A84-8B0F-E25944EE4C09}">
        <filter colId="5">
          <x:filters>
            <x:filter val="Al Bidda"/>
          </x:filters>
        </filter>
      </columnFilter>
    </nsvFilter>
  </namedSheetView>
  <namedSheetView name="Einab" id="{4EDAB06B-229F-4DE9-BD11-2C0B07BB42DF}">
    <nsvFilter filterId="{73B7D0BC-AE9C-4D3A-A944-AF3B17B66A96}" ref="A3:R1236" tableId="2">
      <columnFilter colId="1" id="{A3A0C2F1-9637-4C37-9C23-72B72DF04553}">
        <filter colId="1">
          <x:filters>
            <x:filter val="AV"/>
          </x:filters>
        </filter>
      </columnFilter>
      <columnFilter colId="4" id="{B514E4D7-2E48-47A6-91BB-B60E5050DB1C}">
        <filter colId="4">
          <x:filters>
            <x:filter val="Non_Comp"/>
          </x:filters>
        </filter>
      </columnFilter>
      <columnFilter colId="5" id="{DAB846D4-E1CB-4A84-8B0F-E25944EE4C09}">
        <filter colId="5">
          <x:filters>
            <x:filter val="MMC"/>
          </x:filters>
        </filter>
      </columnFilter>
    </nsvFilter>
    <nsvFilter filterId="{78DAAE25-88D8-406D-92CB-2AD078384410}" ref="F1243" tableId="0"/>
  </namedSheetView>
  <namedSheetView name="EU Equipment" id="{43BE9E6E-78EB-4413-B5AB-8D475CFF1AA8}">
    <nsvFilter filterId="{73B7D0BC-AE9C-4D3A-A944-AF3B17B66A96}" ref="A3:R1236" tableId="2">
      <columnFilter colId="1" id="{A3A0C2F1-9637-4C37-9C23-72B72DF04553}">
        <filter colId="1">
          <x:filters>
            <x:filter val="EU"/>
          </x:filters>
        </filter>
      </columnFilter>
      <columnFilter colId="8" id="{F92A94DC-DAA2-497E-AF4E-2E2151EB0BFB}">
        <filter colId="8">
          <x:filters>
            <x:filter val="EU - Special Request"/>
          </x:filters>
        </filter>
      </columnFilter>
    </nsvFilter>
  </namedSheetView>
  <namedSheetView name="ghori" id="{1A244DE2-CCA5-4F3D-B8BE-71FDBC0A8DB5}">
    <nsvFilter filterId="{73B7D0BC-AE9C-4D3A-A944-AF3B17B66A96}" ref="A3:R1236" tableId="2">
      <columnFilter colId="4" id="{B514E4D7-2E48-47A6-91BB-B60E5050DB1C}">
        <filter colId="4">
          <x:filters>
            <x:filter val="KIS"/>
          </x:filters>
        </filter>
      </columnFilter>
      <columnFilter colId="8" id="{F92A94DC-DAA2-497E-AF4E-2E2151EB0BFB}">
        <filter colId="8">
          <x:filters>
            <x:filter val="EU - Barcode scanner"/>
            <x:filter val="EU - Laptop - Event Operations"/>
            <x:filter val="EU - SPE - Mouse"/>
            <x:filter val="EU - SPE - Tablet"/>
            <x:filter val="Printing - Dedicated - Colour - A3"/>
            <x:filter val="Printing - Dedicated - Colour - A4"/>
          </x:filters>
        </filter>
      </columnFilter>
      <columnFilter colId="9" id="{187B2978-E04B-4930-9B85-D772C0855540}">
        <filter colId="9">
          <x:filters>
            <x:filter val="Confirmed"/>
          </x:filters>
        </filter>
      </columnFilter>
    </nsvFilter>
    <nsvFilter filterId="{78DAAE25-88D8-406D-92CB-2AD078384410}" ref="F1243" tableId="0"/>
  </namedSheetView>
  <namedSheetView name="Nurulla" id="{1C76B863-CF06-422B-85D0-A1A107BF9B05}">
    <nsvFilter filterId="{73B7D0BC-AE9C-4D3A-A944-AF3B17B66A96}" ref="A3:R1236" tableId="2">
      <columnFilter colId="1" id="{A3A0C2F1-9637-4C37-9C23-72B72DF04553}">
        <filter colId="1">
          <x:filters>
            <x:filter val="AV"/>
          </x:filters>
        </filter>
      </columnFilter>
      <columnFilter colId="4" id="{B514E4D7-2E48-47A6-91BB-B60E5050DB1C}">
        <filter colId="4">
          <x:filters>
            <x:filter val="AAS"/>
          </x:filters>
        </filter>
      </columnFilter>
      <columnFilter colId="9" id="{187B2978-E04B-4930-9B85-D772C0855540}">
        <filter colId="9">
          <x:filters>
            <x:filter val="Confirmed"/>
            <x:filter val="To Review"/>
            <x:filter val="To Validate"/>
          </x:filters>
        </filter>
      </columnFilter>
    </nsvFilter>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0E979582-E2B0-42DE-BFAD-BF6847506280}"/>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D66214A3-8B8F-4AA6-9AC6-AB28B027EFA0}"/>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inab" id="{1708FB08-271B-4E25-AC4A-22176B18102E}">
    <nsvFilter filterId="{AB624AF9-1D2E-4A20-871E-6D138FD58901}" ref="B2:Q39" tableId="6">
      <columnFilter colId="0" id="{8410B3E6-D056-4784-AC8E-52326530D34F}">
        <filter colId="0">
          <x:filters>
            <x:filter val="EU"/>
          </x:filters>
        </filter>
      </columnFilter>
    </nsvFilter>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200E3B-EC61-483E-BDE6-E777DF580BBA}">
    <nsvFilter filterId="{45E09872-E9F5-468E-BB37-B611ABC3BAA1}" ref="A1:F57" tableId="3"/>
    <nsvFilter filterId="{3BB84A75-2FAA-4AA9-A092-2EB3BF2CDE06}" ref="I1:J31" tableId="4"/>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rulla Dalvi" refreshedDate="45985.955112037038" createdVersion="8" refreshedVersion="8" minRefreshableVersion="3" recordCount="1220" xr:uid="{D1F5014C-2DE7-4A5F-B083-CF9D14D23B7C}">
  <cacheSource type="worksheet">
    <worksheetSource name="t_fac25_requirements"/>
  </cacheSource>
  <cacheFields count="20">
    <cacheField name="Delivered" numFmtId="0">
      <sharedItems containsBlank="1" count="3">
        <b v="0"/>
        <b v="1"/>
        <m u="1"/>
      </sharedItems>
    </cacheField>
    <cacheField name="Owner" numFmtId="0">
      <sharedItems containsBlank="1" count="7">
        <s v="NW"/>
        <s v="EU"/>
        <s v="AV"/>
        <s v="Telco/SIM"/>
        <m u="1"/>
        <s v="" u="1"/>
        <s v="VTM" u="1"/>
      </sharedItems>
    </cacheField>
    <cacheField name="FA" numFmtId="0">
      <sharedItems containsBlank="1" count="30">
        <s v="FNB"/>
        <s v="VUM"/>
        <s v="CAT"/>
        <s v="LOG"/>
        <s v="PWR"/>
        <s v="CER"/>
        <s v="COM"/>
        <s v="SHU"/>
        <s v="BRO"/>
        <s v="MOB"/>
        <s v="SSOC"/>
        <s v="WKF"/>
        <s v="MED"/>
        <s v="ACS"/>
        <s v="ECR"/>
        <s v="MRD"/>
        <s v="ACR"/>
        <s v="GOP"/>
        <s v="CMP"/>
        <s v="PLI"/>
        <s v="TKT"/>
        <s v="MEO"/>
        <s v="ICT"/>
        <s v="TSV"/>
        <s v="AND"/>
        <s v="SPS"/>
        <s v="HOS"/>
        <s v="FIFA GOP"/>
        <s v="REF"/>
        <m u="1"/>
      </sharedItems>
    </cacheField>
    <cacheField name="FA Name" numFmtId="0">
      <sharedItems count="30">
        <s v="Food &amp; Beverage Concessions"/>
        <s v="Venue Management"/>
        <s v="Catering"/>
        <s v="Logistics"/>
        <s v="Power"/>
        <s v="Ceremonies &amp; Infotainment"/>
        <s v="Comms / Stakeholder / MER"/>
        <s v="Shukran"/>
        <s v="Broadcast Operations"/>
        <s v="Mobility"/>
        <s v="SSOC"/>
        <s v="Workforce"/>
        <s v="Medical"/>
        <s v="Access Management "/>
        <s v="Events and Community Relations "/>
        <s v="Commercial/MRD"/>
        <s v="Accreditation"/>
        <s v="Guest Operations"/>
        <s v="Competition"/>
        <s v="Planning and Integration"/>
        <s v="Ticketing"/>
        <s v="Media Operations"/>
        <s v="ICT"/>
        <s v="Team Services"/>
        <s v="Arrival &amp; Departure"/>
        <s v="Spectator Services"/>
        <s v="Hospitality Services"/>
        <s v="FIFA Guest OPS"/>
        <s v="Referee"/>
        <s v="" u="1"/>
      </sharedItems>
    </cacheField>
    <cacheField name="Venue" numFmtId="0">
      <sharedItems containsMixedTypes="1" containsNumber="1" containsInteger="1" minValue="974" maxValue="974" count="7">
        <s v="LUS"/>
        <s v="ABS"/>
        <n v="974"/>
        <s v="AAS"/>
        <s v="ECS"/>
        <s v="KIS"/>
        <s v="Non_Comp"/>
      </sharedItems>
    </cacheField>
    <cacheField name="Area" numFmtId="0">
      <sharedItems containsBlank="1" count="31">
        <s v="Stadium Inner Perimeter"/>
        <s v="Al Bidda"/>
        <s v="Stadium Offices"/>
        <s v="Other"/>
        <s v="Stadium Outer Perimeter"/>
        <s v="MMC"/>
        <s v="Broadcast Compound"/>
        <s v="Competition Areas"/>
        <s v="Field of Play"/>
        <s v="Media Tribunes"/>
        <s v="Media Areas"/>
        <s v="RSP"/>
        <s v="PCR"/>
        <s v="VIP/VVIP Areas"/>
        <s v="Training site"/>
        <s v="UDAC"/>
        <s v="AND"/>
        <s v="Stadium - Hospitality"/>
        <s v="VIP Hotel"/>
        <s v="REF Hotel"/>
        <s v="Competition Area"/>
        <m u="1"/>
        <s v="Hospitality Areas" u="1"/>
        <s v="Stadium -Mixed Zone" u="1"/>
        <s v="TV/Presentation Studios" u="1"/>
        <s v="Media Area" u="1"/>
        <s v="MOC" u="1"/>
        <s v="ABHA" u="1"/>
        <s v="Main Accreditation Centre (MAC)" u="1"/>
        <s v="Uniform Distribution" u="1"/>
        <s v="Main Media Center (MMC)" u="1"/>
      </sharedItems>
    </cacheField>
    <cacheField name="Space" numFmtId="0">
      <sharedItems containsBlank="1" count="186">
        <s v="F&amp;B Concessions"/>
        <s v="MOC"/>
        <s v="MOC - WKF canteen"/>
        <s v="LCC Logistics Coordination Center"/>
        <s v="General Office"/>
        <s v="Infotainment Control Room"/>
        <s v="Ceremonies Office"/>
        <s v="Green Rooms"/>
        <s v="Ceremonies Holding Area"/>
        <s v="Ceremonies/PMC Office"/>
        <s v="Ceremonies/PMC Office "/>
        <s v="VUM Office"/>
        <s v="General stadium area"/>
        <s v="VOC"/>
        <s v="Press Conference Room"/>
        <s v="External building allocated to FAs"/>
        <s v="VUM Office "/>
        <s v="Venue Commander Office"/>
        <s v="WKF canteen"/>
        <s v="Contractors canteen "/>
        <s v="TOC"/>
        <s v="HB OB Van"/>
        <s v="Graphics production office"/>
        <s v="Broadcast Management Office"/>
        <s v="TV/Presentation Studios"/>
        <s v="Flash interview positions"/>
        <s v="Pitchside presentation positions 16m"/>
        <s v="Presentation positions behind goals"/>
        <s v="Commentary positions"/>
        <s v="Content Production 1"/>
        <s v="Content Production 2"/>
        <s v="Graphics production cabin"/>
        <m/>
        <s v="IBCC cabins"/>
        <s v="TV Studio"/>
        <s v="BRS office"/>
        <s v="TIR cabin"/>
        <s v="CCR"/>
        <s v="LOG Compound"/>
        <s v="LOG Point"/>
        <s v="Ground floor - VAPP Office "/>
        <s v="Venue Security Coordinators' office"/>
        <s v="Venue Commander's office"/>
        <s v="Venue Commander' office (5)"/>
        <s v="Admin office (10)"/>
        <s v="Venue Security Coordinators' office (5)"/>
        <s v="Main Media Center"/>
        <s v="All areas"/>
        <s v="Training Centre Welcome Desk "/>
        <s v="Tranining Centre Welcome Desk "/>
        <s v="Welome Desk &amp; Training Rooms "/>
        <s v="Training Rooms"/>
        <s v="Workforce Centre - Welcome Zone"/>
        <s v="Workforce Centre - Office"/>
        <s v="Workforce Centre"/>
        <s v="Player Medical Clinic"/>
        <s v="VIP Medical Clinic"/>
        <s v="VVIP Medical Clinic"/>
        <s v="Spectator Clinics"/>
        <s v="ACS Office"/>
        <s v="Fan Zone Operational area"/>
        <s v="MRD Office/Youth Program Room"/>
        <s v="Venue Accreditation Help Office"/>
        <s v="LOC protocol office"/>
        <s v="VVIP area"/>
        <s v="VIP area"/>
        <s v="FIFA Match Director office"/>
        <s v="MCM room"/>
        <s v="TSG"/>
        <s v="FTI equiment cabin"/>
        <s v="FVS cabin"/>
        <s v="4th official Bench"/>
        <s v="Analysts desks B"/>
        <s v="Analysts desks A"/>
        <s v="Analysts desks A&amp;B"/>
        <s v="Competition Areas"/>
        <s v="Team A + Team B Benches"/>
        <s v="Media Tribune - Data Collector"/>
        <s v="MOC - BUS AND FLEET OPS CENTER"/>
        <s v="Mobility  - event Transport / Last mile  offices"/>
        <s v="Mobility  - Parking /  Event Transport / Last mile  offices"/>
        <s v="Event Transport ooffice"/>
        <s v="Main Ticketing Centre (1) TBC"/>
        <s v="SMC Media Information Desk"/>
        <s v="SMC Working Area"/>
        <s v="Media Tribune"/>
        <s v="Media Tribune Photo Positions"/>
        <s v="Photographers Working Area"/>
        <s v="Mixed Zone"/>
        <s v="Photographers Pitch Positions"/>
        <s v="Photographers Pitch Positions - Behind Goal R"/>
        <s v="Photographers Pitch Positions - Behind Goal L"/>
        <s v="LOC MEO Office"/>
        <s v="FIFA MEO Office"/>
        <s v="Media Café"/>
        <s v="Media Welcome Desk"/>
        <s v="MEO Office"/>
        <s v="LOC/FIFA MEO Office"/>
        <s v="SMC Working Area - Media"/>
        <s v="SMC Working Area - Photographers"/>
        <s v="Media Information Desk"/>
        <s v="Photography Service Centre Desk"/>
        <s v="Media working area"/>
        <s v="Comms Office"/>
        <s v="MEO Meeting Room"/>
        <s v="Broadcast Office"/>
        <s v="Head Coach Holding Area/Interview Studio"/>
        <s v="Pitch"/>
        <s v="STC 1"/>
        <s v="STC 1-6 (6 portable cabins)"/>
        <s v="Outer perimeter entry points (M&amp;Bs) (6)"/>
        <s v="Ticketing Resolution points 1-4 (4)"/>
        <s v="Entry gates (TBC)"/>
        <s v="Venue Ticketing office (1) - TBC"/>
        <s v="Venue EACS office (1) - TBC"/>
        <s v="Venue Operations Centre (VOC) (1)"/>
        <s v="ICT Storage"/>
        <s v="STC 1-2"/>
        <s v="STC 1-8 (8 portable cabins)"/>
        <s v="Outer perimeter entry points (M&amp;Bs) (10)"/>
        <s v="Ticketing Resolution points 1-6 (6)"/>
        <s v="Outer perimeter entry points (M&amp;Bs) (15)"/>
        <s v="Outer perimeter entry points (M&amp;Bs) (5)"/>
        <s v="with the TLOs "/>
        <s v="WKF Centre"/>
        <s v="Volunteer Support Services Centre"/>
        <s v="Uniform Distribution Centre"/>
        <s v="MAC - Several locations inside"/>
        <s v="MAC - Bulk Distribution area"/>
        <s v="SSOC UAC"/>
        <s v="RDR"/>
        <s v="MAC - Meeting room and Director's office"/>
        <s v="MAC"/>
        <s v="Al Maha Office"/>
        <s v="TCR"/>
        <s v="SPS Office"/>
        <s v="Restricted Items Storages"/>
        <s v="Hospitality Areas"/>
        <s v="Photographers Pitch Positions 16 m line (4+4)"/>
        <s v="LOC Office"/>
        <s v="Entire Hotel"/>
        <s v="Guest ops office"/>
        <s v="Chiefs and senior mgmt. office"/>
        <s v="FIFA Club"/>
        <s v="Instant Feedback"/>
        <s v="Fitness Office - Al Dana 2"/>
        <s v="Class Room - Alwajba 2+3"/>
        <s v="Match Analysts - Al Diwan 2"/>
        <s v="Technical Office - Al Dana 1"/>
        <s v="REF Administration - Barzan"/>
        <s v="Physio/ Medical Room"/>
        <s v="Managed Support Services at Al Bidda MOC ,U17, and FAC Venues "/>
        <s v="Event workforce"/>
        <s v="All Cabins"/>
        <s v="STC 3-4"/>
        <s v="STC 2"/>
        <s v="STC 3"/>
        <s v="STC 4"/>
        <s v="STC 5-6"/>
        <s v="STC 7"/>
        <s v="STC 8"/>
        <s v="STC 5"/>
        <s v="STC 6"/>
        <s v="Doping Control Room"/>
        <s v="LOC CMP Office"/>
        <s v="Competition Area" u="1"/>
        <s v="Teams Benches" u="1"/>
        <s v="Press-conference" u="1"/>
        <s v="Photographers Pitch Positions 16 m line (4+4+4+4)" u="1"/>
        <s v="Pitchview studios" u="1"/>
        <s v="Satellite/HB Cabin" u="1"/>
        <s v="Press-conference room" u="1"/>
        <s v="Ticketing HQ (LOCATION TBC)" u="1"/>
        <s v="MOC - VAPP Office " u="1"/>
        <s v="MOC - VAPP Office" u="1"/>
        <s v="VAPP Office" u="1"/>
        <s v="BUSS AND FLEETS OPS CENTER" u="1"/>
        <s v="VUM Office - MMC" u="1"/>
        <s v="General Office - MMC" u="1"/>
        <s v="Venue Commander Office - MMC" u="1"/>
        <s v="Main Media Center - TV Studio" u="1"/>
        <s v="Main Media Center - BRS office" u="1"/>
        <s v="Main Media Center - Press-conference" u="1"/>
        <s v="Workforce Centre - Main Media Centre" u="1"/>
        <s v="VAPP Office " u="1"/>
        <s v="BUS AND FLEET OPS CENTER" u="1"/>
      </sharedItems>
    </cacheField>
    <cacheField name="Category" numFmtId="0">
      <sharedItems containsBlank="1" count="9">
        <s v="WiFi"/>
        <s v="Printing"/>
        <s v="EU_Equipment"/>
        <s v="AV"/>
        <s v="Network"/>
        <s v="CATV_IPTV"/>
        <s v="SIM_Telco"/>
        <m u="1"/>
        <s v="Special Request" u="1"/>
      </sharedItems>
    </cacheField>
    <cacheField name="Item" numFmtId="0">
      <sharedItems containsBlank="1" count="55">
        <s v="WiFi - Technical"/>
        <s v="WiFi - General WiFi"/>
        <s v="Printing - Access to Printer"/>
        <s v="EU - Laptop - Event Operations"/>
        <s v="EU - Barcode scanner"/>
        <s v="AV - TV - Large - Standalone"/>
        <s v="Network - Wired Port - General Internet "/>
        <s v="Printing - Dedicated - Colour - A4"/>
        <s v="TV - Large - IPTV"/>
        <s v="Printing - Dedicated - Colour - A3"/>
        <s v="Telecom - SIM - Data Only"/>
        <s v="Network - Special Request"/>
        <s v="Network - WIRED - Photo"/>
        <s v="Network - WIRED - Media"/>
        <s v="TV - Media Tribunes - CATV"/>
        <s v="AV - SP - PCR Audio"/>
        <s v="Telecom - MiFi - Router"/>
        <s v="EU - Monitor"/>
        <s v="WiFi - Media WiFi"/>
        <s v="AV - Portable Speaker"/>
        <s v="Telecom - SPE - Phone + SIM"/>
        <s v="EU - SPE - Mouse"/>
        <s v="WiFi - VIP WiFi"/>
        <s v="TV - IPTV - Legacy"/>
        <s v="Network - WIRED - FTI"/>
        <s v="WiFi - Football"/>
        <s v="EU - Special Request"/>
        <s v="AV - Special Request"/>
        <s v="EU - SPE - Tablet"/>
        <s v="AV - SP - VideoWall"/>
        <s v="Network - WIRED - Technical"/>
        <s v="EU - NS - Eth to USB"/>
        <s v="Internet Line"/>
        <s v="WiFi - HOS WiFi"/>
        <s v="Telecom - SPE - Voice SIM"/>
        <s v="EU - SPE - Keyboard + Mouse"/>
        <s v="Legacy Projector"/>
        <s v="Professional Speakers and Microphones"/>
        <s v="Dedicated 100 Mbps"/>
        <s v="WiFi - Public"/>
        <m u="1"/>
        <s v="Network - WIRED - Stream" u="1"/>
        <s v="Network - WIRED - TSG" u="1"/>
        <s v="WiFi - Mobile" u="1"/>
        <s v="Office Projector - 6K" u="1"/>
        <s v="Keyboard &amp; Mouse" u="1"/>
        <s v="Large TV - CATV Feed" u="1"/>
        <s v="EU - NS - Mouse" u="1"/>
        <s v="Telecom - SIM - Data + Voice " u="1"/>
        <s v="Telco - Special Request" u="1"/>
        <s v="Telecom - MiFi - Router + Data SIM" u="1"/>
        <s v="Telco - NS - Mobile Phone with SIM" u="1"/>
        <s v="UNI IT Setup" u="1"/>
        <s v="Volunteer Support IT Setup" u="1"/>
        <s v="WKF Centre IT Setup" u="1"/>
      </sharedItems>
    </cacheField>
    <cacheField name="VTM Status" numFmtId="0">
      <sharedItems/>
    </cacheField>
    <cacheField name="Old Quantity2" numFmtId="0">
      <sharedItems containsString="0" containsBlank="1" containsNumber="1" containsInteger="1" minValue="0" maxValue="465"/>
    </cacheField>
    <cacheField name="New Quantity " numFmtId="0">
      <sharedItems containsSemiMixedTypes="0" containsString="0" containsNumber="1" containsInteger="1" minValue="0" maxValue="700" count="80">
        <n v="54"/>
        <n v="31"/>
        <n v="34"/>
        <n v="27"/>
        <n v="28"/>
        <n v="1"/>
        <n v="2"/>
        <n v="0"/>
        <n v="100"/>
        <n v="3"/>
        <n v="8"/>
        <n v="4"/>
        <n v="26"/>
        <n v="13"/>
        <n v="5"/>
        <n v="6"/>
        <n v="76"/>
        <n v="90"/>
        <n v="123"/>
        <n v="146"/>
        <n v="151"/>
        <n v="10"/>
        <n v="140"/>
        <n v="130"/>
        <n v="20"/>
        <n v="300"/>
        <n v="60"/>
        <n v="213"/>
        <n v="79"/>
        <n v="500"/>
        <n v="18"/>
        <n v="150"/>
        <n v="154"/>
        <n v="80"/>
        <n v="62"/>
        <n v="245"/>
        <n v="93"/>
        <n v="700"/>
        <n v="55"/>
        <n v="40"/>
        <n v="45"/>
        <n v="157"/>
        <n v="32"/>
        <n v="170"/>
        <n v="58"/>
        <n v="230"/>
        <n v="81"/>
        <n v="30"/>
        <n v="350"/>
        <n v="70"/>
        <n v="200"/>
        <n v="190"/>
        <n v="12"/>
        <n v="160"/>
        <n v="110"/>
        <n v="24"/>
        <n v="11"/>
        <n v="7"/>
        <n v="9"/>
        <n v="16"/>
        <n v="19"/>
        <n v="73" u="1"/>
        <n v="86" u="1"/>
        <n v="51" u="1"/>
        <n v="22" u="1"/>
        <n v="14" u="1"/>
        <n v="212" u="1"/>
        <n v="72" u="1"/>
        <n v="153" u="1"/>
        <n v="53" u="1"/>
        <n v="156" u="1"/>
        <n v="280" u="1"/>
        <n v="88" u="1"/>
        <n v="431" u="1"/>
        <n v="109" u="1"/>
        <n v="108" u="1"/>
        <n v="281" u="1"/>
        <n v="25" u="1"/>
        <n v="42" u="1"/>
        <n v="50" u="1"/>
      </sharedItems>
    </cacheField>
    <cacheField name="Start Date" numFmtId="0">
      <sharedItems containsNonDate="0" containsDate="1" containsString="0" containsBlank="1" minDate="2025-09-01T00:00:00" maxDate="2025-12-16T00:00:00" count="36">
        <d v="2025-11-20T00:00:00"/>
        <d v="2025-10-01T00:00:00"/>
        <d v="2025-10-12T00:00:00"/>
        <d v="2025-11-09T00:00:00"/>
        <d v="2025-11-01T00:00:00"/>
        <d v="2025-11-30T00:00:00"/>
        <d v="2025-12-15T00:00:00"/>
        <d v="2025-09-01T00:00:00"/>
        <d v="2025-11-23T00:00:00"/>
        <d v="2025-11-14T00:00:00"/>
        <d v="2025-10-20T00:00:00"/>
        <d v="2025-11-25T00:00:00"/>
        <d v="2025-11-26T00:00:00"/>
        <d v="2025-11-07T00:00:00"/>
        <d v="2025-11-08T00:00:00"/>
        <d v="2025-11-02T00:00:00"/>
        <d v="2025-10-26T00:00:00"/>
        <d v="2025-11-16T00:00:00"/>
        <d v="2025-11-29T00:00:00"/>
        <d v="2025-11-22T00:00:00"/>
        <d v="2025-11-28T00:00:00"/>
        <d v="2025-11-03T00:00:00"/>
        <d v="2025-11-27T00:00:00"/>
        <d v="2025-11-21T00:00:00"/>
        <d v="2025-10-15T00:00:00"/>
        <d v="2025-10-21T00:00:00"/>
        <d v="2025-09-20T00:00:00"/>
        <d v="2025-11-15T00:00:00"/>
        <d v="2025-11-10T00:00:00"/>
        <d v="2025-09-15T00:00:00"/>
        <d v="2025-10-14T00:00:00"/>
        <d v="2025-09-23T00:00:00"/>
        <d v="2025-09-25T00:00:00"/>
        <m/>
        <d v="2025-12-05T00:00:00"/>
        <d v="2025-11-19T00:00:00"/>
      </sharedItems>
      <fieldGroup par="19"/>
    </cacheField>
    <cacheField name="End Date" numFmtId="0">
      <sharedItems containsNonDate="0" containsDate="1" containsString="0" containsBlank="1" minDate="2025-10-16T00:00:00" maxDate="2026-01-01T00:00:00"/>
    </cacheField>
    <cacheField name="Code" numFmtId="0">
      <sharedItems containsBlank="1"/>
    </cacheField>
    <cacheField name="ICT Comment" numFmtId="0">
      <sharedItems containsBlank="1"/>
    </cacheField>
    <cacheField name="Notes" numFmtId="0">
      <sharedItems containsBlank="1" longText="1"/>
    </cacheField>
    <cacheField name="ID" numFmtId="0">
      <sharedItems containsBlank="1"/>
    </cacheField>
    <cacheField name="Days (Start Date)" numFmtId="0" databaseField="0">
      <fieldGroup base="12">
        <rangePr groupBy="days" startDate="2025-09-01T00:00:00" endDate="2025-12-16T00:00:00"/>
        <groupItems count="368">
          <s v="&lt;9/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6/2025"/>
        </groupItems>
      </fieldGroup>
    </cacheField>
    <cacheField name="Months (Start Date)" numFmtId="0" databaseField="0">
      <fieldGroup base="12">
        <rangePr groupBy="months" startDate="2025-09-01T00:00:00" endDate="2025-12-16T00:00:00"/>
        <groupItems count="14">
          <s v="&lt;9/1/2025"/>
          <s v="Jan"/>
          <s v="Feb"/>
          <s v="Mar"/>
          <s v="Apr"/>
          <s v="May"/>
          <s v="Jun"/>
          <s v="Jul"/>
          <s v="Aug"/>
          <s v="Sep"/>
          <s v="Oct"/>
          <s v="Nov"/>
          <s v="Dec"/>
          <s v="&gt;12/16/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0">
  <r>
    <x v="0"/>
    <x v="0"/>
    <x v="0"/>
    <x v="0"/>
    <x v="0"/>
    <x v="0"/>
    <x v="0"/>
    <x v="0"/>
    <x v="0"/>
    <s v="Confirmed"/>
    <m/>
    <x v="0"/>
    <x v="0"/>
    <d v="2025-12-19T00:00:00"/>
    <s v="WANGEN"/>
    <s v="SK 21/10: To consider Tech WiFi creation"/>
    <s v="quantity according the number of concessions and POS number"/>
    <s v="FAC00001"/>
  </r>
  <r>
    <x v="0"/>
    <x v="0"/>
    <x v="0"/>
    <x v="0"/>
    <x v="1"/>
    <x v="0"/>
    <x v="0"/>
    <x v="0"/>
    <x v="0"/>
    <s v="Confirmed"/>
    <m/>
    <x v="1"/>
    <x v="0"/>
    <d v="2025-12-19T00:00:00"/>
    <s v="WANGEN"/>
    <s v="SK 21/10: To consider Tech WiFi creation"/>
    <s v="quantity according the number of concessions and POS number"/>
    <s v="FAC00002"/>
  </r>
  <r>
    <x v="0"/>
    <x v="0"/>
    <x v="0"/>
    <x v="0"/>
    <x v="2"/>
    <x v="0"/>
    <x v="0"/>
    <x v="0"/>
    <x v="0"/>
    <s v="Confirmed"/>
    <m/>
    <x v="2"/>
    <x v="0"/>
    <d v="2025-12-19T00:00:00"/>
    <s v="WANGEN"/>
    <s v="SK 21/10: To consider Tech WiFi creation"/>
    <s v="quantity according the number of concessions and POS number"/>
    <s v="FAC00003"/>
  </r>
  <r>
    <x v="0"/>
    <x v="0"/>
    <x v="0"/>
    <x v="0"/>
    <x v="3"/>
    <x v="0"/>
    <x v="0"/>
    <x v="0"/>
    <x v="0"/>
    <s v="Confirmed"/>
    <m/>
    <x v="3"/>
    <x v="0"/>
    <d v="2025-12-19T00:00:00"/>
    <s v="WANGEN"/>
    <s v="SK 21/10: To consider Tech WiFi creation"/>
    <s v="quantity according the number of concessions and POS number"/>
    <s v="FAC00004"/>
  </r>
  <r>
    <x v="0"/>
    <x v="0"/>
    <x v="0"/>
    <x v="0"/>
    <x v="4"/>
    <x v="0"/>
    <x v="0"/>
    <x v="0"/>
    <x v="0"/>
    <s v="Confirmed"/>
    <m/>
    <x v="4"/>
    <x v="0"/>
    <d v="2025-12-19T00:00:00"/>
    <s v="WANGEN"/>
    <s v="SK 21/10: To consider Tech WiFi creation"/>
    <s v="quantity according the number of concessions and POS number"/>
    <s v="FAC00005"/>
  </r>
  <r>
    <x v="0"/>
    <x v="0"/>
    <x v="0"/>
    <x v="0"/>
    <x v="5"/>
    <x v="0"/>
    <x v="0"/>
    <x v="0"/>
    <x v="0"/>
    <s v="Confirmed"/>
    <m/>
    <x v="1"/>
    <x v="0"/>
    <d v="2025-12-19T00:00:00"/>
    <s v="WANGEN"/>
    <s v="SK 21/10: To consider Tech WiFi creation"/>
    <s v="quantity according the number of concessions and POS number"/>
    <s v="FAC00006"/>
  </r>
  <r>
    <x v="1"/>
    <x v="0"/>
    <x v="1"/>
    <x v="1"/>
    <x v="6"/>
    <x v="1"/>
    <x v="1"/>
    <x v="0"/>
    <x v="1"/>
    <s v="Confirmed"/>
    <m/>
    <x v="5"/>
    <x v="1"/>
    <d v="2025-12-18T00:00:00"/>
    <s v="WANGEN"/>
    <s v=""/>
    <m/>
    <s v="FAC00007"/>
  </r>
  <r>
    <x v="1"/>
    <x v="1"/>
    <x v="1"/>
    <x v="1"/>
    <x v="6"/>
    <x v="1"/>
    <x v="1"/>
    <x v="1"/>
    <x v="2"/>
    <s v="Confirmed"/>
    <m/>
    <x v="6"/>
    <x v="1"/>
    <d v="2025-12-18T00:00:00"/>
    <s v="MFDLNW"/>
    <s v="SK 05/10: Changed to access to printer. The device should be available."/>
    <m/>
    <s v="FAC00008"/>
  </r>
  <r>
    <x v="1"/>
    <x v="1"/>
    <x v="2"/>
    <x v="2"/>
    <x v="6"/>
    <x v="1"/>
    <x v="2"/>
    <x v="2"/>
    <x v="3"/>
    <s v="Canceled"/>
    <n v="1"/>
    <x v="7"/>
    <x v="1"/>
    <d v="2025-12-18T00:00:00"/>
    <s v="LAPOPS"/>
    <s v="16.09 MI: Scope removed"/>
    <s v="Meal redemption process"/>
    <s v="FAC00135"/>
  </r>
  <r>
    <x v="1"/>
    <x v="1"/>
    <x v="2"/>
    <x v="2"/>
    <x v="6"/>
    <x v="1"/>
    <x v="2"/>
    <x v="2"/>
    <x v="4"/>
    <s v="Canceled"/>
    <n v="1"/>
    <x v="7"/>
    <x v="1"/>
    <d v="2025-12-18T00:00:00"/>
    <s v="ACCBAR"/>
    <s v="16.09 MI: Scope removed"/>
    <s v="Meal redemption process"/>
    <s v="FAC00136"/>
  </r>
  <r>
    <x v="1"/>
    <x v="2"/>
    <x v="3"/>
    <x v="3"/>
    <x v="6"/>
    <x v="1"/>
    <x v="3"/>
    <x v="3"/>
    <x v="5"/>
    <s v="Confirmed"/>
    <n v="3"/>
    <x v="6"/>
    <x v="2"/>
    <d v="2025-12-31T00:00:00"/>
    <s v="TVLGIP"/>
    <s v="SK 17.09: Merged with FAC01053. Reduced to 2 since located in Al Bidda_x000a_SK 05.10: Changed to Standalone TV instead of IPTV"/>
    <s v="If LCC will be located in Al Bidda, requirements will change to 2."/>
    <s v="FAC00310"/>
  </r>
  <r>
    <x v="1"/>
    <x v="0"/>
    <x v="3"/>
    <x v="3"/>
    <x v="6"/>
    <x v="1"/>
    <x v="3"/>
    <x v="4"/>
    <x v="6"/>
    <s v="Confirmed"/>
    <m/>
    <x v="5"/>
    <x v="2"/>
    <d v="2025-12-31T00:00:00"/>
    <s v="WRDGEN"/>
    <s v="SK 17.09: Merged with FAC01054. To Validate with EU"/>
    <s v="If a wired port is not available, we will need access to a Wi-Fi network that can support approximately 20 laptops."/>
    <s v="FAC00311"/>
  </r>
  <r>
    <x v="1"/>
    <x v="1"/>
    <x v="4"/>
    <x v="4"/>
    <x v="1"/>
    <x v="2"/>
    <x v="4"/>
    <x v="1"/>
    <x v="2"/>
    <s v="Confirmed"/>
    <m/>
    <x v="5"/>
    <x v="3"/>
    <d v="2025-12-19T00:00:00"/>
    <s v="MFDSHR"/>
    <s v=""/>
    <m/>
    <s v="FAC00013"/>
  </r>
  <r>
    <x v="1"/>
    <x v="0"/>
    <x v="4"/>
    <x v="4"/>
    <x v="1"/>
    <x v="2"/>
    <x v="4"/>
    <x v="0"/>
    <x v="1"/>
    <s v="Confirmed"/>
    <m/>
    <x v="5"/>
    <x v="3"/>
    <d v="2025-12-19T00:00:00"/>
    <s v="WANGEN"/>
    <s v=""/>
    <m/>
    <s v="FAC00014"/>
  </r>
  <r>
    <x v="1"/>
    <x v="1"/>
    <x v="4"/>
    <x v="4"/>
    <x v="0"/>
    <x v="2"/>
    <x v="4"/>
    <x v="1"/>
    <x v="2"/>
    <s v="Confirmed"/>
    <m/>
    <x v="5"/>
    <x v="3"/>
    <d v="2025-12-19T00:00:00"/>
    <s v="MFDSHR"/>
    <s v=""/>
    <m/>
    <s v="FAC00015"/>
  </r>
  <r>
    <x v="1"/>
    <x v="0"/>
    <x v="4"/>
    <x v="4"/>
    <x v="0"/>
    <x v="2"/>
    <x v="4"/>
    <x v="0"/>
    <x v="1"/>
    <s v="Confirmed"/>
    <m/>
    <x v="5"/>
    <x v="3"/>
    <d v="2025-12-19T00:00:00"/>
    <s v="WANGEN"/>
    <s v=""/>
    <m/>
    <s v="FAC00016"/>
  </r>
  <r>
    <x v="1"/>
    <x v="1"/>
    <x v="4"/>
    <x v="4"/>
    <x v="2"/>
    <x v="2"/>
    <x v="4"/>
    <x v="1"/>
    <x v="2"/>
    <s v="Confirmed"/>
    <m/>
    <x v="5"/>
    <x v="3"/>
    <d v="2025-12-19T00:00:00"/>
    <s v="MFDSHR"/>
    <s v=""/>
    <m/>
    <s v="FAC00017"/>
  </r>
  <r>
    <x v="1"/>
    <x v="0"/>
    <x v="4"/>
    <x v="4"/>
    <x v="2"/>
    <x v="2"/>
    <x v="4"/>
    <x v="0"/>
    <x v="1"/>
    <s v="Confirmed"/>
    <m/>
    <x v="5"/>
    <x v="3"/>
    <d v="2025-12-19T00:00:00"/>
    <s v="WANGEN"/>
    <s v=""/>
    <m/>
    <s v="FAC00018"/>
  </r>
  <r>
    <x v="1"/>
    <x v="1"/>
    <x v="4"/>
    <x v="4"/>
    <x v="3"/>
    <x v="2"/>
    <x v="4"/>
    <x v="1"/>
    <x v="2"/>
    <s v="Confirmed"/>
    <m/>
    <x v="5"/>
    <x v="3"/>
    <d v="2025-12-19T00:00:00"/>
    <s v="MFDSHR"/>
    <s v=""/>
    <m/>
    <s v="FAC00019"/>
  </r>
  <r>
    <x v="1"/>
    <x v="0"/>
    <x v="4"/>
    <x v="4"/>
    <x v="3"/>
    <x v="2"/>
    <x v="4"/>
    <x v="0"/>
    <x v="1"/>
    <s v="Confirmed"/>
    <m/>
    <x v="5"/>
    <x v="3"/>
    <d v="2025-12-19T00:00:00"/>
    <s v="WANGEN"/>
    <s v=""/>
    <m/>
    <s v="FAC00020"/>
  </r>
  <r>
    <x v="1"/>
    <x v="1"/>
    <x v="4"/>
    <x v="4"/>
    <x v="4"/>
    <x v="2"/>
    <x v="4"/>
    <x v="1"/>
    <x v="2"/>
    <s v="Confirmed"/>
    <m/>
    <x v="5"/>
    <x v="3"/>
    <d v="2025-12-19T00:00:00"/>
    <s v="MFDSHR"/>
    <s v=""/>
    <m/>
    <s v="FAC00021"/>
  </r>
  <r>
    <x v="1"/>
    <x v="0"/>
    <x v="4"/>
    <x v="4"/>
    <x v="4"/>
    <x v="2"/>
    <x v="4"/>
    <x v="0"/>
    <x v="1"/>
    <s v="Confirmed"/>
    <m/>
    <x v="5"/>
    <x v="3"/>
    <d v="2025-12-19T00:00:00"/>
    <s v="WANGEN"/>
    <s v=""/>
    <m/>
    <s v="FAC00022"/>
  </r>
  <r>
    <x v="1"/>
    <x v="1"/>
    <x v="4"/>
    <x v="4"/>
    <x v="5"/>
    <x v="2"/>
    <x v="4"/>
    <x v="1"/>
    <x v="2"/>
    <s v="Confirmed"/>
    <m/>
    <x v="5"/>
    <x v="3"/>
    <d v="2025-12-19T00:00:00"/>
    <s v="MFDSHR"/>
    <s v=""/>
    <m/>
    <s v="FAC00023"/>
  </r>
  <r>
    <x v="1"/>
    <x v="0"/>
    <x v="4"/>
    <x v="4"/>
    <x v="5"/>
    <x v="2"/>
    <x v="4"/>
    <x v="0"/>
    <x v="1"/>
    <s v="Confirmed"/>
    <m/>
    <x v="5"/>
    <x v="3"/>
    <d v="2025-12-19T00:00:00"/>
    <s v="WANGEN"/>
    <s v=""/>
    <m/>
    <s v="FAC00024"/>
  </r>
  <r>
    <x v="1"/>
    <x v="1"/>
    <x v="5"/>
    <x v="5"/>
    <x v="0"/>
    <x v="2"/>
    <x v="5"/>
    <x v="1"/>
    <x v="7"/>
    <s v="Canceled"/>
    <n v="1"/>
    <x v="7"/>
    <x v="4"/>
    <d v="2025-12-18T00:00:00"/>
    <s v="MFDDNW"/>
    <s v="SK 06/10: Confirmed that in EMC scope by Rana Dagher on 03.09"/>
    <s v="Cue Sheets, Line Ups and any other required documents as IFT team cannot leave the control room"/>
    <s v="FAC00025"/>
  </r>
  <r>
    <x v="1"/>
    <x v="1"/>
    <x v="5"/>
    <x v="5"/>
    <x v="1"/>
    <x v="2"/>
    <x v="5"/>
    <x v="1"/>
    <x v="7"/>
    <s v="Canceled"/>
    <n v="1"/>
    <x v="7"/>
    <x v="4"/>
    <d v="2025-12-18T00:00:00"/>
    <s v="MFDDNW"/>
    <s v="SK 06/10: Confirmed that in EMC scope by Rana Dagher on 03.09"/>
    <s v="Cue Sheets, Line Ups and any other required documents as IFT team cannot leave the control room"/>
    <s v="FAC00026"/>
  </r>
  <r>
    <x v="1"/>
    <x v="1"/>
    <x v="5"/>
    <x v="5"/>
    <x v="2"/>
    <x v="2"/>
    <x v="5"/>
    <x v="1"/>
    <x v="7"/>
    <s v="Canceled"/>
    <n v="1"/>
    <x v="7"/>
    <x v="4"/>
    <d v="2025-12-18T00:00:00"/>
    <s v="MFDDNW"/>
    <s v="SK 06/10: Confirmed that in EMC scope by Rana Dagher on 03.09"/>
    <s v="Cue Sheets, Line Ups and any other required documents as IFT team cannot leave the control room"/>
    <s v="FAC00027"/>
  </r>
  <r>
    <x v="1"/>
    <x v="1"/>
    <x v="5"/>
    <x v="5"/>
    <x v="3"/>
    <x v="2"/>
    <x v="5"/>
    <x v="1"/>
    <x v="7"/>
    <s v="Canceled"/>
    <n v="1"/>
    <x v="7"/>
    <x v="4"/>
    <d v="2025-12-20T00:00:00"/>
    <s v="MFDDNW"/>
    <s v="SK 06/10: Confirmed that in EMC scope by Rana Dagher on 03.09"/>
    <s v="Cue Sheets, Line Ups and any other required documents as IFT team cannot leave the control room"/>
    <s v="FAC00028"/>
  </r>
  <r>
    <x v="1"/>
    <x v="1"/>
    <x v="5"/>
    <x v="5"/>
    <x v="4"/>
    <x v="2"/>
    <x v="5"/>
    <x v="1"/>
    <x v="7"/>
    <s v="Canceled"/>
    <n v="1"/>
    <x v="7"/>
    <x v="4"/>
    <d v="2025-12-18T00:00:00"/>
    <s v="MFDDNW"/>
    <s v="SK 06/10: Confirmed that in EMC scope by Rana Dagher on 03.09"/>
    <s v="Cue Sheets, Line Ups and any other required documents as IFT team cannot leave the control room"/>
    <s v="FAC00029"/>
  </r>
  <r>
    <x v="1"/>
    <x v="1"/>
    <x v="5"/>
    <x v="5"/>
    <x v="5"/>
    <x v="2"/>
    <x v="5"/>
    <x v="1"/>
    <x v="7"/>
    <s v="Canceled"/>
    <n v="1"/>
    <x v="7"/>
    <x v="4"/>
    <d v="2025-12-18T00:00:00"/>
    <s v="MFDDNW"/>
    <s v="SK 06/10: Confirmed that in EMC scope by Rana Dagher on 03.09"/>
    <s v="Cue Sheets, Line Ups and any other required documents as IFT team cannot leave the control room"/>
    <s v="FAC00030"/>
  </r>
  <r>
    <x v="0"/>
    <x v="1"/>
    <x v="5"/>
    <x v="5"/>
    <x v="0"/>
    <x v="2"/>
    <x v="6"/>
    <x v="1"/>
    <x v="2"/>
    <s v="Confirmed"/>
    <m/>
    <x v="5"/>
    <x v="4"/>
    <d v="2025-12-25T00:00:00"/>
    <s v="MFDSHR"/>
    <s v="SK 06/10: General office device to be used"/>
    <s v="Maps, Routes, Signage and other required documents for Operations"/>
    <s v="FAC00031"/>
  </r>
  <r>
    <x v="0"/>
    <x v="1"/>
    <x v="5"/>
    <x v="5"/>
    <x v="1"/>
    <x v="2"/>
    <x v="6"/>
    <x v="1"/>
    <x v="2"/>
    <s v="Confirmed"/>
    <m/>
    <x v="5"/>
    <x v="4"/>
    <d v="2025-12-18T00:00:00"/>
    <s v="MFDSHR"/>
    <s v="SK 06/10: General office device to be used"/>
    <s v="Maps, Routes, Signage and other required documents for Operations"/>
    <s v="FAC00032"/>
  </r>
  <r>
    <x v="1"/>
    <x v="1"/>
    <x v="5"/>
    <x v="5"/>
    <x v="2"/>
    <x v="2"/>
    <x v="6"/>
    <x v="1"/>
    <x v="2"/>
    <s v="Confirmed"/>
    <m/>
    <x v="5"/>
    <x v="4"/>
    <d v="2025-12-18T00:00:00"/>
    <s v="MFDSHR"/>
    <s v="SK 06/10: General office device to be used"/>
    <s v="Maps, Routes, Signage and other required documents for Operations"/>
    <s v="FAC00033"/>
  </r>
  <r>
    <x v="1"/>
    <x v="1"/>
    <x v="5"/>
    <x v="5"/>
    <x v="3"/>
    <x v="2"/>
    <x v="6"/>
    <x v="1"/>
    <x v="2"/>
    <s v="Confirmed"/>
    <m/>
    <x v="5"/>
    <x v="4"/>
    <d v="2025-12-18T00:00:00"/>
    <s v="MFDSHR"/>
    <s v="SK 06/10: General office device to be used"/>
    <s v="Maps, Routes, Signage and other required documents for Operations"/>
    <s v="FAC00034"/>
  </r>
  <r>
    <x v="0"/>
    <x v="1"/>
    <x v="5"/>
    <x v="5"/>
    <x v="4"/>
    <x v="2"/>
    <x v="6"/>
    <x v="1"/>
    <x v="2"/>
    <s v="Confirmed"/>
    <m/>
    <x v="5"/>
    <x v="4"/>
    <d v="2025-12-18T00:00:00"/>
    <s v="MFDSHR"/>
    <s v="SK 06/10: General office device to be used"/>
    <s v="Maps, Routes, Signage and other required documents for Operations"/>
    <s v="FAC00035"/>
  </r>
  <r>
    <x v="0"/>
    <x v="1"/>
    <x v="5"/>
    <x v="5"/>
    <x v="5"/>
    <x v="2"/>
    <x v="6"/>
    <x v="1"/>
    <x v="2"/>
    <s v="Confirmed"/>
    <m/>
    <x v="5"/>
    <x v="4"/>
    <d v="2025-12-18T00:00:00"/>
    <s v="MFDSHR"/>
    <s v="SK 06/10: General office device to be used"/>
    <s v="Maps, Routes, Signage and other required documents for Operations"/>
    <s v="FAC00036"/>
  </r>
  <r>
    <x v="0"/>
    <x v="0"/>
    <x v="5"/>
    <x v="5"/>
    <x v="0"/>
    <x v="2"/>
    <x v="5"/>
    <x v="0"/>
    <x v="1"/>
    <s v="Confirmed"/>
    <m/>
    <x v="5"/>
    <x v="4"/>
    <d v="2025-12-18T00:00:00"/>
    <s v="WANGEN"/>
    <s v=""/>
    <s v="High speed internet coverage for  IFT control room"/>
    <s v="FAC00037"/>
  </r>
  <r>
    <x v="0"/>
    <x v="0"/>
    <x v="5"/>
    <x v="5"/>
    <x v="1"/>
    <x v="2"/>
    <x v="5"/>
    <x v="0"/>
    <x v="1"/>
    <s v="Confirmed"/>
    <m/>
    <x v="5"/>
    <x v="4"/>
    <d v="2025-12-18T00:00:00"/>
    <s v="WANGEN"/>
    <s v=""/>
    <s v="High speed internet coverage for  IFT control room"/>
    <s v="FAC00038"/>
  </r>
  <r>
    <x v="0"/>
    <x v="0"/>
    <x v="5"/>
    <x v="5"/>
    <x v="2"/>
    <x v="2"/>
    <x v="5"/>
    <x v="0"/>
    <x v="1"/>
    <s v="Confirmed"/>
    <m/>
    <x v="5"/>
    <x v="4"/>
    <d v="2025-12-18T00:00:00"/>
    <s v="WANGEN"/>
    <s v=""/>
    <s v="High speed internet coverage for  IFT control room"/>
    <s v="FAC00039"/>
  </r>
  <r>
    <x v="0"/>
    <x v="0"/>
    <x v="5"/>
    <x v="5"/>
    <x v="3"/>
    <x v="2"/>
    <x v="5"/>
    <x v="0"/>
    <x v="1"/>
    <s v="Confirmed"/>
    <m/>
    <x v="5"/>
    <x v="4"/>
    <d v="2025-12-18T00:00:00"/>
    <s v="WANGEN"/>
    <s v=""/>
    <s v="High speed internet coverage for  IFT control room"/>
    <s v="FAC00040"/>
  </r>
  <r>
    <x v="0"/>
    <x v="0"/>
    <x v="5"/>
    <x v="5"/>
    <x v="4"/>
    <x v="2"/>
    <x v="5"/>
    <x v="0"/>
    <x v="1"/>
    <s v="Confirmed"/>
    <m/>
    <x v="5"/>
    <x v="4"/>
    <d v="2025-12-18T00:00:00"/>
    <s v="WANGEN"/>
    <m/>
    <s v="High speed internet coverage for  IFT control room"/>
    <s v="FAC00041"/>
  </r>
  <r>
    <x v="0"/>
    <x v="0"/>
    <x v="5"/>
    <x v="5"/>
    <x v="5"/>
    <x v="2"/>
    <x v="5"/>
    <x v="0"/>
    <x v="1"/>
    <s v="Confirmed"/>
    <m/>
    <x v="5"/>
    <x v="4"/>
    <d v="2025-12-18T00:00:00"/>
    <s v="WANGEN"/>
    <s v=""/>
    <s v="High speed internet coverage for  IFT control room"/>
    <s v="FAC00042"/>
  </r>
  <r>
    <x v="0"/>
    <x v="0"/>
    <x v="5"/>
    <x v="5"/>
    <x v="0"/>
    <x v="2"/>
    <x v="6"/>
    <x v="0"/>
    <x v="1"/>
    <s v="Confirmed"/>
    <m/>
    <x v="5"/>
    <x v="4"/>
    <d v="2025-12-18T00:00:00"/>
    <s v="WANGEN"/>
    <s v=""/>
    <s v="High speed internet coverage for  IFT control room"/>
    <s v="FAC00043"/>
  </r>
  <r>
    <x v="0"/>
    <x v="0"/>
    <x v="5"/>
    <x v="5"/>
    <x v="0"/>
    <x v="2"/>
    <x v="7"/>
    <x v="0"/>
    <x v="1"/>
    <s v="Confirmed"/>
    <m/>
    <x v="5"/>
    <x v="4"/>
    <d v="2025-12-18T00:00:00"/>
    <s v="WANGEN"/>
    <s v=""/>
    <m/>
    <s v="FAC00044"/>
  </r>
  <r>
    <x v="1"/>
    <x v="0"/>
    <x v="5"/>
    <x v="5"/>
    <x v="0"/>
    <x v="2"/>
    <x v="8"/>
    <x v="0"/>
    <x v="1"/>
    <s v="Canceled"/>
    <n v="1"/>
    <x v="7"/>
    <x v="4"/>
    <d v="2025-12-18T00:00:00"/>
    <s v="WANGEN"/>
    <s v="SK 04.10: WiFi capacity is insufficient. "/>
    <m/>
    <s v="FAC00045"/>
  </r>
  <r>
    <x v="0"/>
    <x v="0"/>
    <x v="5"/>
    <x v="5"/>
    <x v="1"/>
    <x v="2"/>
    <x v="9"/>
    <x v="0"/>
    <x v="1"/>
    <s v="Confirmed"/>
    <m/>
    <x v="5"/>
    <x v="4"/>
    <d v="2025-12-18T00:00:00"/>
    <s v="WANGEN"/>
    <s v=""/>
    <m/>
    <s v="FAC00046"/>
  </r>
  <r>
    <x v="0"/>
    <x v="0"/>
    <x v="5"/>
    <x v="5"/>
    <x v="2"/>
    <x v="2"/>
    <x v="10"/>
    <x v="0"/>
    <x v="1"/>
    <s v="Confirmed"/>
    <m/>
    <x v="5"/>
    <x v="4"/>
    <d v="2025-12-18T00:00:00"/>
    <s v="WANGEN"/>
    <s v=""/>
    <m/>
    <s v="FAC00047"/>
  </r>
  <r>
    <x v="0"/>
    <x v="0"/>
    <x v="5"/>
    <x v="5"/>
    <x v="3"/>
    <x v="2"/>
    <x v="9"/>
    <x v="0"/>
    <x v="1"/>
    <s v="Confirmed"/>
    <m/>
    <x v="5"/>
    <x v="4"/>
    <d v="2025-12-18T00:00:00"/>
    <s v="WANGEN"/>
    <s v=""/>
    <m/>
    <s v="FAC00048"/>
  </r>
  <r>
    <x v="0"/>
    <x v="0"/>
    <x v="5"/>
    <x v="5"/>
    <x v="4"/>
    <x v="2"/>
    <x v="9"/>
    <x v="0"/>
    <x v="1"/>
    <s v="Confirmed"/>
    <m/>
    <x v="5"/>
    <x v="4"/>
    <d v="2025-12-18T00:00:00"/>
    <s v="WANGEN"/>
    <s v=""/>
    <m/>
    <s v="FAC00049"/>
  </r>
  <r>
    <x v="0"/>
    <x v="0"/>
    <x v="5"/>
    <x v="5"/>
    <x v="5"/>
    <x v="2"/>
    <x v="9"/>
    <x v="0"/>
    <x v="1"/>
    <s v="Confirmed"/>
    <m/>
    <x v="5"/>
    <x v="4"/>
    <d v="2025-12-18T00:00:00"/>
    <s v="WANGEN"/>
    <s v=""/>
    <m/>
    <s v="FAC00050"/>
  </r>
  <r>
    <x v="0"/>
    <x v="2"/>
    <x v="5"/>
    <x v="5"/>
    <x v="1"/>
    <x v="2"/>
    <x v="6"/>
    <x v="5"/>
    <x v="8"/>
    <s v="Confirmed"/>
    <m/>
    <x v="5"/>
    <x v="5"/>
    <d v="2025-12-18T00:00:00"/>
    <s v="TVLGIP"/>
    <s v="SK 04.10: Based on Service availability. Nice to have item"/>
    <m/>
    <s v="FAC00051"/>
  </r>
  <r>
    <x v="0"/>
    <x v="2"/>
    <x v="5"/>
    <x v="5"/>
    <x v="0"/>
    <x v="2"/>
    <x v="6"/>
    <x v="5"/>
    <x v="8"/>
    <s v="Confirmed"/>
    <m/>
    <x v="5"/>
    <x v="6"/>
    <d v="2025-12-18T00:00:00"/>
    <s v="TVLGIP"/>
    <s v="SK 04.10: Based on Service availability. Nice to have item"/>
    <m/>
    <s v="FAC00052"/>
  </r>
  <r>
    <x v="0"/>
    <x v="0"/>
    <x v="1"/>
    <x v="1"/>
    <x v="0"/>
    <x v="2"/>
    <x v="4"/>
    <x v="0"/>
    <x v="1"/>
    <s v="Confirmed"/>
    <m/>
    <x v="5"/>
    <x v="7"/>
    <d v="2025-12-31T00:00:00"/>
    <s v="WANGEN"/>
    <s v="SK 30/07: start date changed from 1 Jul to 1-Sep as per input from Apos"/>
    <m/>
    <s v="FAC00053"/>
  </r>
  <r>
    <x v="0"/>
    <x v="0"/>
    <x v="1"/>
    <x v="1"/>
    <x v="0"/>
    <x v="2"/>
    <x v="11"/>
    <x v="0"/>
    <x v="1"/>
    <s v="Confirmed"/>
    <m/>
    <x v="5"/>
    <x v="7"/>
    <d v="2025-12-31T00:00:00"/>
    <s v="WANGEN"/>
    <s v="SK 30/07: start date changed from 1 Jul to 1-Sep as per input from Apos"/>
    <m/>
    <s v="FAC00054"/>
  </r>
  <r>
    <x v="0"/>
    <x v="0"/>
    <x v="1"/>
    <x v="1"/>
    <x v="0"/>
    <x v="0"/>
    <x v="12"/>
    <x v="0"/>
    <x v="1"/>
    <s v="Confirmed"/>
    <n v="0"/>
    <x v="5"/>
    <x v="7"/>
    <d v="2025-12-31T00:00:00"/>
    <s v="WANGEN"/>
    <s v="SK 21/10: General LOC offices only"/>
    <m/>
    <s v="FAC00055"/>
  </r>
  <r>
    <x v="1"/>
    <x v="2"/>
    <x v="1"/>
    <x v="1"/>
    <x v="0"/>
    <x v="3"/>
    <x v="13"/>
    <x v="5"/>
    <x v="8"/>
    <s v="To Validate"/>
    <m/>
    <x v="5"/>
    <x v="8"/>
    <d v="2025-12-18T00:00:00"/>
    <s v="TVLGIP"/>
    <s v="SK 21/10: To Check with Venue if Available already"/>
    <m/>
    <s v="FAC00056"/>
  </r>
  <r>
    <x v="1"/>
    <x v="2"/>
    <x v="1"/>
    <x v="1"/>
    <x v="0"/>
    <x v="3"/>
    <x v="14"/>
    <x v="3"/>
    <x v="5"/>
    <s v="Confirmed"/>
    <m/>
    <x v="5"/>
    <x v="7"/>
    <d v="2025-12-21T00:00:00"/>
    <s v="TVLGSA"/>
    <s v=""/>
    <s v="Or projector if available on venue, please liaise with Stadium Authority."/>
    <s v="FAC00057"/>
  </r>
  <r>
    <x v="1"/>
    <x v="1"/>
    <x v="1"/>
    <x v="1"/>
    <x v="0"/>
    <x v="2"/>
    <x v="4"/>
    <x v="1"/>
    <x v="9"/>
    <s v="Confirmed"/>
    <m/>
    <x v="5"/>
    <x v="4"/>
    <d v="2025-12-21T00:00:00"/>
    <s v="MFDLNW"/>
    <s v=""/>
    <s v="This is for the use of all FAs that will be staying in the general office area."/>
    <s v="FAC00058"/>
  </r>
  <r>
    <x v="1"/>
    <x v="1"/>
    <x v="1"/>
    <x v="1"/>
    <x v="0"/>
    <x v="2"/>
    <x v="11"/>
    <x v="1"/>
    <x v="9"/>
    <s v="Confirmed"/>
    <m/>
    <x v="5"/>
    <x v="4"/>
    <d v="2025-12-21T00:00:00"/>
    <s v="MFDLNW"/>
    <s v=""/>
    <s v="This is for important documents related to the Venue Management."/>
    <s v="FAC00059"/>
  </r>
  <r>
    <x v="1"/>
    <x v="0"/>
    <x v="1"/>
    <x v="1"/>
    <x v="3"/>
    <x v="2"/>
    <x v="4"/>
    <x v="0"/>
    <x v="1"/>
    <s v="Confirmed"/>
    <m/>
    <x v="5"/>
    <x v="7"/>
    <d v="2025-12-31T00:00:00"/>
    <s v="WANGEN"/>
    <s v="SK 30/07: start date changed from 1 Jul to 1-Sep as per input from Apos"/>
    <m/>
    <s v="FAC00060"/>
  </r>
  <r>
    <x v="1"/>
    <x v="0"/>
    <x v="1"/>
    <x v="1"/>
    <x v="3"/>
    <x v="2"/>
    <x v="11"/>
    <x v="0"/>
    <x v="1"/>
    <s v="Confirmed"/>
    <m/>
    <x v="5"/>
    <x v="7"/>
    <d v="2025-12-31T00:00:00"/>
    <s v="WANGEN"/>
    <s v="SK 30/07: start date changed from 1 Jul to 1-Sep as per input from Apos"/>
    <m/>
    <s v="FAC00061"/>
  </r>
  <r>
    <x v="1"/>
    <x v="0"/>
    <x v="1"/>
    <x v="1"/>
    <x v="3"/>
    <x v="0"/>
    <x v="12"/>
    <x v="0"/>
    <x v="1"/>
    <s v="Confirmed"/>
    <m/>
    <x v="5"/>
    <x v="7"/>
    <d v="2025-12-31T00:00:00"/>
    <s v="WANGEN"/>
    <s v="SK 21/10: General LOC offices only"/>
    <m/>
    <s v="FAC00062"/>
  </r>
  <r>
    <x v="1"/>
    <x v="2"/>
    <x v="1"/>
    <x v="1"/>
    <x v="3"/>
    <x v="3"/>
    <x v="13"/>
    <x v="5"/>
    <x v="8"/>
    <s v="To Validate"/>
    <m/>
    <x v="5"/>
    <x v="8"/>
    <d v="2025-12-18T00:00:00"/>
    <s v="TVLGIP"/>
    <s v="SK 21/10: To Check with Venue if Available already"/>
    <m/>
    <s v="FAC00063"/>
  </r>
  <r>
    <x v="1"/>
    <x v="2"/>
    <x v="1"/>
    <x v="1"/>
    <x v="3"/>
    <x v="3"/>
    <x v="14"/>
    <x v="3"/>
    <x v="5"/>
    <s v="Confirmed"/>
    <m/>
    <x v="5"/>
    <x v="7"/>
    <d v="2025-12-21T00:00:00"/>
    <s v="TVLGSA"/>
    <s v=""/>
    <s v="Or projector if available on venue, please liaise with Stadium Authority."/>
    <s v="FAC00064"/>
  </r>
  <r>
    <x v="1"/>
    <x v="1"/>
    <x v="1"/>
    <x v="1"/>
    <x v="3"/>
    <x v="2"/>
    <x v="4"/>
    <x v="1"/>
    <x v="9"/>
    <s v="Confirmed"/>
    <m/>
    <x v="5"/>
    <x v="4"/>
    <d v="2025-12-21T00:00:00"/>
    <s v="MFDLNW"/>
    <s v=""/>
    <s v="This is for the use of all FAs that will be staying in the general office area."/>
    <s v="FAC00065"/>
  </r>
  <r>
    <x v="1"/>
    <x v="1"/>
    <x v="1"/>
    <x v="1"/>
    <x v="3"/>
    <x v="2"/>
    <x v="11"/>
    <x v="1"/>
    <x v="9"/>
    <s v="Confirmed"/>
    <m/>
    <x v="5"/>
    <x v="4"/>
    <d v="2025-12-21T00:00:00"/>
    <s v="MFDLNW"/>
    <s v=""/>
    <s v="This is for important documents related to the Venue Management."/>
    <s v="FAC00066"/>
  </r>
  <r>
    <x v="1"/>
    <x v="0"/>
    <x v="1"/>
    <x v="1"/>
    <x v="3"/>
    <x v="4"/>
    <x v="15"/>
    <x v="0"/>
    <x v="1"/>
    <s v="Confirmed"/>
    <m/>
    <x v="5"/>
    <x v="7"/>
    <d v="2025-12-31T00:00:00"/>
    <s v="WANGEN"/>
    <s v=""/>
    <s v="Please provide WiFi for external bldgs such as Admin Bldg and halls."/>
    <s v="FAC00067"/>
  </r>
  <r>
    <x v="0"/>
    <x v="0"/>
    <x v="1"/>
    <x v="1"/>
    <x v="1"/>
    <x v="2"/>
    <x v="4"/>
    <x v="0"/>
    <x v="1"/>
    <s v="Confirmed"/>
    <m/>
    <x v="5"/>
    <x v="7"/>
    <d v="2025-12-31T00:00:00"/>
    <s v="WANGEN"/>
    <s v="SK 30/07: start date changed from 1 Jul to 1-Sep as per input from Apos"/>
    <m/>
    <s v="FAC00068"/>
  </r>
  <r>
    <x v="0"/>
    <x v="0"/>
    <x v="1"/>
    <x v="1"/>
    <x v="1"/>
    <x v="2"/>
    <x v="11"/>
    <x v="0"/>
    <x v="1"/>
    <s v="Confirmed"/>
    <m/>
    <x v="5"/>
    <x v="7"/>
    <d v="2025-12-31T00:00:00"/>
    <s v="WANGEN"/>
    <s v="SK 30/07: start date changed from 1 Jul to 1-Sep as per input from Apos"/>
    <m/>
    <s v="FAC00069"/>
  </r>
  <r>
    <x v="0"/>
    <x v="0"/>
    <x v="1"/>
    <x v="1"/>
    <x v="1"/>
    <x v="0"/>
    <x v="12"/>
    <x v="0"/>
    <x v="1"/>
    <s v="Confirmed"/>
    <m/>
    <x v="5"/>
    <x v="7"/>
    <d v="2025-12-31T00:00:00"/>
    <s v="WANGEN"/>
    <s v="SK 21/10: General LOC offices only"/>
    <m/>
    <s v="FAC00070"/>
  </r>
  <r>
    <x v="0"/>
    <x v="2"/>
    <x v="1"/>
    <x v="1"/>
    <x v="1"/>
    <x v="3"/>
    <x v="13"/>
    <x v="5"/>
    <x v="8"/>
    <s v="To Validate"/>
    <m/>
    <x v="5"/>
    <x v="8"/>
    <d v="2025-12-18T00:00:00"/>
    <s v="TVLGIP"/>
    <s v="SK 21/10: To Check with Venue if Available already"/>
    <m/>
    <s v="FAC00071"/>
  </r>
  <r>
    <x v="0"/>
    <x v="2"/>
    <x v="1"/>
    <x v="1"/>
    <x v="1"/>
    <x v="3"/>
    <x v="14"/>
    <x v="3"/>
    <x v="5"/>
    <s v="Confirmed"/>
    <m/>
    <x v="5"/>
    <x v="7"/>
    <d v="2025-12-21T00:00:00"/>
    <s v="TVLGSA"/>
    <s v=""/>
    <s v="Or projector if available on venue, please liaise with Stadium Authority."/>
    <s v="FAC00072"/>
  </r>
  <r>
    <x v="0"/>
    <x v="1"/>
    <x v="1"/>
    <x v="1"/>
    <x v="1"/>
    <x v="2"/>
    <x v="4"/>
    <x v="1"/>
    <x v="9"/>
    <s v="Confirmed"/>
    <m/>
    <x v="5"/>
    <x v="4"/>
    <d v="2025-12-21T00:00:00"/>
    <s v="MFDLNW"/>
    <s v=""/>
    <s v="This is for the use of all FAs that will be staying in the general office area."/>
    <s v="FAC00073"/>
  </r>
  <r>
    <x v="0"/>
    <x v="1"/>
    <x v="1"/>
    <x v="1"/>
    <x v="1"/>
    <x v="2"/>
    <x v="11"/>
    <x v="1"/>
    <x v="9"/>
    <s v="Confirmed"/>
    <m/>
    <x v="5"/>
    <x v="4"/>
    <d v="2025-12-21T00:00:00"/>
    <s v="MFDLNW"/>
    <s v=""/>
    <s v="This is for important documents related to the Venue Management."/>
    <s v="FAC00074"/>
  </r>
  <r>
    <x v="0"/>
    <x v="0"/>
    <x v="1"/>
    <x v="1"/>
    <x v="2"/>
    <x v="2"/>
    <x v="4"/>
    <x v="0"/>
    <x v="1"/>
    <s v="Confirmed"/>
    <m/>
    <x v="5"/>
    <x v="7"/>
    <d v="2025-12-31T00:00:00"/>
    <s v="WANGEN"/>
    <s v="SK 30/07: start date changed from 1 Jul to 1-Sep as per input from Apos"/>
    <m/>
    <s v="FAC00075"/>
  </r>
  <r>
    <x v="0"/>
    <x v="0"/>
    <x v="1"/>
    <x v="1"/>
    <x v="2"/>
    <x v="2"/>
    <x v="11"/>
    <x v="0"/>
    <x v="1"/>
    <s v="Confirmed"/>
    <m/>
    <x v="5"/>
    <x v="7"/>
    <d v="2025-12-31T00:00:00"/>
    <s v="WANGEN"/>
    <s v="SK 30/07: start date changed from 1 Jul to 1-Sep as per input from Apos"/>
    <m/>
    <s v="FAC00076"/>
  </r>
  <r>
    <x v="0"/>
    <x v="0"/>
    <x v="1"/>
    <x v="1"/>
    <x v="2"/>
    <x v="0"/>
    <x v="12"/>
    <x v="0"/>
    <x v="1"/>
    <s v="Confirmed"/>
    <m/>
    <x v="5"/>
    <x v="7"/>
    <d v="2025-12-31T00:00:00"/>
    <s v="WANGEN"/>
    <s v="SK 21/10: General LOC offices only"/>
    <m/>
    <s v="FAC00077"/>
  </r>
  <r>
    <x v="0"/>
    <x v="2"/>
    <x v="1"/>
    <x v="1"/>
    <x v="2"/>
    <x v="3"/>
    <x v="13"/>
    <x v="5"/>
    <x v="8"/>
    <s v="To Validate"/>
    <m/>
    <x v="5"/>
    <x v="8"/>
    <d v="2025-12-18T00:00:00"/>
    <s v="TVLGIP"/>
    <s v="SK 21/10: To Check with Venue if Available already"/>
    <m/>
    <s v="FAC00078"/>
  </r>
  <r>
    <x v="0"/>
    <x v="2"/>
    <x v="1"/>
    <x v="1"/>
    <x v="2"/>
    <x v="3"/>
    <x v="14"/>
    <x v="3"/>
    <x v="5"/>
    <s v="Confirmed"/>
    <m/>
    <x v="5"/>
    <x v="7"/>
    <d v="2025-12-21T00:00:00"/>
    <s v="TVLGSA"/>
    <s v=""/>
    <s v="Or projector if available on venue, please liaise with Stadium Authority."/>
    <s v="FAC00079"/>
  </r>
  <r>
    <x v="1"/>
    <x v="1"/>
    <x v="1"/>
    <x v="1"/>
    <x v="2"/>
    <x v="2"/>
    <x v="4"/>
    <x v="1"/>
    <x v="9"/>
    <s v="Confirmed"/>
    <m/>
    <x v="5"/>
    <x v="4"/>
    <d v="2025-12-21T00:00:00"/>
    <s v="MFDLNW"/>
    <s v=""/>
    <s v="This is for the use of all FAs that will be staying in the general office area."/>
    <s v="FAC00080"/>
  </r>
  <r>
    <x v="1"/>
    <x v="1"/>
    <x v="1"/>
    <x v="1"/>
    <x v="2"/>
    <x v="2"/>
    <x v="11"/>
    <x v="1"/>
    <x v="9"/>
    <s v="Confirmed"/>
    <m/>
    <x v="5"/>
    <x v="4"/>
    <d v="2025-12-21T00:00:00"/>
    <s v="MFDLNW"/>
    <s v=""/>
    <s v="This is for important documents related to the Venue Management."/>
    <s v="FAC00081"/>
  </r>
  <r>
    <x v="0"/>
    <x v="0"/>
    <x v="1"/>
    <x v="1"/>
    <x v="2"/>
    <x v="4"/>
    <x v="15"/>
    <x v="0"/>
    <x v="1"/>
    <s v="Confirmed"/>
    <m/>
    <x v="5"/>
    <x v="7"/>
    <d v="2025-12-31T00:00:00"/>
    <s v="WANGEN"/>
    <s v=""/>
    <s v="Please provide WiFi for external bldgs (SSOC/ MOI, WKF/VOL Centre)."/>
    <s v="FAC00082"/>
  </r>
  <r>
    <x v="0"/>
    <x v="0"/>
    <x v="1"/>
    <x v="1"/>
    <x v="4"/>
    <x v="2"/>
    <x v="4"/>
    <x v="0"/>
    <x v="1"/>
    <s v="Confirmed"/>
    <m/>
    <x v="5"/>
    <x v="7"/>
    <d v="2025-12-31T00:00:00"/>
    <s v="WANGEN"/>
    <s v="SK 30/07: start date changed from 1 Jul to 1-Sep as per input from Apos"/>
    <m/>
    <s v="FAC00083"/>
  </r>
  <r>
    <x v="0"/>
    <x v="0"/>
    <x v="1"/>
    <x v="1"/>
    <x v="4"/>
    <x v="2"/>
    <x v="11"/>
    <x v="0"/>
    <x v="1"/>
    <s v="Confirmed"/>
    <m/>
    <x v="5"/>
    <x v="7"/>
    <d v="2025-12-31T00:00:00"/>
    <s v="WANGEN"/>
    <s v="SK 30/07: start date changed from 1 Jul to 1-Sep as per input from Apos"/>
    <m/>
    <s v="FAC00084"/>
  </r>
  <r>
    <x v="0"/>
    <x v="0"/>
    <x v="1"/>
    <x v="1"/>
    <x v="4"/>
    <x v="0"/>
    <x v="12"/>
    <x v="0"/>
    <x v="1"/>
    <s v="Confirmed"/>
    <m/>
    <x v="5"/>
    <x v="7"/>
    <d v="2025-12-31T00:00:00"/>
    <s v="WANGEN"/>
    <s v="SK 21/10: General LOC offices only"/>
    <m/>
    <s v="FAC00085"/>
  </r>
  <r>
    <x v="0"/>
    <x v="2"/>
    <x v="1"/>
    <x v="1"/>
    <x v="4"/>
    <x v="3"/>
    <x v="13"/>
    <x v="5"/>
    <x v="8"/>
    <s v="To Validate"/>
    <m/>
    <x v="5"/>
    <x v="8"/>
    <d v="2025-12-18T00:00:00"/>
    <s v="TVLGIP"/>
    <s v="SK 21/10: To Check with Venue if Available already"/>
    <m/>
    <s v="FAC00086"/>
  </r>
  <r>
    <x v="0"/>
    <x v="2"/>
    <x v="1"/>
    <x v="1"/>
    <x v="4"/>
    <x v="3"/>
    <x v="14"/>
    <x v="3"/>
    <x v="5"/>
    <s v="Confirmed"/>
    <m/>
    <x v="5"/>
    <x v="7"/>
    <d v="2025-12-21T00:00:00"/>
    <s v="TVLGSA"/>
    <s v=""/>
    <s v="Or projector if available on venue, please liaise with Stadium Authority."/>
    <s v="FAC00087"/>
  </r>
  <r>
    <x v="1"/>
    <x v="1"/>
    <x v="1"/>
    <x v="1"/>
    <x v="4"/>
    <x v="2"/>
    <x v="4"/>
    <x v="1"/>
    <x v="9"/>
    <s v="Confirmed"/>
    <m/>
    <x v="5"/>
    <x v="4"/>
    <d v="2025-12-21T00:00:00"/>
    <s v="MFDLNW"/>
    <s v=""/>
    <s v="This is for the use of all FAs that will be staying in the general office area."/>
    <s v="FAC00088"/>
  </r>
  <r>
    <x v="1"/>
    <x v="1"/>
    <x v="1"/>
    <x v="1"/>
    <x v="4"/>
    <x v="2"/>
    <x v="11"/>
    <x v="1"/>
    <x v="9"/>
    <s v="Confirmed"/>
    <m/>
    <x v="5"/>
    <x v="4"/>
    <d v="2025-12-21T00:00:00"/>
    <s v="MFDLNW"/>
    <s v=""/>
    <s v="This is for important documents related to the Venue Management."/>
    <s v="FAC00089"/>
  </r>
  <r>
    <x v="0"/>
    <x v="0"/>
    <x v="1"/>
    <x v="1"/>
    <x v="5"/>
    <x v="2"/>
    <x v="4"/>
    <x v="0"/>
    <x v="1"/>
    <s v="Confirmed"/>
    <m/>
    <x v="5"/>
    <x v="7"/>
    <d v="2025-12-31T00:00:00"/>
    <s v="WANGEN"/>
    <s v="SK 30/07: start date changed from 1 Jul to 1-Sep as per input from Apos"/>
    <m/>
    <s v="FAC00090"/>
  </r>
  <r>
    <x v="0"/>
    <x v="0"/>
    <x v="1"/>
    <x v="1"/>
    <x v="5"/>
    <x v="2"/>
    <x v="11"/>
    <x v="0"/>
    <x v="1"/>
    <s v="Confirmed"/>
    <m/>
    <x v="5"/>
    <x v="7"/>
    <d v="2025-12-31T00:00:00"/>
    <s v="WANGEN"/>
    <s v="SK 30/07: start date changed from 1 Jul to 1-Sep as per input from Apos"/>
    <m/>
    <s v="FAC00091"/>
  </r>
  <r>
    <x v="0"/>
    <x v="0"/>
    <x v="1"/>
    <x v="1"/>
    <x v="5"/>
    <x v="0"/>
    <x v="12"/>
    <x v="0"/>
    <x v="1"/>
    <s v="Confirmed"/>
    <m/>
    <x v="5"/>
    <x v="7"/>
    <d v="2025-12-31T00:00:00"/>
    <s v="WANGEN"/>
    <s v="SK 21/10: General LOC offices only"/>
    <m/>
    <s v="FAC00092"/>
  </r>
  <r>
    <x v="0"/>
    <x v="2"/>
    <x v="1"/>
    <x v="1"/>
    <x v="5"/>
    <x v="3"/>
    <x v="13"/>
    <x v="5"/>
    <x v="8"/>
    <s v="To Validate"/>
    <m/>
    <x v="5"/>
    <x v="8"/>
    <d v="2025-12-18T00:00:00"/>
    <s v="TVLGIP"/>
    <s v="SK 21/10: To Check with Venue if Available already"/>
    <m/>
    <s v="FAC00093"/>
  </r>
  <r>
    <x v="0"/>
    <x v="2"/>
    <x v="1"/>
    <x v="1"/>
    <x v="5"/>
    <x v="3"/>
    <x v="14"/>
    <x v="3"/>
    <x v="5"/>
    <s v="Confirmed"/>
    <m/>
    <x v="5"/>
    <x v="7"/>
    <d v="2025-12-21T00:00:00"/>
    <s v="TVLGSA"/>
    <s v=""/>
    <s v="Or projector if available on venue, please liaise with Stadium Authority."/>
    <s v="FAC00094"/>
  </r>
  <r>
    <x v="0"/>
    <x v="1"/>
    <x v="1"/>
    <x v="1"/>
    <x v="5"/>
    <x v="2"/>
    <x v="4"/>
    <x v="1"/>
    <x v="9"/>
    <s v="Confirmed"/>
    <m/>
    <x v="5"/>
    <x v="4"/>
    <d v="2025-12-21T00:00:00"/>
    <s v="MFDLNW"/>
    <s v=""/>
    <s v="This is for the use of all FAs that will be staying in the general office area."/>
    <s v="FAC00095"/>
  </r>
  <r>
    <x v="1"/>
    <x v="1"/>
    <x v="1"/>
    <x v="1"/>
    <x v="5"/>
    <x v="2"/>
    <x v="11"/>
    <x v="1"/>
    <x v="9"/>
    <s v="Confirmed"/>
    <m/>
    <x v="5"/>
    <x v="4"/>
    <d v="2025-12-21T00:00:00"/>
    <s v="MFDLNW"/>
    <s v=""/>
    <s v="This is for important documents related to the Venue Management."/>
    <s v="FAC00096"/>
  </r>
  <r>
    <x v="0"/>
    <x v="0"/>
    <x v="1"/>
    <x v="1"/>
    <x v="6"/>
    <x v="5"/>
    <x v="16"/>
    <x v="0"/>
    <x v="1"/>
    <s v="Confirmed"/>
    <m/>
    <x v="5"/>
    <x v="9"/>
    <d v="2025-12-21T00:00:00"/>
    <s v="WANGEN"/>
    <s v=""/>
    <s v="Offices located in mezzanine floor."/>
    <s v="FAC00097"/>
  </r>
  <r>
    <x v="0"/>
    <x v="0"/>
    <x v="1"/>
    <x v="1"/>
    <x v="6"/>
    <x v="5"/>
    <x v="4"/>
    <x v="0"/>
    <x v="1"/>
    <s v="Confirmed"/>
    <m/>
    <x v="5"/>
    <x v="9"/>
    <d v="2025-12-21T00:00:00"/>
    <s v="WANGEN"/>
    <s v=""/>
    <m/>
    <s v="FAC00098"/>
  </r>
  <r>
    <x v="0"/>
    <x v="2"/>
    <x v="1"/>
    <x v="1"/>
    <x v="6"/>
    <x v="5"/>
    <x v="4"/>
    <x v="5"/>
    <x v="8"/>
    <s v="Confirmed"/>
    <m/>
    <x v="5"/>
    <x v="9"/>
    <d v="2025-12-21T00:00:00"/>
    <s v="TVLGSA"/>
    <s v=""/>
    <s v="Offices located in mezzanine floor."/>
    <s v="FAC00099"/>
  </r>
  <r>
    <x v="1"/>
    <x v="1"/>
    <x v="1"/>
    <x v="1"/>
    <x v="6"/>
    <x v="5"/>
    <x v="4"/>
    <x v="1"/>
    <x v="9"/>
    <s v="Confirmed"/>
    <m/>
    <x v="5"/>
    <x v="9"/>
    <d v="2025-12-21T00:00:00"/>
    <s v="MFDLNW"/>
    <s v=""/>
    <s v="This is for the use of all FAs and VUM located in the 1st floor offices."/>
    <s v="FAC00100"/>
  </r>
  <r>
    <x v="0"/>
    <x v="2"/>
    <x v="1"/>
    <x v="1"/>
    <x v="6"/>
    <x v="5"/>
    <x v="17"/>
    <x v="5"/>
    <x v="8"/>
    <s v="Confirmed"/>
    <m/>
    <x v="5"/>
    <x v="9"/>
    <d v="2025-12-21T00:00:00"/>
    <s v="TVLGIP"/>
    <s v=""/>
    <m/>
    <s v="FAC00101"/>
  </r>
  <r>
    <x v="1"/>
    <x v="1"/>
    <x v="2"/>
    <x v="2"/>
    <x v="0"/>
    <x v="3"/>
    <x v="18"/>
    <x v="2"/>
    <x v="3"/>
    <s v="Confirmed"/>
    <n v="3"/>
    <x v="6"/>
    <x v="4"/>
    <d v="2025-12-18T00:00:00"/>
    <s v="LAPOPS"/>
    <s v="16.09 MI: Quantity changed from 3 to 2"/>
    <s v="Meal redemption process"/>
    <s v="FAC00102"/>
  </r>
  <r>
    <x v="1"/>
    <x v="1"/>
    <x v="2"/>
    <x v="2"/>
    <x v="0"/>
    <x v="3"/>
    <x v="18"/>
    <x v="2"/>
    <x v="4"/>
    <s v="Confirmed"/>
    <n v="3"/>
    <x v="6"/>
    <x v="4"/>
    <d v="2025-12-18T00:00:00"/>
    <s v="ACCBAR"/>
    <s v="16.09 MI: Quantity changed from 3 to 2"/>
    <s v="Meal redemption process"/>
    <s v="FAC00103"/>
  </r>
  <r>
    <x v="1"/>
    <x v="1"/>
    <x v="2"/>
    <x v="2"/>
    <x v="0"/>
    <x v="3"/>
    <x v="19"/>
    <x v="2"/>
    <x v="3"/>
    <s v="Canceled"/>
    <n v="3"/>
    <x v="7"/>
    <x v="4"/>
    <d v="2025-12-18T00:00:00"/>
    <s v="LAPOPS"/>
    <s v="16.09 MI: Scope removed"/>
    <s v="Meal redemption process"/>
    <s v="FAC00104"/>
  </r>
  <r>
    <x v="1"/>
    <x v="1"/>
    <x v="2"/>
    <x v="2"/>
    <x v="0"/>
    <x v="3"/>
    <x v="19"/>
    <x v="2"/>
    <x v="4"/>
    <s v="Canceled"/>
    <n v="3"/>
    <x v="7"/>
    <x v="4"/>
    <d v="2025-12-18T00:00:00"/>
    <s v="ACCBAR"/>
    <s v="16.09 MI: Scope removed"/>
    <s v="Meal redemption process"/>
    <s v="FAC00105"/>
  </r>
  <r>
    <x v="1"/>
    <x v="0"/>
    <x v="2"/>
    <x v="2"/>
    <x v="0"/>
    <x v="3"/>
    <x v="19"/>
    <x v="0"/>
    <x v="1"/>
    <s v="Canceled"/>
    <n v="1"/>
    <x v="7"/>
    <x v="4"/>
    <d v="2025-12-18T00:00:00"/>
    <s v="WANGEN"/>
    <s v="16.09 MI: Scope removed"/>
    <s v="WIFI connection "/>
    <s v="FAC00106"/>
  </r>
  <r>
    <x v="1"/>
    <x v="1"/>
    <x v="2"/>
    <x v="2"/>
    <x v="1"/>
    <x v="3"/>
    <x v="18"/>
    <x v="2"/>
    <x v="3"/>
    <s v="Confirmed"/>
    <n v="3"/>
    <x v="6"/>
    <x v="4"/>
    <d v="2025-12-18T00:00:00"/>
    <s v="LAPOPS"/>
    <s v="16.09 MI: Quantity changed from 3 to 2"/>
    <s v="Meal redemption process"/>
    <s v="FAC00107"/>
  </r>
  <r>
    <x v="1"/>
    <x v="1"/>
    <x v="2"/>
    <x v="2"/>
    <x v="1"/>
    <x v="3"/>
    <x v="18"/>
    <x v="2"/>
    <x v="4"/>
    <s v="Confirmed"/>
    <n v="3"/>
    <x v="6"/>
    <x v="4"/>
    <d v="2025-12-18T00:00:00"/>
    <s v="ACCBAR"/>
    <s v="16.09 MI: Quantity changed from 3 to 2"/>
    <s v="Meal redemption process"/>
    <s v="FAC00108"/>
  </r>
  <r>
    <x v="1"/>
    <x v="1"/>
    <x v="2"/>
    <x v="2"/>
    <x v="1"/>
    <x v="3"/>
    <x v="19"/>
    <x v="2"/>
    <x v="3"/>
    <s v="Canceled"/>
    <n v="3"/>
    <x v="7"/>
    <x v="4"/>
    <d v="2025-12-18T00:00:00"/>
    <s v="LAPOPS"/>
    <s v="16.09 MI: Scope removed"/>
    <s v="Meal redemption process"/>
    <s v="FAC00109"/>
  </r>
  <r>
    <x v="1"/>
    <x v="1"/>
    <x v="2"/>
    <x v="2"/>
    <x v="1"/>
    <x v="3"/>
    <x v="19"/>
    <x v="2"/>
    <x v="4"/>
    <s v="Canceled"/>
    <n v="3"/>
    <x v="7"/>
    <x v="4"/>
    <d v="2025-12-18T00:00:00"/>
    <s v="ACCBAR"/>
    <s v="16.09 MI: Scope removed"/>
    <s v="Meal redemption process"/>
    <s v="FAC00110"/>
  </r>
  <r>
    <x v="1"/>
    <x v="0"/>
    <x v="2"/>
    <x v="2"/>
    <x v="1"/>
    <x v="3"/>
    <x v="19"/>
    <x v="0"/>
    <x v="1"/>
    <s v="Canceled"/>
    <n v="1"/>
    <x v="7"/>
    <x v="4"/>
    <d v="2025-12-18T00:00:00"/>
    <s v="WANGEN"/>
    <s v="16.09 MI: Scope removed"/>
    <s v="WIFI connection "/>
    <s v="FAC00111"/>
  </r>
  <r>
    <x v="1"/>
    <x v="1"/>
    <x v="2"/>
    <x v="2"/>
    <x v="2"/>
    <x v="3"/>
    <x v="18"/>
    <x v="2"/>
    <x v="3"/>
    <s v="Confirmed"/>
    <m/>
    <x v="6"/>
    <x v="4"/>
    <d v="2025-12-18T00:00:00"/>
    <s v="LAPOPS"/>
    <s v=""/>
    <s v="Meal redemption process"/>
    <s v="FAC00112"/>
  </r>
  <r>
    <x v="1"/>
    <x v="1"/>
    <x v="2"/>
    <x v="2"/>
    <x v="2"/>
    <x v="3"/>
    <x v="18"/>
    <x v="2"/>
    <x v="4"/>
    <s v="Confirmed"/>
    <m/>
    <x v="6"/>
    <x v="4"/>
    <d v="2025-12-18T00:00:00"/>
    <s v="ACCBAR"/>
    <s v=""/>
    <s v="Meal redemption process"/>
    <s v="FAC00113"/>
  </r>
  <r>
    <x v="1"/>
    <x v="1"/>
    <x v="2"/>
    <x v="2"/>
    <x v="2"/>
    <x v="3"/>
    <x v="19"/>
    <x v="2"/>
    <x v="3"/>
    <s v="Canceled"/>
    <n v="2"/>
    <x v="7"/>
    <x v="4"/>
    <d v="2025-12-18T00:00:00"/>
    <s v="LAPOPS"/>
    <s v="16.09 MI: Scope removed"/>
    <s v="Meal redemption process"/>
    <s v="FAC00114"/>
  </r>
  <r>
    <x v="1"/>
    <x v="1"/>
    <x v="2"/>
    <x v="2"/>
    <x v="2"/>
    <x v="3"/>
    <x v="19"/>
    <x v="2"/>
    <x v="4"/>
    <s v="Canceled"/>
    <n v="2"/>
    <x v="7"/>
    <x v="4"/>
    <d v="2025-12-18T00:00:00"/>
    <s v="ACCBAR"/>
    <s v="16.09 MI: Scope removed"/>
    <s v="Meal redemption process"/>
    <s v="FAC00115"/>
  </r>
  <r>
    <x v="1"/>
    <x v="0"/>
    <x v="2"/>
    <x v="2"/>
    <x v="2"/>
    <x v="3"/>
    <x v="19"/>
    <x v="0"/>
    <x v="1"/>
    <s v="Canceled"/>
    <n v="1"/>
    <x v="7"/>
    <x v="4"/>
    <d v="2025-12-18T00:00:00"/>
    <s v="WANGEN"/>
    <s v="16.09 MI: Scope removed"/>
    <s v="WIFI connection "/>
    <s v="FAC00116"/>
  </r>
  <r>
    <x v="1"/>
    <x v="1"/>
    <x v="2"/>
    <x v="2"/>
    <x v="3"/>
    <x v="3"/>
    <x v="18"/>
    <x v="2"/>
    <x v="3"/>
    <s v="Confirmed"/>
    <m/>
    <x v="6"/>
    <x v="4"/>
    <d v="2025-12-18T00:00:00"/>
    <s v="LAPOPS"/>
    <s v=""/>
    <s v="Meal redemption process"/>
    <s v="FAC00117"/>
  </r>
  <r>
    <x v="1"/>
    <x v="1"/>
    <x v="2"/>
    <x v="2"/>
    <x v="3"/>
    <x v="3"/>
    <x v="18"/>
    <x v="2"/>
    <x v="4"/>
    <s v="Confirmed"/>
    <m/>
    <x v="6"/>
    <x v="4"/>
    <d v="2025-12-18T00:00:00"/>
    <s v="ACCBAR"/>
    <s v=""/>
    <s v="Meal redemption process"/>
    <s v="FAC00118"/>
  </r>
  <r>
    <x v="1"/>
    <x v="1"/>
    <x v="2"/>
    <x v="2"/>
    <x v="3"/>
    <x v="3"/>
    <x v="19"/>
    <x v="2"/>
    <x v="3"/>
    <s v="Canceled"/>
    <n v="2"/>
    <x v="7"/>
    <x v="4"/>
    <d v="2025-12-18T00:00:00"/>
    <s v="LAPOPS"/>
    <s v="16.09 MI: Scope removed"/>
    <s v="Meal redemption process"/>
    <s v="FAC00119"/>
  </r>
  <r>
    <x v="1"/>
    <x v="1"/>
    <x v="2"/>
    <x v="2"/>
    <x v="3"/>
    <x v="3"/>
    <x v="19"/>
    <x v="2"/>
    <x v="4"/>
    <s v="Canceled"/>
    <n v="2"/>
    <x v="7"/>
    <x v="4"/>
    <d v="2025-12-18T00:00:00"/>
    <s v="ACCBAR"/>
    <s v="16.09 MI: Scope removed"/>
    <s v="Meal redemption process"/>
    <s v="FAC00120"/>
  </r>
  <r>
    <x v="1"/>
    <x v="0"/>
    <x v="2"/>
    <x v="2"/>
    <x v="3"/>
    <x v="3"/>
    <x v="19"/>
    <x v="0"/>
    <x v="1"/>
    <s v="Canceled"/>
    <n v="1"/>
    <x v="7"/>
    <x v="4"/>
    <d v="2025-12-18T00:00:00"/>
    <s v="WANGEN"/>
    <s v="16.09 MI: Scope removed"/>
    <s v="WIFI connection "/>
    <s v="FAC00121"/>
  </r>
  <r>
    <x v="1"/>
    <x v="1"/>
    <x v="2"/>
    <x v="2"/>
    <x v="4"/>
    <x v="3"/>
    <x v="18"/>
    <x v="2"/>
    <x v="3"/>
    <s v="Confirmed"/>
    <m/>
    <x v="6"/>
    <x v="4"/>
    <d v="2025-12-18T00:00:00"/>
    <s v="LAPOPS"/>
    <s v=""/>
    <s v="Meal redemption process"/>
    <s v="FAC00122"/>
  </r>
  <r>
    <x v="1"/>
    <x v="1"/>
    <x v="2"/>
    <x v="2"/>
    <x v="4"/>
    <x v="3"/>
    <x v="18"/>
    <x v="2"/>
    <x v="4"/>
    <s v="Confirmed"/>
    <m/>
    <x v="6"/>
    <x v="4"/>
    <d v="2025-12-18T00:00:00"/>
    <s v="ACCBAR"/>
    <s v=""/>
    <s v="Meal redemption process"/>
    <s v="FAC00123"/>
  </r>
  <r>
    <x v="1"/>
    <x v="1"/>
    <x v="2"/>
    <x v="2"/>
    <x v="4"/>
    <x v="3"/>
    <x v="19"/>
    <x v="2"/>
    <x v="3"/>
    <s v="Canceled"/>
    <n v="2"/>
    <x v="7"/>
    <x v="4"/>
    <d v="2025-12-18T00:00:00"/>
    <s v="LAPOPS"/>
    <s v="16.09 MI: Scope removed"/>
    <s v="Meal redemption process"/>
    <s v="FAC00124"/>
  </r>
  <r>
    <x v="1"/>
    <x v="1"/>
    <x v="2"/>
    <x v="2"/>
    <x v="4"/>
    <x v="3"/>
    <x v="19"/>
    <x v="2"/>
    <x v="4"/>
    <s v="Canceled"/>
    <n v="2"/>
    <x v="7"/>
    <x v="4"/>
    <d v="2025-12-18T00:00:00"/>
    <s v="ACCBAR"/>
    <s v="16.09 MI: Scope removed"/>
    <s v="Meal redemption process"/>
    <s v="FAC00125"/>
  </r>
  <r>
    <x v="1"/>
    <x v="0"/>
    <x v="2"/>
    <x v="2"/>
    <x v="4"/>
    <x v="3"/>
    <x v="19"/>
    <x v="0"/>
    <x v="1"/>
    <s v="Canceled"/>
    <n v="1"/>
    <x v="7"/>
    <x v="4"/>
    <d v="2025-12-18T00:00:00"/>
    <s v="WANGEN"/>
    <s v="16.09 MI: Scope removed"/>
    <s v="WIFI connection "/>
    <s v="FAC00126"/>
  </r>
  <r>
    <x v="1"/>
    <x v="1"/>
    <x v="2"/>
    <x v="2"/>
    <x v="5"/>
    <x v="3"/>
    <x v="18"/>
    <x v="2"/>
    <x v="3"/>
    <s v="Confirmed"/>
    <m/>
    <x v="6"/>
    <x v="4"/>
    <d v="2025-12-18T00:00:00"/>
    <s v="LAPOPS"/>
    <s v="Laptop will be moved from Aspire to KIS as per Catering Team"/>
    <s v="Meal redemption process"/>
    <s v="FAC00127"/>
  </r>
  <r>
    <x v="1"/>
    <x v="1"/>
    <x v="2"/>
    <x v="2"/>
    <x v="5"/>
    <x v="3"/>
    <x v="18"/>
    <x v="2"/>
    <x v="4"/>
    <s v="Confirmed"/>
    <m/>
    <x v="6"/>
    <x v="4"/>
    <d v="2025-12-18T00:00:00"/>
    <s v="ACCBAR"/>
    <s v=""/>
    <s v="Meal redemption process"/>
    <s v="FAC00128"/>
  </r>
  <r>
    <x v="1"/>
    <x v="1"/>
    <x v="2"/>
    <x v="2"/>
    <x v="5"/>
    <x v="3"/>
    <x v="19"/>
    <x v="2"/>
    <x v="3"/>
    <s v="Canceled"/>
    <n v="2"/>
    <x v="7"/>
    <x v="4"/>
    <d v="2025-12-18T00:00:00"/>
    <s v="LAPOPS"/>
    <s v="16.09 MI: Scope removed"/>
    <s v="Meal redemption process"/>
    <s v="FAC00129"/>
  </r>
  <r>
    <x v="1"/>
    <x v="1"/>
    <x v="2"/>
    <x v="2"/>
    <x v="5"/>
    <x v="3"/>
    <x v="19"/>
    <x v="2"/>
    <x v="4"/>
    <s v="Canceled"/>
    <n v="2"/>
    <x v="7"/>
    <x v="4"/>
    <d v="2025-12-18T00:00:00"/>
    <s v="ACCBAR"/>
    <s v="16.09 MI: Scope removed"/>
    <s v="Meal redemption process"/>
    <s v="FAC00130"/>
  </r>
  <r>
    <x v="1"/>
    <x v="0"/>
    <x v="2"/>
    <x v="2"/>
    <x v="5"/>
    <x v="3"/>
    <x v="19"/>
    <x v="0"/>
    <x v="1"/>
    <s v="Canceled"/>
    <n v="1"/>
    <x v="7"/>
    <x v="4"/>
    <d v="2025-12-18T00:00:00"/>
    <s v="WANGEN"/>
    <s v="16.09 MI: Scope removed"/>
    <s v="WIFI connection "/>
    <s v="FAC00131"/>
  </r>
  <r>
    <x v="1"/>
    <x v="1"/>
    <x v="3"/>
    <x v="3"/>
    <x v="6"/>
    <x v="1"/>
    <x v="3"/>
    <x v="1"/>
    <x v="2"/>
    <s v="Canceled"/>
    <n v="1"/>
    <x v="7"/>
    <x v="2"/>
    <d v="2025-12-31T00:00:00"/>
    <s v="MFDSHR"/>
    <s v="SK 17.09: Removed since located at Al Bidda. Merged with FAC01055"/>
    <s v="Not required if  LCC will be located in Al Bidda"/>
    <s v="FAC00312"/>
  </r>
  <r>
    <x v="1"/>
    <x v="3"/>
    <x v="3"/>
    <x v="3"/>
    <x v="6"/>
    <x v="1"/>
    <x v="3"/>
    <x v="6"/>
    <x v="10"/>
    <s v="Confirmed"/>
    <m/>
    <x v="5"/>
    <x v="10"/>
    <d v="2025-12-31T00:00:00"/>
    <s v="SIMDAT"/>
    <s v="MI 14.10: CR002 change request to provide 1 SIM card "/>
    <m/>
    <m/>
  </r>
  <r>
    <x v="1"/>
    <x v="0"/>
    <x v="6"/>
    <x v="6"/>
    <x v="6"/>
    <x v="1"/>
    <x v="1"/>
    <x v="0"/>
    <x v="1"/>
    <s v="Confirmed"/>
    <m/>
    <x v="8"/>
    <x v="0"/>
    <d v="2025-12-18T00:00:00"/>
    <s v="WANGEN"/>
    <s v=""/>
    <s v="for communications FA, Stakeholder FA, Media relations FA"/>
    <s v="FAC00343"/>
  </r>
  <r>
    <x v="1"/>
    <x v="1"/>
    <x v="6"/>
    <x v="6"/>
    <x v="6"/>
    <x v="1"/>
    <x v="1"/>
    <x v="1"/>
    <x v="2"/>
    <s v="Confirmed"/>
    <m/>
    <x v="5"/>
    <x v="0"/>
    <d v="2025-12-18T00:00:00"/>
    <s v="MFDSHR"/>
    <s v=""/>
    <s v="for communications FA, Stakeholder FA, Media relations FA"/>
    <s v="FAC00344"/>
  </r>
  <r>
    <x v="1"/>
    <x v="1"/>
    <x v="7"/>
    <x v="7"/>
    <x v="6"/>
    <x v="1"/>
    <x v="1"/>
    <x v="2"/>
    <x v="3"/>
    <s v="Confirmed"/>
    <m/>
    <x v="9"/>
    <x v="1"/>
    <d v="2025-12-31T00:00:00"/>
    <s v="LAPOPS"/>
    <s v="SK 05:10: To validate requirements if needed-"/>
    <s v="JM 6:10 I contacted them they accepted to ask for sc laptop"/>
    <s v="FAC00687"/>
  </r>
  <r>
    <x v="1"/>
    <x v="1"/>
    <x v="7"/>
    <x v="7"/>
    <x v="6"/>
    <x v="1"/>
    <x v="1"/>
    <x v="1"/>
    <x v="2"/>
    <s v="Confirmed"/>
    <m/>
    <x v="5"/>
    <x v="1"/>
    <d v="2025-12-31T00:00:00"/>
    <s v="MFDDNW"/>
    <s v="SK 05/10: dedicated printer changed to access only - "/>
    <s v="A printer is required for high-volume ticket printing for the Shukran Program, with paper available at all times.JM 6:10 they are fine with A3 access"/>
    <s v="FAC00688"/>
  </r>
  <r>
    <x v="0"/>
    <x v="0"/>
    <x v="8"/>
    <x v="8"/>
    <x v="0"/>
    <x v="6"/>
    <x v="20"/>
    <x v="4"/>
    <x v="6"/>
    <s v="Confirmed"/>
    <m/>
    <x v="5"/>
    <x v="11"/>
    <d v="2025-12-20T00:00:00"/>
    <s v="WRDGEN"/>
    <s v="SK 15/10: renamed as per alignment with BRO"/>
    <m/>
    <s v="FAC00137"/>
  </r>
  <r>
    <x v="0"/>
    <x v="0"/>
    <x v="8"/>
    <x v="8"/>
    <x v="0"/>
    <x v="6"/>
    <x v="20"/>
    <x v="4"/>
    <x v="6"/>
    <s v="Confirmed"/>
    <n v="5"/>
    <x v="9"/>
    <x v="11"/>
    <d v="2025-12-20T00:00:00"/>
    <s v="WRDSPE"/>
    <s v="SK 15/10: renamed and reduced as per alignment with BRO_x000a_SK 19/11: to be changed to Network - WIRED - Stream in case of BRO Request"/>
    <s v="50 MBPS, for streaming"/>
    <s v="FAC00138"/>
  </r>
  <r>
    <x v="0"/>
    <x v="0"/>
    <x v="8"/>
    <x v="8"/>
    <x v="0"/>
    <x v="6"/>
    <x v="21"/>
    <x v="4"/>
    <x v="6"/>
    <s v="Confirmed"/>
    <n v="6"/>
    <x v="9"/>
    <x v="11"/>
    <d v="2025-12-20T00:00:00"/>
    <s v="WRDGEN"/>
    <s v="SK 15/10: as per alignment with BRO"/>
    <s v="20 mbps dedicated, IP codec"/>
    <s v="FAC00139"/>
  </r>
  <r>
    <x v="0"/>
    <x v="0"/>
    <x v="8"/>
    <x v="8"/>
    <x v="0"/>
    <x v="2"/>
    <x v="22"/>
    <x v="4"/>
    <x v="6"/>
    <s v="Confirmed"/>
    <m/>
    <x v="6"/>
    <x v="11"/>
    <d v="2025-12-20T00:00:00"/>
    <s v="WRDGEN"/>
    <s v="SK 15/10: provision in alignment with BRO Manager based on WiFi coverage"/>
    <m/>
    <s v="FAC00140"/>
  </r>
  <r>
    <x v="1"/>
    <x v="0"/>
    <x v="8"/>
    <x v="8"/>
    <x v="0"/>
    <x v="2"/>
    <x v="22"/>
    <x v="4"/>
    <x v="11"/>
    <s v="Canceled"/>
    <n v="1"/>
    <x v="7"/>
    <x v="11"/>
    <d v="2025-12-20T00:00:00"/>
    <s v="WRDSPE"/>
    <s v="SK 15/10: in alignment with BRO"/>
    <s v="Technical FTI"/>
    <s v="FAC00141"/>
  </r>
  <r>
    <x v="0"/>
    <x v="0"/>
    <x v="8"/>
    <x v="8"/>
    <x v="0"/>
    <x v="2"/>
    <x v="23"/>
    <x v="4"/>
    <x v="6"/>
    <s v="Confirmed"/>
    <n v="6"/>
    <x v="6"/>
    <x v="11"/>
    <d v="2025-12-20T00:00:00"/>
    <s v="WRDGEN"/>
    <s v="SK 15/10: based on legacy in alignment with BRO Manager based on WiFi coverage"/>
    <m/>
    <s v="FAC00142"/>
  </r>
  <r>
    <x v="1"/>
    <x v="0"/>
    <x v="8"/>
    <x v="8"/>
    <x v="0"/>
    <x v="2"/>
    <x v="23"/>
    <x v="4"/>
    <x v="11"/>
    <s v="Canceled"/>
    <n v="1"/>
    <x v="7"/>
    <x v="11"/>
    <d v="2025-12-20T00:00:00"/>
    <s v="WRDSPE"/>
    <s v="SK 15/10: in alignment with BRO"/>
    <s v="FIFA Technical content"/>
    <s v="FAC00143"/>
  </r>
  <r>
    <x v="0"/>
    <x v="1"/>
    <x v="8"/>
    <x v="8"/>
    <x v="0"/>
    <x v="2"/>
    <x v="23"/>
    <x v="1"/>
    <x v="7"/>
    <s v="Confirmed"/>
    <m/>
    <x v="5"/>
    <x v="11"/>
    <d v="2025-12-20T00:00:00"/>
    <s v="MFDDNW"/>
    <s v=""/>
    <s v="For the HB and Media Partners immediate servicing"/>
    <s v="FAC00144"/>
  </r>
  <r>
    <x v="0"/>
    <x v="0"/>
    <x v="8"/>
    <x v="8"/>
    <x v="0"/>
    <x v="2"/>
    <x v="24"/>
    <x v="4"/>
    <x v="6"/>
    <s v="Confirmed"/>
    <n v="5"/>
    <x v="10"/>
    <x v="11"/>
    <d v="2025-12-20T00:00:00"/>
    <s v="WRDGEN"/>
    <m/>
    <s v="1 drop per studio"/>
    <s v="FAC00145"/>
  </r>
  <r>
    <x v="0"/>
    <x v="0"/>
    <x v="8"/>
    <x v="8"/>
    <x v="0"/>
    <x v="7"/>
    <x v="25"/>
    <x v="4"/>
    <x v="12"/>
    <s v="Confirmed"/>
    <m/>
    <x v="11"/>
    <x v="11"/>
    <d v="2025-12-20T00:00:00"/>
    <s v="WRDSPE"/>
    <s v="SK 15/10: Photo Vlan, based on legacy availability + in alignment with BRO Manager"/>
    <s v="50 Mbps lines for possible Media partners streaming"/>
    <s v="FAC00146"/>
  </r>
  <r>
    <x v="0"/>
    <x v="0"/>
    <x v="8"/>
    <x v="8"/>
    <x v="0"/>
    <x v="8"/>
    <x v="26"/>
    <x v="4"/>
    <x v="12"/>
    <s v="Confirmed"/>
    <m/>
    <x v="10"/>
    <x v="11"/>
    <d v="2025-12-20T00:00:00"/>
    <s v="WRDSPE"/>
    <s v="SK 15/10: Photo Vlan, 4 + 4"/>
    <s v="4 at 16mL and 4 at 16mR - Photographers internet"/>
    <s v="FAC00147"/>
  </r>
  <r>
    <x v="0"/>
    <x v="0"/>
    <x v="8"/>
    <x v="8"/>
    <x v="0"/>
    <x v="8"/>
    <x v="27"/>
    <x v="4"/>
    <x v="12"/>
    <s v="Confirmed"/>
    <m/>
    <x v="11"/>
    <x v="11"/>
    <d v="2025-12-20T00:00:00"/>
    <s v="WRDSPE"/>
    <s v="SK 15/10: Photo Wlan, 2+2 extension of MEO PHO positions closer to goal line"/>
    <s v="2 behind each goal - Photographers internet"/>
    <s v="FAC00148"/>
  </r>
  <r>
    <x v="0"/>
    <x v="0"/>
    <x v="8"/>
    <x v="8"/>
    <x v="0"/>
    <x v="9"/>
    <x v="28"/>
    <x v="4"/>
    <x v="13"/>
    <s v="Confirmed"/>
    <n v="40"/>
    <x v="12"/>
    <x v="11"/>
    <d v="2025-12-20T00:00:00"/>
    <s v="WRDSPE"/>
    <s v="SK 15/10: MEO Vlan"/>
    <s v="Media Internet - exact amount of commentary positions TBC"/>
    <s v="FAC00149"/>
  </r>
  <r>
    <x v="1"/>
    <x v="2"/>
    <x v="8"/>
    <x v="8"/>
    <x v="0"/>
    <x v="9"/>
    <x v="28"/>
    <x v="5"/>
    <x v="14"/>
    <s v="Confirmed"/>
    <n v="20"/>
    <x v="13"/>
    <x v="11"/>
    <d v="2025-12-20T00:00:00"/>
    <s v="TVSMRF"/>
    <s v=""/>
    <s v="Small TV - RF Distro - exact amount of commentary positions TBC"/>
    <s v="FAC00150"/>
  </r>
  <r>
    <x v="1"/>
    <x v="2"/>
    <x v="8"/>
    <x v="8"/>
    <x v="0"/>
    <x v="2"/>
    <x v="23"/>
    <x v="5"/>
    <x v="8"/>
    <s v="Confirmed"/>
    <m/>
    <x v="6"/>
    <x v="11"/>
    <d v="2025-12-20T00:00:00"/>
    <s v="TVLGSA"/>
    <s v="SK 15/10: Changed to IPTV"/>
    <m/>
    <s v="FAC00151"/>
  </r>
  <r>
    <x v="0"/>
    <x v="0"/>
    <x v="8"/>
    <x v="8"/>
    <x v="0"/>
    <x v="2"/>
    <x v="29"/>
    <x v="4"/>
    <x v="6"/>
    <s v="Confirmed"/>
    <m/>
    <x v="6"/>
    <x v="11"/>
    <d v="2025-12-20T00:00:00"/>
    <s v="WRDGEN"/>
    <s v="SK 15/10: provision in alignment with BRO Manager based on WiFi coverage"/>
    <m/>
    <s v="FAC00152"/>
  </r>
  <r>
    <x v="0"/>
    <x v="0"/>
    <x v="8"/>
    <x v="8"/>
    <x v="0"/>
    <x v="2"/>
    <x v="30"/>
    <x v="4"/>
    <x v="6"/>
    <s v="Confirmed"/>
    <m/>
    <x v="6"/>
    <x v="11"/>
    <d v="2025-12-20T00:00:00"/>
    <s v="WRDGEN"/>
    <s v="SK 15/10: provision in alignment with BRO Manager based on WiFi coverage"/>
    <m/>
    <s v="FAC00153"/>
  </r>
  <r>
    <x v="1"/>
    <x v="0"/>
    <x v="8"/>
    <x v="8"/>
    <x v="0"/>
    <x v="2"/>
    <x v="5"/>
    <x v="4"/>
    <x v="6"/>
    <s v="Canceled"/>
    <n v="2"/>
    <x v="7"/>
    <x v="11"/>
    <d v="2025-12-20T00:00:00"/>
    <s v="WRDGEN"/>
    <s v="SK 15/10: as per alignment with BRO"/>
    <s v="Infotainment graphics production - TBC"/>
    <s v="FAC00154"/>
  </r>
  <r>
    <x v="1"/>
    <x v="0"/>
    <x v="8"/>
    <x v="8"/>
    <x v="0"/>
    <x v="10"/>
    <x v="14"/>
    <x v="4"/>
    <x v="6"/>
    <s v="Canceled"/>
    <n v="2"/>
    <x v="7"/>
    <x v="11"/>
    <d v="2025-12-20T00:00:00"/>
    <s v="WRDGEN"/>
    <s v="SK 15/10: as per alignment with BRO"/>
    <s v="Camera platform"/>
    <s v="FAC00155"/>
  </r>
  <r>
    <x v="0"/>
    <x v="0"/>
    <x v="8"/>
    <x v="8"/>
    <x v="5"/>
    <x v="6"/>
    <x v="20"/>
    <x v="4"/>
    <x v="6"/>
    <s v="Confirmed"/>
    <m/>
    <x v="5"/>
    <x v="11"/>
    <d v="2025-12-20T00:00:00"/>
    <s v="WRDGEN"/>
    <s v="SK 15/10: renamed as per alignment with BRO"/>
    <m/>
    <s v="FAC00156"/>
  </r>
  <r>
    <x v="0"/>
    <x v="0"/>
    <x v="8"/>
    <x v="8"/>
    <x v="5"/>
    <x v="6"/>
    <x v="20"/>
    <x v="4"/>
    <x v="6"/>
    <s v="Confirmed"/>
    <n v="5"/>
    <x v="9"/>
    <x v="11"/>
    <d v="2025-12-20T00:00:00"/>
    <s v="WRDSPE"/>
    <s v="SK 15/10: renamed and reduced as per alignment with BRO_x000a_SK 19/11: to be changed to Network - WIRED - Stream in case of BRO Request"/>
    <s v="50 MBPS, for streaming"/>
    <s v="FAC00157"/>
  </r>
  <r>
    <x v="0"/>
    <x v="0"/>
    <x v="8"/>
    <x v="8"/>
    <x v="5"/>
    <x v="6"/>
    <x v="21"/>
    <x v="4"/>
    <x v="6"/>
    <s v="Confirmed"/>
    <n v="6"/>
    <x v="9"/>
    <x v="11"/>
    <d v="2025-12-20T00:00:00"/>
    <s v="WRDGEN"/>
    <s v="SK 15/10: as per alignment with BRO"/>
    <s v="20 mbps dedicated, IP codec"/>
    <s v="FAC00158"/>
  </r>
  <r>
    <x v="0"/>
    <x v="0"/>
    <x v="8"/>
    <x v="8"/>
    <x v="5"/>
    <x v="2"/>
    <x v="22"/>
    <x v="4"/>
    <x v="6"/>
    <s v="Confirmed"/>
    <m/>
    <x v="6"/>
    <x v="11"/>
    <d v="2025-12-20T00:00:00"/>
    <s v="WRDGEN"/>
    <s v=""/>
    <m/>
    <s v="FAC00159"/>
  </r>
  <r>
    <x v="1"/>
    <x v="0"/>
    <x v="8"/>
    <x v="8"/>
    <x v="5"/>
    <x v="2"/>
    <x v="22"/>
    <x v="4"/>
    <x v="11"/>
    <s v="Canceled"/>
    <n v="1"/>
    <x v="7"/>
    <x v="11"/>
    <d v="2025-12-20T00:00:00"/>
    <s v="WRDSPE"/>
    <s v="SK 15/10: in alignment with BRO"/>
    <s v="Technical FTI"/>
    <s v="FAC00160"/>
  </r>
  <r>
    <x v="0"/>
    <x v="0"/>
    <x v="8"/>
    <x v="8"/>
    <x v="5"/>
    <x v="2"/>
    <x v="23"/>
    <x v="4"/>
    <x v="6"/>
    <s v="Confirmed"/>
    <n v="6"/>
    <x v="6"/>
    <x v="11"/>
    <d v="2025-12-20T00:00:00"/>
    <s v="WRDGEN"/>
    <s v="SK 15/10: based on legacy in alignment with BRO Manager based on WiFi coverage"/>
    <m/>
    <s v="FAC00161"/>
  </r>
  <r>
    <x v="1"/>
    <x v="0"/>
    <x v="8"/>
    <x v="8"/>
    <x v="5"/>
    <x v="2"/>
    <x v="23"/>
    <x v="4"/>
    <x v="11"/>
    <s v="Canceled"/>
    <n v="1"/>
    <x v="7"/>
    <x v="11"/>
    <d v="2025-12-20T00:00:00"/>
    <s v="WRDSPE"/>
    <s v="SK 15/10: in alignment with BRO"/>
    <s v="FIFA Technical content"/>
    <s v="FAC00162"/>
  </r>
  <r>
    <x v="0"/>
    <x v="1"/>
    <x v="8"/>
    <x v="8"/>
    <x v="5"/>
    <x v="2"/>
    <x v="23"/>
    <x v="1"/>
    <x v="7"/>
    <s v="Confirmed"/>
    <m/>
    <x v="5"/>
    <x v="11"/>
    <d v="2025-12-20T00:00:00"/>
    <s v="MFDDNW"/>
    <s v=""/>
    <s v="For the HB and Media Partners immediate servicing"/>
    <s v="FAC00163"/>
  </r>
  <r>
    <x v="0"/>
    <x v="0"/>
    <x v="8"/>
    <x v="8"/>
    <x v="5"/>
    <x v="2"/>
    <x v="24"/>
    <x v="4"/>
    <x v="6"/>
    <s v="Confirmed"/>
    <n v="5"/>
    <x v="14"/>
    <x v="11"/>
    <d v="2025-12-20T00:00:00"/>
    <s v="WRDGEN"/>
    <s v=""/>
    <s v="1 drop per studio"/>
    <s v="FAC00164"/>
  </r>
  <r>
    <x v="0"/>
    <x v="0"/>
    <x v="8"/>
    <x v="8"/>
    <x v="5"/>
    <x v="7"/>
    <x v="25"/>
    <x v="4"/>
    <x v="12"/>
    <s v="Confirmed"/>
    <m/>
    <x v="11"/>
    <x v="11"/>
    <d v="2025-12-20T00:00:00"/>
    <s v="WRDSPE"/>
    <s v="SK 15/10: Photo Vlan, based on legacy availability + in alignment with BRO Manager"/>
    <s v="50 Mbps lines for possible Media partners streaming"/>
    <s v="FAC00165"/>
  </r>
  <r>
    <x v="0"/>
    <x v="0"/>
    <x v="8"/>
    <x v="8"/>
    <x v="5"/>
    <x v="8"/>
    <x v="26"/>
    <x v="4"/>
    <x v="12"/>
    <s v="Confirmed"/>
    <m/>
    <x v="10"/>
    <x v="11"/>
    <d v="2025-12-20T00:00:00"/>
    <s v="WRDSPE"/>
    <s v="SK 15/10: Photo Vlan, 4 + 4"/>
    <s v="4 at 16mL and 4 at 16mR - Photographers internet"/>
    <s v="FAC00166"/>
  </r>
  <r>
    <x v="0"/>
    <x v="0"/>
    <x v="8"/>
    <x v="8"/>
    <x v="5"/>
    <x v="8"/>
    <x v="27"/>
    <x v="4"/>
    <x v="12"/>
    <s v="Confirmed"/>
    <m/>
    <x v="11"/>
    <x v="11"/>
    <d v="2025-12-20T00:00:00"/>
    <s v="WRDSPE"/>
    <s v="SK 15/10: Photo Wlan, 2+2 extension of MEO PHO positions closer to goal line"/>
    <s v="2 behind each goal - Photographers internet"/>
    <s v="FAC00167"/>
  </r>
  <r>
    <x v="0"/>
    <x v="0"/>
    <x v="8"/>
    <x v="8"/>
    <x v="5"/>
    <x v="9"/>
    <x v="28"/>
    <x v="4"/>
    <x v="13"/>
    <s v="Confirmed"/>
    <n v="40"/>
    <x v="12"/>
    <x v="11"/>
    <d v="2025-12-20T00:00:00"/>
    <s v="WRDSPE"/>
    <s v="SK 15/10: MEO Vlan"/>
    <s v="For U17 final - only 8 will be used"/>
    <s v="FAC00168"/>
  </r>
  <r>
    <x v="0"/>
    <x v="2"/>
    <x v="8"/>
    <x v="8"/>
    <x v="5"/>
    <x v="9"/>
    <x v="28"/>
    <x v="5"/>
    <x v="14"/>
    <s v="Confirmed"/>
    <n v="20"/>
    <x v="13"/>
    <x v="11"/>
    <d v="2025-12-20T00:00:00"/>
    <s v="TVSMRF"/>
    <s v=""/>
    <s v="For U17 final - only 4 will be used"/>
    <s v="FAC00169"/>
  </r>
  <r>
    <x v="0"/>
    <x v="2"/>
    <x v="8"/>
    <x v="8"/>
    <x v="5"/>
    <x v="2"/>
    <x v="23"/>
    <x v="5"/>
    <x v="8"/>
    <s v="Confirmed"/>
    <m/>
    <x v="6"/>
    <x v="11"/>
    <d v="2025-12-20T00:00:00"/>
    <s v="TVLGSA"/>
    <s v="SK 15/10: Changed to IPTV"/>
    <m/>
    <s v="FAC00170"/>
  </r>
  <r>
    <x v="0"/>
    <x v="0"/>
    <x v="8"/>
    <x v="8"/>
    <x v="5"/>
    <x v="2"/>
    <x v="29"/>
    <x v="4"/>
    <x v="6"/>
    <s v="Confirmed"/>
    <m/>
    <x v="6"/>
    <x v="11"/>
    <d v="2025-12-20T00:00:00"/>
    <s v="WRDGEN"/>
    <s v="SK 15/10: provision in alignment with BRO Manager based on WiFi coverage"/>
    <m/>
    <s v="FAC00171"/>
  </r>
  <r>
    <x v="0"/>
    <x v="0"/>
    <x v="8"/>
    <x v="8"/>
    <x v="5"/>
    <x v="2"/>
    <x v="30"/>
    <x v="4"/>
    <x v="6"/>
    <s v="Confirmed"/>
    <m/>
    <x v="6"/>
    <x v="11"/>
    <d v="2025-12-20T00:00:00"/>
    <s v="WRDGEN"/>
    <s v="SK 15/10: provision in alignment with BRO Manager based on WiFi coverage"/>
    <m/>
    <s v="FAC00172"/>
  </r>
  <r>
    <x v="1"/>
    <x v="0"/>
    <x v="8"/>
    <x v="8"/>
    <x v="5"/>
    <x v="2"/>
    <x v="5"/>
    <x v="4"/>
    <x v="6"/>
    <s v="Canceled"/>
    <n v="2"/>
    <x v="7"/>
    <x v="11"/>
    <d v="2025-12-20T00:00:00"/>
    <s v="WRDGEN"/>
    <s v="SK 15/10: as per alignment with BRO"/>
    <s v="Infotainment graphics production - TBC"/>
    <s v="FAC00173"/>
  </r>
  <r>
    <x v="1"/>
    <x v="0"/>
    <x v="8"/>
    <x v="8"/>
    <x v="5"/>
    <x v="10"/>
    <x v="14"/>
    <x v="4"/>
    <x v="6"/>
    <s v="Canceled"/>
    <n v="2"/>
    <x v="7"/>
    <x v="11"/>
    <d v="2025-12-20T00:00:00"/>
    <s v="WRDGEN"/>
    <s v="SK 15/10: as per alignment with BRO"/>
    <s v="Camera platform"/>
    <s v="FAC00174"/>
  </r>
  <r>
    <x v="0"/>
    <x v="0"/>
    <x v="8"/>
    <x v="8"/>
    <x v="2"/>
    <x v="6"/>
    <x v="20"/>
    <x v="4"/>
    <x v="6"/>
    <s v="Confirmed"/>
    <m/>
    <x v="5"/>
    <x v="12"/>
    <d v="2025-12-14T00:00:00"/>
    <s v="WRDGEN"/>
    <s v="SK 15/10: renamed as per alignment with BRO"/>
    <m/>
    <s v="FAC00175"/>
  </r>
  <r>
    <x v="0"/>
    <x v="0"/>
    <x v="8"/>
    <x v="8"/>
    <x v="2"/>
    <x v="6"/>
    <x v="20"/>
    <x v="4"/>
    <x v="6"/>
    <s v="Confirmed"/>
    <n v="5"/>
    <x v="9"/>
    <x v="12"/>
    <d v="2025-12-14T00:00:00"/>
    <s v="WRDSPE"/>
    <s v="SK 15/10: renamed and reduced as per alignment with BRO_x000a_SK 19/11: to be changed to Network - WIRED - Stream in case of BRO Request"/>
    <s v="50 MBPS, for streaming"/>
    <s v="FAC00176"/>
  </r>
  <r>
    <x v="0"/>
    <x v="0"/>
    <x v="8"/>
    <x v="8"/>
    <x v="2"/>
    <x v="6"/>
    <x v="21"/>
    <x v="4"/>
    <x v="6"/>
    <s v="Confirmed"/>
    <n v="6"/>
    <x v="9"/>
    <x v="12"/>
    <d v="2025-12-14T00:00:00"/>
    <s v="WRDGEN"/>
    <s v="SK 15/10: as per alignment with BRO"/>
    <s v="20 mbps dedicated, IP codec"/>
    <s v="FAC00177"/>
  </r>
  <r>
    <x v="0"/>
    <x v="0"/>
    <x v="8"/>
    <x v="8"/>
    <x v="2"/>
    <x v="2"/>
    <x v="22"/>
    <x v="4"/>
    <x v="6"/>
    <s v="Confirmed"/>
    <m/>
    <x v="6"/>
    <x v="12"/>
    <d v="2025-12-14T00:00:00"/>
    <s v="WRDGEN"/>
    <s v=""/>
    <m/>
    <s v="FAC00178"/>
  </r>
  <r>
    <x v="1"/>
    <x v="0"/>
    <x v="8"/>
    <x v="8"/>
    <x v="2"/>
    <x v="2"/>
    <x v="22"/>
    <x v="4"/>
    <x v="11"/>
    <s v="Canceled"/>
    <n v="1"/>
    <x v="7"/>
    <x v="12"/>
    <d v="2025-12-14T00:00:00"/>
    <s v="WRDSPE"/>
    <s v="SK 15/10: in alignment with BRO"/>
    <s v="Technical FTI"/>
    <s v="FAC00179"/>
  </r>
  <r>
    <x v="0"/>
    <x v="0"/>
    <x v="8"/>
    <x v="8"/>
    <x v="2"/>
    <x v="2"/>
    <x v="23"/>
    <x v="4"/>
    <x v="6"/>
    <s v="Confirmed"/>
    <n v="6"/>
    <x v="6"/>
    <x v="12"/>
    <d v="2025-12-14T00:00:00"/>
    <s v="WRDGEN"/>
    <s v="SK 15/10: based on legacy in alignment with BRO Manager based on WiFi coverage"/>
    <m/>
    <s v="FAC00180"/>
  </r>
  <r>
    <x v="1"/>
    <x v="0"/>
    <x v="8"/>
    <x v="8"/>
    <x v="2"/>
    <x v="2"/>
    <x v="23"/>
    <x v="4"/>
    <x v="11"/>
    <s v="Canceled"/>
    <n v="1"/>
    <x v="7"/>
    <x v="12"/>
    <d v="2025-12-14T00:00:00"/>
    <s v="WRDSPE"/>
    <s v="SK 15/10: in alignment with BRO"/>
    <s v="FIFA Technical content"/>
    <s v="FAC00181"/>
  </r>
  <r>
    <x v="1"/>
    <x v="1"/>
    <x v="8"/>
    <x v="8"/>
    <x v="2"/>
    <x v="2"/>
    <x v="23"/>
    <x v="1"/>
    <x v="7"/>
    <s v="Confirmed"/>
    <m/>
    <x v="5"/>
    <x v="12"/>
    <d v="2025-12-14T00:00:00"/>
    <s v="MFDDNW"/>
    <s v=""/>
    <s v="For the HB and Media Partners immediate servicing"/>
    <s v="FAC00182"/>
  </r>
  <r>
    <x v="0"/>
    <x v="0"/>
    <x v="8"/>
    <x v="8"/>
    <x v="2"/>
    <x v="2"/>
    <x v="24"/>
    <x v="4"/>
    <x v="6"/>
    <s v="Confirmed"/>
    <n v="5"/>
    <x v="15"/>
    <x v="12"/>
    <d v="2025-12-14T00:00:00"/>
    <s v="WRDGEN"/>
    <s v=""/>
    <s v="1 drop per studio"/>
    <s v="FAC00183"/>
  </r>
  <r>
    <x v="0"/>
    <x v="0"/>
    <x v="8"/>
    <x v="8"/>
    <x v="2"/>
    <x v="7"/>
    <x v="25"/>
    <x v="4"/>
    <x v="12"/>
    <s v="Confirmed"/>
    <m/>
    <x v="11"/>
    <x v="12"/>
    <d v="2025-12-14T00:00:00"/>
    <s v="WRDSPE"/>
    <s v="SK 15/10: Photo Vlan, based on legacy availability + in alignment with BRO Manager"/>
    <s v="50 Mbps lines for possible Media partners streaming"/>
    <s v="FAC00184"/>
  </r>
  <r>
    <x v="0"/>
    <x v="0"/>
    <x v="8"/>
    <x v="8"/>
    <x v="2"/>
    <x v="8"/>
    <x v="26"/>
    <x v="4"/>
    <x v="12"/>
    <s v="Confirmed"/>
    <m/>
    <x v="10"/>
    <x v="12"/>
    <d v="2025-12-14T00:00:00"/>
    <s v="WRDSPE"/>
    <s v="SK 15/10: Photo Vlan, 4 + 4"/>
    <s v="4 at 16mL and 4 at 16mR - Photographers internet"/>
    <s v="FAC00185"/>
  </r>
  <r>
    <x v="0"/>
    <x v="0"/>
    <x v="8"/>
    <x v="8"/>
    <x v="2"/>
    <x v="8"/>
    <x v="27"/>
    <x v="4"/>
    <x v="12"/>
    <s v="Confirmed"/>
    <m/>
    <x v="11"/>
    <x v="12"/>
    <d v="2025-12-14T00:00:00"/>
    <s v="WRDSPE"/>
    <s v="SK 15/10: Photo Wlan, 2+2 extension of MEO PHO positions closer to goal line"/>
    <s v="2 behind each goal - Photographers internet"/>
    <s v="FAC00186"/>
  </r>
  <r>
    <x v="0"/>
    <x v="0"/>
    <x v="8"/>
    <x v="8"/>
    <x v="2"/>
    <x v="9"/>
    <x v="28"/>
    <x v="4"/>
    <x v="13"/>
    <s v="Confirmed"/>
    <n v="40"/>
    <x v="12"/>
    <x v="12"/>
    <d v="2025-12-14T00:00:00"/>
    <s v="WRDSPE"/>
    <s v="SK 15/10: MEO Vlan"/>
    <s v="Media Internet - exact amount of commentary positions TBC"/>
    <s v="FAC00187"/>
  </r>
  <r>
    <x v="0"/>
    <x v="2"/>
    <x v="8"/>
    <x v="8"/>
    <x v="2"/>
    <x v="9"/>
    <x v="28"/>
    <x v="5"/>
    <x v="14"/>
    <s v="Confirmed"/>
    <n v="20"/>
    <x v="13"/>
    <x v="12"/>
    <d v="2025-12-14T00:00:00"/>
    <s v="TVSMRF"/>
    <s v=""/>
    <s v="Small TV - RF Distro - exact amount of commentary positions TBC"/>
    <s v="FAC00188"/>
  </r>
  <r>
    <x v="0"/>
    <x v="2"/>
    <x v="8"/>
    <x v="8"/>
    <x v="2"/>
    <x v="2"/>
    <x v="23"/>
    <x v="5"/>
    <x v="8"/>
    <s v="Confirmed"/>
    <m/>
    <x v="6"/>
    <x v="12"/>
    <d v="2025-12-14T00:00:00"/>
    <s v="TVLGSA"/>
    <s v="SK 15/10: Changed to IPTV"/>
    <m/>
    <s v="FAC00189"/>
  </r>
  <r>
    <x v="0"/>
    <x v="0"/>
    <x v="8"/>
    <x v="8"/>
    <x v="2"/>
    <x v="2"/>
    <x v="29"/>
    <x v="4"/>
    <x v="6"/>
    <s v="Confirmed"/>
    <m/>
    <x v="6"/>
    <x v="12"/>
    <d v="2025-12-14T00:00:00"/>
    <s v="WRDGEN"/>
    <s v="SK 15/10: provision in alignment with BRO Manager based on WiFi coverage"/>
    <m/>
    <s v="FAC00190"/>
  </r>
  <r>
    <x v="0"/>
    <x v="0"/>
    <x v="8"/>
    <x v="8"/>
    <x v="2"/>
    <x v="2"/>
    <x v="30"/>
    <x v="4"/>
    <x v="6"/>
    <s v="Confirmed"/>
    <m/>
    <x v="6"/>
    <x v="12"/>
    <d v="2025-12-14T00:00:00"/>
    <s v="WRDGEN"/>
    <s v="SK 15/10: provision in alignment with BRO Manager based on WiFi coverage"/>
    <m/>
    <s v="FAC00191"/>
  </r>
  <r>
    <x v="1"/>
    <x v="0"/>
    <x v="8"/>
    <x v="8"/>
    <x v="2"/>
    <x v="2"/>
    <x v="5"/>
    <x v="4"/>
    <x v="6"/>
    <s v="Canceled"/>
    <n v="2"/>
    <x v="7"/>
    <x v="12"/>
    <d v="2025-12-14T00:00:00"/>
    <s v="WRDGEN"/>
    <s v="SK 15/10: as per alignment with BRO"/>
    <s v="Infotainment graphics production - TBC"/>
    <s v="FAC00192"/>
  </r>
  <r>
    <x v="1"/>
    <x v="0"/>
    <x v="8"/>
    <x v="8"/>
    <x v="2"/>
    <x v="10"/>
    <x v="14"/>
    <x v="4"/>
    <x v="6"/>
    <s v="Canceled"/>
    <n v="2"/>
    <x v="7"/>
    <x v="12"/>
    <d v="2025-12-14T00:00:00"/>
    <s v="WRDGEN"/>
    <s v="SK 15/10: as per alignment with BRO"/>
    <s v="Camera platform"/>
    <s v="FAC00193"/>
  </r>
  <r>
    <x v="0"/>
    <x v="0"/>
    <x v="8"/>
    <x v="8"/>
    <x v="4"/>
    <x v="6"/>
    <x v="20"/>
    <x v="4"/>
    <x v="6"/>
    <s v="Confirmed"/>
    <m/>
    <x v="5"/>
    <x v="11"/>
    <d v="2025-12-14T00:00:00"/>
    <s v="WRDGEN"/>
    <s v="SK 15/10: renamed as per alignment with BRO"/>
    <m/>
    <s v="FAC00194"/>
  </r>
  <r>
    <x v="0"/>
    <x v="0"/>
    <x v="8"/>
    <x v="8"/>
    <x v="4"/>
    <x v="6"/>
    <x v="20"/>
    <x v="4"/>
    <x v="6"/>
    <s v="Confirmed"/>
    <n v="5"/>
    <x v="9"/>
    <x v="11"/>
    <d v="2025-12-14T00:00:00"/>
    <s v="WRDSPE"/>
    <s v="SK 15/10: renamed and reduced as per alignment with BRO_x000a_SK 19/11: to be changed to Network - WIRED - Stream in case of BRO Request"/>
    <s v="50 MBPS, for streaming"/>
    <s v="FAC00195"/>
  </r>
  <r>
    <x v="0"/>
    <x v="0"/>
    <x v="8"/>
    <x v="8"/>
    <x v="4"/>
    <x v="6"/>
    <x v="21"/>
    <x v="4"/>
    <x v="6"/>
    <s v="Confirmed"/>
    <n v="6"/>
    <x v="9"/>
    <x v="11"/>
    <d v="2025-12-14T00:00:00"/>
    <s v="WRDGEN"/>
    <s v="SK 15/10: as per alignment with BRO"/>
    <s v="20 mbps dedicated, IP codec"/>
    <s v="FAC00196"/>
  </r>
  <r>
    <x v="0"/>
    <x v="0"/>
    <x v="8"/>
    <x v="8"/>
    <x v="4"/>
    <x v="2"/>
    <x v="22"/>
    <x v="4"/>
    <x v="6"/>
    <s v="Confirmed"/>
    <m/>
    <x v="6"/>
    <x v="11"/>
    <d v="2025-12-14T00:00:00"/>
    <s v="WRDGEN"/>
    <s v=""/>
    <m/>
    <s v="FAC00197"/>
  </r>
  <r>
    <x v="1"/>
    <x v="0"/>
    <x v="8"/>
    <x v="8"/>
    <x v="4"/>
    <x v="2"/>
    <x v="22"/>
    <x v="4"/>
    <x v="11"/>
    <s v="Canceled"/>
    <n v="1"/>
    <x v="7"/>
    <x v="11"/>
    <d v="2025-12-14T00:00:00"/>
    <s v="WRDSPE"/>
    <s v="SK 15/10: in alignment with BRO"/>
    <s v="Technical FTI"/>
    <s v="FAC00198"/>
  </r>
  <r>
    <x v="0"/>
    <x v="0"/>
    <x v="8"/>
    <x v="8"/>
    <x v="4"/>
    <x v="2"/>
    <x v="23"/>
    <x v="4"/>
    <x v="6"/>
    <s v="Confirmed"/>
    <n v="6"/>
    <x v="6"/>
    <x v="11"/>
    <d v="2025-12-14T00:00:00"/>
    <s v="WRDGEN"/>
    <s v="SK 15/10: based on legacy in alignment with BRO Manager based on WiFi coverage"/>
    <m/>
    <s v="FAC00199"/>
  </r>
  <r>
    <x v="1"/>
    <x v="0"/>
    <x v="8"/>
    <x v="8"/>
    <x v="4"/>
    <x v="2"/>
    <x v="23"/>
    <x v="4"/>
    <x v="11"/>
    <s v="Canceled"/>
    <n v="1"/>
    <x v="7"/>
    <x v="11"/>
    <d v="2025-12-14T00:00:00"/>
    <s v="WRDSPE"/>
    <s v="SK 15/10: in alignment with BRO"/>
    <s v="FIFA Technical content"/>
    <s v="FAC00200"/>
  </r>
  <r>
    <x v="1"/>
    <x v="1"/>
    <x v="8"/>
    <x v="8"/>
    <x v="4"/>
    <x v="2"/>
    <x v="23"/>
    <x v="1"/>
    <x v="7"/>
    <s v="Confirmed"/>
    <m/>
    <x v="5"/>
    <x v="11"/>
    <d v="2025-12-14T00:00:00"/>
    <s v="MFDDNW"/>
    <s v=""/>
    <s v="For the HB and Media Partners immediate servicing"/>
    <s v="FAC00201"/>
  </r>
  <r>
    <x v="0"/>
    <x v="0"/>
    <x v="8"/>
    <x v="8"/>
    <x v="4"/>
    <x v="2"/>
    <x v="24"/>
    <x v="4"/>
    <x v="6"/>
    <s v="Confirmed"/>
    <n v="5"/>
    <x v="15"/>
    <x v="11"/>
    <d v="2025-12-14T00:00:00"/>
    <s v="WRDGEN"/>
    <s v=""/>
    <s v="1 drop per studio"/>
    <s v="FAC00202"/>
  </r>
  <r>
    <x v="0"/>
    <x v="0"/>
    <x v="8"/>
    <x v="8"/>
    <x v="4"/>
    <x v="7"/>
    <x v="25"/>
    <x v="4"/>
    <x v="12"/>
    <s v="Confirmed"/>
    <m/>
    <x v="11"/>
    <x v="11"/>
    <d v="2025-12-14T00:00:00"/>
    <s v="WRDSPE"/>
    <s v="SK 15/10: Photo Vlan, based on legacy availability + in alignment with BRO Manager"/>
    <s v="50 Mbps lines for possible Media partners streaming"/>
    <s v="FAC00203"/>
  </r>
  <r>
    <x v="0"/>
    <x v="0"/>
    <x v="8"/>
    <x v="8"/>
    <x v="4"/>
    <x v="8"/>
    <x v="26"/>
    <x v="4"/>
    <x v="12"/>
    <s v="Confirmed"/>
    <m/>
    <x v="10"/>
    <x v="11"/>
    <d v="2025-12-14T00:00:00"/>
    <s v="WRDSPE"/>
    <s v="SK 15/10: Photo Vlan, 4 + 4"/>
    <s v="4 at 16mL and 4 at 16mR - Photographers internet"/>
    <s v="FAC00204"/>
  </r>
  <r>
    <x v="0"/>
    <x v="0"/>
    <x v="8"/>
    <x v="8"/>
    <x v="4"/>
    <x v="8"/>
    <x v="27"/>
    <x v="4"/>
    <x v="12"/>
    <s v="Confirmed"/>
    <m/>
    <x v="11"/>
    <x v="11"/>
    <d v="2025-12-14T00:00:00"/>
    <s v="WRDSPE"/>
    <s v="SK 15/10: Photo Wlan, 2+2 extension of MEO PHO positions closer to goal line"/>
    <s v="2 behind each goal - Photographers internet"/>
    <s v="FAC00205"/>
  </r>
  <r>
    <x v="0"/>
    <x v="0"/>
    <x v="8"/>
    <x v="8"/>
    <x v="4"/>
    <x v="9"/>
    <x v="28"/>
    <x v="4"/>
    <x v="13"/>
    <s v="Confirmed"/>
    <n v="40"/>
    <x v="12"/>
    <x v="11"/>
    <d v="2025-12-14T00:00:00"/>
    <s v="WRDSPE"/>
    <s v="SK 15/10: MEO Vlan"/>
    <s v="Media Internet - exact amount of commentary positions TBC"/>
    <s v="FAC00206"/>
  </r>
  <r>
    <x v="0"/>
    <x v="2"/>
    <x v="8"/>
    <x v="8"/>
    <x v="4"/>
    <x v="9"/>
    <x v="28"/>
    <x v="5"/>
    <x v="14"/>
    <s v="Confirmed"/>
    <n v="20"/>
    <x v="13"/>
    <x v="11"/>
    <d v="2025-12-14T00:00:00"/>
    <s v="TVSMRF"/>
    <s v=""/>
    <s v="Small TV - RF Distro - exact amount of commentary positions TBC"/>
    <s v="FAC00207"/>
  </r>
  <r>
    <x v="0"/>
    <x v="2"/>
    <x v="8"/>
    <x v="8"/>
    <x v="4"/>
    <x v="2"/>
    <x v="23"/>
    <x v="5"/>
    <x v="8"/>
    <s v="Confirmed"/>
    <m/>
    <x v="6"/>
    <x v="11"/>
    <d v="2025-12-14T00:00:00"/>
    <s v="TVLGSA"/>
    <s v="SK 15/10: Changed to IPTV"/>
    <m/>
    <s v="FAC00208"/>
  </r>
  <r>
    <x v="0"/>
    <x v="0"/>
    <x v="8"/>
    <x v="8"/>
    <x v="4"/>
    <x v="2"/>
    <x v="29"/>
    <x v="4"/>
    <x v="6"/>
    <s v="Confirmed"/>
    <m/>
    <x v="6"/>
    <x v="11"/>
    <d v="2025-12-14T00:00:00"/>
    <s v="WRDGEN"/>
    <s v="SK 15/10: provision in alignment with BRO Manager based on WiFi coverage"/>
    <m/>
    <s v="FAC00209"/>
  </r>
  <r>
    <x v="0"/>
    <x v="0"/>
    <x v="8"/>
    <x v="8"/>
    <x v="4"/>
    <x v="2"/>
    <x v="30"/>
    <x v="4"/>
    <x v="6"/>
    <s v="Confirmed"/>
    <m/>
    <x v="6"/>
    <x v="11"/>
    <d v="2025-12-14T00:00:00"/>
    <s v="WRDGEN"/>
    <s v="SK 15/10: provision in alignment with BRO Manager based on WiFi coverage"/>
    <m/>
    <s v="FAC00210"/>
  </r>
  <r>
    <x v="1"/>
    <x v="0"/>
    <x v="8"/>
    <x v="8"/>
    <x v="4"/>
    <x v="2"/>
    <x v="5"/>
    <x v="4"/>
    <x v="6"/>
    <s v="Canceled"/>
    <n v="2"/>
    <x v="7"/>
    <x v="11"/>
    <d v="2025-12-14T00:00:00"/>
    <s v="WRDGEN"/>
    <s v="SK 15/10: as per alignment with BRO"/>
    <s v="Infotainment graphics production - TBC"/>
    <s v="FAC00211"/>
  </r>
  <r>
    <x v="1"/>
    <x v="0"/>
    <x v="8"/>
    <x v="8"/>
    <x v="4"/>
    <x v="10"/>
    <x v="14"/>
    <x v="4"/>
    <x v="6"/>
    <s v="Canceled"/>
    <n v="2"/>
    <x v="7"/>
    <x v="11"/>
    <d v="2025-12-14T00:00:00"/>
    <s v="WRDGEN"/>
    <s v="SK 15/10: as per alignment with BRO"/>
    <s v="Camera platform"/>
    <s v="FAC00212"/>
  </r>
  <r>
    <x v="0"/>
    <x v="0"/>
    <x v="8"/>
    <x v="8"/>
    <x v="1"/>
    <x v="6"/>
    <x v="20"/>
    <x v="4"/>
    <x v="6"/>
    <s v="Confirmed"/>
    <m/>
    <x v="5"/>
    <x v="11"/>
    <d v="2025-12-17T00:00:00"/>
    <s v="WRDGEN"/>
    <s v="SK 15/10: renamed as per alignment with BRO"/>
    <m/>
    <s v="FAC00213"/>
  </r>
  <r>
    <x v="0"/>
    <x v="0"/>
    <x v="8"/>
    <x v="8"/>
    <x v="1"/>
    <x v="6"/>
    <x v="20"/>
    <x v="4"/>
    <x v="6"/>
    <s v="Confirmed"/>
    <n v="5"/>
    <x v="9"/>
    <x v="11"/>
    <d v="2025-12-17T00:00:00"/>
    <s v="WRDSPE"/>
    <s v="SK 15/10: renamed and reduced as per alignment with BRO_x000a_SK 19/11: to be changed to Network - WIRED - Stream in case of BRO Request"/>
    <s v="50 MBPS, for streaming"/>
    <s v="FAC00214"/>
  </r>
  <r>
    <x v="0"/>
    <x v="0"/>
    <x v="8"/>
    <x v="8"/>
    <x v="1"/>
    <x v="6"/>
    <x v="21"/>
    <x v="4"/>
    <x v="6"/>
    <s v="Confirmed"/>
    <n v="6"/>
    <x v="9"/>
    <x v="11"/>
    <d v="2025-12-17T00:00:00"/>
    <s v="WRDGEN"/>
    <s v="SK 15/10: as per alignment with BRO"/>
    <s v="20 mbps dedicated, IP codec"/>
    <s v="FAC00215"/>
  </r>
  <r>
    <x v="0"/>
    <x v="0"/>
    <x v="8"/>
    <x v="8"/>
    <x v="1"/>
    <x v="6"/>
    <x v="31"/>
    <x v="4"/>
    <x v="6"/>
    <s v="Confirmed"/>
    <m/>
    <x v="6"/>
    <x v="11"/>
    <d v="2025-12-17T00:00:00"/>
    <s v="WRDGEN"/>
    <s v="SK 15/10: provision in alignment with BRO Manager based on WiFi coverage"/>
    <m/>
    <s v="FAC00216"/>
  </r>
  <r>
    <x v="1"/>
    <x v="0"/>
    <x v="8"/>
    <x v="8"/>
    <x v="1"/>
    <x v="6"/>
    <x v="31"/>
    <x v="4"/>
    <x v="11"/>
    <s v="Canceled"/>
    <n v="1"/>
    <x v="7"/>
    <x v="11"/>
    <d v="2025-12-17T00:00:00"/>
    <s v="WRDSPE"/>
    <s v="SK 15/10: in alignment with BRO"/>
    <s v="Technical FTI"/>
    <s v="FAC00217"/>
  </r>
  <r>
    <x v="0"/>
    <x v="0"/>
    <x v="8"/>
    <x v="8"/>
    <x v="1"/>
    <x v="2"/>
    <x v="23"/>
    <x v="4"/>
    <x v="6"/>
    <s v="Confirmed"/>
    <n v="6"/>
    <x v="6"/>
    <x v="11"/>
    <d v="2025-12-17T00:00:00"/>
    <s v="WRDGEN"/>
    <s v="SK 15/10: based on legacy in alignment with BRO Manager based on WiFi coverage"/>
    <m/>
    <s v="FAC00218"/>
  </r>
  <r>
    <x v="1"/>
    <x v="0"/>
    <x v="8"/>
    <x v="8"/>
    <x v="1"/>
    <x v="2"/>
    <x v="23"/>
    <x v="4"/>
    <x v="11"/>
    <s v="Canceled"/>
    <n v="1"/>
    <x v="7"/>
    <x v="11"/>
    <d v="2025-12-17T00:00:00"/>
    <s v="WRDSPE"/>
    <s v="SK 15/10: in alignment with BRO"/>
    <s v="FIFA Technical content"/>
    <s v="FAC00219"/>
  </r>
  <r>
    <x v="0"/>
    <x v="1"/>
    <x v="8"/>
    <x v="8"/>
    <x v="1"/>
    <x v="2"/>
    <x v="23"/>
    <x v="1"/>
    <x v="7"/>
    <s v="Confirmed"/>
    <m/>
    <x v="5"/>
    <x v="11"/>
    <d v="2025-12-17T00:00:00"/>
    <s v="MFDDNW"/>
    <s v=""/>
    <s v="For the HB and Media Partners immediate servicing"/>
    <s v="FAC00220"/>
  </r>
  <r>
    <x v="0"/>
    <x v="0"/>
    <x v="8"/>
    <x v="8"/>
    <x v="1"/>
    <x v="2"/>
    <x v="24"/>
    <x v="4"/>
    <x v="6"/>
    <s v="Confirmed"/>
    <n v="5"/>
    <x v="10"/>
    <x v="11"/>
    <d v="2025-12-17T00:00:00"/>
    <s v="WRDGEN"/>
    <s v=""/>
    <s v="1 drop per studio"/>
    <s v="FAC00221"/>
  </r>
  <r>
    <x v="0"/>
    <x v="0"/>
    <x v="8"/>
    <x v="8"/>
    <x v="1"/>
    <x v="7"/>
    <x v="25"/>
    <x v="4"/>
    <x v="12"/>
    <s v="Confirmed"/>
    <m/>
    <x v="11"/>
    <x v="11"/>
    <d v="2025-12-17T00:00:00"/>
    <s v="WRDSPE"/>
    <s v="SK 15/10: Photo Vlan, based on legacy availability + in alignment with BRO Manager"/>
    <s v="50 Mbps lines for possible Media partners streaming"/>
    <s v="FAC00222"/>
  </r>
  <r>
    <x v="0"/>
    <x v="0"/>
    <x v="8"/>
    <x v="8"/>
    <x v="1"/>
    <x v="8"/>
    <x v="26"/>
    <x v="4"/>
    <x v="12"/>
    <s v="Confirmed"/>
    <m/>
    <x v="10"/>
    <x v="11"/>
    <d v="2025-12-17T00:00:00"/>
    <s v="WRDSPE"/>
    <s v="SK 15/10: Photo Vlan, 4 + 4"/>
    <s v="4 at 16mL and 4 at 16mR - Photographers internet"/>
    <s v="FAC00223"/>
  </r>
  <r>
    <x v="0"/>
    <x v="0"/>
    <x v="8"/>
    <x v="8"/>
    <x v="1"/>
    <x v="8"/>
    <x v="27"/>
    <x v="4"/>
    <x v="12"/>
    <s v="Confirmed"/>
    <m/>
    <x v="11"/>
    <x v="11"/>
    <d v="2025-12-17T00:00:00"/>
    <s v="WRDSPE"/>
    <s v="SK 15/10: Photo Wlan, 2+2 extension of MEO PHO positions closer to goal line"/>
    <s v="2 behind each goal - Photographers internet"/>
    <s v="FAC00224"/>
  </r>
  <r>
    <x v="0"/>
    <x v="0"/>
    <x v="8"/>
    <x v="8"/>
    <x v="1"/>
    <x v="9"/>
    <x v="28"/>
    <x v="4"/>
    <x v="13"/>
    <s v="Confirmed"/>
    <n v="40"/>
    <x v="12"/>
    <x v="11"/>
    <d v="2025-12-17T00:00:00"/>
    <s v="WRDSPE"/>
    <s v="SK 15/10: MEO Vlan"/>
    <s v="Media Internet - exact amount of commentary positions TBC"/>
    <s v="FAC00225"/>
  </r>
  <r>
    <x v="0"/>
    <x v="2"/>
    <x v="8"/>
    <x v="8"/>
    <x v="1"/>
    <x v="9"/>
    <x v="28"/>
    <x v="5"/>
    <x v="14"/>
    <s v="Confirmed"/>
    <n v="20"/>
    <x v="13"/>
    <x v="11"/>
    <d v="2025-12-17T00:00:00"/>
    <s v="TVSMRF"/>
    <s v=""/>
    <s v="Small TV - RF Distro - exact amount of commentary positions TBC"/>
    <s v="FAC00226"/>
  </r>
  <r>
    <x v="0"/>
    <x v="2"/>
    <x v="8"/>
    <x v="8"/>
    <x v="1"/>
    <x v="2"/>
    <x v="23"/>
    <x v="5"/>
    <x v="8"/>
    <s v="Confirmed"/>
    <m/>
    <x v="6"/>
    <x v="11"/>
    <d v="2025-12-17T00:00:00"/>
    <s v="TVLGSA"/>
    <s v="SK 15/10: Changed to IPTV"/>
    <m/>
    <s v="FAC00227"/>
  </r>
  <r>
    <x v="0"/>
    <x v="0"/>
    <x v="8"/>
    <x v="8"/>
    <x v="1"/>
    <x v="6"/>
    <x v="29"/>
    <x v="4"/>
    <x v="6"/>
    <s v="Confirmed"/>
    <m/>
    <x v="6"/>
    <x v="11"/>
    <d v="2025-12-17T00:00:00"/>
    <s v="WRDGEN"/>
    <s v="SK 15/10: provision in alignment with BRO Manager based on WiFi coverage"/>
    <m/>
    <s v="FAC00228"/>
  </r>
  <r>
    <x v="0"/>
    <x v="0"/>
    <x v="8"/>
    <x v="8"/>
    <x v="1"/>
    <x v="6"/>
    <x v="30"/>
    <x v="4"/>
    <x v="6"/>
    <s v="Confirmed"/>
    <m/>
    <x v="6"/>
    <x v="11"/>
    <d v="2025-12-17T00:00:00"/>
    <s v="WRDGEN"/>
    <s v="SK 15/10: provision in alignment with BRO Manager based on WiFi coverage"/>
    <m/>
    <s v="FAC00229"/>
  </r>
  <r>
    <x v="1"/>
    <x v="0"/>
    <x v="8"/>
    <x v="8"/>
    <x v="1"/>
    <x v="2"/>
    <x v="5"/>
    <x v="4"/>
    <x v="6"/>
    <s v="Canceled"/>
    <n v="2"/>
    <x v="7"/>
    <x v="11"/>
    <d v="2025-12-17T00:00:00"/>
    <s v="WRDGEN"/>
    <s v="SK 15/10: as per alignment with BRO"/>
    <s v="Infotainment graphics production - TBC"/>
    <s v="FAC00230"/>
  </r>
  <r>
    <x v="1"/>
    <x v="0"/>
    <x v="8"/>
    <x v="8"/>
    <x v="1"/>
    <x v="10"/>
    <x v="14"/>
    <x v="4"/>
    <x v="6"/>
    <s v="Canceled"/>
    <n v="2"/>
    <x v="7"/>
    <x v="11"/>
    <d v="2025-12-17T00:00:00"/>
    <s v="WRDGEN"/>
    <s v="SK 15/10: as per alignment with BRO"/>
    <s v="Camera platform"/>
    <s v="FAC00231"/>
  </r>
  <r>
    <x v="0"/>
    <x v="0"/>
    <x v="8"/>
    <x v="8"/>
    <x v="3"/>
    <x v="6"/>
    <x v="20"/>
    <x v="4"/>
    <x v="6"/>
    <s v="Confirmed"/>
    <m/>
    <x v="5"/>
    <x v="11"/>
    <d v="2025-12-19T00:00:00"/>
    <s v="WRDGEN"/>
    <s v="SK 15/10: renamed as per alignment with BRO"/>
    <m/>
    <s v="FAC00232"/>
  </r>
  <r>
    <x v="0"/>
    <x v="0"/>
    <x v="8"/>
    <x v="8"/>
    <x v="3"/>
    <x v="6"/>
    <x v="20"/>
    <x v="4"/>
    <x v="6"/>
    <s v="Confirmed"/>
    <n v="5"/>
    <x v="9"/>
    <x v="11"/>
    <d v="2025-12-19T00:00:00"/>
    <s v="WRDSPE"/>
    <s v="SK 15/10: renamed and reduced as per alignment with BRO_x000a_SK 19/11: to be changed to Network - WIRED - Stream in case of BRO Request"/>
    <s v="50 MBPS, for streaming"/>
    <s v="FAC00233"/>
  </r>
  <r>
    <x v="0"/>
    <x v="0"/>
    <x v="8"/>
    <x v="8"/>
    <x v="3"/>
    <x v="6"/>
    <x v="21"/>
    <x v="4"/>
    <x v="6"/>
    <s v="Confirmed"/>
    <n v="6"/>
    <x v="9"/>
    <x v="11"/>
    <d v="2025-12-19T00:00:00"/>
    <s v="WRDGEN"/>
    <s v="SK 15/10: as per alignment with BRO"/>
    <s v="20 mbps dedicated, IP codec"/>
    <s v="FAC00234"/>
  </r>
  <r>
    <x v="0"/>
    <x v="0"/>
    <x v="8"/>
    <x v="8"/>
    <x v="3"/>
    <x v="2"/>
    <x v="22"/>
    <x v="4"/>
    <x v="6"/>
    <s v="Confirmed"/>
    <m/>
    <x v="6"/>
    <x v="11"/>
    <d v="2025-12-19T00:00:00"/>
    <s v="WRDGEN"/>
    <s v=""/>
    <m/>
    <s v="FAC00235"/>
  </r>
  <r>
    <x v="1"/>
    <x v="0"/>
    <x v="8"/>
    <x v="8"/>
    <x v="3"/>
    <x v="2"/>
    <x v="22"/>
    <x v="4"/>
    <x v="11"/>
    <s v="Canceled"/>
    <n v="1"/>
    <x v="7"/>
    <x v="11"/>
    <d v="2025-12-19T00:00:00"/>
    <s v="WRDSPE"/>
    <s v="SK 15/10: in alignment with BRO"/>
    <s v="Technical FTI"/>
    <s v="FAC00236"/>
  </r>
  <r>
    <x v="0"/>
    <x v="0"/>
    <x v="8"/>
    <x v="8"/>
    <x v="3"/>
    <x v="2"/>
    <x v="23"/>
    <x v="4"/>
    <x v="6"/>
    <s v="Confirmed"/>
    <n v="6"/>
    <x v="6"/>
    <x v="11"/>
    <d v="2025-12-19T00:00:00"/>
    <s v="WRDGEN"/>
    <s v="SK 15/10: based on legacy in alignment with BRO Manager based on WiFi coverage"/>
    <m/>
    <s v="FAC00237"/>
  </r>
  <r>
    <x v="1"/>
    <x v="0"/>
    <x v="8"/>
    <x v="8"/>
    <x v="3"/>
    <x v="2"/>
    <x v="23"/>
    <x v="4"/>
    <x v="11"/>
    <s v="Canceled"/>
    <n v="1"/>
    <x v="7"/>
    <x v="11"/>
    <d v="2025-12-19T00:00:00"/>
    <s v="WRDSPE"/>
    <s v="SK 15/10: in alignment with BRO"/>
    <s v="FIFA Technical content"/>
    <s v="FAC00238"/>
  </r>
  <r>
    <x v="1"/>
    <x v="1"/>
    <x v="8"/>
    <x v="8"/>
    <x v="3"/>
    <x v="2"/>
    <x v="23"/>
    <x v="1"/>
    <x v="7"/>
    <s v="Confirmed"/>
    <m/>
    <x v="5"/>
    <x v="11"/>
    <d v="2025-12-19T00:00:00"/>
    <s v="MFDDNW"/>
    <s v=""/>
    <s v="For the HB and Media Partners immediate servicing"/>
    <s v="FAC00239"/>
  </r>
  <r>
    <x v="0"/>
    <x v="0"/>
    <x v="8"/>
    <x v="8"/>
    <x v="3"/>
    <x v="2"/>
    <x v="24"/>
    <x v="4"/>
    <x v="6"/>
    <s v="Confirmed"/>
    <n v="5"/>
    <x v="15"/>
    <x v="11"/>
    <d v="2025-12-19T00:00:00"/>
    <s v="WRDGEN"/>
    <s v=""/>
    <s v="1 drop per studio"/>
    <s v="FAC00240"/>
  </r>
  <r>
    <x v="0"/>
    <x v="0"/>
    <x v="8"/>
    <x v="8"/>
    <x v="3"/>
    <x v="7"/>
    <x v="25"/>
    <x v="4"/>
    <x v="12"/>
    <s v="Confirmed"/>
    <m/>
    <x v="11"/>
    <x v="11"/>
    <d v="2025-12-19T00:00:00"/>
    <s v="WRDSPE"/>
    <s v="SK 15/10: Photo Vlan, based on legacy availability + in alignment with BRO Manager"/>
    <s v="50 Mbps lines for possible Media partners streaming"/>
    <s v="FAC00241"/>
  </r>
  <r>
    <x v="0"/>
    <x v="0"/>
    <x v="8"/>
    <x v="8"/>
    <x v="3"/>
    <x v="8"/>
    <x v="26"/>
    <x v="4"/>
    <x v="12"/>
    <s v="Confirmed"/>
    <m/>
    <x v="10"/>
    <x v="11"/>
    <d v="2025-12-19T00:00:00"/>
    <s v="WRDSPE"/>
    <s v="SK 15/10: Photo Vlan, 4 + 4"/>
    <s v="4 at 16mL and 4 at 16mR - Photographers internet"/>
    <s v="FAC00242"/>
  </r>
  <r>
    <x v="0"/>
    <x v="0"/>
    <x v="8"/>
    <x v="8"/>
    <x v="3"/>
    <x v="8"/>
    <x v="32"/>
    <x v="4"/>
    <x v="12"/>
    <s v="Confirmed"/>
    <m/>
    <x v="11"/>
    <x v="11"/>
    <d v="2025-12-19T00:00:00"/>
    <s v="WRDSPE"/>
    <s v="SK 15/10: Photo Wlan, 2+2 extension of MEO PHO positions closer to goal line"/>
    <s v="2 behind each goal - Photographers internet"/>
    <s v="FAC00243"/>
  </r>
  <r>
    <x v="0"/>
    <x v="0"/>
    <x v="8"/>
    <x v="8"/>
    <x v="3"/>
    <x v="9"/>
    <x v="28"/>
    <x v="4"/>
    <x v="13"/>
    <s v="Confirmed"/>
    <n v="40"/>
    <x v="12"/>
    <x v="11"/>
    <d v="2025-12-19T00:00:00"/>
    <s v="WRDSPE"/>
    <s v="SK 15/10: MEO Vlan"/>
    <s v="Media Internet - exact amount of commentary positions TBC"/>
    <s v="FAC00244"/>
  </r>
  <r>
    <x v="0"/>
    <x v="2"/>
    <x v="8"/>
    <x v="8"/>
    <x v="3"/>
    <x v="9"/>
    <x v="28"/>
    <x v="5"/>
    <x v="14"/>
    <s v="Confirmed"/>
    <n v="20"/>
    <x v="13"/>
    <x v="11"/>
    <d v="2025-12-19T00:00:00"/>
    <s v="TVSMRF"/>
    <s v=""/>
    <s v="Small TV - RF Distro - exact amount of commentary positions TBC"/>
    <s v="FAC00245"/>
  </r>
  <r>
    <x v="0"/>
    <x v="2"/>
    <x v="8"/>
    <x v="8"/>
    <x v="3"/>
    <x v="2"/>
    <x v="23"/>
    <x v="5"/>
    <x v="8"/>
    <s v="Confirmed"/>
    <m/>
    <x v="6"/>
    <x v="11"/>
    <d v="2025-12-19T00:00:00"/>
    <s v="TVLGSA"/>
    <s v="SK 15/10: Changed to IPTV"/>
    <m/>
    <s v="FAC00246"/>
  </r>
  <r>
    <x v="0"/>
    <x v="0"/>
    <x v="8"/>
    <x v="8"/>
    <x v="3"/>
    <x v="2"/>
    <x v="29"/>
    <x v="4"/>
    <x v="6"/>
    <s v="Confirmed"/>
    <m/>
    <x v="6"/>
    <x v="11"/>
    <d v="2025-12-19T00:00:00"/>
    <s v="WRDGEN"/>
    <s v="SK 15/10: provision in alignment with BRO Manager based on WiFi coverage"/>
    <m/>
    <s v="FAC00247"/>
  </r>
  <r>
    <x v="0"/>
    <x v="0"/>
    <x v="8"/>
    <x v="8"/>
    <x v="3"/>
    <x v="2"/>
    <x v="30"/>
    <x v="4"/>
    <x v="6"/>
    <s v="Confirmed"/>
    <m/>
    <x v="6"/>
    <x v="11"/>
    <d v="2025-12-19T00:00:00"/>
    <s v="WRDGEN"/>
    <s v="SK 15/10: provision in alignment with BRO Manager based on WiFi coverage"/>
    <m/>
    <s v="FAC00248"/>
  </r>
  <r>
    <x v="1"/>
    <x v="0"/>
    <x v="8"/>
    <x v="8"/>
    <x v="3"/>
    <x v="2"/>
    <x v="5"/>
    <x v="4"/>
    <x v="6"/>
    <s v="Canceled"/>
    <n v="2"/>
    <x v="7"/>
    <x v="11"/>
    <d v="2025-12-19T00:00:00"/>
    <s v="WRDGEN"/>
    <s v="SK 15/10: as per alignment with BRO"/>
    <s v="Infotainment graphics production - TBC"/>
    <s v="FAC00249"/>
  </r>
  <r>
    <x v="1"/>
    <x v="0"/>
    <x v="8"/>
    <x v="8"/>
    <x v="3"/>
    <x v="10"/>
    <x v="14"/>
    <x v="4"/>
    <x v="6"/>
    <s v="Canceled"/>
    <n v="2"/>
    <x v="7"/>
    <x v="11"/>
    <d v="2025-12-19T00:00:00"/>
    <s v="WRDGEN"/>
    <s v="SK 15/10: as per alignment with BRO"/>
    <s v="Camera platform"/>
    <s v="FAC00250"/>
  </r>
  <r>
    <x v="1"/>
    <x v="0"/>
    <x v="8"/>
    <x v="8"/>
    <x v="3"/>
    <x v="6"/>
    <x v="33"/>
    <x v="4"/>
    <x v="6"/>
    <s v="Canceled"/>
    <n v="6"/>
    <x v="7"/>
    <x v="11"/>
    <d v="2025-12-19T00:00:00"/>
    <s v="WRDGEN"/>
    <s v="SK 15/10: as per alignment with BRO IBC is canceled"/>
    <m/>
    <s v="FAC00251"/>
  </r>
  <r>
    <x v="1"/>
    <x v="0"/>
    <x v="8"/>
    <x v="8"/>
    <x v="3"/>
    <x v="6"/>
    <x v="33"/>
    <x v="4"/>
    <x v="11"/>
    <s v="Canceled"/>
    <n v="2"/>
    <x v="7"/>
    <x v="11"/>
    <d v="2025-12-19T00:00:00"/>
    <s v="WRDSPE"/>
    <s v="SK 15/10: as per alignment with BRO IBC is canceled"/>
    <s v="2x100Mbps dedicated lines for signal uplink"/>
    <s v="FAC00252"/>
  </r>
  <r>
    <x v="0"/>
    <x v="0"/>
    <x v="8"/>
    <x v="8"/>
    <x v="6"/>
    <x v="5"/>
    <x v="34"/>
    <x v="4"/>
    <x v="6"/>
    <s v="Confirmed"/>
    <m/>
    <x v="5"/>
    <x v="11"/>
    <d v="2025-12-20T00:00:00"/>
    <s v="WRDGEN"/>
    <s v=""/>
    <m/>
    <s v="FAC00253"/>
  </r>
  <r>
    <x v="0"/>
    <x v="2"/>
    <x v="8"/>
    <x v="8"/>
    <x v="6"/>
    <x v="5"/>
    <x v="35"/>
    <x v="5"/>
    <x v="8"/>
    <s v="Confirmed"/>
    <m/>
    <x v="5"/>
    <x v="11"/>
    <d v="2025-12-20T00:00:00"/>
    <s v="TVLGSA"/>
    <s v="SK 15/10: Changed to IPTV"/>
    <m/>
    <s v="FAC00254"/>
  </r>
  <r>
    <x v="1"/>
    <x v="0"/>
    <x v="8"/>
    <x v="8"/>
    <x v="0"/>
    <x v="6"/>
    <x v="36"/>
    <x v="4"/>
    <x v="11"/>
    <s v="Canceled"/>
    <n v="2"/>
    <x v="7"/>
    <x v="11"/>
    <d v="2025-12-20T00:00:00"/>
    <s v="WRDSPE"/>
    <s v="SK 15/10: as per alignment with BRO"/>
    <s v="2x20Mbps guaranteed"/>
    <s v="FAC00255"/>
  </r>
  <r>
    <x v="1"/>
    <x v="0"/>
    <x v="8"/>
    <x v="8"/>
    <x v="5"/>
    <x v="6"/>
    <x v="36"/>
    <x v="4"/>
    <x v="11"/>
    <s v="Canceled"/>
    <n v="2"/>
    <x v="7"/>
    <x v="0"/>
    <d v="2025-12-20T00:00:00"/>
    <s v="WRDSPE"/>
    <s v="SK 15/10: as per alignment with BRO"/>
    <s v="2x20Mbps guaranteed"/>
    <s v="FAC00256"/>
  </r>
  <r>
    <x v="1"/>
    <x v="0"/>
    <x v="8"/>
    <x v="8"/>
    <x v="3"/>
    <x v="6"/>
    <x v="36"/>
    <x v="4"/>
    <x v="11"/>
    <s v="Canceled"/>
    <n v="2"/>
    <x v="7"/>
    <x v="11"/>
    <d v="2025-12-19T00:00:00"/>
    <s v="WRDSPE"/>
    <s v="SK 15/10: as per alignment with BRO"/>
    <s v="2x20Mbps guaranteed"/>
    <s v="FAC00257"/>
  </r>
  <r>
    <x v="1"/>
    <x v="0"/>
    <x v="8"/>
    <x v="8"/>
    <x v="2"/>
    <x v="6"/>
    <x v="36"/>
    <x v="4"/>
    <x v="11"/>
    <s v="Canceled"/>
    <n v="2"/>
    <x v="7"/>
    <x v="12"/>
    <d v="2025-12-14T00:00:00"/>
    <s v="WRDSPE"/>
    <s v="SK 15/10: as per alignment with BRO"/>
    <s v="2x20Mbps guaranteed"/>
    <s v="FAC00258"/>
  </r>
  <r>
    <x v="1"/>
    <x v="0"/>
    <x v="8"/>
    <x v="8"/>
    <x v="1"/>
    <x v="6"/>
    <x v="36"/>
    <x v="4"/>
    <x v="11"/>
    <s v="Canceled"/>
    <n v="2"/>
    <x v="7"/>
    <x v="11"/>
    <d v="2025-12-17T00:00:00"/>
    <s v="WRDSPE"/>
    <s v="SK 15/10: as per alignment with BRO"/>
    <s v="2x20Mbps guaranteed"/>
    <s v="FAC00259"/>
  </r>
  <r>
    <x v="1"/>
    <x v="0"/>
    <x v="8"/>
    <x v="8"/>
    <x v="4"/>
    <x v="6"/>
    <x v="36"/>
    <x v="4"/>
    <x v="11"/>
    <s v="Canceled"/>
    <n v="2"/>
    <x v="7"/>
    <x v="11"/>
    <d v="2025-12-14T00:00:00"/>
    <s v="WRDSPE"/>
    <s v="SK 15/10: as per alignment with BRO"/>
    <s v="2x20Mbps guaranteed"/>
    <s v="FAC00260"/>
  </r>
  <r>
    <x v="1"/>
    <x v="0"/>
    <x v="8"/>
    <x v="8"/>
    <x v="0"/>
    <x v="3"/>
    <x v="37"/>
    <x v="4"/>
    <x v="6"/>
    <s v="Canceled"/>
    <n v="5"/>
    <x v="7"/>
    <x v="11"/>
    <d v="2025-12-20T00:00:00"/>
    <s v="WRDGEN"/>
    <s v="SK 15/10: as per alignment with BRO"/>
    <m/>
    <s v="FAC00261"/>
  </r>
  <r>
    <x v="1"/>
    <x v="0"/>
    <x v="8"/>
    <x v="8"/>
    <x v="0"/>
    <x v="3"/>
    <x v="37"/>
    <x v="4"/>
    <x v="11"/>
    <s v="Canceled"/>
    <n v="1"/>
    <x v="7"/>
    <x v="11"/>
    <d v="2025-12-20T00:00:00"/>
    <s v="WRDSPE"/>
    <s v="SK 15/10: as per alignment with BRO"/>
    <s v="1x100Mbps"/>
    <s v="FAC00262"/>
  </r>
  <r>
    <x v="1"/>
    <x v="2"/>
    <x v="8"/>
    <x v="8"/>
    <x v="0"/>
    <x v="3"/>
    <x v="37"/>
    <x v="3"/>
    <x v="5"/>
    <s v="Canceled"/>
    <n v="1"/>
    <x v="7"/>
    <x v="11"/>
    <d v="2025-12-20T00:00:00"/>
    <s v="TVLGSA"/>
    <s v="SK 15/10: as per alignment with BRO"/>
    <m/>
    <s v="FAC00263"/>
  </r>
  <r>
    <x v="1"/>
    <x v="0"/>
    <x v="8"/>
    <x v="8"/>
    <x v="5"/>
    <x v="3"/>
    <x v="37"/>
    <x v="4"/>
    <x v="6"/>
    <s v="Canceled"/>
    <n v="5"/>
    <x v="7"/>
    <x v="0"/>
    <d v="2025-12-20T00:00:00"/>
    <s v="WRDGEN"/>
    <s v="SK 15/10: as per alignment with BRO"/>
    <m/>
    <s v="FAC00264"/>
  </r>
  <r>
    <x v="1"/>
    <x v="0"/>
    <x v="8"/>
    <x v="8"/>
    <x v="5"/>
    <x v="3"/>
    <x v="37"/>
    <x v="4"/>
    <x v="11"/>
    <s v="Canceled"/>
    <n v="1"/>
    <x v="7"/>
    <x v="0"/>
    <d v="2025-12-20T00:00:00"/>
    <s v="WRDSPE"/>
    <s v="SK 15/10: as per alignment with BRO"/>
    <s v="1x100Mbps"/>
    <s v="FAC00265"/>
  </r>
  <r>
    <x v="1"/>
    <x v="2"/>
    <x v="8"/>
    <x v="8"/>
    <x v="5"/>
    <x v="3"/>
    <x v="37"/>
    <x v="3"/>
    <x v="5"/>
    <s v="Canceled"/>
    <n v="1"/>
    <x v="7"/>
    <x v="0"/>
    <d v="2025-12-20T00:00:00"/>
    <s v="TVLGSA"/>
    <s v="SK 15/10: as per alignment with BRO"/>
    <m/>
    <s v="FAC00266"/>
  </r>
  <r>
    <x v="1"/>
    <x v="0"/>
    <x v="8"/>
    <x v="8"/>
    <x v="3"/>
    <x v="3"/>
    <x v="37"/>
    <x v="4"/>
    <x v="6"/>
    <s v="Canceled"/>
    <n v="5"/>
    <x v="7"/>
    <x v="11"/>
    <d v="2025-12-19T00:00:00"/>
    <s v="WRDGEN"/>
    <s v="SK 15/10: as per alignment with BRO"/>
    <m/>
    <s v="FAC00267"/>
  </r>
  <r>
    <x v="1"/>
    <x v="0"/>
    <x v="8"/>
    <x v="8"/>
    <x v="3"/>
    <x v="3"/>
    <x v="37"/>
    <x v="4"/>
    <x v="11"/>
    <s v="Canceled"/>
    <n v="1"/>
    <x v="7"/>
    <x v="11"/>
    <d v="2025-12-19T00:00:00"/>
    <s v="WRDSPE"/>
    <s v="SK 15/10: as per alignment with BRO"/>
    <s v="1x100Mbps"/>
    <s v="FAC00268"/>
  </r>
  <r>
    <x v="1"/>
    <x v="2"/>
    <x v="8"/>
    <x v="8"/>
    <x v="3"/>
    <x v="3"/>
    <x v="37"/>
    <x v="3"/>
    <x v="5"/>
    <s v="Canceled"/>
    <n v="1"/>
    <x v="7"/>
    <x v="11"/>
    <d v="2025-12-19T00:00:00"/>
    <s v="TVLGSA"/>
    <s v="SK 15/10: as per alignment with BRO"/>
    <m/>
    <s v="FAC00269"/>
  </r>
  <r>
    <x v="1"/>
    <x v="0"/>
    <x v="8"/>
    <x v="8"/>
    <x v="2"/>
    <x v="3"/>
    <x v="37"/>
    <x v="4"/>
    <x v="6"/>
    <s v="Canceled"/>
    <n v="5"/>
    <x v="7"/>
    <x v="12"/>
    <d v="2025-12-14T00:00:00"/>
    <s v="WRDGEN"/>
    <s v="SK 15/10: as per alignment with BRO"/>
    <m/>
    <s v="FAC00270"/>
  </r>
  <r>
    <x v="1"/>
    <x v="0"/>
    <x v="8"/>
    <x v="8"/>
    <x v="2"/>
    <x v="3"/>
    <x v="37"/>
    <x v="4"/>
    <x v="11"/>
    <s v="Canceled"/>
    <n v="1"/>
    <x v="7"/>
    <x v="12"/>
    <d v="2025-12-14T00:00:00"/>
    <s v="WRDSPE"/>
    <s v="SK 15/10: as per alignment with BRO"/>
    <s v="1x100Mbps"/>
    <s v="FAC00271"/>
  </r>
  <r>
    <x v="1"/>
    <x v="2"/>
    <x v="8"/>
    <x v="8"/>
    <x v="2"/>
    <x v="3"/>
    <x v="37"/>
    <x v="3"/>
    <x v="5"/>
    <s v="Canceled"/>
    <n v="1"/>
    <x v="7"/>
    <x v="12"/>
    <d v="2025-12-14T00:00:00"/>
    <s v="TVLGSA"/>
    <s v="SK 15/10: as per alignment with BRO"/>
    <m/>
    <s v="FAC00272"/>
  </r>
  <r>
    <x v="1"/>
    <x v="0"/>
    <x v="8"/>
    <x v="8"/>
    <x v="4"/>
    <x v="3"/>
    <x v="37"/>
    <x v="4"/>
    <x v="6"/>
    <s v="Canceled"/>
    <n v="5"/>
    <x v="7"/>
    <x v="11"/>
    <d v="2025-12-14T00:00:00"/>
    <s v="WRDGEN"/>
    <s v="SK 15/10: as per alignment with BRO"/>
    <m/>
    <s v="FAC00273"/>
  </r>
  <r>
    <x v="1"/>
    <x v="0"/>
    <x v="8"/>
    <x v="8"/>
    <x v="4"/>
    <x v="3"/>
    <x v="37"/>
    <x v="4"/>
    <x v="11"/>
    <s v="Canceled"/>
    <n v="1"/>
    <x v="7"/>
    <x v="11"/>
    <d v="2025-12-14T00:00:00"/>
    <s v="WRDSPE"/>
    <s v="SK 15/10: as per alignment with BRO"/>
    <s v="1x100Mbps"/>
    <s v="FAC00274"/>
  </r>
  <r>
    <x v="1"/>
    <x v="2"/>
    <x v="8"/>
    <x v="8"/>
    <x v="4"/>
    <x v="3"/>
    <x v="37"/>
    <x v="3"/>
    <x v="5"/>
    <s v="Canceled"/>
    <n v="1"/>
    <x v="7"/>
    <x v="11"/>
    <d v="2025-12-14T00:00:00"/>
    <s v="TVLGSA"/>
    <s v="SK 15/10: as per alignment with BRO"/>
    <m/>
    <s v="FAC00275"/>
  </r>
  <r>
    <x v="1"/>
    <x v="0"/>
    <x v="8"/>
    <x v="8"/>
    <x v="1"/>
    <x v="3"/>
    <x v="37"/>
    <x v="4"/>
    <x v="6"/>
    <s v="Canceled"/>
    <n v="5"/>
    <x v="7"/>
    <x v="11"/>
    <d v="2025-12-17T00:00:00"/>
    <s v="WRDGEN"/>
    <s v="SK 15/10: as per alignment with BRO"/>
    <m/>
    <s v="FAC00276"/>
  </r>
  <r>
    <x v="1"/>
    <x v="0"/>
    <x v="8"/>
    <x v="8"/>
    <x v="1"/>
    <x v="3"/>
    <x v="37"/>
    <x v="4"/>
    <x v="11"/>
    <s v="Canceled"/>
    <n v="1"/>
    <x v="7"/>
    <x v="11"/>
    <d v="2025-12-17T00:00:00"/>
    <s v="WRDSPE"/>
    <s v="SK 15/10: as per alignment with BRO"/>
    <s v="1x100Mbps"/>
    <s v="FAC00277"/>
  </r>
  <r>
    <x v="1"/>
    <x v="2"/>
    <x v="8"/>
    <x v="8"/>
    <x v="1"/>
    <x v="3"/>
    <x v="37"/>
    <x v="3"/>
    <x v="5"/>
    <s v="Canceled"/>
    <n v="1"/>
    <x v="7"/>
    <x v="11"/>
    <d v="2025-12-17T00:00:00"/>
    <s v="TVLGSA"/>
    <s v="SK 15/10: as per alignment with BRO"/>
    <m/>
    <s v="FAC00278"/>
  </r>
  <r>
    <x v="0"/>
    <x v="2"/>
    <x v="8"/>
    <x v="8"/>
    <x v="0"/>
    <x v="10"/>
    <x v="14"/>
    <x v="3"/>
    <x v="15"/>
    <s v="Confirmed"/>
    <m/>
    <x v="5"/>
    <x v="11"/>
    <d v="2025-12-20T00:00:00"/>
    <s v="AVRSPE"/>
    <s v="SK 15/10: In Scope"/>
    <s v="Audio splitter box - 20 outputs (floor/translation)"/>
    <s v="FAC00279"/>
  </r>
  <r>
    <x v="0"/>
    <x v="2"/>
    <x v="8"/>
    <x v="8"/>
    <x v="1"/>
    <x v="10"/>
    <x v="14"/>
    <x v="3"/>
    <x v="15"/>
    <s v="Confirmed"/>
    <m/>
    <x v="5"/>
    <x v="11"/>
    <d v="2025-12-17T00:00:00"/>
    <s v="AVRSPE"/>
    <s v="SK 15/10: In Scope"/>
    <s v="Audio splitter box - 20 outputs (floor/translation)"/>
    <s v="FAC00280"/>
  </r>
  <r>
    <x v="0"/>
    <x v="2"/>
    <x v="8"/>
    <x v="8"/>
    <x v="4"/>
    <x v="10"/>
    <x v="14"/>
    <x v="3"/>
    <x v="15"/>
    <s v="Confirmed"/>
    <m/>
    <x v="5"/>
    <x v="11"/>
    <d v="2025-12-14T00:00:00"/>
    <s v="AVRSPE"/>
    <s v="SK 15/10: In Scope"/>
    <s v="Audio splitter box - 20 outputs (floor/translation)"/>
    <s v="FAC00281"/>
  </r>
  <r>
    <x v="0"/>
    <x v="2"/>
    <x v="8"/>
    <x v="8"/>
    <x v="2"/>
    <x v="10"/>
    <x v="14"/>
    <x v="3"/>
    <x v="15"/>
    <s v="Confirmed"/>
    <m/>
    <x v="5"/>
    <x v="11"/>
    <d v="2025-12-14T00:00:00"/>
    <s v="AVRSPE"/>
    <s v="SK 15/10: In Scope"/>
    <s v="Audio splitter box - 20 outputs (floor/translation)"/>
    <s v="FAC00282"/>
  </r>
  <r>
    <x v="0"/>
    <x v="2"/>
    <x v="8"/>
    <x v="8"/>
    <x v="3"/>
    <x v="10"/>
    <x v="14"/>
    <x v="3"/>
    <x v="15"/>
    <s v="Confirmed"/>
    <m/>
    <x v="5"/>
    <x v="11"/>
    <d v="2025-12-19T00:00:00"/>
    <s v="AVRSPE"/>
    <s v="SK 15/10: In Scope"/>
    <s v="Audio splitter box - 20 outputs (floor/translation)"/>
    <s v="FAC00283"/>
  </r>
  <r>
    <x v="0"/>
    <x v="2"/>
    <x v="8"/>
    <x v="8"/>
    <x v="5"/>
    <x v="10"/>
    <x v="14"/>
    <x v="3"/>
    <x v="15"/>
    <s v="Confirmed"/>
    <m/>
    <x v="5"/>
    <x v="11"/>
    <d v="2025-12-20T00:00:00"/>
    <s v="AVRSPE"/>
    <s v="SK 15/10: In Scope"/>
    <s v="Audio splitter box - 20 outputs (floor/translation)"/>
    <s v="FAC00284"/>
  </r>
  <r>
    <x v="0"/>
    <x v="2"/>
    <x v="8"/>
    <x v="8"/>
    <x v="6"/>
    <x v="5"/>
    <x v="14"/>
    <x v="3"/>
    <x v="15"/>
    <s v="Confirmed"/>
    <m/>
    <x v="5"/>
    <x v="11"/>
    <d v="2025-12-20T00:00:00"/>
    <s v="AVRSPE"/>
    <s v=""/>
    <s v="Audio splitter box - 20 outputs (floor/translation)"/>
    <s v="FAC00285"/>
  </r>
  <r>
    <x v="0"/>
    <x v="0"/>
    <x v="3"/>
    <x v="3"/>
    <x v="1"/>
    <x v="3"/>
    <x v="38"/>
    <x v="0"/>
    <x v="1"/>
    <s v="Confirmed"/>
    <m/>
    <x v="11"/>
    <x v="13"/>
    <d v="2025-12-28T00:00:00"/>
    <s v="WANGEN"/>
    <s v=""/>
    <s v="If there is no wifi available in our compound, then LOG would need Cable Network Connection"/>
    <s v="FAC00286"/>
  </r>
  <r>
    <x v="0"/>
    <x v="1"/>
    <x v="3"/>
    <x v="3"/>
    <x v="1"/>
    <x v="3"/>
    <x v="38"/>
    <x v="1"/>
    <x v="7"/>
    <s v="Confirmed"/>
    <m/>
    <x v="5"/>
    <x v="13"/>
    <d v="2025-12-28T00:00:00"/>
    <s v="MFDDNW"/>
    <s v=""/>
    <s v="LOG has to print Truck Manufests, Delivery Notes, Room Data Sheets, Pallet Label and the compound will be far from Aspire Dome"/>
    <s v="FAC00287"/>
  </r>
  <r>
    <x v="0"/>
    <x v="0"/>
    <x v="3"/>
    <x v="3"/>
    <x v="0"/>
    <x v="3"/>
    <x v="38"/>
    <x v="0"/>
    <x v="1"/>
    <s v="Confirmed"/>
    <m/>
    <x v="11"/>
    <x v="14"/>
    <d v="2025-12-31T00:00:00"/>
    <s v="WANGEN"/>
    <s v=""/>
    <s v="If there is no wifi available in our compound, then LOG would need Cable Network Connection"/>
    <s v="FAC00288"/>
  </r>
  <r>
    <x v="1"/>
    <x v="1"/>
    <x v="3"/>
    <x v="3"/>
    <x v="0"/>
    <x v="3"/>
    <x v="38"/>
    <x v="1"/>
    <x v="7"/>
    <s v="Confirmed"/>
    <m/>
    <x v="5"/>
    <x v="14"/>
    <d v="2025-12-31T00:00:00"/>
    <s v="MFDDNW"/>
    <s v=""/>
    <s v="LOG has to print Truck Manufests, Delivery Notes, Room Data Sheets, Pallet Label and the compound will be far from Aspire Dome"/>
    <s v="FAC00289"/>
  </r>
  <r>
    <x v="0"/>
    <x v="0"/>
    <x v="3"/>
    <x v="3"/>
    <x v="2"/>
    <x v="2"/>
    <x v="38"/>
    <x v="0"/>
    <x v="1"/>
    <s v="Confirmed"/>
    <m/>
    <x v="11"/>
    <x v="14"/>
    <d v="2025-12-20T00:00:00"/>
    <s v="WANGEN"/>
    <s v=""/>
    <s v="If there is no wifi available in our compound, then LOG would need Cable Network Connection"/>
    <s v="FAC00290"/>
  </r>
  <r>
    <x v="1"/>
    <x v="1"/>
    <x v="3"/>
    <x v="3"/>
    <x v="2"/>
    <x v="2"/>
    <x v="38"/>
    <x v="1"/>
    <x v="7"/>
    <s v="Confirmed"/>
    <m/>
    <x v="5"/>
    <x v="14"/>
    <d v="2025-12-20T00:00:00"/>
    <s v="MFDDNW"/>
    <s v=""/>
    <s v="LOG has to print Truck Manufests, Delivery Notes, Room Data Sheets, Pallet Label and the compound will be far from Aspire Dome"/>
    <s v="FAC00291"/>
  </r>
  <r>
    <x v="1"/>
    <x v="0"/>
    <x v="3"/>
    <x v="3"/>
    <x v="3"/>
    <x v="2"/>
    <x v="38"/>
    <x v="0"/>
    <x v="1"/>
    <s v="Confirmed"/>
    <m/>
    <x v="11"/>
    <x v="14"/>
    <d v="2025-12-28T00:00:00"/>
    <s v="WANGEN"/>
    <s v=""/>
    <s v="If there is no wifi available in our compound, then LOG would need Cable Network Connection"/>
    <s v="FAC00292"/>
  </r>
  <r>
    <x v="1"/>
    <x v="1"/>
    <x v="3"/>
    <x v="3"/>
    <x v="3"/>
    <x v="2"/>
    <x v="38"/>
    <x v="1"/>
    <x v="7"/>
    <s v="Confirmed"/>
    <m/>
    <x v="5"/>
    <x v="14"/>
    <d v="2025-12-28T00:00:00"/>
    <s v="MFDDNW"/>
    <s v=""/>
    <s v="LOG has to print Truck Manufests, Delivery Notes, Room Data Sheets, Pallet Label and the compound will be far from Aspire Dome"/>
    <s v="FAC00293"/>
  </r>
  <r>
    <x v="0"/>
    <x v="0"/>
    <x v="3"/>
    <x v="3"/>
    <x v="4"/>
    <x v="3"/>
    <x v="38"/>
    <x v="0"/>
    <x v="1"/>
    <s v="Confirmed"/>
    <m/>
    <x v="11"/>
    <x v="14"/>
    <d v="2025-12-25T00:00:00"/>
    <s v="WANGEN"/>
    <s v=""/>
    <s v="If there is no wifi available in our compound, then LOG would need Cable Network Connection"/>
    <s v="FAC00294"/>
  </r>
  <r>
    <x v="1"/>
    <x v="1"/>
    <x v="3"/>
    <x v="3"/>
    <x v="4"/>
    <x v="3"/>
    <x v="38"/>
    <x v="1"/>
    <x v="7"/>
    <s v="Confirmed"/>
    <m/>
    <x v="5"/>
    <x v="14"/>
    <d v="2025-12-25T00:00:00"/>
    <s v="MFDDNW"/>
    <s v=""/>
    <s v="LOG has to print Truck Manufests, Delivery Notes, Room Data Sheets, Pallet Label and the compound will be far from Aspire Dome"/>
    <s v="FAC00295"/>
  </r>
  <r>
    <x v="0"/>
    <x v="0"/>
    <x v="3"/>
    <x v="3"/>
    <x v="5"/>
    <x v="3"/>
    <x v="38"/>
    <x v="0"/>
    <x v="1"/>
    <s v="Confirmed"/>
    <m/>
    <x v="11"/>
    <x v="15"/>
    <d v="2025-12-31T00:00:00"/>
    <s v="WANGEN"/>
    <s v=""/>
    <s v="If there is no wifi available in our compound, then LOG would need Cable Network Connection"/>
    <s v="FAC00296"/>
  </r>
  <r>
    <x v="1"/>
    <x v="1"/>
    <x v="3"/>
    <x v="3"/>
    <x v="5"/>
    <x v="3"/>
    <x v="38"/>
    <x v="1"/>
    <x v="7"/>
    <s v="Confirmed"/>
    <m/>
    <x v="5"/>
    <x v="15"/>
    <d v="2025-12-31T00:00:00"/>
    <s v="MFDDNW"/>
    <s v=""/>
    <s v="LOG has to print Truck Manufests, Delivery Notes, Room Data Sheets, Pallet Label and the compound will be far from Aspire Dome"/>
    <s v="FAC00297"/>
  </r>
  <r>
    <x v="1"/>
    <x v="0"/>
    <x v="3"/>
    <x v="3"/>
    <x v="1"/>
    <x v="3"/>
    <x v="38"/>
    <x v="4"/>
    <x v="6"/>
    <s v="Canceled"/>
    <n v="4"/>
    <x v="7"/>
    <x v="13"/>
    <d v="2025-12-28T00:00:00"/>
    <s v="WRDGEN"/>
    <s v="SK 07/10: Wired Port will be provided if required by specific case"/>
    <m/>
    <s v="FAC00298"/>
  </r>
  <r>
    <x v="1"/>
    <x v="0"/>
    <x v="3"/>
    <x v="3"/>
    <x v="0"/>
    <x v="3"/>
    <x v="38"/>
    <x v="4"/>
    <x v="6"/>
    <s v="Canceled"/>
    <n v="4"/>
    <x v="7"/>
    <x v="14"/>
    <d v="2025-12-31T00:00:00"/>
    <s v="WRDGEN"/>
    <s v="SK 07/10: Wired Port will be provided if required by specific case"/>
    <m/>
    <s v="FAC00299"/>
  </r>
  <r>
    <x v="1"/>
    <x v="0"/>
    <x v="3"/>
    <x v="3"/>
    <x v="2"/>
    <x v="3"/>
    <x v="38"/>
    <x v="4"/>
    <x v="6"/>
    <s v="Canceled"/>
    <n v="4"/>
    <x v="7"/>
    <x v="14"/>
    <d v="2025-12-20T00:00:00"/>
    <s v="WRDGEN"/>
    <s v="SK 07/10: Wired Port will be provided if required by specific case"/>
    <m/>
    <s v="FAC00300"/>
  </r>
  <r>
    <x v="1"/>
    <x v="0"/>
    <x v="3"/>
    <x v="3"/>
    <x v="3"/>
    <x v="3"/>
    <x v="38"/>
    <x v="4"/>
    <x v="6"/>
    <s v="Canceled"/>
    <n v="4"/>
    <x v="7"/>
    <x v="14"/>
    <d v="2025-12-28T00:00:00"/>
    <s v="WRDGEN"/>
    <s v="SK 07/10: Wired Port will be provided if required by specific case"/>
    <m/>
    <s v="FAC00301"/>
  </r>
  <r>
    <x v="1"/>
    <x v="0"/>
    <x v="3"/>
    <x v="3"/>
    <x v="4"/>
    <x v="3"/>
    <x v="38"/>
    <x v="4"/>
    <x v="6"/>
    <s v="Canceled"/>
    <n v="4"/>
    <x v="7"/>
    <x v="14"/>
    <d v="2025-12-25T00:00:00"/>
    <s v="WRDGEN"/>
    <s v="SK 07/10: Wired Port will be provided if required by specific case"/>
    <m/>
    <s v="FAC00302"/>
  </r>
  <r>
    <x v="1"/>
    <x v="0"/>
    <x v="3"/>
    <x v="3"/>
    <x v="5"/>
    <x v="3"/>
    <x v="38"/>
    <x v="4"/>
    <x v="6"/>
    <s v="Canceled"/>
    <n v="4"/>
    <x v="7"/>
    <x v="15"/>
    <d v="2025-12-31T00:00:00"/>
    <s v="WRDGEN"/>
    <s v="SK 07/10: Wired Port will be provided if required by specific case"/>
    <m/>
    <s v="FAC00303"/>
  </r>
  <r>
    <x v="1"/>
    <x v="1"/>
    <x v="3"/>
    <x v="3"/>
    <x v="6"/>
    <x v="11"/>
    <x v="39"/>
    <x v="2"/>
    <x v="3"/>
    <s v="Confirmed"/>
    <m/>
    <x v="5"/>
    <x v="4"/>
    <d v="2025-12-13T00:00:00"/>
    <s v="LAPOPS"/>
    <s v="SK 17.09: Merged with FAC00307 and FAC01050_x000a_MI 1.10: RSP start date is changed to 27 Oct from 1 Nov and End date changed to 19 Dec from 13 Dec as per Maria to cover U17 &amp; FAC"/>
    <m/>
    <s v="FAC00304"/>
  </r>
  <r>
    <x v="1"/>
    <x v="1"/>
    <x v="3"/>
    <x v="3"/>
    <x v="6"/>
    <x v="11"/>
    <x v="39"/>
    <x v="1"/>
    <x v="7"/>
    <s v="Confirmed"/>
    <m/>
    <x v="5"/>
    <x v="4"/>
    <d v="2025-12-13T00:00:00"/>
    <s v="MFDDNW"/>
    <s v="SK 17.09: Merged with FAC00308 and FAC01051_x000a_MI 1.10: RSP start date is changed to 27 Oct from 1 Nov and End date changed to 19 Dec from 13 Dec as per Maria to cover U17 &amp; FAC"/>
    <s v="LOG Point is outside of RSP and  to print the daily MDS bookings to share with SEC and daily reports"/>
    <s v="FAC00305"/>
  </r>
  <r>
    <x v="1"/>
    <x v="3"/>
    <x v="3"/>
    <x v="3"/>
    <x v="6"/>
    <x v="11"/>
    <x v="39"/>
    <x v="6"/>
    <x v="16"/>
    <s v="Confirmed"/>
    <m/>
    <x v="5"/>
    <x v="4"/>
    <d v="2025-12-13T00:00:00"/>
    <s v="ITSR4G"/>
    <s v="SK 17.09: WiFi converted to MiFi_x000a_Merged with FAC00309 and FAC01052_x000a_MI 1.10: RSP start date is changed to 27 Oct from 1 Nov and End date changed to 19 Dec from 13 Dec as per Maria to cover U17 &amp; FAC"/>
    <s v="if the general wifi doesn't work at log point, then we would need wifi mobile"/>
    <s v="FAC00306"/>
  </r>
  <r>
    <x v="1"/>
    <x v="1"/>
    <x v="9"/>
    <x v="9"/>
    <x v="6"/>
    <x v="1"/>
    <x v="40"/>
    <x v="2"/>
    <x v="3"/>
    <s v="Confirmed"/>
    <m/>
    <x v="6"/>
    <x v="1"/>
    <d v="2025-12-16T00:00:00"/>
    <s v="LAPOPS"/>
    <s v="SK 23.09: Merged with U17 requirements_x000a_MI 02.10: VAPP office location changed to Ground floor from MOC"/>
    <s v="JM 22:10 I recieved email yesterday asking to discard the laptop as they got them from LOC"/>
    <s v="FAC00696"/>
  </r>
  <r>
    <x v="1"/>
    <x v="1"/>
    <x v="9"/>
    <x v="9"/>
    <x v="6"/>
    <x v="1"/>
    <x v="40"/>
    <x v="2"/>
    <x v="17"/>
    <s v="Confirmed"/>
    <m/>
    <x v="6"/>
    <x v="1"/>
    <d v="2025-12-16T00:00:00"/>
    <s v="DSKMNT"/>
    <s v="SK 23.09: Merged with U17 requirements_x000a_MI 02.10: VAPP office location changed to Ground floor from MOC"/>
    <m/>
    <s v="FAC00697"/>
  </r>
  <r>
    <x v="1"/>
    <x v="0"/>
    <x v="9"/>
    <x v="9"/>
    <x v="6"/>
    <x v="1"/>
    <x v="40"/>
    <x v="0"/>
    <x v="1"/>
    <s v="Confirmed"/>
    <m/>
    <x v="5"/>
    <x v="1"/>
    <d v="2025-12-16T00:00:00"/>
    <s v="WANGEN"/>
    <s v="MI 02.10: VAPP office location changed to Ground floor from MOC"/>
    <m/>
    <s v="FAC00698"/>
  </r>
  <r>
    <x v="0"/>
    <x v="1"/>
    <x v="10"/>
    <x v="10"/>
    <x v="0"/>
    <x v="2"/>
    <x v="41"/>
    <x v="1"/>
    <x v="7"/>
    <s v="Confirmed"/>
    <m/>
    <x v="5"/>
    <x v="16"/>
    <d v="2025-12-20T00:00:00"/>
    <s v="MFDLNW"/>
    <s v="SK 21/10: Changed to A4 from A3 in Alignment with Valentin S."/>
    <s v="To be located inside SSOC office for security related documents."/>
    <s v="FAC00313"/>
  </r>
  <r>
    <x v="1"/>
    <x v="2"/>
    <x v="10"/>
    <x v="10"/>
    <x v="0"/>
    <x v="2"/>
    <x v="42"/>
    <x v="3"/>
    <x v="5"/>
    <s v="Confirmed"/>
    <m/>
    <x v="5"/>
    <x v="16"/>
    <d v="2025-12-20T00:00:00"/>
    <s v="TVLGSA"/>
    <s v="SK 21/10: Based on room specific"/>
    <m/>
    <s v="FAC00314"/>
  </r>
  <r>
    <x v="0"/>
    <x v="0"/>
    <x v="10"/>
    <x v="10"/>
    <x v="0"/>
    <x v="2"/>
    <x v="43"/>
    <x v="0"/>
    <x v="1"/>
    <s v="Confirmed"/>
    <m/>
    <x v="5"/>
    <x v="16"/>
    <d v="2025-12-20T00:00:00"/>
    <s v="WANGEN"/>
    <m/>
    <m/>
    <s v="FAC00315"/>
  </r>
  <r>
    <x v="0"/>
    <x v="0"/>
    <x v="10"/>
    <x v="10"/>
    <x v="0"/>
    <x v="2"/>
    <x v="44"/>
    <x v="0"/>
    <x v="1"/>
    <s v="To Validate"/>
    <m/>
    <x v="5"/>
    <x v="16"/>
    <d v="2025-12-20T00:00:00"/>
    <s v="WANGEN"/>
    <s v="SK 21/10: Based on legacy availability"/>
    <m/>
    <s v="FAC00316"/>
  </r>
  <r>
    <x v="0"/>
    <x v="0"/>
    <x v="10"/>
    <x v="10"/>
    <x v="0"/>
    <x v="2"/>
    <x v="45"/>
    <x v="0"/>
    <x v="1"/>
    <s v="Confirmed"/>
    <m/>
    <x v="5"/>
    <x v="16"/>
    <d v="2025-12-20T00:00:00"/>
    <s v="WANGEN"/>
    <m/>
    <m/>
    <s v="FAC00317"/>
  </r>
  <r>
    <x v="1"/>
    <x v="1"/>
    <x v="10"/>
    <x v="10"/>
    <x v="3"/>
    <x v="2"/>
    <x v="41"/>
    <x v="1"/>
    <x v="7"/>
    <s v="Confirmed"/>
    <m/>
    <x v="5"/>
    <x v="16"/>
    <d v="2025-12-19T00:00:00"/>
    <s v="MFDLNW"/>
    <s v="SK 21/10: Changed to A4 from A3 in Alignment with Valentin S."/>
    <s v="To be located inside SSOC office for security related documents."/>
    <s v="FAC00318"/>
  </r>
  <r>
    <x v="0"/>
    <x v="2"/>
    <x v="10"/>
    <x v="10"/>
    <x v="3"/>
    <x v="2"/>
    <x v="42"/>
    <x v="3"/>
    <x v="5"/>
    <s v="Confirmed"/>
    <m/>
    <x v="5"/>
    <x v="16"/>
    <d v="2025-12-19T00:00:00"/>
    <s v="TVLGSA"/>
    <s v="SK 21/10: Based on room specific"/>
    <m/>
    <s v="FAC00319"/>
  </r>
  <r>
    <x v="1"/>
    <x v="0"/>
    <x v="10"/>
    <x v="10"/>
    <x v="3"/>
    <x v="2"/>
    <x v="43"/>
    <x v="0"/>
    <x v="1"/>
    <s v="Confirmed"/>
    <m/>
    <x v="5"/>
    <x v="16"/>
    <d v="2025-12-19T00:00:00"/>
    <s v="WANGEN"/>
    <m/>
    <m/>
    <s v="FAC00320"/>
  </r>
  <r>
    <x v="1"/>
    <x v="0"/>
    <x v="10"/>
    <x v="10"/>
    <x v="3"/>
    <x v="2"/>
    <x v="44"/>
    <x v="0"/>
    <x v="1"/>
    <s v="To Validate"/>
    <m/>
    <x v="5"/>
    <x v="16"/>
    <d v="2025-12-19T00:00:00"/>
    <s v="WANGEN"/>
    <s v="SK 21/10: Based on legacy availability"/>
    <m/>
    <s v="FAC00321"/>
  </r>
  <r>
    <x v="1"/>
    <x v="0"/>
    <x v="10"/>
    <x v="10"/>
    <x v="3"/>
    <x v="2"/>
    <x v="45"/>
    <x v="0"/>
    <x v="1"/>
    <s v="Confirmed"/>
    <m/>
    <x v="5"/>
    <x v="16"/>
    <d v="2025-12-19T00:00:00"/>
    <s v="WANGEN"/>
    <m/>
    <m/>
    <s v="FAC00322"/>
  </r>
  <r>
    <x v="0"/>
    <x v="1"/>
    <x v="10"/>
    <x v="10"/>
    <x v="1"/>
    <x v="2"/>
    <x v="41"/>
    <x v="1"/>
    <x v="7"/>
    <s v="Confirmed"/>
    <m/>
    <x v="5"/>
    <x v="16"/>
    <d v="2025-12-17T00:00:00"/>
    <s v="MFDLNW"/>
    <s v="SK 21/10: Changed to A4 from A3 in Alignment with Valentin S."/>
    <s v="To be located inside SSOC office for security related documents."/>
    <s v="FAC00323"/>
  </r>
  <r>
    <x v="0"/>
    <x v="2"/>
    <x v="10"/>
    <x v="10"/>
    <x v="1"/>
    <x v="2"/>
    <x v="42"/>
    <x v="3"/>
    <x v="5"/>
    <s v="Confirmed"/>
    <m/>
    <x v="5"/>
    <x v="16"/>
    <d v="2025-12-17T00:00:00"/>
    <s v="TVLGSA"/>
    <s v="SK 21/10: Based on room specific"/>
    <m/>
    <s v="FAC00324"/>
  </r>
  <r>
    <x v="0"/>
    <x v="0"/>
    <x v="10"/>
    <x v="10"/>
    <x v="1"/>
    <x v="2"/>
    <x v="43"/>
    <x v="0"/>
    <x v="1"/>
    <s v="Confirmed"/>
    <m/>
    <x v="5"/>
    <x v="16"/>
    <d v="2025-12-17T00:00:00"/>
    <s v="WANGEN"/>
    <m/>
    <m/>
    <s v="FAC00325"/>
  </r>
  <r>
    <x v="0"/>
    <x v="0"/>
    <x v="10"/>
    <x v="10"/>
    <x v="1"/>
    <x v="2"/>
    <x v="44"/>
    <x v="0"/>
    <x v="1"/>
    <s v="To Validate"/>
    <m/>
    <x v="5"/>
    <x v="16"/>
    <d v="2025-12-17T00:00:00"/>
    <s v="WANGEN"/>
    <s v="SK 21/10: Based on legacy availability"/>
    <m/>
    <s v="FAC00326"/>
  </r>
  <r>
    <x v="0"/>
    <x v="0"/>
    <x v="10"/>
    <x v="10"/>
    <x v="1"/>
    <x v="2"/>
    <x v="45"/>
    <x v="0"/>
    <x v="1"/>
    <s v="Confirmed"/>
    <m/>
    <x v="5"/>
    <x v="16"/>
    <d v="2025-12-17T00:00:00"/>
    <s v="WANGEN"/>
    <m/>
    <m/>
    <s v="FAC00327"/>
  </r>
  <r>
    <x v="1"/>
    <x v="1"/>
    <x v="10"/>
    <x v="10"/>
    <x v="2"/>
    <x v="2"/>
    <x v="41"/>
    <x v="1"/>
    <x v="7"/>
    <s v="Confirmed"/>
    <m/>
    <x v="5"/>
    <x v="16"/>
    <d v="2025-12-11T00:00:00"/>
    <s v="MFDLNW"/>
    <s v="SK 21/10: Changed to A4 from A3 in Alignment with Valentin S."/>
    <s v="To be located inside SSOC office for security related documents."/>
    <s v="FAC00328"/>
  </r>
  <r>
    <x v="0"/>
    <x v="2"/>
    <x v="10"/>
    <x v="10"/>
    <x v="2"/>
    <x v="2"/>
    <x v="42"/>
    <x v="3"/>
    <x v="5"/>
    <s v="Confirmed"/>
    <m/>
    <x v="5"/>
    <x v="16"/>
    <d v="2025-12-11T00:00:00"/>
    <s v="TVLGSA"/>
    <s v="SK 21/10: Based on room specific"/>
    <m/>
    <s v="FAC00329"/>
  </r>
  <r>
    <x v="0"/>
    <x v="0"/>
    <x v="10"/>
    <x v="10"/>
    <x v="2"/>
    <x v="2"/>
    <x v="43"/>
    <x v="0"/>
    <x v="1"/>
    <s v="Confirmed"/>
    <m/>
    <x v="5"/>
    <x v="16"/>
    <d v="2025-12-11T00:00:00"/>
    <s v="WANGEN"/>
    <m/>
    <m/>
    <s v="FAC00330"/>
  </r>
  <r>
    <x v="0"/>
    <x v="0"/>
    <x v="10"/>
    <x v="10"/>
    <x v="2"/>
    <x v="2"/>
    <x v="44"/>
    <x v="0"/>
    <x v="1"/>
    <s v="To Validate"/>
    <m/>
    <x v="5"/>
    <x v="16"/>
    <d v="2025-12-11T00:00:00"/>
    <s v="WANGEN"/>
    <s v="SK 21/10: Based on legacy availability"/>
    <m/>
    <s v="FAC00331"/>
  </r>
  <r>
    <x v="0"/>
    <x v="0"/>
    <x v="10"/>
    <x v="10"/>
    <x v="2"/>
    <x v="2"/>
    <x v="45"/>
    <x v="0"/>
    <x v="1"/>
    <s v="Confirmed"/>
    <m/>
    <x v="5"/>
    <x v="16"/>
    <d v="2025-12-11T00:00:00"/>
    <s v="WANGEN"/>
    <m/>
    <m/>
    <s v="FAC00332"/>
  </r>
  <r>
    <x v="1"/>
    <x v="1"/>
    <x v="10"/>
    <x v="10"/>
    <x v="4"/>
    <x v="2"/>
    <x v="41"/>
    <x v="1"/>
    <x v="7"/>
    <s v="Confirmed"/>
    <m/>
    <x v="5"/>
    <x v="16"/>
    <d v="2025-12-14T00:00:00"/>
    <s v="MFDLNW"/>
    <s v="SK 21/10: Changed to A4 from A3 in Alignment with Valentin S."/>
    <s v="To be located inside SSOC office for security related documents."/>
    <s v="FAC00333"/>
  </r>
  <r>
    <x v="0"/>
    <x v="2"/>
    <x v="10"/>
    <x v="10"/>
    <x v="4"/>
    <x v="2"/>
    <x v="42"/>
    <x v="3"/>
    <x v="5"/>
    <s v="Confirmed"/>
    <m/>
    <x v="5"/>
    <x v="16"/>
    <d v="2025-12-14T00:00:00"/>
    <s v="TVLGSA"/>
    <s v="SK 21/10: Based on room specific"/>
    <m/>
    <s v="FAC00334"/>
  </r>
  <r>
    <x v="0"/>
    <x v="0"/>
    <x v="10"/>
    <x v="10"/>
    <x v="4"/>
    <x v="2"/>
    <x v="43"/>
    <x v="0"/>
    <x v="1"/>
    <s v="Confirmed"/>
    <m/>
    <x v="5"/>
    <x v="16"/>
    <d v="2025-12-14T00:00:00"/>
    <s v="WANGEN"/>
    <m/>
    <m/>
    <s v="FAC00335"/>
  </r>
  <r>
    <x v="0"/>
    <x v="0"/>
    <x v="10"/>
    <x v="10"/>
    <x v="4"/>
    <x v="2"/>
    <x v="44"/>
    <x v="0"/>
    <x v="1"/>
    <s v="To Validate"/>
    <m/>
    <x v="5"/>
    <x v="16"/>
    <d v="2025-12-14T00:00:00"/>
    <s v="WANGEN"/>
    <s v="SK 21/10: Based on legacy availability"/>
    <m/>
    <s v="FAC00336"/>
  </r>
  <r>
    <x v="0"/>
    <x v="0"/>
    <x v="10"/>
    <x v="10"/>
    <x v="4"/>
    <x v="2"/>
    <x v="45"/>
    <x v="0"/>
    <x v="1"/>
    <s v="Confirmed"/>
    <m/>
    <x v="5"/>
    <x v="16"/>
    <d v="2025-12-14T00:00:00"/>
    <s v="WANGEN"/>
    <m/>
    <m/>
    <s v="FAC00337"/>
  </r>
  <r>
    <x v="0"/>
    <x v="1"/>
    <x v="10"/>
    <x v="10"/>
    <x v="5"/>
    <x v="2"/>
    <x v="41"/>
    <x v="1"/>
    <x v="7"/>
    <s v="Confirmed"/>
    <m/>
    <x v="5"/>
    <x v="1"/>
    <d v="2025-12-20T00:00:00"/>
    <s v="MFDLNW"/>
    <s v="SK 21/10: Changed to A4 from A3 in Alignment with Valentin S."/>
    <s v="To be located inside SSOC office for security related documents."/>
    <s v="FAC00338"/>
  </r>
  <r>
    <x v="0"/>
    <x v="2"/>
    <x v="10"/>
    <x v="10"/>
    <x v="5"/>
    <x v="2"/>
    <x v="42"/>
    <x v="3"/>
    <x v="5"/>
    <s v="Confirmed"/>
    <m/>
    <x v="5"/>
    <x v="1"/>
    <d v="2025-12-20T00:00:00"/>
    <s v="TVLGSA"/>
    <s v="SK 21/10: Based on room specific"/>
    <m/>
    <s v="FAC00339"/>
  </r>
  <r>
    <x v="0"/>
    <x v="0"/>
    <x v="10"/>
    <x v="10"/>
    <x v="5"/>
    <x v="2"/>
    <x v="43"/>
    <x v="0"/>
    <x v="1"/>
    <s v="Confirmed"/>
    <m/>
    <x v="5"/>
    <x v="1"/>
    <d v="2025-12-20T00:00:00"/>
    <s v="WANGEN"/>
    <m/>
    <m/>
    <s v="FAC00340"/>
  </r>
  <r>
    <x v="0"/>
    <x v="0"/>
    <x v="10"/>
    <x v="10"/>
    <x v="5"/>
    <x v="2"/>
    <x v="44"/>
    <x v="0"/>
    <x v="1"/>
    <s v="To Validate"/>
    <m/>
    <x v="5"/>
    <x v="1"/>
    <d v="2025-12-20T00:00:00"/>
    <s v="WANGEN"/>
    <s v="SK 21/10: Based on legacy availability"/>
    <m/>
    <s v="FAC00341"/>
  </r>
  <r>
    <x v="0"/>
    <x v="0"/>
    <x v="10"/>
    <x v="10"/>
    <x v="5"/>
    <x v="2"/>
    <x v="45"/>
    <x v="0"/>
    <x v="1"/>
    <s v="Confirmed"/>
    <m/>
    <x v="5"/>
    <x v="1"/>
    <d v="2025-12-20T00:00:00"/>
    <s v="WANGEN"/>
    <m/>
    <m/>
    <s v="FAC00342"/>
  </r>
  <r>
    <x v="1"/>
    <x v="1"/>
    <x v="9"/>
    <x v="9"/>
    <x v="6"/>
    <x v="1"/>
    <x v="40"/>
    <x v="1"/>
    <x v="7"/>
    <s v="Confirmed"/>
    <m/>
    <x v="5"/>
    <x v="1"/>
    <d v="2025-12-16T00:00:00"/>
    <s v="MFDDNW"/>
    <s v="SK: Check if required since located in Al Bidda_x000a_MI 02.10: VAPP office location changed to Ground floor from MOC"/>
    <s v="to be placed in outtside the perimer  to printout  the  schedules   and daily updated - JM 22:10 I recieved email yesterday asking to discard the printer as they will use the A3 in G floor 1:11 A4 PRINTER PROVIDED AND 4 USERE HAVE BEEN CONNECTED G FLOOR"/>
    <s v="FAC00699"/>
  </r>
  <r>
    <x v="1"/>
    <x v="1"/>
    <x v="9"/>
    <x v="9"/>
    <x v="6"/>
    <x v="1"/>
    <x v="40"/>
    <x v="2"/>
    <x v="4"/>
    <s v="Confirmed"/>
    <m/>
    <x v="6"/>
    <x v="1"/>
    <d v="2025-12-16T00:00:00"/>
    <s v="ACCBAR"/>
    <s v="SK 23.09: Merged with U17 requirements_x000a_MI 02.10: VAPP office location changed to Ground floor from MOC"/>
    <m/>
    <s v="FAC00700"/>
  </r>
  <r>
    <x v="1"/>
    <x v="0"/>
    <x v="6"/>
    <x v="6"/>
    <x v="6"/>
    <x v="5"/>
    <x v="46"/>
    <x v="0"/>
    <x v="18"/>
    <s v="Canceled"/>
    <n v="1"/>
    <x v="7"/>
    <x v="0"/>
    <d v="2025-12-18T00:00:00"/>
    <s v="WANMEO"/>
    <s v="SK 06.10: Media WiFi will be available but for Media Reps only"/>
    <s v="for communications FA, Stakeholder FA, Media relations FA"/>
    <s v="FAC00345"/>
  </r>
  <r>
    <x v="1"/>
    <x v="1"/>
    <x v="6"/>
    <x v="6"/>
    <x v="6"/>
    <x v="5"/>
    <x v="46"/>
    <x v="1"/>
    <x v="2"/>
    <s v="Confirmed"/>
    <m/>
    <x v="5"/>
    <x v="0"/>
    <d v="2025-12-18T00:00:00"/>
    <s v="MFDSHR"/>
    <s v=""/>
    <s v="for communications FA, Stakeholder FA, Media relations FA"/>
    <s v="FAC00346"/>
  </r>
  <r>
    <x v="0"/>
    <x v="0"/>
    <x v="6"/>
    <x v="6"/>
    <x v="6"/>
    <x v="5"/>
    <x v="46"/>
    <x v="0"/>
    <x v="1"/>
    <s v="Confirmed"/>
    <m/>
    <x v="5"/>
    <x v="0"/>
    <d v="2025-12-18T00:00:00"/>
    <s v="WANGEN"/>
    <s v=""/>
    <s v="for communications FA, Stakeholder FA, Media relations FA"/>
    <s v="FAC00347"/>
  </r>
  <r>
    <x v="1"/>
    <x v="0"/>
    <x v="6"/>
    <x v="6"/>
    <x v="1"/>
    <x v="3"/>
    <x v="47"/>
    <x v="0"/>
    <x v="1"/>
    <s v="Canceled"/>
    <n v="10"/>
    <x v="7"/>
    <x v="0"/>
    <d v="2025-12-18T00:00:00"/>
    <s v="WANGEN"/>
    <s v="SK 06.10: WiFi cannot be shared across stadium, please be more precised on request."/>
    <s v="staff is roaming and placed at different areas - wifi to cover all areas needed"/>
    <s v="FAC00348"/>
  </r>
  <r>
    <x v="1"/>
    <x v="0"/>
    <x v="6"/>
    <x v="6"/>
    <x v="0"/>
    <x v="3"/>
    <x v="47"/>
    <x v="0"/>
    <x v="1"/>
    <s v="Canceled"/>
    <n v="10"/>
    <x v="7"/>
    <x v="0"/>
    <d v="2025-12-18T00:00:00"/>
    <s v="WANGEN"/>
    <s v="SK 06.10: WiFi cannot be shared across stadium, please be more precised on request."/>
    <s v="staff is roaming and placed at different areas - wifi to cover all areas needed"/>
    <s v="FAC00349"/>
  </r>
  <r>
    <x v="1"/>
    <x v="0"/>
    <x v="6"/>
    <x v="6"/>
    <x v="2"/>
    <x v="3"/>
    <x v="47"/>
    <x v="0"/>
    <x v="1"/>
    <s v="Canceled"/>
    <n v="10"/>
    <x v="7"/>
    <x v="0"/>
    <d v="2025-12-18T00:00:00"/>
    <s v="WANGEN"/>
    <s v="SK 06.10: WiFi cannot be shared across stadium, please be more precised on request."/>
    <s v="staff is roaming and placed at different areas - wifi to cover all areas needed"/>
    <s v="FAC00350"/>
  </r>
  <r>
    <x v="1"/>
    <x v="0"/>
    <x v="6"/>
    <x v="6"/>
    <x v="3"/>
    <x v="3"/>
    <x v="47"/>
    <x v="0"/>
    <x v="1"/>
    <s v="Canceled"/>
    <n v="10"/>
    <x v="7"/>
    <x v="0"/>
    <d v="2025-12-18T00:00:00"/>
    <s v="WANGEN"/>
    <s v="SK 06.10: WiFi cannot be shared across stadium, please be more precised on request."/>
    <s v="staff is roaming and placed at different areas - wifi to cover all areas needed"/>
    <s v="FAC00351"/>
  </r>
  <r>
    <x v="1"/>
    <x v="0"/>
    <x v="6"/>
    <x v="6"/>
    <x v="4"/>
    <x v="3"/>
    <x v="47"/>
    <x v="0"/>
    <x v="1"/>
    <s v="Canceled"/>
    <n v="10"/>
    <x v="7"/>
    <x v="0"/>
    <d v="2025-12-18T00:00:00"/>
    <s v="WANGEN"/>
    <s v="SK 06.10: WiFi cannot be shared across stadium, please be more precised on request."/>
    <s v="staff is roaming and placed at different areas - wifi to cover all areas needed"/>
    <s v="FAC00352"/>
  </r>
  <r>
    <x v="1"/>
    <x v="0"/>
    <x v="6"/>
    <x v="6"/>
    <x v="5"/>
    <x v="3"/>
    <x v="47"/>
    <x v="0"/>
    <x v="1"/>
    <s v="Canceled"/>
    <n v="10"/>
    <x v="7"/>
    <x v="0"/>
    <d v="2025-12-18T00:00:00"/>
    <s v="WANGEN"/>
    <s v="SK 06.10: WiFi cannot be shared across stadium, please be more precised on request."/>
    <s v="staff is roaming and placed at different areas - wifi to cover all areas needed"/>
    <s v="FAC00353"/>
  </r>
  <r>
    <x v="1"/>
    <x v="1"/>
    <x v="11"/>
    <x v="11"/>
    <x v="0"/>
    <x v="12"/>
    <x v="48"/>
    <x v="2"/>
    <x v="3"/>
    <s v="Confirmed"/>
    <m/>
    <x v="9"/>
    <x v="1"/>
    <d v="2025-10-31T00:00:00"/>
    <s v="LAPOPS"/>
    <s v=""/>
    <s v="Venue space still TBC "/>
    <s v="FAC00354"/>
  </r>
  <r>
    <x v="1"/>
    <x v="1"/>
    <x v="11"/>
    <x v="11"/>
    <x v="0"/>
    <x v="12"/>
    <x v="49"/>
    <x v="2"/>
    <x v="4"/>
    <s v="Confirmed"/>
    <m/>
    <x v="9"/>
    <x v="1"/>
    <d v="2025-10-31T00:00:00"/>
    <s v="ACCBAR"/>
    <s v=""/>
    <s v="Venue space still TBC "/>
    <s v="FAC00355"/>
  </r>
  <r>
    <x v="1"/>
    <x v="1"/>
    <x v="11"/>
    <x v="11"/>
    <x v="0"/>
    <x v="12"/>
    <x v="49"/>
    <x v="2"/>
    <x v="17"/>
    <s v="Confirmed"/>
    <m/>
    <x v="9"/>
    <x v="1"/>
    <d v="2025-10-31T00:00:00"/>
    <s v="DSKMNT"/>
    <s v=""/>
    <s v="Venue space still TBC "/>
    <s v="FAC00356"/>
  </r>
  <r>
    <x v="1"/>
    <x v="2"/>
    <x v="11"/>
    <x v="11"/>
    <x v="0"/>
    <x v="12"/>
    <x v="50"/>
    <x v="3"/>
    <x v="19"/>
    <s v="Confirmed"/>
    <m/>
    <x v="6"/>
    <x v="1"/>
    <d v="2025-10-31T00:00:00"/>
    <s v="PORSPE"/>
    <s v=""/>
    <s v="With mircophone x 2 "/>
    <s v="FAC00357"/>
  </r>
  <r>
    <x v="1"/>
    <x v="2"/>
    <x v="11"/>
    <x v="11"/>
    <x v="0"/>
    <x v="12"/>
    <x v="50"/>
    <x v="3"/>
    <x v="5"/>
    <s v="Confirmed"/>
    <m/>
    <x v="11"/>
    <x v="1"/>
    <d v="2025-10-31T00:00:00"/>
    <s v="TVLGSA"/>
    <m/>
    <s v="Venue space still TBC "/>
    <s v="FAC00358"/>
  </r>
  <r>
    <x v="1"/>
    <x v="0"/>
    <x v="11"/>
    <x v="11"/>
    <x v="0"/>
    <x v="12"/>
    <x v="50"/>
    <x v="0"/>
    <x v="1"/>
    <s v="Confirmed"/>
    <m/>
    <x v="5"/>
    <x v="1"/>
    <d v="2025-10-31T00:00:00"/>
    <s v="WANGEN"/>
    <s v=""/>
    <s v="Venue space still TBC "/>
    <s v="FAC00359"/>
  </r>
  <r>
    <x v="1"/>
    <x v="1"/>
    <x v="11"/>
    <x v="11"/>
    <x v="0"/>
    <x v="12"/>
    <x v="49"/>
    <x v="1"/>
    <x v="2"/>
    <s v="Confirmed"/>
    <m/>
    <x v="5"/>
    <x v="1"/>
    <d v="2025-10-31T00:00:00"/>
    <s v="MFDLNW"/>
    <s v=""/>
    <s v="Purpose of printing training materials during operational delivery "/>
    <s v="FAC00360"/>
  </r>
  <r>
    <x v="1"/>
    <x v="2"/>
    <x v="11"/>
    <x v="11"/>
    <x v="0"/>
    <x v="12"/>
    <x v="51"/>
    <x v="3"/>
    <x v="5"/>
    <s v="Confirmed"/>
    <m/>
    <x v="5"/>
    <x v="1"/>
    <d v="2025-10-31T00:00:00"/>
    <s v="EUQSPE"/>
    <m/>
    <s v="85 inch for presentation"/>
    <s v="FAC00361"/>
  </r>
  <r>
    <x v="1"/>
    <x v="1"/>
    <x v="11"/>
    <x v="11"/>
    <x v="1"/>
    <x v="3"/>
    <x v="52"/>
    <x v="2"/>
    <x v="3"/>
    <s v="Confirmed"/>
    <m/>
    <x v="15"/>
    <x v="17"/>
    <d v="2025-12-18T00:00:00"/>
    <s v="LAPOPS"/>
    <s v=""/>
    <m/>
    <s v="FAC00362"/>
  </r>
  <r>
    <x v="0"/>
    <x v="1"/>
    <x v="11"/>
    <x v="11"/>
    <x v="1"/>
    <x v="3"/>
    <x v="53"/>
    <x v="1"/>
    <x v="7"/>
    <s v="Confirmed"/>
    <m/>
    <x v="5"/>
    <x v="17"/>
    <d v="2025-12-18T00:00:00"/>
    <s v="MFDLNW"/>
    <s v="SK 21.10: Changed to A4 from A3, aligned on Meeting with WKF"/>
    <s v="WKF Centre is located in the Hospitality Lounge which is far from the general office and we need to print on a daily basis during operations. "/>
    <s v="FAC00363"/>
  </r>
  <r>
    <x v="0"/>
    <x v="2"/>
    <x v="11"/>
    <x v="11"/>
    <x v="1"/>
    <x v="3"/>
    <x v="54"/>
    <x v="3"/>
    <x v="19"/>
    <s v="Confirmed"/>
    <m/>
    <x v="5"/>
    <x v="17"/>
    <d v="2025-12-18T00:00:00"/>
    <s v="PORSPE"/>
    <s v=""/>
    <m/>
    <s v="FAC00364"/>
  </r>
  <r>
    <x v="0"/>
    <x v="2"/>
    <x v="11"/>
    <x v="11"/>
    <x v="1"/>
    <x v="3"/>
    <x v="54"/>
    <x v="5"/>
    <x v="8"/>
    <s v="Confirmed"/>
    <m/>
    <x v="6"/>
    <x v="17"/>
    <d v="2025-12-18T00:00:00"/>
    <s v="TVLGIP"/>
    <s v="SK 21.10: + HDMI"/>
    <s v="With stand and remote"/>
    <s v="FAC00365"/>
  </r>
  <r>
    <x v="1"/>
    <x v="3"/>
    <x v="11"/>
    <x v="11"/>
    <x v="1"/>
    <x v="3"/>
    <x v="53"/>
    <x v="6"/>
    <x v="20"/>
    <s v="Confirmed"/>
    <m/>
    <x v="6"/>
    <x v="17"/>
    <d v="2025-12-18T00:00:00"/>
    <s v="SIMDAT"/>
    <s v=""/>
    <s v="To be used to call volunteers for their shifts and communicate with them on a regular basis "/>
    <s v="FAC00366"/>
  </r>
  <r>
    <x v="0"/>
    <x v="0"/>
    <x v="11"/>
    <x v="11"/>
    <x v="1"/>
    <x v="3"/>
    <x v="53"/>
    <x v="0"/>
    <x v="1"/>
    <s v="Confirmed"/>
    <m/>
    <x v="5"/>
    <x v="17"/>
    <d v="2025-12-18T00:00:00"/>
    <s v="WANGEN"/>
    <s v=""/>
    <s v="Wi-Fi for the office and welcome zone area for work related and check-in purposes"/>
    <s v="FAC00368"/>
  </r>
  <r>
    <x v="1"/>
    <x v="1"/>
    <x v="11"/>
    <x v="11"/>
    <x v="0"/>
    <x v="3"/>
    <x v="52"/>
    <x v="2"/>
    <x v="3"/>
    <s v="Confirmed"/>
    <m/>
    <x v="15"/>
    <x v="17"/>
    <d v="2025-12-18T00:00:00"/>
    <s v="LAPOPS"/>
    <s v=""/>
    <m/>
    <s v="FAC00369"/>
  </r>
  <r>
    <x v="1"/>
    <x v="1"/>
    <x v="11"/>
    <x v="11"/>
    <x v="0"/>
    <x v="3"/>
    <x v="53"/>
    <x v="1"/>
    <x v="7"/>
    <s v="Confirmed"/>
    <m/>
    <x v="5"/>
    <x v="17"/>
    <d v="2025-12-18T00:00:00"/>
    <s v="MFDLNW"/>
    <s v="SK 21.10: Changed to A4 from A3, aligned on Meeting with WKF"/>
    <s v="WKF Centre is located in the Hospitality Lounge which is far from the general office and we need to print on a daily basis during operations. "/>
    <s v="FAC00370"/>
  </r>
  <r>
    <x v="1"/>
    <x v="2"/>
    <x v="11"/>
    <x v="11"/>
    <x v="0"/>
    <x v="3"/>
    <x v="54"/>
    <x v="3"/>
    <x v="19"/>
    <s v="Confirmed"/>
    <m/>
    <x v="5"/>
    <x v="17"/>
    <d v="2025-12-18T00:00:00"/>
    <s v="PORSPE"/>
    <s v=""/>
    <m/>
    <s v="FAC00371"/>
  </r>
  <r>
    <x v="1"/>
    <x v="2"/>
    <x v="11"/>
    <x v="11"/>
    <x v="0"/>
    <x v="3"/>
    <x v="54"/>
    <x v="5"/>
    <x v="8"/>
    <s v="Confirmed"/>
    <m/>
    <x v="6"/>
    <x v="17"/>
    <d v="2025-12-18T00:00:00"/>
    <s v="TVLGIP"/>
    <s v="SK 21.10: + HDMI"/>
    <s v="With stand and remote"/>
    <s v="FAC00372"/>
  </r>
  <r>
    <x v="1"/>
    <x v="3"/>
    <x v="11"/>
    <x v="11"/>
    <x v="0"/>
    <x v="3"/>
    <x v="53"/>
    <x v="6"/>
    <x v="20"/>
    <s v="Confirmed"/>
    <m/>
    <x v="6"/>
    <x v="17"/>
    <d v="2025-12-18T00:00:00"/>
    <s v="SIMDAT"/>
    <s v=""/>
    <s v="To be used to call volunteers for their shifts and communicate with them on a regular basis "/>
    <s v="FAC00373"/>
  </r>
  <r>
    <x v="0"/>
    <x v="0"/>
    <x v="11"/>
    <x v="11"/>
    <x v="0"/>
    <x v="3"/>
    <x v="53"/>
    <x v="0"/>
    <x v="1"/>
    <s v="Confirmed"/>
    <m/>
    <x v="5"/>
    <x v="17"/>
    <d v="2025-12-18T00:00:00"/>
    <s v="WANGEN"/>
    <s v=""/>
    <s v="Wi-Fi for the office and welcome zone area for work related and check-in purposes"/>
    <s v="FAC00375"/>
  </r>
  <r>
    <x v="1"/>
    <x v="1"/>
    <x v="11"/>
    <x v="11"/>
    <x v="2"/>
    <x v="3"/>
    <x v="52"/>
    <x v="2"/>
    <x v="3"/>
    <s v="Confirmed"/>
    <m/>
    <x v="11"/>
    <x v="17"/>
    <d v="2025-12-18T00:00:00"/>
    <s v="LAPOPS"/>
    <s v=""/>
    <m/>
    <s v="FAC00376"/>
  </r>
  <r>
    <x v="1"/>
    <x v="1"/>
    <x v="11"/>
    <x v="11"/>
    <x v="2"/>
    <x v="3"/>
    <x v="53"/>
    <x v="1"/>
    <x v="7"/>
    <s v="Confirmed"/>
    <m/>
    <x v="5"/>
    <x v="17"/>
    <d v="2025-12-18T00:00:00"/>
    <s v="MFDLNW"/>
    <s v="SK 21.10: Changed to A4 from A3, aligned on Meeting with WKF"/>
    <s v="WKF Centre is located in the Hospitality Lounge which is far from the general office and we need to print on a daily basis during operations. "/>
    <s v="FAC00377"/>
  </r>
  <r>
    <x v="0"/>
    <x v="2"/>
    <x v="11"/>
    <x v="11"/>
    <x v="2"/>
    <x v="3"/>
    <x v="54"/>
    <x v="3"/>
    <x v="19"/>
    <s v="Confirmed"/>
    <m/>
    <x v="5"/>
    <x v="17"/>
    <d v="2025-12-18T00:00:00"/>
    <s v="PORSPE"/>
    <s v=""/>
    <m/>
    <s v="FAC00378"/>
  </r>
  <r>
    <x v="0"/>
    <x v="2"/>
    <x v="11"/>
    <x v="11"/>
    <x v="2"/>
    <x v="3"/>
    <x v="54"/>
    <x v="5"/>
    <x v="8"/>
    <s v="Confirmed"/>
    <m/>
    <x v="5"/>
    <x v="17"/>
    <d v="2025-12-18T00:00:00"/>
    <s v="TVLGIP"/>
    <s v="SK 21.10: + HDMI"/>
    <s v="With stand and remote"/>
    <s v="FAC00379"/>
  </r>
  <r>
    <x v="1"/>
    <x v="3"/>
    <x v="11"/>
    <x v="11"/>
    <x v="2"/>
    <x v="3"/>
    <x v="53"/>
    <x v="6"/>
    <x v="20"/>
    <s v="Confirmed"/>
    <m/>
    <x v="6"/>
    <x v="17"/>
    <d v="2025-12-18T00:00:00"/>
    <s v="SIMDAT"/>
    <s v=""/>
    <s v="To be used to call volunteers for their shifts and communicate with them on a regular basis "/>
    <s v="FAC00380"/>
  </r>
  <r>
    <x v="0"/>
    <x v="0"/>
    <x v="11"/>
    <x v="11"/>
    <x v="2"/>
    <x v="3"/>
    <x v="53"/>
    <x v="0"/>
    <x v="1"/>
    <s v="Confirmed"/>
    <m/>
    <x v="5"/>
    <x v="17"/>
    <d v="2025-12-18T00:00:00"/>
    <s v="WANGEN"/>
    <s v="SK 21.10: OVL setup"/>
    <s v="Wi-Fi for the office and welcome zone area for work related and check-in purposes"/>
    <s v="FAC00382"/>
  </r>
  <r>
    <x v="1"/>
    <x v="1"/>
    <x v="11"/>
    <x v="11"/>
    <x v="3"/>
    <x v="3"/>
    <x v="52"/>
    <x v="2"/>
    <x v="3"/>
    <s v="Confirmed"/>
    <m/>
    <x v="14"/>
    <x v="17"/>
    <d v="2025-12-18T00:00:00"/>
    <s v="LAPOPS"/>
    <s v=""/>
    <m/>
    <s v="FAC00383"/>
  </r>
  <r>
    <x v="1"/>
    <x v="1"/>
    <x v="11"/>
    <x v="11"/>
    <x v="3"/>
    <x v="3"/>
    <x v="53"/>
    <x v="1"/>
    <x v="7"/>
    <s v="Confirmed"/>
    <m/>
    <x v="5"/>
    <x v="17"/>
    <d v="2025-12-18T00:00:00"/>
    <s v="MFDLNW"/>
    <s v="SK 21.10: Changed to A4 from A3, aligned on Meeting with WKF"/>
    <s v="WKF Centre is located in the Hospitality Lounge which is far from the general office and we need to print on a daily basis during operations. "/>
    <s v="FAC00384"/>
  </r>
  <r>
    <x v="1"/>
    <x v="2"/>
    <x v="11"/>
    <x v="11"/>
    <x v="3"/>
    <x v="3"/>
    <x v="54"/>
    <x v="3"/>
    <x v="19"/>
    <s v="Confirmed"/>
    <m/>
    <x v="5"/>
    <x v="17"/>
    <d v="2025-12-18T00:00:00"/>
    <s v="PORSPE"/>
    <s v=""/>
    <m/>
    <s v="FAC00385"/>
  </r>
  <r>
    <x v="1"/>
    <x v="2"/>
    <x v="11"/>
    <x v="11"/>
    <x v="3"/>
    <x v="3"/>
    <x v="54"/>
    <x v="5"/>
    <x v="8"/>
    <s v="Confirmed"/>
    <m/>
    <x v="5"/>
    <x v="17"/>
    <d v="2025-12-18T00:00:00"/>
    <s v="TVLGIP"/>
    <s v="SK 21.10: + HDMI"/>
    <s v="With stand and remote"/>
    <s v="FAC00386"/>
  </r>
  <r>
    <x v="1"/>
    <x v="3"/>
    <x v="11"/>
    <x v="11"/>
    <x v="3"/>
    <x v="3"/>
    <x v="53"/>
    <x v="6"/>
    <x v="20"/>
    <s v="Confirmed"/>
    <m/>
    <x v="6"/>
    <x v="17"/>
    <d v="2025-12-18T00:00:00"/>
    <s v="SIMDAT"/>
    <s v=""/>
    <s v="To be used to call volunteers for their shifts and communicate with them on a regular basis "/>
    <s v="FAC00387"/>
  </r>
  <r>
    <x v="1"/>
    <x v="0"/>
    <x v="11"/>
    <x v="11"/>
    <x v="3"/>
    <x v="3"/>
    <x v="53"/>
    <x v="0"/>
    <x v="1"/>
    <s v="Confirmed"/>
    <m/>
    <x v="5"/>
    <x v="17"/>
    <d v="2025-12-18T00:00:00"/>
    <s v="WANGEN"/>
    <s v="SK 21.10: OVL setup"/>
    <s v="Wi-Fi for the office and welcome zone area for work related and check-in purposes"/>
    <s v="FAC00389"/>
  </r>
  <r>
    <x v="1"/>
    <x v="1"/>
    <x v="11"/>
    <x v="11"/>
    <x v="4"/>
    <x v="3"/>
    <x v="52"/>
    <x v="2"/>
    <x v="3"/>
    <s v="Confirmed"/>
    <m/>
    <x v="14"/>
    <x v="17"/>
    <d v="2025-12-18T00:00:00"/>
    <s v="LAPOPS"/>
    <s v=""/>
    <m/>
    <s v="FAC00390"/>
  </r>
  <r>
    <x v="1"/>
    <x v="1"/>
    <x v="11"/>
    <x v="11"/>
    <x v="4"/>
    <x v="3"/>
    <x v="53"/>
    <x v="1"/>
    <x v="7"/>
    <s v="Confirmed"/>
    <m/>
    <x v="5"/>
    <x v="17"/>
    <d v="2025-12-18T00:00:00"/>
    <s v="MFDLNW"/>
    <s v="SK 21.10: Changed to A4 from A3, aligned on Meeting with WKF"/>
    <s v="WKF Centre is located in the Hospitality Lounge which is far from the general office and we need to print on a daily basis during operations. "/>
    <s v="FAC00391"/>
  </r>
  <r>
    <x v="0"/>
    <x v="2"/>
    <x v="11"/>
    <x v="11"/>
    <x v="4"/>
    <x v="3"/>
    <x v="54"/>
    <x v="3"/>
    <x v="19"/>
    <s v="Confirmed"/>
    <m/>
    <x v="5"/>
    <x v="17"/>
    <d v="2025-12-18T00:00:00"/>
    <s v="PORSPE"/>
    <s v=""/>
    <m/>
    <s v="FAC00392"/>
  </r>
  <r>
    <x v="0"/>
    <x v="2"/>
    <x v="11"/>
    <x v="11"/>
    <x v="4"/>
    <x v="3"/>
    <x v="54"/>
    <x v="5"/>
    <x v="8"/>
    <s v="Confirmed"/>
    <m/>
    <x v="5"/>
    <x v="17"/>
    <d v="2025-12-18T00:00:00"/>
    <s v="TVLGIP"/>
    <s v="SK 21.10: + HDMI"/>
    <s v="With stand and remote"/>
    <s v="FAC00393"/>
  </r>
  <r>
    <x v="1"/>
    <x v="3"/>
    <x v="11"/>
    <x v="11"/>
    <x v="4"/>
    <x v="3"/>
    <x v="53"/>
    <x v="6"/>
    <x v="20"/>
    <s v="Confirmed"/>
    <m/>
    <x v="6"/>
    <x v="17"/>
    <d v="2025-12-18T00:00:00"/>
    <s v="SIMDAT"/>
    <s v=""/>
    <s v="To be used to call volunteers for their shifts and communicate with them on a regular basis "/>
    <s v="FAC00394"/>
  </r>
  <r>
    <x v="0"/>
    <x v="0"/>
    <x v="11"/>
    <x v="11"/>
    <x v="4"/>
    <x v="3"/>
    <x v="53"/>
    <x v="0"/>
    <x v="1"/>
    <s v="Confirmed"/>
    <m/>
    <x v="5"/>
    <x v="17"/>
    <d v="2025-12-18T00:00:00"/>
    <s v="WANGEN"/>
    <s v=""/>
    <s v="Wi-Fi for the office and welcome zone area for work related and check-in purposes"/>
    <s v="FAC00396"/>
  </r>
  <r>
    <x v="1"/>
    <x v="1"/>
    <x v="11"/>
    <x v="11"/>
    <x v="5"/>
    <x v="3"/>
    <x v="52"/>
    <x v="2"/>
    <x v="3"/>
    <s v="Confirmed"/>
    <m/>
    <x v="14"/>
    <x v="3"/>
    <d v="2025-12-18T00:00:00"/>
    <s v="LAPOPS"/>
    <s v=""/>
    <m/>
    <s v="FAC00397"/>
  </r>
  <r>
    <x v="1"/>
    <x v="1"/>
    <x v="11"/>
    <x v="11"/>
    <x v="5"/>
    <x v="3"/>
    <x v="53"/>
    <x v="1"/>
    <x v="7"/>
    <s v="Confirmed"/>
    <m/>
    <x v="5"/>
    <x v="3"/>
    <d v="2025-12-18T00:00:00"/>
    <s v="MFDLNW"/>
    <s v="SK 21.10: Changed to A4 from A3, aligned on Meeting with WKF"/>
    <s v="WKF Centre is located in the Hospitality Lounge which is far from the general office and we need to print on a daily basis during operations. "/>
    <s v="FAC00398"/>
  </r>
  <r>
    <x v="0"/>
    <x v="2"/>
    <x v="11"/>
    <x v="11"/>
    <x v="5"/>
    <x v="3"/>
    <x v="54"/>
    <x v="3"/>
    <x v="19"/>
    <s v="Confirmed"/>
    <m/>
    <x v="5"/>
    <x v="3"/>
    <d v="2025-12-18T00:00:00"/>
    <s v="PORSPE"/>
    <s v=""/>
    <m/>
    <s v="FAC00399"/>
  </r>
  <r>
    <x v="0"/>
    <x v="2"/>
    <x v="11"/>
    <x v="11"/>
    <x v="5"/>
    <x v="3"/>
    <x v="54"/>
    <x v="5"/>
    <x v="8"/>
    <s v="Confirmed"/>
    <m/>
    <x v="5"/>
    <x v="3"/>
    <d v="2025-12-18T00:00:00"/>
    <s v="TVLGIP"/>
    <s v="SK 21.10: + HDMI"/>
    <s v="With stand and remote"/>
    <s v="FAC00400"/>
  </r>
  <r>
    <x v="1"/>
    <x v="3"/>
    <x v="11"/>
    <x v="11"/>
    <x v="5"/>
    <x v="3"/>
    <x v="53"/>
    <x v="6"/>
    <x v="20"/>
    <s v="Confirmed"/>
    <m/>
    <x v="6"/>
    <x v="3"/>
    <d v="2025-12-18T00:00:00"/>
    <s v="SIMDAT"/>
    <s v=""/>
    <s v="To be used to call volunteers for their shifts and communicate with them on a regular basis "/>
    <s v="FAC00401"/>
  </r>
  <r>
    <x v="0"/>
    <x v="0"/>
    <x v="11"/>
    <x v="11"/>
    <x v="5"/>
    <x v="3"/>
    <x v="53"/>
    <x v="0"/>
    <x v="1"/>
    <s v="Confirmed"/>
    <m/>
    <x v="5"/>
    <x v="3"/>
    <d v="2025-12-18T00:00:00"/>
    <s v="WANGEN"/>
    <s v="SK 21.10: Based on the space handover to LOC, + 1 week to complete setup "/>
    <s v="Wi-Fi for the office and welcome zone area for work related and check-in purposes"/>
    <s v="FAC00403"/>
  </r>
  <r>
    <x v="1"/>
    <x v="1"/>
    <x v="11"/>
    <x v="11"/>
    <x v="6"/>
    <x v="5"/>
    <x v="54"/>
    <x v="2"/>
    <x v="3"/>
    <s v="Confirmed"/>
    <m/>
    <x v="6"/>
    <x v="17"/>
    <d v="2025-12-18T00:00:00"/>
    <s v="LAPOPS"/>
    <s v=""/>
    <m/>
    <s v="FAC00404"/>
  </r>
  <r>
    <x v="0"/>
    <x v="2"/>
    <x v="11"/>
    <x v="11"/>
    <x v="6"/>
    <x v="5"/>
    <x v="54"/>
    <x v="3"/>
    <x v="19"/>
    <s v="Confirmed"/>
    <m/>
    <x v="5"/>
    <x v="17"/>
    <d v="2025-12-18T00:00:00"/>
    <s v="PORSPE"/>
    <s v=""/>
    <m/>
    <s v="FAC00405"/>
  </r>
  <r>
    <x v="0"/>
    <x v="2"/>
    <x v="11"/>
    <x v="11"/>
    <x v="6"/>
    <x v="5"/>
    <x v="54"/>
    <x v="5"/>
    <x v="8"/>
    <s v="Confirmed"/>
    <m/>
    <x v="5"/>
    <x v="17"/>
    <d v="2025-12-18T00:00:00"/>
    <s v="TVLGIP"/>
    <s v=""/>
    <s v="With stand and remote"/>
    <s v="FAC00406"/>
  </r>
  <r>
    <x v="1"/>
    <x v="3"/>
    <x v="11"/>
    <x v="11"/>
    <x v="6"/>
    <x v="5"/>
    <x v="54"/>
    <x v="6"/>
    <x v="20"/>
    <s v="Confirmed"/>
    <m/>
    <x v="6"/>
    <x v="17"/>
    <d v="2025-12-18T00:00:00"/>
    <s v="SIMDAT"/>
    <s v=""/>
    <s v="To be used to call volunteers for their shifts and communicate with them on a regular basis "/>
    <s v="FAC00407"/>
  </r>
  <r>
    <x v="0"/>
    <x v="0"/>
    <x v="11"/>
    <x v="11"/>
    <x v="6"/>
    <x v="5"/>
    <x v="54"/>
    <x v="0"/>
    <x v="1"/>
    <s v="Confirmed"/>
    <m/>
    <x v="5"/>
    <x v="17"/>
    <d v="2025-12-18T00:00:00"/>
    <s v="WANGEN"/>
    <s v=""/>
    <s v="Wi-Fi for the office and welcome zone area for work related and check-in purposes"/>
    <s v="FAC00409"/>
  </r>
  <r>
    <x v="0"/>
    <x v="2"/>
    <x v="12"/>
    <x v="12"/>
    <x v="1"/>
    <x v="7"/>
    <x v="55"/>
    <x v="5"/>
    <x v="8"/>
    <s v="Confirmed"/>
    <m/>
    <x v="5"/>
    <x v="18"/>
    <d v="2025-12-15T00:00:00"/>
    <s v="Required for Match Coverage"/>
    <s v="SK 21/10: To Confirm Necessety"/>
    <s v="Required for Match Coverage"/>
    <s v="FAC00413"/>
  </r>
  <r>
    <x v="0"/>
    <x v="0"/>
    <x v="12"/>
    <x v="12"/>
    <x v="1"/>
    <x v="7"/>
    <x v="55"/>
    <x v="0"/>
    <x v="1"/>
    <s v="Confirmed"/>
    <m/>
    <x v="5"/>
    <x v="18"/>
    <d v="2025-12-15T00:00:00"/>
    <s v="Required for Electronic Medical Record "/>
    <m/>
    <s v="Required for Electronic Medical Record "/>
    <s v="FAC00414"/>
  </r>
  <r>
    <x v="0"/>
    <x v="0"/>
    <x v="12"/>
    <x v="12"/>
    <x v="1"/>
    <x v="13"/>
    <x v="56"/>
    <x v="0"/>
    <x v="1"/>
    <s v="Confirmed"/>
    <m/>
    <x v="5"/>
    <x v="18"/>
    <d v="2025-12-15T00:00:00"/>
    <s v="Required for Electronic Medical Record "/>
    <m/>
    <s v="Required for Electronic Medical Record "/>
    <s v="FAC00415"/>
  </r>
  <r>
    <x v="0"/>
    <x v="0"/>
    <x v="12"/>
    <x v="12"/>
    <x v="1"/>
    <x v="13"/>
    <x v="57"/>
    <x v="0"/>
    <x v="1"/>
    <s v="Confirmed"/>
    <m/>
    <x v="5"/>
    <x v="18"/>
    <d v="2025-12-15T00:00:00"/>
    <s v="Required for Electronic Medical Record "/>
    <m/>
    <s v="Required for Electronic Medical Record "/>
    <s v="FAC00416"/>
  </r>
  <r>
    <x v="0"/>
    <x v="0"/>
    <x v="12"/>
    <x v="12"/>
    <x v="1"/>
    <x v="0"/>
    <x v="58"/>
    <x v="0"/>
    <x v="1"/>
    <s v="Confirmed"/>
    <m/>
    <x v="9"/>
    <x v="18"/>
    <d v="2025-12-15T00:00:00"/>
    <s v="Required for Electronic Medical Record "/>
    <m/>
    <s v="Required for Electronic Medical Record "/>
    <s v="FAC00417"/>
  </r>
  <r>
    <x v="1"/>
    <x v="2"/>
    <x v="12"/>
    <x v="12"/>
    <x v="0"/>
    <x v="7"/>
    <x v="55"/>
    <x v="5"/>
    <x v="8"/>
    <s v="Confirmed"/>
    <m/>
    <x v="5"/>
    <x v="18"/>
    <d v="2025-12-18T00:00:00"/>
    <s v="Required for Match Coverage"/>
    <s v="SK 21/10: To Confirm Necessety"/>
    <s v="Required for Match Coverage"/>
    <s v="FAC00418"/>
  </r>
  <r>
    <x v="0"/>
    <x v="0"/>
    <x v="12"/>
    <x v="12"/>
    <x v="0"/>
    <x v="7"/>
    <x v="55"/>
    <x v="0"/>
    <x v="1"/>
    <s v="Confirmed"/>
    <m/>
    <x v="5"/>
    <x v="18"/>
    <d v="2025-12-18T00:00:00"/>
    <s v="Required for Electronic Medical Record "/>
    <m/>
    <s v="Required for Electronic Medical Record "/>
    <s v="FAC00419"/>
  </r>
  <r>
    <x v="0"/>
    <x v="0"/>
    <x v="12"/>
    <x v="12"/>
    <x v="0"/>
    <x v="13"/>
    <x v="56"/>
    <x v="0"/>
    <x v="1"/>
    <s v="Confirmed"/>
    <m/>
    <x v="5"/>
    <x v="18"/>
    <d v="2025-12-18T00:00:00"/>
    <s v="Required for Electronic Medical Record "/>
    <m/>
    <s v="Required for Electronic Medical Record "/>
    <s v="FAC00420"/>
  </r>
  <r>
    <x v="0"/>
    <x v="0"/>
    <x v="12"/>
    <x v="12"/>
    <x v="0"/>
    <x v="13"/>
    <x v="57"/>
    <x v="0"/>
    <x v="1"/>
    <s v="Confirmed"/>
    <m/>
    <x v="5"/>
    <x v="18"/>
    <d v="2025-12-18T00:00:00"/>
    <s v="Required for Electronic Medical Record "/>
    <m/>
    <s v="Required for Electronic Medical Record "/>
    <s v="FAC00421"/>
  </r>
  <r>
    <x v="0"/>
    <x v="0"/>
    <x v="12"/>
    <x v="12"/>
    <x v="0"/>
    <x v="0"/>
    <x v="58"/>
    <x v="0"/>
    <x v="1"/>
    <s v="Confirmed"/>
    <m/>
    <x v="11"/>
    <x v="18"/>
    <d v="2025-12-18T00:00:00"/>
    <s v="Required for Electronic Medical Record "/>
    <m/>
    <s v="Required for Electronic Medical Record "/>
    <s v="FAC00422"/>
  </r>
  <r>
    <x v="0"/>
    <x v="2"/>
    <x v="12"/>
    <x v="12"/>
    <x v="2"/>
    <x v="7"/>
    <x v="55"/>
    <x v="5"/>
    <x v="8"/>
    <s v="Confirmed"/>
    <m/>
    <x v="5"/>
    <x v="18"/>
    <d v="2025-12-10T00:00:00"/>
    <s v="Required for Match Coverage"/>
    <s v="SK 21/10: To Confirm Necessety"/>
    <s v="Required for Match Coverage"/>
    <s v="FAC00423"/>
  </r>
  <r>
    <x v="0"/>
    <x v="0"/>
    <x v="12"/>
    <x v="12"/>
    <x v="2"/>
    <x v="7"/>
    <x v="55"/>
    <x v="0"/>
    <x v="1"/>
    <s v="Confirmed"/>
    <m/>
    <x v="5"/>
    <x v="18"/>
    <d v="2025-12-10T00:00:00"/>
    <s v="Required for Electronic Medical Record "/>
    <m/>
    <s v="Required for Electronic Medical Record "/>
    <s v="FAC00424"/>
  </r>
  <r>
    <x v="0"/>
    <x v="0"/>
    <x v="12"/>
    <x v="12"/>
    <x v="2"/>
    <x v="13"/>
    <x v="56"/>
    <x v="0"/>
    <x v="1"/>
    <s v="Confirmed"/>
    <m/>
    <x v="5"/>
    <x v="18"/>
    <d v="2025-12-10T00:00:00"/>
    <s v="Required for Electronic Medical Record "/>
    <m/>
    <s v="Required for Electronic Medical Record "/>
    <s v="FAC00425"/>
  </r>
  <r>
    <x v="0"/>
    <x v="0"/>
    <x v="12"/>
    <x v="12"/>
    <x v="2"/>
    <x v="13"/>
    <x v="57"/>
    <x v="0"/>
    <x v="1"/>
    <s v="Confirmed"/>
    <m/>
    <x v="5"/>
    <x v="18"/>
    <d v="2025-12-10T00:00:00"/>
    <s v="Required for Electronic Medical Record "/>
    <m/>
    <s v="Required for Electronic Medical Record "/>
    <s v="FAC00426"/>
  </r>
  <r>
    <x v="0"/>
    <x v="0"/>
    <x v="12"/>
    <x v="12"/>
    <x v="2"/>
    <x v="0"/>
    <x v="58"/>
    <x v="0"/>
    <x v="1"/>
    <s v="Confirmed"/>
    <m/>
    <x v="9"/>
    <x v="18"/>
    <d v="2025-12-10T00:00:00"/>
    <s v="Required for Electronic Medical Record "/>
    <m/>
    <s v="Required for Electronic Medical Record "/>
    <s v="FAC00427"/>
  </r>
  <r>
    <x v="0"/>
    <x v="2"/>
    <x v="12"/>
    <x v="12"/>
    <x v="3"/>
    <x v="7"/>
    <x v="55"/>
    <x v="5"/>
    <x v="8"/>
    <s v="Confirmed"/>
    <m/>
    <x v="5"/>
    <x v="18"/>
    <d v="2025-12-17T00:00:00"/>
    <s v="Required for Match Coverage"/>
    <s v="SK 21/10: To Confirm Necessety"/>
    <s v="Required for Match Coverage"/>
    <s v="FAC00428"/>
  </r>
  <r>
    <x v="0"/>
    <x v="0"/>
    <x v="12"/>
    <x v="12"/>
    <x v="3"/>
    <x v="7"/>
    <x v="55"/>
    <x v="0"/>
    <x v="1"/>
    <s v="Confirmed"/>
    <m/>
    <x v="5"/>
    <x v="18"/>
    <d v="2025-12-17T00:00:00"/>
    <s v="Required for Electronic Medical Record "/>
    <m/>
    <s v="Required for Electronic Medical Record "/>
    <s v="FAC00429"/>
  </r>
  <r>
    <x v="0"/>
    <x v="0"/>
    <x v="12"/>
    <x v="12"/>
    <x v="3"/>
    <x v="13"/>
    <x v="56"/>
    <x v="0"/>
    <x v="1"/>
    <s v="Confirmed"/>
    <m/>
    <x v="5"/>
    <x v="18"/>
    <d v="2025-12-17T00:00:00"/>
    <s v="Required for Electronic Medical Record "/>
    <m/>
    <s v="Required for Electronic Medical Record "/>
    <s v="FAC00430"/>
  </r>
  <r>
    <x v="0"/>
    <x v="0"/>
    <x v="12"/>
    <x v="12"/>
    <x v="3"/>
    <x v="13"/>
    <x v="57"/>
    <x v="0"/>
    <x v="1"/>
    <s v="Confirmed"/>
    <m/>
    <x v="5"/>
    <x v="18"/>
    <d v="2025-12-17T00:00:00"/>
    <s v="Required for Electronic Medical Record "/>
    <m/>
    <s v="Required for Electronic Medical Record "/>
    <s v="FAC00431"/>
  </r>
  <r>
    <x v="0"/>
    <x v="0"/>
    <x v="12"/>
    <x v="12"/>
    <x v="3"/>
    <x v="0"/>
    <x v="58"/>
    <x v="0"/>
    <x v="1"/>
    <s v="Confirmed"/>
    <m/>
    <x v="9"/>
    <x v="18"/>
    <d v="2025-12-17T00:00:00"/>
    <s v="Required for Electronic Medical Record "/>
    <m/>
    <s v="Required for Electronic Medical Record "/>
    <s v="FAC00432"/>
  </r>
  <r>
    <x v="0"/>
    <x v="2"/>
    <x v="12"/>
    <x v="12"/>
    <x v="4"/>
    <x v="7"/>
    <x v="55"/>
    <x v="5"/>
    <x v="8"/>
    <s v="Confirmed"/>
    <m/>
    <x v="5"/>
    <x v="18"/>
    <d v="2025-12-12T00:00:00"/>
    <s v="Required for Match Coverage"/>
    <s v="SK 21/10: To Confirm Necessety"/>
    <s v="Required for Match Coverage"/>
    <s v="FAC00433"/>
  </r>
  <r>
    <x v="0"/>
    <x v="0"/>
    <x v="12"/>
    <x v="12"/>
    <x v="4"/>
    <x v="7"/>
    <x v="55"/>
    <x v="0"/>
    <x v="1"/>
    <s v="Confirmed"/>
    <m/>
    <x v="5"/>
    <x v="18"/>
    <d v="2025-12-12T00:00:00"/>
    <s v="Required for Electronic Medical Record "/>
    <m/>
    <s v="Required for Electronic Medical Record "/>
    <s v="FAC00434"/>
  </r>
  <r>
    <x v="0"/>
    <x v="0"/>
    <x v="12"/>
    <x v="12"/>
    <x v="4"/>
    <x v="13"/>
    <x v="56"/>
    <x v="0"/>
    <x v="1"/>
    <s v="Confirmed"/>
    <m/>
    <x v="5"/>
    <x v="18"/>
    <d v="2025-12-12T00:00:00"/>
    <s v="Required for Electronic Medical Record "/>
    <m/>
    <s v="Required for Electronic Medical Record "/>
    <s v="FAC00435"/>
  </r>
  <r>
    <x v="0"/>
    <x v="0"/>
    <x v="12"/>
    <x v="12"/>
    <x v="4"/>
    <x v="13"/>
    <x v="57"/>
    <x v="0"/>
    <x v="1"/>
    <s v="Confirmed"/>
    <m/>
    <x v="5"/>
    <x v="18"/>
    <d v="2025-12-12T00:00:00"/>
    <s v="Required for Electronic Medical Record "/>
    <m/>
    <s v="Required for Electronic Medical Record "/>
    <s v="FAC00436"/>
  </r>
  <r>
    <x v="0"/>
    <x v="0"/>
    <x v="12"/>
    <x v="12"/>
    <x v="4"/>
    <x v="0"/>
    <x v="58"/>
    <x v="0"/>
    <x v="1"/>
    <s v="Confirmed"/>
    <m/>
    <x v="9"/>
    <x v="18"/>
    <d v="2025-12-12T00:00:00"/>
    <s v="Required for Electronic Medical Record "/>
    <m/>
    <s v="Required for Electronic Medical Record "/>
    <s v="FAC00437"/>
  </r>
  <r>
    <x v="0"/>
    <x v="2"/>
    <x v="12"/>
    <x v="12"/>
    <x v="5"/>
    <x v="7"/>
    <x v="55"/>
    <x v="5"/>
    <x v="8"/>
    <s v="Confirmed"/>
    <m/>
    <x v="5"/>
    <x v="18"/>
    <d v="2025-12-18T00:00:00"/>
    <s v="Required for Match Coverage"/>
    <s v="SK 21/10: To Confirm Necessety"/>
    <s v="Required for Match Coverage"/>
    <s v="FAC00438"/>
  </r>
  <r>
    <x v="0"/>
    <x v="0"/>
    <x v="12"/>
    <x v="12"/>
    <x v="5"/>
    <x v="7"/>
    <x v="55"/>
    <x v="0"/>
    <x v="1"/>
    <s v="Confirmed"/>
    <m/>
    <x v="5"/>
    <x v="18"/>
    <d v="2025-12-18T00:00:00"/>
    <s v="Required for Electronic Medical Record "/>
    <m/>
    <s v="Required for Electronic Medical Record "/>
    <s v="FAC00439"/>
  </r>
  <r>
    <x v="0"/>
    <x v="0"/>
    <x v="12"/>
    <x v="12"/>
    <x v="5"/>
    <x v="13"/>
    <x v="56"/>
    <x v="0"/>
    <x v="1"/>
    <s v="Confirmed"/>
    <m/>
    <x v="5"/>
    <x v="18"/>
    <d v="2025-12-18T00:00:00"/>
    <s v="Required for Electronic Medical Record "/>
    <m/>
    <s v="Required for Electronic Medical Record "/>
    <s v="FAC00440"/>
  </r>
  <r>
    <x v="0"/>
    <x v="0"/>
    <x v="12"/>
    <x v="12"/>
    <x v="5"/>
    <x v="13"/>
    <x v="57"/>
    <x v="0"/>
    <x v="1"/>
    <s v="Confirmed"/>
    <m/>
    <x v="5"/>
    <x v="18"/>
    <d v="2025-12-18T00:00:00"/>
    <s v="Required for Electronic Medical Record "/>
    <m/>
    <s v="Required for Electronic Medical Record "/>
    <s v="FAC00441"/>
  </r>
  <r>
    <x v="0"/>
    <x v="0"/>
    <x v="12"/>
    <x v="12"/>
    <x v="5"/>
    <x v="0"/>
    <x v="58"/>
    <x v="0"/>
    <x v="1"/>
    <s v="Confirmed"/>
    <m/>
    <x v="9"/>
    <x v="18"/>
    <d v="2025-12-18T00:00:00"/>
    <s v="Required for Electronic Medical Record "/>
    <m/>
    <s v="Required for Electronic Medical Record "/>
    <s v="FAC00442"/>
  </r>
  <r>
    <x v="1"/>
    <x v="3"/>
    <x v="13"/>
    <x v="13"/>
    <x v="2"/>
    <x v="3"/>
    <x v="59"/>
    <x v="6"/>
    <x v="10"/>
    <s v="Confirmed"/>
    <m/>
    <x v="16"/>
    <x v="19"/>
    <d v="2025-12-22T00:00:00"/>
    <s v="SIMDAT"/>
    <s v=""/>
    <s v="20GB per SIM Card"/>
    <s v="FAC00443"/>
  </r>
  <r>
    <x v="0"/>
    <x v="3"/>
    <x v="13"/>
    <x v="13"/>
    <x v="2"/>
    <x v="3"/>
    <x v="59"/>
    <x v="6"/>
    <x v="16"/>
    <s v="Confirmed"/>
    <m/>
    <x v="6"/>
    <x v="19"/>
    <d v="2025-12-22T00:00:00"/>
    <s v="ITSR4G"/>
    <s v=""/>
    <s v="500GB per SIM Card"/>
    <s v="FAC00444"/>
  </r>
  <r>
    <x v="1"/>
    <x v="3"/>
    <x v="13"/>
    <x v="13"/>
    <x v="3"/>
    <x v="3"/>
    <x v="59"/>
    <x v="6"/>
    <x v="10"/>
    <s v="Confirmed"/>
    <m/>
    <x v="17"/>
    <x v="19"/>
    <d v="2025-12-22T00:00:00"/>
    <s v="SIMDAT"/>
    <s v=""/>
    <s v="20GB per SIM Card"/>
    <s v="FAC00445"/>
  </r>
  <r>
    <x v="0"/>
    <x v="3"/>
    <x v="13"/>
    <x v="13"/>
    <x v="3"/>
    <x v="3"/>
    <x v="59"/>
    <x v="6"/>
    <x v="16"/>
    <s v="Confirmed"/>
    <m/>
    <x v="6"/>
    <x v="19"/>
    <d v="2025-12-22T00:00:00"/>
    <s v="ITSR4G"/>
    <s v=""/>
    <s v="500GB per SIM Card"/>
    <s v="FAC00446"/>
  </r>
  <r>
    <x v="1"/>
    <x v="3"/>
    <x v="13"/>
    <x v="13"/>
    <x v="4"/>
    <x v="3"/>
    <x v="59"/>
    <x v="6"/>
    <x v="10"/>
    <s v="Confirmed"/>
    <m/>
    <x v="18"/>
    <x v="19"/>
    <d v="2025-12-22T00:00:00"/>
    <s v="SIMDAT"/>
    <s v=""/>
    <s v="20GB per SIM Card"/>
    <s v="FAC00447"/>
  </r>
  <r>
    <x v="0"/>
    <x v="3"/>
    <x v="13"/>
    <x v="13"/>
    <x v="4"/>
    <x v="3"/>
    <x v="59"/>
    <x v="6"/>
    <x v="16"/>
    <s v="Confirmed"/>
    <m/>
    <x v="6"/>
    <x v="19"/>
    <d v="2025-12-22T00:00:00"/>
    <s v="ITSR4G"/>
    <s v=""/>
    <s v="500GB per SIM Card"/>
    <s v="FAC00448"/>
  </r>
  <r>
    <x v="1"/>
    <x v="3"/>
    <x v="13"/>
    <x v="13"/>
    <x v="0"/>
    <x v="3"/>
    <x v="59"/>
    <x v="6"/>
    <x v="10"/>
    <s v="Confirmed"/>
    <m/>
    <x v="19"/>
    <x v="19"/>
    <d v="2025-12-22T00:00:00"/>
    <s v="SIMDAT"/>
    <s v=""/>
    <s v="20GB per SIM Card"/>
    <s v="FAC00449"/>
  </r>
  <r>
    <x v="0"/>
    <x v="3"/>
    <x v="13"/>
    <x v="13"/>
    <x v="0"/>
    <x v="3"/>
    <x v="59"/>
    <x v="6"/>
    <x v="16"/>
    <s v="Confirmed"/>
    <m/>
    <x v="6"/>
    <x v="19"/>
    <d v="2025-12-22T00:00:00"/>
    <s v="ITSR4G"/>
    <s v=""/>
    <s v="500GB per SIM Card"/>
    <s v="FAC00450"/>
  </r>
  <r>
    <x v="1"/>
    <x v="3"/>
    <x v="13"/>
    <x v="13"/>
    <x v="1"/>
    <x v="3"/>
    <x v="59"/>
    <x v="6"/>
    <x v="10"/>
    <s v="Confirmed"/>
    <m/>
    <x v="20"/>
    <x v="19"/>
    <d v="2025-12-22T00:00:00"/>
    <s v="SIMDAT"/>
    <s v=""/>
    <s v="20GB per SIM Card"/>
    <s v="FAC00451"/>
  </r>
  <r>
    <x v="0"/>
    <x v="3"/>
    <x v="13"/>
    <x v="13"/>
    <x v="1"/>
    <x v="3"/>
    <x v="59"/>
    <x v="6"/>
    <x v="16"/>
    <s v="Confirmed"/>
    <m/>
    <x v="6"/>
    <x v="19"/>
    <d v="2025-12-22T00:00:00"/>
    <s v="ITSR4G"/>
    <s v=""/>
    <s v="500GB per SIM Card"/>
    <s v="FAC00452"/>
  </r>
  <r>
    <x v="0"/>
    <x v="3"/>
    <x v="13"/>
    <x v="13"/>
    <x v="6"/>
    <x v="5"/>
    <x v="59"/>
    <x v="6"/>
    <x v="10"/>
    <s v="Confirmed"/>
    <m/>
    <x v="11"/>
    <x v="19"/>
    <d v="2025-12-22T00:00:00"/>
    <s v="SIMDAT"/>
    <s v=""/>
    <s v="20GB per SIM Card (MMC)"/>
    <s v="FAC00453"/>
  </r>
  <r>
    <x v="0"/>
    <x v="3"/>
    <x v="13"/>
    <x v="13"/>
    <x v="6"/>
    <x v="5"/>
    <x v="59"/>
    <x v="6"/>
    <x v="16"/>
    <s v="Confirmed"/>
    <m/>
    <x v="5"/>
    <x v="19"/>
    <d v="2025-12-22T00:00:00"/>
    <s v="ITSR4G"/>
    <s v=""/>
    <s v="500GB per SIM Card (MMC)"/>
    <s v="FAC00454"/>
  </r>
  <r>
    <x v="0"/>
    <x v="2"/>
    <x v="14"/>
    <x v="14"/>
    <x v="1"/>
    <x v="4"/>
    <x v="60"/>
    <x v="5"/>
    <x v="8"/>
    <s v="Confirmed"/>
    <m/>
    <x v="5"/>
    <x v="20"/>
    <d v="2025-12-18T00:00:00"/>
    <s v="TVLGSA"/>
    <s v="SK 21/10: Based on legacy availability"/>
    <s v="with TV live stream"/>
    <s v="FAC00455"/>
  </r>
  <r>
    <x v="1"/>
    <x v="1"/>
    <x v="14"/>
    <x v="14"/>
    <x v="1"/>
    <x v="4"/>
    <x v="60"/>
    <x v="2"/>
    <x v="3"/>
    <s v="Confirmed"/>
    <n v="2"/>
    <x v="5"/>
    <x v="20"/>
    <d v="2025-12-18T00:00:00"/>
    <s v="LAPOPS"/>
    <s v="SK 21/10: reduced QTY in Alignment with Sara"/>
    <m/>
    <s v="FAC00456"/>
  </r>
  <r>
    <x v="1"/>
    <x v="1"/>
    <x v="14"/>
    <x v="14"/>
    <x v="1"/>
    <x v="0"/>
    <x v="60"/>
    <x v="1"/>
    <x v="7"/>
    <s v="Canceled"/>
    <n v="1"/>
    <x v="7"/>
    <x v="20"/>
    <d v="2025-12-18T00:00:00"/>
    <s v="MFDDNW"/>
    <s v="SK 21/10: General office printer approach"/>
    <s v="As the operational room functions independently, we will require access to a nearby printer to support our workflow efficiently"/>
    <s v="FAC00457"/>
  </r>
  <r>
    <x v="0"/>
    <x v="0"/>
    <x v="14"/>
    <x v="14"/>
    <x v="1"/>
    <x v="4"/>
    <x v="60"/>
    <x v="0"/>
    <x v="1"/>
    <s v="Confirmed"/>
    <m/>
    <x v="6"/>
    <x v="20"/>
    <d v="2025-12-18T00:00:00"/>
    <s v="WANGEN"/>
    <s v="SK 21/10: or MiFi, Based on legacy availability"/>
    <s v="WIFI for the fan zone and operational office "/>
    <s v="FAC00458"/>
  </r>
  <r>
    <x v="1"/>
    <x v="2"/>
    <x v="14"/>
    <x v="14"/>
    <x v="0"/>
    <x v="4"/>
    <x v="60"/>
    <x v="5"/>
    <x v="8"/>
    <s v="Confirmed"/>
    <n v="1"/>
    <x v="5"/>
    <x v="20"/>
    <d v="2025-12-18T00:00:00"/>
    <s v="TVLGSA"/>
    <s v="SK 21/10: Based on legacy availability"/>
    <s v="with TV live stream"/>
    <s v="FAC00459"/>
  </r>
  <r>
    <x v="1"/>
    <x v="1"/>
    <x v="14"/>
    <x v="14"/>
    <x v="0"/>
    <x v="4"/>
    <x v="60"/>
    <x v="2"/>
    <x v="3"/>
    <s v="Confirmed"/>
    <n v="2"/>
    <x v="5"/>
    <x v="20"/>
    <d v="2025-12-18T00:00:00"/>
    <s v="LAPOPS"/>
    <s v="SK 21/10: reduced QTY in Alignment with Sara"/>
    <m/>
    <s v="FAC00460"/>
  </r>
  <r>
    <x v="1"/>
    <x v="1"/>
    <x v="14"/>
    <x v="14"/>
    <x v="0"/>
    <x v="0"/>
    <x v="60"/>
    <x v="1"/>
    <x v="7"/>
    <s v="Canceled"/>
    <n v="1"/>
    <x v="7"/>
    <x v="20"/>
    <d v="2025-12-18T00:00:00"/>
    <s v="MFDDNW"/>
    <s v="SK 21/10: General office printer approach"/>
    <s v="As the operational room functions independently, we will require access to a nearby printer to support our workflow efficiently"/>
    <s v="FAC00461"/>
  </r>
  <r>
    <x v="0"/>
    <x v="0"/>
    <x v="14"/>
    <x v="14"/>
    <x v="0"/>
    <x v="4"/>
    <x v="60"/>
    <x v="0"/>
    <x v="1"/>
    <s v="Confirmed"/>
    <m/>
    <x v="6"/>
    <x v="20"/>
    <d v="2025-12-18T00:00:00"/>
    <s v="WANGEN"/>
    <s v="SK 21/10: or MiFi, Based on legacy availability"/>
    <s v="WIFI for the fan zone and operational office "/>
    <s v="FAC00462"/>
  </r>
  <r>
    <x v="0"/>
    <x v="2"/>
    <x v="14"/>
    <x v="14"/>
    <x v="2"/>
    <x v="4"/>
    <x v="60"/>
    <x v="5"/>
    <x v="8"/>
    <s v="Confirmed"/>
    <n v="1"/>
    <x v="5"/>
    <x v="20"/>
    <d v="2025-12-18T00:00:00"/>
    <s v="TVLGSA"/>
    <s v="SK 21/10: Based on legacy availability"/>
    <s v="with TV live stream"/>
    <s v="FAC00463"/>
  </r>
  <r>
    <x v="1"/>
    <x v="1"/>
    <x v="14"/>
    <x v="14"/>
    <x v="2"/>
    <x v="4"/>
    <x v="60"/>
    <x v="2"/>
    <x v="3"/>
    <s v="Confirmed"/>
    <n v="2"/>
    <x v="5"/>
    <x v="20"/>
    <d v="2025-12-18T00:00:00"/>
    <s v="LAPOPS"/>
    <s v="SK 21/10: reduced QTY in Alignment with Sara"/>
    <m/>
    <s v="FAC00464"/>
  </r>
  <r>
    <x v="1"/>
    <x v="1"/>
    <x v="14"/>
    <x v="14"/>
    <x v="2"/>
    <x v="0"/>
    <x v="60"/>
    <x v="1"/>
    <x v="7"/>
    <s v="Canceled"/>
    <n v="1"/>
    <x v="7"/>
    <x v="20"/>
    <d v="2025-12-18T00:00:00"/>
    <s v="MFDDNW"/>
    <s v="SK 21/10: General office printer approach"/>
    <s v="As the operational room functions independently, we will require access to a nearby printer to support our workflow efficiently"/>
    <s v="FAC00465"/>
  </r>
  <r>
    <x v="0"/>
    <x v="0"/>
    <x v="14"/>
    <x v="14"/>
    <x v="2"/>
    <x v="4"/>
    <x v="60"/>
    <x v="0"/>
    <x v="1"/>
    <s v="Confirmed"/>
    <m/>
    <x v="6"/>
    <x v="20"/>
    <d v="2025-12-18T00:00:00"/>
    <s v="WANGEN"/>
    <s v="SK 21/10: or MiFi, Based on legacy availability"/>
    <s v="WIFI for the fan zone and operational office "/>
    <s v="FAC00466"/>
  </r>
  <r>
    <x v="0"/>
    <x v="2"/>
    <x v="14"/>
    <x v="14"/>
    <x v="3"/>
    <x v="4"/>
    <x v="60"/>
    <x v="5"/>
    <x v="8"/>
    <s v="Confirmed"/>
    <n v="1"/>
    <x v="5"/>
    <x v="20"/>
    <d v="2025-12-18T00:00:00"/>
    <s v="TVLGSA"/>
    <s v="SK 21/10: Based on legacy availability"/>
    <s v="with TV live stream"/>
    <s v="FAC00467"/>
  </r>
  <r>
    <x v="1"/>
    <x v="1"/>
    <x v="14"/>
    <x v="14"/>
    <x v="3"/>
    <x v="4"/>
    <x v="60"/>
    <x v="2"/>
    <x v="3"/>
    <s v="Confirmed"/>
    <n v="2"/>
    <x v="5"/>
    <x v="20"/>
    <d v="2025-12-18T00:00:00"/>
    <s v="LAPOPS"/>
    <s v="SK 21/10: reduced QTY in Alignment with Sara"/>
    <m/>
    <s v="FAC00468"/>
  </r>
  <r>
    <x v="1"/>
    <x v="1"/>
    <x v="14"/>
    <x v="14"/>
    <x v="3"/>
    <x v="0"/>
    <x v="60"/>
    <x v="1"/>
    <x v="7"/>
    <s v="Canceled"/>
    <n v="1"/>
    <x v="7"/>
    <x v="20"/>
    <d v="2025-12-18T00:00:00"/>
    <s v="MFDDNW"/>
    <s v="SK 21/10: General office printer approach"/>
    <s v="As the operational room functions independently, we will require access to a nearby printer to support our workflow efficiently"/>
    <s v="FAC00469"/>
  </r>
  <r>
    <x v="0"/>
    <x v="0"/>
    <x v="14"/>
    <x v="14"/>
    <x v="3"/>
    <x v="4"/>
    <x v="60"/>
    <x v="0"/>
    <x v="1"/>
    <s v="Confirmed"/>
    <m/>
    <x v="6"/>
    <x v="20"/>
    <d v="2025-12-18T00:00:00"/>
    <s v="WANGEN"/>
    <s v="SK 21/10: or MiFi, Based on legacy availability"/>
    <s v="WIFI for the fan zone and operational office "/>
    <s v="FAC00470"/>
  </r>
  <r>
    <x v="0"/>
    <x v="2"/>
    <x v="14"/>
    <x v="14"/>
    <x v="4"/>
    <x v="4"/>
    <x v="60"/>
    <x v="5"/>
    <x v="8"/>
    <s v="Confirmed"/>
    <n v="1"/>
    <x v="5"/>
    <x v="20"/>
    <d v="2025-12-18T00:00:00"/>
    <s v="TVLGSA"/>
    <s v="SK 21/10: Based on legacy availability"/>
    <s v="with TV live stream"/>
    <s v="FAC00471"/>
  </r>
  <r>
    <x v="1"/>
    <x v="1"/>
    <x v="14"/>
    <x v="14"/>
    <x v="4"/>
    <x v="4"/>
    <x v="60"/>
    <x v="2"/>
    <x v="3"/>
    <s v="Confirmed"/>
    <n v="2"/>
    <x v="5"/>
    <x v="20"/>
    <d v="2025-12-18T00:00:00"/>
    <s v="LAPOPS"/>
    <s v="SK 21/10: reduced QTY in Alignment with Sara"/>
    <m/>
    <s v="FAC00472"/>
  </r>
  <r>
    <x v="1"/>
    <x v="1"/>
    <x v="14"/>
    <x v="14"/>
    <x v="4"/>
    <x v="0"/>
    <x v="60"/>
    <x v="1"/>
    <x v="7"/>
    <s v="Canceled"/>
    <n v="1"/>
    <x v="7"/>
    <x v="20"/>
    <d v="2025-12-18T00:00:00"/>
    <s v="MFDDNW"/>
    <s v="SK 21/10: General office printer approach"/>
    <s v="As the operational room functions independently, we will require access to a nearby printer to support our workflow efficiently"/>
    <s v="FAC00473"/>
  </r>
  <r>
    <x v="0"/>
    <x v="0"/>
    <x v="14"/>
    <x v="14"/>
    <x v="4"/>
    <x v="4"/>
    <x v="60"/>
    <x v="0"/>
    <x v="1"/>
    <s v="Confirmed"/>
    <m/>
    <x v="6"/>
    <x v="20"/>
    <d v="2025-12-18T00:00:00"/>
    <s v="WANGEN"/>
    <s v="SK 21/10: or MiFi, Based on legacy availability"/>
    <s v="WIFI for the fan zone and operational office "/>
    <s v="FAC00474"/>
  </r>
  <r>
    <x v="0"/>
    <x v="2"/>
    <x v="14"/>
    <x v="14"/>
    <x v="5"/>
    <x v="4"/>
    <x v="60"/>
    <x v="5"/>
    <x v="8"/>
    <s v="Confirmed"/>
    <n v="1"/>
    <x v="5"/>
    <x v="20"/>
    <d v="2025-12-18T00:00:00"/>
    <s v="TVLGSA"/>
    <s v="SK 21/10: Based on legacy availability"/>
    <s v="with TV live stream"/>
    <s v="FAC00475"/>
  </r>
  <r>
    <x v="1"/>
    <x v="1"/>
    <x v="14"/>
    <x v="14"/>
    <x v="5"/>
    <x v="4"/>
    <x v="60"/>
    <x v="2"/>
    <x v="3"/>
    <s v="Confirmed"/>
    <n v="2"/>
    <x v="5"/>
    <x v="20"/>
    <d v="2025-12-18T00:00:00"/>
    <s v="LAPOPS"/>
    <s v="SK 21/10: reduced QTY in Alignment with Sara"/>
    <m/>
    <s v="FAC00476"/>
  </r>
  <r>
    <x v="1"/>
    <x v="1"/>
    <x v="14"/>
    <x v="14"/>
    <x v="5"/>
    <x v="0"/>
    <x v="60"/>
    <x v="1"/>
    <x v="7"/>
    <s v="Canceled"/>
    <n v="1"/>
    <x v="7"/>
    <x v="20"/>
    <d v="2025-12-18T00:00:00"/>
    <s v="MFDDNW"/>
    <s v="SK 21/10: General office printer approach"/>
    <s v="As the operational room functions independently, we will require access to a nearby printer to support our workflow efficiently"/>
    <s v="FAC00477"/>
  </r>
  <r>
    <x v="0"/>
    <x v="0"/>
    <x v="14"/>
    <x v="14"/>
    <x v="5"/>
    <x v="4"/>
    <x v="60"/>
    <x v="0"/>
    <x v="1"/>
    <s v="Confirmed"/>
    <m/>
    <x v="6"/>
    <x v="20"/>
    <d v="2025-12-18T00:00:00"/>
    <s v="WANGEN"/>
    <s v="SK 21/10: or MiFi, Based on legacy availability"/>
    <s v="WIFI for the fan zone and operational office "/>
    <s v="FAC00478"/>
  </r>
  <r>
    <x v="0"/>
    <x v="2"/>
    <x v="15"/>
    <x v="15"/>
    <x v="1"/>
    <x v="2"/>
    <x v="61"/>
    <x v="5"/>
    <x v="8"/>
    <s v="Confirmed"/>
    <n v="3"/>
    <x v="5"/>
    <x v="4"/>
    <d v="2025-12-15T00:00:00"/>
    <s v="TVLGIP"/>
    <s v="SK 27/10: Confirmed with Bradley to keep 1 IPTV and 1 Standalone TV"/>
    <s v="TVs to be used at Comm/MRD Partners Offices &amp;  YP Room with possible use of Playstations"/>
    <s v="FAC00479"/>
  </r>
  <r>
    <x v="0"/>
    <x v="0"/>
    <x v="15"/>
    <x v="15"/>
    <x v="1"/>
    <x v="2"/>
    <x v="61"/>
    <x v="0"/>
    <x v="1"/>
    <s v="Confirmed"/>
    <m/>
    <x v="9"/>
    <x v="4"/>
    <d v="2025-12-15T00:00:00"/>
    <s v="WANGEN"/>
    <s v=""/>
    <s v="All Comm/MRD Designated offices and areas"/>
    <s v="FAC00480"/>
  </r>
  <r>
    <x v="1"/>
    <x v="2"/>
    <x v="15"/>
    <x v="15"/>
    <x v="0"/>
    <x v="2"/>
    <x v="61"/>
    <x v="5"/>
    <x v="8"/>
    <s v="Confirmed"/>
    <n v="3"/>
    <x v="5"/>
    <x v="4"/>
    <d v="2025-12-18T00:00:00"/>
    <s v="TVLGIP"/>
    <s v="SK 27/10: Confirmed with Bradley Habana to keep 1 IPTV and 1 Standalone TV"/>
    <s v="TVs to be used at Comm/MRD Partners Offices &amp;  YP Room with possible use of Playstations"/>
    <s v="FAC00481"/>
  </r>
  <r>
    <x v="0"/>
    <x v="0"/>
    <x v="15"/>
    <x v="15"/>
    <x v="0"/>
    <x v="2"/>
    <x v="61"/>
    <x v="0"/>
    <x v="1"/>
    <s v="Confirmed"/>
    <m/>
    <x v="9"/>
    <x v="4"/>
    <d v="2025-12-18T00:00:00"/>
    <s v="WANGEN"/>
    <s v=""/>
    <s v="All Comm/MRD Designated offices and areas"/>
    <s v="FAC00482"/>
  </r>
  <r>
    <x v="0"/>
    <x v="2"/>
    <x v="15"/>
    <x v="15"/>
    <x v="2"/>
    <x v="2"/>
    <x v="61"/>
    <x v="5"/>
    <x v="8"/>
    <s v="Confirmed"/>
    <n v="3"/>
    <x v="5"/>
    <x v="4"/>
    <d v="2025-12-09T00:00:00"/>
    <s v="TVLGIP"/>
    <s v="SK 27/10: Confirmed with Bradley to keep 1 IPTV and 1 Standalone TV"/>
    <s v="TVs to be used at Comm/MRD Partners Offices &amp;  YP Room with possible use of Playstations"/>
    <s v="FAC00483"/>
  </r>
  <r>
    <x v="0"/>
    <x v="0"/>
    <x v="15"/>
    <x v="15"/>
    <x v="2"/>
    <x v="2"/>
    <x v="61"/>
    <x v="0"/>
    <x v="1"/>
    <s v="Confirmed"/>
    <m/>
    <x v="9"/>
    <x v="4"/>
    <d v="2025-12-09T00:00:00"/>
    <s v="WANGEN"/>
    <s v=""/>
    <s v="All Comm/MRD Designated offices and areas"/>
    <s v="FAC00484"/>
  </r>
  <r>
    <x v="0"/>
    <x v="2"/>
    <x v="15"/>
    <x v="15"/>
    <x v="3"/>
    <x v="2"/>
    <x v="61"/>
    <x v="5"/>
    <x v="8"/>
    <s v="Confirmed"/>
    <n v="3"/>
    <x v="5"/>
    <x v="4"/>
    <d v="2025-12-06T00:00:00"/>
    <s v="TVLGIP"/>
    <s v="SK 27/10: Confirmed with Bradley to keep 1 IPTV and 1 Standalone TV"/>
    <s v="TVs to be used at Comm/MRD Partners Offices &amp;  YP Room with possible use of Playstations"/>
    <s v="FAC00485"/>
  </r>
  <r>
    <x v="0"/>
    <x v="0"/>
    <x v="15"/>
    <x v="15"/>
    <x v="3"/>
    <x v="2"/>
    <x v="61"/>
    <x v="0"/>
    <x v="1"/>
    <s v="Confirmed"/>
    <m/>
    <x v="9"/>
    <x v="4"/>
    <d v="2025-12-06T00:00:00"/>
    <s v="WANGEN"/>
    <s v=""/>
    <s v="All Comm/MRD Designated offices and areas"/>
    <s v="FAC00486"/>
  </r>
  <r>
    <x v="0"/>
    <x v="2"/>
    <x v="15"/>
    <x v="15"/>
    <x v="4"/>
    <x v="2"/>
    <x v="61"/>
    <x v="5"/>
    <x v="8"/>
    <s v="Confirmed"/>
    <n v="3"/>
    <x v="5"/>
    <x v="4"/>
    <d v="2025-12-12T00:00:00"/>
    <s v="TVLGIP"/>
    <s v="SK 27/10: Confirmed with Bradley to keep 1 IPTV and 1 Standalone TV"/>
    <s v="TVs to be used at Comm/MRD Partners Offices &amp;  YP Room with possible use of Playstations"/>
    <s v="FAC00487"/>
  </r>
  <r>
    <x v="0"/>
    <x v="0"/>
    <x v="15"/>
    <x v="15"/>
    <x v="4"/>
    <x v="2"/>
    <x v="61"/>
    <x v="0"/>
    <x v="1"/>
    <s v="Confirmed"/>
    <m/>
    <x v="9"/>
    <x v="4"/>
    <d v="2025-12-12T00:00:00"/>
    <s v="WANGEN"/>
    <s v=""/>
    <s v="All Comm/MRD Designated offices and areas"/>
    <s v="FAC00488"/>
  </r>
  <r>
    <x v="0"/>
    <x v="2"/>
    <x v="15"/>
    <x v="15"/>
    <x v="5"/>
    <x v="2"/>
    <x v="61"/>
    <x v="5"/>
    <x v="8"/>
    <s v="Confirmed"/>
    <n v="3"/>
    <x v="5"/>
    <x v="4"/>
    <d v="2025-12-18T00:00:00"/>
    <s v="TVLGIP"/>
    <s v="SK 27/10: Confirmed with Bradley to keep 1 IPTV and 1 Standalone TV"/>
    <s v="TVs to be used at Comm/MRD Partners Offices &amp;  YP Room with possible use of Playstations"/>
    <s v="FAC00489"/>
  </r>
  <r>
    <x v="0"/>
    <x v="0"/>
    <x v="15"/>
    <x v="15"/>
    <x v="5"/>
    <x v="2"/>
    <x v="61"/>
    <x v="0"/>
    <x v="1"/>
    <s v="Confirmed"/>
    <m/>
    <x v="9"/>
    <x v="4"/>
    <d v="2025-12-18T00:00:00"/>
    <s v="WANGEN"/>
    <s v=""/>
    <s v="All Comm/MRD Designated offices and areas"/>
    <s v="FAC00490"/>
  </r>
  <r>
    <x v="1"/>
    <x v="1"/>
    <x v="16"/>
    <x v="16"/>
    <x v="5"/>
    <x v="4"/>
    <x v="62"/>
    <x v="1"/>
    <x v="7"/>
    <s v="Confirmed"/>
    <m/>
    <x v="9"/>
    <x v="15"/>
    <d v="2025-12-19T00:00:00"/>
    <s v="MFDDNW"/>
    <m/>
    <s v="Printing of accreditations."/>
    <s v="FAC00491"/>
  </r>
  <r>
    <x v="1"/>
    <x v="1"/>
    <x v="16"/>
    <x v="16"/>
    <x v="5"/>
    <x v="4"/>
    <x v="62"/>
    <x v="2"/>
    <x v="3"/>
    <s v="Confirmed"/>
    <m/>
    <x v="11"/>
    <x v="15"/>
    <d v="2025-12-19T00:00:00"/>
    <s v="LAPOPS"/>
    <m/>
    <s v="It can also be AIO PCs"/>
    <s v="FAC00492"/>
  </r>
  <r>
    <x v="1"/>
    <x v="1"/>
    <x v="16"/>
    <x v="16"/>
    <x v="5"/>
    <x v="4"/>
    <x v="62"/>
    <x v="2"/>
    <x v="4"/>
    <s v="Confirmed"/>
    <m/>
    <x v="6"/>
    <x v="15"/>
    <d v="2025-12-19T00:00:00"/>
    <s v="ACCBAR"/>
    <m/>
    <s v="To scan QIDs and accreditations."/>
    <s v="FAC00493"/>
  </r>
  <r>
    <x v="1"/>
    <x v="1"/>
    <x v="16"/>
    <x v="16"/>
    <x v="5"/>
    <x v="4"/>
    <x v="62"/>
    <x v="2"/>
    <x v="21"/>
    <s v="Confirmed"/>
    <m/>
    <x v="11"/>
    <x v="15"/>
    <d v="2025-12-19T00:00:00"/>
    <s v="EUQSPE"/>
    <m/>
    <s v="Mouse to expedite accreditation process at front desk."/>
    <s v="FAC00494"/>
  </r>
  <r>
    <x v="0"/>
    <x v="0"/>
    <x v="16"/>
    <x v="16"/>
    <x v="5"/>
    <x v="4"/>
    <x v="62"/>
    <x v="4"/>
    <x v="6"/>
    <s v="To Validate"/>
    <m/>
    <x v="15"/>
    <x v="15"/>
    <d v="2025-12-19T00:00:00"/>
    <s v="WRDGEN"/>
    <m/>
    <s v="Cable network connection for each printer and laptop.  Start date TBC once match schedule is available."/>
    <s v="FAC00495"/>
  </r>
  <r>
    <x v="0"/>
    <x v="0"/>
    <x v="16"/>
    <x v="16"/>
    <x v="5"/>
    <x v="4"/>
    <x v="62"/>
    <x v="0"/>
    <x v="1"/>
    <s v="To Validate"/>
    <m/>
    <x v="5"/>
    <x v="15"/>
    <d v="2025-12-19T00:00:00"/>
    <s v="WANGEN"/>
    <m/>
    <s v="WiFi for all VAHO"/>
    <s v="FAC00496"/>
  </r>
  <r>
    <x v="1"/>
    <x v="1"/>
    <x v="16"/>
    <x v="16"/>
    <x v="3"/>
    <x v="4"/>
    <x v="62"/>
    <x v="1"/>
    <x v="7"/>
    <s v="Confirmed"/>
    <n v="3"/>
    <x v="6"/>
    <x v="5"/>
    <d v="2025-12-19T00:00:00"/>
    <s v="MFDDNW"/>
    <s v="12NOV: Reduced as per Alignment with ACR Team (Hajash)"/>
    <s v="Printing of accreditations. Start date TBC once match schedule is available."/>
    <s v="FAC00497"/>
  </r>
  <r>
    <x v="0"/>
    <x v="1"/>
    <x v="16"/>
    <x v="16"/>
    <x v="3"/>
    <x v="4"/>
    <x v="62"/>
    <x v="2"/>
    <x v="3"/>
    <s v="Confirmed"/>
    <m/>
    <x v="11"/>
    <x v="5"/>
    <d v="2025-12-19T00:00:00"/>
    <s v="LAPOPS"/>
    <m/>
    <s v="Start date TBC once match schedule is available."/>
    <s v="FAC00498"/>
  </r>
  <r>
    <x v="1"/>
    <x v="1"/>
    <x v="16"/>
    <x v="16"/>
    <x v="3"/>
    <x v="4"/>
    <x v="62"/>
    <x v="2"/>
    <x v="4"/>
    <s v="Confirmed"/>
    <m/>
    <x v="6"/>
    <x v="5"/>
    <d v="2025-12-19T00:00:00"/>
    <s v="ACCBAR"/>
    <m/>
    <s v="To scan QIDs and accreditations. Start date TBC once match schedule is available."/>
    <s v="FAC00499"/>
  </r>
  <r>
    <x v="1"/>
    <x v="1"/>
    <x v="16"/>
    <x v="16"/>
    <x v="3"/>
    <x v="4"/>
    <x v="62"/>
    <x v="2"/>
    <x v="21"/>
    <s v="Confirmed"/>
    <m/>
    <x v="11"/>
    <x v="5"/>
    <d v="2025-12-19T00:00:00"/>
    <s v="EUQSPE"/>
    <m/>
    <s v="Mouse to expedite front desks accreditation process. Start date TBC once match schedule is available."/>
    <s v="FAC00500"/>
  </r>
  <r>
    <x v="0"/>
    <x v="0"/>
    <x v="16"/>
    <x v="16"/>
    <x v="3"/>
    <x v="4"/>
    <x v="62"/>
    <x v="4"/>
    <x v="6"/>
    <s v="To Validate"/>
    <m/>
    <x v="15"/>
    <x v="5"/>
    <d v="2025-12-19T00:00:00"/>
    <s v="WRDGEN"/>
    <m/>
    <s v="Cable network connection for each printer and laptop.  Start date TBC once match schedule is available."/>
    <s v="FAC00501"/>
  </r>
  <r>
    <x v="0"/>
    <x v="0"/>
    <x v="16"/>
    <x v="16"/>
    <x v="3"/>
    <x v="4"/>
    <x v="62"/>
    <x v="0"/>
    <x v="1"/>
    <s v="To Validate"/>
    <m/>
    <x v="5"/>
    <x v="5"/>
    <d v="2025-12-19T00:00:00"/>
    <s v="WANGEN"/>
    <m/>
    <s v="WiFi for all VAHO. Start date TBC once match schedule is available."/>
    <s v="FAC00502"/>
  </r>
  <r>
    <x v="0"/>
    <x v="1"/>
    <x v="16"/>
    <x v="16"/>
    <x v="0"/>
    <x v="4"/>
    <x v="62"/>
    <x v="1"/>
    <x v="7"/>
    <s v="Confirmed"/>
    <n v="3"/>
    <x v="6"/>
    <x v="5"/>
    <d v="2025-12-19T00:00:00"/>
    <s v="MFDDNW"/>
    <s v="12NOV: Reduced as per Alignment with ACR Team (Hajash)"/>
    <s v="Printing of accreditations. Start date TBC once match schedule is available."/>
    <s v="FAC00503"/>
  </r>
  <r>
    <x v="0"/>
    <x v="1"/>
    <x v="16"/>
    <x v="16"/>
    <x v="0"/>
    <x v="4"/>
    <x v="62"/>
    <x v="2"/>
    <x v="3"/>
    <s v="Confirmed"/>
    <m/>
    <x v="11"/>
    <x v="5"/>
    <d v="2025-12-19T00:00:00"/>
    <s v="LAPOPS"/>
    <m/>
    <s v="Start date TBC once match schedule is available."/>
    <s v="FAC00504"/>
  </r>
  <r>
    <x v="1"/>
    <x v="1"/>
    <x v="16"/>
    <x v="16"/>
    <x v="0"/>
    <x v="4"/>
    <x v="62"/>
    <x v="2"/>
    <x v="4"/>
    <s v="Confirmed"/>
    <m/>
    <x v="6"/>
    <x v="5"/>
    <d v="2025-12-19T00:00:00"/>
    <s v="ACCBAR"/>
    <m/>
    <s v="To scan QIDs and accreditations. Start date TBC once match schedule is available."/>
    <s v="FAC00505"/>
  </r>
  <r>
    <x v="1"/>
    <x v="1"/>
    <x v="16"/>
    <x v="16"/>
    <x v="0"/>
    <x v="4"/>
    <x v="62"/>
    <x v="2"/>
    <x v="21"/>
    <s v="Confirmed"/>
    <m/>
    <x v="11"/>
    <x v="5"/>
    <d v="2025-12-19T00:00:00"/>
    <s v="EUQSPE"/>
    <m/>
    <s v="Mouse to expedite front desks accreditation process. Start date TBC once match schedule is available."/>
    <s v="FAC00506"/>
  </r>
  <r>
    <x v="0"/>
    <x v="0"/>
    <x v="16"/>
    <x v="16"/>
    <x v="0"/>
    <x v="4"/>
    <x v="62"/>
    <x v="4"/>
    <x v="6"/>
    <s v="Confirmed"/>
    <m/>
    <x v="15"/>
    <x v="5"/>
    <d v="2025-12-19T00:00:00"/>
    <s v="WRDGEN"/>
    <m/>
    <s v="Cable network connection for each printer and laptop.  Start date TBC once match schedule is available."/>
    <s v="FAC00507"/>
  </r>
  <r>
    <x v="0"/>
    <x v="0"/>
    <x v="16"/>
    <x v="16"/>
    <x v="0"/>
    <x v="4"/>
    <x v="62"/>
    <x v="0"/>
    <x v="1"/>
    <s v="To Validate"/>
    <m/>
    <x v="5"/>
    <x v="5"/>
    <d v="2025-12-19T00:00:00"/>
    <s v="WANGEN"/>
    <m/>
    <s v="Start date TBC once match schedule is available."/>
    <s v="FAC00508"/>
  </r>
  <r>
    <x v="1"/>
    <x v="1"/>
    <x v="16"/>
    <x v="16"/>
    <x v="2"/>
    <x v="4"/>
    <x v="62"/>
    <x v="1"/>
    <x v="7"/>
    <s v="Confirmed"/>
    <n v="3"/>
    <x v="6"/>
    <x v="5"/>
    <d v="2025-12-19T00:00:00"/>
    <s v="MFDDNW"/>
    <s v="12NOV: Reduced as per Alignment with ACR Team (Hajash)"/>
    <s v="WiFi for all VAHO. Start date TBC once match schedule is available."/>
    <s v="FAC00509"/>
  </r>
  <r>
    <x v="0"/>
    <x v="1"/>
    <x v="16"/>
    <x v="16"/>
    <x v="2"/>
    <x v="4"/>
    <x v="62"/>
    <x v="2"/>
    <x v="3"/>
    <s v="Confirmed"/>
    <m/>
    <x v="11"/>
    <x v="5"/>
    <d v="2025-12-19T00:00:00"/>
    <s v="LAPOPS"/>
    <m/>
    <s v="Start date TBC once match schedule is available."/>
    <s v="FAC00510"/>
  </r>
  <r>
    <x v="1"/>
    <x v="1"/>
    <x v="16"/>
    <x v="16"/>
    <x v="2"/>
    <x v="4"/>
    <x v="62"/>
    <x v="2"/>
    <x v="4"/>
    <s v="Confirmed"/>
    <m/>
    <x v="6"/>
    <x v="5"/>
    <d v="2025-12-19T00:00:00"/>
    <s v="ACCBAR"/>
    <m/>
    <s v="To scan QIDs and accreditations. Start date TBC once match schedule is available."/>
    <s v="FAC00511"/>
  </r>
  <r>
    <x v="1"/>
    <x v="1"/>
    <x v="16"/>
    <x v="16"/>
    <x v="2"/>
    <x v="4"/>
    <x v="62"/>
    <x v="2"/>
    <x v="21"/>
    <s v="Confirmed"/>
    <m/>
    <x v="11"/>
    <x v="5"/>
    <d v="2025-12-19T00:00:00"/>
    <s v="EUQSPE"/>
    <m/>
    <s v="Mouse to expedite front desks accreditation process. Start date TBC once match schedule is available."/>
    <s v="FAC00512"/>
  </r>
  <r>
    <x v="0"/>
    <x v="0"/>
    <x v="16"/>
    <x v="16"/>
    <x v="2"/>
    <x v="4"/>
    <x v="62"/>
    <x v="4"/>
    <x v="6"/>
    <s v="To Validate"/>
    <m/>
    <x v="15"/>
    <x v="5"/>
    <d v="2025-12-19T00:00:00"/>
    <s v="WRDGEN"/>
    <m/>
    <s v="Cable network connection for each printer and laptop.  Start date TBC once match schedule is available."/>
    <s v="FAC00513"/>
  </r>
  <r>
    <x v="0"/>
    <x v="0"/>
    <x v="16"/>
    <x v="16"/>
    <x v="2"/>
    <x v="4"/>
    <x v="62"/>
    <x v="0"/>
    <x v="1"/>
    <s v="To Validate"/>
    <m/>
    <x v="5"/>
    <x v="5"/>
    <d v="2025-12-19T00:00:00"/>
    <s v="WANGEN"/>
    <m/>
    <s v="WiFi for all VAHO. Start date TBC once match schedule is available."/>
    <s v="FAC00514"/>
  </r>
  <r>
    <x v="0"/>
    <x v="1"/>
    <x v="16"/>
    <x v="16"/>
    <x v="4"/>
    <x v="4"/>
    <x v="62"/>
    <x v="1"/>
    <x v="7"/>
    <s v="Confirmed"/>
    <n v="3"/>
    <x v="6"/>
    <x v="5"/>
    <d v="2025-12-19T00:00:00"/>
    <s v="MFDDNW"/>
    <s v="12NOV: Reduced as per Alignment with ACR Team (Hajash)"/>
    <s v="Printing of accreditations. Start date TBC once match schedule is available."/>
    <s v="FAC00515"/>
  </r>
  <r>
    <x v="0"/>
    <x v="1"/>
    <x v="16"/>
    <x v="16"/>
    <x v="4"/>
    <x v="4"/>
    <x v="62"/>
    <x v="2"/>
    <x v="3"/>
    <s v="Confirmed"/>
    <m/>
    <x v="11"/>
    <x v="5"/>
    <d v="2025-12-19T00:00:00"/>
    <s v="LAPOPS"/>
    <m/>
    <s v="Start date TBC once match schedule is available."/>
    <s v="FAC00516"/>
  </r>
  <r>
    <x v="0"/>
    <x v="1"/>
    <x v="16"/>
    <x v="16"/>
    <x v="4"/>
    <x v="4"/>
    <x v="62"/>
    <x v="2"/>
    <x v="4"/>
    <s v="Confirmed"/>
    <m/>
    <x v="6"/>
    <x v="5"/>
    <d v="2025-12-19T00:00:00"/>
    <s v="ACCBAR"/>
    <m/>
    <s v="To scan QIDs and accreditations. Start date TBC once match schedule is available."/>
    <s v="FAC00517"/>
  </r>
  <r>
    <x v="1"/>
    <x v="1"/>
    <x v="16"/>
    <x v="16"/>
    <x v="4"/>
    <x v="4"/>
    <x v="62"/>
    <x v="2"/>
    <x v="21"/>
    <s v="Confirmed"/>
    <m/>
    <x v="11"/>
    <x v="5"/>
    <d v="2025-12-19T00:00:00"/>
    <s v="EUQSPE"/>
    <m/>
    <s v="Mouse to expedite front desks accreditation process. Start date TBC once match schedule is available."/>
    <s v="FAC00518"/>
  </r>
  <r>
    <x v="0"/>
    <x v="0"/>
    <x v="16"/>
    <x v="16"/>
    <x v="4"/>
    <x v="4"/>
    <x v="62"/>
    <x v="4"/>
    <x v="6"/>
    <s v="To Validate"/>
    <m/>
    <x v="15"/>
    <x v="5"/>
    <d v="2025-12-19T00:00:00"/>
    <s v="WRDGEN"/>
    <m/>
    <s v="Cable network connection for each printer and laptop.  Start date TBC once match schedule is available."/>
    <s v="FAC00519"/>
  </r>
  <r>
    <x v="0"/>
    <x v="0"/>
    <x v="16"/>
    <x v="16"/>
    <x v="4"/>
    <x v="4"/>
    <x v="62"/>
    <x v="0"/>
    <x v="1"/>
    <s v="To Validate"/>
    <m/>
    <x v="5"/>
    <x v="5"/>
    <d v="2025-12-19T00:00:00"/>
    <s v="WANGEN"/>
    <m/>
    <s v="WiFi for all VAHO. Start date TBC once match schedule is available."/>
    <s v="FAC00520"/>
  </r>
  <r>
    <x v="0"/>
    <x v="1"/>
    <x v="16"/>
    <x v="16"/>
    <x v="1"/>
    <x v="4"/>
    <x v="62"/>
    <x v="1"/>
    <x v="7"/>
    <s v="Confirmed"/>
    <n v="3"/>
    <x v="6"/>
    <x v="5"/>
    <d v="2025-12-19T00:00:00"/>
    <s v="MFDDNW"/>
    <s v="12NOV: Reduced as per Alignment with ACR Team (Hajash)"/>
    <s v="Printing of accreditations. Start date TBC once match schedule is available."/>
    <s v="FAC00521"/>
  </r>
  <r>
    <x v="0"/>
    <x v="1"/>
    <x v="16"/>
    <x v="16"/>
    <x v="1"/>
    <x v="4"/>
    <x v="62"/>
    <x v="2"/>
    <x v="3"/>
    <s v="Confirmed"/>
    <m/>
    <x v="11"/>
    <x v="5"/>
    <d v="2025-12-19T00:00:00"/>
    <s v="LAPOPS"/>
    <m/>
    <s v="Start date TBC once match schedule is available."/>
    <s v="FAC00522"/>
  </r>
  <r>
    <x v="1"/>
    <x v="1"/>
    <x v="16"/>
    <x v="16"/>
    <x v="1"/>
    <x v="4"/>
    <x v="62"/>
    <x v="2"/>
    <x v="4"/>
    <s v="Confirmed"/>
    <m/>
    <x v="6"/>
    <x v="5"/>
    <d v="2025-12-19T00:00:00"/>
    <s v="ACCBAR"/>
    <m/>
    <s v="To scan QIDs and accreditations. Start date TBC once match schedule is available."/>
    <s v="FAC00523"/>
  </r>
  <r>
    <x v="1"/>
    <x v="1"/>
    <x v="16"/>
    <x v="16"/>
    <x v="1"/>
    <x v="4"/>
    <x v="62"/>
    <x v="2"/>
    <x v="21"/>
    <s v="Confirmed"/>
    <m/>
    <x v="11"/>
    <x v="5"/>
    <d v="2025-12-19T00:00:00"/>
    <s v="EUQSPE"/>
    <m/>
    <s v="Mouse to expedite front desks accreditation process. Start date TBC once match schedule is available."/>
    <s v="FAC00524"/>
  </r>
  <r>
    <x v="0"/>
    <x v="0"/>
    <x v="16"/>
    <x v="16"/>
    <x v="1"/>
    <x v="4"/>
    <x v="62"/>
    <x v="4"/>
    <x v="6"/>
    <s v="To Validate"/>
    <m/>
    <x v="15"/>
    <x v="5"/>
    <d v="2025-12-19T00:00:00"/>
    <s v="WRDGEN"/>
    <m/>
    <s v="Cable network connection for each printer and laptop.  Start date TBC once match schedule is available."/>
    <s v="FAC00525"/>
  </r>
  <r>
    <x v="0"/>
    <x v="0"/>
    <x v="16"/>
    <x v="16"/>
    <x v="1"/>
    <x v="4"/>
    <x v="62"/>
    <x v="0"/>
    <x v="1"/>
    <s v="To Validate"/>
    <m/>
    <x v="5"/>
    <x v="5"/>
    <d v="2025-12-19T00:00:00"/>
    <s v="WANGEN"/>
    <m/>
    <s v="WiFi for all VAHO. Start date TBC once match schedule is available."/>
    <s v="FAC00526"/>
  </r>
  <r>
    <x v="1"/>
    <x v="1"/>
    <x v="17"/>
    <x v="17"/>
    <x v="0"/>
    <x v="13"/>
    <x v="63"/>
    <x v="1"/>
    <x v="7"/>
    <s v="Confirmed"/>
    <m/>
    <x v="5"/>
    <x v="21"/>
    <d v="2025-12-20T00:00:00"/>
    <s v="MFDSHR"/>
    <s v=""/>
    <m/>
    <s v="FAC00527"/>
  </r>
  <r>
    <x v="1"/>
    <x v="2"/>
    <x v="17"/>
    <x v="17"/>
    <x v="0"/>
    <x v="13"/>
    <x v="64"/>
    <x v="5"/>
    <x v="8"/>
    <s v="Confirmed"/>
    <m/>
    <x v="6"/>
    <x v="22"/>
    <d v="2025-12-18T00:00:00"/>
    <s v="TVLGIP"/>
    <s v=""/>
    <s v="TV stand  for large TV is required"/>
    <s v="FAC00528"/>
  </r>
  <r>
    <x v="0"/>
    <x v="0"/>
    <x v="17"/>
    <x v="17"/>
    <x v="0"/>
    <x v="13"/>
    <x v="65"/>
    <x v="0"/>
    <x v="22"/>
    <s v="Confirmed"/>
    <m/>
    <x v="5"/>
    <x v="22"/>
    <d v="2025-12-18T00:00:00"/>
    <s v="WANVIP"/>
    <s v=""/>
    <m/>
    <s v="FAC00529"/>
  </r>
  <r>
    <x v="0"/>
    <x v="0"/>
    <x v="17"/>
    <x v="17"/>
    <x v="0"/>
    <x v="13"/>
    <x v="64"/>
    <x v="0"/>
    <x v="22"/>
    <s v="Confirmed"/>
    <m/>
    <x v="5"/>
    <x v="22"/>
    <d v="2025-12-18T00:00:00"/>
    <s v="WANVIP"/>
    <s v=""/>
    <m/>
    <s v="FAC00530"/>
  </r>
  <r>
    <x v="0"/>
    <x v="1"/>
    <x v="17"/>
    <x v="17"/>
    <x v="1"/>
    <x v="13"/>
    <x v="63"/>
    <x v="1"/>
    <x v="7"/>
    <s v="Confirmed"/>
    <m/>
    <x v="5"/>
    <x v="21"/>
    <d v="2025-12-20T00:00:00"/>
    <s v="MFDSHR"/>
    <s v=""/>
    <m/>
    <s v="FAC00531"/>
  </r>
  <r>
    <x v="0"/>
    <x v="2"/>
    <x v="17"/>
    <x v="17"/>
    <x v="1"/>
    <x v="13"/>
    <x v="64"/>
    <x v="5"/>
    <x v="8"/>
    <s v="Confirmed"/>
    <m/>
    <x v="6"/>
    <x v="22"/>
    <d v="2025-12-18T00:00:00"/>
    <s v="TVLGIP"/>
    <s v=""/>
    <s v="TV stand  for large TV is required"/>
    <s v="FAC00532"/>
  </r>
  <r>
    <x v="0"/>
    <x v="0"/>
    <x v="17"/>
    <x v="17"/>
    <x v="1"/>
    <x v="13"/>
    <x v="65"/>
    <x v="0"/>
    <x v="22"/>
    <s v="Confirmed"/>
    <m/>
    <x v="5"/>
    <x v="22"/>
    <d v="2025-12-18T00:00:00"/>
    <s v="WANVIP"/>
    <s v=""/>
    <m/>
    <s v="FAC00533"/>
  </r>
  <r>
    <x v="0"/>
    <x v="0"/>
    <x v="17"/>
    <x v="17"/>
    <x v="1"/>
    <x v="13"/>
    <x v="64"/>
    <x v="0"/>
    <x v="22"/>
    <s v="Confirmed"/>
    <m/>
    <x v="5"/>
    <x v="22"/>
    <d v="2025-12-18T00:00:00"/>
    <s v="WANVIP"/>
    <s v=""/>
    <m/>
    <s v="FAC00534"/>
  </r>
  <r>
    <x v="1"/>
    <x v="1"/>
    <x v="17"/>
    <x v="17"/>
    <x v="2"/>
    <x v="13"/>
    <x v="63"/>
    <x v="1"/>
    <x v="7"/>
    <s v="Confirmed"/>
    <m/>
    <x v="5"/>
    <x v="21"/>
    <d v="2025-12-20T00:00:00"/>
    <s v="MFDSHR"/>
    <s v=""/>
    <m/>
    <s v="FAC00535"/>
  </r>
  <r>
    <x v="0"/>
    <x v="2"/>
    <x v="17"/>
    <x v="17"/>
    <x v="2"/>
    <x v="13"/>
    <x v="64"/>
    <x v="5"/>
    <x v="8"/>
    <s v="Confirmed"/>
    <m/>
    <x v="6"/>
    <x v="22"/>
    <d v="2025-12-18T00:00:00"/>
    <s v="TVLGIP"/>
    <s v=""/>
    <s v="TV stand  for large TV is required"/>
    <s v="FAC00536"/>
  </r>
  <r>
    <x v="0"/>
    <x v="0"/>
    <x v="17"/>
    <x v="17"/>
    <x v="2"/>
    <x v="13"/>
    <x v="65"/>
    <x v="0"/>
    <x v="22"/>
    <s v="Confirmed"/>
    <m/>
    <x v="5"/>
    <x v="22"/>
    <d v="2025-12-18T00:00:00"/>
    <s v="WANVIP"/>
    <s v=""/>
    <m/>
    <s v="FAC00537"/>
  </r>
  <r>
    <x v="0"/>
    <x v="0"/>
    <x v="17"/>
    <x v="17"/>
    <x v="2"/>
    <x v="13"/>
    <x v="64"/>
    <x v="0"/>
    <x v="22"/>
    <s v="Confirmed"/>
    <m/>
    <x v="5"/>
    <x v="22"/>
    <d v="2025-12-18T00:00:00"/>
    <s v="WANVIP"/>
    <s v=""/>
    <m/>
    <s v="FAC00538"/>
  </r>
  <r>
    <x v="1"/>
    <x v="1"/>
    <x v="17"/>
    <x v="17"/>
    <x v="3"/>
    <x v="13"/>
    <x v="63"/>
    <x v="1"/>
    <x v="7"/>
    <s v="Confirmed"/>
    <m/>
    <x v="5"/>
    <x v="21"/>
    <d v="2025-12-20T00:00:00"/>
    <s v="MFDSHR"/>
    <s v=""/>
    <m/>
    <s v="FAC00539"/>
  </r>
  <r>
    <x v="1"/>
    <x v="2"/>
    <x v="17"/>
    <x v="17"/>
    <x v="3"/>
    <x v="13"/>
    <x v="64"/>
    <x v="5"/>
    <x v="8"/>
    <s v="Confirmed"/>
    <m/>
    <x v="6"/>
    <x v="22"/>
    <d v="2025-12-18T00:00:00"/>
    <s v="TVLGIP"/>
    <s v=""/>
    <s v="TV stand  for large TV is required"/>
    <s v="FAC00540"/>
  </r>
  <r>
    <x v="1"/>
    <x v="0"/>
    <x v="17"/>
    <x v="17"/>
    <x v="3"/>
    <x v="13"/>
    <x v="65"/>
    <x v="0"/>
    <x v="22"/>
    <s v="Confirmed"/>
    <m/>
    <x v="5"/>
    <x v="22"/>
    <d v="2025-12-18T00:00:00"/>
    <s v="WANVIP"/>
    <s v=""/>
    <m/>
    <s v="FAC00541"/>
  </r>
  <r>
    <x v="1"/>
    <x v="0"/>
    <x v="17"/>
    <x v="17"/>
    <x v="3"/>
    <x v="13"/>
    <x v="64"/>
    <x v="0"/>
    <x v="22"/>
    <s v="Confirmed"/>
    <m/>
    <x v="5"/>
    <x v="22"/>
    <d v="2025-12-18T00:00:00"/>
    <s v="WANVIP"/>
    <s v=""/>
    <m/>
    <s v="FAC00542"/>
  </r>
  <r>
    <x v="1"/>
    <x v="1"/>
    <x v="17"/>
    <x v="17"/>
    <x v="4"/>
    <x v="13"/>
    <x v="63"/>
    <x v="1"/>
    <x v="7"/>
    <s v="Confirmed"/>
    <m/>
    <x v="5"/>
    <x v="21"/>
    <d v="2025-12-20T00:00:00"/>
    <s v="MFDSHR"/>
    <s v=""/>
    <m/>
    <s v="FAC00543"/>
  </r>
  <r>
    <x v="0"/>
    <x v="2"/>
    <x v="17"/>
    <x v="17"/>
    <x v="4"/>
    <x v="13"/>
    <x v="64"/>
    <x v="5"/>
    <x v="8"/>
    <s v="Confirmed"/>
    <m/>
    <x v="6"/>
    <x v="22"/>
    <d v="2025-12-18T00:00:00"/>
    <s v="TVLGIP"/>
    <s v=""/>
    <s v="TV stand  for large TV is required"/>
    <s v="FAC00544"/>
  </r>
  <r>
    <x v="0"/>
    <x v="0"/>
    <x v="17"/>
    <x v="17"/>
    <x v="4"/>
    <x v="13"/>
    <x v="65"/>
    <x v="0"/>
    <x v="22"/>
    <s v="Confirmed"/>
    <m/>
    <x v="5"/>
    <x v="22"/>
    <d v="2025-12-18T00:00:00"/>
    <s v="WANVIP"/>
    <s v=""/>
    <m/>
    <s v="FAC00545"/>
  </r>
  <r>
    <x v="0"/>
    <x v="0"/>
    <x v="17"/>
    <x v="17"/>
    <x v="4"/>
    <x v="13"/>
    <x v="64"/>
    <x v="0"/>
    <x v="22"/>
    <s v="Confirmed"/>
    <m/>
    <x v="5"/>
    <x v="22"/>
    <d v="2025-12-18T00:00:00"/>
    <s v="WANVIP"/>
    <s v=""/>
    <m/>
    <s v="FAC00546"/>
  </r>
  <r>
    <x v="1"/>
    <x v="1"/>
    <x v="17"/>
    <x v="17"/>
    <x v="5"/>
    <x v="13"/>
    <x v="63"/>
    <x v="1"/>
    <x v="7"/>
    <s v="Confirmed"/>
    <m/>
    <x v="5"/>
    <x v="21"/>
    <d v="2025-12-20T00:00:00"/>
    <s v="MFDSHR"/>
    <s v=""/>
    <m/>
    <s v="FAC00547"/>
  </r>
  <r>
    <x v="0"/>
    <x v="2"/>
    <x v="17"/>
    <x v="17"/>
    <x v="5"/>
    <x v="13"/>
    <x v="64"/>
    <x v="5"/>
    <x v="8"/>
    <s v="Confirmed"/>
    <m/>
    <x v="6"/>
    <x v="22"/>
    <d v="2025-12-18T00:00:00"/>
    <s v="TVLGIP"/>
    <s v=""/>
    <s v="TV stand  for large TV is required"/>
    <s v="FAC00548"/>
  </r>
  <r>
    <x v="0"/>
    <x v="0"/>
    <x v="17"/>
    <x v="17"/>
    <x v="5"/>
    <x v="13"/>
    <x v="65"/>
    <x v="0"/>
    <x v="22"/>
    <s v="Confirmed"/>
    <m/>
    <x v="5"/>
    <x v="22"/>
    <d v="2025-12-18T00:00:00"/>
    <s v="WANVIP"/>
    <s v=""/>
    <m/>
    <s v="FAC00549"/>
  </r>
  <r>
    <x v="0"/>
    <x v="0"/>
    <x v="17"/>
    <x v="17"/>
    <x v="5"/>
    <x v="13"/>
    <x v="64"/>
    <x v="0"/>
    <x v="22"/>
    <s v="Confirmed"/>
    <m/>
    <x v="5"/>
    <x v="22"/>
    <d v="2025-12-18T00:00:00"/>
    <s v="WANVIP"/>
    <s v=""/>
    <m/>
    <s v="FAC00550"/>
  </r>
  <r>
    <x v="1"/>
    <x v="2"/>
    <x v="17"/>
    <x v="17"/>
    <x v="0"/>
    <x v="13"/>
    <x v="64"/>
    <x v="5"/>
    <x v="23"/>
    <s v="Confirmed"/>
    <m/>
    <x v="21"/>
    <x v="22"/>
    <d v="2025-12-18T00:00:00"/>
    <s v="TVLGIP"/>
    <m/>
    <s v="All legacy TVs to be operational in the VIP/VVIP areas"/>
    <s v="FAC00551"/>
  </r>
  <r>
    <x v="0"/>
    <x v="2"/>
    <x v="17"/>
    <x v="17"/>
    <x v="1"/>
    <x v="13"/>
    <x v="64"/>
    <x v="5"/>
    <x v="23"/>
    <s v="Confirmed"/>
    <m/>
    <x v="21"/>
    <x v="22"/>
    <d v="2025-12-18T00:00:00"/>
    <s v="TVLGIP"/>
    <m/>
    <s v="All legacy TVs to be operational in the VIP/VVIP areas"/>
    <s v="FAC00552"/>
  </r>
  <r>
    <x v="0"/>
    <x v="2"/>
    <x v="17"/>
    <x v="17"/>
    <x v="2"/>
    <x v="13"/>
    <x v="64"/>
    <x v="5"/>
    <x v="23"/>
    <s v="Confirmed"/>
    <m/>
    <x v="21"/>
    <x v="22"/>
    <d v="2025-12-18T00:00:00"/>
    <s v="TVLGIP"/>
    <m/>
    <s v="All legacy TVs to be operational in the VIP/VVIP areas"/>
    <s v="FAC00553"/>
  </r>
  <r>
    <x v="0"/>
    <x v="2"/>
    <x v="17"/>
    <x v="17"/>
    <x v="3"/>
    <x v="13"/>
    <x v="64"/>
    <x v="5"/>
    <x v="23"/>
    <s v="Confirmed"/>
    <m/>
    <x v="21"/>
    <x v="22"/>
    <d v="2025-12-18T00:00:00"/>
    <s v="TVLGIP"/>
    <m/>
    <s v="All legacy TVs to be operational in the VIP/VVIP areas"/>
    <s v="FAC00554"/>
  </r>
  <r>
    <x v="0"/>
    <x v="2"/>
    <x v="17"/>
    <x v="17"/>
    <x v="4"/>
    <x v="13"/>
    <x v="64"/>
    <x v="5"/>
    <x v="23"/>
    <s v="Confirmed"/>
    <m/>
    <x v="21"/>
    <x v="22"/>
    <d v="2025-12-18T00:00:00"/>
    <s v="TVLGIP"/>
    <m/>
    <s v="All legacy TVs to be operational in the VIP/VVIP areas"/>
    <s v="FAC00555"/>
  </r>
  <r>
    <x v="0"/>
    <x v="2"/>
    <x v="17"/>
    <x v="17"/>
    <x v="5"/>
    <x v="13"/>
    <x v="64"/>
    <x v="5"/>
    <x v="23"/>
    <s v="Confirmed"/>
    <m/>
    <x v="21"/>
    <x v="22"/>
    <d v="2025-12-18T00:00:00"/>
    <s v="TVLGIP"/>
    <m/>
    <s v="All legacy TVs to be operational in the VIP/VVIP areas"/>
    <s v="FAC00556"/>
  </r>
  <r>
    <x v="0"/>
    <x v="1"/>
    <x v="18"/>
    <x v="18"/>
    <x v="1"/>
    <x v="7"/>
    <x v="66"/>
    <x v="1"/>
    <x v="7"/>
    <s v="Confirmed"/>
    <m/>
    <x v="5"/>
    <x v="11"/>
    <d v="2025-12-16T00:00:00"/>
    <s v="MFDDNW"/>
    <s v=""/>
    <s v="for FIFA/LOC CPM team"/>
    <s v="FAC00557"/>
  </r>
  <r>
    <x v="0"/>
    <x v="2"/>
    <x v="18"/>
    <x v="18"/>
    <x v="1"/>
    <x v="7"/>
    <x v="66"/>
    <x v="5"/>
    <x v="8"/>
    <s v="Confirmed"/>
    <m/>
    <x v="5"/>
    <x v="11"/>
    <d v="2025-12-16T00:00:00"/>
    <s v="TVLGIP"/>
    <s v=""/>
    <m/>
    <s v="FAC00558"/>
  </r>
  <r>
    <x v="1"/>
    <x v="1"/>
    <x v="18"/>
    <x v="18"/>
    <x v="0"/>
    <x v="7"/>
    <x v="66"/>
    <x v="1"/>
    <x v="7"/>
    <s v="Confirmed"/>
    <m/>
    <x v="5"/>
    <x v="11"/>
    <d v="2025-12-19T00:00:00"/>
    <s v="MFDDNW"/>
    <s v=""/>
    <s v="for FIFA/LOC CPM team"/>
    <s v="FAC00559"/>
  </r>
  <r>
    <x v="1"/>
    <x v="2"/>
    <x v="18"/>
    <x v="18"/>
    <x v="0"/>
    <x v="7"/>
    <x v="66"/>
    <x v="5"/>
    <x v="8"/>
    <s v="Confirmed"/>
    <m/>
    <x v="5"/>
    <x v="11"/>
    <d v="2025-12-19T00:00:00"/>
    <s v="TVLGIP"/>
    <s v=""/>
    <m/>
    <s v="FAC00560"/>
  </r>
  <r>
    <x v="1"/>
    <x v="1"/>
    <x v="18"/>
    <x v="18"/>
    <x v="2"/>
    <x v="7"/>
    <x v="66"/>
    <x v="1"/>
    <x v="7"/>
    <s v="Confirmed"/>
    <m/>
    <x v="5"/>
    <x v="11"/>
    <d v="2025-12-11T00:00:00"/>
    <s v="MFDDNW"/>
    <s v=""/>
    <s v="for FIFA/LOC CPM team"/>
    <s v="FAC00561"/>
  </r>
  <r>
    <x v="0"/>
    <x v="2"/>
    <x v="18"/>
    <x v="18"/>
    <x v="2"/>
    <x v="7"/>
    <x v="66"/>
    <x v="5"/>
    <x v="8"/>
    <s v="Confirmed"/>
    <m/>
    <x v="5"/>
    <x v="11"/>
    <d v="2025-12-11T00:00:00"/>
    <s v="TVLGIP"/>
    <s v=""/>
    <m/>
    <s v="FAC00562"/>
  </r>
  <r>
    <x v="1"/>
    <x v="1"/>
    <x v="18"/>
    <x v="18"/>
    <x v="4"/>
    <x v="7"/>
    <x v="66"/>
    <x v="1"/>
    <x v="7"/>
    <s v="Confirmed"/>
    <m/>
    <x v="5"/>
    <x v="11"/>
    <d v="2025-12-13T00:00:00"/>
    <s v="MFDDNW"/>
    <s v=""/>
    <s v="for FIFA/LOC CPM team"/>
    <s v="FAC00563"/>
  </r>
  <r>
    <x v="0"/>
    <x v="2"/>
    <x v="18"/>
    <x v="18"/>
    <x v="4"/>
    <x v="7"/>
    <x v="66"/>
    <x v="5"/>
    <x v="8"/>
    <s v="Confirmed"/>
    <m/>
    <x v="5"/>
    <x v="11"/>
    <d v="2025-12-13T00:00:00"/>
    <s v="TVLGIP"/>
    <s v=""/>
    <m/>
    <s v="FAC00564"/>
  </r>
  <r>
    <x v="1"/>
    <x v="1"/>
    <x v="18"/>
    <x v="18"/>
    <x v="5"/>
    <x v="7"/>
    <x v="66"/>
    <x v="1"/>
    <x v="7"/>
    <s v="Confirmed"/>
    <m/>
    <x v="5"/>
    <x v="11"/>
    <d v="2025-12-12T00:00:00"/>
    <s v="MFDDNW"/>
    <s v=""/>
    <s v="for FIFA/LOC CPM team"/>
    <s v="FAC00565"/>
  </r>
  <r>
    <x v="0"/>
    <x v="2"/>
    <x v="18"/>
    <x v="18"/>
    <x v="5"/>
    <x v="7"/>
    <x v="66"/>
    <x v="5"/>
    <x v="8"/>
    <s v="Confirmed"/>
    <m/>
    <x v="5"/>
    <x v="11"/>
    <d v="2025-12-12T00:00:00"/>
    <s v="TVLGIP"/>
    <s v=""/>
    <m/>
    <s v="FAC00566"/>
  </r>
  <r>
    <x v="1"/>
    <x v="1"/>
    <x v="18"/>
    <x v="18"/>
    <x v="3"/>
    <x v="7"/>
    <x v="66"/>
    <x v="1"/>
    <x v="7"/>
    <s v="Confirmed"/>
    <m/>
    <x v="5"/>
    <x v="11"/>
    <d v="2025-12-18T00:00:00"/>
    <s v="MFDDNW"/>
    <s v=""/>
    <s v="for FIFA/LOC CPM team"/>
    <s v="FAC00567"/>
  </r>
  <r>
    <x v="0"/>
    <x v="2"/>
    <x v="18"/>
    <x v="18"/>
    <x v="3"/>
    <x v="7"/>
    <x v="66"/>
    <x v="5"/>
    <x v="8"/>
    <s v="Confirmed"/>
    <m/>
    <x v="5"/>
    <x v="11"/>
    <d v="2025-12-18T00:00:00"/>
    <s v="TVLGIP"/>
    <s v=""/>
    <m/>
    <s v="FAC00568"/>
  </r>
  <r>
    <x v="0"/>
    <x v="2"/>
    <x v="18"/>
    <x v="18"/>
    <x v="1"/>
    <x v="7"/>
    <x v="67"/>
    <x v="3"/>
    <x v="5"/>
    <s v="Confirmed"/>
    <m/>
    <x v="5"/>
    <x v="11"/>
    <d v="2025-12-16T00:00:00"/>
    <m/>
    <s v="SK 06/10: IPTV changed to Standalone TV"/>
    <m/>
    <s v="FAC00577"/>
  </r>
  <r>
    <x v="1"/>
    <x v="2"/>
    <x v="18"/>
    <x v="18"/>
    <x v="0"/>
    <x v="7"/>
    <x v="67"/>
    <x v="3"/>
    <x v="5"/>
    <s v="Confirmed"/>
    <m/>
    <x v="5"/>
    <x v="11"/>
    <d v="2025-12-19T00:00:00"/>
    <m/>
    <s v="SK 06/10: IPTV changed to Standalone TV"/>
    <m/>
    <s v="FAC00578"/>
  </r>
  <r>
    <x v="0"/>
    <x v="2"/>
    <x v="18"/>
    <x v="18"/>
    <x v="2"/>
    <x v="7"/>
    <x v="67"/>
    <x v="3"/>
    <x v="5"/>
    <s v="Confirmed"/>
    <m/>
    <x v="5"/>
    <x v="11"/>
    <d v="2025-12-11T00:00:00"/>
    <m/>
    <s v="SK 06/10: IPTV changed to Standalone TV"/>
    <m/>
    <s v="FAC00579"/>
  </r>
  <r>
    <x v="0"/>
    <x v="2"/>
    <x v="18"/>
    <x v="18"/>
    <x v="5"/>
    <x v="7"/>
    <x v="67"/>
    <x v="3"/>
    <x v="5"/>
    <s v="Confirmed"/>
    <m/>
    <x v="5"/>
    <x v="11"/>
    <d v="2025-12-12T00:00:00"/>
    <m/>
    <s v="SK 06/10: IPTV changed to Standalone TV"/>
    <m/>
    <s v="FAC00580"/>
  </r>
  <r>
    <x v="0"/>
    <x v="2"/>
    <x v="18"/>
    <x v="18"/>
    <x v="3"/>
    <x v="7"/>
    <x v="67"/>
    <x v="3"/>
    <x v="5"/>
    <s v="Confirmed"/>
    <m/>
    <x v="5"/>
    <x v="11"/>
    <d v="2025-12-18T00:00:00"/>
    <m/>
    <s v="SK 06/10: IPTV changed to Standalone TV"/>
    <m/>
    <s v="FAC00581"/>
  </r>
  <r>
    <x v="0"/>
    <x v="2"/>
    <x v="18"/>
    <x v="18"/>
    <x v="4"/>
    <x v="7"/>
    <x v="67"/>
    <x v="3"/>
    <x v="5"/>
    <s v="Confirmed"/>
    <m/>
    <x v="5"/>
    <x v="23"/>
    <d v="2025-12-13T00:00:00"/>
    <m/>
    <s v="SK 06/10: IPTV changed to Standalone TV"/>
    <m/>
    <s v="FAC00582"/>
  </r>
  <r>
    <x v="1"/>
    <x v="0"/>
    <x v="18"/>
    <x v="18"/>
    <x v="1"/>
    <x v="9"/>
    <x v="68"/>
    <x v="4"/>
    <x v="6"/>
    <s v="Canceled"/>
    <n v="6"/>
    <x v="7"/>
    <x v="11"/>
    <d v="2025-12-18T00:00:00"/>
    <s v="WRDSPE"/>
    <s v="SK 18.11: Not required for FAC25. Media Cabled will be provided"/>
    <s v="Wired Port - TSG"/>
    <s v="FAC00627"/>
  </r>
  <r>
    <x v="1"/>
    <x v="0"/>
    <x v="18"/>
    <x v="18"/>
    <x v="0"/>
    <x v="9"/>
    <x v="68"/>
    <x v="4"/>
    <x v="6"/>
    <s v="Canceled"/>
    <n v="6"/>
    <x v="7"/>
    <x v="11"/>
    <d v="2025-12-19T00:00:00"/>
    <s v="WRDSPE"/>
    <s v="SK 18.11: Not required for FAC25. Media Cabled will be provided"/>
    <s v="Wired Port - TSG"/>
    <s v="FAC00628"/>
  </r>
  <r>
    <x v="1"/>
    <x v="0"/>
    <x v="18"/>
    <x v="18"/>
    <x v="2"/>
    <x v="9"/>
    <x v="68"/>
    <x v="4"/>
    <x v="6"/>
    <s v="Canceled"/>
    <n v="6"/>
    <x v="7"/>
    <x v="11"/>
    <d v="2025-12-18T00:00:00"/>
    <s v="WRDSPE"/>
    <s v="SK 18.11: Not required for FAC25. Media Cabled will be provided"/>
    <s v="Wired Port - TSG"/>
    <s v="FAC00629"/>
  </r>
  <r>
    <x v="1"/>
    <x v="0"/>
    <x v="18"/>
    <x v="18"/>
    <x v="5"/>
    <x v="9"/>
    <x v="68"/>
    <x v="4"/>
    <x v="6"/>
    <s v="Canceled"/>
    <n v="6"/>
    <x v="7"/>
    <x v="11"/>
    <d v="2025-12-18T00:00:00"/>
    <s v="WRDSPE"/>
    <s v="SK 18.11: Not required for FAC25. Media Cabled will be provided"/>
    <s v="Wired Port - TSG"/>
    <s v="FAC00630"/>
  </r>
  <r>
    <x v="1"/>
    <x v="0"/>
    <x v="18"/>
    <x v="18"/>
    <x v="3"/>
    <x v="6"/>
    <x v="68"/>
    <x v="4"/>
    <x v="11"/>
    <s v="Canceled"/>
    <n v="6"/>
    <x v="7"/>
    <x v="11"/>
    <d v="2025-12-18T00:00:00"/>
    <s v="WRDSPE"/>
    <s v="SK 19/11: Not required for FAC 2025. Related to MTR"/>
    <s v="Wired Port - TSG"/>
    <s v="FAC00631"/>
  </r>
  <r>
    <x v="1"/>
    <x v="0"/>
    <x v="18"/>
    <x v="18"/>
    <x v="4"/>
    <x v="9"/>
    <x v="68"/>
    <x v="4"/>
    <x v="6"/>
    <s v="Canceled"/>
    <n v="6"/>
    <x v="7"/>
    <x v="11"/>
    <d v="2025-12-18T00:00:00"/>
    <s v="WRDSPE"/>
    <s v="SK 18.11: Not required for FAC25. Media Cabled will be provided"/>
    <s v="Wired Port - TSG"/>
    <s v="FAC00632"/>
  </r>
  <r>
    <x v="0"/>
    <x v="0"/>
    <x v="18"/>
    <x v="18"/>
    <x v="1"/>
    <x v="6"/>
    <x v="69"/>
    <x v="4"/>
    <x v="24"/>
    <s v="Confirmed"/>
    <n v="7"/>
    <x v="5"/>
    <x v="11"/>
    <d v="2025-12-18T00:00:00"/>
    <s v="WRDSPE"/>
    <s v="SK 19/11: As per confirmation from FTI - Nathan"/>
    <s v="Wired Port - FTI"/>
    <s v="FAC00633"/>
  </r>
  <r>
    <x v="0"/>
    <x v="0"/>
    <x v="18"/>
    <x v="18"/>
    <x v="0"/>
    <x v="6"/>
    <x v="69"/>
    <x v="4"/>
    <x v="24"/>
    <s v="Confirmed"/>
    <n v="7"/>
    <x v="5"/>
    <x v="11"/>
    <d v="2025-12-19T00:00:00"/>
    <s v="WRDSPE"/>
    <s v="SK 19/11: As per confirmation from FTI - Nathan"/>
    <s v="Wired Port - FTI"/>
    <s v="FAC00634"/>
  </r>
  <r>
    <x v="0"/>
    <x v="0"/>
    <x v="18"/>
    <x v="18"/>
    <x v="2"/>
    <x v="6"/>
    <x v="69"/>
    <x v="4"/>
    <x v="24"/>
    <s v="Confirmed"/>
    <n v="7"/>
    <x v="5"/>
    <x v="11"/>
    <d v="2025-12-18T00:00:00"/>
    <s v="WRDSPE"/>
    <s v="SK 19/11: As per confirmation from FTI - Nathan"/>
    <s v="Wired Port - FTI"/>
    <s v="FAC00635"/>
  </r>
  <r>
    <x v="0"/>
    <x v="0"/>
    <x v="18"/>
    <x v="18"/>
    <x v="5"/>
    <x v="6"/>
    <x v="69"/>
    <x v="4"/>
    <x v="24"/>
    <s v="Confirmed"/>
    <n v="7"/>
    <x v="5"/>
    <x v="11"/>
    <d v="2025-12-18T00:00:00"/>
    <s v="WRDSPE"/>
    <s v="SK 19/11: As per confirmation from FTI - Nathan"/>
    <s v="Wired Port - FTI"/>
    <s v="FAC00636"/>
  </r>
  <r>
    <x v="0"/>
    <x v="0"/>
    <x v="18"/>
    <x v="18"/>
    <x v="3"/>
    <x v="6"/>
    <x v="69"/>
    <x v="4"/>
    <x v="24"/>
    <s v="Confirmed"/>
    <n v="7"/>
    <x v="6"/>
    <x v="11"/>
    <d v="2025-12-18T00:00:00"/>
    <s v="WRDSPE"/>
    <s v="SK 19/11: As per confirmation from FTI - Nathan"/>
    <s v="Wired Port - FTI"/>
    <s v="FAC00637"/>
  </r>
  <r>
    <x v="0"/>
    <x v="0"/>
    <x v="18"/>
    <x v="18"/>
    <x v="4"/>
    <x v="6"/>
    <x v="69"/>
    <x v="4"/>
    <x v="24"/>
    <s v="Confirmed"/>
    <n v="7"/>
    <x v="5"/>
    <x v="11"/>
    <d v="2025-12-18T00:00:00"/>
    <s v="WRDSPE"/>
    <s v="SK 19/11: As per confirmation from FTI - Nathan"/>
    <s v="Wired Port - FTI"/>
    <s v="FAC00638"/>
  </r>
  <r>
    <x v="1"/>
    <x v="0"/>
    <x v="18"/>
    <x v="18"/>
    <x v="1"/>
    <x v="6"/>
    <x v="70"/>
    <x v="4"/>
    <x v="24"/>
    <s v="Canceled"/>
    <n v="2"/>
    <x v="7"/>
    <x v="11"/>
    <d v="2025-12-18T00:00:00"/>
    <s v="WRDSPE"/>
    <s v="SK 19/11: Removed As per confirmation from FTI - Nathan"/>
    <s v="Wired Port - FVS"/>
    <s v="FAC00639"/>
  </r>
  <r>
    <x v="1"/>
    <x v="0"/>
    <x v="18"/>
    <x v="18"/>
    <x v="0"/>
    <x v="6"/>
    <x v="70"/>
    <x v="4"/>
    <x v="24"/>
    <s v="Canceled"/>
    <n v="2"/>
    <x v="7"/>
    <x v="11"/>
    <d v="2025-12-19T00:00:00"/>
    <s v="WRDSPE"/>
    <s v="SK 19/11: Removed As per confirmation from FTI - Nathan"/>
    <s v="Wired Port - FVS"/>
    <s v="FAC00640"/>
  </r>
  <r>
    <x v="1"/>
    <x v="0"/>
    <x v="18"/>
    <x v="18"/>
    <x v="2"/>
    <x v="6"/>
    <x v="70"/>
    <x v="4"/>
    <x v="24"/>
    <s v="Canceled"/>
    <n v="2"/>
    <x v="7"/>
    <x v="11"/>
    <d v="2025-12-18T00:00:00"/>
    <s v="WRDSPE"/>
    <s v="SK 19/11: Removed As per confirmation from FTI - Nathan"/>
    <s v="Wired Port - FVS"/>
    <s v="FAC00641"/>
  </r>
  <r>
    <x v="1"/>
    <x v="0"/>
    <x v="18"/>
    <x v="18"/>
    <x v="5"/>
    <x v="6"/>
    <x v="70"/>
    <x v="4"/>
    <x v="24"/>
    <s v="Canceled"/>
    <n v="2"/>
    <x v="7"/>
    <x v="11"/>
    <d v="2025-12-18T00:00:00"/>
    <s v="WRDSPE"/>
    <s v="SK 19/11: Removed As per confirmation from FTI - Nathan"/>
    <s v="Wired Port - FVS"/>
    <s v="FAC00642"/>
  </r>
  <r>
    <x v="1"/>
    <x v="0"/>
    <x v="18"/>
    <x v="18"/>
    <x v="3"/>
    <x v="6"/>
    <x v="70"/>
    <x v="4"/>
    <x v="24"/>
    <s v="Canceled"/>
    <n v="2"/>
    <x v="7"/>
    <x v="11"/>
    <d v="2025-12-18T00:00:00"/>
    <s v="WRDSPE"/>
    <s v=""/>
    <s v="Wired Port - FVS"/>
    <s v="FAC00643"/>
  </r>
  <r>
    <x v="1"/>
    <x v="0"/>
    <x v="18"/>
    <x v="18"/>
    <x v="4"/>
    <x v="6"/>
    <x v="70"/>
    <x v="4"/>
    <x v="24"/>
    <s v="Canceled"/>
    <n v="2"/>
    <x v="7"/>
    <x v="11"/>
    <d v="2025-12-18T00:00:00"/>
    <s v="WRDSPE"/>
    <s v="SK 19/11: Removed As per confirmation from FTI - Nathan"/>
    <s v="Wired Port - FVS"/>
    <s v="FAC00644"/>
  </r>
  <r>
    <x v="0"/>
    <x v="0"/>
    <x v="18"/>
    <x v="18"/>
    <x v="1"/>
    <x v="8"/>
    <x v="71"/>
    <x v="4"/>
    <x v="6"/>
    <s v="Confirmed"/>
    <m/>
    <x v="5"/>
    <x v="11"/>
    <d v="2025-12-18T00:00:00"/>
    <s v="WRDSPE"/>
    <s v=""/>
    <s v="Wired Port - Internet "/>
    <s v="FAC00645"/>
  </r>
  <r>
    <x v="0"/>
    <x v="0"/>
    <x v="18"/>
    <x v="18"/>
    <x v="2"/>
    <x v="8"/>
    <x v="71"/>
    <x v="4"/>
    <x v="6"/>
    <s v="Confirmed"/>
    <m/>
    <x v="5"/>
    <x v="11"/>
    <d v="2025-12-18T00:00:00"/>
    <s v="WRDSPE"/>
    <s v=""/>
    <s v="Wired Port - Internet "/>
    <s v="FAC00647"/>
  </r>
  <r>
    <x v="0"/>
    <x v="0"/>
    <x v="18"/>
    <x v="18"/>
    <x v="5"/>
    <x v="8"/>
    <x v="71"/>
    <x v="4"/>
    <x v="6"/>
    <s v="Confirmed"/>
    <m/>
    <x v="5"/>
    <x v="11"/>
    <d v="2025-12-18T00:00:00"/>
    <s v="WRDSPE"/>
    <m/>
    <s v="Wired Port - Internet "/>
    <s v="FAC00648"/>
  </r>
  <r>
    <x v="0"/>
    <x v="0"/>
    <x v="18"/>
    <x v="18"/>
    <x v="4"/>
    <x v="8"/>
    <x v="71"/>
    <x v="4"/>
    <x v="6"/>
    <s v="Confirmed"/>
    <m/>
    <x v="5"/>
    <x v="11"/>
    <d v="2025-12-18T00:00:00"/>
    <s v="WRDSPE"/>
    <s v=""/>
    <s v="Wired Port - Internet "/>
    <s v="FAC00650"/>
  </r>
  <r>
    <x v="0"/>
    <x v="0"/>
    <x v="18"/>
    <x v="18"/>
    <x v="1"/>
    <x v="9"/>
    <x v="72"/>
    <x v="4"/>
    <x v="13"/>
    <s v="Confirmed"/>
    <m/>
    <x v="5"/>
    <x v="11"/>
    <d v="2025-12-18T00:00:00"/>
    <s v="WRDSPE"/>
    <s v=""/>
    <s v="Wired Port - Team B"/>
    <s v="FAC00651"/>
  </r>
  <r>
    <x v="0"/>
    <x v="0"/>
    <x v="18"/>
    <x v="18"/>
    <x v="1"/>
    <x v="9"/>
    <x v="73"/>
    <x v="4"/>
    <x v="13"/>
    <s v="Confirmed"/>
    <m/>
    <x v="5"/>
    <x v="11"/>
    <d v="2025-12-18T00:00:00"/>
    <s v="WRDSPE"/>
    <s v="SK 23/10: Request meeting with Hawk Eye"/>
    <s v="Wired Port - Team A"/>
    <s v="FAC00652"/>
  </r>
  <r>
    <x v="0"/>
    <x v="2"/>
    <x v="18"/>
    <x v="18"/>
    <x v="1"/>
    <x v="9"/>
    <x v="74"/>
    <x v="5"/>
    <x v="14"/>
    <s v="Confirmed"/>
    <m/>
    <x v="6"/>
    <x v="11"/>
    <d v="2025-12-18T00:00:00"/>
    <s v="TVSMRF"/>
    <s v=""/>
    <m/>
    <s v="FAC00653"/>
  </r>
  <r>
    <x v="0"/>
    <x v="0"/>
    <x v="18"/>
    <x v="18"/>
    <x v="0"/>
    <x v="9"/>
    <x v="72"/>
    <x v="4"/>
    <x v="13"/>
    <s v="Confirmed"/>
    <m/>
    <x v="5"/>
    <x v="11"/>
    <d v="2025-12-19T00:00:00"/>
    <s v="WRDSPE"/>
    <s v=""/>
    <s v="Wired Port - Team B"/>
    <s v="FAC00654"/>
  </r>
  <r>
    <x v="0"/>
    <x v="0"/>
    <x v="18"/>
    <x v="18"/>
    <x v="0"/>
    <x v="9"/>
    <x v="73"/>
    <x v="4"/>
    <x v="13"/>
    <s v="Confirmed"/>
    <m/>
    <x v="5"/>
    <x v="11"/>
    <d v="2025-12-19T00:00:00"/>
    <s v="WRDSPE"/>
    <s v=""/>
    <s v="Wired Port - Team A"/>
    <s v="FAC00655"/>
  </r>
  <r>
    <x v="1"/>
    <x v="2"/>
    <x v="18"/>
    <x v="18"/>
    <x v="0"/>
    <x v="9"/>
    <x v="74"/>
    <x v="5"/>
    <x v="14"/>
    <s v="Confirmed"/>
    <m/>
    <x v="6"/>
    <x v="11"/>
    <d v="2025-12-19T00:00:00"/>
    <s v="TVSMRF"/>
    <s v=""/>
    <m/>
    <s v="FAC00656"/>
  </r>
  <r>
    <x v="0"/>
    <x v="0"/>
    <x v="18"/>
    <x v="18"/>
    <x v="2"/>
    <x v="9"/>
    <x v="72"/>
    <x v="4"/>
    <x v="13"/>
    <s v="Confirmed"/>
    <m/>
    <x v="5"/>
    <x v="11"/>
    <d v="2025-12-18T00:00:00"/>
    <s v="WRDSPE"/>
    <s v=""/>
    <s v="Wired Port - Team B"/>
    <s v="FAC00657"/>
  </r>
  <r>
    <x v="0"/>
    <x v="0"/>
    <x v="18"/>
    <x v="18"/>
    <x v="2"/>
    <x v="9"/>
    <x v="73"/>
    <x v="4"/>
    <x v="13"/>
    <s v="Confirmed"/>
    <m/>
    <x v="5"/>
    <x v="11"/>
    <d v="2025-12-18T00:00:00"/>
    <s v="WRDSPE"/>
    <s v=""/>
    <s v="Wired Port - Team A"/>
    <s v="FAC00658"/>
  </r>
  <r>
    <x v="0"/>
    <x v="2"/>
    <x v="18"/>
    <x v="18"/>
    <x v="2"/>
    <x v="9"/>
    <x v="74"/>
    <x v="5"/>
    <x v="14"/>
    <s v="Confirmed"/>
    <m/>
    <x v="6"/>
    <x v="11"/>
    <d v="2025-12-18T00:00:00"/>
    <s v="TVSMRF"/>
    <s v=""/>
    <m/>
    <s v="FAC00659"/>
  </r>
  <r>
    <x v="0"/>
    <x v="0"/>
    <x v="18"/>
    <x v="18"/>
    <x v="3"/>
    <x v="9"/>
    <x v="72"/>
    <x v="4"/>
    <x v="13"/>
    <s v="Confirmed"/>
    <n v="1"/>
    <x v="6"/>
    <x v="11"/>
    <d v="2025-12-18T00:00:00"/>
    <s v="WRDSPE"/>
    <s v="SK 19/11: two per desk"/>
    <s v="Wired Port - Team B"/>
    <s v="FAC00660"/>
  </r>
  <r>
    <x v="0"/>
    <x v="0"/>
    <x v="18"/>
    <x v="18"/>
    <x v="3"/>
    <x v="9"/>
    <x v="73"/>
    <x v="4"/>
    <x v="13"/>
    <s v="Confirmed"/>
    <n v="1"/>
    <x v="6"/>
    <x v="11"/>
    <d v="2025-12-18T00:00:00"/>
    <s v="WRDSPE"/>
    <s v="SK 19/11: two per desk"/>
    <s v="Wired Port - Team A"/>
    <s v="FAC00661"/>
  </r>
  <r>
    <x v="0"/>
    <x v="2"/>
    <x v="18"/>
    <x v="18"/>
    <x v="3"/>
    <x v="9"/>
    <x v="74"/>
    <x v="5"/>
    <x v="14"/>
    <s v="Confirmed"/>
    <m/>
    <x v="6"/>
    <x v="11"/>
    <d v="2025-12-18T00:00:00"/>
    <s v="TVSMRF"/>
    <s v=""/>
    <m/>
    <s v="FAC00662"/>
  </r>
  <r>
    <x v="0"/>
    <x v="0"/>
    <x v="18"/>
    <x v="18"/>
    <x v="4"/>
    <x v="9"/>
    <x v="72"/>
    <x v="4"/>
    <x v="13"/>
    <s v="Confirmed"/>
    <m/>
    <x v="5"/>
    <x v="11"/>
    <d v="2025-12-18T00:00:00"/>
    <s v="WRDSPE"/>
    <s v=""/>
    <s v="Wired Port - Team B"/>
    <s v="FAC00663"/>
  </r>
  <r>
    <x v="0"/>
    <x v="0"/>
    <x v="18"/>
    <x v="18"/>
    <x v="4"/>
    <x v="9"/>
    <x v="73"/>
    <x v="4"/>
    <x v="13"/>
    <s v="Confirmed"/>
    <m/>
    <x v="5"/>
    <x v="11"/>
    <d v="2025-12-18T00:00:00"/>
    <s v="WRDSPE"/>
    <s v=""/>
    <s v="Wired Port - Team A"/>
    <s v="FAC00664"/>
  </r>
  <r>
    <x v="0"/>
    <x v="2"/>
    <x v="18"/>
    <x v="18"/>
    <x v="4"/>
    <x v="9"/>
    <x v="74"/>
    <x v="5"/>
    <x v="14"/>
    <s v="Confirmed"/>
    <m/>
    <x v="6"/>
    <x v="11"/>
    <d v="2025-12-18T00:00:00"/>
    <s v="TVSMRF"/>
    <s v=""/>
    <m/>
    <s v="FAC00665"/>
  </r>
  <r>
    <x v="0"/>
    <x v="0"/>
    <x v="18"/>
    <x v="18"/>
    <x v="5"/>
    <x v="9"/>
    <x v="72"/>
    <x v="4"/>
    <x v="13"/>
    <s v="Confirmed"/>
    <m/>
    <x v="5"/>
    <x v="11"/>
    <d v="2025-12-18T00:00:00"/>
    <s v="WRDSPE"/>
    <s v=""/>
    <s v="Wired Port - Team B"/>
    <s v="FAC00666"/>
  </r>
  <r>
    <x v="0"/>
    <x v="0"/>
    <x v="18"/>
    <x v="18"/>
    <x v="5"/>
    <x v="9"/>
    <x v="73"/>
    <x v="4"/>
    <x v="13"/>
    <s v="Confirmed"/>
    <m/>
    <x v="5"/>
    <x v="11"/>
    <d v="2025-12-18T00:00:00"/>
    <s v="WRDSPE"/>
    <s v=""/>
    <s v="Wired Port - Team A"/>
    <s v="FAC00667"/>
  </r>
  <r>
    <x v="0"/>
    <x v="2"/>
    <x v="18"/>
    <x v="18"/>
    <x v="5"/>
    <x v="9"/>
    <x v="74"/>
    <x v="5"/>
    <x v="14"/>
    <s v="Confirmed"/>
    <m/>
    <x v="6"/>
    <x v="11"/>
    <d v="2025-12-18T00:00:00"/>
    <s v="TVSMRF"/>
    <s v=""/>
    <m/>
    <s v="FAC00668"/>
  </r>
  <r>
    <x v="0"/>
    <x v="0"/>
    <x v="18"/>
    <x v="18"/>
    <x v="1"/>
    <x v="7"/>
    <x v="75"/>
    <x v="0"/>
    <x v="25"/>
    <s v="Confirmed"/>
    <m/>
    <x v="5"/>
    <x v="11"/>
    <d v="2025-12-18T00:00:00"/>
    <s v="WRDSPE"/>
    <s v="SK 23/10: Changed to WiFi as per meeting with Aigerim"/>
    <s v="Wireless coverage - Shared Internet Service - FIFA"/>
    <s v="FAC00669"/>
  </r>
  <r>
    <x v="0"/>
    <x v="0"/>
    <x v="18"/>
    <x v="18"/>
    <x v="1"/>
    <x v="8"/>
    <x v="76"/>
    <x v="4"/>
    <x v="6"/>
    <s v="Confirmed"/>
    <m/>
    <x v="6"/>
    <x v="11"/>
    <d v="2025-12-18T00:00:00"/>
    <s v="WRDSPE"/>
    <s v=""/>
    <s v="Wired Port - Internet "/>
    <s v="FAC00670"/>
  </r>
  <r>
    <x v="0"/>
    <x v="0"/>
    <x v="18"/>
    <x v="18"/>
    <x v="1"/>
    <x v="9"/>
    <x v="77"/>
    <x v="4"/>
    <x v="13"/>
    <s v="Confirmed"/>
    <m/>
    <x v="5"/>
    <x v="11"/>
    <d v="2025-12-18T00:00:00"/>
    <s v="WRDSPE"/>
    <s v="Check with Aigerim what is data collector"/>
    <s v="Wired Port - Internet for Media - for event data collection"/>
    <s v="FAC00671"/>
  </r>
  <r>
    <x v="0"/>
    <x v="0"/>
    <x v="18"/>
    <x v="18"/>
    <x v="2"/>
    <x v="7"/>
    <x v="75"/>
    <x v="0"/>
    <x v="25"/>
    <s v="Confirmed"/>
    <m/>
    <x v="5"/>
    <x v="11"/>
    <d v="2025-12-18T00:00:00"/>
    <s v="WRDSPE"/>
    <s v="SK 23/10: Changed to WiFi as per meeting with Aigerim"/>
    <s v="Wireless coverage - Shared Internet Service - FIFA"/>
    <s v="FAC00672"/>
  </r>
  <r>
    <x v="0"/>
    <x v="0"/>
    <x v="18"/>
    <x v="18"/>
    <x v="2"/>
    <x v="8"/>
    <x v="76"/>
    <x v="4"/>
    <x v="6"/>
    <s v="Confirmed"/>
    <m/>
    <x v="6"/>
    <x v="11"/>
    <d v="2025-12-18T00:00:00"/>
    <s v="WRDSPE"/>
    <s v=""/>
    <s v="Wired Port - Internet "/>
    <s v="FAC00673"/>
  </r>
  <r>
    <x v="0"/>
    <x v="0"/>
    <x v="18"/>
    <x v="18"/>
    <x v="2"/>
    <x v="9"/>
    <x v="77"/>
    <x v="4"/>
    <x v="13"/>
    <s v="Confirmed"/>
    <m/>
    <x v="5"/>
    <x v="11"/>
    <d v="2025-12-18T00:00:00"/>
    <s v="WRDSPE"/>
    <s v=""/>
    <s v="Wired Port - Internet for Media - for event data collection"/>
    <s v="FAC00674"/>
  </r>
  <r>
    <x v="0"/>
    <x v="0"/>
    <x v="18"/>
    <x v="18"/>
    <x v="4"/>
    <x v="7"/>
    <x v="75"/>
    <x v="0"/>
    <x v="25"/>
    <s v="Confirmed"/>
    <m/>
    <x v="5"/>
    <x v="11"/>
    <d v="2025-12-18T00:00:00"/>
    <s v="WRDSPE"/>
    <s v="SK 23/10: Changed to WiFi as per meeting with Aigerim"/>
    <s v="Wireless coverage - Shared Internet Service - FIFA"/>
    <s v="FAC00675"/>
  </r>
  <r>
    <x v="0"/>
    <x v="0"/>
    <x v="18"/>
    <x v="18"/>
    <x v="4"/>
    <x v="8"/>
    <x v="76"/>
    <x v="4"/>
    <x v="6"/>
    <s v="Confirmed"/>
    <m/>
    <x v="6"/>
    <x v="11"/>
    <d v="2025-12-18T00:00:00"/>
    <s v="WRDSPE"/>
    <s v=""/>
    <s v="Wired Port - Internet "/>
    <s v="FAC00676"/>
  </r>
  <r>
    <x v="0"/>
    <x v="0"/>
    <x v="18"/>
    <x v="18"/>
    <x v="4"/>
    <x v="9"/>
    <x v="77"/>
    <x v="4"/>
    <x v="13"/>
    <s v="Confirmed"/>
    <m/>
    <x v="5"/>
    <x v="11"/>
    <d v="2025-12-18T00:00:00"/>
    <s v="WRDSPE"/>
    <s v=""/>
    <s v="Wired Port - Internet for Media - for event data collection"/>
    <s v="FAC00677"/>
  </r>
  <r>
    <x v="0"/>
    <x v="0"/>
    <x v="18"/>
    <x v="18"/>
    <x v="3"/>
    <x v="7"/>
    <x v="75"/>
    <x v="0"/>
    <x v="25"/>
    <s v="Confirmed"/>
    <m/>
    <x v="5"/>
    <x v="11"/>
    <d v="2025-12-18T00:00:00"/>
    <s v="WRDSPE"/>
    <s v="SK 23/10: Changed to WiFi as per meeting with Aigerim"/>
    <s v="Wireless coverage - Shared Internet Service - FIFA"/>
    <s v="FAC00678"/>
  </r>
  <r>
    <x v="0"/>
    <x v="0"/>
    <x v="18"/>
    <x v="18"/>
    <x v="3"/>
    <x v="8"/>
    <x v="76"/>
    <x v="4"/>
    <x v="6"/>
    <s v="Confirmed"/>
    <m/>
    <x v="6"/>
    <x v="11"/>
    <d v="2025-12-18T00:00:00"/>
    <s v="WRDSPE"/>
    <s v=""/>
    <s v="Wired Port - Internet "/>
    <s v="FAC00679"/>
  </r>
  <r>
    <x v="0"/>
    <x v="0"/>
    <x v="18"/>
    <x v="18"/>
    <x v="3"/>
    <x v="9"/>
    <x v="77"/>
    <x v="4"/>
    <x v="13"/>
    <s v="Confirmed"/>
    <m/>
    <x v="5"/>
    <x v="11"/>
    <d v="2025-12-18T00:00:00"/>
    <s v="WRDSPE"/>
    <s v="SK 19/11: Green desk on MTR"/>
    <s v="Wired Port - Internet for Media - for event data collection"/>
    <s v="FAC00680"/>
  </r>
  <r>
    <x v="0"/>
    <x v="0"/>
    <x v="18"/>
    <x v="18"/>
    <x v="5"/>
    <x v="7"/>
    <x v="75"/>
    <x v="0"/>
    <x v="25"/>
    <s v="Confirmed"/>
    <m/>
    <x v="5"/>
    <x v="11"/>
    <d v="2025-12-18T00:00:00"/>
    <s v="WRDSPE"/>
    <s v="SK 23/10: Changed to WiFi as per meeting with Aigerim"/>
    <s v="Wireless coverage - Shared Internet Service - FIFA"/>
    <s v="FAC00681"/>
  </r>
  <r>
    <x v="0"/>
    <x v="0"/>
    <x v="18"/>
    <x v="18"/>
    <x v="5"/>
    <x v="8"/>
    <x v="76"/>
    <x v="4"/>
    <x v="6"/>
    <s v="Confirmed"/>
    <m/>
    <x v="6"/>
    <x v="11"/>
    <d v="2025-12-18T00:00:00"/>
    <s v="WRDSPE"/>
    <s v=""/>
    <s v="Wired Port - Internet "/>
    <s v="FAC00682"/>
  </r>
  <r>
    <x v="0"/>
    <x v="0"/>
    <x v="18"/>
    <x v="18"/>
    <x v="5"/>
    <x v="9"/>
    <x v="77"/>
    <x v="4"/>
    <x v="13"/>
    <s v="Confirmed"/>
    <m/>
    <x v="5"/>
    <x v="11"/>
    <d v="2025-12-18T00:00:00"/>
    <s v="WRDSPE"/>
    <s v=""/>
    <s v="Wired Port - Internet for Media - for event data collection"/>
    <s v="FAC00683"/>
  </r>
  <r>
    <x v="0"/>
    <x v="0"/>
    <x v="18"/>
    <x v="18"/>
    <x v="0"/>
    <x v="7"/>
    <x v="75"/>
    <x v="0"/>
    <x v="25"/>
    <s v="Confirmed"/>
    <m/>
    <x v="5"/>
    <x v="11"/>
    <d v="2025-12-19T00:00:00"/>
    <s v="WRDSPE"/>
    <s v="SK 23/10: Changed to WiFi as per meeting with Aigerim"/>
    <s v="Wireless coverage - Shared Internet Service - FIFA"/>
    <s v="FAC00684"/>
  </r>
  <r>
    <x v="0"/>
    <x v="0"/>
    <x v="18"/>
    <x v="18"/>
    <x v="0"/>
    <x v="8"/>
    <x v="76"/>
    <x v="4"/>
    <x v="6"/>
    <s v="Confirmed"/>
    <m/>
    <x v="6"/>
    <x v="11"/>
    <d v="2025-12-19T00:00:00"/>
    <s v="WRDSPE"/>
    <s v=""/>
    <s v="Wired Port - Internet "/>
    <m/>
  </r>
  <r>
    <x v="0"/>
    <x v="0"/>
    <x v="18"/>
    <x v="18"/>
    <x v="0"/>
    <x v="9"/>
    <x v="77"/>
    <x v="4"/>
    <x v="13"/>
    <s v="Confirmed"/>
    <m/>
    <x v="5"/>
    <x v="11"/>
    <d v="2025-12-19T00:00:00"/>
    <s v="WRDSPE"/>
    <s v=""/>
    <s v="Wired Port - Internet for Media - for event data collection"/>
    <s v="FAC00686"/>
  </r>
  <r>
    <x v="1"/>
    <x v="2"/>
    <x v="9"/>
    <x v="9"/>
    <x v="6"/>
    <x v="1"/>
    <x v="78"/>
    <x v="5"/>
    <x v="8"/>
    <s v="Confirmed"/>
    <m/>
    <x v="5"/>
    <x v="1"/>
    <d v="2025-12-16T00:00:00"/>
    <s v="TVLGIP"/>
    <s v="SK 23.09: Merged with U17 requirements"/>
    <m/>
    <s v="FAC00701"/>
  </r>
  <r>
    <x v="1"/>
    <x v="2"/>
    <x v="9"/>
    <x v="9"/>
    <x v="6"/>
    <x v="1"/>
    <x v="78"/>
    <x v="3"/>
    <x v="5"/>
    <s v="Confirmed"/>
    <m/>
    <x v="11"/>
    <x v="2"/>
    <d v="2025-12-16T00:00:00"/>
    <s v="AVRSPE"/>
    <s v="SK 05.10: Changed to standalone TV "/>
    <s v="to watch the match live, to prpare the fleets and other vehicles for the team. "/>
    <s v="FAC00702"/>
  </r>
  <r>
    <x v="0"/>
    <x v="3"/>
    <x v="9"/>
    <x v="9"/>
    <x v="1"/>
    <x v="4"/>
    <x v="79"/>
    <x v="6"/>
    <x v="16"/>
    <s v="To Validate"/>
    <m/>
    <x v="5"/>
    <x v="2"/>
    <d v="2025-12-16T00:00:00"/>
    <s v="WANGEN"/>
    <s v="SK 18.11: Changed to 1x MiFi in case legacy is not available "/>
    <m/>
    <s v="FAC00689"/>
  </r>
  <r>
    <x v="0"/>
    <x v="3"/>
    <x v="9"/>
    <x v="9"/>
    <x v="0"/>
    <x v="4"/>
    <x v="79"/>
    <x v="6"/>
    <x v="16"/>
    <s v="To Validate"/>
    <m/>
    <x v="5"/>
    <x v="2"/>
    <d v="2025-12-16T00:00:00"/>
    <s v="WANGEN"/>
    <s v="SK 18.11: Changed to 1x MiFi in case legacy is not available "/>
    <m/>
    <s v="FAC00690"/>
  </r>
  <r>
    <x v="0"/>
    <x v="3"/>
    <x v="9"/>
    <x v="9"/>
    <x v="2"/>
    <x v="4"/>
    <x v="79"/>
    <x v="6"/>
    <x v="16"/>
    <s v="To Validate"/>
    <m/>
    <x v="5"/>
    <x v="2"/>
    <d v="2025-12-16T00:00:00"/>
    <s v="WANGEN"/>
    <s v="SK 18.11: Changed to 1x MiFi in case legacy is not available "/>
    <m/>
    <s v="FAC00691"/>
  </r>
  <r>
    <x v="1"/>
    <x v="3"/>
    <x v="9"/>
    <x v="9"/>
    <x v="3"/>
    <x v="4"/>
    <x v="79"/>
    <x v="6"/>
    <x v="16"/>
    <s v="To Validate"/>
    <m/>
    <x v="5"/>
    <x v="2"/>
    <d v="2025-12-16T00:00:00"/>
    <s v="WANGEN"/>
    <s v="SK 18.11: Changed to 1x MiFi in case legacy is not available "/>
    <m/>
    <s v="FAC00692"/>
  </r>
  <r>
    <x v="0"/>
    <x v="3"/>
    <x v="9"/>
    <x v="9"/>
    <x v="4"/>
    <x v="4"/>
    <x v="79"/>
    <x v="6"/>
    <x v="16"/>
    <s v="To Validate"/>
    <m/>
    <x v="5"/>
    <x v="2"/>
    <d v="2025-12-16T00:00:00"/>
    <s v="WANGEN"/>
    <s v="SK 18.11: Changed to 1x MiFi in case legacy is not available "/>
    <m/>
    <s v="FAC00693"/>
  </r>
  <r>
    <x v="0"/>
    <x v="3"/>
    <x v="9"/>
    <x v="9"/>
    <x v="5"/>
    <x v="4"/>
    <x v="79"/>
    <x v="6"/>
    <x v="16"/>
    <s v="To Validate"/>
    <m/>
    <x v="5"/>
    <x v="2"/>
    <d v="2025-12-16T00:00:00"/>
    <s v="WANGEN"/>
    <s v="SK 18.11: Changed to 1x MiFi in case legacy is not available "/>
    <m/>
    <s v="FAC00694"/>
  </r>
  <r>
    <x v="0"/>
    <x v="1"/>
    <x v="9"/>
    <x v="9"/>
    <x v="1"/>
    <x v="4"/>
    <x v="80"/>
    <x v="1"/>
    <x v="7"/>
    <s v="Confirmed"/>
    <m/>
    <x v="5"/>
    <x v="2"/>
    <d v="2025-12-16T00:00:00"/>
    <s v="MFDDNW"/>
    <s v=""/>
    <s v="Printing the VAPP receipt aknowledgement form to be signed"/>
    <s v="FAC00695"/>
  </r>
  <r>
    <x v="1"/>
    <x v="0"/>
    <x v="9"/>
    <x v="9"/>
    <x v="6"/>
    <x v="1"/>
    <x v="78"/>
    <x v="4"/>
    <x v="11"/>
    <s v="Confirmed"/>
    <m/>
    <x v="5"/>
    <x v="1"/>
    <d v="2025-12-16T00:00:00"/>
    <s v="WRDSPE"/>
    <s v="SK 23.09: Merged with U17 requirements"/>
    <s v="Video  Wall / 4 Tv screen to be setuped in the Buss and fleets operataion Cener for  live tracking fleets and reporting."/>
    <s v="FAC00703"/>
  </r>
  <r>
    <x v="1"/>
    <x v="1"/>
    <x v="9"/>
    <x v="9"/>
    <x v="6"/>
    <x v="1"/>
    <x v="78"/>
    <x v="1"/>
    <x v="2"/>
    <s v="Confirmed"/>
    <m/>
    <x v="5"/>
    <x v="2"/>
    <d v="2025-12-16T00:00:00"/>
    <s v="MFDDNW"/>
    <s v=""/>
    <s v="scheduling and processing the  daily  updated  sheeet to give  the drivers and other  stake holders"/>
    <s v="FAC00704"/>
  </r>
  <r>
    <x v="1"/>
    <x v="3"/>
    <x v="9"/>
    <x v="9"/>
    <x v="6"/>
    <x v="1"/>
    <x v="78"/>
    <x v="6"/>
    <x v="20"/>
    <s v="Confirmed"/>
    <m/>
    <x v="6"/>
    <x v="1"/>
    <d v="2025-12-16T00:00:00"/>
    <s v="SPEREQ"/>
    <s v="SK 23.09: Merged with U17 requirements"/>
    <s v="SIM WITH MOBILE - BOC HOTLINE NUMBER - JM 22:10  confirmation email has been sent by AllA about recievenig them"/>
    <s v="FAC00705"/>
  </r>
  <r>
    <x v="1"/>
    <x v="2"/>
    <x v="19"/>
    <x v="19"/>
    <x v="6"/>
    <x v="1"/>
    <x v="1"/>
    <x v="5"/>
    <x v="8"/>
    <s v="Confirmed"/>
    <m/>
    <x v="11"/>
    <x v="24"/>
    <d v="2025-12-19T00:00:00"/>
    <s v="TVLGIP"/>
    <s v=""/>
    <m/>
    <s v="FAC00712"/>
  </r>
  <r>
    <x v="1"/>
    <x v="2"/>
    <x v="19"/>
    <x v="19"/>
    <x v="6"/>
    <x v="1"/>
    <x v="1"/>
    <x v="3"/>
    <x v="5"/>
    <s v="Confirmed"/>
    <m/>
    <x v="6"/>
    <x v="1"/>
    <d v="2025-12-19T00:00:00"/>
    <s v="TVLGSA"/>
    <s v=""/>
    <s v="MOC Support area for Funtional Areas operationsal usage "/>
    <s v="FAC00713"/>
  </r>
  <r>
    <x v="1"/>
    <x v="0"/>
    <x v="19"/>
    <x v="19"/>
    <x v="6"/>
    <x v="1"/>
    <x v="1"/>
    <x v="4"/>
    <x v="6"/>
    <s v="Confirmed"/>
    <m/>
    <x v="22"/>
    <x v="1"/>
    <d v="2025-12-19T00:00:00"/>
    <s v="WRDGEN"/>
    <s v="SK 05.10: To be used available ports only. The focus is on WiFi."/>
    <s v="Printer network "/>
    <s v="FAC00714"/>
  </r>
  <r>
    <x v="1"/>
    <x v="1"/>
    <x v="19"/>
    <x v="19"/>
    <x v="6"/>
    <x v="1"/>
    <x v="1"/>
    <x v="1"/>
    <x v="7"/>
    <s v="Confirmed"/>
    <n v="1"/>
    <x v="6"/>
    <x v="1"/>
    <d v="2025-12-19T00:00:00"/>
    <s v="MFDDNW"/>
    <s v="MI 02.10: Quantity changed to 2 from 1. As per Bahaa, A3 to be replaced by A4"/>
    <s v="Printer of MOC Executive director "/>
    <s v="FAC00715"/>
  </r>
  <r>
    <x v="1"/>
    <x v="1"/>
    <x v="19"/>
    <x v="19"/>
    <x v="6"/>
    <x v="1"/>
    <x v="1"/>
    <x v="1"/>
    <x v="9"/>
    <s v="Canceled"/>
    <n v="1"/>
    <x v="7"/>
    <x v="1"/>
    <d v="2025-12-19T00:00:00"/>
    <s v="MFDLNW"/>
    <s v="MI 02.10: Quantity changed to 0 from 1. A3 to be replaced by A4"/>
    <s v="Printer for all users of the MOC "/>
    <s v="FAC00716"/>
  </r>
  <r>
    <x v="1"/>
    <x v="0"/>
    <x v="19"/>
    <x v="19"/>
    <x v="6"/>
    <x v="1"/>
    <x v="1"/>
    <x v="0"/>
    <x v="1"/>
    <s v="Confirmed"/>
    <m/>
    <x v="5"/>
    <x v="1"/>
    <d v="2025-12-19T00:00:00"/>
    <s v="WANGEN"/>
    <m/>
    <s v="High speed Wifi for a large space &amp; up to 150 users of the MOC"/>
    <s v="FAC00717"/>
  </r>
  <r>
    <x v="1"/>
    <x v="3"/>
    <x v="19"/>
    <x v="19"/>
    <x v="6"/>
    <x v="1"/>
    <x v="1"/>
    <x v="6"/>
    <x v="20"/>
    <s v="Confirmed"/>
    <m/>
    <x v="14"/>
    <x v="1"/>
    <d v="2025-12-19T00:00:00"/>
    <s v="SPEREQ"/>
    <m/>
    <s v="Cell phone with calls &amp; data - MOC emergency phones"/>
    <s v="FAC00718"/>
  </r>
  <r>
    <x v="1"/>
    <x v="1"/>
    <x v="9"/>
    <x v="9"/>
    <x v="1"/>
    <x v="4"/>
    <x v="81"/>
    <x v="2"/>
    <x v="26"/>
    <s v="Rejected"/>
    <m/>
    <x v="14"/>
    <x v="2"/>
    <d v="2025-12-16T00:00:00"/>
    <s v="EUQSPE"/>
    <s v="ME 30/07: Item is not available. Not in scope of LOC ICT"/>
    <s v="RFID readers and 1 writer for the tournament access permit urpose ( can be cancelled maybe in second phase of evaluation)"/>
    <s v="FAC00706"/>
  </r>
  <r>
    <x v="1"/>
    <x v="1"/>
    <x v="9"/>
    <x v="9"/>
    <x v="0"/>
    <x v="4"/>
    <x v="81"/>
    <x v="2"/>
    <x v="26"/>
    <s v="Rejected"/>
    <m/>
    <x v="14"/>
    <x v="2"/>
    <d v="2025-12-16T00:00:00"/>
    <s v="EUQSPE"/>
    <s v="ME 30/07: Item is not available. Not in scope of LOC ICT"/>
    <s v="RFID readers and 1 writer for the tournament access permit urpose ( can be cancelled maybe in second phase of evaluation)"/>
    <s v="FAC00707"/>
  </r>
  <r>
    <x v="1"/>
    <x v="1"/>
    <x v="9"/>
    <x v="9"/>
    <x v="2"/>
    <x v="4"/>
    <x v="81"/>
    <x v="2"/>
    <x v="26"/>
    <s v="Rejected"/>
    <m/>
    <x v="14"/>
    <x v="2"/>
    <d v="2025-12-16T00:00:00"/>
    <s v="EUQSPE"/>
    <s v="ME 30/07: Item is not available. Not in scope of LOC ICT"/>
    <s v="RFID readers and 1 writer for the tournament access permit urpose ( can be cancelled maybe in second phase of evaluation)"/>
    <s v="FAC00708"/>
  </r>
  <r>
    <x v="1"/>
    <x v="1"/>
    <x v="9"/>
    <x v="9"/>
    <x v="3"/>
    <x v="4"/>
    <x v="81"/>
    <x v="2"/>
    <x v="26"/>
    <s v="Rejected"/>
    <m/>
    <x v="14"/>
    <x v="2"/>
    <d v="2025-12-16T00:00:00"/>
    <s v="EUQSPE"/>
    <s v="ME 30/07: Item is not available. Not in scope of LOC ICT"/>
    <s v="RFID readers and 1 writer for the tournament access permit urpose ( can be cancelled maybe in second phase of evaluation)"/>
    <s v="FAC00709"/>
  </r>
  <r>
    <x v="1"/>
    <x v="1"/>
    <x v="9"/>
    <x v="9"/>
    <x v="4"/>
    <x v="4"/>
    <x v="81"/>
    <x v="2"/>
    <x v="26"/>
    <s v="Rejected"/>
    <m/>
    <x v="14"/>
    <x v="2"/>
    <d v="2025-12-16T00:00:00"/>
    <s v="EUQSPE"/>
    <s v="ME 30/07: Item is not available. Not in scope of LOC ICT"/>
    <s v="RFID readers and 1 writer for the tournament access permit urpose ( can be cancelled maybe in second phase of evaluation)"/>
    <s v="FAC00710"/>
  </r>
  <r>
    <x v="1"/>
    <x v="1"/>
    <x v="9"/>
    <x v="9"/>
    <x v="5"/>
    <x v="4"/>
    <x v="81"/>
    <x v="2"/>
    <x v="26"/>
    <s v="Rejected"/>
    <m/>
    <x v="14"/>
    <x v="2"/>
    <d v="2025-12-16T00:00:00"/>
    <s v="EUQSPE"/>
    <s v="ME 30/07: Item is not available. Not in scope of LOC ICT"/>
    <s v=" "/>
    <s v="FAC00711"/>
  </r>
  <r>
    <x v="1"/>
    <x v="1"/>
    <x v="19"/>
    <x v="19"/>
    <x v="6"/>
    <x v="1"/>
    <x v="1"/>
    <x v="2"/>
    <x v="17"/>
    <s v="Confirmed"/>
    <m/>
    <x v="23"/>
    <x v="1"/>
    <d v="2025-12-19T00:00:00"/>
    <s v="DSKMNT"/>
    <m/>
    <s v="Stock should be avalible from DEC handedover Monitors "/>
    <s v="FAC00719"/>
  </r>
  <r>
    <x v="1"/>
    <x v="1"/>
    <x v="19"/>
    <x v="19"/>
    <x v="6"/>
    <x v="1"/>
    <x v="1"/>
    <x v="2"/>
    <x v="3"/>
    <s v="Confirmed"/>
    <m/>
    <x v="24"/>
    <x v="1"/>
    <d v="2025-12-19T00:00:00"/>
    <s v="LAPOPS"/>
    <m/>
    <s v="For stakeholder and AV screen operations "/>
    <s v="FAC00720"/>
  </r>
  <r>
    <x v="1"/>
    <x v="2"/>
    <x v="19"/>
    <x v="19"/>
    <x v="6"/>
    <x v="1"/>
    <x v="1"/>
    <x v="3"/>
    <x v="27"/>
    <s v="Confirmed"/>
    <m/>
    <x v="5"/>
    <x v="1"/>
    <d v="2025-12-19T00:00:00"/>
    <s v="AVRSPE"/>
    <m/>
    <s v="We are in contact with Mohammed Khater to install the previous AV MOC (Videowall system) items used in DEC to insatall/configure it through the avalible contractor "/>
    <s v="FAC00721"/>
  </r>
  <r>
    <x v="1"/>
    <x v="1"/>
    <x v="19"/>
    <x v="19"/>
    <x v="6"/>
    <x v="1"/>
    <x v="1"/>
    <x v="1"/>
    <x v="7"/>
    <s v="Confirmed"/>
    <m/>
    <x v="6"/>
    <x v="25"/>
    <d v="2025-12-19T00:00:00"/>
    <s v="MFDDNW"/>
    <s v="MI 19.10: CR006 - 1 printer in CEO office and 1 printer in PLI office MOC"/>
    <m/>
    <m/>
  </r>
  <r>
    <x v="1"/>
    <x v="2"/>
    <x v="20"/>
    <x v="20"/>
    <x v="6"/>
    <x v="1"/>
    <x v="82"/>
    <x v="3"/>
    <x v="5"/>
    <s v="Confirmed"/>
    <m/>
    <x v="11"/>
    <x v="26"/>
    <d v="2025-12-30T00:00:00"/>
    <s v="TVLGSA"/>
    <s v="SK 07.09: Start date changed to 20-SEP"/>
    <s v="4 x TV with HDMI "/>
    <s v="FAC01033"/>
  </r>
  <r>
    <x v="1"/>
    <x v="1"/>
    <x v="20"/>
    <x v="20"/>
    <x v="6"/>
    <x v="1"/>
    <x v="82"/>
    <x v="2"/>
    <x v="3"/>
    <s v="Confirmed"/>
    <m/>
    <x v="11"/>
    <x v="4"/>
    <d v="2025-12-30T00:00:00"/>
    <s v="LAPOPS"/>
    <s v="SK 07.09: Laptoips for monitoring"/>
    <s v="to be connected to TV-Large-Standalone"/>
    <s v="FAC01034"/>
  </r>
  <r>
    <x v="1"/>
    <x v="0"/>
    <x v="20"/>
    <x v="20"/>
    <x v="6"/>
    <x v="1"/>
    <x v="82"/>
    <x v="0"/>
    <x v="1"/>
    <s v="Confirmed"/>
    <m/>
    <x v="5"/>
    <x v="26"/>
    <d v="2025-12-30T00:00:00"/>
    <s v="WRDGEN"/>
    <s v="SK 07.09: Multifuncional room on ground floor. To asses the service availability/extend coverage"/>
    <m/>
    <s v="FAC01035"/>
  </r>
  <r>
    <x v="1"/>
    <x v="0"/>
    <x v="20"/>
    <x v="20"/>
    <x v="6"/>
    <x v="1"/>
    <x v="82"/>
    <x v="0"/>
    <x v="1"/>
    <s v="Canceled"/>
    <m/>
    <x v="7"/>
    <x v="4"/>
    <d v="2025-12-30T00:00:00"/>
    <s v="WANGEN"/>
    <s v="SK 23.09: Merged with U17 requirements"/>
    <s v="1 x Wireless connection for up to 50 devices"/>
    <s v="FAC01036"/>
  </r>
  <r>
    <x v="1"/>
    <x v="3"/>
    <x v="20"/>
    <x v="20"/>
    <x v="6"/>
    <x v="1"/>
    <x v="82"/>
    <x v="6"/>
    <x v="16"/>
    <s v="To Validate"/>
    <m/>
    <x v="5"/>
    <x v="1"/>
    <d v="2025-12-18T00:00:00"/>
    <s v="ITSR4G"/>
    <s v="SK 07.09: Reduced from 5 to 1, start date from 1-OCT (old - 1-OCT)_x000a_To review Existing Network stability. 100 GB/month, JM 13/10: We will provide the SIM on 15th Oct and Activation will be on 20th Oct as informed by Ameer."/>
    <s v="Backup"/>
    <s v="FAC01037"/>
  </r>
  <r>
    <x v="1"/>
    <x v="1"/>
    <x v="20"/>
    <x v="20"/>
    <x v="6"/>
    <x v="1"/>
    <x v="82"/>
    <x v="1"/>
    <x v="9"/>
    <s v="Confirmed"/>
    <m/>
    <x v="5"/>
    <x v="1"/>
    <d v="2025-12-30T00:00:00"/>
    <s v="MFDLNW"/>
    <s v=""/>
    <s v="A3 printer with consumables"/>
    <s v="FAC01038"/>
  </r>
  <r>
    <x v="1"/>
    <x v="1"/>
    <x v="20"/>
    <x v="20"/>
    <x v="6"/>
    <x v="1"/>
    <x v="82"/>
    <x v="1"/>
    <x v="7"/>
    <s v="Canceled"/>
    <m/>
    <x v="7"/>
    <x v="4"/>
    <d v="2025-12-30T00:00:00"/>
    <s v="MFDDNW"/>
    <s v="SK 07.09: Not required"/>
    <s v="A4 printer with consumables"/>
    <s v="FAC01039"/>
  </r>
  <r>
    <x v="0"/>
    <x v="0"/>
    <x v="21"/>
    <x v="21"/>
    <x v="1"/>
    <x v="10"/>
    <x v="83"/>
    <x v="0"/>
    <x v="18"/>
    <s v="Confirmed"/>
    <m/>
    <x v="14"/>
    <x v="11"/>
    <d v="2025-12-16T00:00:00"/>
    <s v="WANMEO"/>
    <m/>
    <m/>
    <s v="FAC00722"/>
  </r>
  <r>
    <x v="0"/>
    <x v="1"/>
    <x v="21"/>
    <x v="21"/>
    <x v="1"/>
    <x v="10"/>
    <x v="83"/>
    <x v="2"/>
    <x v="3"/>
    <s v="Confirmed"/>
    <m/>
    <x v="6"/>
    <x v="11"/>
    <d v="2025-12-16T00:00:00"/>
    <s v="LAPOPS"/>
    <m/>
    <m/>
    <s v="FAC00723"/>
  </r>
  <r>
    <x v="0"/>
    <x v="0"/>
    <x v="21"/>
    <x v="21"/>
    <x v="1"/>
    <x v="10"/>
    <x v="84"/>
    <x v="0"/>
    <x v="18"/>
    <s v="Confirmed"/>
    <m/>
    <x v="25"/>
    <x v="11"/>
    <d v="2025-12-16T00:00:00"/>
    <s v="WANMEO"/>
    <m/>
    <m/>
    <s v="FAC00724"/>
  </r>
  <r>
    <x v="0"/>
    <x v="2"/>
    <x v="21"/>
    <x v="21"/>
    <x v="1"/>
    <x v="10"/>
    <x v="84"/>
    <x v="5"/>
    <x v="8"/>
    <s v="Confirmed"/>
    <m/>
    <x v="15"/>
    <x v="11"/>
    <d v="2025-12-16T00:00:00"/>
    <s v="TVLGIP"/>
    <m/>
    <m/>
    <s v="FAC00725"/>
  </r>
  <r>
    <x v="0"/>
    <x v="0"/>
    <x v="21"/>
    <x v="21"/>
    <x v="1"/>
    <x v="10"/>
    <x v="84"/>
    <x v="4"/>
    <x v="6"/>
    <s v="Confirmed"/>
    <m/>
    <x v="26"/>
    <x v="11"/>
    <d v="2025-12-16T00:00:00"/>
    <s v="WRDGEN"/>
    <m/>
    <m/>
    <s v="FAC00726"/>
  </r>
  <r>
    <x v="0"/>
    <x v="0"/>
    <x v="21"/>
    <x v="21"/>
    <x v="1"/>
    <x v="9"/>
    <x v="85"/>
    <x v="4"/>
    <x v="6"/>
    <s v="Confirmed"/>
    <n v="280"/>
    <x v="27"/>
    <x v="11"/>
    <d v="2025-12-16T00:00:00"/>
    <s v="WRDGEN"/>
    <m/>
    <m/>
    <s v="FAC00727"/>
  </r>
  <r>
    <x v="0"/>
    <x v="2"/>
    <x v="21"/>
    <x v="21"/>
    <x v="1"/>
    <x v="9"/>
    <x v="85"/>
    <x v="5"/>
    <x v="14"/>
    <s v="Confirmed"/>
    <n v="140"/>
    <x v="28"/>
    <x v="11"/>
    <d v="2025-12-16T00:00:00"/>
    <s v=""/>
    <s v="15.09 MI - Quantity to be finalized later"/>
    <s v="MT layout TBC  - please refer to MT layout once finalized"/>
    <s v="FAC00728"/>
  </r>
  <r>
    <x v="0"/>
    <x v="0"/>
    <x v="21"/>
    <x v="21"/>
    <x v="1"/>
    <x v="9"/>
    <x v="85"/>
    <x v="0"/>
    <x v="18"/>
    <s v="Confirmed"/>
    <m/>
    <x v="29"/>
    <x v="11"/>
    <d v="2025-12-16T00:00:00"/>
    <s v="WANMEO"/>
    <m/>
    <m/>
    <s v="FAC00729"/>
  </r>
  <r>
    <x v="0"/>
    <x v="0"/>
    <x v="21"/>
    <x v="21"/>
    <x v="1"/>
    <x v="9"/>
    <x v="86"/>
    <x v="4"/>
    <x v="6"/>
    <s v="Confirmed"/>
    <m/>
    <x v="21"/>
    <x v="11"/>
    <d v="2025-12-16T00:00:00"/>
    <s v="WRDGEN"/>
    <m/>
    <m/>
    <s v="FAC00730"/>
  </r>
  <r>
    <x v="0"/>
    <x v="0"/>
    <x v="21"/>
    <x v="21"/>
    <x v="1"/>
    <x v="10"/>
    <x v="87"/>
    <x v="4"/>
    <x v="6"/>
    <s v="Confirmed"/>
    <m/>
    <x v="30"/>
    <x v="11"/>
    <d v="2025-12-16T00:00:00"/>
    <s v="WRDGEN"/>
    <m/>
    <m/>
    <s v="FAC00731"/>
  </r>
  <r>
    <x v="0"/>
    <x v="0"/>
    <x v="21"/>
    <x v="21"/>
    <x v="1"/>
    <x v="10"/>
    <x v="87"/>
    <x v="0"/>
    <x v="18"/>
    <s v="Confirmed"/>
    <m/>
    <x v="2"/>
    <x v="11"/>
    <d v="2025-12-16T00:00:00"/>
    <s v="WANMEO"/>
    <m/>
    <m/>
    <s v="FAC00732"/>
  </r>
  <r>
    <x v="0"/>
    <x v="2"/>
    <x v="21"/>
    <x v="21"/>
    <x v="1"/>
    <x v="10"/>
    <x v="87"/>
    <x v="5"/>
    <x v="8"/>
    <s v="Confirmed"/>
    <m/>
    <x v="5"/>
    <x v="11"/>
    <d v="2025-12-16T00:00:00"/>
    <s v="TVLGIP"/>
    <m/>
    <m/>
    <s v="FAC00733"/>
  </r>
  <r>
    <x v="0"/>
    <x v="0"/>
    <x v="21"/>
    <x v="21"/>
    <x v="1"/>
    <x v="10"/>
    <x v="88"/>
    <x v="0"/>
    <x v="18"/>
    <s v="Confirmed"/>
    <m/>
    <x v="31"/>
    <x v="11"/>
    <d v="2025-12-16T00:00:00"/>
    <s v="WANMEO"/>
    <m/>
    <m/>
    <s v="FAC00734"/>
  </r>
  <r>
    <x v="0"/>
    <x v="0"/>
    <x v="21"/>
    <x v="21"/>
    <x v="1"/>
    <x v="8"/>
    <x v="89"/>
    <x v="0"/>
    <x v="18"/>
    <s v="Confirmed"/>
    <m/>
    <x v="32"/>
    <x v="11"/>
    <d v="2025-12-16T00:00:00"/>
    <s v="WANMEO"/>
    <m/>
    <m/>
    <s v="FAC00735"/>
  </r>
  <r>
    <x v="0"/>
    <x v="0"/>
    <x v="21"/>
    <x v="21"/>
    <x v="1"/>
    <x v="8"/>
    <x v="89"/>
    <x v="4"/>
    <x v="6"/>
    <s v="Confirmed"/>
    <m/>
    <x v="33"/>
    <x v="11"/>
    <d v="2025-12-16T00:00:00"/>
    <s v="WRDGEN"/>
    <m/>
    <m/>
    <s v="FAC00736"/>
  </r>
  <r>
    <x v="0"/>
    <x v="0"/>
    <x v="21"/>
    <x v="21"/>
    <x v="1"/>
    <x v="8"/>
    <x v="90"/>
    <x v="4"/>
    <x v="6"/>
    <s v="Confirmed"/>
    <m/>
    <x v="15"/>
    <x v="11"/>
    <d v="2025-12-16T00:00:00"/>
    <s v="WANMEO"/>
    <m/>
    <m/>
    <s v="FAC00737"/>
  </r>
  <r>
    <x v="0"/>
    <x v="0"/>
    <x v="21"/>
    <x v="21"/>
    <x v="1"/>
    <x v="8"/>
    <x v="91"/>
    <x v="4"/>
    <x v="6"/>
    <s v="Confirmed"/>
    <m/>
    <x v="15"/>
    <x v="11"/>
    <d v="2025-12-16T00:00:00"/>
    <s v="WANMEO"/>
    <m/>
    <m/>
    <s v="FAC00738"/>
  </r>
  <r>
    <x v="0"/>
    <x v="0"/>
    <x v="21"/>
    <x v="21"/>
    <x v="1"/>
    <x v="10"/>
    <x v="14"/>
    <x v="0"/>
    <x v="18"/>
    <s v="Confirmed"/>
    <m/>
    <x v="31"/>
    <x v="11"/>
    <d v="2025-12-16T00:00:00"/>
    <s v="WANMEO"/>
    <m/>
    <m/>
    <s v="FAC00739"/>
  </r>
  <r>
    <x v="0"/>
    <x v="2"/>
    <x v="21"/>
    <x v="21"/>
    <x v="1"/>
    <x v="10"/>
    <x v="14"/>
    <x v="3"/>
    <x v="15"/>
    <s v="Confirmed"/>
    <m/>
    <x v="5"/>
    <x v="11"/>
    <d v="2025-12-16T00:00:00"/>
    <s v="AVSPCR"/>
    <m/>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740"/>
  </r>
  <r>
    <x v="0"/>
    <x v="0"/>
    <x v="21"/>
    <x v="21"/>
    <x v="1"/>
    <x v="2"/>
    <x v="92"/>
    <x v="0"/>
    <x v="18"/>
    <s v="Confirmed"/>
    <m/>
    <x v="11"/>
    <x v="11"/>
    <d v="2025-12-16T00:00:00"/>
    <s v="AVSPCR"/>
    <m/>
    <m/>
    <s v="FAC00741"/>
  </r>
  <r>
    <x v="0"/>
    <x v="2"/>
    <x v="21"/>
    <x v="21"/>
    <x v="1"/>
    <x v="2"/>
    <x v="92"/>
    <x v="5"/>
    <x v="8"/>
    <s v="Confirmed"/>
    <m/>
    <x v="5"/>
    <x v="11"/>
    <d v="2025-12-16T00:00:00"/>
    <s v="AVSPCR"/>
    <m/>
    <m/>
    <s v="FAC00742"/>
  </r>
  <r>
    <x v="0"/>
    <x v="1"/>
    <x v="21"/>
    <x v="21"/>
    <x v="1"/>
    <x v="2"/>
    <x v="92"/>
    <x v="1"/>
    <x v="9"/>
    <s v="Confirmed"/>
    <m/>
    <x v="5"/>
    <x v="11"/>
    <d v="2025-12-16T00:00:00"/>
    <s v="MFDSNW"/>
    <m/>
    <s v="MEO has a lot of printing requirements which enables MEO venue media team to conduct the job within their office, which is usually far away from the venue team office, sometimes even outside the stadium in SMC. "/>
    <s v="FAC00743"/>
  </r>
  <r>
    <x v="1"/>
    <x v="2"/>
    <x v="21"/>
    <x v="21"/>
    <x v="1"/>
    <x v="2"/>
    <x v="93"/>
    <x v="5"/>
    <x v="8"/>
    <s v="Canceled"/>
    <n v="1"/>
    <x v="7"/>
    <x v="11"/>
    <d v="2025-12-16T00:00:00"/>
    <s v="AVSPCR"/>
    <s v="SK 14/10: As per MEO confirmation"/>
    <m/>
    <s v="FAC00744"/>
  </r>
  <r>
    <x v="1"/>
    <x v="0"/>
    <x v="21"/>
    <x v="21"/>
    <x v="1"/>
    <x v="2"/>
    <x v="93"/>
    <x v="0"/>
    <x v="18"/>
    <s v="Canceled"/>
    <n v="4"/>
    <x v="7"/>
    <x v="11"/>
    <d v="2025-12-16T00:00:00"/>
    <s v="AVSPCR"/>
    <m/>
    <m/>
    <s v="FAC00745"/>
  </r>
  <r>
    <x v="1"/>
    <x v="1"/>
    <x v="21"/>
    <x v="21"/>
    <x v="1"/>
    <x v="2"/>
    <x v="92"/>
    <x v="2"/>
    <x v="28"/>
    <s v="Confirmed"/>
    <m/>
    <x v="5"/>
    <x v="11"/>
    <d v="2025-12-16T00:00:00"/>
    <s v="AVSPCR"/>
    <m/>
    <s v="Tablet or iPad"/>
    <s v="FAC00746"/>
  </r>
  <r>
    <x v="0"/>
    <x v="0"/>
    <x v="21"/>
    <x v="21"/>
    <x v="1"/>
    <x v="10"/>
    <x v="94"/>
    <x v="0"/>
    <x v="18"/>
    <s v="Confirmed"/>
    <m/>
    <x v="8"/>
    <x v="11"/>
    <d v="2025-12-16T00:00:00"/>
    <s v="AVSPCR"/>
    <m/>
    <m/>
    <s v="FAC00747"/>
  </r>
  <r>
    <x v="0"/>
    <x v="0"/>
    <x v="21"/>
    <x v="21"/>
    <x v="0"/>
    <x v="10"/>
    <x v="95"/>
    <x v="0"/>
    <x v="18"/>
    <s v="Confirmed"/>
    <m/>
    <x v="6"/>
    <x v="11"/>
    <d v="2025-12-16T00:00:00"/>
    <s v="AVSPCR"/>
    <m/>
    <s v="At media entrance - L1"/>
    <s v="FAC00748"/>
  </r>
  <r>
    <x v="0"/>
    <x v="0"/>
    <x v="21"/>
    <x v="21"/>
    <x v="0"/>
    <x v="10"/>
    <x v="83"/>
    <x v="0"/>
    <x v="18"/>
    <s v="Confirmed"/>
    <m/>
    <x v="14"/>
    <x v="11"/>
    <d v="2025-12-16T00:00:00"/>
    <s v="AVSPCR"/>
    <m/>
    <m/>
    <s v="FAC00749"/>
  </r>
  <r>
    <x v="0"/>
    <x v="1"/>
    <x v="21"/>
    <x v="21"/>
    <x v="0"/>
    <x v="10"/>
    <x v="83"/>
    <x v="2"/>
    <x v="3"/>
    <s v="Confirmed"/>
    <m/>
    <x v="6"/>
    <x v="11"/>
    <d v="2025-12-16T00:00:00"/>
    <s v="AVSPCR"/>
    <m/>
    <m/>
    <s v="FAC00750"/>
  </r>
  <r>
    <x v="0"/>
    <x v="0"/>
    <x v="21"/>
    <x v="21"/>
    <x v="0"/>
    <x v="10"/>
    <x v="84"/>
    <x v="0"/>
    <x v="18"/>
    <s v="Confirmed"/>
    <m/>
    <x v="25"/>
    <x v="11"/>
    <d v="2025-12-16T00:00:00"/>
    <s v="AVSPCR"/>
    <m/>
    <s v="Space TBC if OVL or existing space in stadium"/>
    <s v="FAC00751"/>
  </r>
  <r>
    <x v="1"/>
    <x v="2"/>
    <x v="21"/>
    <x v="21"/>
    <x v="0"/>
    <x v="10"/>
    <x v="84"/>
    <x v="5"/>
    <x v="23"/>
    <s v="Confirmed"/>
    <n v="6"/>
    <x v="10"/>
    <x v="11"/>
    <d v="2025-12-16T00:00:00"/>
    <s v="AVSPCR"/>
    <s v="SK 27/10: Changed to Legacy IPTV in the Legacy SMC"/>
    <s v="Space TBC if OVL or existing space in stadium"/>
    <s v="FAC00752"/>
  </r>
  <r>
    <x v="0"/>
    <x v="0"/>
    <x v="21"/>
    <x v="21"/>
    <x v="0"/>
    <x v="10"/>
    <x v="84"/>
    <x v="4"/>
    <x v="13"/>
    <s v="Confirmed"/>
    <n v="60"/>
    <x v="34"/>
    <x v="11"/>
    <d v="2025-12-16T00:00:00"/>
    <s v="AVSPCR"/>
    <s v="SK 27/10: As per MEO Confirmation"/>
    <m/>
    <s v="FAC00753"/>
  </r>
  <r>
    <x v="0"/>
    <x v="0"/>
    <x v="21"/>
    <x v="21"/>
    <x v="0"/>
    <x v="9"/>
    <x v="85"/>
    <x v="4"/>
    <x v="13"/>
    <s v="Confirmed"/>
    <n v="465"/>
    <x v="35"/>
    <x v="11"/>
    <d v="2025-12-16T00:00:00"/>
    <s v="AVSPCR"/>
    <s v="SK 27/10: As per MEO Confirmation"/>
    <m/>
    <s v="FAC00754"/>
  </r>
  <r>
    <x v="1"/>
    <x v="2"/>
    <x v="21"/>
    <x v="21"/>
    <x v="0"/>
    <x v="9"/>
    <x v="85"/>
    <x v="5"/>
    <x v="14"/>
    <s v="Confirmed"/>
    <n v="140"/>
    <x v="36"/>
    <x v="11"/>
    <d v="2025-12-16T00:00:00"/>
    <s v="AVSPCR"/>
    <s v="15.09 MI - Quantity to be finalized later"/>
    <s v="MT layout TBC  - please refer to MT layout once finalized"/>
    <s v="FAC00755"/>
  </r>
  <r>
    <x v="0"/>
    <x v="0"/>
    <x v="21"/>
    <x v="21"/>
    <x v="0"/>
    <x v="9"/>
    <x v="85"/>
    <x v="0"/>
    <x v="18"/>
    <s v="Confirmed"/>
    <m/>
    <x v="37"/>
    <x v="11"/>
    <d v="2025-12-16T00:00:00"/>
    <s v="AVSPCR"/>
    <m/>
    <m/>
    <s v="FAC00756"/>
  </r>
  <r>
    <x v="0"/>
    <x v="0"/>
    <x v="21"/>
    <x v="21"/>
    <x v="0"/>
    <x v="9"/>
    <x v="86"/>
    <x v="4"/>
    <x v="12"/>
    <s v="Confirmed"/>
    <m/>
    <x v="21"/>
    <x v="11"/>
    <d v="2025-12-16T00:00:00"/>
    <s v="AVSPCR"/>
    <m/>
    <m/>
    <s v="FAC00757"/>
  </r>
  <r>
    <x v="0"/>
    <x v="0"/>
    <x v="21"/>
    <x v="21"/>
    <x v="0"/>
    <x v="10"/>
    <x v="87"/>
    <x v="4"/>
    <x v="12"/>
    <s v="Confirmed"/>
    <n v="54"/>
    <x v="38"/>
    <x v="11"/>
    <d v="2025-12-16T00:00:00"/>
    <s v="AVSPCR"/>
    <s v="SK 27/10: As per MEO Confirmation"/>
    <m/>
    <s v="FAC00758"/>
  </r>
  <r>
    <x v="0"/>
    <x v="0"/>
    <x v="21"/>
    <x v="21"/>
    <x v="0"/>
    <x v="10"/>
    <x v="87"/>
    <x v="0"/>
    <x v="18"/>
    <s v="Confirmed"/>
    <m/>
    <x v="31"/>
    <x v="11"/>
    <d v="2025-12-16T00:00:00"/>
    <s v="AVSPCR"/>
    <m/>
    <m/>
    <s v="FAC00759"/>
  </r>
  <r>
    <x v="1"/>
    <x v="2"/>
    <x v="21"/>
    <x v="21"/>
    <x v="0"/>
    <x v="10"/>
    <x v="87"/>
    <x v="5"/>
    <x v="8"/>
    <s v="Confirmed"/>
    <m/>
    <x v="5"/>
    <x v="11"/>
    <d v="2025-12-16T00:00:00"/>
    <s v="AVSPCR"/>
    <m/>
    <m/>
    <s v="FAC00760"/>
  </r>
  <r>
    <x v="0"/>
    <x v="0"/>
    <x v="21"/>
    <x v="21"/>
    <x v="0"/>
    <x v="10"/>
    <x v="88"/>
    <x v="0"/>
    <x v="18"/>
    <s v="Confirmed"/>
    <m/>
    <x v="31"/>
    <x v="11"/>
    <d v="2025-12-16T00:00:00"/>
    <s v="AVSPCR"/>
    <m/>
    <m/>
    <s v="FAC00761"/>
  </r>
  <r>
    <x v="0"/>
    <x v="0"/>
    <x v="21"/>
    <x v="21"/>
    <x v="0"/>
    <x v="8"/>
    <x v="89"/>
    <x v="0"/>
    <x v="18"/>
    <s v="Confirmed"/>
    <m/>
    <x v="32"/>
    <x v="11"/>
    <d v="2025-12-16T00:00:00"/>
    <s v="AVSPCR"/>
    <m/>
    <m/>
    <s v="FAC00762"/>
  </r>
  <r>
    <x v="0"/>
    <x v="0"/>
    <x v="21"/>
    <x v="21"/>
    <x v="0"/>
    <x v="8"/>
    <x v="89"/>
    <x v="4"/>
    <x v="12"/>
    <s v="Confirmed"/>
    <n v="108"/>
    <x v="33"/>
    <x v="11"/>
    <d v="2025-12-16T00:00:00"/>
    <s v="AVSPCR"/>
    <s v="SK 27/10: As per MEO Confirmation"/>
    <m/>
    <s v="FAC00763"/>
  </r>
  <r>
    <x v="0"/>
    <x v="0"/>
    <x v="21"/>
    <x v="21"/>
    <x v="0"/>
    <x v="8"/>
    <x v="90"/>
    <x v="4"/>
    <x v="12"/>
    <s v="Confirmed"/>
    <m/>
    <x v="15"/>
    <x v="11"/>
    <d v="2025-12-16T00:00:00"/>
    <s v="AVSPCR"/>
    <m/>
    <m/>
    <s v="FAC00764"/>
  </r>
  <r>
    <x v="0"/>
    <x v="0"/>
    <x v="21"/>
    <x v="21"/>
    <x v="0"/>
    <x v="8"/>
    <x v="91"/>
    <x v="4"/>
    <x v="12"/>
    <s v="Confirmed"/>
    <m/>
    <x v="15"/>
    <x v="11"/>
    <d v="2025-12-16T00:00:00"/>
    <s v="AVSPCR"/>
    <m/>
    <m/>
    <s v="FAC00765"/>
  </r>
  <r>
    <x v="0"/>
    <x v="0"/>
    <x v="21"/>
    <x v="21"/>
    <x v="0"/>
    <x v="10"/>
    <x v="14"/>
    <x v="0"/>
    <x v="18"/>
    <s v="Confirmed"/>
    <m/>
    <x v="31"/>
    <x v="11"/>
    <d v="2025-12-16T00:00:00"/>
    <s v="AVSPCR"/>
    <m/>
    <m/>
    <s v="FAC00766"/>
  </r>
  <r>
    <x v="0"/>
    <x v="2"/>
    <x v="21"/>
    <x v="21"/>
    <x v="0"/>
    <x v="10"/>
    <x v="14"/>
    <x v="3"/>
    <x v="15"/>
    <s v="Confirmed"/>
    <m/>
    <x v="5"/>
    <x v="11"/>
    <d v="2025-12-16T00:00:00"/>
    <s v="AVSPCR"/>
    <m/>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767"/>
  </r>
  <r>
    <x v="0"/>
    <x v="0"/>
    <x v="21"/>
    <x v="21"/>
    <x v="0"/>
    <x v="2"/>
    <x v="92"/>
    <x v="0"/>
    <x v="18"/>
    <s v="Confirmed"/>
    <m/>
    <x v="11"/>
    <x v="11"/>
    <d v="2025-12-16T00:00:00"/>
    <s v="AVSPCR"/>
    <m/>
    <m/>
    <s v="FAC00768"/>
  </r>
  <r>
    <x v="1"/>
    <x v="2"/>
    <x v="21"/>
    <x v="21"/>
    <x v="0"/>
    <x v="2"/>
    <x v="92"/>
    <x v="5"/>
    <x v="8"/>
    <s v="Confirmed"/>
    <m/>
    <x v="5"/>
    <x v="11"/>
    <d v="2025-12-16T00:00:00"/>
    <s v="AVSPCR"/>
    <m/>
    <m/>
    <s v="FAC00769"/>
  </r>
  <r>
    <x v="1"/>
    <x v="1"/>
    <x v="21"/>
    <x v="21"/>
    <x v="0"/>
    <x v="2"/>
    <x v="92"/>
    <x v="1"/>
    <x v="9"/>
    <s v="Confirmed"/>
    <m/>
    <x v="5"/>
    <x v="11"/>
    <d v="2025-12-16T00:00:00"/>
    <s v="MFDSNW"/>
    <m/>
    <s v="MEO has a lot of printing requirements which enables MEO venue media team to conduct the job within their office, which is usually far away from the venue team office, sometimes even outside the stadium in SMC. "/>
    <s v="FAC00770"/>
  </r>
  <r>
    <x v="1"/>
    <x v="2"/>
    <x v="21"/>
    <x v="21"/>
    <x v="0"/>
    <x v="2"/>
    <x v="96"/>
    <x v="5"/>
    <x v="8"/>
    <s v="Canceled"/>
    <n v="1"/>
    <x v="7"/>
    <x v="11"/>
    <d v="2025-12-16T00:00:00"/>
    <s v="AVSPCR"/>
    <s v="SK 14/10: As per MEO confirmation"/>
    <m/>
    <s v="FAC00771"/>
  </r>
  <r>
    <x v="0"/>
    <x v="0"/>
    <x v="21"/>
    <x v="21"/>
    <x v="0"/>
    <x v="2"/>
    <x v="96"/>
    <x v="0"/>
    <x v="18"/>
    <s v="Confirmed"/>
    <m/>
    <x v="11"/>
    <x v="11"/>
    <d v="2025-12-16T00:00:00"/>
    <s v="AVSPCR"/>
    <m/>
    <m/>
    <s v="FAC00772"/>
  </r>
  <r>
    <x v="1"/>
    <x v="1"/>
    <x v="21"/>
    <x v="21"/>
    <x v="0"/>
    <x v="2"/>
    <x v="92"/>
    <x v="2"/>
    <x v="28"/>
    <s v="Confirmed"/>
    <m/>
    <x v="5"/>
    <x v="11"/>
    <d v="2025-12-16T00:00:00"/>
    <s v="AVSPCR"/>
    <m/>
    <s v="Tablet or iPad"/>
    <s v="FAC00773"/>
  </r>
  <r>
    <x v="0"/>
    <x v="0"/>
    <x v="21"/>
    <x v="21"/>
    <x v="0"/>
    <x v="10"/>
    <x v="94"/>
    <x v="0"/>
    <x v="18"/>
    <s v="Confirmed"/>
    <m/>
    <x v="8"/>
    <x v="11"/>
    <d v="2025-12-16T00:00:00"/>
    <s v="AVSPCR"/>
    <m/>
    <m/>
    <s v="FAC00774"/>
  </r>
  <r>
    <x v="0"/>
    <x v="0"/>
    <x v="21"/>
    <x v="21"/>
    <x v="4"/>
    <x v="10"/>
    <x v="95"/>
    <x v="0"/>
    <x v="18"/>
    <s v="Confirmed"/>
    <m/>
    <x v="6"/>
    <x v="11"/>
    <d v="2025-12-16T00:00:00"/>
    <s v="AVSPCR"/>
    <m/>
    <s v="At media entrance - Gate 40"/>
    <s v="FAC00775"/>
  </r>
  <r>
    <x v="0"/>
    <x v="0"/>
    <x v="21"/>
    <x v="21"/>
    <x v="4"/>
    <x v="10"/>
    <x v="83"/>
    <x v="0"/>
    <x v="18"/>
    <s v="Confirmed"/>
    <m/>
    <x v="14"/>
    <x v="11"/>
    <d v="2025-12-16T00:00:00"/>
    <s v="AVSPCR"/>
    <m/>
    <m/>
    <s v="FAC00776"/>
  </r>
  <r>
    <x v="0"/>
    <x v="1"/>
    <x v="21"/>
    <x v="21"/>
    <x v="4"/>
    <x v="10"/>
    <x v="83"/>
    <x v="2"/>
    <x v="3"/>
    <s v="Confirmed"/>
    <m/>
    <x v="6"/>
    <x v="11"/>
    <d v="2025-12-16T00:00:00"/>
    <s v="AVSPCR"/>
    <m/>
    <m/>
    <s v="FAC00777"/>
  </r>
  <r>
    <x v="0"/>
    <x v="0"/>
    <x v="21"/>
    <x v="21"/>
    <x v="4"/>
    <x v="10"/>
    <x v="84"/>
    <x v="0"/>
    <x v="18"/>
    <s v="Confirmed"/>
    <m/>
    <x v="25"/>
    <x v="11"/>
    <d v="2025-12-16T00:00:00"/>
    <s v="AVSPCR"/>
    <m/>
    <s v="Space TBC if OVL or existing space in stadium"/>
    <s v="FAC00778"/>
  </r>
  <r>
    <x v="0"/>
    <x v="2"/>
    <x v="21"/>
    <x v="21"/>
    <x v="4"/>
    <x v="10"/>
    <x v="84"/>
    <x v="5"/>
    <x v="8"/>
    <s v="Confirmed"/>
    <m/>
    <x v="15"/>
    <x v="11"/>
    <d v="2025-12-16T00:00:00"/>
    <s v="AVSPCR"/>
    <m/>
    <s v="Space TBC if OVL or existing space in stadium"/>
    <s v="FAC00779"/>
  </r>
  <r>
    <x v="0"/>
    <x v="0"/>
    <x v="21"/>
    <x v="21"/>
    <x v="4"/>
    <x v="10"/>
    <x v="84"/>
    <x v="4"/>
    <x v="6"/>
    <s v="Confirmed"/>
    <m/>
    <x v="39"/>
    <x v="11"/>
    <d v="2025-12-16T00:00:00"/>
    <s v="AVSPCR"/>
    <m/>
    <m/>
    <s v="FAC00780"/>
  </r>
  <r>
    <x v="0"/>
    <x v="0"/>
    <x v="21"/>
    <x v="21"/>
    <x v="4"/>
    <x v="9"/>
    <x v="85"/>
    <x v="4"/>
    <x v="6"/>
    <s v="Confirmed"/>
    <n v="281"/>
    <x v="32"/>
    <x v="11"/>
    <d v="2025-12-16T00:00:00"/>
    <s v="AVSPCR"/>
    <m/>
    <m/>
    <s v="FAC00781"/>
  </r>
  <r>
    <x v="0"/>
    <x v="2"/>
    <x v="21"/>
    <x v="21"/>
    <x v="4"/>
    <x v="9"/>
    <x v="85"/>
    <x v="5"/>
    <x v="14"/>
    <s v="Confirmed"/>
    <n v="90"/>
    <x v="26"/>
    <x v="11"/>
    <d v="2025-12-16T00:00:00"/>
    <s v="AVSPCR"/>
    <s v="15.09 MI - Quantity to be finalized later"/>
    <s v="MT layout TBC  - please refer to MT layout once finalized"/>
    <s v="FAC00782"/>
  </r>
  <r>
    <x v="0"/>
    <x v="0"/>
    <x v="21"/>
    <x v="21"/>
    <x v="4"/>
    <x v="9"/>
    <x v="85"/>
    <x v="0"/>
    <x v="18"/>
    <s v="Confirmed"/>
    <m/>
    <x v="29"/>
    <x v="11"/>
    <d v="2025-12-16T00:00:00"/>
    <s v="AVSPCR"/>
    <m/>
    <m/>
    <s v="FAC00783"/>
  </r>
  <r>
    <x v="0"/>
    <x v="0"/>
    <x v="21"/>
    <x v="21"/>
    <x v="4"/>
    <x v="9"/>
    <x v="86"/>
    <x v="4"/>
    <x v="6"/>
    <s v="Confirmed"/>
    <m/>
    <x v="21"/>
    <x v="11"/>
    <d v="2025-12-16T00:00:00"/>
    <s v="AVSPCR"/>
    <m/>
    <m/>
    <s v="FAC00784"/>
  </r>
  <r>
    <x v="0"/>
    <x v="0"/>
    <x v="21"/>
    <x v="21"/>
    <x v="4"/>
    <x v="10"/>
    <x v="87"/>
    <x v="4"/>
    <x v="6"/>
    <s v="Confirmed"/>
    <m/>
    <x v="40"/>
    <x v="11"/>
    <d v="2025-12-16T00:00:00"/>
    <s v="AVSPCR"/>
    <m/>
    <m/>
    <s v="FAC00785"/>
  </r>
  <r>
    <x v="0"/>
    <x v="0"/>
    <x v="21"/>
    <x v="21"/>
    <x v="4"/>
    <x v="10"/>
    <x v="87"/>
    <x v="0"/>
    <x v="18"/>
    <s v="Confirmed"/>
    <m/>
    <x v="17"/>
    <x v="11"/>
    <d v="2025-12-16T00:00:00"/>
    <s v="AVSPCR"/>
    <m/>
    <m/>
    <s v="FAC00786"/>
  </r>
  <r>
    <x v="0"/>
    <x v="2"/>
    <x v="21"/>
    <x v="21"/>
    <x v="4"/>
    <x v="10"/>
    <x v="87"/>
    <x v="5"/>
    <x v="8"/>
    <s v="Confirmed"/>
    <m/>
    <x v="5"/>
    <x v="11"/>
    <d v="2025-12-16T00:00:00"/>
    <s v="AVSPCR"/>
    <m/>
    <m/>
    <s v="FAC00787"/>
  </r>
  <r>
    <x v="0"/>
    <x v="0"/>
    <x v="21"/>
    <x v="21"/>
    <x v="4"/>
    <x v="10"/>
    <x v="88"/>
    <x v="0"/>
    <x v="18"/>
    <s v="Confirmed"/>
    <m/>
    <x v="31"/>
    <x v="11"/>
    <d v="2025-12-16T00:00:00"/>
    <s v="AVSPCR"/>
    <m/>
    <m/>
    <s v="FAC00788"/>
  </r>
  <r>
    <x v="0"/>
    <x v="0"/>
    <x v="21"/>
    <x v="21"/>
    <x v="4"/>
    <x v="8"/>
    <x v="89"/>
    <x v="0"/>
    <x v="18"/>
    <s v="Confirmed"/>
    <m/>
    <x v="32"/>
    <x v="11"/>
    <d v="2025-12-16T00:00:00"/>
    <s v="AVSPCR"/>
    <m/>
    <m/>
    <s v="FAC00789"/>
  </r>
  <r>
    <x v="0"/>
    <x v="0"/>
    <x v="21"/>
    <x v="21"/>
    <x v="4"/>
    <x v="8"/>
    <x v="89"/>
    <x v="4"/>
    <x v="6"/>
    <s v="Confirmed"/>
    <m/>
    <x v="33"/>
    <x v="11"/>
    <d v="2025-12-16T00:00:00"/>
    <s v="AVSPCR"/>
    <m/>
    <m/>
    <s v="FAC00790"/>
  </r>
  <r>
    <x v="0"/>
    <x v="0"/>
    <x v="21"/>
    <x v="21"/>
    <x v="4"/>
    <x v="8"/>
    <x v="90"/>
    <x v="4"/>
    <x v="6"/>
    <s v="Confirmed"/>
    <m/>
    <x v="15"/>
    <x v="11"/>
    <d v="2025-12-16T00:00:00"/>
    <s v="AVSPCR"/>
    <m/>
    <m/>
    <s v="FAC00791"/>
  </r>
  <r>
    <x v="0"/>
    <x v="0"/>
    <x v="21"/>
    <x v="21"/>
    <x v="4"/>
    <x v="8"/>
    <x v="91"/>
    <x v="4"/>
    <x v="6"/>
    <s v="Confirmed"/>
    <m/>
    <x v="15"/>
    <x v="11"/>
    <d v="2025-12-16T00:00:00"/>
    <s v="AVSPCR"/>
    <m/>
    <m/>
    <s v="FAC00792"/>
  </r>
  <r>
    <x v="0"/>
    <x v="0"/>
    <x v="21"/>
    <x v="21"/>
    <x v="4"/>
    <x v="10"/>
    <x v="14"/>
    <x v="0"/>
    <x v="18"/>
    <s v="Confirmed"/>
    <m/>
    <x v="31"/>
    <x v="11"/>
    <d v="2025-12-16T00:00:00"/>
    <s v="AVSPCR"/>
    <m/>
    <m/>
    <s v="FAC00793"/>
  </r>
  <r>
    <x v="0"/>
    <x v="2"/>
    <x v="21"/>
    <x v="21"/>
    <x v="4"/>
    <x v="10"/>
    <x v="14"/>
    <x v="3"/>
    <x v="15"/>
    <s v="Confirmed"/>
    <m/>
    <x v="5"/>
    <x v="11"/>
    <d v="2025-12-16T00:00:00"/>
    <s v="AVSPCR"/>
    <m/>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794"/>
  </r>
  <r>
    <x v="0"/>
    <x v="0"/>
    <x v="21"/>
    <x v="21"/>
    <x v="4"/>
    <x v="2"/>
    <x v="92"/>
    <x v="0"/>
    <x v="18"/>
    <s v="Confirmed"/>
    <m/>
    <x v="11"/>
    <x v="11"/>
    <d v="2025-12-16T00:00:00"/>
    <s v="AVSPCR"/>
    <m/>
    <m/>
    <s v="FAC00795"/>
  </r>
  <r>
    <x v="0"/>
    <x v="2"/>
    <x v="21"/>
    <x v="21"/>
    <x v="4"/>
    <x v="2"/>
    <x v="92"/>
    <x v="5"/>
    <x v="8"/>
    <s v="Confirmed"/>
    <m/>
    <x v="5"/>
    <x v="11"/>
    <d v="2025-12-16T00:00:00"/>
    <s v="AVSPCR"/>
    <m/>
    <m/>
    <s v="FAC00796"/>
  </r>
  <r>
    <x v="1"/>
    <x v="1"/>
    <x v="21"/>
    <x v="21"/>
    <x v="4"/>
    <x v="2"/>
    <x v="92"/>
    <x v="1"/>
    <x v="9"/>
    <s v="Confirmed"/>
    <m/>
    <x v="5"/>
    <x v="0"/>
    <d v="2025-12-19T00:00:00"/>
    <s v="MFDSNW"/>
    <m/>
    <s v="MEO has a lot of printing requirements which enables MEO venue media team to conduct the job within their office, which is usually far away from the venue team office, sometimes even outside the stadium in SMC. "/>
    <s v="FAC00797"/>
  </r>
  <r>
    <x v="1"/>
    <x v="2"/>
    <x v="21"/>
    <x v="21"/>
    <x v="4"/>
    <x v="2"/>
    <x v="93"/>
    <x v="5"/>
    <x v="8"/>
    <s v="Canceled"/>
    <n v="1"/>
    <x v="7"/>
    <x v="11"/>
    <d v="2025-12-16T00:00:00"/>
    <s v="AVSPCR"/>
    <s v="SK 14/10: As per MEO confirmation"/>
    <m/>
    <s v="FAC00798"/>
  </r>
  <r>
    <x v="1"/>
    <x v="0"/>
    <x v="21"/>
    <x v="21"/>
    <x v="4"/>
    <x v="2"/>
    <x v="93"/>
    <x v="0"/>
    <x v="18"/>
    <s v="Canceled"/>
    <n v="4"/>
    <x v="7"/>
    <x v="11"/>
    <d v="2025-12-16T00:00:00"/>
    <s v="AVSPCR"/>
    <m/>
    <m/>
    <s v="FAC00799"/>
  </r>
  <r>
    <x v="1"/>
    <x v="1"/>
    <x v="21"/>
    <x v="21"/>
    <x v="4"/>
    <x v="2"/>
    <x v="92"/>
    <x v="2"/>
    <x v="28"/>
    <s v="Confirmed"/>
    <m/>
    <x v="5"/>
    <x v="11"/>
    <d v="2025-12-16T00:00:00"/>
    <s v="AVSPCR"/>
    <m/>
    <s v="Tablet or iPad"/>
    <s v="FAC00800"/>
  </r>
  <r>
    <x v="0"/>
    <x v="0"/>
    <x v="21"/>
    <x v="21"/>
    <x v="4"/>
    <x v="10"/>
    <x v="94"/>
    <x v="0"/>
    <x v="18"/>
    <s v="Confirmed"/>
    <m/>
    <x v="8"/>
    <x v="11"/>
    <d v="2025-12-16T00:00:00"/>
    <s v="AVSPCR"/>
    <m/>
    <m/>
    <s v="FAC00801"/>
  </r>
  <r>
    <x v="0"/>
    <x v="0"/>
    <x v="21"/>
    <x v="21"/>
    <x v="3"/>
    <x v="10"/>
    <x v="95"/>
    <x v="0"/>
    <x v="18"/>
    <s v="Confirmed"/>
    <m/>
    <x v="6"/>
    <x v="11"/>
    <d v="2025-12-16T00:00:00"/>
    <s v="AVSPCR"/>
    <m/>
    <s v="At media entrance - Gate 40"/>
    <s v="FAC00802"/>
  </r>
  <r>
    <x v="0"/>
    <x v="0"/>
    <x v="21"/>
    <x v="21"/>
    <x v="3"/>
    <x v="10"/>
    <x v="83"/>
    <x v="0"/>
    <x v="18"/>
    <s v="Confirmed"/>
    <m/>
    <x v="14"/>
    <x v="11"/>
    <d v="2025-12-16T00:00:00"/>
    <s v="AVSPCR"/>
    <m/>
    <m/>
    <s v="FAC00803"/>
  </r>
  <r>
    <x v="1"/>
    <x v="1"/>
    <x v="21"/>
    <x v="21"/>
    <x v="3"/>
    <x v="10"/>
    <x v="83"/>
    <x v="2"/>
    <x v="3"/>
    <s v="Confirmed"/>
    <m/>
    <x v="6"/>
    <x v="11"/>
    <d v="2025-12-16T00:00:00"/>
    <s v="AVSPCR"/>
    <m/>
    <m/>
    <s v="FAC00804"/>
  </r>
  <r>
    <x v="0"/>
    <x v="0"/>
    <x v="21"/>
    <x v="21"/>
    <x v="3"/>
    <x v="10"/>
    <x v="84"/>
    <x v="0"/>
    <x v="18"/>
    <s v="Confirmed"/>
    <n v="300"/>
    <x v="31"/>
    <x v="11"/>
    <d v="2025-12-16T00:00:00"/>
    <s v="AVSPCR"/>
    <m/>
    <s v="Space TBC if OVL or existing space in stadium"/>
    <s v="FAC00805"/>
  </r>
  <r>
    <x v="0"/>
    <x v="2"/>
    <x v="21"/>
    <x v="21"/>
    <x v="3"/>
    <x v="10"/>
    <x v="84"/>
    <x v="5"/>
    <x v="8"/>
    <s v="Confirmed"/>
    <m/>
    <x v="15"/>
    <x v="11"/>
    <d v="2025-12-16T00:00:00"/>
    <s v="AVSPCR"/>
    <m/>
    <s v="Space TBC if OVL or existing space in stadium"/>
    <s v="FAC00806"/>
  </r>
  <r>
    <x v="0"/>
    <x v="0"/>
    <x v="21"/>
    <x v="21"/>
    <x v="3"/>
    <x v="10"/>
    <x v="84"/>
    <x v="4"/>
    <x v="6"/>
    <s v="Confirmed"/>
    <m/>
    <x v="39"/>
    <x v="11"/>
    <d v="2025-12-16T00:00:00"/>
    <s v="AVSPCR"/>
    <m/>
    <m/>
    <s v="FAC00807"/>
  </r>
  <r>
    <x v="0"/>
    <x v="0"/>
    <x v="21"/>
    <x v="21"/>
    <x v="3"/>
    <x v="9"/>
    <x v="85"/>
    <x v="4"/>
    <x v="6"/>
    <s v="Confirmed"/>
    <n v="281"/>
    <x v="41"/>
    <x v="11"/>
    <d v="2025-12-16T00:00:00"/>
    <s v="AVSPCR"/>
    <m/>
    <m/>
    <s v="FAC00808"/>
  </r>
  <r>
    <x v="0"/>
    <x v="2"/>
    <x v="21"/>
    <x v="21"/>
    <x v="3"/>
    <x v="9"/>
    <x v="85"/>
    <x v="5"/>
    <x v="14"/>
    <s v="Confirmed"/>
    <n v="90"/>
    <x v="26"/>
    <x v="11"/>
    <d v="2025-12-16T00:00:00"/>
    <s v="AVSPCR"/>
    <s v="15.09 MI - Quantity to be finalized later"/>
    <s v="MT layout TBC  - please refer to MT layout once finalized"/>
    <s v="FAC00809"/>
  </r>
  <r>
    <x v="0"/>
    <x v="0"/>
    <x v="21"/>
    <x v="21"/>
    <x v="3"/>
    <x v="9"/>
    <x v="85"/>
    <x v="0"/>
    <x v="18"/>
    <s v="Confirmed"/>
    <m/>
    <x v="29"/>
    <x v="11"/>
    <d v="2025-12-16T00:00:00"/>
    <s v="AVSPCR"/>
    <m/>
    <m/>
    <s v="FAC00810"/>
  </r>
  <r>
    <x v="0"/>
    <x v="0"/>
    <x v="21"/>
    <x v="21"/>
    <x v="3"/>
    <x v="9"/>
    <x v="86"/>
    <x v="4"/>
    <x v="6"/>
    <s v="Confirmed"/>
    <m/>
    <x v="21"/>
    <x v="11"/>
    <d v="2025-12-16T00:00:00"/>
    <s v="AVSPCR"/>
    <m/>
    <m/>
    <s v="FAC00811"/>
  </r>
  <r>
    <x v="0"/>
    <x v="0"/>
    <x v="21"/>
    <x v="21"/>
    <x v="3"/>
    <x v="10"/>
    <x v="87"/>
    <x v="4"/>
    <x v="6"/>
    <s v="Confirmed"/>
    <n v="16"/>
    <x v="24"/>
    <x v="11"/>
    <d v="2025-12-16T00:00:00"/>
    <s v="AVSPCR"/>
    <m/>
    <m/>
    <s v="FAC00812"/>
  </r>
  <r>
    <x v="0"/>
    <x v="0"/>
    <x v="21"/>
    <x v="21"/>
    <x v="3"/>
    <x v="10"/>
    <x v="87"/>
    <x v="0"/>
    <x v="18"/>
    <s v="Confirmed"/>
    <m/>
    <x v="42"/>
    <x v="11"/>
    <d v="2025-12-16T00:00:00"/>
    <s v="AVSPCR"/>
    <m/>
    <m/>
    <s v="FAC00813"/>
  </r>
  <r>
    <x v="0"/>
    <x v="2"/>
    <x v="21"/>
    <x v="21"/>
    <x v="3"/>
    <x v="10"/>
    <x v="87"/>
    <x v="5"/>
    <x v="8"/>
    <s v="Confirmed"/>
    <m/>
    <x v="5"/>
    <x v="11"/>
    <d v="2025-12-16T00:00:00"/>
    <s v="AVSPCR"/>
    <m/>
    <m/>
    <s v="FAC00814"/>
  </r>
  <r>
    <x v="0"/>
    <x v="0"/>
    <x v="21"/>
    <x v="21"/>
    <x v="3"/>
    <x v="10"/>
    <x v="88"/>
    <x v="0"/>
    <x v="18"/>
    <s v="Confirmed"/>
    <m/>
    <x v="31"/>
    <x v="11"/>
    <d v="2025-12-16T00:00:00"/>
    <s v="AVSPCR"/>
    <m/>
    <m/>
    <s v="FAC00815"/>
  </r>
  <r>
    <x v="0"/>
    <x v="0"/>
    <x v="21"/>
    <x v="21"/>
    <x v="3"/>
    <x v="8"/>
    <x v="89"/>
    <x v="0"/>
    <x v="18"/>
    <s v="Confirmed"/>
    <m/>
    <x v="32"/>
    <x v="11"/>
    <d v="2025-12-16T00:00:00"/>
    <s v="AVSPCR"/>
    <m/>
    <m/>
    <s v="FAC00816"/>
  </r>
  <r>
    <x v="0"/>
    <x v="0"/>
    <x v="21"/>
    <x v="21"/>
    <x v="3"/>
    <x v="8"/>
    <x v="89"/>
    <x v="4"/>
    <x v="6"/>
    <s v="Confirmed"/>
    <m/>
    <x v="33"/>
    <x v="11"/>
    <d v="2025-12-16T00:00:00"/>
    <s v="AVSPCR"/>
    <m/>
    <m/>
    <s v="FAC00817"/>
  </r>
  <r>
    <x v="0"/>
    <x v="0"/>
    <x v="21"/>
    <x v="21"/>
    <x v="3"/>
    <x v="8"/>
    <x v="90"/>
    <x v="4"/>
    <x v="6"/>
    <s v="Confirmed"/>
    <m/>
    <x v="15"/>
    <x v="11"/>
    <d v="2025-12-16T00:00:00"/>
    <s v="AVSPCR"/>
    <m/>
    <m/>
    <s v="FAC00818"/>
  </r>
  <r>
    <x v="0"/>
    <x v="0"/>
    <x v="21"/>
    <x v="21"/>
    <x v="3"/>
    <x v="8"/>
    <x v="91"/>
    <x v="4"/>
    <x v="6"/>
    <s v="Confirmed"/>
    <m/>
    <x v="15"/>
    <x v="11"/>
    <d v="2025-12-16T00:00:00"/>
    <s v="AVSPCR"/>
    <m/>
    <m/>
    <s v="FAC00819"/>
  </r>
  <r>
    <x v="0"/>
    <x v="0"/>
    <x v="21"/>
    <x v="21"/>
    <x v="3"/>
    <x v="10"/>
    <x v="14"/>
    <x v="0"/>
    <x v="18"/>
    <s v="Confirmed"/>
    <m/>
    <x v="31"/>
    <x v="11"/>
    <d v="2025-12-16T00:00:00"/>
    <s v="AVSPCR"/>
    <m/>
    <m/>
    <s v="FAC00820"/>
  </r>
  <r>
    <x v="0"/>
    <x v="2"/>
    <x v="21"/>
    <x v="21"/>
    <x v="3"/>
    <x v="10"/>
    <x v="14"/>
    <x v="3"/>
    <x v="15"/>
    <s v="Confirmed"/>
    <m/>
    <x v="5"/>
    <x v="11"/>
    <d v="2025-12-16T00:00:00"/>
    <s v="AVSPCR"/>
    <m/>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821"/>
  </r>
  <r>
    <x v="0"/>
    <x v="0"/>
    <x v="21"/>
    <x v="21"/>
    <x v="3"/>
    <x v="2"/>
    <x v="97"/>
    <x v="0"/>
    <x v="18"/>
    <s v="Confirmed"/>
    <m/>
    <x v="11"/>
    <x v="11"/>
    <d v="2025-12-16T00:00:00"/>
    <s v="AVSPCR"/>
    <m/>
    <m/>
    <s v="FAC00822"/>
  </r>
  <r>
    <x v="0"/>
    <x v="2"/>
    <x v="21"/>
    <x v="21"/>
    <x v="3"/>
    <x v="2"/>
    <x v="92"/>
    <x v="5"/>
    <x v="8"/>
    <s v="Confirmed"/>
    <m/>
    <x v="5"/>
    <x v="11"/>
    <d v="2025-12-16T00:00:00"/>
    <s v="AVSPCR"/>
    <m/>
    <m/>
    <s v="FAC00823"/>
  </r>
  <r>
    <x v="1"/>
    <x v="1"/>
    <x v="21"/>
    <x v="21"/>
    <x v="3"/>
    <x v="2"/>
    <x v="97"/>
    <x v="1"/>
    <x v="7"/>
    <s v="Confirmed"/>
    <m/>
    <x v="5"/>
    <x v="11"/>
    <d v="2025-12-16T00:00:00"/>
    <s v="MFDSNW"/>
    <s v="10/09 SK: Changed to A4 due to stadium printing concept"/>
    <s v="MEO has a lot of printing requirements which enables MEO venue media team to conduct the job within their office, which is usually far away from the venue team office, sometimes even outside the stadium in SMC. "/>
    <s v="FAC00824"/>
  </r>
  <r>
    <x v="0"/>
    <x v="1"/>
    <x v="21"/>
    <x v="21"/>
    <x v="3"/>
    <x v="2"/>
    <x v="97"/>
    <x v="2"/>
    <x v="28"/>
    <s v="Confirmed"/>
    <m/>
    <x v="5"/>
    <x v="11"/>
    <d v="2025-12-16T00:00:00"/>
    <s v="AVSPCR"/>
    <m/>
    <s v="Tablet or iPad"/>
    <s v="FAC00825"/>
  </r>
  <r>
    <x v="0"/>
    <x v="0"/>
    <x v="21"/>
    <x v="21"/>
    <x v="3"/>
    <x v="10"/>
    <x v="94"/>
    <x v="0"/>
    <x v="18"/>
    <s v="Confirmed"/>
    <m/>
    <x v="8"/>
    <x v="11"/>
    <d v="2025-12-16T00:00:00"/>
    <s v="AVSPCR"/>
    <m/>
    <m/>
    <s v="FAC00826"/>
  </r>
  <r>
    <x v="0"/>
    <x v="0"/>
    <x v="21"/>
    <x v="21"/>
    <x v="2"/>
    <x v="10"/>
    <x v="95"/>
    <x v="0"/>
    <x v="18"/>
    <s v="Confirmed"/>
    <m/>
    <x v="6"/>
    <x v="11"/>
    <d v="2025-12-16T00:00:00"/>
    <s v="AVSPCR"/>
    <m/>
    <m/>
    <s v="FAC00827"/>
  </r>
  <r>
    <x v="0"/>
    <x v="0"/>
    <x v="21"/>
    <x v="21"/>
    <x v="2"/>
    <x v="10"/>
    <x v="83"/>
    <x v="0"/>
    <x v="18"/>
    <s v="Confirmed"/>
    <m/>
    <x v="14"/>
    <x v="11"/>
    <d v="2025-12-16T00:00:00"/>
    <s v="AVSPCR"/>
    <m/>
    <m/>
    <s v="FAC00828"/>
  </r>
  <r>
    <x v="0"/>
    <x v="1"/>
    <x v="21"/>
    <x v="21"/>
    <x v="2"/>
    <x v="10"/>
    <x v="83"/>
    <x v="2"/>
    <x v="3"/>
    <s v="Confirmed"/>
    <m/>
    <x v="6"/>
    <x v="11"/>
    <d v="2025-12-16T00:00:00"/>
    <s v="AVSPCR"/>
    <m/>
    <m/>
    <s v="FAC00829"/>
  </r>
  <r>
    <x v="0"/>
    <x v="0"/>
    <x v="21"/>
    <x v="21"/>
    <x v="2"/>
    <x v="10"/>
    <x v="84"/>
    <x v="0"/>
    <x v="18"/>
    <s v="Confirmed"/>
    <m/>
    <x v="25"/>
    <x v="11"/>
    <d v="2025-12-16T00:00:00"/>
    <s v="AVSPCR"/>
    <m/>
    <s v="Space TBC if OVL or existing space in stadium"/>
    <s v="FAC00830"/>
  </r>
  <r>
    <x v="0"/>
    <x v="2"/>
    <x v="21"/>
    <x v="21"/>
    <x v="2"/>
    <x v="10"/>
    <x v="84"/>
    <x v="5"/>
    <x v="8"/>
    <s v="Confirmed"/>
    <m/>
    <x v="15"/>
    <x v="11"/>
    <d v="2025-12-16T00:00:00"/>
    <s v="AVSPCR"/>
    <m/>
    <s v="Space TBC if OVL or existing space in stadium"/>
    <s v="FAC00831"/>
  </r>
  <r>
    <x v="0"/>
    <x v="0"/>
    <x v="21"/>
    <x v="21"/>
    <x v="2"/>
    <x v="10"/>
    <x v="98"/>
    <x v="4"/>
    <x v="6"/>
    <s v="Confirmed"/>
    <n v="20"/>
    <x v="39"/>
    <x v="11"/>
    <d v="2025-12-16T00:00:00"/>
    <s v="AVSPCR"/>
    <m/>
    <m/>
    <s v="FAC00832"/>
  </r>
  <r>
    <x v="0"/>
    <x v="0"/>
    <x v="21"/>
    <x v="21"/>
    <x v="2"/>
    <x v="10"/>
    <x v="99"/>
    <x v="4"/>
    <x v="6"/>
    <s v="Confirmed"/>
    <n v="25"/>
    <x v="39"/>
    <x v="11"/>
    <d v="2025-12-16T00:00:00"/>
    <s v="AVSPCR"/>
    <m/>
    <m/>
    <s v="FAC00833"/>
  </r>
  <r>
    <x v="0"/>
    <x v="0"/>
    <x v="21"/>
    <x v="21"/>
    <x v="2"/>
    <x v="9"/>
    <x v="85"/>
    <x v="4"/>
    <x v="6"/>
    <s v="Confirmed"/>
    <n v="281"/>
    <x v="43"/>
    <x v="11"/>
    <d v="2025-12-16T00:00:00"/>
    <s v="AVSPCR"/>
    <m/>
    <m/>
    <s v="FAC00834"/>
  </r>
  <r>
    <x v="0"/>
    <x v="2"/>
    <x v="21"/>
    <x v="21"/>
    <x v="2"/>
    <x v="9"/>
    <x v="85"/>
    <x v="5"/>
    <x v="14"/>
    <s v="Confirmed"/>
    <n v="90"/>
    <x v="44"/>
    <x v="11"/>
    <d v="2025-12-16T00:00:00"/>
    <s v="AVSPCR"/>
    <s v="15.09 MI - Quantity to be finalized later"/>
    <s v="MT layout TBC  - please refer to MT layout once finalized"/>
    <s v="FAC00835"/>
  </r>
  <r>
    <x v="0"/>
    <x v="0"/>
    <x v="21"/>
    <x v="21"/>
    <x v="2"/>
    <x v="9"/>
    <x v="85"/>
    <x v="0"/>
    <x v="18"/>
    <s v="Confirmed"/>
    <m/>
    <x v="29"/>
    <x v="11"/>
    <d v="2025-12-16T00:00:00"/>
    <s v="AVSPCR"/>
    <m/>
    <m/>
    <s v="FAC00836"/>
  </r>
  <r>
    <x v="0"/>
    <x v="0"/>
    <x v="21"/>
    <x v="21"/>
    <x v="2"/>
    <x v="9"/>
    <x v="86"/>
    <x v="4"/>
    <x v="6"/>
    <s v="Confirmed"/>
    <m/>
    <x v="21"/>
    <x v="11"/>
    <d v="2025-12-16T00:00:00"/>
    <s v="AVSPCR"/>
    <m/>
    <m/>
    <s v="FAC00837"/>
  </r>
  <r>
    <x v="0"/>
    <x v="0"/>
    <x v="21"/>
    <x v="21"/>
    <x v="2"/>
    <x v="10"/>
    <x v="88"/>
    <x v="0"/>
    <x v="18"/>
    <s v="Confirmed"/>
    <m/>
    <x v="31"/>
    <x v="11"/>
    <d v="2025-12-16T00:00:00"/>
    <s v="AVSPCR"/>
    <m/>
    <m/>
    <s v="FAC00838"/>
  </r>
  <r>
    <x v="0"/>
    <x v="0"/>
    <x v="21"/>
    <x v="21"/>
    <x v="2"/>
    <x v="8"/>
    <x v="89"/>
    <x v="0"/>
    <x v="18"/>
    <s v="Confirmed"/>
    <m/>
    <x v="32"/>
    <x v="11"/>
    <d v="2025-12-16T00:00:00"/>
    <s v="AVSPCR"/>
    <m/>
    <m/>
    <s v="FAC00839"/>
  </r>
  <r>
    <x v="0"/>
    <x v="0"/>
    <x v="21"/>
    <x v="21"/>
    <x v="2"/>
    <x v="8"/>
    <x v="89"/>
    <x v="4"/>
    <x v="6"/>
    <s v="Confirmed"/>
    <m/>
    <x v="33"/>
    <x v="11"/>
    <d v="2025-12-16T00:00:00"/>
    <s v="AVSPCR"/>
    <m/>
    <m/>
    <s v="FAC00840"/>
  </r>
  <r>
    <x v="0"/>
    <x v="0"/>
    <x v="21"/>
    <x v="21"/>
    <x v="2"/>
    <x v="10"/>
    <x v="14"/>
    <x v="0"/>
    <x v="18"/>
    <s v="Confirmed"/>
    <n v="100"/>
    <x v="31"/>
    <x v="11"/>
    <d v="2025-12-16T00:00:00"/>
    <s v="AVSPCR"/>
    <m/>
    <m/>
    <s v="FAC00841"/>
  </r>
  <r>
    <x v="0"/>
    <x v="2"/>
    <x v="21"/>
    <x v="21"/>
    <x v="2"/>
    <x v="10"/>
    <x v="14"/>
    <x v="3"/>
    <x v="15"/>
    <s v="Confirmed"/>
    <m/>
    <x v="5"/>
    <x v="11"/>
    <d v="2025-12-16T00:00:00"/>
    <s v="AVSPCR"/>
    <m/>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842"/>
  </r>
  <r>
    <x v="0"/>
    <x v="0"/>
    <x v="21"/>
    <x v="21"/>
    <x v="2"/>
    <x v="2"/>
    <x v="97"/>
    <x v="0"/>
    <x v="18"/>
    <s v="Confirmed"/>
    <m/>
    <x v="11"/>
    <x v="11"/>
    <d v="2025-12-16T00:00:00"/>
    <s v="AVSPCR"/>
    <m/>
    <m/>
    <s v="FAC00843"/>
  </r>
  <r>
    <x v="0"/>
    <x v="2"/>
    <x v="21"/>
    <x v="21"/>
    <x v="2"/>
    <x v="2"/>
    <x v="97"/>
    <x v="5"/>
    <x v="8"/>
    <s v="Confirmed"/>
    <m/>
    <x v="5"/>
    <x v="11"/>
    <d v="2025-12-16T00:00:00"/>
    <s v="AVSPCR"/>
    <m/>
    <m/>
    <s v="FAC00844"/>
  </r>
  <r>
    <x v="1"/>
    <x v="1"/>
    <x v="21"/>
    <x v="21"/>
    <x v="2"/>
    <x v="2"/>
    <x v="97"/>
    <x v="1"/>
    <x v="7"/>
    <s v="Confirmed"/>
    <m/>
    <x v="5"/>
    <x v="11"/>
    <d v="2025-12-16T00:00:00"/>
    <s v="MFDSNW"/>
    <s v="10/09 SK: Changed to A4 due to stadium printing concept"/>
    <s v="MEO has a lot of printing requirements which enables MEO venue media team to conduct the job within their office, which is usually far away from the venue team office, sometimes even outside the stadium in SMC. "/>
    <s v="FAC00845"/>
  </r>
  <r>
    <x v="1"/>
    <x v="1"/>
    <x v="21"/>
    <x v="21"/>
    <x v="2"/>
    <x v="2"/>
    <x v="97"/>
    <x v="2"/>
    <x v="28"/>
    <s v="Confirmed"/>
    <m/>
    <x v="5"/>
    <x v="11"/>
    <d v="2025-12-16T00:00:00"/>
    <s v="AVSPCR"/>
    <m/>
    <s v="Tablet or iPad"/>
    <s v="FAC00846"/>
  </r>
  <r>
    <x v="0"/>
    <x v="0"/>
    <x v="21"/>
    <x v="21"/>
    <x v="2"/>
    <x v="10"/>
    <x v="94"/>
    <x v="0"/>
    <x v="18"/>
    <s v="Confirmed"/>
    <m/>
    <x v="8"/>
    <x v="11"/>
    <d v="2025-12-16T00:00:00"/>
    <s v="AVSPCR"/>
    <m/>
    <m/>
    <s v="FAC00847"/>
  </r>
  <r>
    <x v="0"/>
    <x v="0"/>
    <x v="21"/>
    <x v="21"/>
    <x v="2"/>
    <x v="8"/>
    <x v="90"/>
    <x v="4"/>
    <x v="6"/>
    <s v="Confirmed"/>
    <m/>
    <x v="15"/>
    <x v="11"/>
    <d v="2025-12-16T00:00:00"/>
    <s v="AVSPCR"/>
    <m/>
    <m/>
    <s v="FAC00848"/>
  </r>
  <r>
    <x v="0"/>
    <x v="0"/>
    <x v="21"/>
    <x v="21"/>
    <x v="2"/>
    <x v="8"/>
    <x v="91"/>
    <x v="4"/>
    <x v="6"/>
    <s v="Confirmed"/>
    <m/>
    <x v="15"/>
    <x v="11"/>
    <d v="2025-12-16T00:00:00"/>
    <s v="AVSPCR"/>
    <m/>
    <m/>
    <s v="FAC00849"/>
  </r>
  <r>
    <x v="0"/>
    <x v="0"/>
    <x v="21"/>
    <x v="21"/>
    <x v="5"/>
    <x v="10"/>
    <x v="95"/>
    <x v="0"/>
    <x v="18"/>
    <s v="Confirmed"/>
    <m/>
    <x v="6"/>
    <x v="11"/>
    <d v="2025-12-16T00:00:00"/>
    <s v="AVSPCR"/>
    <m/>
    <s v="Media Welcome Desk (Located in Photographers' Working Area L2)"/>
    <s v="FAC00850"/>
  </r>
  <r>
    <x v="0"/>
    <x v="0"/>
    <x v="21"/>
    <x v="21"/>
    <x v="5"/>
    <x v="10"/>
    <x v="83"/>
    <x v="0"/>
    <x v="18"/>
    <s v="Confirmed"/>
    <m/>
    <x v="14"/>
    <x v="11"/>
    <d v="2025-12-16T00:00:00"/>
    <s v="AVSPCR"/>
    <m/>
    <s v="Space TBC if OVL Tent or Aspire Ladies Hall"/>
    <s v="FAC00851"/>
  </r>
  <r>
    <x v="0"/>
    <x v="1"/>
    <x v="21"/>
    <x v="21"/>
    <x v="5"/>
    <x v="10"/>
    <x v="83"/>
    <x v="2"/>
    <x v="3"/>
    <s v="Confirmed"/>
    <m/>
    <x v="6"/>
    <x v="11"/>
    <d v="2025-12-16T00:00:00"/>
    <s v="AVSPCR"/>
    <m/>
    <s v="Space TBC if OVL Tent or Aspire Ladies Hall"/>
    <s v="FAC00852"/>
  </r>
  <r>
    <x v="0"/>
    <x v="0"/>
    <x v="21"/>
    <x v="21"/>
    <x v="5"/>
    <x v="10"/>
    <x v="84"/>
    <x v="0"/>
    <x v="18"/>
    <s v="Confirmed"/>
    <m/>
    <x v="25"/>
    <x v="11"/>
    <d v="2025-12-16T00:00:00"/>
    <s v="AVSPCR"/>
    <m/>
    <s v="Space TBC if OVL Tent or Aspire Ladies Hall"/>
    <s v="FAC00853"/>
  </r>
  <r>
    <x v="0"/>
    <x v="2"/>
    <x v="21"/>
    <x v="21"/>
    <x v="5"/>
    <x v="10"/>
    <x v="84"/>
    <x v="5"/>
    <x v="8"/>
    <s v="Confirmed"/>
    <n v="6"/>
    <x v="14"/>
    <x v="11"/>
    <d v="2025-12-16T00:00:00"/>
    <s v="AVSPCR"/>
    <m/>
    <s v="Space TBC if OVL Tent or Aspire Ladies Hall"/>
    <s v="FAC00854"/>
  </r>
  <r>
    <x v="0"/>
    <x v="0"/>
    <x v="21"/>
    <x v="21"/>
    <x v="5"/>
    <x v="10"/>
    <x v="84"/>
    <x v="4"/>
    <x v="6"/>
    <s v="Confirmed"/>
    <m/>
    <x v="26"/>
    <x v="11"/>
    <d v="2025-12-16T00:00:00"/>
    <s v="AVSPCR"/>
    <m/>
    <s v="Space TBC if OVL Tent or Aspire Ladies Hall"/>
    <s v="FAC00855"/>
  </r>
  <r>
    <x v="0"/>
    <x v="0"/>
    <x v="21"/>
    <x v="21"/>
    <x v="5"/>
    <x v="9"/>
    <x v="85"/>
    <x v="4"/>
    <x v="6"/>
    <s v="Confirmed"/>
    <n v="281"/>
    <x v="45"/>
    <x v="11"/>
    <d v="2025-12-16T00:00:00"/>
    <s v="AVSPCR"/>
    <m/>
    <m/>
    <s v="FAC00856"/>
  </r>
  <r>
    <x v="0"/>
    <x v="2"/>
    <x v="21"/>
    <x v="21"/>
    <x v="5"/>
    <x v="9"/>
    <x v="85"/>
    <x v="5"/>
    <x v="14"/>
    <s v="Confirmed"/>
    <n v="140"/>
    <x v="46"/>
    <x v="11"/>
    <d v="2025-12-16T00:00:00"/>
    <s v="AVSPCR"/>
    <s v="15.09 MI - Quantity to be finalized later"/>
    <s v="MT layout TBC  - please refer to MT layout once finalized"/>
    <s v="FAC00857"/>
  </r>
  <r>
    <x v="0"/>
    <x v="0"/>
    <x v="21"/>
    <x v="21"/>
    <x v="5"/>
    <x v="9"/>
    <x v="85"/>
    <x v="0"/>
    <x v="18"/>
    <s v="Confirmed"/>
    <m/>
    <x v="29"/>
    <x v="11"/>
    <d v="2025-12-16T00:00:00"/>
    <s v="AVSPCR"/>
    <m/>
    <m/>
    <s v="FAC00858"/>
  </r>
  <r>
    <x v="0"/>
    <x v="0"/>
    <x v="21"/>
    <x v="21"/>
    <x v="5"/>
    <x v="9"/>
    <x v="86"/>
    <x v="4"/>
    <x v="6"/>
    <s v="Confirmed"/>
    <n v="10"/>
    <x v="10"/>
    <x v="11"/>
    <d v="2025-12-16T00:00:00"/>
    <s v="AVSPCR"/>
    <m/>
    <m/>
    <s v="FAC00859"/>
  </r>
  <r>
    <x v="0"/>
    <x v="0"/>
    <x v="21"/>
    <x v="21"/>
    <x v="5"/>
    <x v="10"/>
    <x v="87"/>
    <x v="4"/>
    <x v="6"/>
    <s v="Confirmed"/>
    <n v="22"/>
    <x v="47"/>
    <x v="11"/>
    <d v="2025-12-16T00:00:00"/>
    <s v="AVSPCR"/>
    <m/>
    <s v="Located in Photographers' Working Area L2"/>
    <s v="FAC00860"/>
  </r>
  <r>
    <x v="0"/>
    <x v="0"/>
    <x v="21"/>
    <x v="21"/>
    <x v="5"/>
    <x v="10"/>
    <x v="87"/>
    <x v="0"/>
    <x v="18"/>
    <s v="Confirmed"/>
    <n v="42"/>
    <x v="31"/>
    <x v="11"/>
    <d v="2025-12-16T00:00:00"/>
    <s v="AVSPCR"/>
    <m/>
    <s v="Located in Photographers' Working Area L2"/>
    <s v="FAC00861"/>
  </r>
  <r>
    <x v="0"/>
    <x v="2"/>
    <x v="21"/>
    <x v="21"/>
    <x v="5"/>
    <x v="10"/>
    <x v="87"/>
    <x v="5"/>
    <x v="8"/>
    <s v="Confirmed"/>
    <n v="1"/>
    <x v="6"/>
    <x v="11"/>
    <d v="2025-12-16T00:00:00"/>
    <s v="AVSPCR"/>
    <m/>
    <s v="Located in Photographers' Working Area L2"/>
    <s v="FAC00862"/>
  </r>
  <r>
    <x v="0"/>
    <x v="0"/>
    <x v="21"/>
    <x v="21"/>
    <x v="5"/>
    <x v="10"/>
    <x v="88"/>
    <x v="0"/>
    <x v="18"/>
    <s v="Confirmed"/>
    <m/>
    <x v="31"/>
    <x v="11"/>
    <d v="2025-12-16T00:00:00"/>
    <s v="AVSPCR"/>
    <m/>
    <m/>
    <s v="FAC00863"/>
  </r>
  <r>
    <x v="0"/>
    <x v="0"/>
    <x v="21"/>
    <x v="21"/>
    <x v="5"/>
    <x v="8"/>
    <x v="89"/>
    <x v="0"/>
    <x v="18"/>
    <s v="Confirmed"/>
    <m/>
    <x v="32"/>
    <x v="11"/>
    <d v="2025-12-16T00:00:00"/>
    <s v="AVSPCR"/>
    <m/>
    <m/>
    <s v="FAC00864"/>
  </r>
  <r>
    <x v="0"/>
    <x v="0"/>
    <x v="21"/>
    <x v="21"/>
    <x v="5"/>
    <x v="8"/>
    <x v="89"/>
    <x v="4"/>
    <x v="6"/>
    <s v="Confirmed"/>
    <n v="108"/>
    <x v="33"/>
    <x v="11"/>
    <d v="2025-12-16T00:00:00"/>
    <s v="AVSPCR"/>
    <m/>
    <m/>
    <s v="FAC00865"/>
  </r>
  <r>
    <x v="0"/>
    <x v="0"/>
    <x v="21"/>
    <x v="21"/>
    <x v="5"/>
    <x v="8"/>
    <x v="90"/>
    <x v="4"/>
    <x v="6"/>
    <s v="Confirmed"/>
    <m/>
    <x v="15"/>
    <x v="11"/>
    <d v="2025-12-16T00:00:00"/>
    <s v="AVSPCR"/>
    <m/>
    <m/>
    <s v="FAC00866"/>
  </r>
  <r>
    <x v="0"/>
    <x v="0"/>
    <x v="21"/>
    <x v="21"/>
    <x v="5"/>
    <x v="8"/>
    <x v="91"/>
    <x v="4"/>
    <x v="6"/>
    <s v="Confirmed"/>
    <m/>
    <x v="15"/>
    <x v="11"/>
    <d v="2025-12-16T00:00:00"/>
    <s v="AVSPCR"/>
    <m/>
    <m/>
    <s v="FAC00867"/>
  </r>
  <r>
    <x v="0"/>
    <x v="0"/>
    <x v="21"/>
    <x v="21"/>
    <x v="5"/>
    <x v="10"/>
    <x v="14"/>
    <x v="0"/>
    <x v="18"/>
    <s v="Confirmed"/>
    <m/>
    <x v="31"/>
    <x v="11"/>
    <d v="2025-12-16T00:00:00"/>
    <s v="AVSPCR"/>
    <m/>
    <m/>
    <s v="FAC00868"/>
  </r>
  <r>
    <x v="0"/>
    <x v="2"/>
    <x v="21"/>
    <x v="21"/>
    <x v="5"/>
    <x v="10"/>
    <x v="14"/>
    <x v="3"/>
    <x v="15"/>
    <s v="Confirmed"/>
    <m/>
    <x v="5"/>
    <x v="11"/>
    <d v="2025-12-16T00:00:00"/>
    <s v="AVSPCR"/>
    <m/>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869"/>
  </r>
  <r>
    <x v="0"/>
    <x v="0"/>
    <x v="21"/>
    <x v="21"/>
    <x v="5"/>
    <x v="2"/>
    <x v="92"/>
    <x v="0"/>
    <x v="18"/>
    <s v="Confirmed"/>
    <m/>
    <x v="11"/>
    <x v="11"/>
    <d v="2025-12-16T00:00:00"/>
    <s v="WANMEO"/>
    <m/>
    <m/>
    <s v="FAC00870"/>
  </r>
  <r>
    <x v="0"/>
    <x v="2"/>
    <x v="21"/>
    <x v="21"/>
    <x v="5"/>
    <x v="2"/>
    <x v="92"/>
    <x v="5"/>
    <x v="8"/>
    <s v="Confirmed"/>
    <m/>
    <x v="5"/>
    <x v="11"/>
    <d v="2025-12-16T00:00:00"/>
    <s v="TVLGIP"/>
    <m/>
    <m/>
    <s v="FAC00871"/>
  </r>
  <r>
    <x v="1"/>
    <x v="1"/>
    <x v="21"/>
    <x v="21"/>
    <x v="5"/>
    <x v="2"/>
    <x v="92"/>
    <x v="1"/>
    <x v="9"/>
    <s v="Confirmed"/>
    <m/>
    <x v="5"/>
    <x v="11"/>
    <d v="2025-12-16T00:00:00"/>
    <s v="MFDSNW"/>
    <m/>
    <s v="MEO has a lot of printing requirements which enables MEO venue media team to conduct the job within their office, which is usually far away from the venue team office, sometimes even outside the stadium in SMC. "/>
    <s v="FAC00872"/>
  </r>
  <r>
    <x v="1"/>
    <x v="2"/>
    <x v="21"/>
    <x v="21"/>
    <x v="5"/>
    <x v="2"/>
    <x v="93"/>
    <x v="5"/>
    <x v="8"/>
    <s v="Canceled"/>
    <n v="1"/>
    <x v="7"/>
    <x v="11"/>
    <d v="2025-12-16T00:00:00"/>
    <s v="TVLGIP"/>
    <s v="SK 14/10: As per MEO confirmation"/>
    <m/>
    <s v="FAC00873"/>
  </r>
  <r>
    <x v="1"/>
    <x v="0"/>
    <x v="21"/>
    <x v="21"/>
    <x v="5"/>
    <x v="2"/>
    <x v="93"/>
    <x v="0"/>
    <x v="18"/>
    <s v="Canceled"/>
    <n v="4"/>
    <x v="7"/>
    <x v="11"/>
    <d v="2025-12-16T00:00:00"/>
    <s v="WANMEO"/>
    <m/>
    <m/>
    <s v="FAC00874"/>
  </r>
  <r>
    <x v="0"/>
    <x v="1"/>
    <x v="21"/>
    <x v="21"/>
    <x v="5"/>
    <x v="2"/>
    <x v="92"/>
    <x v="2"/>
    <x v="28"/>
    <s v="Confirmed"/>
    <m/>
    <x v="5"/>
    <x v="11"/>
    <d v="2025-12-16T00:00:00"/>
    <s v="EUQSPE"/>
    <m/>
    <s v="Tablet or iPad"/>
    <s v="FAC00875"/>
  </r>
  <r>
    <x v="0"/>
    <x v="0"/>
    <x v="21"/>
    <x v="21"/>
    <x v="6"/>
    <x v="5"/>
    <x v="100"/>
    <x v="0"/>
    <x v="18"/>
    <s v="Confirmed"/>
    <m/>
    <x v="21"/>
    <x v="0"/>
    <d v="2025-12-19T00:00:00"/>
    <s v="WANMEO"/>
    <m/>
    <m/>
    <s v="FAC00876"/>
  </r>
  <r>
    <x v="0"/>
    <x v="0"/>
    <x v="21"/>
    <x v="21"/>
    <x v="6"/>
    <x v="5"/>
    <x v="100"/>
    <x v="4"/>
    <x v="6"/>
    <s v="Confirmed"/>
    <n v="0"/>
    <x v="14"/>
    <x v="0"/>
    <d v="2025-12-19T00:00:00"/>
    <s v="WRDGEN"/>
    <s v="SK 14.10: Nice to have, WiFi could work as a main solution"/>
    <m/>
    <s v="FAC00877"/>
  </r>
  <r>
    <x v="0"/>
    <x v="2"/>
    <x v="21"/>
    <x v="21"/>
    <x v="6"/>
    <x v="5"/>
    <x v="100"/>
    <x v="5"/>
    <x v="8"/>
    <s v="Confirmed"/>
    <m/>
    <x v="5"/>
    <x v="0"/>
    <d v="2025-12-19T00:00:00"/>
    <s v="TVLGIP"/>
    <m/>
    <m/>
    <s v="FAC00878"/>
  </r>
  <r>
    <x v="0"/>
    <x v="0"/>
    <x v="21"/>
    <x v="21"/>
    <x v="6"/>
    <x v="5"/>
    <x v="101"/>
    <x v="0"/>
    <x v="18"/>
    <s v="Confirmed"/>
    <m/>
    <x v="21"/>
    <x v="0"/>
    <d v="2025-12-19T00:00:00"/>
    <s v="WANMEO"/>
    <m/>
    <m/>
    <s v="FAC00879"/>
  </r>
  <r>
    <x v="0"/>
    <x v="0"/>
    <x v="21"/>
    <x v="21"/>
    <x v="6"/>
    <x v="5"/>
    <x v="101"/>
    <x v="4"/>
    <x v="6"/>
    <s v="Confirmed"/>
    <m/>
    <x v="15"/>
    <x v="0"/>
    <d v="2025-12-19T00:00:00"/>
    <s v="WRDGEN"/>
    <m/>
    <m/>
    <s v="FAC00880"/>
  </r>
  <r>
    <x v="0"/>
    <x v="0"/>
    <x v="21"/>
    <x v="21"/>
    <x v="6"/>
    <x v="5"/>
    <x v="102"/>
    <x v="0"/>
    <x v="18"/>
    <s v="Confirmed"/>
    <n v="250"/>
    <x v="48"/>
    <x v="0"/>
    <d v="2025-12-19T00:00:00"/>
    <s v="WANMEO"/>
    <s v="15.09 MI - Quantity changed from 250 to 350"/>
    <m/>
    <s v="FAC00881"/>
  </r>
  <r>
    <x v="0"/>
    <x v="0"/>
    <x v="21"/>
    <x v="21"/>
    <x v="6"/>
    <x v="5"/>
    <x v="102"/>
    <x v="4"/>
    <x v="6"/>
    <s v="Confirmed"/>
    <n v="100"/>
    <x v="49"/>
    <x v="0"/>
    <d v="2025-12-19T00:00:00"/>
    <s v="WANMEO"/>
    <s v="SK 14.10: Reduced to 70 as per meeting with MEO"/>
    <m/>
    <s v="FAC00883"/>
  </r>
  <r>
    <x v="0"/>
    <x v="2"/>
    <x v="21"/>
    <x v="21"/>
    <x v="6"/>
    <x v="5"/>
    <x v="102"/>
    <x v="5"/>
    <x v="8"/>
    <s v="Confirmed"/>
    <m/>
    <x v="10"/>
    <x v="0"/>
    <d v="2025-12-19T00:00:00"/>
    <s v="TVLGIP"/>
    <m/>
    <m/>
    <s v="FAC00884"/>
  </r>
  <r>
    <x v="0"/>
    <x v="2"/>
    <x v="21"/>
    <x v="21"/>
    <x v="6"/>
    <x v="5"/>
    <x v="102"/>
    <x v="3"/>
    <x v="29"/>
    <s v="Confirmed"/>
    <m/>
    <x v="5"/>
    <x v="0"/>
    <d v="2025-12-19T00:00:00"/>
    <s v="AVRSPE"/>
    <m/>
    <s v="For match viewing area"/>
    <s v="FAC00885"/>
  </r>
  <r>
    <x v="0"/>
    <x v="2"/>
    <x v="21"/>
    <x v="21"/>
    <x v="6"/>
    <x v="5"/>
    <x v="14"/>
    <x v="3"/>
    <x v="15"/>
    <s v="Confirmed"/>
    <n v="1"/>
    <x v="5"/>
    <x v="0"/>
    <d v="2025-12-19T00:00:00"/>
    <s v="AVRSPE"/>
    <s v="15.09 MI - Quantity to be finalized later"/>
    <s v="Sound and translation system (simultaneous or remote)_x000a_5 headtable microphones_x000a_4 speakers_x000a_4 wireless microphones_x000a_100 translation devices (if simultanous interpretation solution will be used, if remote, can be removed from requirements)_x000a_3 translation booths (if simultanous interpretation solution will be used, if remote, can be removed from requirements)_x000a_Split boxes (exact requirements from BRO)"/>
    <s v="FAC00887"/>
  </r>
  <r>
    <x v="0"/>
    <x v="0"/>
    <x v="21"/>
    <x v="21"/>
    <x v="6"/>
    <x v="5"/>
    <x v="14"/>
    <x v="0"/>
    <x v="18"/>
    <s v="Confirmed"/>
    <n v="80"/>
    <x v="50"/>
    <x v="0"/>
    <d v="2025-12-19T00:00:00"/>
    <s v="WANMEO"/>
    <s v="15.09 MI - Quantity changed from 80 to 200"/>
    <m/>
    <s v="FAC00888"/>
  </r>
  <r>
    <x v="0"/>
    <x v="0"/>
    <x v="21"/>
    <x v="21"/>
    <x v="6"/>
    <x v="5"/>
    <x v="94"/>
    <x v="0"/>
    <x v="18"/>
    <s v="Confirmed"/>
    <m/>
    <x v="33"/>
    <x v="0"/>
    <d v="2025-12-19T00:00:00"/>
    <s v="WANMEO"/>
    <m/>
    <m/>
    <s v="FAC00889"/>
  </r>
  <r>
    <x v="0"/>
    <x v="2"/>
    <x v="21"/>
    <x v="21"/>
    <x v="6"/>
    <x v="5"/>
    <x v="94"/>
    <x v="5"/>
    <x v="8"/>
    <s v="Confirmed"/>
    <m/>
    <x v="11"/>
    <x v="0"/>
    <d v="2025-12-19T00:00:00"/>
    <s v="TVLGIP"/>
    <m/>
    <m/>
    <s v="FAC00890"/>
  </r>
  <r>
    <x v="0"/>
    <x v="0"/>
    <x v="21"/>
    <x v="21"/>
    <x v="6"/>
    <x v="5"/>
    <x v="96"/>
    <x v="0"/>
    <x v="18"/>
    <s v="Confirmed"/>
    <n v="15"/>
    <x v="47"/>
    <x v="0"/>
    <d v="2025-12-19T00:00:00"/>
    <s v="WANMEO"/>
    <s v="15.09 MI - Quantity changed from 15 to 30"/>
    <m/>
    <s v="FAC00891"/>
  </r>
  <r>
    <x v="1"/>
    <x v="0"/>
    <x v="21"/>
    <x v="21"/>
    <x v="6"/>
    <x v="5"/>
    <x v="96"/>
    <x v="4"/>
    <x v="6"/>
    <s v="Canceled"/>
    <n v="5"/>
    <x v="7"/>
    <x v="0"/>
    <d v="2025-12-19T00:00:00"/>
    <s v="WRDGEN"/>
    <m/>
    <m/>
    <s v="FAC00892"/>
  </r>
  <r>
    <x v="0"/>
    <x v="2"/>
    <x v="21"/>
    <x v="21"/>
    <x v="6"/>
    <x v="5"/>
    <x v="96"/>
    <x v="5"/>
    <x v="8"/>
    <s v="Confirmed"/>
    <m/>
    <x v="5"/>
    <x v="0"/>
    <d v="2025-12-19T00:00:00"/>
    <s v="TVLGIP"/>
    <m/>
    <m/>
    <s v="FAC00893"/>
  </r>
  <r>
    <x v="0"/>
    <x v="1"/>
    <x v="21"/>
    <x v="21"/>
    <x v="6"/>
    <x v="5"/>
    <x v="96"/>
    <x v="1"/>
    <x v="9"/>
    <s v="Confirmed"/>
    <m/>
    <x v="5"/>
    <x v="0"/>
    <d v="2025-12-19T00:00:00"/>
    <s v="MFDLNW"/>
    <m/>
    <s v="MEO has a lot of printing requirements which enables MEO venue media team to conduct the job within their office, which is usually far away from the venue team office, sometimes even outside the stadium in SMC. "/>
    <s v="FAC00894"/>
  </r>
  <r>
    <x v="0"/>
    <x v="0"/>
    <x v="21"/>
    <x v="21"/>
    <x v="6"/>
    <x v="5"/>
    <x v="103"/>
    <x v="0"/>
    <x v="18"/>
    <s v="Confirmed"/>
    <m/>
    <x v="21"/>
    <x v="0"/>
    <d v="2025-12-19T00:00:00"/>
    <s v="WANMEO"/>
    <m/>
    <m/>
    <s v="FAC00895"/>
  </r>
  <r>
    <x v="0"/>
    <x v="0"/>
    <x v="21"/>
    <x v="21"/>
    <x v="6"/>
    <x v="5"/>
    <x v="104"/>
    <x v="0"/>
    <x v="18"/>
    <s v="Confirmed"/>
    <m/>
    <x v="21"/>
    <x v="0"/>
    <d v="2025-12-19T00:00:00"/>
    <s v="WANMEO"/>
    <m/>
    <m/>
    <s v="FAC00896"/>
  </r>
  <r>
    <x v="0"/>
    <x v="0"/>
    <x v="21"/>
    <x v="21"/>
    <x v="6"/>
    <x v="5"/>
    <x v="105"/>
    <x v="0"/>
    <x v="18"/>
    <s v="Confirmed"/>
    <m/>
    <x v="14"/>
    <x v="0"/>
    <d v="2025-12-19T00:00:00"/>
    <s v="WANMEO"/>
    <m/>
    <m/>
    <s v="FAC00897"/>
  </r>
  <r>
    <x v="0"/>
    <x v="0"/>
    <x v="21"/>
    <x v="21"/>
    <x v="6"/>
    <x v="5"/>
    <x v="106"/>
    <x v="0"/>
    <x v="18"/>
    <s v="Confirmed"/>
    <n v="5"/>
    <x v="21"/>
    <x v="0"/>
    <d v="2025-12-19T00:00:00"/>
    <s v="WANMEO"/>
    <s v="15.09 MI - Quantity changed from 5 to 10"/>
    <m/>
    <s v="FAC00898"/>
  </r>
  <r>
    <x v="0"/>
    <x v="3"/>
    <x v="21"/>
    <x v="21"/>
    <x v="6"/>
    <x v="14"/>
    <x v="107"/>
    <x v="6"/>
    <x v="16"/>
    <s v="Confirmed"/>
    <n v="50"/>
    <x v="10"/>
    <x v="0"/>
    <d v="2025-12-19T00:00:00"/>
    <s v="WANMEO"/>
    <s v="SK 07/10: Talk to MEO te replace with limited number of MiFi as per number of open trainings._x000a_SK 14/10: Changed to MiFi devices"/>
    <s v="For each training pitch of Egla and QU (17 pitches TBC)"/>
    <s v="FAC00899"/>
  </r>
  <r>
    <x v="0"/>
    <x v="1"/>
    <x v="21"/>
    <x v="21"/>
    <x v="6"/>
    <x v="5"/>
    <x v="100"/>
    <x v="2"/>
    <x v="3"/>
    <s v="Confirmed"/>
    <n v="0"/>
    <x v="14"/>
    <x v="11"/>
    <d v="2025-12-19T00:00:00"/>
    <s v="LAPOPS"/>
    <s v="15.09 MI - Requirement not captured previously"/>
    <m/>
    <s v="FAC00900"/>
  </r>
  <r>
    <x v="0"/>
    <x v="0"/>
    <x v="20"/>
    <x v="20"/>
    <x v="5"/>
    <x v="4"/>
    <x v="108"/>
    <x v="4"/>
    <x v="30"/>
    <s v="Confirmed"/>
    <m/>
    <x v="47"/>
    <x v="27"/>
    <d v="2025-12-18T00:00:00"/>
    <m/>
    <m/>
    <s v="5 x wired connections x each STC (6) - 4 x laptops &amp; 1 x printer_x000a_EACS network - TBC, Dedicated VLAN - TBD - Internet access is required"/>
    <s v="FAC00901"/>
  </r>
  <r>
    <x v="0"/>
    <x v="0"/>
    <x v="20"/>
    <x v="20"/>
    <x v="5"/>
    <x v="4"/>
    <x v="108"/>
    <x v="0"/>
    <x v="1"/>
    <s v="Confirmed"/>
    <m/>
    <x v="15"/>
    <x v="27"/>
    <d v="2025-12-18T00:00:00"/>
    <m/>
    <m/>
    <s v="1 x wireless connection for up 10 devices x each STC (6)_x000a_EACS network - TBC, Dedicated VLAN - TBD - Internet access is required"/>
    <s v="FAC00902"/>
  </r>
  <r>
    <x v="0"/>
    <x v="1"/>
    <x v="20"/>
    <x v="20"/>
    <x v="5"/>
    <x v="4"/>
    <x v="109"/>
    <x v="1"/>
    <x v="7"/>
    <s v="Confirmed"/>
    <n v="2"/>
    <x v="5"/>
    <x v="27"/>
    <d v="2025-12-18T00:00:00"/>
    <m/>
    <s v="SK 07.09: 6 -&gt; 2; _x000a_SK 22.11: 1x Moved to storage as per Rauf email confirmation"/>
    <s v="1 x A4 printer x each STC (6)"/>
    <s v="FAC00903"/>
  </r>
  <r>
    <x v="0"/>
    <x v="3"/>
    <x v="20"/>
    <x v="20"/>
    <x v="5"/>
    <x v="4"/>
    <x v="109"/>
    <x v="6"/>
    <x v="16"/>
    <s v="To Review"/>
    <n v="6"/>
    <x v="11"/>
    <x v="27"/>
    <d v="2025-12-18T00:00:00"/>
    <m/>
    <s v="SK 22.11: Base on number of locations"/>
    <s v="1 x MIFI Router x each STC (6) - Data traffic TBC"/>
    <s v="FAC00904"/>
  </r>
  <r>
    <x v="1"/>
    <x v="1"/>
    <x v="20"/>
    <x v="20"/>
    <x v="5"/>
    <x v="4"/>
    <x v="109"/>
    <x v="2"/>
    <x v="3"/>
    <s v="Canceled"/>
    <n v="24"/>
    <x v="7"/>
    <x v="27"/>
    <d v="2025-12-18T00:00:00"/>
    <m/>
    <s v="SK 07.09: Laptops are expected to be provided by TKT SP"/>
    <s v="4 x laptops for each STC (6) - TBC with appointed Ticketing Service Provider"/>
    <s v="FAC00905"/>
  </r>
  <r>
    <x v="1"/>
    <x v="0"/>
    <x v="20"/>
    <x v="20"/>
    <x v="5"/>
    <x v="4"/>
    <x v="110"/>
    <x v="0"/>
    <x v="1"/>
    <s v="Canceled"/>
    <m/>
    <x v="7"/>
    <x v="27"/>
    <d v="2025-12-18T00:00:00"/>
    <m/>
    <s v="SK 07.09: WiFi is not feasible. To share ICT feadback 6 -&gt; 0"/>
    <s v="1 x wireless connection x each M&amp;B coverding whole entry area_x000a_Quantity of equipment to be connected - TBC_x000a_EACS network - TBC, Dedicated VLAN - TBD - Internet access is required"/>
    <s v="FAC00906"/>
  </r>
  <r>
    <x v="1"/>
    <x v="3"/>
    <x v="20"/>
    <x v="20"/>
    <x v="5"/>
    <x v="4"/>
    <x v="110"/>
    <x v="6"/>
    <x v="10"/>
    <s v="Confirmed"/>
    <m/>
    <x v="8"/>
    <x v="27"/>
    <d v="2025-12-18T00:00:00"/>
    <m/>
    <s v="SK 07.09: ICT to provide package suggestion based on match schedule."/>
    <s v="As per Hayya Requirements, number and dates"/>
    <s v="FAC00907"/>
  </r>
  <r>
    <x v="0"/>
    <x v="0"/>
    <x v="20"/>
    <x v="20"/>
    <x v="5"/>
    <x v="0"/>
    <x v="111"/>
    <x v="4"/>
    <x v="11"/>
    <s v="To Review"/>
    <m/>
    <x v="10"/>
    <x v="27"/>
    <d v="2025-12-18T00:00:00"/>
    <m/>
    <s v="SK 27.10: Should support access to TKT server"/>
    <s v="2 x wired EACS network connections per each TRP_x000a_EACS network and internet access is required"/>
    <s v="FAC00908"/>
  </r>
  <r>
    <x v="0"/>
    <x v="0"/>
    <x v="20"/>
    <x v="20"/>
    <x v="5"/>
    <x v="0"/>
    <x v="111"/>
    <x v="0"/>
    <x v="1"/>
    <s v="Confirmed"/>
    <m/>
    <x v="11"/>
    <x v="27"/>
    <d v="2025-12-18T00:00:00"/>
    <m/>
    <m/>
    <s v="1 x wireless connection for up 10 devices _x000a_EACS network - TBC, Dedicated VLAN - TBD - Internet access is required"/>
    <s v="FAC00909"/>
  </r>
  <r>
    <x v="1"/>
    <x v="3"/>
    <x v="20"/>
    <x v="20"/>
    <x v="5"/>
    <x v="0"/>
    <x v="111"/>
    <x v="6"/>
    <x v="16"/>
    <s v="Canceled"/>
    <n v="4"/>
    <x v="7"/>
    <x v="27"/>
    <d v="2025-12-18T00:00:00"/>
    <m/>
    <s v="Aligned to cancel"/>
    <s v="1 x MIFI router x each TRP"/>
    <s v="FAC00910"/>
  </r>
  <r>
    <x v="1"/>
    <x v="1"/>
    <x v="20"/>
    <x v="20"/>
    <x v="5"/>
    <x v="0"/>
    <x v="111"/>
    <x v="2"/>
    <x v="3"/>
    <s v="Canceled"/>
    <n v="8"/>
    <x v="7"/>
    <x v="27"/>
    <d v="2025-12-18T00:00:00"/>
    <s v="LAPOPS"/>
    <s v="SK 07.09: Laptops are expected to be provided by TKT SP"/>
    <s v="2 x laptops for each TRP (4) - TBC with appointed Ticketing Service Provider"/>
    <s v="FAC00911"/>
  </r>
  <r>
    <x v="1"/>
    <x v="0"/>
    <x v="20"/>
    <x v="20"/>
    <x v="5"/>
    <x v="0"/>
    <x v="112"/>
    <x v="0"/>
    <x v="1"/>
    <s v="Canceled"/>
    <n v="1"/>
    <x v="7"/>
    <x v="27"/>
    <d v="2025-12-18T00:00:00"/>
    <m/>
    <s v="SK 7.09: Not in ICT scope., Aspire has to provide it as part of Turnstile infra solution"/>
    <s v="Certain gates located on the inner perimeter will need to be covered with wireless connection to support PDA scanners with access to the EACS network. Specific gates TBC"/>
    <s v="FAC00912"/>
  </r>
  <r>
    <x v="1"/>
    <x v="0"/>
    <x v="20"/>
    <x v="20"/>
    <x v="5"/>
    <x v="2"/>
    <x v="113"/>
    <x v="0"/>
    <x v="1"/>
    <s v="Canceled"/>
    <n v="1"/>
    <x v="7"/>
    <x v="27"/>
    <d v="2025-12-18T00:00:00"/>
    <m/>
    <m/>
    <s v="Venue Ticketing Office - TBC_x000a_1 x wireless connection for up 15 devices _x000a_EACS network - TBC, Dedicated VLAN - TBD - Internet access is required"/>
    <s v="FAC00913"/>
  </r>
  <r>
    <x v="1"/>
    <x v="0"/>
    <x v="20"/>
    <x v="20"/>
    <x v="5"/>
    <x v="2"/>
    <x v="113"/>
    <x v="4"/>
    <x v="11"/>
    <s v="Canceled"/>
    <m/>
    <x v="7"/>
    <x v="28"/>
    <d v="2025-12-18T00:00:00"/>
    <m/>
    <s v="SK 07.09: Canceled"/>
    <s v="Venue Ticketing Office - TBC_x000a_6 x wired connections for 5 x laptops &amp; 1 x printer_x000a_EACS network - TBC, Dedicated VLAN - TBD - internet access is required"/>
    <s v="FAC00914"/>
  </r>
  <r>
    <x v="1"/>
    <x v="1"/>
    <x v="20"/>
    <x v="20"/>
    <x v="5"/>
    <x v="2"/>
    <x v="113"/>
    <x v="1"/>
    <x v="9"/>
    <s v="Canceled"/>
    <m/>
    <x v="7"/>
    <x v="28"/>
    <d v="2025-12-18T00:00:00"/>
    <m/>
    <s v="SK 07/09: General Office printer to be used"/>
    <s v="Venue Ticketing Office - TBC_x000a_1 x A3 printer"/>
    <s v="FAC00915"/>
  </r>
  <r>
    <x v="1"/>
    <x v="2"/>
    <x v="20"/>
    <x v="20"/>
    <x v="5"/>
    <x v="2"/>
    <x v="113"/>
    <x v="3"/>
    <x v="5"/>
    <s v="Canceled"/>
    <n v="1"/>
    <x v="7"/>
    <x v="28"/>
    <d v="2025-12-18T00:00:00"/>
    <m/>
    <s v="SK 27.10: Based on call with Rauf"/>
    <s v="Venue Ticketing Office - TBC_x000a_1 x TV with HDMI"/>
    <s v="FAC00916"/>
  </r>
  <r>
    <x v="1"/>
    <x v="0"/>
    <x v="20"/>
    <x v="20"/>
    <x v="5"/>
    <x v="2"/>
    <x v="114"/>
    <x v="4"/>
    <x v="11"/>
    <s v="Canceled"/>
    <m/>
    <x v="7"/>
    <x v="27"/>
    <d v="2025-12-18T00:00:00"/>
    <m/>
    <s v="SK 07.09: Canceled"/>
    <s v="Venue EACS office_x000a_3 x wired connections for  2 x workstations/laptops, 1 x printer _x000a_EACS network - TBC, Dedicated VLAN - TBD - Internet access is required"/>
    <s v="FAC00917"/>
  </r>
  <r>
    <x v="0"/>
    <x v="0"/>
    <x v="20"/>
    <x v="20"/>
    <x v="5"/>
    <x v="2"/>
    <x v="114"/>
    <x v="0"/>
    <x v="1"/>
    <s v="Confirmed"/>
    <m/>
    <x v="5"/>
    <x v="27"/>
    <d v="2025-12-18T00:00:00"/>
    <m/>
    <m/>
    <s v="Venue EACS office_x000a_1 x wireless connection for up to 20 devices_x000a_EACS network - TBC, Dedicated VLAN - TBD - Internet access is required"/>
    <s v="FAC00918"/>
  </r>
  <r>
    <x v="1"/>
    <x v="1"/>
    <x v="20"/>
    <x v="20"/>
    <x v="5"/>
    <x v="2"/>
    <x v="114"/>
    <x v="1"/>
    <x v="7"/>
    <s v="Canceled"/>
    <m/>
    <x v="7"/>
    <x v="27"/>
    <d v="2025-12-18T00:00:00"/>
    <m/>
    <s v="SK 07.09: Not required"/>
    <s v="Venue EACS office_x000a_1 x A4 printer"/>
    <s v="FAC00919"/>
  </r>
  <r>
    <x v="0"/>
    <x v="0"/>
    <x v="20"/>
    <x v="20"/>
    <x v="5"/>
    <x v="2"/>
    <x v="115"/>
    <x v="4"/>
    <x v="11"/>
    <s v="Confirmed"/>
    <m/>
    <x v="6"/>
    <x v="0"/>
    <d v="2025-12-18T00:00:00"/>
    <m/>
    <s v="SK 22.11: EACS VLAN for monitoring"/>
    <s v="2 x wired ports for 2 x laptops_x000a_EACS network - TBC, Dedicated VLAN - TBD"/>
    <s v="FAC00920"/>
  </r>
  <r>
    <x v="1"/>
    <x v="1"/>
    <x v="20"/>
    <x v="20"/>
    <x v="5"/>
    <x v="2"/>
    <x v="115"/>
    <x v="2"/>
    <x v="3"/>
    <s v="Confirmed"/>
    <n v="2"/>
    <x v="5"/>
    <x v="0"/>
    <d v="2025-12-18T00:00:00"/>
    <m/>
    <s v="SK 07.09: Laptoips for monitoring_x000a_SK 22.11: Reduced per Rauf Confirmation via email"/>
    <s v="2 x laptops to provide entry statistics (main and secondary)"/>
    <s v="FAC00921"/>
  </r>
  <r>
    <x v="0"/>
    <x v="2"/>
    <x v="22"/>
    <x v="22"/>
    <x v="5"/>
    <x v="2"/>
    <x v="116"/>
    <x v="3"/>
    <x v="5"/>
    <s v="Confirmed"/>
    <m/>
    <x v="5"/>
    <x v="0"/>
    <d v="2025-12-18T00:00:00"/>
    <m/>
    <s v="SK 22.11: Moved from TKT to ICT Storage as per Rauf email"/>
    <s v="1 x TV with HDMI (TBC - in case is not available in VOC)"/>
    <s v="FAC00922"/>
  </r>
  <r>
    <x v="0"/>
    <x v="0"/>
    <x v="20"/>
    <x v="20"/>
    <x v="0"/>
    <x v="4"/>
    <x v="117"/>
    <x v="4"/>
    <x v="30"/>
    <s v="To Validate"/>
    <m/>
    <x v="10"/>
    <x v="27"/>
    <d v="2025-12-18T00:00:00"/>
    <m/>
    <s v="SK 22.11: Check service availability"/>
    <s v="5 x wired connections x each STC (6) - 4 x laptops &amp; 1 x printer_x000a_EACS network - TBC, Dedicated VLAN - TBD - Internet access is required"/>
    <s v="FAC00923"/>
  </r>
  <r>
    <x v="0"/>
    <x v="0"/>
    <x v="20"/>
    <x v="20"/>
    <x v="0"/>
    <x v="4"/>
    <x v="117"/>
    <x v="0"/>
    <x v="1"/>
    <s v="To Validate"/>
    <m/>
    <x v="6"/>
    <x v="27"/>
    <d v="2025-12-18T00:00:00"/>
    <m/>
    <s v="SK 22.11: Check service availability"/>
    <s v="1 x wireless connection for up 10 devices x each STC (6)_x000a_EACS network - TBC, Dedicated VLAN - TBD - Internet access is required"/>
    <s v="FAC00924"/>
  </r>
  <r>
    <x v="0"/>
    <x v="1"/>
    <x v="20"/>
    <x v="20"/>
    <x v="0"/>
    <x v="4"/>
    <x v="118"/>
    <x v="1"/>
    <x v="7"/>
    <s v="Confirmed"/>
    <n v="2"/>
    <x v="5"/>
    <x v="27"/>
    <d v="2025-12-18T00:00:00"/>
    <m/>
    <s v="SK 07.09: 6 -&gt; 2; _x000a_SK 22.11: 1x Moved to storage as per Rauf email confirmation"/>
    <s v="1 x A4 printer x each STC (6)"/>
    <s v="FAC00925"/>
  </r>
  <r>
    <x v="0"/>
    <x v="3"/>
    <x v="20"/>
    <x v="20"/>
    <x v="0"/>
    <x v="4"/>
    <x v="118"/>
    <x v="6"/>
    <x v="16"/>
    <s v="To Review"/>
    <n v="8"/>
    <x v="14"/>
    <x v="27"/>
    <d v="2025-12-18T00:00:00"/>
    <m/>
    <s v="SK 22.11: Base on number of locations"/>
    <s v="1 x MIFI Router x each STC (6) - Data traffic TBC"/>
    <s v="FAC00926"/>
  </r>
  <r>
    <x v="1"/>
    <x v="1"/>
    <x v="20"/>
    <x v="20"/>
    <x v="0"/>
    <x v="4"/>
    <x v="118"/>
    <x v="2"/>
    <x v="3"/>
    <s v="Canceled"/>
    <n v="32"/>
    <x v="7"/>
    <x v="27"/>
    <d v="2025-12-18T00:00:00"/>
    <m/>
    <s v="SK 07.09: Laptops are expected to be provided by TKT SP"/>
    <s v="4 x laptops for each STC (8) - TBC with appointed Ticketing Service Provider"/>
    <s v="FAC00927"/>
  </r>
  <r>
    <x v="1"/>
    <x v="0"/>
    <x v="20"/>
    <x v="20"/>
    <x v="0"/>
    <x v="4"/>
    <x v="119"/>
    <x v="0"/>
    <x v="1"/>
    <s v="Canceled"/>
    <m/>
    <x v="7"/>
    <x v="27"/>
    <d v="2025-12-18T00:00:00"/>
    <m/>
    <s v="SK 07.09: WiFi is not feasible. To share ICT feadback 10  -&gt; 0"/>
    <s v="1 x wireless connection x each M&amp;B coverding whole entry area_x000a_Quantity of equipment to be connected - TBC_x000a_EACS network - TBC, Dedicated VLAN - TBD - Internet access is required"/>
    <s v="FAC00928"/>
  </r>
  <r>
    <x v="1"/>
    <x v="3"/>
    <x v="20"/>
    <x v="20"/>
    <x v="0"/>
    <x v="4"/>
    <x v="119"/>
    <x v="6"/>
    <x v="10"/>
    <s v="Confirmed"/>
    <m/>
    <x v="51"/>
    <x v="27"/>
    <d v="2025-12-18T00:00:00"/>
    <m/>
    <s v="SK 07.09: ICT to provide package suggestion based on match schedule."/>
    <s v="TBC - Depending on company appointed for access control_x000a_1 x SIM with data x each PDA scanner (Q-ty TBC)"/>
    <s v="FAC00929"/>
  </r>
  <r>
    <x v="0"/>
    <x v="0"/>
    <x v="20"/>
    <x v="20"/>
    <x v="0"/>
    <x v="0"/>
    <x v="120"/>
    <x v="4"/>
    <x v="11"/>
    <s v="To Review"/>
    <m/>
    <x v="52"/>
    <x v="27"/>
    <d v="2025-12-18T00:00:00"/>
    <m/>
    <s v="SK 27.10: Should support access to TKT server"/>
    <s v="2 x wired EACS network connections per each TRP_x000a_EACS network and internet access is required"/>
    <s v="FAC00930"/>
  </r>
  <r>
    <x v="0"/>
    <x v="0"/>
    <x v="20"/>
    <x v="20"/>
    <x v="0"/>
    <x v="0"/>
    <x v="120"/>
    <x v="0"/>
    <x v="1"/>
    <s v="Confirmed"/>
    <m/>
    <x v="15"/>
    <x v="27"/>
    <d v="2025-12-18T00:00:00"/>
    <m/>
    <m/>
    <s v="1 x wireless connection for up 10 devices _x000a_EACS network - TBC, Dedicated VLAN - TBD - Internet access is required"/>
    <s v="FAC00931"/>
  </r>
  <r>
    <x v="1"/>
    <x v="3"/>
    <x v="20"/>
    <x v="20"/>
    <x v="0"/>
    <x v="0"/>
    <x v="120"/>
    <x v="6"/>
    <x v="16"/>
    <s v="Canceled"/>
    <n v="6"/>
    <x v="7"/>
    <x v="27"/>
    <d v="2025-12-18T00:00:00"/>
    <m/>
    <s v="Aligned to cancel"/>
    <s v="1 x MIFI router x each TRP"/>
    <s v="FAC00932"/>
  </r>
  <r>
    <x v="1"/>
    <x v="1"/>
    <x v="20"/>
    <x v="20"/>
    <x v="0"/>
    <x v="0"/>
    <x v="120"/>
    <x v="2"/>
    <x v="3"/>
    <s v="Canceled"/>
    <n v="12"/>
    <x v="7"/>
    <x v="27"/>
    <d v="2025-12-18T00:00:00"/>
    <s v="LAPOPS"/>
    <s v="SK 07.09: Laptops are expected to be provided by TKT SP"/>
    <s v="2 x laptops for each TRP (6) - TBC with appointed Ticketing Service Provider"/>
    <s v="FAC00933"/>
  </r>
  <r>
    <x v="1"/>
    <x v="0"/>
    <x v="20"/>
    <x v="20"/>
    <x v="0"/>
    <x v="0"/>
    <x v="112"/>
    <x v="0"/>
    <x v="1"/>
    <s v="Canceled"/>
    <n v="1"/>
    <x v="7"/>
    <x v="27"/>
    <d v="2025-12-18T00:00:00"/>
    <m/>
    <s v="SK 7.09: Not in ICT scope., Aspire has to provide it as part of Turnstile infra solution"/>
    <s v="Certain gates located on the inner perimeter will need to be covered with wireless connection to support PDA scanners with access to the EACS network. Specific gates TBC"/>
    <s v="FAC00934"/>
  </r>
  <r>
    <x v="1"/>
    <x v="0"/>
    <x v="20"/>
    <x v="20"/>
    <x v="0"/>
    <x v="2"/>
    <x v="113"/>
    <x v="0"/>
    <x v="1"/>
    <s v="Canceled"/>
    <n v="1"/>
    <x v="7"/>
    <x v="27"/>
    <d v="2025-12-18T00:00:00"/>
    <m/>
    <m/>
    <s v="Venue Ticketing Office - TBC_x000a_1 x wireless connection for up 15 devices _x000a_EACS network - TBC, Dedicated VLAN - TBD - Internet access is required"/>
    <s v="FAC00935"/>
  </r>
  <r>
    <x v="1"/>
    <x v="0"/>
    <x v="20"/>
    <x v="20"/>
    <x v="0"/>
    <x v="2"/>
    <x v="113"/>
    <x v="4"/>
    <x v="11"/>
    <s v="Canceled"/>
    <m/>
    <x v="7"/>
    <x v="28"/>
    <d v="2025-12-18T00:00:00"/>
    <m/>
    <s v="SK 07.09: Canceled"/>
    <s v="Venue Ticketing Office - TBC_x000a_6 x wired connections for 5 x laptops &amp; 1 x printer_x000a_EACS network - TBC, Dedicated VLAN - TBD - internet access is required"/>
    <s v="FAC00936"/>
  </r>
  <r>
    <x v="1"/>
    <x v="1"/>
    <x v="20"/>
    <x v="20"/>
    <x v="0"/>
    <x v="2"/>
    <x v="113"/>
    <x v="1"/>
    <x v="9"/>
    <s v="Canceled"/>
    <m/>
    <x v="7"/>
    <x v="28"/>
    <d v="2025-12-18T00:00:00"/>
    <m/>
    <s v="SK 07/09: General Office printer to be used"/>
    <s v="Venue Ticketing Office - TBC_x000a_1 x A3 printer"/>
    <s v="FAC00937"/>
  </r>
  <r>
    <x v="1"/>
    <x v="2"/>
    <x v="20"/>
    <x v="20"/>
    <x v="0"/>
    <x v="2"/>
    <x v="113"/>
    <x v="3"/>
    <x v="5"/>
    <s v="Canceled"/>
    <n v="1"/>
    <x v="7"/>
    <x v="28"/>
    <d v="2025-12-18T00:00:00"/>
    <m/>
    <s v="SK 27.10: Based on call with Rauf"/>
    <s v="Venue Ticketing Office - TBC_x000a_1 x TV with HDMI"/>
    <s v="FAC00938"/>
  </r>
  <r>
    <x v="1"/>
    <x v="0"/>
    <x v="20"/>
    <x v="20"/>
    <x v="0"/>
    <x v="2"/>
    <x v="114"/>
    <x v="4"/>
    <x v="11"/>
    <s v="Canceled"/>
    <m/>
    <x v="7"/>
    <x v="27"/>
    <d v="2025-12-18T00:00:00"/>
    <m/>
    <s v="SK 07.09: Canceled"/>
    <s v="Venue EACS office_x000a_3 x wired connections for  2 x workstations/laptops, 1 x printer _x000a_EACS network - TBC, Dedicated VLAN - TBD - Internet access is required"/>
    <s v="FAC00939"/>
  </r>
  <r>
    <x v="0"/>
    <x v="0"/>
    <x v="20"/>
    <x v="20"/>
    <x v="0"/>
    <x v="2"/>
    <x v="114"/>
    <x v="0"/>
    <x v="1"/>
    <s v="Confirmed"/>
    <m/>
    <x v="5"/>
    <x v="27"/>
    <d v="2025-12-18T00:00:00"/>
    <m/>
    <m/>
    <s v="Venue EACS office_x000a_1 x wireless connection for up to 20 devices_x000a_EACS network - TBC, Dedicated VLAN - TBD - Internet access is required"/>
    <s v="FAC00940"/>
  </r>
  <r>
    <x v="1"/>
    <x v="1"/>
    <x v="20"/>
    <x v="20"/>
    <x v="0"/>
    <x v="2"/>
    <x v="114"/>
    <x v="1"/>
    <x v="7"/>
    <s v="Canceled"/>
    <m/>
    <x v="7"/>
    <x v="27"/>
    <d v="2025-12-18T00:00:00"/>
    <m/>
    <s v="SK 07.09: Not required"/>
    <s v="Venue EACS office_x000a_1 x A4 printer"/>
    <s v="FAC00941"/>
  </r>
  <r>
    <x v="0"/>
    <x v="0"/>
    <x v="20"/>
    <x v="20"/>
    <x v="0"/>
    <x v="2"/>
    <x v="115"/>
    <x v="4"/>
    <x v="11"/>
    <s v="Confirmed"/>
    <m/>
    <x v="6"/>
    <x v="0"/>
    <d v="2025-12-18T00:00:00"/>
    <m/>
    <s v="SK 22.11: EACS VLAN for monitoring"/>
    <s v="2 x wired ports for 2 x laptops_x000a_EACS network - TBC, Dedicated VLAN - TBD"/>
    <s v="FAC00942"/>
  </r>
  <r>
    <x v="1"/>
    <x v="1"/>
    <x v="20"/>
    <x v="20"/>
    <x v="0"/>
    <x v="2"/>
    <x v="115"/>
    <x v="2"/>
    <x v="3"/>
    <s v="Confirmed"/>
    <n v="2"/>
    <x v="5"/>
    <x v="0"/>
    <d v="2025-12-18T00:00:00"/>
    <m/>
    <s v="SK 07.09: Laptoips for monitoring_x000a_SK 22.11: Reduced per Rauf Confirmation via email"/>
    <s v="2 x laptops to provide entry statistics (main and secondary)"/>
    <s v="FAC00943"/>
  </r>
  <r>
    <x v="1"/>
    <x v="2"/>
    <x v="20"/>
    <x v="20"/>
    <x v="0"/>
    <x v="2"/>
    <x v="115"/>
    <x v="3"/>
    <x v="5"/>
    <s v="Confirmed"/>
    <m/>
    <x v="5"/>
    <x v="0"/>
    <d v="2025-12-18T00:00:00"/>
    <m/>
    <s v="SK 07.09: Based on stadium needs"/>
    <s v="1 x TV with HDMI (TBC - in case is not available in VOC)"/>
    <s v="FAC00944"/>
  </r>
  <r>
    <x v="0"/>
    <x v="0"/>
    <x v="20"/>
    <x v="20"/>
    <x v="1"/>
    <x v="4"/>
    <x v="108"/>
    <x v="4"/>
    <x v="30"/>
    <s v="To Validate"/>
    <m/>
    <x v="11"/>
    <x v="27"/>
    <d v="2025-12-15T00:00:00"/>
    <m/>
    <s v="SK 22.11: Check service availability"/>
    <s v="5 x wired connections x each STC (6) - 4 x laptops &amp; 1 x printer_x000a_EACS network - TBC, Dedicated VLAN - TBD - Internet access is required"/>
    <s v="FAC00945"/>
  </r>
  <r>
    <x v="0"/>
    <x v="0"/>
    <x v="20"/>
    <x v="20"/>
    <x v="1"/>
    <x v="4"/>
    <x v="108"/>
    <x v="0"/>
    <x v="1"/>
    <s v="To Validate"/>
    <m/>
    <x v="5"/>
    <x v="27"/>
    <d v="2025-12-15T00:00:00"/>
    <m/>
    <s v="SK 22.11: Check service availability"/>
    <s v="1 x wireless connection for up 10 devices x each STC (6)_x000a_EACS network - TBC, Dedicated VLAN - TBD - Internet access is required"/>
    <s v="FAC00946"/>
  </r>
  <r>
    <x v="0"/>
    <x v="1"/>
    <x v="20"/>
    <x v="20"/>
    <x v="1"/>
    <x v="4"/>
    <x v="118"/>
    <x v="1"/>
    <x v="7"/>
    <s v="Confirmed"/>
    <n v="2"/>
    <x v="5"/>
    <x v="27"/>
    <d v="2025-12-15T00:00:00"/>
    <m/>
    <s v="SK 07.09: 6 -&gt; 2; _x000a_SK 22.11: 1x Moved to storage as per Rauf email confirmation"/>
    <s v="1 x A4 printer x each STC (6)"/>
    <s v="FAC00947"/>
  </r>
  <r>
    <x v="0"/>
    <x v="3"/>
    <x v="20"/>
    <x v="20"/>
    <x v="1"/>
    <x v="4"/>
    <x v="118"/>
    <x v="6"/>
    <x v="16"/>
    <s v="To Review"/>
    <n v="8"/>
    <x v="14"/>
    <x v="27"/>
    <d v="2025-12-15T00:00:00"/>
    <m/>
    <s v="SK 22.11: Base on number of locations"/>
    <s v="1 x MIFI Router x each STC (6) - Data traffic TBC"/>
    <s v="FAC00948"/>
  </r>
  <r>
    <x v="1"/>
    <x v="1"/>
    <x v="20"/>
    <x v="20"/>
    <x v="1"/>
    <x v="4"/>
    <x v="118"/>
    <x v="2"/>
    <x v="3"/>
    <s v="Canceled"/>
    <n v="32"/>
    <x v="7"/>
    <x v="27"/>
    <d v="2025-12-15T00:00:00"/>
    <m/>
    <s v="SK 07.09: Laptops are expected to be provided by TKT SP"/>
    <s v="4 x laptops for each STC (8) - TBC with appointed Ticketing Service Provider"/>
    <s v="FAC00949"/>
  </r>
  <r>
    <x v="1"/>
    <x v="0"/>
    <x v="20"/>
    <x v="20"/>
    <x v="1"/>
    <x v="4"/>
    <x v="121"/>
    <x v="0"/>
    <x v="1"/>
    <s v="Canceled"/>
    <m/>
    <x v="7"/>
    <x v="27"/>
    <d v="2025-12-15T00:00:00"/>
    <m/>
    <s v="SK 07.09: WiFi is not feasible. To share ICT feadback 15  -&gt; 0"/>
    <s v="1 x wireless connection x each M&amp;B coverding whole entry area_x000a_Quantity of equipment to be connected - TBC_x000a_EACS network - TBC, Dedicated VLAN - TBD - Internet access is required"/>
    <s v="FAC00950"/>
  </r>
  <r>
    <x v="1"/>
    <x v="3"/>
    <x v="20"/>
    <x v="20"/>
    <x v="1"/>
    <x v="4"/>
    <x v="121"/>
    <x v="6"/>
    <x v="10"/>
    <s v="Confirmed"/>
    <m/>
    <x v="53"/>
    <x v="27"/>
    <d v="2025-12-15T00:00:00"/>
    <m/>
    <s v="SK 07.09: ICT to provide package suggestion based on match schedule."/>
    <s v="TBC - Depending on company appointed for access control_x000a_1 x SIM with data x each PDA scanner (Q-ty TBC)"/>
    <s v="FAC00951"/>
  </r>
  <r>
    <x v="0"/>
    <x v="0"/>
    <x v="20"/>
    <x v="20"/>
    <x v="1"/>
    <x v="0"/>
    <x v="120"/>
    <x v="4"/>
    <x v="11"/>
    <s v="To Review"/>
    <m/>
    <x v="52"/>
    <x v="27"/>
    <d v="2025-12-15T00:00:00"/>
    <m/>
    <s v="SK 27.10: Should support access to TKT server"/>
    <s v="2 x wired EACS network connections per each TRP_x000a_EACS network and internet access is required"/>
    <s v="FAC00952"/>
  </r>
  <r>
    <x v="0"/>
    <x v="0"/>
    <x v="20"/>
    <x v="20"/>
    <x v="1"/>
    <x v="0"/>
    <x v="120"/>
    <x v="0"/>
    <x v="1"/>
    <s v="Confirmed"/>
    <m/>
    <x v="15"/>
    <x v="27"/>
    <d v="2025-12-15T00:00:00"/>
    <m/>
    <m/>
    <s v="1 x wireless connection for up 10 devices _x000a_EACS network - TBC, Dedicated VLAN - TBD - Internet access is required"/>
    <s v="FAC00953"/>
  </r>
  <r>
    <x v="1"/>
    <x v="3"/>
    <x v="20"/>
    <x v="20"/>
    <x v="1"/>
    <x v="0"/>
    <x v="120"/>
    <x v="6"/>
    <x v="16"/>
    <s v="Canceled"/>
    <n v="6"/>
    <x v="7"/>
    <x v="27"/>
    <d v="2025-12-15T00:00:00"/>
    <m/>
    <s v="Aligned to cancel"/>
    <s v="1 x MIFI router x each TRP"/>
    <s v="FAC00954"/>
  </r>
  <r>
    <x v="1"/>
    <x v="1"/>
    <x v="20"/>
    <x v="20"/>
    <x v="1"/>
    <x v="0"/>
    <x v="120"/>
    <x v="2"/>
    <x v="3"/>
    <s v="Canceled"/>
    <n v="12"/>
    <x v="7"/>
    <x v="27"/>
    <d v="2025-12-15T00:00:00"/>
    <s v="LAPOPS"/>
    <s v="SK 07.09: Laptops are expected to be provided by TKT SP"/>
    <s v="2 x laptops for each TRP (6) - TBC with appointed Ticketing Service Provider"/>
    <s v="FAC00955"/>
  </r>
  <r>
    <x v="1"/>
    <x v="0"/>
    <x v="20"/>
    <x v="20"/>
    <x v="1"/>
    <x v="0"/>
    <x v="112"/>
    <x v="0"/>
    <x v="1"/>
    <s v="Canceled"/>
    <n v="1"/>
    <x v="7"/>
    <x v="27"/>
    <d v="2025-12-15T00:00:00"/>
    <m/>
    <s v="SK 7.09: Not in ICT scope., Aspire has to provide it as part of Turnstile infra solution"/>
    <s v="Certain gates located on the inner perimeter will need to be covered with wireless connection to support PDA scanners with access to the EACS network. Specific gates TBC"/>
    <s v="FAC00956"/>
  </r>
  <r>
    <x v="1"/>
    <x v="0"/>
    <x v="20"/>
    <x v="20"/>
    <x v="1"/>
    <x v="2"/>
    <x v="113"/>
    <x v="0"/>
    <x v="1"/>
    <s v="Canceled"/>
    <n v="1"/>
    <x v="7"/>
    <x v="27"/>
    <d v="2025-12-15T00:00:00"/>
    <m/>
    <m/>
    <s v="Venue Ticketing Office - TBC_x000a_1 x wireless connection for up 15 devices _x000a_EACS network - TBC, Dedicated VLAN - TBD - Internet access is required"/>
    <s v="FAC00957"/>
  </r>
  <r>
    <x v="1"/>
    <x v="0"/>
    <x v="20"/>
    <x v="20"/>
    <x v="1"/>
    <x v="2"/>
    <x v="113"/>
    <x v="4"/>
    <x v="11"/>
    <s v="Canceled"/>
    <m/>
    <x v="7"/>
    <x v="28"/>
    <d v="2025-12-15T00:00:00"/>
    <m/>
    <s v="SK 07.09: Canceled"/>
    <s v="Venue Ticketing Office - TBC_x000a_6 x wired connections for 5 x laptops &amp; 1 x printer_x000a_EACS network - TBC, Dedicated VLAN - TBD - internet access is required"/>
    <s v="FAC00958"/>
  </r>
  <r>
    <x v="1"/>
    <x v="1"/>
    <x v="20"/>
    <x v="20"/>
    <x v="1"/>
    <x v="2"/>
    <x v="113"/>
    <x v="1"/>
    <x v="9"/>
    <s v="Canceled"/>
    <m/>
    <x v="7"/>
    <x v="28"/>
    <d v="2025-12-15T00:00:00"/>
    <m/>
    <s v="SK 07/09: General Office printer to be used"/>
    <s v="Venue Ticketing Office - TBC_x000a_1 x A3 printer"/>
    <s v="FAC00959"/>
  </r>
  <r>
    <x v="1"/>
    <x v="2"/>
    <x v="20"/>
    <x v="20"/>
    <x v="1"/>
    <x v="2"/>
    <x v="113"/>
    <x v="3"/>
    <x v="5"/>
    <s v="Canceled"/>
    <n v="1"/>
    <x v="7"/>
    <x v="28"/>
    <d v="2025-12-15T00:00:00"/>
    <m/>
    <s v="SK 27.10: Based on call with Rauf"/>
    <s v="Venue Ticketing Office - TBC_x000a_1 x TV with HDMI"/>
    <s v="FAC00960"/>
  </r>
  <r>
    <x v="1"/>
    <x v="0"/>
    <x v="20"/>
    <x v="20"/>
    <x v="1"/>
    <x v="2"/>
    <x v="114"/>
    <x v="4"/>
    <x v="11"/>
    <s v="Canceled"/>
    <m/>
    <x v="7"/>
    <x v="27"/>
    <d v="2025-12-15T00:00:00"/>
    <m/>
    <s v="SK 07.09: Canceled"/>
    <s v="Venue EACS office_x000a_3 x wired connections for  2 x workstations/laptops, 1 x printer _x000a_EACS network - TBC, Dedicated VLAN - TBD - Internet access is required"/>
    <s v="FAC00961"/>
  </r>
  <r>
    <x v="0"/>
    <x v="0"/>
    <x v="20"/>
    <x v="20"/>
    <x v="1"/>
    <x v="2"/>
    <x v="114"/>
    <x v="0"/>
    <x v="1"/>
    <s v="Confirmed"/>
    <m/>
    <x v="5"/>
    <x v="27"/>
    <d v="2025-12-15T00:00:00"/>
    <m/>
    <m/>
    <s v="Venue EACS office_x000a_1 x wireless connection for up to 20 devices_x000a_EACS network - TBC, Dedicated VLAN - TBD - Internet access is required"/>
    <s v="FAC00962"/>
  </r>
  <r>
    <x v="1"/>
    <x v="1"/>
    <x v="20"/>
    <x v="20"/>
    <x v="1"/>
    <x v="2"/>
    <x v="114"/>
    <x v="1"/>
    <x v="7"/>
    <s v="Canceled"/>
    <m/>
    <x v="7"/>
    <x v="27"/>
    <d v="2025-12-15T00:00:00"/>
    <m/>
    <s v="SK 07.09: Not required"/>
    <s v="Venue EACS office_x000a_1 x A4 printer"/>
    <s v="FAC00963"/>
  </r>
  <r>
    <x v="0"/>
    <x v="0"/>
    <x v="20"/>
    <x v="20"/>
    <x v="1"/>
    <x v="2"/>
    <x v="115"/>
    <x v="4"/>
    <x v="11"/>
    <s v="Confirmed"/>
    <m/>
    <x v="6"/>
    <x v="0"/>
    <d v="2025-12-15T00:00:00"/>
    <m/>
    <s v="SK 22.11: EACS VLAN for monitoring"/>
    <s v="2 x wired ports for 2 x laptops_x000a_EACS network - TBC, Dedicated VLAN - TBD"/>
    <s v="FAC00964"/>
  </r>
  <r>
    <x v="1"/>
    <x v="1"/>
    <x v="20"/>
    <x v="20"/>
    <x v="1"/>
    <x v="2"/>
    <x v="115"/>
    <x v="2"/>
    <x v="3"/>
    <s v="Confirmed"/>
    <n v="2"/>
    <x v="5"/>
    <x v="0"/>
    <d v="2025-12-15T00:00:00"/>
    <m/>
    <s v="SK 07.09: Laptoips for monitoring_x000a_SK 22.11: Reduced per Rauf Confirmation via email"/>
    <s v="2 x laptops to provide entry statistics (main and secondary)"/>
    <s v="FAC00965"/>
  </r>
  <r>
    <x v="0"/>
    <x v="2"/>
    <x v="20"/>
    <x v="20"/>
    <x v="1"/>
    <x v="2"/>
    <x v="115"/>
    <x v="3"/>
    <x v="5"/>
    <s v="Confirmed"/>
    <m/>
    <x v="5"/>
    <x v="0"/>
    <d v="2025-12-15T00:00:00"/>
    <m/>
    <s v="SK 07.09: Based on stadium needs"/>
    <s v="1 x TV with HDMI (TBC - in case is not available in VOC)"/>
    <s v="FAC00966"/>
  </r>
  <r>
    <x v="0"/>
    <x v="0"/>
    <x v="20"/>
    <x v="20"/>
    <x v="3"/>
    <x v="4"/>
    <x v="108"/>
    <x v="4"/>
    <x v="30"/>
    <s v="Confirmed"/>
    <m/>
    <x v="11"/>
    <x v="27"/>
    <d v="2025-12-17T00:00:00"/>
    <m/>
    <m/>
    <s v="5 x wired connections x each STC (6) - 4 x laptops &amp; 1 x printer_x000a_EACS network - TBC, Dedicated VLAN - TBD - Internet access is required"/>
    <s v="FAC00967"/>
  </r>
  <r>
    <x v="0"/>
    <x v="0"/>
    <x v="20"/>
    <x v="20"/>
    <x v="3"/>
    <x v="4"/>
    <x v="108"/>
    <x v="0"/>
    <x v="1"/>
    <s v="Confirmed"/>
    <m/>
    <x v="5"/>
    <x v="27"/>
    <d v="2025-12-17T00:00:00"/>
    <m/>
    <m/>
    <s v="1 x wireless connection for up 10 devices x each STC (6)_x000a_EACS network - TBC, Dedicated VLAN - TBD - Internet access is required"/>
    <s v="FAC00968"/>
  </r>
  <r>
    <x v="1"/>
    <x v="1"/>
    <x v="20"/>
    <x v="20"/>
    <x v="3"/>
    <x v="4"/>
    <x v="118"/>
    <x v="1"/>
    <x v="7"/>
    <s v="Confirmed"/>
    <n v="2"/>
    <x v="5"/>
    <x v="27"/>
    <d v="2025-12-17T00:00:00"/>
    <m/>
    <s v="SK 07.09: 6 -&gt; 2; _x000a_SK 22.11: 1x Moved to storage as per Rauf email confirmation"/>
    <s v="1 x A4 printer x each STC (6)"/>
    <s v="FAC00969"/>
  </r>
  <r>
    <x v="0"/>
    <x v="3"/>
    <x v="20"/>
    <x v="20"/>
    <x v="3"/>
    <x v="4"/>
    <x v="118"/>
    <x v="6"/>
    <x v="16"/>
    <s v="To Review"/>
    <n v="8"/>
    <x v="11"/>
    <x v="27"/>
    <d v="2025-12-17T00:00:00"/>
    <m/>
    <s v="SK 22.11: Base on number of locations"/>
    <s v="1 x MIFI Router x each STC (6) - Data traffic TBC"/>
    <s v="FAC00970"/>
  </r>
  <r>
    <x v="1"/>
    <x v="1"/>
    <x v="20"/>
    <x v="20"/>
    <x v="3"/>
    <x v="4"/>
    <x v="118"/>
    <x v="2"/>
    <x v="3"/>
    <s v="Canceled"/>
    <n v="32"/>
    <x v="7"/>
    <x v="27"/>
    <d v="2025-12-17T00:00:00"/>
    <m/>
    <s v="SK 07.09: Laptops are expected to be provided by TKT SP"/>
    <s v="4 x laptops for each STC (8) - TBC with appointed Ticketing Service Provider"/>
    <s v="FAC00971"/>
  </r>
  <r>
    <x v="1"/>
    <x v="0"/>
    <x v="20"/>
    <x v="20"/>
    <x v="3"/>
    <x v="4"/>
    <x v="110"/>
    <x v="0"/>
    <x v="1"/>
    <s v="Canceled"/>
    <m/>
    <x v="7"/>
    <x v="27"/>
    <d v="2025-12-17T00:00:00"/>
    <m/>
    <s v="SK 07.09: WiFi is not feasible. To share ICT feadback 6 -&gt; 0"/>
    <s v="1 x wireless connection x each M&amp;B coverding whole entry area_x000a_Quantity of equipment to be connected - TBC_x000a_EACS network - TBC, Dedicated VLAN - TBD - Internet access is required"/>
    <s v="FAC00972"/>
  </r>
  <r>
    <x v="1"/>
    <x v="3"/>
    <x v="20"/>
    <x v="20"/>
    <x v="3"/>
    <x v="4"/>
    <x v="110"/>
    <x v="6"/>
    <x v="10"/>
    <s v="Confirmed"/>
    <m/>
    <x v="54"/>
    <x v="27"/>
    <d v="2025-12-17T00:00:00"/>
    <m/>
    <s v="SK 07.09: ICT to provide package suggestion based on match schedule."/>
    <s v="TBC - Depending on company appointed for access control_x000a_1 x SIM with data x each PDA scanner (Q-ty TBC)"/>
    <s v="FAC00973"/>
  </r>
  <r>
    <x v="0"/>
    <x v="0"/>
    <x v="20"/>
    <x v="20"/>
    <x v="3"/>
    <x v="0"/>
    <x v="111"/>
    <x v="4"/>
    <x v="11"/>
    <s v="To Review"/>
    <m/>
    <x v="10"/>
    <x v="27"/>
    <d v="2025-12-17T00:00:00"/>
    <m/>
    <s v="SK 27.10: Should support access to TKT server"/>
    <s v="2 x wired EACS network connections per each TRP_x000a_EACS network and internet access is required"/>
    <s v="FAC00974"/>
  </r>
  <r>
    <x v="0"/>
    <x v="0"/>
    <x v="20"/>
    <x v="20"/>
    <x v="3"/>
    <x v="0"/>
    <x v="111"/>
    <x v="0"/>
    <x v="1"/>
    <s v="Confirmed"/>
    <m/>
    <x v="11"/>
    <x v="27"/>
    <d v="2025-12-17T00:00:00"/>
    <m/>
    <m/>
    <s v="1 x wireless connection for up 10 devices _x000a_EACS network - TBC, Dedicated VLAN - TBD - Internet access is required"/>
    <s v="FAC00975"/>
  </r>
  <r>
    <x v="1"/>
    <x v="3"/>
    <x v="20"/>
    <x v="20"/>
    <x v="3"/>
    <x v="0"/>
    <x v="111"/>
    <x v="6"/>
    <x v="16"/>
    <s v="Canceled"/>
    <n v="4"/>
    <x v="7"/>
    <x v="27"/>
    <d v="2025-12-17T00:00:00"/>
    <m/>
    <s v="Aligned to cancel"/>
    <s v="1 x MIFI router x each TRP"/>
    <s v="FAC00976"/>
  </r>
  <r>
    <x v="1"/>
    <x v="1"/>
    <x v="20"/>
    <x v="20"/>
    <x v="3"/>
    <x v="0"/>
    <x v="111"/>
    <x v="2"/>
    <x v="3"/>
    <s v="Canceled"/>
    <n v="8"/>
    <x v="7"/>
    <x v="27"/>
    <d v="2025-12-17T00:00:00"/>
    <s v="LAPOPS"/>
    <s v="SK 07.09: Laptops are expected to be provided by TKT SP"/>
    <s v="2 x laptops for each TRP (4) - TBC with appointed Ticketing Service Provider"/>
    <s v="FAC00977"/>
  </r>
  <r>
    <x v="1"/>
    <x v="0"/>
    <x v="20"/>
    <x v="20"/>
    <x v="3"/>
    <x v="0"/>
    <x v="112"/>
    <x v="0"/>
    <x v="1"/>
    <s v="Canceled"/>
    <n v="1"/>
    <x v="7"/>
    <x v="27"/>
    <d v="2025-12-17T00:00:00"/>
    <m/>
    <s v="SK 7.09: Not in ICT scope., Aspire has to provide it as part of Turnstile infra solution"/>
    <s v="Certain gates located on the inner perimeter will need to be covered with wireless connection to support PDA scanners with access to the EACS network. Specific gates TBC"/>
    <s v="FAC00978"/>
  </r>
  <r>
    <x v="1"/>
    <x v="0"/>
    <x v="20"/>
    <x v="20"/>
    <x v="3"/>
    <x v="2"/>
    <x v="113"/>
    <x v="0"/>
    <x v="1"/>
    <s v="Canceled"/>
    <n v="1"/>
    <x v="7"/>
    <x v="27"/>
    <d v="2025-12-17T00:00:00"/>
    <m/>
    <m/>
    <s v="Venue Ticketing Office - TBC_x000a_1 x wireless connection for up 15 devices _x000a_EACS network - TBC, Dedicated VLAN - TBD - Internet access is required"/>
    <s v="FAC00979"/>
  </r>
  <r>
    <x v="1"/>
    <x v="0"/>
    <x v="20"/>
    <x v="20"/>
    <x v="3"/>
    <x v="2"/>
    <x v="113"/>
    <x v="4"/>
    <x v="11"/>
    <s v="Canceled"/>
    <m/>
    <x v="7"/>
    <x v="28"/>
    <d v="2025-12-17T00:00:00"/>
    <m/>
    <s v="SK 07.09: Canceled"/>
    <s v="Venue Ticketing Office - TBC_x000a_6 x wired connections for 5 x laptops &amp; 1 x printer_x000a_EACS network - TBC, Dedicated VLAN - TBD - internet access is required"/>
    <s v="FAC00980"/>
  </r>
  <r>
    <x v="1"/>
    <x v="1"/>
    <x v="20"/>
    <x v="20"/>
    <x v="3"/>
    <x v="2"/>
    <x v="113"/>
    <x v="1"/>
    <x v="9"/>
    <s v="Canceled"/>
    <m/>
    <x v="7"/>
    <x v="28"/>
    <d v="2025-12-17T00:00:00"/>
    <m/>
    <s v="SK 07/09: General Office printer to be used"/>
    <s v="Venue Ticketing Office - TBC_x000a_1 x A3 printer"/>
    <s v="FAC00981"/>
  </r>
  <r>
    <x v="1"/>
    <x v="2"/>
    <x v="20"/>
    <x v="20"/>
    <x v="3"/>
    <x v="2"/>
    <x v="113"/>
    <x v="3"/>
    <x v="5"/>
    <s v="Canceled"/>
    <n v="1"/>
    <x v="7"/>
    <x v="28"/>
    <d v="2025-12-17T00:00:00"/>
    <m/>
    <s v="SK 27.10: Based on call with Rauf"/>
    <s v="Venue Ticketing Office - TBC_x000a_1 x TV with HDMI"/>
    <s v="FAC00982"/>
  </r>
  <r>
    <x v="1"/>
    <x v="0"/>
    <x v="20"/>
    <x v="20"/>
    <x v="3"/>
    <x v="2"/>
    <x v="114"/>
    <x v="4"/>
    <x v="11"/>
    <s v="Canceled"/>
    <m/>
    <x v="7"/>
    <x v="27"/>
    <d v="2025-12-17T00:00:00"/>
    <m/>
    <s v="SK 07.09: Canceled"/>
    <s v="Venue EACS office_x000a_3 x wired connections for  2 x workstations/laptops, 1 x printer _x000a_EACS network - TBC, Dedicated VLAN - TBD - Internet access is required"/>
    <s v="FAC00983"/>
  </r>
  <r>
    <x v="0"/>
    <x v="0"/>
    <x v="20"/>
    <x v="20"/>
    <x v="3"/>
    <x v="2"/>
    <x v="114"/>
    <x v="0"/>
    <x v="1"/>
    <s v="Confirmed"/>
    <m/>
    <x v="5"/>
    <x v="27"/>
    <d v="2025-12-17T00:00:00"/>
    <m/>
    <m/>
    <s v="Venue EACS office_x000a_1 x wireless connection for up to 20 devices_x000a_EACS network - TBC, Dedicated VLAN - TBD - Internet access is required"/>
    <s v="FAC00984"/>
  </r>
  <r>
    <x v="1"/>
    <x v="1"/>
    <x v="20"/>
    <x v="20"/>
    <x v="3"/>
    <x v="2"/>
    <x v="114"/>
    <x v="1"/>
    <x v="7"/>
    <s v="Canceled"/>
    <m/>
    <x v="7"/>
    <x v="27"/>
    <d v="2025-12-17T00:00:00"/>
    <m/>
    <s v="SK 07.09: Not required"/>
    <s v="Venue EACS office_x000a_1 x A4 printer"/>
    <s v="FAC00985"/>
  </r>
  <r>
    <x v="0"/>
    <x v="0"/>
    <x v="20"/>
    <x v="20"/>
    <x v="3"/>
    <x v="2"/>
    <x v="115"/>
    <x v="4"/>
    <x v="11"/>
    <s v="Confirmed"/>
    <m/>
    <x v="6"/>
    <x v="0"/>
    <d v="2025-12-17T00:00:00"/>
    <m/>
    <s v="SK 22.11: EACS VLAN for monitoring"/>
    <s v="2 x wired ports for 2 x laptops_x000a_EACS network - TBC, Dedicated VLAN - TBD"/>
    <s v="FAC00986"/>
  </r>
  <r>
    <x v="1"/>
    <x v="1"/>
    <x v="20"/>
    <x v="20"/>
    <x v="3"/>
    <x v="2"/>
    <x v="115"/>
    <x v="2"/>
    <x v="3"/>
    <s v="Confirmed"/>
    <n v="2"/>
    <x v="5"/>
    <x v="0"/>
    <d v="2025-12-17T00:00:00"/>
    <m/>
    <s v="SK 07.09: Laptoips for monitoring_x000a_SK 22.11: Reduced per Rauf Confirmation via email"/>
    <s v="2 x laptops to provide entry statistics (main and secondary)"/>
    <s v="FAC00987"/>
  </r>
  <r>
    <x v="1"/>
    <x v="2"/>
    <x v="22"/>
    <x v="22"/>
    <x v="3"/>
    <x v="2"/>
    <x v="116"/>
    <x v="3"/>
    <x v="5"/>
    <s v="Confirmed"/>
    <m/>
    <x v="5"/>
    <x v="0"/>
    <d v="2025-12-17T00:00:00"/>
    <m/>
    <s v="SK 22.11: Moved from TKT to ICT Storage as per Rauf email"/>
    <s v="1 x TV with HDMI (TBC - in case is not available in VOC)"/>
    <s v="FAC00988"/>
  </r>
  <r>
    <x v="0"/>
    <x v="0"/>
    <x v="20"/>
    <x v="20"/>
    <x v="4"/>
    <x v="4"/>
    <x v="117"/>
    <x v="4"/>
    <x v="30"/>
    <s v="To Validate"/>
    <m/>
    <x v="10"/>
    <x v="27"/>
    <d v="2025-12-12T00:00:00"/>
    <m/>
    <s v="SK 22.11: Check service availability"/>
    <s v="5 x wired connections x each STC (6) - 4 x laptops &amp; 1 x printer_x000a_EACS network - TBC, Dedicated VLAN - TBD - Internet access is required"/>
    <s v="FAC00989"/>
  </r>
  <r>
    <x v="0"/>
    <x v="0"/>
    <x v="20"/>
    <x v="20"/>
    <x v="4"/>
    <x v="4"/>
    <x v="117"/>
    <x v="0"/>
    <x v="1"/>
    <s v="To Validate"/>
    <m/>
    <x v="6"/>
    <x v="27"/>
    <d v="2025-12-12T00:00:00"/>
    <m/>
    <s v="SK 22.11: Check service availability"/>
    <s v="1 x wireless connection for up 10 devices x each STC (6)_x000a_EACS network - TBC, Dedicated VLAN - TBD - Internet access is required"/>
    <s v="FAC00990"/>
  </r>
  <r>
    <x v="1"/>
    <x v="1"/>
    <x v="20"/>
    <x v="20"/>
    <x v="4"/>
    <x v="4"/>
    <x v="109"/>
    <x v="1"/>
    <x v="7"/>
    <s v="Confirmed"/>
    <n v="2"/>
    <x v="5"/>
    <x v="27"/>
    <d v="2025-12-12T00:00:00"/>
    <m/>
    <s v="SK 07.09: 6 -&gt; 2; _x000a_SK 22.11: 1x Moved to storage as per Rauf email confirmation"/>
    <s v="1 x A4 printer x each STC (6)"/>
    <s v="FAC00991"/>
  </r>
  <r>
    <x v="0"/>
    <x v="3"/>
    <x v="20"/>
    <x v="20"/>
    <x v="4"/>
    <x v="4"/>
    <x v="109"/>
    <x v="6"/>
    <x v="16"/>
    <s v="To Review"/>
    <n v="6"/>
    <x v="9"/>
    <x v="27"/>
    <d v="2025-12-12T00:00:00"/>
    <m/>
    <s v="SK 22.11: Base on number of locations"/>
    <s v="1 x MIFI Router x each STC (6) - Data traffic TBC"/>
    <s v="FAC00992"/>
  </r>
  <r>
    <x v="1"/>
    <x v="1"/>
    <x v="20"/>
    <x v="20"/>
    <x v="4"/>
    <x v="4"/>
    <x v="109"/>
    <x v="2"/>
    <x v="3"/>
    <s v="Canceled"/>
    <n v="24"/>
    <x v="7"/>
    <x v="27"/>
    <d v="2025-12-12T00:00:00"/>
    <m/>
    <s v="SK 07.09: Laptops are expected to be provided by TKT SP"/>
    <s v="4 x laptops for each STC (6) - TBC with appointed Ticketing Service Provider"/>
    <s v="FAC00993"/>
  </r>
  <r>
    <x v="1"/>
    <x v="0"/>
    <x v="20"/>
    <x v="20"/>
    <x v="4"/>
    <x v="4"/>
    <x v="122"/>
    <x v="0"/>
    <x v="1"/>
    <s v="Canceled"/>
    <m/>
    <x v="7"/>
    <x v="27"/>
    <d v="2025-12-12T00:00:00"/>
    <m/>
    <s v="SK 07.09: WiFi is not feasible. To share ICT feadback 5 -&gt; 0"/>
    <s v="1 x wireless connection x each M&amp;B coverding whole entry area_x000a_Quantity of equipment to be connected - TBC_x000a_EACS network - TBC, Dedicated VLAN - TBD - Internet access is required"/>
    <s v="FAC00994"/>
  </r>
  <r>
    <x v="1"/>
    <x v="3"/>
    <x v="20"/>
    <x v="20"/>
    <x v="4"/>
    <x v="4"/>
    <x v="122"/>
    <x v="6"/>
    <x v="10"/>
    <s v="Confirmed"/>
    <m/>
    <x v="17"/>
    <x v="27"/>
    <d v="2025-12-12T00:00:00"/>
    <m/>
    <s v="SK 07.09: ICT to provide package suggestion based on match schedule."/>
    <s v="TBC - Depending on company appointed for access control_x000a_1 x SIM with data x each PDA scanner (Q-ty TBC)"/>
    <s v="FAC00995"/>
  </r>
  <r>
    <x v="0"/>
    <x v="0"/>
    <x v="20"/>
    <x v="20"/>
    <x v="4"/>
    <x v="0"/>
    <x v="111"/>
    <x v="4"/>
    <x v="11"/>
    <s v="To Review"/>
    <m/>
    <x v="10"/>
    <x v="27"/>
    <d v="2025-12-12T00:00:00"/>
    <m/>
    <s v="SK 27.10: Should support access to TKT server"/>
    <s v="2 x wired EACS network connections per each TRP_x000a_EACS network and internet access is required"/>
    <s v="FAC00996"/>
  </r>
  <r>
    <x v="0"/>
    <x v="0"/>
    <x v="20"/>
    <x v="20"/>
    <x v="4"/>
    <x v="0"/>
    <x v="111"/>
    <x v="0"/>
    <x v="1"/>
    <s v="Confirmed"/>
    <m/>
    <x v="11"/>
    <x v="27"/>
    <d v="2025-12-12T00:00:00"/>
    <m/>
    <m/>
    <s v="1 x wireless connection for up 10 devices _x000a_EACS network - TBC, Dedicated VLAN - TBD - Internet access is required"/>
    <s v="FAC00997"/>
  </r>
  <r>
    <x v="1"/>
    <x v="3"/>
    <x v="20"/>
    <x v="20"/>
    <x v="4"/>
    <x v="0"/>
    <x v="111"/>
    <x v="6"/>
    <x v="16"/>
    <s v="Canceled"/>
    <n v="4"/>
    <x v="7"/>
    <x v="27"/>
    <d v="2025-12-12T00:00:00"/>
    <m/>
    <s v="Aligned to cancel"/>
    <s v="1 x MIFI router x each TRP"/>
    <s v="FAC00998"/>
  </r>
  <r>
    <x v="1"/>
    <x v="1"/>
    <x v="20"/>
    <x v="20"/>
    <x v="4"/>
    <x v="0"/>
    <x v="111"/>
    <x v="2"/>
    <x v="3"/>
    <s v="Canceled"/>
    <n v="8"/>
    <x v="7"/>
    <x v="27"/>
    <d v="2025-12-12T00:00:00"/>
    <s v="LAPOPS"/>
    <s v="SK 07.09: Laptops are expected to be provided by TKT SP"/>
    <s v="2 x laptops for each TRP (4) - TBC with appointed Ticketing Service Provider"/>
    <s v="FAC00999"/>
  </r>
  <r>
    <x v="1"/>
    <x v="0"/>
    <x v="20"/>
    <x v="20"/>
    <x v="4"/>
    <x v="0"/>
    <x v="112"/>
    <x v="0"/>
    <x v="1"/>
    <s v="Canceled"/>
    <n v="1"/>
    <x v="7"/>
    <x v="27"/>
    <d v="2025-12-12T00:00:00"/>
    <m/>
    <s v="SK 7.09: Not in ICT scope., Aspire has to provide it as part of Turnstile infra solution"/>
    <s v="Certain gates located on the inner perimeter will need to be covered with wireless connection to support PDA scanners with access to the EACS network. Specific gates TBC"/>
    <s v="FAC01000"/>
  </r>
  <r>
    <x v="1"/>
    <x v="0"/>
    <x v="20"/>
    <x v="20"/>
    <x v="4"/>
    <x v="2"/>
    <x v="113"/>
    <x v="0"/>
    <x v="1"/>
    <s v="Canceled"/>
    <n v="1"/>
    <x v="7"/>
    <x v="27"/>
    <d v="2025-12-12T00:00:00"/>
    <m/>
    <m/>
    <s v="Venue Ticketing Office - TBC_x000a_1 x wireless connection for up 15 devices _x000a_EACS network - TBC, Dedicated VLAN - TBD - Internet access is required"/>
    <s v="FAC01001"/>
  </r>
  <r>
    <x v="1"/>
    <x v="0"/>
    <x v="20"/>
    <x v="20"/>
    <x v="4"/>
    <x v="2"/>
    <x v="113"/>
    <x v="4"/>
    <x v="11"/>
    <s v="Canceled"/>
    <m/>
    <x v="7"/>
    <x v="28"/>
    <d v="2025-12-12T00:00:00"/>
    <m/>
    <s v="SK 07.09: Canceled"/>
    <s v="Venue Ticketing Office - TBC_x000a_6 x wired connections for 5 x laptops &amp; 1 x printer_x000a_EACS network - TBC, Dedicated VLAN - TBD - internet access is required"/>
    <s v="FAC01002"/>
  </r>
  <r>
    <x v="1"/>
    <x v="1"/>
    <x v="20"/>
    <x v="20"/>
    <x v="4"/>
    <x v="2"/>
    <x v="113"/>
    <x v="1"/>
    <x v="9"/>
    <s v="Canceled"/>
    <m/>
    <x v="7"/>
    <x v="28"/>
    <d v="2025-12-12T00:00:00"/>
    <m/>
    <s v="SK 07/09: General Office printer to be used"/>
    <s v="Venue Ticketing Office - TBC_x000a_1 x A3 printer"/>
    <s v="FAC01003"/>
  </r>
  <r>
    <x v="1"/>
    <x v="2"/>
    <x v="20"/>
    <x v="20"/>
    <x v="4"/>
    <x v="2"/>
    <x v="113"/>
    <x v="3"/>
    <x v="5"/>
    <s v="Canceled"/>
    <n v="1"/>
    <x v="7"/>
    <x v="28"/>
    <d v="2025-12-12T00:00:00"/>
    <m/>
    <s v="SK 27.10: Based on call with Rauf"/>
    <s v="Venue Ticketing Office - TBC_x000a_1 x TV with HDMI"/>
    <s v="FAC01004"/>
  </r>
  <r>
    <x v="1"/>
    <x v="0"/>
    <x v="20"/>
    <x v="20"/>
    <x v="4"/>
    <x v="2"/>
    <x v="114"/>
    <x v="4"/>
    <x v="11"/>
    <s v="Canceled"/>
    <m/>
    <x v="7"/>
    <x v="27"/>
    <d v="2025-12-12T00:00:00"/>
    <m/>
    <s v="SK 07.09: Canceled"/>
    <s v="Venue EACS office_x000a_3 x wired connections for  2 x workstations/laptops, 1 x printer _x000a_EACS network - TBC, Dedicated VLAN - TBD - Internet access is required"/>
    <s v="FAC01005"/>
  </r>
  <r>
    <x v="0"/>
    <x v="0"/>
    <x v="20"/>
    <x v="20"/>
    <x v="4"/>
    <x v="2"/>
    <x v="114"/>
    <x v="0"/>
    <x v="1"/>
    <s v="Confirmed"/>
    <m/>
    <x v="5"/>
    <x v="27"/>
    <d v="2025-12-12T00:00:00"/>
    <m/>
    <m/>
    <s v="Venue EACS office_x000a_1 x wireless connection for up to 20 devices_x000a_EACS network - TBC, Dedicated VLAN - TBD - Internet access is required"/>
    <s v="FAC01006"/>
  </r>
  <r>
    <x v="1"/>
    <x v="1"/>
    <x v="20"/>
    <x v="20"/>
    <x v="4"/>
    <x v="2"/>
    <x v="114"/>
    <x v="1"/>
    <x v="7"/>
    <s v="Canceled"/>
    <m/>
    <x v="7"/>
    <x v="27"/>
    <d v="2025-12-12T00:00:00"/>
    <m/>
    <s v="SK 07.09: Not required"/>
    <s v="Venue EACS office_x000a_1 x A4 printer"/>
    <s v="FAC01007"/>
  </r>
  <r>
    <x v="0"/>
    <x v="0"/>
    <x v="20"/>
    <x v="20"/>
    <x v="4"/>
    <x v="2"/>
    <x v="115"/>
    <x v="4"/>
    <x v="11"/>
    <s v="Confirmed"/>
    <m/>
    <x v="6"/>
    <x v="0"/>
    <d v="2025-12-12T00:00:00"/>
    <m/>
    <s v="SK 22.11: EACS VLAN for monitoring"/>
    <s v="2 x wired ports for 2 x laptops_x000a_EACS network - TBC, Dedicated VLAN - TBD"/>
    <s v="FAC01008"/>
  </r>
  <r>
    <x v="1"/>
    <x v="1"/>
    <x v="20"/>
    <x v="20"/>
    <x v="4"/>
    <x v="2"/>
    <x v="115"/>
    <x v="2"/>
    <x v="3"/>
    <s v="Confirmed"/>
    <n v="2"/>
    <x v="5"/>
    <x v="0"/>
    <d v="2025-12-12T00:00:00"/>
    <m/>
    <s v="SK 07.09: Laptoips for monitoring_x000a_SK 22.11: Reduced per Rauf Confirmation via email"/>
    <s v="2 x laptops to provide entry statistics (main and secondary)"/>
    <s v="FAC01009"/>
  </r>
  <r>
    <x v="0"/>
    <x v="2"/>
    <x v="20"/>
    <x v="20"/>
    <x v="4"/>
    <x v="2"/>
    <x v="115"/>
    <x v="3"/>
    <x v="5"/>
    <s v="Confirmed"/>
    <m/>
    <x v="5"/>
    <x v="0"/>
    <d v="2025-12-12T00:00:00"/>
    <m/>
    <s v="SK 07.09: Based on stadium needs"/>
    <s v="1 x TV with HDMI (TBC - in case is not available in VOC)"/>
    <s v="FAC01010"/>
  </r>
  <r>
    <x v="0"/>
    <x v="0"/>
    <x v="20"/>
    <x v="20"/>
    <x v="2"/>
    <x v="4"/>
    <x v="117"/>
    <x v="4"/>
    <x v="11"/>
    <s v="To Validate"/>
    <m/>
    <x v="10"/>
    <x v="27"/>
    <d v="2025-12-09T00:00:00"/>
    <m/>
    <s v="SK 22.11: Validate feasibility"/>
    <s v="5 x wired connections x each STC (6) - 4 x laptops &amp; 1 x printer_x000a_EACS network - TBC, Dedicated VLAN - TBD - Internet access is required"/>
    <s v="FAC01011"/>
  </r>
  <r>
    <x v="0"/>
    <x v="0"/>
    <x v="20"/>
    <x v="20"/>
    <x v="2"/>
    <x v="4"/>
    <x v="117"/>
    <x v="0"/>
    <x v="1"/>
    <s v="To Validate"/>
    <m/>
    <x v="6"/>
    <x v="27"/>
    <d v="2025-12-09T00:00:00"/>
    <m/>
    <s v="SK 22.11: Validate feasibility"/>
    <s v="1 x wireless connection for up 10 devices x each STC (6)_x000a_EACS network - TBC, Dedicated VLAN - TBD - Internet access is required"/>
    <s v="FAC01012"/>
  </r>
  <r>
    <x v="1"/>
    <x v="1"/>
    <x v="20"/>
    <x v="20"/>
    <x v="2"/>
    <x v="4"/>
    <x v="109"/>
    <x v="1"/>
    <x v="7"/>
    <s v="Confirmed"/>
    <n v="2"/>
    <x v="5"/>
    <x v="27"/>
    <d v="2025-12-09T00:00:00"/>
    <m/>
    <s v="SK 07.09: 6 -&gt; 2; _x000a_SK 22.11: 1x Moved to storage as per Rauf email confirmation"/>
    <s v="1 x A4 printer x each STC (6)"/>
    <s v="FAC01013"/>
  </r>
  <r>
    <x v="0"/>
    <x v="3"/>
    <x v="20"/>
    <x v="20"/>
    <x v="2"/>
    <x v="4"/>
    <x v="109"/>
    <x v="6"/>
    <x v="16"/>
    <s v="To Review"/>
    <n v="6"/>
    <x v="6"/>
    <x v="27"/>
    <d v="2025-12-09T00:00:00"/>
    <m/>
    <s v="SK 22.11: Base on number of locations"/>
    <s v="1 x MIFI Router x each STC (6) - Data traffic TBC"/>
    <s v="FAC01014"/>
  </r>
  <r>
    <x v="1"/>
    <x v="1"/>
    <x v="20"/>
    <x v="20"/>
    <x v="2"/>
    <x v="4"/>
    <x v="109"/>
    <x v="2"/>
    <x v="3"/>
    <s v="Canceled"/>
    <n v="24"/>
    <x v="7"/>
    <x v="27"/>
    <d v="2025-12-09T00:00:00"/>
    <m/>
    <s v="SK 07.09: Laptops are expected to be provided by TKT SP"/>
    <s v="4 x laptops for each STC (6) - TBC with appointed Ticketing Service Provider"/>
    <s v="FAC01015"/>
  </r>
  <r>
    <x v="1"/>
    <x v="0"/>
    <x v="20"/>
    <x v="20"/>
    <x v="2"/>
    <x v="4"/>
    <x v="122"/>
    <x v="0"/>
    <x v="1"/>
    <s v="Canceled"/>
    <m/>
    <x v="7"/>
    <x v="27"/>
    <d v="2025-12-09T00:00:00"/>
    <m/>
    <s v="SK 07.09: WiFi is not feasible. To share ICT feadback 5 -&gt; 0"/>
    <s v="1 x wireless connection x each M&amp;B coverding whole entry area_x000a_Quantity of equipment to be connected - TBC_x000a_EACS network - TBC, Dedicated VLAN - TBD - Internet access is required"/>
    <s v="FAC01016"/>
  </r>
  <r>
    <x v="0"/>
    <x v="3"/>
    <x v="20"/>
    <x v="20"/>
    <x v="2"/>
    <x v="4"/>
    <x v="122"/>
    <x v="6"/>
    <x v="10"/>
    <s v="Confirmed"/>
    <m/>
    <x v="8"/>
    <x v="27"/>
    <d v="2025-12-09T00:00:00"/>
    <m/>
    <s v="SK 07.09: ICT to provide package suggestion based on match schedule."/>
    <s v="TBC - Depending on company appointed for access control_x000a_1 x SIM with data x each PDA scanner (Q-ty TBC)"/>
    <s v="FAC01017"/>
  </r>
  <r>
    <x v="0"/>
    <x v="0"/>
    <x v="20"/>
    <x v="20"/>
    <x v="2"/>
    <x v="0"/>
    <x v="111"/>
    <x v="4"/>
    <x v="11"/>
    <s v="To Review"/>
    <m/>
    <x v="10"/>
    <x v="27"/>
    <d v="2025-12-09T00:00:00"/>
    <m/>
    <s v="SK 27.10: Should support access to TKT server"/>
    <s v="2 x wired EACS network connections per each TRP_x000a_EACS network and internet access is required"/>
    <s v="FAC01018"/>
  </r>
  <r>
    <x v="0"/>
    <x v="0"/>
    <x v="20"/>
    <x v="20"/>
    <x v="2"/>
    <x v="0"/>
    <x v="111"/>
    <x v="0"/>
    <x v="1"/>
    <s v="Confirmed"/>
    <m/>
    <x v="11"/>
    <x v="27"/>
    <d v="2025-12-09T00:00:00"/>
    <m/>
    <m/>
    <s v="1 x wireless connection for up 10 devices _x000a_EACS network - TBC, Dedicated VLAN - TBD - Internet access is required"/>
    <s v="FAC01019"/>
  </r>
  <r>
    <x v="1"/>
    <x v="3"/>
    <x v="20"/>
    <x v="20"/>
    <x v="2"/>
    <x v="0"/>
    <x v="111"/>
    <x v="6"/>
    <x v="16"/>
    <s v="Canceled"/>
    <n v="4"/>
    <x v="7"/>
    <x v="27"/>
    <d v="2025-12-09T00:00:00"/>
    <m/>
    <s v="Aligned to cancel"/>
    <s v="1 x MIFI router x each TRP"/>
    <s v="FAC01020"/>
  </r>
  <r>
    <x v="1"/>
    <x v="1"/>
    <x v="20"/>
    <x v="20"/>
    <x v="2"/>
    <x v="0"/>
    <x v="111"/>
    <x v="2"/>
    <x v="3"/>
    <s v="Canceled"/>
    <n v="8"/>
    <x v="7"/>
    <x v="27"/>
    <d v="2025-12-09T00:00:00"/>
    <s v="LAPOPS"/>
    <s v="SK 07.09: Laptops are expected to be provided by TKT SP"/>
    <s v="2 x laptops for each TRP (4) - TBC with appointed Ticketing Service Provider"/>
    <s v="FAC01021"/>
  </r>
  <r>
    <x v="1"/>
    <x v="0"/>
    <x v="20"/>
    <x v="20"/>
    <x v="2"/>
    <x v="0"/>
    <x v="112"/>
    <x v="0"/>
    <x v="1"/>
    <s v="Canceled"/>
    <n v="1"/>
    <x v="7"/>
    <x v="27"/>
    <d v="2025-12-09T00:00:00"/>
    <m/>
    <s v="SK 7.09: Not in ICT scope., Aspire has to provide it as part of Turnstile infra solution"/>
    <s v="Certain gates located on the inner perimeter will need to be covered with wireless connection to support PDA scanners with access to the EACS network. Specific gates TBC"/>
    <s v="FAC01022"/>
  </r>
  <r>
    <x v="1"/>
    <x v="0"/>
    <x v="20"/>
    <x v="20"/>
    <x v="2"/>
    <x v="2"/>
    <x v="113"/>
    <x v="0"/>
    <x v="1"/>
    <s v="Canceled"/>
    <n v="1"/>
    <x v="7"/>
    <x v="27"/>
    <d v="2025-12-09T00:00:00"/>
    <m/>
    <m/>
    <s v="Venue Ticketing Office - TBC_x000a_1 x wireless connection for up 15 devices _x000a_EACS network - TBC, Dedicated VLAN - TBD - Internet access is required"/>
    <s v="FAC01023"/>
  </r>
  <r>
    <x v="1"/>
    <x v="0"/>
    <x v="20"/>
    <x v="20"/>
    <x v="2"/>
    <x v="2"/>
    <x v="113"/>
    <x v="4"/>
    <x v="11"/>
    <s v="Canceled"/>
    <m/>
    <x v="7"/>
    <x v="28"/>
    <d v="2025-12-09T00:00:00"/>
    <m/>
    <s v="SK 07.09: Canceled"/>
    <s v="Venue Ticketing Office - TBC_x000a_6 x wired connections for 5 x laptops &amp; 1 x printer_x000a_EACS network - TBC, Dedicated VLAN - TBD - internet access is required"/>
    <s v="FAC01024"/>
  </r>
  <r>
    <x v="1"/>
    <x v="1"/>
    <x v="20"/>
    <x v="20"/>
    <x v="2"/>
    <x v="2"/>
    <x v="113"/>
    <x v="1"/>
    <x v="9"/>
    <s v="Canceled"/>
    <m/>
    <x v="7"/>
    <x v="28"/>
    <d v="2025-12-09T00:00:00"/>
    <m/>
    <s v="SK 07/09: General Office printer to be used"/>
    <s v="Venue Ticketing Office - TBC_x000a_1 x A3 printer"/>
    <s v="FAC01025"/>
  </r>
  <r>
    <x v="1"/>
    <x v="2"/>
    <x v="20"/>
    <x v="20"/>
    <x v="2"/>
    <x v="2"/>
    <x v="113"/>
    <x v="3"/>
    <x v="5"/>
    <s v="Canceled"/>
    <n v="1"/>
    <x v="7"/>
    <x v="28"/>
    <d v="2025-12-09T00:00:00"/>
    <m/>
    <s v="SK 27.10: Based on call with Rauf"/>
    <s v="Venue Ticketing Office - TBC_x000a_1 x TV with HDMI"/>
    <s v="FAC01026"/>
  </r>
  <r>
    <x v="1"/>
    <x v="0"/>
    <x v="20"/>
    <x v="20"/>
    <x v="2"/>
    <x v="2"/>
    <x v="114"/>
    <x v="4"/>
    <x v="11"/>
    <s v="Canceled"/>
    <m/>
    <x v="7"/>
    <x v="27"/>
    <d v="2025-12-09T00:00:00"/>
    <m/>
    <s v="SK 07.09: Canceled"/>
    <s v="Venue EACS office_x000a_3 x wired connections for  2 x workstations/laptops, 1 x printer _x000a_EACS network - TBC, Dedicated VLAN - TBD - Internet access is required"/>
    <s v="FAC01027"/>
  </r>
  <r>
    <x v="0"/>
    <x v="0"/>
    <x v="20"/>
    <x v="20"/>
    <x v="2"/>
    <x v="2"/>
    <x v="114"/>
    <x v="0"/>
    <x v="1"/>
    <s v="Confirmed"/>
    <m/>
    <x v="5"/>
    <x v="27"/>
    <d v="2025-12-09T00:00:00"/>
    <m/>
    <m/>
    <s v="Venue EACS office_x000a_1 x wireless connection for up to 20 devices_x000a_EACS network - TBC, Dedicated VLAN - TBD - Internet access is required"/>
    <s v="FAC01028"/>
  </r>
  <r>
    <x v="1"/>
    <x v="1"/>
    <x v="20"/>
    <x v="20"/>
    <x v="2"/>
    <x v="2"/>
    <x v="114"/>
    <x v="1"/>
    <x v="7"/>
    <s v="Canceled"/>
    <m/>
    <x v="7"/>
    <x v="27"/>
    <d v="2025-12-09T00:00:00"/>
    <m/>
    <s v="SK 07.09: Not required"/>
    <s v="Venue EACS office_x000a_1 x A4 printer"/>
    <s v="FAC01029"/>
  </r>
  <r>
    <x v="0"/>
    <x v="0"/>
    <x v="20"/>
    <x v="20"/>
    <x v="2"/>
    <x v="2"/>
    <x v="115"/>
    <x v="4"/>
    <x v="11"/>
    <s v="Confirmed"/>
    <m/>
    <x v="6"/>
    <x v="0"/>
    <d v="2025-12-09T00:00:00"/>
    <m/>
    <s v="SK 22.11: EACS VLAN for monitoring"/>
    <s v="2 x wired ports for 2 x laptops_x000a_EACS network - TBC, Dedicated VLAN - TBD"/>
    <s v="FAC01030"/>
  </r>
  <r>
    <x v="1"/>
    <x v="1"/>
    <x v="20"/>
    <x v="20"/>
    <x v="2"/>
    <x v="2"/>
    <x v="115"/>
    <x v="2"/>
    <x v="3"/>
    <s v="Confirmed"/>
    <n v="2"/>
    <x v="5"/>
    <x v="0"/>
    <d v="2025-12-09T00:00:00"/>
    <m/>
    <s v="SK 07.09: Laptoips for monitoring_x000a_SK 22.11: Reduced per Rauf Confirmation via email"/>
    <s v="2 x laptops to provide entry statistics (main and secondary)"/>
    <s v="FAC01031"/>
  </r>
  <r>
    <x v="0"/>
    <x v="2"/>
    <x v="22"/>
    <x v="22"/>
    <x v="2"/>
    <x v="2"/>
    <x v="116"/>
    <x v="3"/>
    <x v="5"/>
    <s v="Confirmed"/>
    <m/>
    <x v="5"/>
    <x v="0"/>
    <d v="2025-12-09T00:00:00"/>
    <m/>
    <s v="SK 22.11: Moved from TKT to ICT Storage as per Rauf email"/>
    <s v="1 x TV with HDMI (TBC - in case is not available in VOC)"/>
    <s v="FAC01032"/>
  </r>
  <r>
    <x v="1"/>
    <x v="1"/>
    <x v="20"/>
    <x v="20"/>
    <x v="6"/>
    <x v="1"/>
    <x v="82"/>
    <x v="2"/>
    <x v="17"/>
    <s v="Confirmed"/>
    <m/>
    <x v="24"/>
    <x v="29"/>
    <d v="2025-12-30T00:00:00"/>
    <s v="DSKMNT"/>
    <s v="SK 07.09: TKT to requiest through the email"/>
    <s v="Monitor 27&quot; with cable for connection (HDMI, Thunderbolt(type-c), etc.),JM 13:10 : User requested only for 5 monitors for now and he will request for the rest if need it. Etibar asked for extra 4 monitors  13 :10 and have been delivered to 11th floor as requested.( total 9 monitors)"/>
    <s v="FAC01040"/>
  </r>
  <r>
    <x v="1"/>
    <x v="2"/>
    <x v="20"/>
    <x v="20"/>
    <x v="6"/>
    <x v="1"/>
    <x v="82"/>
    <x v="3"/>
    <x v="27"/>
    <s v="Canceled"/>
    <m/>
    <x v="7"/>
    <x v="4"/>
    <d v="2025-12-30T00:00:00"/>
    <s v="AVRSPE"/>
    <s v="SK 07.09 - not required"/>
    <s v="Projector FHD with HDMI cable - TBC"/>
    <s v="FAC01041"/>
  </r>
  <r>
    <x v="0"/>
    <x v="3"/>
    <x v="23"/>
    <x v="23"/>
    <x v="6"/>
    <x v="1"/>
    <x v="123"/>
    <x v="6"/>
    <x v="10"/>
    <s v="Confirmed"/>
    <m/>
    <x v="24"/>
    <x v="30"/>
    <d v="2025-11-28T00:00:00"/>
    <s v="SIMDAT"/>
    <s v=""/>
    <s v="Sim Cards to be given to the TLOs who will be at the teams Hotels"/>
    <s v="FAC01056"/>
  </r>
  <r>
    <x v="1"/>
    <x v="2"/>
    <x v="11"/>
    <x v="11"/>
    <x v="6"/>
    <x v="15"/>
    <x v="124"/>
    <x v="3"/>
    <x v="19"/>
    <s v="Confirmed"/>
    <m/>
    <x v="5"/>
    <x v="1"/>
    <d v="2025-12-18T00:00:00"/>
    <s v="PORSPE"/>
    <s v=""/>
    <s v="To be utilised for FAC25 as well."/>
    <s v="FAC01077"/>
  </r>
  <r>
    <x v="1"/>
    <x v="2"/>
    <x v="11"/>
    <x v="11"/>
    <x v="6"/>
    <x v="15"/>
    <x v="125"/>
    <x v="3"/>
    <x v="27"/>
    <s v="Canceled"/>
    <n v="13"/>
    <x v="7"/>
    <x v="1"/>
    <d v="2025-12-18T00:00:00"/>
    <s v="AVRSPE"/>
    <s v="Unfortunatelly headsets are not available"/>
    <s v="To be utilised for FAC25 as well. _x000a_Headset _x000a_To be used in the call center for volunteers who are handling the calls"/>
    <s v="FAC01066"/>
  </r>
  <r>
    <x v="1"/>
    <x v="2"/>
    <x v="1"/>
    <x v="1"/>
    <x v="6"/>
    <x v="15"/>
    <x v="11"/>
    <x v="3"/>
    <x v="5"/>
    <s v="Confirmed"/>
    <m/>
    <x v="5"/>
    <x v="1"/>
    <d v="2025-12-18T00:00:00"/>
    <s v="TVLGSA"/>
    <s v=""/>
    <m/>
    <s v="FAC00011"/>
  </r>
  <r>
    <x v="1"/>
    <x v="2"/>
    <x v="11"/>
    <x v="11"/>
    <x v="6"/>
    <x v="15"/>
    <x v="125"/>
    <x v="3"/>
    <x v="5"/>
    <s v="Confirmed"/>
    <n v="0"/>
    <x v="5"/>
    <x v="1"/>
    <d v="2025-12-18T00:00:00"/>
    <s v="TVLGSA"/>
    <s v="to be provided in Al Bidda"/>
    <s v="To be utilised for FAC25 as well. _x000a_Required to display  the stats on the screen"/>
    <s v="FAC01065"/>
  </r>
  <r>
    <x v="1"/>
    <x v="2"/>
    <x v="11"/>
    <x v="11"/>
    <x v="6"/>
    <x v="15"/>
    <x v="126"/>
    <x v="3"/>
    <x v="5"/>
    <s v="Confirmed"/>
    <m/>
    <x v="5"/>
    <x v="1"/>
    <d v="2025-12-18T00:00:00"/>
    <s v="TVLGSA"/>
    <s v=""/>
    <s v="To be utilised for FAC25 as well. _x000a_Required to support Training sessions RST, VST for Uni &amp; ACR volunteers"/>
    <s v="FAC01072"/>
  </r>
  <r>
    <x v="1"/>
    <x v="1"/>
    <x v="2"/>
    <x v="2"/>
    <x v="6"/>
    <x v="15"/>
    <x v="18"/>
    <x v="2"/>
    <x v="4"/>
    <s v="Confirmed"/>
    <m/>
    <x v="6"/>
    <x v="1"/>
    <d v="2025-12-18T00:00:00"/>
    <s v="ACCBAR"/>
    <s v=""/>
    <s v="Meal redemption process"/>
    <s v="FAC00133"/>
  </r>
  <r>
    <x v="1"/>
    <x v="1"/>
    <x v="16"/>
    <x v="16"/>
    <x v="6"/>
    <x v="15"/>
    <x v="127"/>
    <x v="2"/>
    <x v="4"/>
    <s v="Confirmed"/>
    <m/>
    <x v="47"/>
    <x v="31"/>
    <d v="2025-12-19T00:00:00"/>
    <s v="ACCBAR"/>
    <m/>
    <s v="To scan QIDs and accreditations."/>
    <s v="FAC01045"/>
  </r>
  <r>
    <x v="1"/>
    <x v="1"/>
    <x v="11"/>
    <x v="11"/>
    <x v="6"/>
    <x v="15"/>
    <x v="126"/>
    <x v="2"/>
    <x v="4"/>
    <s v="Confirmed"/>
    <m/>
    <x v="52"/>
    <x v="1"/>
    <d v="2025-12-18T00:00:00"/>
    <s v="ACCBAR"/>
    <s v=""/>
    <s v="To be utilised for FAC25 as well."/>
    <s v="FAC01071"/>
  </r>
  <r>
    <x v="1"/>
    <x v="1"/>
    <x v="2"/>
    <x v="2"/>
    <x v="6"/>
    <x v="15"/>
    <x v="18"/>
    <x v="2"/>
    <x v="3"/>
    <s v="Confirmed"/>
    <m/>
    <x v="6"/>
    <x v="1"/>
    <d v="2025-12-18T00:00:00"/>
    <s v="LAPOPS"/>
    <s v=""/>
    <s v="Meal redemption process"/>
    <s v="FAC00132"/>
  </r>
  <r>
    <x v="1"/>
    <x v="1"/>
    <x v="16"/>
    <x v="16"/>
    <x v="6"/>
    <x v="15"/>
    <x v="127"/>
    <x v="2"/>
    <x v="3"/>
    <s v="Confirmed"/>
    <m/>
    <x v="42"/>
    <x v="31"/>
    <d v="2025-12-19T00:00:00"/>
    <s v="LAPOPS"/>
    <m/>
    <s v="It can also be AIO PCs"/>
    <s v="FAC01044"/>
  </r>
  <r>
    <x v="1"/>
    <x v="1"/>
    <x v="11"/>
    <x v="11"/>
    <x v="6"/>
    <x v="15"/>
    <x v="125"/>
    <x v="2"/>
    <x v="3"/>
    <s v="Confirmed"/>
    <n v="2"/>
    <x v="11"/>
    <x v="1"/>
    <d v="2025-12-18T00:00:00"/>
    <s v="LAPOPS"/>
    <s v=""/>
    <s v="To be utilised for FAC25 as well. "/>
    <s v="FAC01057"/>
  </r>
  <r>
    <x v="1"/>
    <x v="1"/>
    <x v="11"/>
    <x v="11"/>
    <x v="6"/>
    <x v="15"/>
    <x v="126"/>
    <x v="2"/>
    <x v="3"/>
    <s v="Confirmed"/>
    <m/>
    <x v="21"/>
    <x v="1"/>
    <d v="2025-12-18T00:00:00"/>
    <s v="LAPOPS"/>
    <s v=""/>
    <s v="To be utilised for FAC25 as well."/>
    <s v="FAC01069"/>
  </r>
  <r>
    <x v="1"/>
    <x v="1"/>
    <x v="11"/>
    <x v="11"/>
    <x v="6"/>
    <x v="15"/>
    <x v="124"/>
    <x v="2"/>
    <x v="3"/>
    <s v="Confirmed"/>
    <n v="3"/>
    <x v="6"/>
    <x v="1"/>
    <d v="2025-12-18T00:00:00"/>
    <s v="LAPOPS"/>
    <s v=""/>
    <s v="To be utilised for FAC25 as well."/>
    <s v="FAC01073"/>
  </r>
  <r>
    <x v="1"/>
    <x v="1"/>
    <x v="1"/>
    <x v="1"/>
    <x v="6"/>
    <x v="15"/>
    <x v="11"/>
    <x v="2"/>
    <x v="17"/>
    <s v="Canceled"/>
    <n v="2"/>
    <x v="7"/>
    <x v="1"/>
    <d v="2025-12-18T00:00:00"/>
    <s v="DSKMNT"/>
    <s v="SK 17.09: Agreed with Charbel to reuse his office monitors"/>
    <m/>
    <s v="FAC00012"/>
  </r>
  <r>
    <x v="1"/>
    <x v="1"/>
    <x v="11"/>
    <x v="11"/>
    <x v="6"/>
    <x v="15"/>
    <x v="125"/>
    <x v="2"/>
    <x v="17"/>
    <s v="Canceled"/>
    <n v="7"/>
    <x v="7"/>
    <x v="1"/>
    <d v="2025-12-18T00:00:00"/>
    <s v="DSKMNT"/>
    <s v=""/>
    <s v="To be utilised for FAC25 as well. "/>
    <s v="FAC01058"/>
  </r>
  <r>
    <x v="1"/>
    <x v="1"/>
    <x v="11"/>
    <x v="11"/>
    <x v="6"/>
    <x v="15"/>
    <x v="126"/>
    <x v="2"/>
    <x v="17"/>
    <s v="Canceled"/>
    <n v="10"/>
    <x v="7"/>
    <x v="1"/>
    <d v="2025-12-18T00:00:00"/>
    <s v="DSKMNT"/>
    <s v=""/>
    <s v="To be utilised for FAC25 as well."/>
    <s v="FAC01070"/>
  </r>
  <r>
    <x v="1"/>
    <x v="1"/>
    <x v="16"/>
    <x v="16"/>
    <x v="6"/>
    <x v="15"/>
    <x v="127"/>
    <x v="2"/>
    <x v="31"/>
    <s v="Confirmed"/>
    <m/>
    <x v="42"/>
    <x v="31"/>
    <d v="2025-12-19T00:00:00"/>
    <s v="USBETH"/>
    <s v="SK 18.09: Based on laptop with Eth availability. Adapters to be procured"/>
    <m/>
    <s v="FAC01111"/>
  </r>
  <r>
    <x v="1"/>
    <x v="1"/>
    <x v="16"/>
    <x v="16"/>
    <x v="6"/>
    <x v="15"/>
    <x v="127"/>
    <x v="2"/>
    <x v="21"/>
    <s v="Confirmed"/>
    <m/>
    <x v="42"/>
    <x v="31"/>
    <d v="2025-12-19T00:00:00"/>
    <s v="EUQSPE"/>
    <s v="SK 18.09: To be confirmed by Khaled by today"/>
    <s v="Mouse to expedite accreditation process at front desk."/>
    <s v="FAC01046"/>
  </r>
  <r>
    <x v="1"/>
    <x v="1"/>
    <x v="11"/>
    <x v="11"/>
    <x v="6"/>
    <x v="15"/>
    <x v="125"/>
    <x v="2"/>
    <x v="21"/>
    <s v="Confirmed"/>
    <n v="8"/>
    <x v="11"/>
    <x v="1"/>
    <d v="2025-12-18T00:00:00"/>
    <s v="EUQSPE"/>
    <m/>
    <s v="Mouse. To be utilised for FAC25 as well. For use with the laptops"/>
    <s v="FAC01064"/>
  </r>
  <r>
    <x v="1"/>
    <x v="0"/>
    <x v="16"/>
    <x v="16"/>
    <x v="6"/>
    <x v="15"/>
    <x v="127"/>
    <x v="4"/>
    <x v="6"/>
    <s v="Confirmed"/>
    <m/>
    <x v="38"/>
    <x v="31"/>
    <d v="2025-12-19T00:00:00"/>
    <s v="WRDGEN"/>
    <m/>
    <s v="Cable network connection for each printer, laptop and TV."/>
    <s v="FAC01047"/>
  </r>
  <r>
    <x v="1"/>
    <x v="0"/>
    <x v="11"/>
    <x v="11"/>
    <x v="6"/>
    <x v="15"/>
    <x v="125"/>
    <x v="4"/>
    <x v="6"/>
    <s v="Confirmed"/>
    <n v="6"/>
    <x v="11"/>
    <x v="1"/>
    <d v="2025-12-18T00:00:00"/>
    <s v="WRDGEN"/>
    <s v=""/>
    <s v="To be utilised for FAC25 as well. "/>
    <s v="FAC01060"/>
  </r>
  <r>
    <x v="1"/>
    <x v="1"/>
    <x v="1"/>
    <x v="1"/>
    <x v="6"/>
    <x v="15"/>
    <x v="11"/>
    <x v="1"/>
    <x v="9"/>
    <s v="Confirmed"/>
    <m/>
    <x v="5"/>
    <x v="1"/>
    <d v="2025-12-18T00:00:00"/>
    <s v="MFDLNW"/>
    <s v="Shared space"/>
    <m/>
    <s v="FAC00009"/>
  </r>
  <r>
    <x v="1"/>
    <x v="1"/>
    <x v="16"/>
    <x v="16"/>
    <x v="6"/>
    <x v="15"/>
    <x v="128"/>
    <x v="1"/>
    <x v="9"/>
    <s v="Confirmed"/>
    <m/>
    <x v="5"/>
    <x v="31"/>
    <d v="2025-12-19T00:00:00"/>
    <s v="MFDLNW"/>
    <m/>
    <s v="Make copies of all forms to be signed among other documents. To scan and make copies of IDs when reporting lost, damaged or stolen accreditation."/>
    <s v="FAC01043"/>
  </r>
  <r>
    <x v="1"/>
    <x v="1"/>
    <x v="11"/>
    <x v="11"/>
    <x v="6"/>
    <x v="15"/>
    <x v="125"/>
    <x v="1"/>
    <x v="9"/>
    <s v="Canceled"/>
    <n v="1"/>
    <x v="7"/>
    <x v="1"/>
    <d v="2025-12-18T00:00:00"/>
    <s v="MFDLNW"/>
    <s v="SK 17.09: Shared Device to be used"/>
    <s v="To be utilised for FAC25 as well. _x000a_We need to print information for our call center as it is essential for supporting the day-to-day needs of our volunteer operations team"/>
    <s v="FAC01061"/>
  </r>
  <r>
    <x v="1"/>
    <x v="1"/>
    <x v="16"/>
    <x v="16"/>
    <x v="6"/>
    <x v="15"/>
    <x v="127"/>
    <x v="1"/>
    <x v="7"/>
    <s v="Confirmed"/>
    <m/>
    <x v="55"/>
    <x v="31"/>
    <d v="2025-12-19T00:00:00"/>
    <s v="MFDDNW"/>
    <m/>
    <s v="Printing of accreditations."/>
    <s v="FAC01042"/>
  </r>
  <r>
    <x v="1"/>
    <x v="1"/>
    <x v="16"/>
    <x v="16"/>
    <x v="6"/>
    <x v="15"/>
    <x v="129"/>
    <x v="1"/>
    <x v="7"/>
    <s v="Confirmed"/>
    <m/>
    <x v="15"/>
    <x v="10"/>
    <d v="2025-12-19T00:00:00"/>
    <s v="MFDDNW"/>
    <s v="MI 16.10: CR004 - 6 Laser Color Printers requested  by ACR director for SSOC UAC"/>
    <m/>
    <m/>
  </r>
  <r>
    <x v="1"/>
    <x v="1"/>
    <x v="11"/>
    <x v="11"/>
    <x v="6"/>
    <x v="15"/>
    <x v="126"/>
    <x v="1"/>
    <x v="7"/>
    <s v="Confirmed"/>
    <m/>
    <x v="9"/>
    <x v="1"/>
    <d v="2025-12-18T00:00:00"/>
    <s v="MFDDNW"/>
    <s v=""/>
    <s v="To be utilised for FAC25 as well. _x000a_Prinetr to be shared between 2 volunteers at check-in (3)_x000a_In case of individual prinetr implemented for each agent,the number will be increased to 5"/>
    <s v="FAC01068"/>
  </r>
  <r>
    <x v="1"/>
    <x v="1"/>
    <x v="22"/>
    <x v="22"/>
    <x v="6"/>
    <x v="15"/>
    <x v="130"/>
    <x v="1"/>
    <x v="7"/>
    <s v="Confirmed"/>
    <m/>
    <x v="5"/>
    <x v="1"/>
    <d v="2025-12-20T00:00:00"/>
    <s v="MFDDNW"/>
    <m/>
    <m/>
    <s v="FAC01100"/>
  </r>
  <r>
    <x v="1"/>
    <x v="3"/>
    <x v="11"/>
    <x v="11"/>
    <x v="6"/>
    <x v="15"/>
    <x v="125"/>
    <x v="6"/>
    <x v="20"/>
    <s v="Confirmed"/>
    <m/>
    <x v="14"/>
    <x v="31"/>
    <d v="2025-12-18T00:00:00"/>
    <s v="NSMOB"/>
    <s v="submitted to FIFA TEAP as mobile phone"/>
    <s v="To be utilised for FAC25 as well. _x000a_Mobile Phones and full package sim cards_x000a_The volunteer  call center is handling all the calls for the volunteer program and excuting all the calls requests from all  FAs."/>
    <s v="FAC01062"/>
  </r>
  <r>
    <x v="1"/>
    <x v="3"/>
    <x v="11"/>
    <x v="11"/>
    <x v="6"/>
    <x v="15"/>
    <x v="124"/>
    <x v="6"/>
    <x v="20"/>
    <s v="Confirmed"/>
    <m/>
    <x v="6"/>
    <x v="32"/>
    <d v="2025-12-18T00:00:00"/>
    <s v="NSMOB"/>
    <m/>
    <s v="To be utilised for FAC25 as well. _x000a_Mobile Phones and full package sim cards_x000a_To contact volunteers for shift fulfilment "/>
    <s v="FAC01075"/>
  </r>
  <r>
    <x v="1"/>
    <x v="2"/>
    <x v="16"/>
    <x v="16"/>
    <x v="6"/>
    <x v="15"/>
    <x v="131"/>
    <x v="5"/>
    <x v="8"/>
    <s v="Confirmed"/>
    <m/>
    <x v="6"/>
    <x v="31"/>
    <d v="2025-12-19T00:00:00"/>
    <s v="TVLGIP"/>
    <m/>
    <s v="TV for presentations to the volunteers and staff. TV at Directors office to follow up with competition. "/>
    <s v="FAC01049"/>
  </r>
  <r>
    <x v="1"/>
    <x v="2"/>
    <x v="11"/>
    <x v="11"/>
    <x v="6"/>
    <x v="15"/>
    <x v="125"/>
    <x v="5"/>
    <x v="8"/>
    <s v="Confirmed"/>
    <n v="0"/>
    <x v="5"/>
    <x v="1"/>
    <d v="2025-12-18T00:00:00"/>
    <s v="TVLGIP"/>
    <s v=""/>
    <s v="To be utilised for FAC25 as well. "/>
    <s v="FAC01059"/>
  </r>
  <r>
    <x v="1"/>
    <x v="2"/>
    <x v="11"/>
    <x v="11"/>
    <x v="6"/>
    <x v="15"/>
    <x v="124"/>
    <x v="5"/>
    <x v="8"/>
    <s v="Confirmed"/>
    <m/>
    <x v="5"/>
    <x v="1"/>
    <d v="2025-12-18T00:00:00"/>
    <s v="TVLGIP"/>
    <s v=""/>
    <s v="To be utilised for FAC25 as well."/>
    <s v="FAC01076"/>
  </r>
  <r>
    <x v="1"/>
    <x v="0"/>
    <x v="1"/>
    <x v="1"/>
    <x v="6"/>
    <x v="15"/>
    <x v="11"/>
    <x v="0"/>
    <x v="1"/>
    <s v="Confirmed"/>
    <m/>
    <x v="5"/>
    <x v="1"/>
    <d v="2025-12-18T00:00:00"/>
    <s v="WANGEN"/>
    <s v=""/>
    <m/>
    <s v="FAC00010"/>
  </r>
  <r>
    <x v="1"/>
    <x v="0"/>
    <x v="2"/>
    <x v="2"/>
    <x v="6"/>
    <x v="15"/>
    <x v="18"/>
    <x v="0"/>
    <x v="1"/>
    <s v="Confirmed"/>
    <m/>
    <x v="5"/>
    <x v="1"/>
    <d v="2025-12-18T00:00:00"/>
    <s v="WANGEN"/>
    <s v=""/>
    <s v="WIFI connection "/>
    <s v="FAC00134"/>
  </r>
  <r>
    <x v="1"/>
    <x v="0"/>
    <x v="16"/>
    <x v="16"/>
    <x v="6"/>
    <x v="15"/>
    <x v="132"/>
    <x v="0"/>
    <x v="1"/>
    <s v="Confirmed"/>
    <m/>
    <x v="5"/>
    <x v="31"/>
    <d v="2025-12-19T00:00:00"/>
    <s v="WANGEN"/>
    <m/>
    <s v="WiFI for all MAC"/>
    <s v="FAC01048"/>
  </r>
  <r>
    <x v="1"/>
    <x v="0"/>
    <x v="11"/>
    <x v="11"/>
    <x v="6"/>
    <x v="15"/>
    <x v="125"/>
    <x v="0"/>
    <x v="1"/>
    <s v="Confirmed"/>
    <m/>
    <x v="5"/>
    <x v="1"/>
    <d v="2025-12-18T00:00:00"/>
    <s v="WANGEN"/>
    <s v=""/>
    <s v="To be utilised for FAC25 as well."/>
    <s v="FAC01063"/>
  </r>
  <r>
    <x v="0"/>
    <x v="1"/>
    <x v="24"/>
    <x v="24"/>
    <x v="6"/>
    <x v="16"/>
    <x v="133"/>
    <x v="1"/>
    <x v="7"/>
    <s v="Confirmed"/>
    <m/>
    <x v="5"/>
    <x v="10"/>
    <d v="2025-12-20T00:00:00"/>
    <s v="MFDDNW"/>
    <m/>
    <m/>
    <s v="FAC01097"/>
  </r>
  <r>
    <x v="0"/>
    <x v="3"/>
    <x v="24"/>
    <x v="24"/>
    <x v="6"/>
    <x v="16"/>
    <x v="133"/>
    <x v="6"/>
    <x v="10"/>
    <s v="Confirmed"/>
    <m/>
    <x v="6"/>
    <x v="10"/>
    <d v="2025-12-20T00:00:00"/>
    <s v="SIMDAT"/>
    <m/>
    <m/>
    <s v="FAC01098"/>
  </r>
  <r>
    <x v="1"/>
    <x v="1"/>
    <x v="24"/>
    <x v="24"/>
    <x v="6"/>
    <x v="16"/>
    <x v="133"/>
    <x v="2"/>
    <x v="17"/>
    <s v="Canceled"/>
    <n v="1"/>
    <x v="7"/>
    <x v="10"/>
    <d v="2025-12-20T00:00:00"/>
    <s v="DSKMNT"/>
    <s v="ME 07/10: The monitors are not available please relocate your office device if required. ME 09/10:Spoke with Ivo and informed him that we rejected the monito request."/>
    <m/>
    <s v="FAC01099"/>
  </r>
  <r>
    <x v="1"/>
    <x v="0"/>
    <x v="11"/>
    <x v="11"/>
    <x v="6"/>
    <x v="15"/>
    <x v="126"/>
    <x v="0"/>
    <x v="1"/>
    <s v="Confirmed"/>
    <m/>
    <x v="5"/>
    <x v="1"/>
    <d v="2025-12-18T00:00:00"/>
    <s v="WANGEN"/>
    <s v=""/>
    <s v="To be utilised for FAC25 as well."/>
    <s v="FAC01067"/>
  </r>
  <r>
    <x v="1"/>
    <x v="0"/>
    <x v="11"/>
    <x v="11"/>
    <x v="6"/>
    <x v="15"/>
    <x v="124"/>
    <x v="0"/>
    <x v="1"/>
    <s v="Confirmed"/>
    <m/>
    <x v="5"/>
    <x v="1"/>
    <d v="2025-12-18T00:00:00"/>
    <s v="WANGEN"/>
    <s v=""/>
    <s v="To be utilised for FAC25 as well."/>
    <s v="FAC01074"/>
  </r>
  <r>
    <x v="0"/>
    <x v="3"/>
    <x v="22"/>
    <x v="22"/>
    <x v="0"/>
    <x v="0"/>
    <x v="134"/>
    <x v="6"/>
    <x v="32"/>
    <s v="Confirmed"/>
    <m/>
    <x v="5"/>
    <x v="33"/>
    <m/>
    <m/>
    <s v="SK 17.09 New item added"/>
    <m/>
    <s v="FAC01112"/>
  </r>
  <r>
    <x v="0"/>
    <x v="3"/>
    <x v="22"/>
    <x v="22"/>
    <x v="1"/>
    <x v="0"/>
    <x v="134"/>
    <x v="6"/>
    <x v="32"/>
    <s v="Confirmed"/>
    <m/>
    <x v="5"/>
    <x v="33"/>
    <m/>
    <m/>
    <s v="SK 17.09 New item added"/>
    <m/>
    <s v="FAC01113"/>
  </r>
  <r>
    <x v="1"/>
    <x v="3"/>
    <x v="22"/>
    <x v="22"/>
    <x v="3"/>
    <x v="0"/>
    <x v="134"/>
    <x v="6"/>
    <x v="32"/>
    <s v="Confirmed"/>
    <m/>
    <x v="5"/>
    <x v="33"/>
    <m/>
    <m/>
    <s v="SK 17.09 New item added"/>
    <m/>
    <s v="FAC01114"/>
  </r>
  <r>
    <x v="0"/>
    <x v="3"/>
    <x v="22"/>
    <x v="22"/>
    <x v="5"/>
    <x v="0"/>
    <x v="134"/>
    <x v="6"/>
    <x v="32"/>
    <s v="Confirmed"/>
    <m/>
    <x v="5"/>
    <x v="33"/>
    <m/>
    <m/>
    <s v="SK 17.09 New item added"/>
    <m/>
    <s v="FAC01115"/>
  </r>
  <r>
    <x v="0"/>
    <x v="3"/>
    <x v="22"/>
    <x v="22"/>
    <x v="2"/>
    <x v="0"/>
    <x v="134"/>
    <x v="6"/>
    <x v="32"/>
    <s v="Confirmed"/>
    <m/>
    <x v="5"/>
    <x v="33"/>
    <m/>
    <m/>
    <s v="SK 17.09 New item added"/>
    <m/>
    <s v="FAC01116"/>
  </r>
  <r>
    <x v="0"/>
    <x v="3"/>
    <x v="22"/>
    <x v="22"/>
    <x v="4"/>
    <x v="0"/>
    <x v="134"/>
    <x v="6"/>
    <x v="32"/>
    <s v="Confirmed"/>
    <m/>
    <x v="5"/>
    <x v="33"/>
    <m/>
    <m/>
    <s v="SK 17.09 New item added"/>
    <m/>
    <s v="FAC01117"/>
  </r>
  <r>
    <x v="0"/>
    <x v="0"/>
    <x v="5"/>
    <x v="5"/>
    <x v="0"/>
    <x v="2"/>
    <x v="5"/>
    <x v="4"/>
    <x v="6"/>
    <s v="Confirmed"/>
    <m/>
    <x v="5"/>
    <x v="4"/>
    <d v="2025-12-18T00:00:00"/>
    <s v="WRDSPE"/>
    <s v="SK 06/10: the requirements are valid. Allocation per correct VLAN is pending"/>
    <s v="High speed internet coverage for  IFT control room"/>
    <m/>
  </r>
  <r>
    <x v="0"/>
    <x v="0"/>
    <x v="5"/>
    <x v="5"/>
    <x v="1"/>
    <x v="2"/>
    <x v="5"/>
    <x v="4"/>
    <x v="6"/>
    <s v="Confirmed"/>
    <m/>
    <x v="5"/>
    <x v="4"/>
    <d v="2025-12-18T00:00:00"/>
    <s v="WRDSPE"/>
    <s v="SK 06/10: the requirements are valid. Allocation per correct VLAN is pending"/>
    <s v="High speed internet coverage for  IFT control room"/>
    <m/>
  </r>
  <r>
    <x v="0"/>
    <x v="0"/>
    <x v="5"/>
    <x v="5"/>
    <x v="2"/>
    <x v="2"/>
    <x v="5"/>
    <x v="4"/>
    <x v="6"/>
    <s v="Confirmed"/>
    <m/>
    <x v="5"/>
    <x v="4"/>
    <d v="2025-12-18T00:00:00"/>
    <s v="WRDSPE"/>
    <s v="SK 06/10: the requirements are valid. Allocation per correct VLAN is pending"/>
    <s v="High speed internet coverage for  IFT control room"/>
    <m/>
  </r>
  <r>
    <x v="0"/>
    <x v="0"/>
    <x v="5"/>
    <x v="5"/>
    <x v="3"/>
    <x v="2"/>
    <x v="5"/>
    <x v="4"/>
    <x v="6"/>
    <s v="Confirmed"/>
    <m/>
    <x v="5"/>
    <x v="4"/>
    <d v="2025-12-18T00:00:00"/>
    <s v="WRDSPE"/>
    <s v="SK 06/10: the requirements are valid. Allocation per correct VLAN is pending"/>
    <s v="High speed internet coverage for  IFT control room"/>
    <m/>
  </r>
  <r>
    <x v="0"/>
    <x v="0"/>
    <x v="5"/>
    <x v="5"/>
    <x v="4"/>
    <x v="2"/>
    <x v="5"/>
    <x v="4"/>
    <x v="6"/>
    <s v="Confirmed"/>
    <m/>
    <x v="5"/>
    <x v="4"/>
    <d v="2025-12-18T00:00:00"/>
    <s v="WRDSPE"/>
    <s v="SK 06/10: the requirements are valid. Allocation per correct VLAN is pending"/>
    <s v="High speed internet coverage for  IFT control room"/>
    <m/>
  </r>
  <r>
    <x v="0"/>
    <x v="0"/>
    <x v="5"/>
    <x v="5"/>
    <x v="5"/>
    <x v="2"/>
    <x v="5"/>
    <x v="4"/>
    <x v="6"/>
    <s v="Confirmed"/>
    <m/>
    <x v="5"/>
    <x v="4"/>
    <d v="2025-12-18T00:00:00"/>
    <s v="WRDSPE"/>
    <s v="SK 06/10: the requirements are valid. Allocation per correct VLAN is pending"/>
    <s v="High speed internet coverage for  IFT control room"/>
    <m/>
  </r>
  <r>
    <x v="0"/>
    <x v="1"/>
    <x v="25"/>
    <x v="25"/>
    <x v="1"/>
    <x v="2"/>
    <x v="135"/>
    <x v="1"/>
    <x v="7"/>
    <s v="Confirmed"/>
    <m/>
    <x v="5"/>
    <x v="0"/>
    <d v="2025-12-18T00:00:00"/>
    <s v="MFDDNW"/>
    <s v="MI 19.10: CR008 - SPS requirements"/>
    <s v="SPS has over 500 staff members, including around 50 supervisors, and needs to print thousands of operational documents for each matchday. Relying on a shared printer is not practical, as it leads to significant delays and wastes both time and resources."/>
    <m/>
  </r>
  <r>
    <x v="1"/>
    <x v="1"/>
    <x v="25"/>
    <x v="25"/>
    <x v="0"/>
    <x v="2"/>
    <x v="135"/>
    <x v="1"/>
    <x v="7"/>
    <s v="Confirmed"/>
    <m/>
    <x v="5"/>
    <x v="0"/>
    <d v="2025-12-18T00:00:00"/>
    <s v="MFDDNW"/>
    <s v="MI 19.10: CR008 - SPS requirements"/>
    <s v="SPS has over 800 staff members, including around 50 supervisors, and needs to print thousands of operational documents for each matchday. Relying on a shared printer is not practical, as it leads to significant delays and wastes both time and resources."/>
    <m/>
  </r>
  <r>
    <x v="1"/>
    <x v="1"/>
    <x v="25"/>
    <x v="25"/>
    <x v="2"/>
    <x v="2"/>
    <x v="135"/>
    <x v="1"/>
    <x v="7"/>
    <s v="Confirmed"/>
    <m/>
    <x v="5"/>
    <x v="0"/>
    <d v="2025-12-18T00:00:00"/>
    <s v="MFDDNW"/>
    <s v="MI 19.10: CR008 - SPS requirements"/>
    <s v="SPS has over 400 staff members, including around 50 supervisors, and needs to print thousands of operational documents for each matchday. Relying on a shared printer is not practical, as it leads to significant delays and wastes both time and resources."/>
    <m/>
  </r>
  <r>
    <x v="1"/>
    <x v="1"/>
    <x v="25"/>
    <x v="25"/>
    <x v="3"/>
    <x v="2"/>
    <x v="135"/>
    <x v="1"/>
    <x v="7"/>
    <s v="Confirmed"/>
    <m/>
    <x v="5"/>
    <x v="0"/>
    <d v="2025-12-18T00:00:00"/>
    <s v="MFDDNW"/>
    <s v="MI 19.10: CR008 - SPS requirements"/>
    <s v="SPS has over 400 staff members, including around 50 supervisors, and needs to print thousands of operational documents for each matchday. Relying on a shared printer is not practical, as it leads to significant delays and wastes both time and resources."/>
    <m/>
  </r>
  <r>
    <x v="1"/>
    <x v="1"/>
    <x v="25"/>
    <x v="25"/>
    <x v="4"/>
    <x v="2"/>
    <x v="135"/>
    <x v="1"/>
    <x v="7"/>
    <s v="Confirmed"/>
    <m/>
    <x v="5"/>
    <x v="0"/>
    <d v="2025-12-18T00:00:00"/>
    <s v="MFDDNW"/>
    <s v="MI 19.10: CR008 - SPS requirements"/>
    <s v="SPS has over 400 staff members, including around 50 supervisors, and needs to print thousands of operational documents for each matchday. Relying on a shared printer is not practical, as it leads to significant delays and wastes both time and resources."/>
    <m/>
  </r>
  <r>
    <x v="1"/>
    <x v="1"/>
    <x v="25"/>
    <x v="25"/>
    <x v="5"/>
    <x v="2"/>
    <x v="135"/>
    <x v="1"/>
    <x v="7"/>
    <s v="Confirmed"/>
    <m/>
    <x v="5"/>
    <x v="0"/>
    <d v="2025-12-18T00:00:00"/>
    <s v="MFDDNW"/>
    <s v="MI 19.10: CR008 - SPS requirements"/>
    <s v="SPS has around 400 staff members, including around 50 supervisors, and needs to print thousands of operational documents for each matchday. Relying on a shared printer is not practical, as it leads to significant delays and wastes both time and resources."/>
    <m/>
  </r>
  <r>
    <x v="0"/>
    <x v="0"/>
    <x v="25"/>
    <x v="25"/>
    <x v="1"/>
    <x v="2"/>
    <x v="135"/>
    <x v="0"/>
    <x v="1"/>
    <s v="Confirmed"/>
    <m/>
    <x v="5"/>
    <x v="0"/>
    <d v="2025-12-18T00:00:00"/>
    <s v="WANGEN"/>
    <s v="MI 19.10: CR008 - SPS requirements"/>
    <s v=" "/>
    <m/>
  </r>
  <r>
    <x v="0"/>
    <x v="0"/>
    <x v="25"/>
    <x v="25"/>
    <x v="0"/>
    <x v="2"/>
    <x v="135"/>
    <x v="0"/>
    <x v="1"/>
    <s v="Confirmed"/>
    <m/>
    <x v="5"/>
    <x v="0"/>
    <d v="2025-12-18T00:00:00"/>
    <s v="WANGEN"/>
    <s v="MI 19.10: CR008 - SPS requirements"/>
    <s v=" "/>
    <m/>
  </r>
  <r>
    <x v="0"/>
    <x v="0"/>
    <x v="25"/>
    <x v="25"/>
    <x v="2"/>
    <x v="0"/>
    <x v="135"/>
    <x v="0"/>
    <x v="1"/>
    <s v="Confirmed"/>
    <m/>
    <x v="5"/>
    <x v="0"/>
    <d v="2025-12-18T00:00:00"/>
    <s v="WANGEN"/>
    <s v="MI 19.10: CR008 - SPS requirements"/>
    <s v=" "/>
    <m/>
  </r>
  <r>
    <x v="1"/>
    <x v="0"/>
    <x v="25"/>
    <x v="25"/>
    <x v="3"/>
    <x v="0"/>
    <x v="135"/>
    <x v="0"/>
    <x v="1"/>
    <s v="Confirmed"/>
    <m/>
    <x v="5"/>
    <x v="0"/>
    <d v="2025-12-18T00:00:00"/>
    <s v="WANGEN"/>
    <s v="MI 19.10: CR008 - SPS requirements"/>
    <s v=" "/>
    <m/>
  </r>
  <r>
    <x v="0"/>
    <x v="0"/>
    <x v="25"/>
    <x v="25"/>
    <x v="4"/>
    <x v="2"/>
    <x v="135"/>
    <x v="0"/>
    <x v="1"/>
    <s v="Confirmed"/>
    <m/>
    <x v="5"/>
    <x v="0"/>
    <d v="2025-12-18T00:00:00"/>
    <s v="WANGEN"/>
    <s v="MI 19.10: CR008 - SPS requirements"/>
    <s v=" "/>
    <m/>
  </r>
  <r>
    <x v="0"/>
    <x v="0"/>
    <x v="25"/>
    <x v="25"/>
    <x v="5"/>
    <x v="2"/>
    <x v="135"/>
    <x v="0"/>
    <x v="1"/>
    <s v="Confirmed"/>
    <m/>
    <x v="5"/>
    <x v="0"/>
    <d v="2025-12-18T00:00:00"/>
    <s v="WANGEN"/>
    <s v="MI 19.10: CR008 - SPS requirements"/>
    <s v=" "/>
    <m/>
  </r>
  <r>
    <x v="1"/>
    <x v="3"/>
    <x v="25"/>
    <x v="25"/>
    <x v="1"/>
    <x v="4"/>
    <x v="136"/>
    <x v="6"/>
    <x v="16"/>
    <s v="To Validate"/>
    <m/>
    <x v="11"/>
    <x v="0"/>
    <d v="2025-12-18T00:00:00"/>
    <s v="ITSR4G"/>
    <s v="MI 19.10: CR008 - SPS requirements"/>
    <s v="As we are digitalising our restricted items storage operation, we need MiFi Routers in each of the restricted items storages. Or mobile with Data sim will work. "/>
    <m/>
  </r>
  <r>
    <x v="1"/>
    <x v="3"/>
    <x v="25"/>
    <x v="25"/>
    <x v="0"/>
    <x v="4"/>
    <x v="136"/>
    <x v="6"/>
    <x v="16"/>
    <s v="To Validate"/>
    <m/>
    <x v="14"/>
    <x v="0"/>
    <d v="2025-12-18T00:00:00"/>
    <s v="ITSR4G"/>
    <s v="MI 19.10: CR008 - SPS requirements"/>
    <s v="As we are digitalising our restricted items storage operation, we need MiFi Routers in each of the restricted items storages. Or mobile with Data sim will work. "/>
    <m/>
  </r>
  <r>
    <x v="1"/>
    <x v="3"/>
    <x v="25"/>
    <x v="25"/>
    <x v="2"/>
    <x v="4"/>
    <x v="136"/>
    <x v="6"/>
    <x v="16"/>
    <s v="To Validate"/>
    <m/>
    <x v="9"/>
    <x v="0"/>
    <d v="2025-12-18T00:00:00"/>
    <s v="ITSR4G"/>
    <s v="MI 19.10: CR008 - SPS requirements"/>
    <s v="As we are digitalising our restricted items storage operation, we need MiFi Routers in each of the restricted items storages. Or mobile with Data sim will work. "/>
    <m/>
  </r>
  <r>
    <x v="1"/>
    <x v="3"/>
    <x v="25"/>
    <x v="25"/>
    <x v="3"/>
    <x v="4"/>
    <x v="136"/>
    <x v="6"/>
    <x v="16"/>
    <s v="To Validate"/>
    <n v="4"/>
    <x v="6"/>
    <x v="0"/>
    <d v="2025-12-18T00:00:00"/>
    <s v="ITSR4G"/>
    <s v="MI 19.10: CR008 - SPS requirements_x000a_SK 22.11: implemented based on legacy/OVL availability"/>
    <s v="As we are digitalising our restricted items storage operation, we need MiFi Routers in each of the restricted items storages. Or mobile with Data sim will work. "/>
    <m/>
  </r>
  <r>
    <x v="1"/>
    <x v="3"/>
    <x v="25"/>
    <x v="25"/>
    <x v="4"/>
    <x v="4"/>
    <x v="136"/>
    <x v="6"/>
    <x v="16"/>
    <s v="To Validate"/>
    <m/>
    <x v="9"/>
    <x v="0"/>
    <d v="2025-12-18T00:00:00"/>
    <s v="ITSR4G"/>
    <s v="MI 19.10: CR008 - SPS requirements"/>
    <s v="As we are digitalising our restricted items storage operation, we need MiFi Routers in each of the restricted items storages. Or mobile with Data sim will work. "/>
    <m/>
  </r>
  <r>
    <x v="1"/>
    <x v="3"/>
    <x v="25"/>
    <x v="25"/>
    <x v="5"/>
    <x v="4"/>
    <x v="136"/>
    <x v="6"/>
    <x v="16"/>
    <s v="To Validate"/>
    <m/>
    <x v="9"/>
    <x v="0"/>
    <d v="2025-12-18T00:00:00"/>
    <s v="ITSR4G"/>
    <s v="MI 19.10: CR008 - SPS requirements"/>
    <s v="As we are digitalising our restricted items storage operation, we need MiFi Routers in each of the restricted items storages. Or mobile with Data sim will work. "/>
    <m/>
  </r>
  <r>
    <x v="1"/>
    <x v="1"/>
    <x v="25"/>
    <x v="25"/>
    <x v="1"/>
    <x v="4"/>
    <x v="136"/>
    <x v="2"/>
    <x v="3"/>
    <s v="Confirmed"/>
    <m/>
    <x v="56"/>
    <x v="0"/>
    <d v="2025-12-18T00:00:00"/>
    <s v="LAPOPS"/>
    <s v="MI 19.10: CR008 - SPS requirements"/>
    <s v="As we are digitalising our restricted items storage operation, we need laptops for all the RIS operators to use the application"/>
    <m/>
  </r>
  <r>
    <x v="1"/>
    <x v="1"/>
    <x v="25"/>
    <x v="25"/>
    <x v="0"/>
    <x v="4"/>
    <x v="136"/>
    <x v="2"/>
    <x v="3"/>
    <s v="Confirmed"/>
    <m/>
    <x v="13"/>
    <x v="0"/>
    <d v="2025-12-18T00:00:00"/>
    <s v="LAPOPS"/>
    <s v="MI 19.10: CR008 - SPS requirements"/>
    <s v="As we are digitalising our restricted items storage operation, we need laptops for all the RIS operators to use the application"/>
    <m/>
  </r>
  <r>
    <x v="1"/>
    <x v="1"/>
    <x v="25"/>
    <x v="25"/>
    <x v="2"/>
    <x v="4"/>
    <x v="136"/>
    <x v="2"/>
    <x v="3"/>
    <s v="Confirmed"/>
    <m/>
    <x v="15"/>
    <x v="0"/>
    <d v="2025-12-18T00:00:00"/>
    <s v="LAPOPS"/>
    <s v="MI 19.10: CR008 - SPS requirements"/>
    <s v="As we are digitalising our restricted items storage operation, we need laptops for all the RIS operators to use the application"/>
    <m/>
  </r>
  <r>
    <x v="1"/>
    <x v="1"/>
    <x v="25"/>
    <x v="25"/>
    <x v="3"/>
    <x v="4"/>
    <x v="136"/>
    <x v="2"/>
    <x v="3"/>
    <s v="Confirmed"/>
    <m/>
    <x v="15"/>
    <x v="0"/>
    <d v="2025-12-18T00:00:00"/>
    <s v="LAPOPS"/>
    <s v="MI 19.10: CR008 - SPS requirements"/>
    <s v="As we are digitalising our restricted items storage operation, we need laptops for all the RIS operators to use the application"/>
    <m/>
  </r>
  <r>
    <x v="1"/>
    <x v="1"/>
    <x v="25"/>
    <x v="25"/>
    <x v="4"/>
    <x v="4"/>
    <x v="136"/>
    <x v="2"/>
    <x v="3"/>
    <s v="Confirmed"/>
    <m/>
    <x v="57"/>
    <x v="0"/>
    <d v="2025-12-18T00:00:00"/>
    <s v="LAPOPS"/>
    <s v="MI 19.10: CR008 - SPS requirements"/>
    <s v="As we are digitalising our restricted items storage operation, we need laptops for all the RIS operators to use the application"/>
    <m/>
  </r>
  <r>
    <x v="1"/>
    <x v="1"/>
    <x v="25"/>
    <x v="25"/>
    <x v="5"/>
    <x v="4"/>
    <x v="136"/>
    <x v="2"/>
    <x v="3"/>
    <s v="Confirmed"/>
    <m/>
    <x v="57"/>
    <x v="0"/>
    <d v="2025-12-18T00:00:00"/>
    <s v="LAPOPS"/>
    <s v="MI 19.10: CR008 - SPS requirements"/>
    <s v="As we are digitalising our restricted items storage operation, we need laptops for all the RIS operators to use the application"/>
    <m/>
  </r>
  <r>
    <x v="1"/>
    <x v="1"/>
    <x v="25"/>
    <x v="25"/>
    <x v="1"/>
    <x v="4"/>
    <x v="136"/>
    <x v="2"/>
    <x v="4"/>
    <s v="Confirmed"/>
    <m/>
    <x v="56"/>
    <x v="0"/>
    <d v="2025-12-18T00:00:00"/>
    <s v="ACCBAR"/>
    <s v="MI 19.10: CR008 - SPS requirements"/>
    <s v=" "/>
    <m/>
  </r>
  <r>
    <x v="1"/>
    <x v="1"/>
    <x v="25"/>
    <x v="25"/>
    <x v="0"/>
    <x v="4"/>
    <x v="136"/>
    <x v="2"/>
    <x v="4"/>
    <s v="Confirmed"/>
    <m/>
    <x v="13"/>
    <x v="0"/>
    <d v="2025-12-18T00:00:00"/>
    <s v="ACCBAR"/>
    <s v="MI 19.10: CR008 - SPS requirements"/>
    <s v=" "/>
    <m/>
  </r>
  <r>
    <x v="1"/>
    <x v="1"/>
    <x v="25"/>
    <x v="25"/>
    <x v="2"/>
    <x v="4"/>
    <x v="136"/>
    <x v="2"/>
    <x v="4"/>
    <s v="Confirmed"/>
    <m/>
    <x v="15"/>
    <x v="0"/>
    <d v="2025-12-18T00:00:00"/>
    <s v="ACCBAR"/>
    <s v="MI 19.10: CR008 - SPS requirements"/>
    <s v=" "/>
    <m/>
  </r>
  <r>
    <x v="1"/>
    <x v="1"/>
    <x v="25"/>
    <x v="25"/>
    <x v="3"/>
    <x v="4"/>
    <x v="136"/>
    <x v="2"/>
    <x v="4"/>
    <s v="Confirmed"/>
    <m/>
    <x v="15"/>
    <x v="0"/>
    <d v="2025-12-18T00:00:00"/>
    <s v="ACCBAR"/>
    <s v="MI 19.10: CR008 - SPS requirements"/>
    <s v=" "/>
    <m/>
  </r>
  <r>
    <x v="1"/>
    <x v="1"/>
    <x v="25"/>
    <x v="25"/>
    <x v="4"/>
    <x v="4"/>
    <x v="136"/>
    <x v="2"/>
    <x v="4"/>
    <s v="Confirmed"/>
    <m/>
    <x v="57"/>
    <x v="0"/>
    <d v="2025-12-18T00:00:00"/>
    <s v="ACCBAR"/>
    <s v="MI 19.10: CR008 - SPS requirements"/>
    <s v=" "/>
    <m/>
  </r>
  <r>
    <x v="1"/>
    <x v="1"/>
    <x v="25"/>
    <x v="25"/>
    <x v="5"/>
    <x v="4"/>
    <x v="136"/>
    <x v="2"/>
    <x v="4"/>
    <s v="Confirmed"/>
    <m/>
    <x v="57"/>
    <x v="0"/>
    <d v="2025-12-18T00:00:00"/>
    <s v="ACCBAR"/>
    <s v="MI 19.10: CR008 - SPS requirements"/>
    <s v=" "/>
    <m/>
  </r>
  <r>
    <x v="1"/>
    <x v="3"/>
    <x v="25"/>
    <x v="25"/>
    <x v="1"/>
    <x v="4"/>
    <x v="136"/>
    <x v="6"/>
    <x v="20"/>
    <s v="Confirmed"/>
    <m/>
    <x v="14"/>
    <x v="0"/>
    <d v="2025-12-18T00:00:00"/>
    <s v="SIMDAT"/>
    <s v="MI 19.10: CR008 - SPS requirements"/>
    <s v="These mobile devices are required for the stroller storage operation. Will use the data to access the SPS Storage web application "/>
    <m/>
  </r>
  <r>
    <x v="1"/>
    <x v="3"/>
    <x v="25"/>
    <x v="25"/>
    <x v="0"/>
    <x v="4"/>
    <x v="136"/>
    <x v="6"/>
    <x v="20"/>
    <s v="Confirmed"/>
    <m/>
    <x v="58"/>
    <x v="0"/>
    <d v="2025-12-18T00:00:00"/>
    <s v="SIMDAT"/>
    <s v="MI 19.10: CR008 - SPS requirements"/>
    <s v="These mobile devices are required for the stroller storage operation. Will use the data to access the SPS Storage web application "/>
    <m/>
  </r>
  <r>
    <x v="1"/>
    <x v="3"/>
    <x v="25"/>
    <x v="25"/>
    <x v="2"/>
    <x v="4"/>
    <x v="136"/>
    <x v="6"/>
    <x v="20"/>
    <s v="Confirmed"/>
    <m/>
    <x v="14"/>
    <x v="0"/>
    <d v="2025-12-18T00:00:00"/>
    <s v="SIMDAT"/>
    <s v="MI 19.10: CR008 - SPS requirements"/>
    <s v="These mobile devices are required for the stroller storage operation. Will use the data to access the SPS Storage web application "/>
    <m/>
  </r>
  <r>
    <x v="1"/>
    <x v="3"/>
    <x v="25"/>
    <x v="25"/>
    <x v="3"/>
    <x v="4"/>
    <x v="136"/>
    <x v="6"/>
    <x v="20"/>
    <s v="Confirmed"/>
    <m/>
    <x v="14"/>
    <x v="0"/>
    <d v="2025-12-18T00:00:00"/>
    <s v="SIMDAT"/>
    <s v="MI 19.10: CR008 - SPS requirements"/>
    <s v="These mobile devices are required for the stroller storage operation. Will use the data to access the SPS Storage web application "/>
    <m/>
  </r>
  <r>
    <x v="1"/>
    <x v="3"/>
    <x v="25"/>
    <x v="25"/>
    <x v="4"/>
    <x v="4"/>
    <x v="136"/>
    <x v="6"/>
    <x v="20"/>
    <s v="Confirmed"/>
    <m/>
    <x v="14"/>
    <x v="0"/>
    <d v="2025-12-18T00:00:00"/>
    <s v="SIMDAT"/>
    <s v="MI 19.10: CR008 - SPS requirements"/>
    <s v="These mobile devices are required for the stroller storage operation. Will use the data to access the SPS Storage web application "/>
    <m/>
  </r>
  <r>
    <x v="1"/>
    <x v="3"/>
    <x v="25"/>
    <x v="25"/>
    <x v="5"/>
    <x v="4"/>
    <x v="136"/>
    <x v="6"/>
    <x v="20"/>
    <s v="Confirmed"/>
    <m/>
    <x v="14"/>
    <x v="0"/>
    <d v="2025-12-18T00:00:00"/>
    <s v="SIMDAT"/>
    <s v="MI 19.10: CR008 - SPS requirements"/>
    <s v="These mobile devices are required for the stroller storage operation. Will use the data to access the SPS Storage web application "/>
    <m/>
  </r>
  <r>
    <x v="1"/>
    <x v="2"/>
    <x v="26"/>
    <x v="26"/>
    <x v="0"/>
    <x v="17"/>
    <x v="137"/>
    <x v="5"/>
    <x v="8"/>
    <s v="Confirmed"/>
    <n v="22"/>
    <x v="52"/>
    <x v="33"/>
    <m/>
    <s v="AVRSPE"/>
    <s v="MI 30.10: Quantity reduced from 10 to 8 after CR evaluation_x000a_MI 19.10: CR009 HOS requirements"/>
    <m/>
    <m/>
  </r>
  <r>
    <x v="0"/>
    <x v="0"/>
    <x v="26"/>
    <x v="26"/>
    <x v="0"/>
    <x v="17"/>
    <x v="137"/>
    <x v="0"/>
    <x v="33"/>
    <s v="Confirmed"/>
    <m/>
    <x v="5"/>
    <x v="33"/>
    <m/>
    <s v="WANGEN"/>
    <s v="MI 19.10: CR009 HOS requirements"/>
    <m/>
    <m/>
  </r>
  <r>
    <x v="0"/>
    <x v="2"/>
    <x v="26"/>
    <x v="26"/>
    <x v="4"/>
    <x v="17"/>
    <x v="137"/>
    <x v="5"/>
    <x v="8"/>
    <s v="Confirmed"/>
    <n v="6"/>
    <x v="11"/>
    <x v="33"/>
    <m/>
    <s v="AVRSPE"/>
    <s v="MI 30.10: Quantity reduced from 16 to 4 after CR evaluation_x000a_MI 19.10: CR009 HOS requirements"/>
    <m/>
    <m/>
  </r>
  <r>
    <x v="0"/>
    <x v="0"/>
    <x v="26"/>
    <x v="26"/>
    <x v="4"/>
    <x v="17"/>
    <x v="137"/>
    <x v="0"/>
    <x v="33"/>
    <s v="Confirmed"/>
    <m/>
    <x v="5"/>
    <x v="33"/>
    <m/>
    <s v="WANGEN"/>
    <s v="MI 19.10: CR009 HOS requirements"/>
    <m/>
    <m/>
  </r>
  <r>
    <x v="0"/>
    <x v="2"/>
    <x v="26"/>
    <x v="26"/>
    <x v="1"/>
    <x v="17"/>
    <x v="137"/>
    <x v="5"/>
    <x v="8"/>
    <s v="Confirmed"/>
    <n v="26"/>
    <x v="59"/>
    <x v="33"/>
    <m/>
    <s v="AVRSPE"/>
    <s v="MI 30.10: Quantity reduced from 26 to 16 after CR evaluation_x000a_MI 19.10: CR009 HOS requirements"/>
    <m/>
    <m/>
  </r>
  <r>
    <x v="0"/>
    <x v="0"/>
    <x v="26"/>
    <x v="26"/>
    <x v="1"/>
    <x v="17"/>
    <x v="137"/>
    <x v="0"/>
    <x v="33"/>
    <s v="Confirmed"/>
    <m/>
    <x v="5"/>
    <x v="33"/>
    <m/>
    <s v="WANGEN"/>
    <s v="MI 19.10: CR009 HOS requirements"/>
    <m/>
    <m/>
  </r>
  <r>
    <x v="0"/>
    <x v="2"/>
    <x v="26"/>
    <x v="26"/>
    <x v="5"/>
    <x v="17"/>
    <x v="137"/>
    <x v="5"/>
    <x v="8"/>
    <s v="Confirmed"/>
    <n v="10"/>
    <x v="10"/>
    <x v="33"/>
    <m/>
    <s v="AVRSPE"/>
    <s v="MI 30.10: Quantity reduced from 10 to 8 after CR evaluation_x000a_MI 19.10: CR009 HOS requirements"/>
    <m/>
    <m/>
  </r>
  <r>
    <x v="0"/>
    <x v="0"/>
    <x v="26"/>
    <x v="26"/>
    <x v="5"/>
    <x v="17"/>
    <x v="137"/>
    <x v="0"/>
    <x v="33"/>
    <s v="Confirmed"/>
    <m/>
    <x v="5"/>
    <x v="33"/>
    <m/>
    <s v="WANGEN"/>
    <s v="MI 19.10: CR009 HOS requirements"/>
    <m/>
    <m/>
  </r>
  <r>
    <x v="1"/>
    <x v="2"/>
    <x v="26"/>
    <x v="26"/>
    <x v="3"/>
    <x v="17"/>
    <x v="137"/>
    <x v="5"/>
    <x v="8"/>
    <s v="Canceled"/>
    <n v="14"/>
    <x v="7"/>
    <x v="33"/>
    <m/>
    <s v="AVRSPE"/>
    <s v="MI 30.10: Quantity reduced from 14  to 0 after CR evaluation_x000a_MI 19.10: CR009 HOS requirements"/>
    <m/>
    <m/>
  </r>
  <r>
    <x v="1"/>
    <x v="0"/>
    <x v="26"/>
    <x v="26"/>
    <x v="3"/>
    <x v="17"/>
    <x v="137"/>
    <x v="0"/>
    <x v="33"/>
    <s v="Confirmed"/>
    <n v="1"/>
    <x v="5"/>
    <x v="33"/>
    <m/>
    <s v="WANGEN"/>
    <s v="MI 30.10: Quantity reduced to 0 as TV requirement removed_x000a_MI 19.10: CR009 HOS requirements"/>
    <m/>
    <m/>
  </r>
  <r>
    <x v="1"/>
    <x v="2"/>
    <x v="26"/>
    <x v="26"/>
    <x v="2"/>
    <x v="17"/>
    <x v="137"/>
    <x v="5"/>
    <x v="8"/>
    <s v="Canceled"/>
    <n v="4"/>
    <x v="7"/>
    <x v="33"/>
    <m/>
    <s v="AVRSPE"/>
    <s v="MI 30.10: Quantity reduced from 4  to 0 after CR evaluation_x000a_MI 19.10: CR009 HOS requirements"/>
    <m/>
    <m/>
  </r>
  <r>
    <x v="0"/>
    <x v="0"/>
    <x v="26"/>
    <x v="26"/>
    <x v="2"/>
    <x v="17"/>
    <x v="137"/>
    <x v="0"/>
    <x v="33"/>
    <s v="Confirmed"/>
    <n v="1"/>
    <x v="5"/>
    <x v="33"/>
    <m/>
    <s v="WANGEN"/>
    <s v="MI 30.10: Quantity reduced to 0 as TV requirement removed_x000a_MI 19.10: CR009 HOS requirements"/>
    <m/>
    <m/>
  </r>
  <r>
    <x v="0"/>
    <x v="3"/>
    <x v="24"/>
    <x v="24"/>
    <x v="6"/>
    <x v="16"/>
    <x v="133"/>
    <x v="6"/>
    <x v="10"/>
    <s v="Confirmed"/>
    <m/>
    <x v="5"/>
    <x v="10"/>
    <d v="2025-12-20T00:00:00"/>
    <s v="SIMDAT"/>
    <s v="MI 19.10: CR007 - Vodafone SIM card by AND "/>
    <m/>
    <m/>
  </r>
  <r>
    <x v="1"/>
    <x v="2"/>
    <x v="21"/>
    <x v="21"/>
    <x v="0"/>
    <x v="10"/>
    <x v="88"/>
    <x v="5"/>
    <x v="8"/>
    <s v="Confirmed"/>
    <m/>
    <x v="5"/>
    <x v="18"/>
    <d v="2025-11-19T00:00:00"/>
    <s v="AVRSPE"/>
    <s v="MI 19.10: CR010: FIFA Request for TV at the Mixed Zone "/>
    <m/>
    <m/>
  </r>
  <r>
    <x v="0"/>
    <x v="2"/>
    <x v="21"/>
    <x v="21"/>
    <x v="4"/>
    <x v="10"/>
    <x v="88"/>
    <x v="5"/>
    <x v="8"/>
    <s v="Confirmed"/>
    <m/>
    <x v="5"/>
    <x v="18"/>
    <d v="2025-11-18T00:00:00"/>
    <s v="AVRSPE"/>
    <s v="MI 19.10: CR010: FIFA Request for TV at the Mixed Zone "/>
    <m/>
    <m/>
  </r>
  <r>
    <x v="0"/>
    <x v="2"/>
    <x v="21"/>
    <x v="21"/>
    <x v="1"/>
    <x v="10"/>
    <x v="88"/>
    <x v="5"/>
    <x v="8"/>
    <s v="Confirmed"/>
    <m/>
    <x v="5"/>
    <x v="18"/>
    <d v="2025-10-16T00:00:00"/>
    <s v="AVRSPE"/>
    <s v="MI 19.10: CR010: FIFA Request for TV at the Mixed Zone "/>
    <m/>
    <m/>
  </r>
  <r>
    <x v="0"/>
    <x v="2"/>
    <x v="21"/>
    <x v="21"/>
    <x v="5"/>
    <x v="10"/>
    <x v="88"/>
    <x v="5"/>
    <x v="8"/>
    <s v="Confirmed"/>
    <m/>
    <x v="5"/>
    <x v="18"/>
    <d v="2025-11-19T00:00:00"/>
    <s v="AVRSPE"/>
    <s v="MI 19.10: CR010: FIFA Request for TV at the Mixed Zone "/>
    <m/>
    <m/>
  </r>
  <r>
    <x v="0"/>
    <x v="2"/>
    <x v="21"/>
    <x v="21"/>
    <x v="3"/>
    <x v="10"/>
    <x v="88"/>
    <x v="5"/>
    <x v="8"/>
    <s v="Confirmed"/>
    <m/>
    <x v="5"/>
    <x v="18"/>
    <d v="2025-11-18T00:00:00"/>
    <s v="AVRSPE"/>
    <s v="MI 19.10: CR010: FIFA Request for TV at the Mixed Zone "/>
    <m/>
    <m/>
  </r>
  <r>
    <x v="0"/>
    <x v="2"/>
    <x v="21"/>
    <x v="21"/>
    <x v="2"/>
    <x v="10"/>
    <x v="88"/>
    <x v="5"/>
    <x v="8"/>
    <s v="Confirmed"/>
    <m/>
    <x v="5"/>
    <x v="18"/>
    <d v="2025-11-17T00:00:00"/>
    <s v="AVRSPE"/>
    <s v="MI 19.10: CR010: FIFA Request for TV at the Mixed Zone "/>
    <m/>
    <m/>
  </r>
  <r>
    <x v="0"/>
    <x v="2"/>
    <x v="15"/>
    <x v="15"/>
    <x v="1"/>
    <x v="2"/>
    <x v="61"/>
    <x v="3"/>
    <x v="5"/>
    <s v="Confirmed"/>
    <m/>
    <x v="5"/>
    <x v="4"/>
    <d v="2025-12-15T00:00:00"/>
    <s v="TVLGIP"/>
    <s v="SK 27/10: Confirmed with Bradley to keep 1 IPTV and 1 Standalone TV"/>
    <s v="TVs to be used at Comm/MRD Partners Offices &amp;  YP Room with possible use of Playstations"/>
    <m/>
  </r>
  <r>
    <x v="1"/>
    <x v="2"/>
    <x v="15"/>
    <x v="15"/>
    <x v="0"/>
    <x v="2"/>
    <x v="61"/>
    <x v="3"/>
    <x v="5"/>
    <s v="Confirmed"/>
    <m/>
    <x v="5"/>
    <x v="4"/>
    <d v="2025-12-15T00:00:00"/>
    <s v="TVLGIP"/>
    <s v="SK 27/10: Confirmed with Bradley Habana to keep 1 IPTV and 1 Standalone TV"/>
    <s v="TVs to be used at Comm/MRD Partners Offices &amp;  YP Room with possible use of Playstations"/>
    <m/>
  </r>
  <r>
    <x v="0"/>
    <x v="2"/>
    <x v="15"/>
    <x v="15"/>
    <x v="2"/>
    <x v="2"/>
    <x v="61"/>
    <x v="3"/>
    <x v="5"/>
    <s v="Confirmed"/>
    <m/>
    <x v="5"/>
    <x v="4"/>
    <d v="2025-12-15T00:00:00"/>
    <s v="TVLGIP"/>
    <s v="SK 27/10: Confirmed with Bradley to keep 1 IPTV and 1 Standalone TV"/>
    <s v="TVs to be used at Comm/MRD Partners Offices &amp;  YP Room with possible use of Playstations"/>
    <m/>
  </r>
  <r>
    <x v="0"/>
    <x v="2"/>
    <x v="15"/>
    <x v="15"/>
    <x v="3"/>
    <x v="2"/>
    <x v="61"/>
    <x v="3"/>
    <x v="5"/>
    <s v="Confirmed"/>
    <m/>
    <x v="5"/>
    <x v="4"/>
    <d v="2025-12-15T00:00:00"/>
    <s v="TVLGIP"/>
    <s v="SK 27/10: Confirmed with Bradley to keep 1 IPTV and 1 Standalone TV"/>
    <s v="TVs to be used at Comm/MRD Partners Offices &amp;  YP Room with possible use of Playstations"/>
    <m/>
  </r>
  <r>
    <x v="0"/>
    <x v="2"/>
    <x v="15"/>
    <x v="15"/>
    <x v="4"/>
    <x v="2"/>
    <x v="61"/>
    <x v="3"/>
    <x v="5"/>
    <s v="Confirmed"/>
    <m/>
    <x v="5"/>
    <x v="4"/>
    <d v="2025-12-15T00:00:00"/>
    <s v="TVLGIP"/>
    <s v="SK 27/10: Confirmed with Bradley to keep 1 IPTV and 1 Standalone TV"/>
    <s v="TVs to be used at Comm/MRD Partners Offices &amp;  YP Room with possible use of Playstations"/>
    <m/>
  </r>
  <r>
    <x v="0"/>
    <x v="2"/>
    <x v="15"/>
    <x v="15"/>
    <x v="5"/>
    <x v="2"/>
    <x v="61"/>
    <x v="3"/>
    <x v="5"/>
    <s v="Confirmed"/>
    <m/>
    <x v="5"/>
    <x v="4"/>
    <d v="2025-12-15T00:00:00"/>
    <s v="TVLGIP"/>
    <s v="SK 27/10: Confirmed with Bradley to keep 1 IPTV and 1 Standalone TV"/>
    <s v="TVs to be used at Comm/MRD Partners Offices &amp;  YP Room with possible use of Playstations"/>
    <m/>
  </r>
  <r>
    <x v="0"/>
    <x v="0"/>
    <x v="21"/>
    <x v="21"/>
    <x v="2"/>
    <x v="8"/>
    <x v="138"/>
    <x v="4"/>
    <x v="6"/>
    <s v="Confirmed"/>
    <m/>
    <x v="10"/>
    <x v="11"/>
    <d v="2025-12-16T00:00:00"/>
    <s v="WRDGEN"/>
    <m/>
    <m/>
    <m/>
  </r>
  <r>
    <x v="0"/>
    <x v="0"/>
    <x v="21"/>
    <x v="21"/>
    <x v="3"/>
    <x v="8"/>
    <x v="138"/>
    <x v="4"/>
    <x v="6"/>
    <s v="Confirmed"/>
    <m/>
    <x v="10"/>
    <x v="11"/>
    <d v="2025-12-16T00:00:00"/>
    <s v="WRDGEN"/>
    <m/>
    <m/>
    <m/>
  </r>
  <r>
    <x v="0"/>
    <x v="0"/>
    <x v="21"/>
    <x v="21"/>
    <x v="1"/>
    <x v="8"/>
    <x v="138"/>
    <x v="4"/>
    <x v="6"/>
    <s v="Confirmed"/>
    <m/>
    <x v="10"/>
    <x v="11"/>
    <d v="2025-12-16T00:00:00"/>
    <s v="WRDGEN"/>
    <m/>
    <m/>
    <m/>
  </r>
  <r>
    <x v="0"/>
    <x v="0"/>
    <x v="21"/>
    <x v="21"/>
    <x v="4"/>
    <x v="8"/>
    <x v="138"/>
    <x v="4"/>
    <x v="6"/>
    <s v="Confirmed"/>
    <m/>
    <x v="10"/>
    <x v="11"/>
    <d v="2025-12-16T00:00:00"/>
    <s v="WRDGEN"/>
    <m/>
    <m/>
    <m/>
  </r>
  <r>
    <x v="0"/>
    <x v="0"/>
    <x v="21"/>
    <x v="21"/>
    <x v="5"/>
    <x v="8"/>
    <x v="138"/>
    <x v="4"/>
    <x v="6"/>
    <s v="Confirmed"/>
    <m/>
    <x v="10"/>
    <x v="11"/>
    <d v="2025-12-16T00:00:00"/>
    <s v="WRDGEN"/>
    <m/>
    <m/>
    <m/>
  </r>
  <r>
    <x v="0"/>
    <x v="0"/>
    <x v="21"/>
    <x v="21"/>
    <x v="0"/>
    <x v="8"/>
    <x v="138"/>
    <x v="4"/>
    <x v="12"/>
    <s v="Confirmed"/>
    <m/>
    <x v="10"/>
    <x v="11"/>
    <d v="2025-12-16T00:00:00"/>
    <s v="WRDGEN"/>
    <m/>
    <m/>
    <m/>
  </r>
  <r>
    <x v="0"/>
    <x v="0"/>
    <x v="21"/>
    <x v="21"/>
    <x v="1"/>
    <x v="10"/>
    <x v="95"/>
    <x v="0"/>
    <x v="18"/>
    <s v="Confirmed"/>
    <m/>
    <x v="6"/>
    <x v="11"/>
    <d v="2025-12-16T00:00:00"/>
    <s v="AVSPCR"/>
    <m/>
    <s v="Media Welcome Desk (Located in Photographers' Working Area L2)"/>
    <s v="FAC00850"/>
  </r>
  <r>
    <x v="1"/>
    <x v="1"/>
    <x v="22"/>
    <x v="22"/>
    <x v="1"/>
    <x v="3"/>
    <x v="116"/>
    <x v="1"/>
    <x v="7"/>
    <s v="Confirmed"/>
    <n v="1"/>
    <x v="6"/>
    <x v="13"/>
    <d v="2025-12-28T00:00:00"/>
    <s v="MFDDNW"/>
    <s v="Contingency + 1 from TKT"/>
    <m/>
    <m/>
  </r>
  <r>
    <x v="1"/>
    <x v="1"/>
    <x v="22"/>
    <x v="22"/>
    <x v="0"/>
    <x v="3"/>
    <x v="116"/>
    <x v="1"/>
    <x v="7"/>
    <s v="Confirmed"/>
    <n v="1"/>
    <x v="6"/>
    <x v="13"/>
    <d v="2025-12-28T00:00:00"/>
    <s v="MFDDNW"/>
    <s v="Contingency + 1 from TKT"/>
    <m/>
    <m/>
  </r>
  <r>
    <x v="1"/>
    <x v="1"/>
    <x v="22"/>
    <x v="22"/>
    <x v="5"/>
    <x v="3"/>
    <x v="116"/>
    <x v="1"/>
    <x v="7"/>
    <s v="Confirmed"/>
    <n v="1"/>
    <x v="6"/>
    <x v="13"/>
    <d v="2025-12-28T00:00:00"/>
    <s v="MFDDNW"/>
    <s v="Contingency + 1 from TKT"/>
    <m/>
    <m/>
  </r>
  <r>
    <x v="1"/>
    <x v="1"/>
    <x v="22"/>
    <x v="22"/>
    <x v="3"/>
    <x v="3"/>
    <x v="116"/>
    <x v="1"/>
    <x v="7"/>
    <s v="Confirmed"/>
    <n v="1"/>
    <x v="6"/>
    <x v="13"/>
    <d v="2025-12-28T00:00:00"/>
    <s v="MFDDNW"/>
    <s v="Contingency + 1 from TKT"/>
    <m/>
    <m/>
  </r>
  <r>
    <x v="1"/>
    <x v="1"/>
    <x v="22"/>
    <x v="22"/>
    <x v="2"/>
    <x v="3"/>
    <x v="116"/>
    <x v="1"/>
    <x v="7"/>
    <s v="Confirmed"/>
    <n v="1"/>
    <x v="6"/>
    <x v="13"/>
    <d v="2025-12-28T00:00:00"/>
    <s v="MFDDNW"/>
    <s v="Contingency + 1 from TKT"/>
    <m/>
    <m/>
  </r>
  <r>
    <x v="1"/>
    <x v="1"/>
    <x v="22"/>
    <x v="22"/>
    <x v="4"/>
    <x v="3"/>
    <x v="116"/>
    <x v="1"/>
    <x v="7"/>
    <s v="Confirmed"/>
    <n v="1"/>
    <x v="6"/>
    <x v="13"/>
    <d v="2025-12-28T00:00:00"/>
    <s v="MFDDNW"/>
    <s v="Contingency + 1 from TKT"/>
    <m/>
    <m/>
  </r>
  <r>
    <x v="1"/>
    <x v="1"/>
    <x v="22"/>
    <x v="22"/>
    <x v="3"/>
    <x v="3"/>
    <x v="116"/>
    <x v="1"/>
    <x v="7"/>
    <s v="Confirmed"/>
    <m/>
    <x v="5"/>
    <x v="5"/>
    <d v="2025-12-19T00:00:00"/>
    <s v="MFDDNW"/>
    <s v="Moved from VAHO to store for contingency"/>
    <m/>
    <m/>
  </r>
  <r>
    <x v="1"/>
    <x v="1"/>
    <x v="22"/>
    <x v="22"/>
    <x v="0"/>
    <x v="3"/>
    <x v="116"/>
    <x v="1"/>
    <x v="7"/>
    <s v="Confirmed"/>
    <m/>
    <x v="5"/>
    <x v="5"/>
    <d v="2025-12-19T00:00:00"/>
    <s v="MFDDNW"/>
    <s v="Moved from VAHO to store for contingency"/>
    <m/>
    <m/>
  </r>
  <r>
    <x v="1"/>
    <x v="1"/>
    <x v="22"/>
    <x v="22"/>
    <x v="2"/>
    <x v="3"/>
    <x v="116"/>
    <x v="1"/>
    <x v="7"/>
    <s v="Confirmed"/>
    <m/>
    <x v="5"/>
    <x v="5"/>
    <d v="2025-12-19T00:00:00"/>
    <s v="MFDDNW"/>
    <s v="Moved from VAHO to store for contingency"/>
    <m/>
    <m/>
  </r>
  <r>
    <x v="0"/>
    <x v="1"/>
    <x v="22"/>
    <x v="22"/>
    <x v="4"/>
    <x v="3"/>
    <x v="116"/>
    <x v="1"/>
    <x v="7"/>
    <s v="Confirmed"/>
    <m/>
    <x v="5"/>
    <x v="5"/>
    <d v="2025-12-19T00:00:00"/>
    <s v="MFDDNW"/>
    <s v="Moved from VAHO to store for contingency"/>
    <m/>
    <m/>
  </r>
  <r>
    <x v="0"/>
    <x v="1"/>
    <x v="22"/>
    <x v="22"/>
    <x v="1"/>
    <x v="3"/>
    <x v="116"/>
    <x v="1"/>
    <x v="7"/>
    <s v="Confirmed"/>
    <m/>
    <x v="5"/>
    <x v="5"/>
    <d v="2025-12-19T00:00:00"/>
    <s v="MFDDNW"/>
    <s v="Moved from VAHO to store for contingency"/>
    <m/>
    <m/>
  </r>
  <r>
    <x v="0"/>
    <x v="1"/>
    <x v="17"/>
    <x v="17"/>
    <x v="6"/>
    <x v="18"/>
    <x v="139"/>
    <x v="1"/>
    <x v="9"/>
    <s v="Confirmed"/>
    <m/>
    <x v="5"/>
    <x v="19"/>
    <d v="2025-12-20T00:00:00"/>
    <m/>
    <m/>
    <m/>
    <m/>
  </r>
  <r>
    <x v="0"/>
    <x v="1"/>
    <x v="17"/>
    <x v="17"/>
    <x v="6"/>
    <x v="18"/>
    <x v="139"/>
    <x v="2"/>
    <x v="17"/>
    <s v="Confirmed"/>
    <m/>
    <x v="52"/>
    <x v="19"/>
    <d v="2025-12-20T00:00:00"/>
    <m/>
    <m/>
    <m/>
    <m/>
  </r>
  <r>
    <x v="0"/>
    <x v="0"/>
    <x v="17"/>
    <x v="17"/>
    <x v="6"/>
    <x v="18"/>
    <x v="140"/>
    <x v="0"/>
    <x v="1"/>
    <s v="Confirmed"/>
    <m/>
    <x v="5"/>
    <x v="19"/>
    <d v="2025-12-20T00:00:00"/>
    <m/>
    <s v="FIC staff SSID"/>
    <m/>
    <m/>
  </r>
  <r>
    <x v="0"/>
    <x v="0"/>
    <x v="17"/>
    <x v="17"/>
    <x v="6"/>
    <x v="18"/>
    <x v="140"/>
    <x v="0"/>
    <x v="22"/>
    <s v="Confirmed"/>
    <m/>
    <x v="5"/>
    <x v="19"/>
    <d v="2025-12-20T00:00:00"/>
    <m/>
    <m/>
    <m/>
    <m/>
  </r>
  <r>
    <x v="0"/>
    <x v="1"/>
    <x v="27"/>
    <x v="27"/>
    <x v="6"/>
    <x v="18"/>
    <x v="141"/>
    <x v="1"/>
    <x v="9"/>
    <s v="Confirmed"/>
    <m/>
    <x v="5"/>
    <x v="34"/>
    <d v="2025-12-20T00:00:00"/>
    <m/>
    <m/>
    <m/>
    <m/>
  </r>
  <r>
    <x v="0"/>
    <x v="3"/>
    <x v="27"/>
    <x v="27"/>
    <x v="6"/>
    <x v="18"/>
    <x v="141"/>
    <x v="6"/>
    <x v="34"/>
    <s v="Confirmed"/>
    <m/>
    <x v="47"/>
    <x v="34"/>
    <d v="2025-12-20T00:00:00"/>
    <m/>
    <s v="for Concil members with International calls"/>
    <m/>
    <m/>
  </r>
  <r>
    <x v="0"/>
    <x v="1"/>
    <x v="27"/>
    <x v="27"/>
    <x v="6"/>
    <x v="18"/>
    <x v="141"/>
    <x v="2"/>
    <x v="35"/>
    <s v="Confirmed"/>
    <m/>
    <x v="11"/>
    <x v="34"/>
    <d v="2025-12-20T00:00:00"/>
    <m/>
    <m/>
    <m/>
    <m/>
  </r>
  <r>
    <x v="0"/>
    <x v="1"/>
    <x v="27"/>
    <x v="27"/>
    <x v="6"/>
    <x v="18"/>
    <x v="142"/>
    <x v="2"/>
    <x v="17"/>
    <s v="Confirmed"/>
    <m/>
    <x v="11"/>
    <x v="34"/>
    <d v="2025-12-20T00:00:00"/>
    <m/>
    <m/>
    <m/>
    <m/>
  </r>
  <r>
    <x v="0"/>
    <x v="2"/>
    <x v="27"/>
    <x v="27"/>
    <x v="6"/>
    <x v="18"/>
    <x v="143"/>
    <x v="3"/>
    <x v="5"/>
    <s v="Confirmed"/>
    <m/>
    <x v="6"/>
    <x v="34"/>
    <d v="2025-12-20T00:00:00"/>
    <m/>
    <m/>
    <m/>
    <m/>
  </r>
  <r>
    <x v="0"/>
    <x v="2"/>
    <x v="28"/>
    <x v="28"/>
    <x v="6"/>
    <x v="19"/>
    <x v="144"/>
    <x v="3"/>
    <x v="5"/>
    <s v="Confirmed"/>
    <m/>
    <x v="6"/>
    <x v="19"/>
    <d v="2025-12-20T00:00:00"/>
    <m/>
    <m/>
    <m/>
    <m/>
  </r>
  <r>
    <x v="0"/>
    <x v="0"/>
    <x v="28"/>
    <x v="28"/>
    <x v="6"/>
    <x v="19"/>
    <x v="144"/>
    <x v="0"/>
    <x v="25"/>
    <s v="Confirmed"/>
    <m/>
    <x v="5"/>
    <x v="19"/>
    <d v="2025-12-20T00:00:00"/>
    <m/>
    <m/>
    <m/>
    <m/>
  </r>
  <r>
    <x v="0"/>
    <x v="2"/>
    <x v="28"/>
    <x v="28"/>
    <x v="6"/>
    <x v="19"/>
    <x v="145"/>
    <x v="3"/>
    <x v="36"/>
    <s v="Confirmed"/>
    <m/>
    <x v="5"/>
    <x v="8"/>
    <d v="2025-12-20T00:00:00"/>
    <s v="23 Nov deployed"/>
    <s v="propose Standalone, Standalone ok or projector"/>
    <m/>
    <m/>
  </r>
  <r>
    <x v="0"/>
    <x v="0"/>
    <x v="28"/>
    <x v="28"/>
    <x v="6"/>
    <x v="19"/>
    <x v="145"/>
    <x v="0"/>
    <x v="25"/>
    <s v="Confirmed"/>
    <m/>
    <x v="5"/>
    <x v="8"/>
    <d v="2025-12-20T00:00:00"/>
    <m/>
    <m/>
    <m/>
    <m/>
  </r>
  <r>
    <x v="0"/>
    <x v="2"/>
    <x v="28"/>
    <x v="28"/>
    <x v="6"/>
    <x v="19"/>
    <x v="146"/>
    <x v="5"/>
    <x v="8"/>
    <s v="Confirmed"/>
    <m/>
    <x v="5"/>
    <x v="8"/>
    <d v="2025-12-20T00:00:00"/>
    <s v="23 Nov deployed"/>
    <m/>
    <m/>
    <m/>
  </r>
  <r>
    <x v="0"/>
    <x v="0"/>
    <x v="28"/>
    <x v="28"/>
    <x v="6"/>
    <x v="19"/>
    <x v="146"/>
    <x v="4"/>
    <x v="6"/>
    <s v="Confirmed"/>
    <m/>
    <x v="6"/>
    <x v="8"/>
    <d v="2025-12-20T00:00:00"/>
    <s v="50Mb"/>
    <m/>
    <m/>
    <m/>
  </r>
  <r>
    <x v="0"/>
    <x v="2"/>
    <x v="28"/>
    <x v="28"/>
    <x v="6"/>
    <x v="19"/>
    <x v="146"/>
    <x v="3"/>
    <x v="36"/>
    <s v="Confirmed"/>
    <m/>
    <x v="5"/>
    <x v="8"/>
    <d v="2025-12-20T00:00:00"/>
    <m/>
    <m/>
    <m/>
    <m/>
  </r>
  <r>
    <x v="0"/>
    <x v="2"/>
    <x v="28"/>
    <x v="28"/>
    <x v="6"/>
    <x v="19"/>
    <x v="146"/>
    <x v="3"/>
    <x v="37"/>
    <s v="Confirmed"/>
    <m/>
    <x v="5"/>
    <x v="8"/>
    <d v="2025-12-20T00:00:00"/>
    <m/>
    <s v="Legacy, + Gooseneck Mic for speaker + 2 handheld"/>
    <m/>
    <m/>
  </r>
  <r>
    <x v="0"/>
    <x v="0"/>
    <x v="28"/>
    <x v="28"/>
    <x v="6"/>
    <x v="19"/>
    <x v="146"/>
    <x v="0"/>
    <x v="25"/>
    <s v="Confirmed"/>
    <m/>
    <x v="5"/>
    <x v="8"/>
    <d v="2025-12-20T00:00:00"/>
    <m/>
    <m/>
    <m/>
    <m/>
  </r>
  <r>
    <x v="0"/>
    <x v="1"/>
    <x v="28"/>
    <x v="28"/>
    <x v="6"/>
    <x v="19"/>
    <x v="147"/>
    <x v="1"/>
    <x v="7"/>
    <s v="Confirmed"/>
    <m/>
    <x v="5"/>
    <x v="8"/>
    <d v="2025-12-20T00:00:00"/>
    <s v="23 Nov deployed"/>
    <s v="can be shared with Technical Office"/>
    <m/>
    <m/>
  </r>
  <r>
    <x v="0"/>
    <x v="1"/>
    <x v="28"/>
    <x v="28"/>
    <x v="6"/>
    <x v="19"/>
    <x v="147"/>
    <x v="2"/>
    <x v="35"/>
    <s v="Confirmed"/>
    <m/>
    <x v="11"/>
    <x v="8"/>
    <d v="2025-12-20T00:00:00"/>
    <m/>
    <m/>
    <m/>
    <m/>
  </r>
  <r>
    <x v="0"/>
    <x v="2"/>
    <x v="28"/>
    <x v="28"/>
    <x v="6"/>
    <x v="19"/>
    <x v="147"/>
    <x v="5"/>
    <x v="8"/>
    <s v="Confirmed"/>
    <m/>
    <x v="11"/>
    <x v="8"/>
    <d v="2025-12-20T00:00:00"/>
    <m/>
    <s v="Cannot be reduced"/>
    <m/>
    <m/>
  </r>
  <r>
    <x v="0"/>
    <x v="0"/>
    <x v="28"/>
    <x v="28"/>
    <x v="6"/>
    <x v="19"/>
    <x v="147"/>
    <x v="4"/>
    <x v="38"/>
    <s v="Confirmed"/>
    <m/>
    <x v="5"/>
    <x v="8"/>
    <d v="2025-12-20T00:00:00"/>
    <s v="specs attached per email"/>
    <m/>
    <m/>
    <m/>
  </r>
  <r>
    <x v="0"/>
    <x v="1"/>
    <x v="28"/>
    <x v="28"/>
    <x v="6"/>
    <x v="19"/>
    <x v="147"/>
    <x v="2"/>
    <x v="17"/>
    <s v="Confirmed"/>
    <m/>
    <x v="6"/>
    <x v="8"/>
    <d v="2025-12-20T00:00:00"/>
    <m/>
    <m/>
    <m/>
    <m/>
  </r>
  <r>
    <x v="0"/>
    <x v="0"/>
    <x v="28"/>
    <x v="28"/>
    <x v="6"/>
    <x v="19"/>
    <x v="147"/>
    <x v="0"/>
    <x v="25"/>
    <s v="Confirmed"/>
    <m/>
    <x v="5"/>
    <x v="8"/>
    <d v="2025-12-20T00:00:00"/>
    <m/>
    <m/>
    <m/>
    <m/>
  </r>
  <r>
    <x v="0"/>
    <x v="1"/>
    <x v="28"/>
    <x v="28"/>
    <x v="6"/>
    <x v="19"/>
    <x v="148"/>
    <x v="1"/>
    <x v="7"/>
    <s v="Confirmed"/>
    <m/>
    <x v="5"/>
    <x v="8"/>
    <d v="2025-12-20T00:00:00"/>
    <s v="23 Nov deployed"/>
    <s v="can be shared with match Analyst"/>
    <m/>
    <m/>
  </r>
  <r>
    <x v="0"/>
    <x v="2"/>
    <x v="28"/>
    <x v="28"/>
    <x v="6"/>
    <x v="19"/>
    <x v="148"/>
    <x v="3"/>
    <x v="36"/>
    <s v="Confirmed"/>
    <m/>
    <x v="5"/>
    <x v="8"/>
    <d v="2025-12-20T00:00:00"/>
    <s v="or projector"/>
    <s v="Projector already available"/>
    <m/>
    <m/>
  </r>
  <r>
    <x v="0"/>
    <x v="1"/>
    <x v="28"/>
    <x v="28"/>
    <x v="6"/>
    <x v="19"/>
    <x v="148"/>
    <x v="2"/>
    <x v="17"/>
    <s v="Confirmed"/>
    <m/>
    <x v="9"/>
    <x v="8"/>
    <d v="2025-12-20T00:00:00"/>
    <m/>
    <m/>
    <m/>
    <m/>
  </r>
  <r>
    <x v="0"/>
    <x v="0"/>
    <x v="28"/>
    <x v="28"/>
    <x v="6"/>
    <x v="19"/>
    <x v="148"/>
    <x v="0"/>
    <x v="25"/>
    <s v="Confirmed"/>
    <m/>
    <x v="5"/>
    <x v="8"/>
    <d v="2025-12-20T00:00:00"/>
    <m/>
    <m/>
    <m/>
    <m/>
  </r>
  <r>
    <x v="0"/>
    <x v="2"/>
    <x v="28"/>
    <x v="28"/>
    <x v="6"/>
    <x v="19"/>
    <x v="149"/>
    <x v="5"/>
    <x v="8"/>
    <s v="Confirmed"/>
    <m/>
    <x v="5"/>
    <x v="8"/>
    <d v="2025-12-20T00:00:00"/>
    <s v="23 Nov deployed"/>
    <m/>
    <m/>
    <m/>
  </r>
  <r>
    <x v="0"/>
    <x v="1"/>
    <x v="28"/>
    <x v="28"/>
    <x v="6"/>
    <x v="19"/>
    <x v="149"/>
    <x v="2"/>
    <x v="17"/>
    <s v="Confirmed"/>
    <m/>
    <x v="6"/>
    <x v="8"/>
    <d v="2025-12-20T00:00:00"/>
    <m/>
    <m/>
    <m/>
    <m/>
  </r>
  <r>
    <x v="0"/>
    <x v="0"/>
    <x v="28"/>
    <x v="28"/>
    <x v="6"/>
    <x v="19"/>
    <x v="149"/>
    <x v="0"/>
    <x v="25"/>
    <s v="Confirmed"/>
    <m/>
    <x v="5"/>
    <x v="8"/>
    <d v="2025-12-20T00:00:00"/>
    <m/>
    <m/>
    <m/>
    <m/>
  </r>
  <r>
    <x v="0"/>
    <x v="1"/>
    <x v="28"/>
    <x v="28"/>
    <x v="6"/>
    <x v="19"/>
    <x v="149"/>
    <x v="1"/>
    <x v="9"/>
    <s v="Confirmed"/>
    <m/>
    <x v="5"/>
    <x v="8"/>
    <d v="2025-12-20T00:00:00"/>
    <m/>
    <m/>
    <m/>
    <m/>
  </r>
  <r>
    <x v="0"/>
    <x v="2"/>
    <x v="28"/>
    <x v="28"/>
    <x v="6"/>
    <x v="19"/>
    <x v="150"/>
    <x v="5"/>
    <x v="8"/>
    <s v="Confirmed"/>
    <n v="2"/>
    <x v="5"/>
    <x v="8"/>
    <d v="2025-12-20T00:00:00"/>
    <s v="23 Nov deployed"/>
    <s v=" Please review if could be reduced and switched to standalone"/>
    <m/>
    <m/>
  </r>
  <r>
    <x v="0"/>
    <x v="1"/>
    <x v="22"/>
    <x v="22"/>
    <x v="6"/>
    <x v="3"/>
    <x v="151"/>
    <x v="2"/>
    <x v="3"/>
    <s v="Confirmed"/>
    <m/>
    <x v="60"/>
    <x v="35"/>
    <d v="2025-12-18T00:00:00"/>
    <m/>
    <s v="MI 17:11 - CR027 raised for provision of laptops for managed support services in various venues"/>
    <s v="Provisioning of Laptops for Managed Support Services at Al Bidda MOC ,U17, and FAC Venues "/>
    <m/>
  </r>
  <r>
    <x v="0"/>
    <x v="1"/>
    <x v="11"/>
    <x v="11"/>
    <x v="6"/>
    <x v="3"/>
    <x v="152"/>
    <x v="2"/>
    <x v="28"/>
    <s v="Confirmed"/>
    <m/>
    <x v="21"/>
    <x v="33"/>
    <m/>
    <m/>
    <s v="MI 19:11 - CR028 raised for provision of 10 Lenovo pads to Royston Larsado"/>
    <s v="Provision of 10 Lenovo pads for Event Workforce team (Mr. Royston), for use during both the U17 World Cup and the FIFA Arab Cup "/>
    <m/>
  </r>
  <r>
    <x v="0"/>
    <x v="0"/>
    <x v="18"/>
    <x v="18"/>
    <x v="0"/>
    <x v="8"/>
    <x v="71"/>
    <x v="4"/>
    <x v="6"/>
    <s v="Confirmed"/>
    <m/>
    <x v="5"/>
    <x v="11"/>
    <d v="2025-12-19T00:00:00"/>
    <s v="WRDSPE"/>
    <s v=""/>
    <s v="Wired Port - Internet "/>
    <m/>
  </r>
  <r>
    <x v="0"/>
    <x v="0"/>
    <x v="18"/>
    <x v="18"/>
    <x v="3"/>
    <x v="8"/>
    <x v="71"/>
    <x v="4"/>
    <x v="6"/>
    <s v="Confirmed"/>
    <m/>
    <x v="5"/>
    <x v="11"/>
    <d v="2025-12-19T00:00:00"/>
    <s v="WRDSPE"/>
    <s v=""/>
    <s v="Wired Port - Internet "/>
    <m/>
  </r>
  <r>
    <x v="0"/>
    <x v="0"/>
    <x v="8"/>
    <x v="8"/>
    <x v="1"/>
    <x v="6"/>
    <x v="153"/>
    <x v="0"/>
    <x v="1"/>
    <s v="Confirmed"/>
    <m/>
    <x v="5"/>
    <x v="11"/>
    <d v="2025-12-19T00:00:00"/>
    <s v="WRDSPE"/>
    <s v=""/>
    <s v="Wired Port - Internet "/>
    <m/>
  </r>
  <r>
    <x v="0"/>
    <x v="0"/>
    <x v="8"/>
    <x v="8"/>
    <x v="2"/>
    <x v="6"/>
    <x v="153"/>
    <x v="0"/>
    <x v="1"/>
    <s v="Confirmed"/>
    <m/>
    <x v="5"/>
    <x v="11"/>
    <d v="2025-12-19T00:00:00"/>
    <s v="WRDSPE"/>
    <s v=""/>
    <s v="Wired Port - Internet "/>
    <m/>
  </r>
  <r>
    <x v="0"/>
    <x v="0"/>
    <x v="8"/>
    <x v="8"/>
    <x v="5"/>
    <x v="6"/>
    <x v="153"/>
    <x v="0"/>
    <x v="1"/>
    <s v="Confirmed"/>
    <m/>
    <x v="5"/>
    <x v="11"/>
    <d v="2025-12-19T00:00:00"/>
    <s v="WRDSPE"/>
    <s v=""/>
    <s v="Wired Port - Internet "/>
    <m/>
  </r>
  <r>
    <x v="0"/>
    <x v="0"/>
    <x v="8"/>
    <x v="8"/>
    <x v="4"/>
    <x v="6"/>
    <x v="153"/>
    <x v="0"/>
    <x v="1"/>
    <s v="Confirmed"/>
    <m/>
    <x v="5"/>
    <x v="11"/>
    <d v="2025-12-19T00:00:00"/>
    <s v="WRDSPE"/>
    <s v=""/>
    <s v="Wired Port - Internet "/>
    <m/>
  </r>
  <r>
    <x v="0"/>
    <x v="0"/>
    <x v="8"/>
    <x v="8"/>
    <x v="0"/>
    <x v="6"/>
    <x v="153"/>
    <x v="0"/>
    <x v="1"/>
    <s v="Confirmed"/>
    <m/>
    <x v="5"/>
    <x v="11"/>
    <d v="2025-12-19T00:00:00"/>
    <s v="WRDSPE"/>
    <s v=""/>
    <s v="Wired Port - Internet "/>
    <m/>
  </r>
  <r>
    <x v="0"/>
    <x v="0"/>
    <x v="8"/>
    <x v="8"/>
    <x v="3"/>
    <x v="6"/>
    <x v="153"/>
    <x v="0"/>
    <x v="1"/>
    <s v="Confirmed"/>
    <m/>
    <x v="5"/>
    <x v="11"/>
    <d v="2025-12-19T00:00:00"/>
    <s v="WRDSPE"/>
    <s v=""/>
    <s v="Wired Port - Internet "/>
    <m/>
  </r>
  <r>
    <x v="0"/>
    <x v="0"/>
    <x v="8"/>
    <x v="8"/>
    <x v="1"/>
    <x v="6"/>
    <x v="153"/>
    <x v="0"/>
    <x v="18"/>
    <s v="Confirmed"/>
    <m/>
    <x v="5"/>
    <x v="11"/>
    <d v="2025-12-19T00:00:00"/>
    <s v="WRDSPE"/>
    <s v=""/>
    <s v="Wired Port - Internet "/>
    <m/>
  </r>
  <r>
    <x v="0"/>
    <x v="0"/>
    <x v="8"/>
    <x v="8"/>
    <x v="2"/>
    <x v="6"/>
    <x v="153"/>
    <x v="0"/>
    <x v="18"/>
    <s v="Confirmed"/>
    <m/>
    <x v="5"/>
    <x v="11"/>
    <d v="2025-12-19T00:00:00"/>
    <s v="WRDSPE"/>
    <s v=""/>
    <s v="Wired Port - Internet "/>
    <m/>
  </r>
  <r>
    <x v="0"/>
    <x v="0"/>
    <x v="8"/>
    <x v="8"/>
    <x v="5"/>
    <x v="6"/>
    <x v="153"/>
    <x v="0"/>
    <x v="18"/>
    <s v="Confirmed"/>
    <m/>
    <x v="5"/>
    <x v="11"/>
    <d v="2025-12-19T00:00:00"/>
    <s v="WRDSPE"/>
    <s v=""/>
    <s v="Wired Port - Internet "/>
    <m/>
  </r>
  <r>
    <x v="0"/>
    <x v="0"/>
    <x v="8"/>
    <x v="8"/>
    <x v="4"/>
    <x v="6"/>
    <x v="153"/>
    <x v="0"/>
    <x v="18"/>
    <s v="Confirmed"/>
    <m/>
    <x v="5"/>
    <x v="11"/>
    <d v="2025-12-19T00:00:00"/>
    <s v="WRDSPE"/>
    <s v=""/>
    <s v="Wired Port - Internet "/>
    <m/>
  </r>
  <r>
    <x v="0"/>
    <x v="0"/>
    <x v="8"/>
    <x v="8"/>
    <x v="0"/>
    <x v="6"/>
    <x v="153"/>
    <x v="0"/>
    <x v="18"/>
    <s v="Confirmed"/>
    <m/>
    <x v="5"/>
    <x v="11"/>
    <d v="2025-12-19T00:00:00"/>
    <s v="WRDSPE"/>
    <s v=""/>
    <s v="Wired Port - Internet "/>
    <m/>
  </r>
  <r>
    <x v="0"/>
    <x v="0"/>
    <x v="8"/>
    <x v="8"/>
    <x v="3"/>
    <x v="6"/>
    <x v="153"/>
    <x v="0"/>
    <x v="18"/>
    <s v="Confirmed"/>
    <m/>
    <x v="5"/>
    <x v="11"/>
    <d v="2025-12-19T00:00:00"/>
    <s v="WRDSPE"/>
    <s v=""/>
    <s v="Wired Port - Internet "/>
    <m/>
  </r>
  <r>
    <x v="0"/>
    <x v="3"/>
    <x v="11"/>
    <x v="11"/>
    <x v="6"/>
    <x v="3"/>
    <x v="152"/>
    <x v="6"/>
    <x v="10"/>
    <s v="Confirmed"/>
    <m/>
    <x v="21"/>
    <x v="33"/>
    <m/>
    <m/>
    <s v="MI 19:11 - CR028 raised for provision of 10 Lenovo pads to Royston Larsado"/>
    <s v="Provision of 10 Lenovo pads for Event Workforce team (Mr. Royston), for use during both the U17 World Cup and the FIFA Arab Cup "/>
    <m/>
  </r>
  <r>
    <x v="0"/>
    <x v="0"/>
    <x v="20"/>
    <x v="20"/>
    <x v="2"/>
    <x v="4"/>
    <x v="154"/>
    <x v="4"/>
    <x v="30"/>
    <s v="To Validate"/>
    <m/>
    <x v="10"/>
    <x v="27"/>
    <d v="2025-12-09T00:00:00"/>
    <m/>
    <s v="SK 22.11: Validate feasibility"/>
    <s v="5 x wired connections x each STC (6) - 4 x laptops &amp; 1 x printer_x000a_EACS network - TBC, Dedicated VLAN - TBD - Internet access is required"/>
    <s v="FAC01011"/>
  </r>
  <r>
    <x v="0"/>
    <x v="0"/>
    <x v="20"/>
    <x v="20"/>
    <x v="2"/>
    <x v="4"/>
    <x v="154"/>
    <x v="0"/>
    <x v="1"/>
    <s v="To Validate"/>
    <m/>
    <x v="6"/>
    <x v="27"/>
    <d v="2025-12-09T00:00:00"/>
    <m/>
    <s v="SK 22.11: Validate feasibility"/>
    <s v="1 x wireless connection for up 10 devices x each STC (6)_x000a_EACS network - TBC, Dedicated VLAN - TBD - Internet access is required"/>
    <s v="FAC01012"/>
  </r>
  <r>
    <x v="0"/>
    <x v="0"/>
    <x v="20"/>
    <x v="20"/>
    <x v="5"/>
    <x v="4"/>
    <x v="155"/>
    <x v="4"/>
    <x v="30"/>
    <s v="Confirmed"/>
    <m/>
    <x v="47"/>
    <x v="27"/>
    <d v="2025-12-18T00:00:00"/>
    <m/>
    <m/>
    <s v="5 x wired connections x each STC (6) - 4 x laptops &amp; 1 x printer_x000a_EACS network - TBC, Dedicated VLAN - TBD - Internet access is required"/>
    <s v="FAC00901"/>
  </r>
  <r>
    <x v="0"/>
    <x v="0"/>
    <x v="20"/>
    <x v="20"/>
    <x v="5"/>
    <x v="4"/>
    <x v="155"/>
    <x v="0"/>
    <x v="1"/>
    <s v="Confirmed"/>
    <m/>
    <x v="15"/>
    <x v="27"/>
    <d v="2025-12-18T00:00:00"/>
    <m/>
    <m/>
    <s v="1 x wireless connection for up 10 devices x each STC (6)_x000a_EACS network - TBC, Dedicated VLAN - TBD - Internet access is required"/>
    <s v="FAC00902"/>
  </r>
  <r>
    <x v="0"/>
    <x v="0"/>
    <x v="20"/>
    <x v="20"/>
    <x v="5"/>
    <x v="4"/>
    <x v="156"/>
    <x v="4"/>
    <x v="30"/>
    <s v="Confirmed"/>
    <m/>
    <x v="47"/>
    <x v="27"/>
    <d v="2025-12-18T00:00:00"/>
    <m/>
    <m/>
    <s v="5 x wired connections x each STC (6) - 4 x laptops &amp; 1 x printer_x000a_EACS network - TBC, Dedicated VLAN - TBD - Internet access is required"/>
    <s v="FAC00901"/>
  </r>
  <r>
    <x v="0"/>
    <x v="0"/>
    <x v="20"/>
    <x v="20"/>
    <x v="5"/>
    <x v="4"/>
    <x v="156"/>
    <x v="0"/>
    <x v="1"/>
    <s v="Confirmed"/>
    <m/>
    <x v="15"/>
    <x v="27"/>
    <d v="2025-12-18T00:00:00"/>
    <m/>
    <m/>
    <s v="1 x wireless connection for up 10 devices x each STC (6)_x000a_EACS network - TBC, Dedicated VLAN - TBD - Internet access is required"/>
    <s v="FAC00902"/>
  </r>
  <r>
    <x v="0"/>
    <x v="0"/>
    <x v="20"/>
    <x v="20"/>
    <x v="5"/>
    <x v="4"/>
    <x v="157"/>
    <x v="4"/>
    <x v="30"/>
    <s v="Confirmed"/>
    <m/>
    <x v="47"/>
    <x v="27"/>
    <d v="2025-12-18T00:00:00"/>
    <m/>
    <m/>
    <s v="5 x wired connections x each STC (6) - 4 x laptops &amp; 1 x printer_x000a_EACS network - TBC, Dedicated VLAN - TBD - Internet access is required"/>
    <s v="FAC00901"/>
  </r>
  <r>
    <x v="0"/>
    <x v="0"/>
    <x v="20"/>
    <x v="20"/>
    <x v="5"/>
    <x v="4"/>
    <x v="157"/>
    <x v="0"/>
    <x v="1"/>
    <s v="Confirmed"/>
    <m/>
    <x v="15"/>
    <x v="27"/>
    <d v="2025-12-18T00:00:00"/>
    <m/>
    <m/>
    <s v="1 x wireless connection for up 10 devices x each STC (6)_x000a_EACS network - TBC, Dedicated VLAN - TBD - Internet access is required"/>
    <s v="FAC00902"/>
  </r>
  <r>
    <x v="0"/>
    <x v="0"/>
    <x v="20"/>
    <x v="20"/>
    <x v="0"/>
    <x v="4"/>
    <x v="154"/>
    <x v="4"/>
    <x v="30"/>
    <s v="To Validate"/>
    <m/>
    <x v="10"/>
    <x v="27"/>
    <d v="2025-12-18T00:00:00"/>
    <m/>
    <s v="SK 22.11: Check service availability"/>
    <s v="5 x wired connections x each STC (6) - 4 x laptops &amp; 1 x printer_x000a_EACS network - TBC, Dedicated VLAN - TBD - Internet access is required"/>
    <s v="FAC00923"/>
  </r>
  <r>
    <x v="0"/>
    <x v="0"/>
    <x v="20"/>
    <x v="20"/>
    <x v="0"/>
    <x v="4"/>
    <x v="154"/>
    <x v="0"/>
    <x v="1"/>
    <s v="To Validate"/>
    <m/>
    <x v="6"/>
    <x v="27"/>
    <d v="2025-12-18T00:00:00"/>
    <m/>
    <s v="SK 22.11: Check service availability"/>
    <s v="1 x wireless connection for up 10 devices x each STC (6)_x000a_EACS network - TBC, Dedicated VLAN - TBD - Internet access is required"/>
    <s v="FAC00924"/>
  </r>
  <r>
    <x v="0"/>
    <x v="0"/>
    <x v="20"/>
    <x v="20"/>
    <x v="0"/>
    <x v="4"/>
    <x v="158"/>
    <x v="4"/>
    <x v="30"/>
    <s v="To Validate"/>
    <m/>
    <x v="10"/>
    <x v="27"/>
    <d v="2025-12-18T00:00:00"/>
    <m/>
    <s v="SK 22.11: Check service availability"/>
    <s v="5 x wired connections x each STC (6) - 4 x laptops &amp; 1 x printer_x000a_EACS network - TBC, Dedicated VLAN - TBD - Internet access is required"/>
    <s v="FAC00923"/>
  </r>
  <r>
    <x v="0"/>
    <x v="0"/>
    <x v="20"/>
    <x v="20"/>
    <x v="0"/>
    <x v="4"/>
    <x v="158"/>
    <x v="0"/>
    <x v="1"/>
    <s v="To Validate"/>
    <m/>
    <x v="6"/>
    <x v="27"/>
    <d v="2025-12-18T00:00:00"/>
    <m/>
    <s v="SK 22.11: Check service availability"/>
    <s v="1 x wireless connection for up 10 devices x each STC (6)_x000a_EACS network - TBC, Dedicated VLAN - TBD - Internet access is required"/>
    <s v="FAC00924"/>
  </r>
  <r>
    <x v="0"/>
    <x v="0"/>
    <x v="20"/>
    <x v="20"/>
    <x v="0"/>
    <x v="4"/>
    <x v="159"/>
    <x v="4"/>
    <x v="30"/>
    <s v="To Validate"/>
    <m/>
    <x v="11"/>
    <x v="27"/>
    <d v="2025-12-18T00:00:00"/>
    <m/>
    <s v="SK 22.11: Check service availability"/>
    <s v="5 x wired connections x each STC (6) - 4 x laptops &amp; 1 x printer_x000a_EACS network - TBC, Dedicated VLAN - TBD - Internet access is required"/>
    <s v="FAC00923"/>
  </r>
  <r>
    <x v="0"/>
    <x v="0"/>
    <x v="20"/>
    <x v="20"/>
    <x v="0"/>
    <x v="4"/>
    <x v="159"/>
    <x v="0"/>
    <x v="1"/>
    <s v="To Validate"/>
    <m/>
    <x v="5"/>
    <x v="27"/>
    <d v="2025-12-18T00:00:00"/>
    <m/>
    <s v="SK 22.11: Check service availability"/>
    <s v="1 x wireless connection for up 10 devices x each STC (6)_x000a_EACS network - TBC, Dedicated VLAN - TBD - Internet access is required"/>
    <s v="FAC00924"/>
  </r>
  <r>
    <x v="0"/>
    <x v="0"/>
    <x v="20"/>
    <x v="20"/>
    <x v="0"/>
    <x v="4"/>
    <x v="160"/>
    <x v="4"/>
    <x v="30"/>
    <s v="To Validate"/>
    <m/>
    <x v="11"/>
    <x v="27"/>
    <d v="2025-12-18T00:00:00"/>
    <m/>
    <s v="SK 22.11: Check service availability"/>
    <s v="5 x wired connections x each STC (6) - 4 x laptops &amp; 1 x printer_x000a_EACS network - TBC, Dedicated VLAN - TBD - Internet access is required"/>
    <s v="FAC00923"/>
  </r>
  <r>
    <x v="0"/>
    <x v="0"/>
    <x v="20"/>
    <x v="20"/>
    <x v="0"/>
    <x v="4"/>
    <x v="160"/>
    <x v="0"/>
    <x v="1"/>
    <s v="To Validate"/>
    <m/>
    <x v="5"/>
    <x v="27"/>
    <d v="2025-12-18T00:00:00"/>
    <m/>
    <s v="SK 22.11: Check service availability"/>
    <s v="1 x wireless connection for up 10 devices x each STC (6)_x000a_EACS network - TBC, Dedicated VLAN - TBD - Internet access is required"/>
    <s v="FAC00924"/>
  </r>
  <r>
    <x v="0"/>
    <x v="0"/>
    <x v="20"/>
    <x v="20"/>
    <x v="1"/>
    <x v="4"/>
    <x v="155"/>
    <x v="4"/>
    <x v="30"/>
    <s v="To Validate"/>
    <m/>
    <x v="11"/>
    <x v="27"/>
    <d v="2025-12-15T00:00:00"/>
    <m/>
    <s v="SK 22.11: Check service availability"/>
    <s v="5 x wired connections x each STC (6) - 4 x laptops &amp; 1 x printer_x000a_EACS network - TBC, Dedicated VLAN - TBD - Internet access is required"/>
    <s v="FAC00945"/>
  </r>
  <r>
    <x v="0"/>
    <x v="0"/>
    <x v="20"/>
    <x v="20"/>
    <x v="1"/>
    <x v="4"/>
    <x v="155"/>
    <x v="0"/>
    <x v="1"/>
    <s v="To Validate"/>
    <m/>
    <x v="5"/>
    <x v="27"/>
    <d v="2025-12-15T00:00:00"/>
    <m/>
    <s v="SK 22.11: Check service availability"/>
    <s v="1 x wireless connection for up 10 devices x each STC (6)_x000a_EACS network - TBC, Dedicated VLAN - TBD - Internet access is required"/>
    <s v="FAC00946"/>
  </r>
  <r>
    <x v="0"/>
    <x v="0"/>
    <x v="20"/>
    <x v="20"/>
    <x v="1"/>
    <x v="4"/>
    <x v="154"/>
    <x v="4"/>
    <x v="30"/>
    <s v="To Validate"/>
    <m/>
    <x v="10"/>
    <x v="27"/>
    <d v="2025-12-15T00:00:00"/>
    <m/>
    <s v="SK 22.11: Check service availability"/>
    <s v="5 x wired connections x each STC (6) - 4 x laptops &amp; 1 x printer_x000a_EACS network - TBC, Dedicated VLAN - TBD - Internet access is required"/>
    <s v="FAC00945"/>
  </r>
  <r>
    <x v="0"/>
    <x v="0"/>
    <x v="20"/>
    <x v="20"/>
    <x v="1"/>
    <x v="4"/>
    <x v="154"/>
    <x v="0"/>
    <x v="1"/>
    <s v="To Validate"/>
    <m/>
    <x v="6"/>
    <x v="27"/>
    <d v="2025-12-15T00:00:00"/>
    <m/>
    <s v="SK 22.11: Check service availability"/>
    <s v="1 x wireless connection for up 10 devices x each STC (6)_x000a_EACS network - TBC, Dedicated VLAN - TBD - Internet access is required"/>
    <s v="FAC00946"/>
  </r>
  <r>
    <x v="0"/>
    <x v="0"/>
    <x v="20"/>
    <x v="20"/>
    <x v="1"/>
    <x v="4"/>
    <x v="161"/>
    <x v="4"/>
    <x v="30"/>
    <s v="To Validate"/>
    <m/>
    <x v="11"/>
    <x v="27"/>
    <d v="2025-12-15T00:00:00"/>
    <m/>
    <s v="SK 22.11: Check service availability"/>
    <s v="5 x wired connections x each STC (6) - 4 x laptops &amp; 1 x printer_x000a_EACS network - TBC, Dedicated VLAN - TBD - Internet access is required"/>
    <s v="FAC00945"/>
  </r>
  <r>
    <x v="0"/>
    <x v="0"/>
    <x v="20"/>
    <x v="20"/>
    <x v="1"/>
    <x v="4"/>
    <x v="161"/>
    <x v="0"/>
    <x v="1"/>
    <s v="To Validate"/>
    <m/>
    <x v="5"/>
    <x v="27"/>
    <d v="2025-12-15T00:00:00"/>
    <m/>
    <s v="SK 22.11: Check service availability"/>
    <s v="1 x wireless connection for up 10 devices x each STC (6)_x000a_EACS network - TBC, Dedicated VLAN - TBD - Internet access is required"/>
    <s v="FAC00946"/>
  </r>
  <r>
    <x v="0"/>
    <x v="0"/>
    <x v="20"/>
    <x v="20"/>
    <x v="1"/>
    <x v="4"/>
    <x v="162"/>
    <x v="4"/>
    <x v="30"/>
    <s v="To Validate"/>
    <m/>
    <x v="11"/>
    <x v="27"/>
    <d v="2025-12-15T00:00:00"/>
    <m/>
    <s v="SK 22.11: Check service availability"/>
    <s v="5 x wired connections x each STC (6) - 4 x laptops &amp; 1 x printer_x000a_EACS network - TBC, Dedicated VLAN - TBD - Internet access is required"/>
    <s v="FAC00945"/>
  </r>
  <r>
    <x v="0"/>
    <x v="0"/>
    <x v="20"/>
    <x v="20"/>
    <x v="1"/>
    <x v="4"/>
    <x v="162"/>
    <x v="0"/>
    <x v="1"/>
    <s v="To Validate"/>
    <m/>
    <x v="5"/>
    <x v="27"/>
    <d v="2025-12-15T00:00:00"/>
    <m/>
    <s v="SK 22.11: Check service availability"/>
    <s v="1 x wireless connection for up 10 devices x each STC (6)_x000a_EACS network - TBC, Dedicated VLAN - TBD - Internet access is required"/>
    <s v="FAC00946"/>
  </r>
  <r>
    <x v="0"/>
    <x v="0"/>
    <x v="20"/>
    <x v="20"/>
    <x v="4"/>
    <x v="4"/>
    <x v="154"/>
    <x v="4"/>
    <x v="30"/>
    <s v="To Validate"/>
    <m/>
    <x v="10"/>
    <x v="27"/>
    <d v="2025-12-12T00:00:00"/>
    <m/>
    <s v="SK 22.11: Check service availability"/>
    <s v="5 x wired connections x each STC (6) - 4 x laptops &amp; 1 x printer_x000a_EACS network - TBC, Dedicated VLAN - TBD - Internet access is required"/>
    <s v="FAC00989"/>
  </r>
  <r>
    <x v="0"/>
    <x v="0"/>
    <x v="20"/>
    <x v="20"/>
    <x v="4"/>
    <x v="4"/>
    <x v="154"/>
    <x v="0"/>
    <x v="1"/>
    <s v="To Validate"/>
    <m/>
    <x v="6"/>
    <x v="27"/>
    <d v="2025-12-12T00:00:00"/>
    <m/>
    <s v="SK 22.11: Check service availability"/>
    <s v="1 x wireless connection for up 10 devices x each STC (6)_x000a_EACS network - TBC, Dedicated VLAN - TBD - Internet access is required"/>
    <s v="FAC00990"/>
  </r>
  <r>
    <x v="0"/>
    <x v="0"/>
    <x v="20"/>
    <x v="20"/>
    <x v="4"/>
    <x v="4"/>
    <x v="158"/>
    <x v="4"/>
    <x v="30"/>
    <s v="To Validate"/>
    <m/>
    <x v="10"/>
    <x v="27"/>
    <d v="2025-12-12T00:00:00"/>
    <m/>
    <s v="SK 22.11: Check service availability"/>
    <s v="5 x wired connections x each STC (6) - 4 x laptops &amp; 1 x printer_x000a_EACS network - TBC, Dedicated VLAN - TBD - Internet access is required"/>
    <s v="FAC00989"/>
  </r>
  <r>
    <x v="0"/>
    <x v="0"/>
    <x v="20"/>
    <x v="20"/>
    <x v="4"/>
    <x v="4"/>
    <x v="158"/>
    <x v="0"/>
    <x v="1"/>
    <s v="To Validate"/>
    <m/>
    <x v="6"/>
    <x v="27"/>
    <d v="2025-12-12T00:00:00"/>
    <m/>
    <s v="SK 22.11: Check service availability"/>
    <s v="1 x wireless connection for up 10 devices x each STC (6)_x000a_EACS network - TBC, Dedicated VLAN - TBD - Internet access is required"/>
    <s v="FAC00990"/>
  </r>
  <r>
    <x v="0"/>
    <x v="0"/>
    <x v="20"/>
    <x v="20"/>
    <x v="3"/>
    <x v="4"/>
    <x v="155"/>
    <x v="4"/>
    <x v="30"/>
    <s v="Confirmed"/>
    <m/>
    <x v="11"/>
    <x v="27"/>
    <d v="2025-12-17T00:00:00"/>
    <m/>
    <m/>
    <s v="5 x wired connections x each STC (6) - 4 x laptops &amp; 1 x printer_x000a_EACS network - TBC, Dedicated VLAN - TBD - Internet access is required"/>
    <s v="FAC00967"/>
  </r>
  <r>
    <x v="0"/>
    <x v="0"/>
    <x v="20"/>
    <x v="20"/>
    <x v="3"/>
    <x v="4"/>
    <x v="155"/>
    <x v="0"/>
    <x v="1"/>
    <s v="Confirmed"/>
    <m/>
    <x v="5"/>
    <x v="27"/>
    <d v="2025-12-17T00:00:00"/>
    <m/>
    <m/>
    <s v="1 x wireless connection for up 10 devices x each STC (6)_x000a_EACS network - TBC, Dedicated VLAN - TBD - Internet access is required"/>
    <s v="FAC00968"/>
  </r>
  <r>
    <x v="0"/>
    <x v="0"/>
    <x v="20"/>
    <x v="20"/>
    <x v="3"/>
    <x v="4"/>
    <x v="154"/>
    <x v="4"/>
    <x v="30"/>
    <s v="Confirmed"/>
    <m/>
    <x v="10"/>
    <x v="27"/>
    <d v="2025-12-17T00:00:00"/>
    <m/>
    <m/>
    <s v="5 x wired connections x each STC (6) - 4 x laptops &amp; 1 x printer_x000a_EACS network - TBC, Dedicated VLAN - TBD - Internet access is required"/>
    <s v="FAC00967"/>
  </r>
  <r>
    <x v="0"/>
    <x v="0"/>
    <x v="20"/>
    <x v="20"/>
    <x v="3"/>
    <x v="4"/>
    <x v="154"/>
    <x v="0"/>
    <x v="1"/>
    <s v="Confirmed"/>
    <m/>
    <x v="6"/>
    <x v="27"/>
    <d v="2025-12-17T00:00:00"/>
    <m/>
    <m/>
    <s v="1 x wireless connection for up 10 devices x each STC (6)_x000a_EACS network - TBC, Dedicated VLAN - TBD - Internet access is required"/>
    <s v="FAC00968"/>
  </r>
  <r>
    <x v="0"/>
    <x v="0"/>
    <x v="20"/>
    <x v="20"/>
    <x v="3"/>
    <x v="4"/>
    <x v="158"/>
    <x v="4"/>
    <x v="30"/>
    <s v="Confirmed"/>
    <m/>
    <x v="10"/>
    <x v="27"/>
    <d v="2025-12-17T00:00:00"/>
    <m/>
    <m/>
    <s v="5 x wired connections x each STC (6) - 4 x laptops &amp; 1 x printer_x000a_EACS network - TBC, Dedicated VLAN - TBD - Internet access is required"/>
    <s v="FAC00967"/>
  </r>
  <r>
    <x v="0"/>
    <x v="0"/>
    <x v="20"/>
    <x v="20"/>
    <x v="3"/>
    <x v="4"/>
    <x v="158"/>
    <x v="0"/>
    <x v="1"/>
    <s v="Confirmed"/>
    <m/>
    <x v="6"/>
    <x v="27"/>
    <d v="2025-12-17T00:00:00"/>
    <m/>
    <m/>
    <s v="1 x wireless connection for up 10 devices x each STC (6)_x000a_EACS network - TBC, Dedicated VLAN - TBD - Internet access is required"/>
    <s v="FAC00968"/>
  </r>
  <r>
    <x v="0"/>
    <x v="0"/>
    <x v="20"/>
    <x v="20"/>
    <x v="5"/>
    <x v="4"/>
    <x v="108"/>
    <x v="0"/>
    <x v="39"/>
    <s v="To Validate"/>
    <m/>
    <x v="5"/>
    <x v="27"/>
    <d v="2025-12-18T00:00:00"/>
    <m/>
    <s v="SK 22.11: Check if MiFi replacement is required"/>
    <m/>
    <s v="FAC00902"/>
  </r>
  <r>
    <x v="0"/>
    <x v="0"/>
    <x v="20"/>
    <x v="20"/>
    <x v="0"/>
    <x v="4"/>
    <x v="117"/>
    <x v="0"/>
    <x v="39"/>
    <s v="To Validate"/>
    <m/>
    <x v="5"/>
    <x v="27"/>
    <d v="2025-12-18T00:00:00"/>
    <m/>
    <s v="SK 22.11: Check if MiFi replacement is required"/>
    <m/>
    <s v="FAC00924"/>
  </r>
  <r>
    <x v="0"/>
    <x v="0"/>
    <x v="20"/>
    <x v="20"/>
    <x v="1"/>
    <x v="4"/>
    <x v="108"/>
    <x v="0"/>
    <x v="39"/>
    <s v="To Validate"/>
    <m/>
    <x v="5"/>
    <x v="27"/>
    <d v="2025-12-15T00:00:00"/>
    <m/>
    <s v="SK 22.11: Check if MiFi replacement is required"/>
    <m/>
    <s v="FAC00946"/>
  </r>
  <r>
    <x v="0"/>
    <x v="0"/>
    <x v="20"/>
    <x v="20"/>
    <x v="3"/>
    <x v="4"/>
    <x v="108"/>
    <x v="0"/>
    <x v="39"/>
    <s v="To Validate"/>
    <m/>
    <x v="5"/>
    <x v="27"/>
    <d v="2025-12-17T00:00:00"/>
    <m/>
    <s v="SK 22.11: Check if MiFi replacement is required"/>
    <m/>
    <s v="FAC00968"/>
  </r>
  <r>
    <x v="0"/>
    <x v="0"/>
    <x v="20"/>
    <x v="20"/>
    <x v="4"/>
    <x v="4"/>
    <x v="117"/>
    <x v="0"/>
    <x v="39"/>
    <s v="To Validate"/>
    <m/>
    <x v="5"/>
    <x v="27"/>
    <d v="2025-12-12T00:00:00"/>
    <m/>
    <s v="SK 22.11: Check if MiFi replacement is required"/>
    <m/>
    <s v="FAC00990"/>
  </r>
  <r>
    <x v="0"/>
    <x v="0"/>
    <x v="20"/>
    <x v="20"/>
    <x v="2"/>
    <x v="4"/>
    <x v="117"/>
    <x v="0"/>
    <x v="39"/>
    <s v="To Validate"/>
    <m/>
    <x v="5"/>
    <x v="27"/>
    <d v="2025-12-09T00:00:00"/>
    <m/>
    <s v="SK 22.11: Check if MiFi replacement is required"/>
    <m/>
    <s v="FAC01012"/>
  </r>
  <r>
    <x v="0"/>
    <x v="0"/>
    <x v="20"/>
    <x v="20"/>
    <x v="2"/>
    <x v="4"/>
    <x v="154"/>
    <x v="0"/>
    <x v="39"/>
    <s v="To Validate"/>
    <m/>
    <x v="5"/>
    <x v="27"/>
    <d v="2025-12-09T00:00:00"/>
    <m/>
    <s v="SK 22.11: Check if MiFi replacement is required"/>
    <m/>
    <s v="FAC01012"/>
  </r>
  <r>
    <x v="0"/>
    <x v="0"/>
    <x v="20"/>
    <x v="20"/>
    <x v="5"/>
    <x v="4"/>
    <x v="155"/>
    <x v="0"/>
    <x v="39"/>
    <s v="To Validate"/>
    <m/>
    <x v="5"/>
    <x v="27"/>
    <d v="2025-12-18T00:00:00"/>
    <m/>
    <s v="SK 22.11: Check if MiFi replacement is required"/>
    <m/>
    <s v="FAC00902"/>
  </r>
  <r>
    <x v="0"/>
    <x v="0"/>
    <x v="20"/>
    <x v="20"/>
    <x v="5"/>
    <x v="4"/>
    <x v="156"/>
    <x v="0"/>
    <x v="39"/>
    <s v="To Validate"/>
    <m/>
    <x v="5"/>
    <x v="27"/>
    <d v="2025-12-18T00:00:00"/>
    <m/>
    <s v="SK 22.11: Check if MiFi replacement is required"/>
    <m/>
    <s v="FAC00902"/>
  </r>
  <r>
    <x v="0"/>
    <x v="0"/>
    <x v="20"/>
    <x v="20"/>
    <x v="5"/>
    <x v="4"/>
    <x v="157"/>
    <x v="0"/>
    <x v="39"/>
    <s v="To Validate"/>
    <m/>
    <x v="5"/>
    <x v="27"/>
    <d v="2025-12-18T00:00:00"/>
    <m/>
    <s v="SK 22.11: Check if MiFi replacement is required"/>
    <m/>
    <s v="FAC00902"/>
  </r>
  <r>
    <x v="0"/>
    <x v="0"/>
    <x v="20"/>
    <x v="20"/>
    <x v="0"/>
    <x v="4"/>
    <x v="154"/>
    <x v="0"/>
    <x v="39"/>
    <s v="To Validate"/>
    <m/>
    <x v="5"/>
    <x v="27"/>
    <d v="2025-12-18T00:00:00"/>
    <m/>
    <s v="SK 22.11: Check if MiFi replacement is required"/>
    <m/>
    <s v="FAC00924"/>
  </r>
  <r>
    <x v="0"/>
    <x v="0"/>
    <x v="20"/>
    <x v="20"/>
    <x v="0"/>
    <x v="4"/>
    <x v="158"/>
    <x v="0"/>
    <x v="39"/>
    <s v="To Validate"/>
    <m/>
    <x v="5"/>
    <x v="27"/>
    <d v="2025-12-18T00:00:00"/>
    <m/>
    <s v="SK 22.11: Check if MiFi replacement is required"/>
    <m/>
    <s v="FAC00924"/>
  </r>
  <r>
    <x v="0"/>
    <x v="0"/>
    <x v="20"/>
    <x v="20"/>
    <x v="0"/>
    <x v="4"/>
    <x v="159"/>
    <x v="0"/>
    <x v="39"/>
    <s v="To Validate"/>
    <m/>
    <x v="5"/>
    <x v="27"/>
    <d v="2025-12-18T00:00:00"/>
    <m/>
    <s v="SK 22.11: Check if MiFi replacement is required"/>
    <m/>
    <s v="FAC00924"/>
  </r>
  <r>
    <x v="0"/>
    <x v="0"/>
    <x v="20"/>
    <x v="20"/>
    <x v="0"/>
    <x v="4"/>
    <x v="160"/>
    <x v="0"/>
    <x v="39"/>
    <s v="To Validate"/>
    <m/>
    <x v="5"/>
    <x v="27"/>
    <d v="2025-12-18T00:00:00"/>
    <m/>
    <s v="SK 22.11: Check if MiFi replacement is required"/>
    <m/>
    <s v="FAC00924"/>
  </r>
  <r>
    <x v="0"/>
    <x v="0"/>
    <x v="20"/>
    <x v="20"/>
    <x v="1"/>
    <x v="4"/>
    <x v="155"/>
    <x v="0"/>
    <x v="39"/>
    <s v="To Validate"/>
    <m/>
    <x v="5"/>
    <x v="27"/>
    <d v="2025-12-15T00:00:00"/>
    <m/>
    <s v="SK 22.11: Check if MiFi replacement is required"/>
    <m/>
    <s v="FAC00946"/>
  </r>
  <r>
    <x v="0"/>
    <x v="0"/>
    <x v="20"/>
    <x v="20"/>
    <x v="1"/>
    <x v="4"/>
    <x v="154"/>
    <x v="0"/>
    <x v="39"/>
    <s v="To Validate"/>
    <m/>
    <x v="5"/>
    <x v="27"/>
    <d v="2025-12-15T00:00:00"/>
    <m/>
    <s v="SK 22.11: Check if MiFi replacement is required"/>
    <m/>
    <s v="FAC00946"/>
  </r>
  <r>
    <x v="0"/>
    <x v="0"/>
    <x v="20"/>
    <x v="20"/>
    <x v="1"/>
    <x v="4"/>
    <x v="161"/>
    <x v="0"/>
    <x v="39"/>
    <s v="To Validate"/>
    <m/>
    <x v="5"/>
    <x v="27"/>
    <d v="2025-12-15T00:00:00"/>
    <m/>
    <s v="SK 22.11: Check if MiFi replacement is required"/>
    <m/>
    <s v="FAC00946"/>
  </r>
  <r>
    <x v="0"/>
    <x v="0"/>
    <x v="20"/>
    <x v="20"/>
    <x v="1"/>
    <x v="4"/>
    <x v="162"/>
    <x v="0"/>
    <x v="39"/>
    <s v="To Validate"/>
    <m/>
    <x v="5"/>
    <x v="27"/>
    <d v="2025-12-15T00:00:00"/>
    <m/>
    <s v="SK 22.11: Check if MiFi replacement is required"/>
    <m/>
    <s v="FAC00946"/>
  </r>
  <r>
    <x v="0"/>
    <x v="0"/>
    <x v="20"/>
    <x v="20"/>
    <x v="4"/>
    <x v="4"/>
    <x v="154"/>
    <x v="0"/>
    <x v="39"/>
    <s v="To Validate"/>
    <m/>
    <x v="5"/>
    <x v="27"/>
    <d v="2025-12-12T00:00:00"/>
    <m/>
    <s v="SK 22.11: Check if MiFi replacement is required"/>
    <m/>
    <s v="FAC00990"/>
  </r>
  <r>
    <x v="0"/>
    <x v="0"/>
    <x v="20"/>
    <x v="20"/>
    <x v="4"/>
    <x v="4"/>
    <x v="158"/>
    <x v="0"/>
    <x v="39"/>
    <s v="To Validate"/>
    <m/>
    <x v="5"/>
    <x v="27"/>
    <d v="2025-12-12T00:00:00"/>
    <m/>
    <s v="SK 22.11: Check if MiFi replacement is required"/>
    <m/>
    <s v="FAC00990"/>
  </r>
  <r>
    <x v="0"/>
    <x v="0"/>
    <x v="20"/>
    <x v="20"/>
    <x v="3"/>
    <x v="4"/>
    <x v="155"/>
    <x v="0"/>
    <x v="39"/>
    <s v="To Validate"/>
    <m/>
    <x v="5"/>
    <x v="27"/>
    <d v="2025-12-17T00:00:00"/>
    <m/>
    <s v="SK 22.11: Check if MiFi replacement is required"/>
    <m/>
    <s v="FAC00968"/>
  </r>
  <r>
    <x v="0"/>
    <x v="0"/>
    <x v="20"/>
    <x v="20"/>
    <x v="3"/>
    <x v="4"/>
    <x v="154"/>
    <x v="0"/>
    <x v="39"/>
    <s v="To Validate"/>
    <m/>
    <x v="5"/>
    <x v="27"/>
    <d v="2025-12-17T00:00:00"/>
    <m/>
    <s v="SK 22.11: Check if MiFi replacement is required"/>
    <m/>
    <s v="FAC00968"/>
  </r>
  <r>
    <x v="0"/>
    <x v="0"/>
    <x v="20"/>
    <x v="20"/>
    <x v="3"/>
    <x v="4"/>
    <x v="158"/>
    <x v="0"/>
    <x v="39"/>
    <s v="To Validate"/>
    <m/>
    <x v="5"/>
    <x v="27"/>
    <d v="2025-12-17T00:00:00"/>
    <m/>
    <s v="SK 22.11: Check if MiFi replacement is required"/>
    <m/>
    <s v="FAC00968"/>
  </r>
  <r>
    <x v="0"/>
    <x v="2"/>
    <x v="19"/>
    <x v="19"/>
    <x v="2"/>
    <x v="20"/>
    <x v="163"/>
    <x v="5"/>
    <x v="8"/>
    <s v="To Validate"/>
    <m/>
    <x v="5"/>
    <x v="5"/>
    <d v="2025-12-18T00:00:00"/>
    <s v="TVLGIP"/>
    <s v="As per PLI/FIFA request, CR is expected"/>
    <m/>
    <m/>
  </r>
  <r>
    <x v="0"/>
    <x v="2"/>
    <x v="19"/>
    <x v="19"/>
    <x v="5"/>
    <x v="20"/>
    <x v="163"/>
    <x v="5"/>
    <x v="8"/>
    <s v="To Validate"/>
    <m/>
    <x v="5"/>
    <x v="5"/>
    <d v="2025-12-18T00:00:00"/>
    <s v="TVLGIP"/>
    <s v="As per PLI/FIFA request, CR is expected"/>
    <m/>
    <m/>
  </r>
  <r>
    <x v="0"/>
    <x v="2"/>
    <x v="19"/>
    <x v="19"/>
    <x v="4"/>
    <x v="20"/>
    <x v="163"/>
    <x v="5"/>
    <x v="8"/>
    <s v="To Validate"/>
    <m/>
    <x v="5"/>
    <x v="5"/>
    <d v="2025-12-18T00:00:00"/>
    <s v="TVLGIP"/>
    <s v="As per PLI/FIFA request, CR is expected"/>
    <m/>
    <m/>
  </r>
  <r>
    <x v="0"/>
    <x v="2"/>
    <x v="19"/>
    <x v="19"/>
    <x v="0"/>
    <x v="20"/>
    <x v="163"/>
    <x v="5"/>
    <x v="8"/>
    <s v="To Validate"/>
    <m/>
    <x v="5"/>
    <x v="5"/>
    <d v="2025-12-18T00:00:00"/>
    <s v="TVLGIP"/>
    <s v="As per PLI/FIFA request, CR is expected"/>
    <m/>
    <m/>
  </r>
  <r>
    <x v="0"/>
    <x v="2"/>
    <x v="19"/>
    <x v="19"/>
    <x v="3"/>
    <x v="20"/>
    <x v="163"/>
    <x v="5"/>
    <x v="8"/>
    <s v="To Validate"/>
    <m/>
    <x v="5"/>
    <x v="5"/>
    <d v="2025-12-18T00:00:00"/>
    <s v="TVLGIP"/>
    <s v="As per PLI/FIFA request, CR is expected"/>
    <m/>
    <m/>
  </r>
  <r>
    <x v="0"/>
    <x v="2"/>
    <x v="18"/>
    <x v="18"/>
    <x v="1"/>
    <x v="20"/>
    <x v="164"/>
    <x v="5"/>
    <x v="8"/>
    <s v="To Validate"/>
    <m/>
    <x v="5"/>
    <x v="5"/>
    <d v="2025-12-18T00:00:00"/>
    <s v="TVLGIP"/>
    <s v="As per CMP, CR is expected"/>
    <m/>
    <m/>
  </r>
  <r>
    <x v="0"/>
    <x v="2"/>
    <x v="18"/>
    <x v="18"/>
    <x v="2"/>
    <x v="20"/>
    <x v="164"/>
    <x v="5"/>
    <x v="8"/>
    <s v="To Validate"/>
    <m/>
    <x v="5"/>
    <x v="5"/>
    <d v="2025-12-18T00:00:00"/>
    <s v="TVLGIP"/>
    <s v="As per CMP, CR is expected"/>
    <m/>
    <m/>
  </r>
  <r>
    <x v="0"/>
    <x v="2"/>
    <x v="18"/>
    <x v="18"/>
    <x v="5"/>
    <x v="20"/>
    <x v="164"/>
    <x v="5"/>
    <x v="8"/>
    <s v="To Validate"/>
    <m/>
    <x v="5"/>
    <x v="5"/>
    <d v="2025-12-18T00:00:00"/>
    <s v="TVLGIP"/>
    <s v="As per CMP, CR is expected"/>
    <m/>
    <m/>
  </r>
  <r>
    <x v="0"/>
    <x v="2"/>
    <x v="18"/>
    <x v="18"/>
    <x v="4"/>
    <x v="20"/>
    <x v="164"/>
    <x v="5"/>
    <x v="8"/>
    <s v="To Validate"/>
    <m/>
    <x v="5"/>
    <x v="5"/>
    <d v="2025-12-18T00:00:00"/>
    <s v="TVLGIP"/>
    <s v="As per CMP, CR is expected"/>
    <m/>
    <m/>
  </r>
  <r>
    <x v="0"/>
    <x v="2"/>
    <x v="18"/>
    <x v="18"/>
    <x v="0"/>
    <x v="20"/>
    <x v="164"/>
    <x v="5"/>
    <x v="8"/>
    <s v="To Validate"/>
    <m/>
    <x v="5"/>
    <x v="5"/>
    <d v="2025-12-18T00:00:00"/>
    <s v="TVLGIP"/>
    <s v="As per CMP, CR is expected"/>
    <m/>
    <m/>
  </r>
  <r>
    <x v="0"/>
    <x v="2"/>
    <x v="18"/>
    <x v="18"/>
    <x v="3"/>
    <x v="20"/>
    <x v="164"/>
    <x v="5"/>
    <x v="8"/>
    <s v="To Validate"/>
    <m/>
    <x v="5"/>
    <x v="5"/>
    <d v="2025-12-18T00:00:00"/>
    <s v="TVLGIP"/>
    <s v="As per CMP, CR is expected"/>
    <m/>
    <m/>
  </r>
  <r>
    <x v="0"/>
    <x v="2"/>
    <x v="19"/>
    <x v="19"/>
    <x v="1"/>
    <x v="20"/>
    <x v="163"/>
    <x v="5"/>
    <x v="8"/>
    <s v="To Validate"/>
    <m/>
    <x v="5"/>
    <x v="5"/>
    <d v="2025-12-18T00:00:00"/>
    <s v="TVLGIP"/>
    <s v="As per PLI/FIFA request, CR is expecte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C0E67-4997-4CC0-8CC1-6B38FD4996B8}"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Service \ FA">
  <location ref="A4:W13" firstHeaderRow="1" firstDataRow="2" firstDataCol="1" rowPageCount="1" colPageCount="1"/>
  <pivotFields count="20">
    <pivotField showAll="0"/>
    <pivotField axis="axisRow" showAll="0">
      <items count="8">
        <item h="1" x="2"/>
        <item x="1"/>
        <item h="1" x="0"/>
        <item h="1" x="3"/>
        <item h="1" m="1" x="6"/>
        <item h="1" m="1" x="4"/>
        <item h="1" m="1" x="5"/>
        <item t="default"/>
      </items>
    </pivotField>
    <pivotField axis="axisCol" showAll="0">
      <items count="31">
        <item x="16"/>
        <item x="13"/>
        <item x="8"/>
        <item x="2"/>
        <item x="5"/>
        <item x="18"/>
        <item x="6"/>
        <item x="14"/>
        <item x="0"/>
        <item x="17"/>
        <item x="3"/>
        <item x="12"/>
        <item x="21"/>
        <item x="9"/>
        <item x="15"/>
        <item x="19"/>
        <item x="4"/>
        <item x="7"/>
        <item x="10"/>
        <item x="1"/>
        <item x="11"/>
        <item x="20"/>
        <item x="22"/>
        <item x="23"/>
        <item x="24"/>
        <item x="25"/>
        <item x="26"/>
        <item m="1" x="29"/>
        <item x="27"/>
        <item x="28"/>
        <item t="default"/>
      </items>
    </pivotField>
    <pivotField showAll="0"/>
    <pivotField axis="axisPage" multipleItemSelectionAllowed="1" showAll="0">
      <items count="8">
        <item x="3"/>
        <item x="1"/>
        <item x="4"/>
        <item x="5"/>
        <item x="0"/>
        <item x="6"/>
        <item h="1" x="2"/>
        <item t="default"/>
      </items>
    </pivotField>
    <pivotField showAll="0"/>
    <pivotField showAll="0"/>
    <pivotField axis="axisRow" showAll="0" defaultSubtotal="0">
      <items count="9">
        <item x="3"/>
        <item x="5"/>
        <item x="2"/>
        <item x="4"/>
        <item x="1"/>
        <item x="6"/>
        <item m="1" x="8"/>
        <item x="0"/>
        <item m="1" x="7"/>
      </items>
    </pivotField>
    <pivotField axis="axisRow" showAll="0">
      <items count="56">
        <item h="1" x="19"/>
        <item h="1" x="27"/>
        <item h="1" x="5"/>
        <item x="4"/>
        <item x="3"/>
        <item x="17"/>
        <item h="1" x="26"/>
        <item h="1" x="11"/>
        <item h="1" x="6"/>
        <item h="1" x="2"/>
        <item x="9"/>
        <item x="7"/>
        <item h="1" m="1" x="49"/>
        <item h="1" m="1" x="50"/>
        <item h="1" m="1" x="48"/>
        <item h="1" x="10"/>
        <item h="1" x="8"/>
        <item h="1" x="14"/>
        <item h="1" m="1" x="52"/>
        <item h="1" m="1" x="53"/>
        <item h="1" x="25"/>
        <item h="1" x="1"/>
        <item h="1" x="18"/>
        <item h="1" x="22"/>
        <item h="1" m="1" x="54"/>
        <item h="1" x="16"/>
        <item h="1" m="1" x="40"/>
        <item h="1" x="32"/>
        <item h="1" m="1" x="47"/>
        <item h="1" x="31"/>
        <item h="1" m="1" x="51"/>
        <item h="1" x="15"/>
        <item h="1" x="20"/>
        <item h="1" m="1" x="43"/>
        <item h="1" x="23"/>
        <item h="1" x="28"/>
        <item h="1" x="21"/>
        <item h="1" x="33"/>
        <item h="1" x="34"/>
        <item h="1" x="35"/>
        <item h="1" x="36"/>
        <item h="1" m="1" x="44"/>
        <item h="1" x="37"/>
        <item h="1" m="1" x="45"/>
        <item h="1" m="1" x="46"/>
        <item h="1" x="38"/>
        <item h="1" x="0"/>
        <item h="1" m="1" x="41"/>
        <item h="1" x="12"/>
        <item h="1" x="13"/>
        <item h="1" m="1" x="42"/>
        <item h="1" x="24"/>
        <item h="1" x="30"/>
        <item h="1" x="29"/>
        <item h="1" x="39"/>
        <item t="default"/>
      </items>
    </pivotField>
    <pivotField showAll="0"/>
    <pivotField showAll="0"/>
    <pivotField showAll="0"/>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3">
    <field x="1"/>
    <field x="7"/>
    <field x="8"/>
  </rowFields>
  <rowItems count="8">
    <i>
      <x v="1"/>
    </i>
    <i r="1">
      <x v="2"/>
    </i>
    <i r="2">
      <x v="3"/>
    </i>
    <i r="2">
      <x v="4"/>
    </i>
    <i r="2">
      <x v="5"/>
    </i>
    <i r="1">
      <x v="4"/>
    </i>
    <i r="2">
      <x v="10"/>
    </i>
    <i r="2">
      <x v="11"/>
    </i>
  </rowItems>
  <colFields count="1">
    <field x="2"/>
  </colFields>
  <colItems count="22">
    <i>
      <x/>
    </i>
    <i>
      <x v="2"/>
    </i>
    <i>
      <x v="3"/>
    </i>
    <i>
      <x v="4"/>
    </i>
    <i>
      <x v="5"/>
    </i>
    <i>
      <x v="7"/>
    </i>
    <i>
      <x v="9"/>
    </i>
    <i>
      <x v="10"/>
    </i>
    <i>
      <x v="12"/>
    </i>
    <i>
      <x v="13"/>
    </i>
    <i>
      <x v="15"/>
    </i>
    <i>
      <x v="17"/>
    </i>
    <i>
      <x v="18"/>
    </i>
    <i>
      <x v="19"/>
    </i>
    <i>
      <x v="20"/>
    </i>
    <i>
      <x v="21"/>
    </i>
    <i>
      <x v="22"/>
    </i>
    <i>
      <x v="24"/>
    </i>
    <i>
      <x v="25"/>
    </i>
    <i>
      <x v="28"/>
    </i>
    <i>
      <x v="29"/>
    </i>
    <i t="grand">
      <x/>
    </i>
  </colItems>
  <pageFields count="1">
    <pageField fld="4" hier="-1"/>
  </pageFields>
  <formats count="25">
    <format dxfId="2881">
      <pivotArea type="origin" dataOnly="0" labelOnly="1" outline="0" fieldPosition="0"/>
    </format>
    <format dxfId="2882">
      <pivotArea field="8" type="button" dataOnly="0" labelOnly="1" outline="0" axis="axisRow" fieldPosition="2"/>
    </format>
    <format dxfId="2883">
      <pivotArea dataOnly="0" labelOnly="1" fieldPosition="0">
        <references count="1">
          <reference field="8" count="0"/>
        </references>
      </pivotArea>
    </format>
    <format dxfId="2884">
      <pivotArea dataOnly="0" labelOnly="1" grandRow="1" outline="0" fieldPosition="0"/>
    </format>
    <format dxfId="2885">
      <pivotArea dataOnly="0" labelOnly="1" grandCol="1" outline="0" fieldPosition="0"/>
    </format>
    <format dxfId="2886">
      <pivotArea outline="0" collapsedLevelsAreSubtotals="1" fieldPosition="0"/>
    </format>
    <format dxfId="2887">
      <pivotArea dataOnly="0" labelOnly="1" fieldPosition="0">
        <references count="1">
          <reference field="2" count="0"/>
        </references>
      </pivotArea>
    </format>
    <format dxfId="2888">
      <pivotArea dataOnly="0" labelOnly="1" grandCol="1" outline="0" fieldPosition="0"/>
    </format>
    <format dxfId="2889">
      <pivotArea grandCol="1" outline="0" collapsedLevelsAreSubtotals="1" fieldPosition="0"/>
    </format>
    <format dxfId="2890">
      <pivotArea outline="0" collapsedLevelsAreSubtotals="1" fieldPosition="0">
        <references count="1">
          <reference field="2" count="1" selected="0">
            <x v="0"/>
          </reference>
        </references>
      </pivotArea>
    </format>
    <format dxfId="2891">
      <pivotArea outline="0" collapsedLevelsAreSubtotals="1" fieldPosition="0">
        <references count="1">
          <reference field="2" count="19" selected="0">
            <x v="2"/>
            <x v="3"/>
            <x v="4"/>
            <x v="5"/>
            <x v="6"/>
            <x v="7"/>
            <x v="8"/>
            <x v="9"/>
            <x v="10"/>
            <x v="11"/>
            <x v="12"/>
            <x v="13"/>
            <x v="14"/>
            <x v="15"/>
            <x v="16"/>
            <x v="17"/>
            <x v="18"/>
            <x v="19"/>
            <x v="20"/>
          </reference>
        </references>
      </pivotArea>
    </format>
    <format dxfId="2892">
      <pivotArea collapsedLevelsAreSubtotals="1" fieldPosition="0">
        <references count="1">
          <reference field="1" count="1">
            <x v="1"/>
          </reference>
        </references>
      </pivotArea>
    </format>
    <format dxfId="2893">
      <pivotArea dataOnly="0" labelOnly="1" fieldPosition="0">
        <references count="1">
          <reference field="1" count="1">
            <x v="1"/>
          </reference>
        </references>
      </pivotArea>
    </format>
    <format dxfId="2894">
      <pivotArea collapsedLevelsAreSubtotals="1" fieldPosition="0">
        <references count="1">
          <reference field="1" count="1">
            <x v="0"/>
          </reference>
        </references>
      </pivotArea>
    </format>
    <format dxfId="2895">
      <pivotArea dataOnly="0" labelOnly="1" fieldPosition="0">
        <references count="1">
          <reference field="1" count="1">
            <x v="0"/>
          </reference>
        </references>
      </pivotArea>
    </format>
    <format dxfId="2896">
      <pivotArea collapsedLevelsAreSubtotals="1" fieldPosition="0">
        <references count="1">
          <reference field="1" count="1">
            <x v="2"/>
          </reference>
        </references>
      </pivotArea>
    </format>
    <format dxfId="2897">
      <pivotArea dataOnly="0" labelOnly="1" fieldPosition="0">
        <references count="1">
          <reference field="1" count="1">
            <x v="2"/>
          </reference>
        </references>
      </pivotArea>
    </format>
    <format dxfId="2898">
      <pivotArea collapsedLevelsAreSubtotals="1" fieldPosition="0">
        <references count="1">
          <reference field="1" count="1">
            <x v="3"/>
          </reference>
        </references>
      </pivotArea>
    </format>
    <format dxfId="2899">
      <pivotArea dataOnly="0" labelOnly="1" fieldPosition="0">
        <references count="1">
          <reference field="1" count="1">
            <x v="3"/>
          </reference>
        </references>
      </pivotArea>
    </format>
    <format dxfId="2900">
      <pivotArea field="7" grandCol="1" collapsedLevelsAreSubtotals="1" axis="axisRow" fieldPosition="1">
        <references count="2">
          <reference field="1" count="0" selected="0"/>
          <reference field="7" count="1">
            <x v="3"/>
          </reference>
        </references>
      </pivotArea>
    </format>
    <format dxfId="2901">
      <pivotArea field="8" grandCol="1" collapsedLevelsAreSubtotals="1" axis="axisRow" fieldPosition="2">
        <references count="3">
          <reference field="1" count="0" selected="0"/>
          <reference field="7" count="1" selected="0">
            <x v="3"/>
          </reference>
          <reference field="8" count="2">
            <x v="7"/>
            <x v="8"/>
          </reference>
        </references>
      </pivotArea>
    </format>
    <format dxfId="2902">
      <pivotArea field="7" grandCol="1" collapsedLevelsAreSubtotals="1" axis="axisRow" fieldPosition="1">
        <references count="2">
          <reference field="1" count="0" selected="0"/>
          <reference field="7" count="1">
            <x v="7"/>
          </reference>
        </references>
      </pivotArea>
    </format>
    <format dxfId="2903">
      <pivotArea field="8" grandCol="1" collapsedLevelsAreSubtotals="1" axis="axisRow" fieldPosition="2">
        <references count="3">
          <reference field="1" count="0" selected="0"/>
          <reference field="7" count="1" selected="0">
            <x v="7"/>
          </reference>
          <reference field="8" count="3">
            <x v="21"/>
            <x v="22"/>
            <x v="23"/>
          </reference>
        </references>
      </pivotArea>
    </format>
    <format dxfId="2904">
      <pivotArea collapsedLevelsAreSubtotals="1" fieldPosition="0">
        <references count="3">
          <reference field="1" count="0" selected="0"/>
          <reference field="2" count="3" selected="0">
            <x v="1"/>
            <x v="13"/>
            <x v="15"/>
          </reference>
          <reference field="7" count="1">
            <x v="5"/>
          </reference>
        </references>
      </pivotArea>
    </format>
    <format dxfId="2905">
      <pivotArea collapsedLevelsAreSubtotals="1" fieldPosition="0">
        <references count="4">
          <reference field="1" count="0" selected="0"/>
          <reference field="2" count="3" selected="0">
            <x v="1"/>
            <x v="13"/>
            <x v="15"/>
          </reference>
          <reference field="7" count="1" selected="0">
            <x v="5"/>
          </reference>
          <reference field="8" count="5">
            <x v="12"/>
            <x v="13"/>
            <x v="14"/>
            <x v="15"/>
            <x v="2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38D65-2402-4C53-ABAD-2E737B0CD607}"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location ref="A6:Y94" firstHeaderRow="1" firstDataRow="2" firstDataCol="1"/>
  <pivotFields count="20">
    <pivotField showAll="0"/>
    <pivotField axis="axisRow" showAll="0">
      <items count="8">
        <item x="2"/>
        <item x="1"/>
        <item x="0"/>
        <item x="3"/>
        <item m="1" x="6"/>
        <item m="1" x="4"/>
        <item m="1" x="5"/>
        <item t="default"/>
      </items>
    </pivotField>
    <pivotField axis="axisCol" showAll="0">
      <items count="31">
        <item x="16"/>
        <item x="13"/>
        <item x="8"/>
        <item x="2"/>
        <item x="5"/>
        <item x="18"/>
        <item x="6"/>
        <item x="14"/>
        <item x="0"/>
        <item x="17"/>
        <item x="3"/>
        <item x="12"/>
        <item x="21"/>
        <item x="9"/>
        <item x="15"/>
        <item x="19"/>
        <item x="4"/>
        <item x="7"/>
        <item x="10"/>
        <item x="1"/>
        <item x="11"/>
        <item x="20"/>
        <item x="22"/>
        <item x="23"/>
        <item x="24"/>
        <item x="25"/>
        <item x="26"/>
        <item m="1" x="29"/>
        <item x="27"/>
        <item x="28"/>
        <item t="default"/>
      </items>
    </pivotField>
    <pivotField showAll="0"/>
    <pivotField axis="axisRow" multipleItemSelectionAllowed="1" showAll="0">
      <items count="8">
        <item x="3"/>
        <item x="1"/>
        <item x="4"/>
        <item x="5"/>
        <item x="0"/>
        <item x="6"/>
        <item x="2"/>
        <item t="default"/>
      </items>
    </pivotField>
    <pivotField showAll="0"/>
    <pivotField showAll="0"/>
    <pivotField axis="axisRow" showAll="0" defaultSubtotal="0">
      <items count="9">
        <item h="1" x="3"/>
        <item h="1" x="5"/>
        <item x="2"/>
        <item h="1" x="4"/>
        <item x="1"/>
        <item h="1" x="6"/>
        <item h="1" m="1" x="8"/>
        <item h="1" x="0"/>
        <item h="1" m="1" x="7"/>
      </items>
    </pivotField>
    <pivotField axis="axisRow" showAll="0">
      <items count="56">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 t="default"/>
      </items>
    </pivotField>
    <pivotField showAll="0"/>
    <pivotField showAll="0"/>
    <pivotField showAll="0"/>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4"/>
    <field x="1"/>
    <field x="7"/>
    <field x="8"/>
  </rowFields>
  <rowItems count="87">
    <i>
      <x/>
    </i>
    <i r="1">
      <x v="1"/>
    </i>
    <i r="2">
      <x v="2"/>
    </i>
    <i r="3">
      <x v="3"/>
    </i>
    <i r="3">
      <x v="4"/>
    </i>
    <i r="3">
      <x v="6"/>
    </i>
    <i r="3">
      <x v="35"/>
    </i>
    <i r="3">
      <x v="36"/>
    </i>
    <i r="2">
      <x v="4"/>
    </i>
    <i r="3">
      <x v="9"/>
    </i>
    <i r="3">
      <x v="10"/>
    </i>
    <i r="3">
      <x v="11"/>
    </i>
    <i>
      <x v="1"/>
    </i>
    <i r="1">
      <x v="1"/>
    </i>
    <i r="2">
      <x v="2"/>
    </i>
    <i r="3">
      <x v="3"/>
    </i>
    <i r="3">
      <x v="4"/>
    </i>
    <i r="3">
      <x v="6"/>
    </i>
    <i r="3">
      <x v="35"/>
    </i>
    <i r="3">
      <x v="36"/>
    </i>
    <i r="2">
      <x v="4"/>
    </i>
    <i r="3">
      <x v="9"/>
    </i>
    <i r="3">
      <x v="10"/>
    </i>
    <i r="3">
      <x v="11"/>
    </i>
    <i>
      <x v="2"/>
    </i>
    <i r="1">
      <x v="1"/>
    </i>
    <i r="2">
      <x v="2"/>
    </i>
    <i r="3">
      <x v="3"/>
    </i>
    <i r="3">
      <x v="4"/>
    </i>
    <i r="3">
      <x v="6"/>
    </i>
    <i r="3">
      <x v="35"/>
    </i>
    <i r="3">
      <x v="36"/>
    </i>
    <i r="2">
      <x v="4"/>
    </i>
    <i r="3">
      <x v="9"/>
    </i>
    <i r="3">
      <x v="10"/>
    </i>
    <i r="3">
      <x v="11"/>
    </i>
    <i>
      <x v="3"/>
    </i>
    <i r="1">
      <x v="1"/>
    </i>
    <i r="2">
      <x v="2"/>
    </i>
    <i r="3">
      <x v="3"/>
    </i>
    <i r="3">
      <x v="4"/>
    </i>
    <i r="3">
      <x v="6"/>
    </i>
    <i r="3">
      <x v="35"/>
    </i>
    <i r="3">
      <x v="36"/>
    </i>
    <i r="2">
      <x v="4"/>
    </i>
    <i r="3">
      <x v="9"/>
    </i>
    <i r="3">
      <x v="10"/>
    </i>
    <i r="3">
      <x v="11"/>
    </i>
    <i>
      <x v="4"/>
    </i>
    <i r="1">
      <x v="1"/>
    </i>
    <i r="2">
      <x v="2"/>
    </i>
    <i r="3">
      <x v="3"/>
    </i>
    <i r="3">
      <x v="4"/>
    </i>
    <i r="3">
      <x v="5"/>
    </i>
    <i r="3">
      <x v="6"/>
    </i>
    <i r="3">
      <x v="35"/>
    </i>
    <i r="3">
      <x v="36"/>
    </i>
    <i r="2">
      <x v="4"/>
    </i>
    <i r="3">
      <x v="9"/>
    </i>
    <i r="3">
      <x v="10"/>
    </i>
    <i r="3">
      <x v="11"/>
    </i>
    <i>
      <x v="5"/>
    </i>
    <i r="1">
      <x v="1"/>
    </i>
    <i r="2">
      <x v="2"/>
    </i>
    <i r="3">
      <x v="3"/>
    </i>
    <i r="3">
      <x v="4"/>
    </i>
    <i r="3">
      <x v="5"/>
    </i>
    <i r="3">
      <x v="29"/>
    </i>
    <i r="3">
      <x v="35"/>
    </i>
    <i r="3">
      <x v="36"/>
    </i>
    <i r="3">
      <x v="39"/>
    </i>
    <i r="2">
      <x v="4"/>
    </i>
    <i r="3">
      <x v="9"/>
    </i>
    <i r="3">
      <x v="10"/>
    </i>
    <i r="3">
      <x v="11"/>
    </i>
    <i>
      <x v="6"/>
    </i>
    <i r="1">
      <x v="1"/>
    </i>
    <i r="2">
      <x v="2"/>
    </i>
    <i r="3">
      <x v="3"/>
    </i>
    <i r="3">
      <x v="4"/>
    </i>
    <i r="3">
      <x v="6"/>
    </i>
    <i r="3">
      <x v="35"/>
    </i>
    <i r="3">
      <x v="36"/>
    </i>
    <i r="2">
      <x v="4"/>
    </i>
    <i r="3">
      <x v="9"/>
    </i>
    <i r="3">
      <x v="10"/>
    </i>
    <i r="3">
      <x v="11"/>
    </i>
  </rowItems>
  <colFields count="1">
    <field x="2"/>
  </colFields>
  <colItems count="24">
    <i>
      <x/>
    </i>
    <i>
      <x v="2"/>
    </i>
    <i>
      <x v="3"/>
    </i>
    <i>
      <x v="4"/>
    </i>
    <i>
      <x v="5"/>
    </i>
    <i>
      <x v="6"/>
    </i>
    <i>
      <x v="7"/>
    </i>
    <i>
      <x v="9"/>
    </i>
    <i>
      <x v="10"/>
    </i>
    <i>
      <x v="12"/>
    </i>
    <i>
      <x v="13"/>
    </i>
    <i>
      <x v="15"/>
    </i>
    <i>
      <x v="16"/>
    </i>
    <i>
      <x v="17"/>
    </i>
    <i>
      <x v="18"/>
    </i>
    <i>
      <x v="19"/>
    </i>
    <i>
      <x v="20"/>
    </i>
    <i>
      <x v="21"/>
    </i>
    <i>
      <x v="22"/>
    </i>
    <i>
      <x v="24"/>
    </i>
    <i>
      <x v="25"/>
    </i>
    <i>
      <x v="28"/>
    </i>
    <i>
      <x v="29"/>
    </i>
    <i t="grand">
      <x/>
    </i>
  </colItems>
  <formats count="19">
    <format dxfId="2862">
      <pivotArea type="origin" dataOnly="0" labelOnly="1" outline="0" fieldPosition="0"/>
    </format>
    <format dxfId="2863">
      <pivotArea field="8" type="button" dataOnly="0" labelOnly="1" outline="0" axis="axisRow" fieldPosition="3"/>
    </format>
    <format dxfId="2864">
      <pivotArea dataOnly="0" labelOnly="1" fieldPosition="0">
        <references count="1">
          <reference field="8" count="0"/>
        </references>
      </pivotArea>
    </format>
    <format dxfId="2865">
      <pivotArea dataOnly="0" labelOnly="1" grandRow="1" outline="0" fieldPosition="0"/>
    </format>
    <format dxfId="2866">
      <pivotArea dataOnly="0" labelOnly="1" grandCol="1" outline="0" fieldPosition="0"/>
    </format>
    <format dxfId="2867">
      <pivotArea outline="0" collapsedLevelsAreSubtotals="1" fieldPosition="0"/>
    </format>
    <format dxfId="2868">
      <pivotArea dataOnly="0" labelOnly="1" fieldPosition="0">
        <references count="1">
          <reference field="2" count="0"/>
        </references>
      </pivotArea>
    </format>
    <format dxfId="2869">
      <pivotArea dataOnly="0" labelOnly="1" grandCol="1" outline="0" fieldPosition="0"/>
    </format>
    <format dxfId="2870">
      <pivotArea grandCol="1" outline="0" collapsedLevelsAreSubtotals="1" fieldPosition="0"/>
    </format>
    <format dxfId="2871">
      <pivotArea outline="0" collapsedLevelsAreSubtotals="1" fieldPosition="0">
        <references count="1">
          <reference field="2" count="1" selected="0">
            <x v="0"/>
          </reference>
        </references>
      </pivotArea>
    </format>
    <format dxfId="2872">
      <pivotArea outline="0" collapsedLevelsAreSubtotals="1" fieldPosition="0">
        <references count="1">
          <reference field="2" count="19" selected="0">
            <x v="2"/>
            <x v="3"/>
            <x v="4"/>
            <x v="5"/>
            <x v="6"/>
            <x v="7"/>
            <x v="8"/>
            <x v="9"/>
            <x v="10"/>
            <x v="11"/>
            <x v="12"/>
            <x v="13"/>
            <x v="14"/>
            <x v="15"/>
            <x v="16"/>
            <x v="17"/>
            <x v="18"/>
            <x v="19"/>
            <x v="20"/>
          </reference>
        </references>
      </pivotArea>
    </format>
    <format dxfId="2873">
      <pivotArea collapsedLevelsAreSubtotals="1" fieldPosition="0">
        <references count="1">
          <reference field="1" count="1">
            <x v="1"/>
          </reference>
        </references>
      </pivotArea>
    </format>
    <format dxfId="2874">
      <pivotArea dataOnly="0" labelOnly="1" fieldPosition="0">
        <references count="1">
          <reference field="1" count="1">
            <x v="1"/>
          </reference>
        </references>
      </pivotArea>
    </format>
    <format dxfId="2875">
      <pivotArea collapsedLevelsAreSubtotals="1" fieldPosition="0">
        <references count="1">
          <reference field="1" count="1">
            <x v="0"/>
          </reference>
        </references>
      </pivotArea>
    </format>
    <format dxfId="2876">
      <pivotArea dataOnly="0" labelOnly="1" fieldPosition="0">
        <references count="1">
          <reference field="1" count="1">
            <x v="0"/>
          </reference>
        </references>
      </pivotArea>
    </format>
    <format dxfId="2877">
      <pivotArea collapsedLevelsAreSubtotals="1" fieldPosition="0">
        <references count="1">
          <reference field="1" count="1">
            <x v="2"/>
          </reference>
        </references>
      </pivotArea>
    </format>
    <format dxfId="2878">
      <pivotArea dataOnly="0" labelOnly="1" fieldPosition="0">
        <references count="1">
          <reference field="1" count="1">
            <x v="2"/>
          </reference>
        </references>
      </pivotArea>
    </format>
    <format dxfId="2879">
      <pivotArea collapsedLevelsAreSubtotals="1" fieldPosition="0">
        <references count="1">
          <reference field="1" count="1">
            <x v="3"/>
          </reference>
        </references>
      </pivotArea>
    </format>
    <format dxfId="2880">
      <pivotArea dataOnly="0" labelOnly="1" fieldPosition="0">
        <references count="1">
          <reference field="1"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1B6A7-07A3-4E2E-A311-DE6DB6F65891}"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A135" firstHeaderRow="1" firstDataRow="1" firstDataCol="1"/>
  <pivotFields count="20">
    <pivotField showAll="0"/>
    <pivotField axis="axisRow" showAll="0" defaultSubtotal="0">
      <items count="7">
        <item x="2"/>
        <item x="1"/>
        <item x="0"/>
        <item x="3"/>
        <item m="1" x="6"/>
        <item m="1" x="4"/>
        <item m="1" x="5"/>
      </items>
    </pivotField>
    <pivotField axis="axisRow" showAll="0" defaultSubtotal="0">
      <items count="30">
        <item h="1" x="16"/>
        <item h="1" x="13"/>
        <item h="1" x="8"/>
        <item h="1" x="2"/>
        <item h="1" x="5"/>
        <item h="1" x="18"/>
        <item h="1" x="6"/>
        <item h="1" x="14"/>
        <item h="1" x="0"/>
        <item h="1" x="17"/>
        <item h="1" x="3"/>
        <item h="1" x="12"/>
        <item h="1" x="21"/>
        <item h="1" x="9"/>
        <item h="1" x="15"/>
        <item h="1" x="19"/>
        <item h="1" x="4"/>
        <item h="1" x="7"/>
        <item h="1" x="10"/>
        <item h="1" x="1"/>
        <item x="11"/>
        <item h="1" x="20"/>
        <item h="1" x="22"/>
        <item h="1" x="23"/>
        <item h="1" x="24"/>
        <item h="1" x="25"/>
        <item h="1" x="26"/>
        <item h="1" m="1" x="29"/>
        <item h="1" x="27"/>
        <item h="1" x="28"/>
      </items>
    </pivotField>
    <pivotField showAll="0"/>
    <pivotField axis="axisRow" multipleItemSelectionAllowed="1" showAll="0">
      <items count="8">
        <item x="3"/>
        <item x="1"/>
        <item x="4"/>
        <item x="5"/>
        <item x="0"/>
        <item x="6"/>
        <item h="1" x="2"/>
        <item t="default"/>
      </items>
    </pivotField>
    <pivotField showAll="0"/>
    <pivotField showAll="0"/>
    <pivotField axis="axisRow" showAll="0">
      <items count="10">
        <item x="3"/>
        <item x="5"/>
        <item x="2"/>
        <item x="4"/>
        <item x="1"/>
        <item x="6"/>
        <item m="1" x="8"/>
        <item x="0"/>
        <item m="1" x="7"/>
        <item t="default"/>
      </items>
    </pivotField>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showAll="0"/>
    <pivotField showAll="0"/>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5">
    <field x="2"/>
    <field x="4"/>
    <field x="1"/>
    <field x="8"/>
    <field x="7"/>
  </rowFields>
  <rowItems count="129">
    <i>
      <x v="20"/>
    </i>
    <i r="1">
      <x/>
    </i>
    <i r="2">
      <x/>
    </i>
    <i r="3">
      <x/>
    </i>
    <i r="4">
      <x/>
    </i>
    <i r="3">
      <x v="16"/>
    </i>
    <i r="4">
      <x v="1"/>
    </i>
    <i r="2">
      <x v="1"/>
    </i>
    <i r="3">
      <x v="4"/>
    </i>
    <i r="4">
      <x v="2"/>
    </i>
    <i r="3">
      <x v="11"/>
    </i>
    <i r="4">
      <x v="4"/>
    </i>
    <i r="2">
      <x v="2"/>
    </i>
    <i r="3">
      <x v="21"/>
    </i>
    <i r="4">
      <x v="7"/>
    </i>
    <i r="2">
      <x v="3"/>
    </i>
    <i r="3">
      <x v="32"/>
    </i>
    <i r="4">
      <x v="5"/>
    </i>
    <i r="1">
      <x v="1"/>
    </i>
    <i r="2">
      <x/>
    </i>
    <i r="3">
      <x/>
    </i>
    <i r="4">
      <x/>
    </i>
    <i r="3">
      <x v="16"/>
    </i>
    <i r="4">
      <x v="1"/>
    </i>
    <i r="2">
      <x v="1"/>
    </i>
    <i r="3">
      <x v="4"/>
    </i>
    <i r="4">
      <x v="2"/>
    </i>
    <i r="3">
      <x v="11"/>
    </i>
    <i r="4">
      <x v="4"/>
    </i>
    <i r="2">
      <x v="2"/>
    </i>
    <i r="3">
      <x v="21"/>
    </i>
    <i r="4">
      <x v="7"/>
    </i>
    <i r="2">
      <x v="3"/>
    </i>
    <i r="3">
      <x v="32"/>
    </i>
    <i r="4">
      <x v="5"/>
    </i>
    <i r="1">
      <x v="2"/>
    </i>
    <i r="2">
      <x/>
    </i>
    <i r="3">
      <x/>
    </i>
    <i r="4">
      <x/>
    </i>
    <i r="3">
      <x v="16"/>
    </i>
    <i r="4">
      <x v="1"/>
    </i>
    <i r="2">
      <x v="1"/>
    </i>
    <i r="3">
      <x v="4"/>
    </i>
    <i r="4">
      <x v="2"/>
    </i>
    <i r="3">
      <x v="11"/>
    </i>
    <i r="4">
      <x v="4"/>
    </i>
    <i r="2">
      <x v="2"/>
    </i>
    <i r="3">
      <x v="21"/>
    </i>
    <i r="4">
      <x v="7"/>
    </i>
    <i r="2">
      <x v="3"/>
    </i>
    <i r="3">
      <x v="32"/>
    </i>
    <i r="4">
      <x v="5"/>
    </i>
    <i r="1">
      <x v="3"/>
    </i>
    <i r="2">
      <x/>
    </i>
    <i r="3">
      <x/>
    </i>
    <i r="4">
      <x/>
    </i>
    <i r="3">
      <x v="16"/>
    </i>
    <i r="4">
      <x v="1"/>
    </i>
    <i r="2">
      <x v="1"/>
    </i>
    <i r="3">
      <x v="4"/>
    </i>
    <i r="4">
      <x v="2"/>
    </i>
    <i r="3">
      <x v="11"/>
    </i>
    <i r="4">
      <x v="4"/>
    </i>
    <i r="2">
      <x v="2"/>
    </i>
    <i r="3">
      <x v="21"/>
    </i>
    <i r="4">
      <x v="7"/>
    </i>
    <i r="2">
      <x v="3"/>
    </i>
    <i r="3">
      <x v="32"/>
    </i>
    <i r="4">
      <x v="5"/>
    </i>
    <i r="1">
      <x v="4"/>
    </i>
    <i r="2">
      <x/>
    </i>
    <i r="3">
      <x/>
    </i>
    <i r="4">
      <x/>
    </i>
    <i r="3">
      <x v="2"/>
    </i>
    <i r="4">
      <x/>
    </i>
    <i r="3">
      <x v="16"/>
    </i>
    <i r="4">
      <x v="1"/>
    </i>
    <i r="2">
      <x v="1"/>
    </i>
    <i r="3">
      <x v="3"/>
    </i>
    <i r="4">
      <x v="2"/>
    </i>
    <i r="3">
      <x v="4"/>
    </i>
    <i r="4">
      <x v="2"/>
    </i>
    <i r="3">
      <x v="5"/>
    </i>
    <i r="4">
      <x v="2"/>
    </i>
    <i r="3">
      <x v="9"/>
    </i>
    <i r="4">
      <x v="4"/>
    </i>
    <i r="3">
      <x v="11"/>
    </i>
    <i r="4">
      <x v="4"/>
    </i>
    <i r="2">
      <x v="2"/>
    </i>
    <i r="3">
      <x v="21"/>
    </i>
    <i r="4">
      <x v="7"/>
    </i>
    <i r="2">
      <x v="3"/>
    </i>
    <i r="3">
      <x v="32"/>
    </i>
    <i r="4">
      <x v="5"/>
    </i>
    <i r="1">
      <x v="5"/>
    </i>
    <i r="2">
      <x/>
    </i>
    <i r="3">
      <x/>
    </i>
    <i r="4">
      <x/>
    </i>
    <i r="3">
      <x v="1"/>
    </i>
    <i r="4">
      <x/>
    </i>
    <i r="3">
      <x v="2"/>
    </i>
    <i r="4">
      <x/>
    </i>
    <i r="3">
      <x v="16"/>
    </i>
    <i r="4">
      <x v="1"/>
    </i>
    <i r="2">
      <x v="1"/>
    </i>
    <i r="3">
      <x v="3"/>
    </i>
    <i r="4">
      <x v="2"/>
    </i>
    <i r="3">
      <x v="4"/>
    </i>
    <i r="4">
      <x v="2"/>
    </i>
    <i r="3">
      <x v="5"/>
    </i>
    <i r="4">
      <x v="2"/>
    </i>
    <i r="3">
      <x v="10"/>
    </i>
    <i r="4">
      <x v="4"/>
    </i>
    <i r="3">
      <x v="11"/>
    </i>
    <i r="4">
      <x v="4"/>
    </i>
    <i r="3">
      <x v="35"/>
    </i>
    <i r="4">
      <x v="2"/>
    </i>
    <i r="3">
      <x v="36"/>
    </i>
    <i r="4">
      <x v="2"/>
    </i>
    <i r="2">
      <x v="2"/>
    </i>
    <i r="3">
      <x v="8"/>
    </i>
    <i r="4">
      <x v="3"/>
    </i>
    <i r="3">
      <x v="21"/>
    </i>
    <i r="4">
      <x v="7"/>
    </i>
    <i r="2">
      <x v="3"/>
    </i>
    <i r="3">
      <x v="15"/>
    </i>
    <i r="4">
      <x v="5"/>
    </i>
    <i r="3">
      <x v="32"/>
    </i>
    <i r="4">
      <x v="5"/>
    </i>
  </rowItems>
  <colItems count="1">
    <i/>
  </colItems>
  <formats count="48">
    <format dxfId="2814">
      <pivotArea type="origin" dataOnly="0" labelOnly="1" outline="0" fieldPosition="0"/>
    </format>
    <format dxfId="2815">
      <pivotArea field="8" type="button" dataOnly="0" labelOnly="1" outline="0" axis="axisRow" fieldPosition="3"/>
    </format>
    <format dxfId="2816">
      <pivotArea dataOnly="0" labelOnly="1" fieldPosition="0">
        <references count="1">
          <reference field="8" count="0"/>
        </references>
      </pivotArea>
    </format>
    <format dxfId="2817">
      <pivotArea dataOnly="0" labelOnly="1" grandRow="1" outline="0" fieldPosition="0"/>
    </format>
    <format dxfId="2818">
      <pivotArea dataOnly="0" labelOnly="1" grandCol="1" outline="0" fieldPosition="0"/>
    </format>
    <format dxfId="2819">
      <pivotArea grandCol="1" outline="0" collapsedLevelsAreSubtotals="1" fieldPosition="0"/>
    </format>
    <format dxfId="2820">
      <pivotArea outline="0" collapsedLevelsAreSubtotals="1" fieldPosition="0"/>
    </format>
    <format dxfId="2821">
      <pivotArea dataOnly="0" labelOnly="1" outline="0" fieldPosition="0">
        <references count="1">
          <reference field="4" count="0"/>
        </references>
      </pivotArea>
    </format>
    <format dxfId="2822">
      <pivotArea type="topRight" dataOnly="0" labelOnly="1" outline="0" fieldPosition="0"/>
    </format>
    <format dxfId="2823">
      <pivotArea dataOnly="0" labelOnly="1" grandCol="1" outline="0" fieldPosition="0"/>
    </format>
    <format dxfId="2824">
      <pivotArea outline="0" collapsedLevelsAreSubtotals="1" fieldPosition="0"/>
    </format>
    <format dxfId="2825">
      <pivotArea dataOnly="0" labelOnly="1" outline="0" fieldPosition="0">
        <references count="1">
          <reference field="4" count="0"/>
        </references>
      </pivotArea>
    </format>
    <format dxfId="2826">
      <pivotArea type="topRight" dataOnly="0" labelOnly="1" outline="0" fieldPosition="0"/>
    </format>
    <format dxfId="2827">
      <pivotArea dataOnly="0" labelOnly="1" grandCol="1" outline="0" fieldPosition="0"/>
    </format>
    <format dxfId="2828">
      <pivotArea field="2" type="button" dataOnly="0" labelOnly="1" outline="0" axis="axisRow" fieldPosition="0"/>
    </format>
    <format dxfId="2829">
      <pivotArea dataOnly="0" labelOnly="1" fieldPosition="0">
        <references count="1">
          <reference field="2" count="0"/>
        </references>
      </pivotArea>
    </format>
    <format dxfId="2830">
      <pivotArea dataOnly="0" labelOnly="1" fieldPosition="0">
        <references count="2">
          <reference field="2" count="0" selected="0"/>
          <reference field="4" count="0"/>
        </references>
      </pivotArea>
    </format>
    <format dxfId="2831">
      <pivotArea dataOnly="0" labelOnly="1" fieldPosition="0">
        <references count="3">
          <reference field="1" count="4">
            <x v="0"/>
            <x v="1"/>
            <x v="2"/>
            <x v="3"/>
          </reference>
          <reference field="2" count="0" selected="0"/>
          <reference field="4" count="1" selected="0">
            <x v="0"/>
          </reference>
        </references>
      </pivotArea>
    </format>
    <format dxfId="2832">
      <pivotArea dataOnly="0" labelOnly="1" fieldPosition="0">
        <references count="3">
          <reference field="1" count="4">
            <x v="0"/>
            <x v="1"/>
            <x v="2"/>
            <x v="3"/>
          </reference>
          <reference field="2" count="0" selected="0"/>
          <reference field="4" count="1" selected="0">
            <x v="1"/>
          </reference>
        </references>
      </pivotArea>
    </format>
    <format dxfId="2833">
      <pivotArea dataOnly="0" labelOnly="1" fieldPosition="0">
        <references count="3">
          <reference field="1" count="4">
            <x v="0"/>
            <x v="1"/>
            <x v="2"/>
            <x v="3"/>
          </reference>
          <reference field="2" count="0" selected="0"/>
          <reference field="4" count="1" selected="0">
            <x v="2"/>
          </reference>
        </references>
      </pivotArea>
    </format>
    <format dxfId="2834">
      <pivotArea dataOnly="0" labelOnly="1" fieldPosition="0">
        <references count="3">
          <reference field="1" count="4">
            <x v="0"/>
            <x v="1"/>
            <x v="2"/>
            <x v="3"/>
          </reference>
          <reference field="2" count="0" selected="0"/>
          <reference field="4" count="1" selected="0">
            <x v="3"/>
          </reference>
        </references>
      </pivotArea>
    </format>
    <format dxfId="2835">
      <pivotArea dataOnly="0" labelOnly="1" fieldPosition="0">
        <references count="3">
          <reference field="1" count="4">
            <x v="0"/>
            <x v="1"/>
            <x v="2"/>
            <x v="3"/>
          </reference>
          <reference field="2" count="0" selected="0"/>
          <reference field="4" count="1" selected="0">
            <x v="4"/>
          </reference>
        </references>
      </pivotArea>
    </format>
    <format dxfId="2836">
      <pivotArea dataOnly="0" labelOnly="1" fieldPosition="0">
        <references count="3">
          <reference field="1" count="0"/>
          <reference field="2" count="0" selected="0"/>
          <reference field="4" count="1" selected="0">
            <x v="5"/>
          </reference>
        </references>
      </pivotArea>
    </format>
    <format dxfId="2837">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2838">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2839">
      <pivotArea dataOnly="0" labelOnly="1" fieldPosition="0">
        <references count="4">
          <reference field="1" count="1" selected="0">
            <x v="2"/>
          </reference>
          <reference field="2" count="0" selected="0"/>
          <reference field="4" count="1" selected="0">
            <x v="0"/>
          </reference>
          <reference field="8" count="1">
            <x v="21"/>
          </reference>
        </references>
      </pivotArea>
    </format>
    <format dxfId="2840">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2841">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2842">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2843">
      <pivotArea dataOnly="0" labelOnly="1" fieldPosition="0">
        <references count="4">
          <reference field="1" count="1" selected="0">
            <x v="2"/>
          </reference>
          <reference field="2" count="0" selected="0"/>
          <reference field="4" count="1" selected="0">
            <x v="1"/>
          </reference>
          <reference field="8" count="1">
            <x v="21"/>
          </reference>
        </references>
      </pivotArea>
    </format>
    <format dxfId="2844">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2845">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2846">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2847">
      <pivotArea dataOnly="0" labelOnly="1" fieldPosition="0">
        <references count="4">
          <reference field="1" count="1" selected="0">
            <x v="2"/>
          </reference>
          <reference field="2" count="0" selected="0"/>
          <reference field="4" count="1" selected="0">
            <x v="2"/>
          </reference>
          <reference field="8" count="1">
            <x v="21"/>
          </reference>
        </references>
      </pivotArea>
    </format>
    <format dxfId="2848">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2849">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2850">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2851">
      <pivotArea dataOnly="0" labelOnly="1" fieldPosition="0">
        <references count="4">
          <reference field="1" count="1" selected="0">
            <x v="2"/>
          </reference>
          <reference field="2" count="0" selected="0"/>
          <reference field="4" count="1" selected="0">
            <x v="3"/>
          </reference>
          <reference field="8" count="1">
            <x v="21"/>
          </reference>
        </references>
      </pivotArea>
    </format>
    <format dxfId="2852">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2853">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2854">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2855">
      <pivotArea dataOnly="0" labelOnly="1" fieldPosition="0">
        <references count="4">
          <reference field="1" count="1" selected="0">
            <x v="2"/>
          </reference>
          <reference field="2" count="0" selected="0"/>
          <reference field="4" count="1" selected="0">
            <x v="4"/>
          </reference>
          <reference field="8" count="1">
            <x v="21"/>
          </reference>
        </references>
      </pivotArea>
    </format>
    <format dxfId="2856">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2857">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2858">
      <pivotArea dataOnly="0" labelOnly="1" fieldPosition="0">
        <references count="4">
          <reference field="1" count="1" selected="0">
            <x v="1"/>
          </reference>
          <reference field="2" count="0" selected="0"/>
          <reference field="4" count="1" selected="0">
            <x v="5"/>
          </reference>
          <reference field="8" count="1">
            <x v="4"/>
          </reference>
        </references>
      </pivotArea>
    </format>
    <format dxfId="2859">
      <pivotArea dataOnly="0" labelOnly="1" fieldPosition="0">
        <references count="4">
          <reference field="1" count="1" selected="0">
            <x v="2"/>
          </reference>
          <reference field="2" count="0" selected="0"/>
          <reference field="4" count="1" selected="0">
            <x v="5"/>
          </reference>
          <reference field="8" count="1">
            <x v="21"/>
          </reference>
        </references>
      </pivotArea>
    </format>
    <format dxfId="2860">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2861">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5FEED-9682-4D22-B864-CE79AD158022}" name="PivotTable2" cacheId="23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59" firstHeaderRow="1" firstDataRow="1" firstDataCol="1" rowPageCount="5" colPageCount="1"/>
  <pivotFields count="20">
    <pivotField axis="axisPage" multipleItemSelectionAllowed="1" showAll="0">
      <items count="4">
        <item x="0"/>
        <item h="1" x="1"/>
        <item h="1" m="1" x="2"/>
        <item t="default"/>
      </items>
    </pivotField>
    <pivotField axis="axisPage" showAll="0">
      <items count="8">
        <item m="1" x="5"/>
        <item x="2"/>
        <item x="1"/>
        <item x="0"/>
        <item x="3"/>
        <item m="1" x="6"/>
        <item m="1" x="4"/>
        <item t="default"/>
      </items>
    </pivotField>
    <pivotField axis="axisRow" showAll="0">
      <items count="31">
        <item x="16"/>
        <item x="13"/>
        <item x="24"/>
        <item x="8"/>
        <item x="2"/>
        <item x="5"/>
        <item x="18"/>
        <item x="6"/>
        <item x="14"/>
        <item x="27"/>
        <item x="0"/>
        <item x="17"/>
        <item x="26"/>
        <item x="22"/>
        <item x="3"/>
        <item x="12"/>
        <item x="21"/>
        <item x="9"/>
        <item x="15"/>
        <item x="19"/>
        <item x="4"/>
        <item x="28"/>
        <item x="7"/>
        <item x="25"/>
        <item x="10"/>
        <item x="20"/>
        <item x="23"/>
        <item x="1"/>
        <item x="11"/>
        <item m="1" x="29"/>
        <item t="default"/>
      </items>
    </pivotField>
    <pivotField showAll="0"/>
    <pivotField axis="axisPage" multipleItemSelectionAllowed="1" showAll="0">
      <items count="8">
        <item sd="0" x="6"/>
        <item h="1" sd="0" x="0"/>
        <item h="1" sd="0" x="1"/>
        <item h="1" sd="0" x="2"/>
        <item h="1" sd="0" x="3"/>
        <item h="1" sd="0" x="4"/>
        <item h="1" sd="0" x="5"/>
        <item t="default"/>
      </items>
    </pivotField>
    <pivotField axis="axisRow" showAll="0">
      <items count="32">
        <item h="1" m="1" x="27"/>
        <item h="1" x="1"/>
        <item h="1" x="16"/>
        <item h="1" x="6"/>
        <item h="1" x="7"/>
        <item h="1" x="8"/>
        <item h="1" m="1" x="22"/>
        <item h="1" m="1" x="28"/>
        <item h="1" m="1" x="30"/>
        <item h="1" m="1" x="25"/>
        <item h="1" x="10"/>
        <item h="1" x="9"/>
        <item h="1" x="5"/>
        <item h="1" m="1" x="26"/>
        <item h="1" x="3"/>
        <item h="1" x="12"/>
        <item h="1" x="11"/>
        <item h="1" x="17"/>
        <item h="1" m="1" x="23"/>
        <item h="1" x="0"/>
        <item h="1" x="2"/>
        <item h="1" x="4"/>
        <item h="1" x="14"/>
        <item h="1" m="1" x="24"/>
        <item h="1" x="15"/>
        <item h="1" m="1" x="29"/>
        <item h="1" x="13"/>
        <item h="1" m="1" x="21"/>
        <item x="18"/>
        <item x="19"/>
        <item h="1" x="20"/>
        <item t="default"/>
      </items>
    </pivotField>
    <pivotField axis="axisRow" showAll="0">
      <items count="187">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137"/>
        <item x="33"/>
        <item x="5"/>
        <item x="3"/>
        <item x="92"/>
        <item x="63"/>
        <item x="97"/>
        <item x="38"/>
        <item x="39"/>
        <item x="132"/>
        <item x="128"/>
        <item x="131"/>
        <item x="127"/>
        <item x="46"/>
        <item m="1" x="181"/>
        <item m="1" x="182"/>
        <item m="1" x="180"/>
        <item x="82"/>
        <item x="67"/>
        <item x="94"/>
        <item x="100"/>
        <item x="85"/>
        <item x="77"/>
        <item x="86"/>
        <item x="95"/>
        <item x="102"/>
        <item x="104"/>
        <item x="96"/>
        <item x="88"/>
        <item x="79"/>
        <item x="80"/>
        <item x="1"/>
        <item x="78"/>
        <item m="1" x="174"/>
        <item m="1" x="173"/>
        <item x="2"/>
        <item x="61"/>
        <item x="119"/>
        <item x="121"/>
        <item x="122"/>
        <item x="110"/>
        <item x="89"/>
        <item x="91"/>
        <item x="90"/>
        <item x="138"/>
        <item m="1" x="168"/>
        <item x="87"/>
        <item x="101"/>
        <item x="107"/>
        <item x="26"/>
        <item m="1" x="169"/>
        <item x="55"/>
        <item x="27"/>
        <item x="14"/>
        <item m="1" x="167"/>
        <item m="1" x="171"/>
        <item x="130"/>
        <item x="136"/>
        <item m="1" x="170"/>
        <item x="83"/>
        <item x="84"/>
        <item x="98"/>
        <item x="99"/>
        <item x="58"/>
        <item x="135"/>
        <item x="129"/>
        <item x="109"/>
        <item x="118"/>
        <item x="134"/>
        <item m="1" x="166"/>
        <item m="1" x="172"/>
        <item x="111"/>
        <item x="120"/>
        <item x="36"/>
        <item x="20"/>
        <item x="48"/>
        <item x="51"/>
        <item x="49"/>
        <item x="68"/>
        <item x="34"/>
        <item x="2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32"/>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axis="axisPage" multipleItemSelectionAllowed="1" showAll="0">
      <items count="10">
        <item x="3"/>
        <item x="5"/>
        <item x="2"/>
        <item x="4"/>
        <item x="1"/>
        <item x="6"/>
        <item x="0"/>
        <item m="1" x="7"/>
        <item m="1" x="8"/>
        <item t="default"/>
      </items>
    </pivotField>
    <pivotField axis="axisRow" showAll="0">
      <items count="56">
        <item sd="0" x="19"/>
        <item sd="0" x="15"/>
        <item sd="0" x="27"/>
        <item sd="0" x="5"/>
        <item x="4"/>
        <item x="3"/>
        <item x="17"/>
        <item x="31"/>
        <item m="1" x="47"/>
        <item x="28"/>
        <item x="26"/>
        <item x="32"/>
        <item x="11"/>
        <item x="6"/>
        <item x="2"/>
        <item x="9"/>
        <item x="7"/>
        <item m="1" x="51"/>
        <item m="1" x="49"/>
        <item x="16"/>
        <item m="1" x="50"/>
        <item m="1" x="48"/>
        <item x="10"/>
        <item x="20"/>
        <item sd="0" x="23"/>
        <item sd="0" x="8"/>
        <item sd="0" x="14"/>
        <item m="1" x="52"/>
        <item m="1" x="53"/>
        <item x="25"/>
        <item x="1"/>
        <item x="18"/>
        <item m="1" x="43"/>
        <item x="22"/>
        <item m="1" x="54"/>
        <item m="1" x="40"/>
        <item x="21"/>
        <item x="33"/>
        <item x="34"/>
        <item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h="1" x="7"/>
        <item x="5"/>
        <item x="6"/>
        <item x="9"/>
        <item x="11"/>
        <item x="14"/>
        <item x="15"/>
        <item x="57"/>
        <item x="10"/>
        <item x="58"/>
        <item x="21"/>
        <item x="56"/>
        <item x="52"/>
        <item x="13"/>
        <item m="1" x="65"/>
        <item x="59"/>
        <item x="30"/>
        <item x="24"/>
        <item m="1" x="64"/>
        <item x="55"/>
        <item m="1" x="77"/>
        <item x="12"/>
        <item x="3"/>
        <item x="4"/>
        <item x="47"/>
        <item x="1"/>
        <item x="42"/>
        <item x="2"/>
        <item x="39"/>
        <item m="1" x="78"/>
        <item x="40"/>
        <item m="1" x="79"/>
        <item m="1" x="63"/>
        <item m="1" x="69"/>
        <item x="0"/>
        <item x="38"/>
        <item x="44"/>
        <item x="26"/>
        <item x="34"/>
        <item x="49"/>
        <item m="1" x="67"/>
        <item m="1" x="61"/>
        <item x="16"/>
        <item x="28"/>
        <item x="33"/>
        <item x="46"/>
        <item m="1" x="62"/>
        <item m="1" x="72"/>
        <item x="17"/>
        <item x="36"/>
        <item x="8"/>
        <item m="1" x="75"/>
        <item m="1" x="74"/>
        <item x="54"/>
        <item x="18"/>
        <item x="23"/>
        <item x="22"/>
        <item x="19"/>
        <item x="31"/>
        <item x="20"/>
        <item m="1" x="68"/>
        <item x="32"/>
        <item m="1" x="70"/>
        <item x="41"/>
        <item x="53"/>
        <item x="43"/>
        <item x="51"/>
        <item x="50"/>
        <item m="1" x="66"/>
        <item x="27"/>
        <item x="45"/>
        <item x="35"/>
        <item m="1" x="71"/>
        <item m="1" x="76"/>
        <item x="25"/>
        <item x="48"/>
        <item m="1" x="73"/>
        <item x="29"/>
        <item x="37"/>
        <item x="60"/>
        <item t="default"/>
      </items>
    </pivotField>
    <pivotField showAll="0">
      <items count="37">
        <item x="7"/>
        <item x="29"/>
        <item x="26"/>
        <item x="31"/>
        <item x="32"/>
        <item x="1"/>
        <item x="2"/>
        <item x="30"/>
        <item x="24"/>
        <item x="10"/>
        <item x="25"/>
        <item x="16"/>
        <item x="4"/>
        <item x="15"/>
        <item x="21"/>
        <item x="13"/>
        <item x="14"/>
        <item x="3"/>
        <item x="28"/>
        <item x="9"/>
        <item x="27"/>
        <item x="17"/>
        <item x="0"/>
        <item x="23"/>
        <item x="19"/>
        <item x="8"/>
        <item x="11"/>
        <item x="12"/>
        <item x="22"/>
        <item x="20"/>
        <item x="18"/>
        <item x="5"/>
        <item x="6"/>
        <item x="33"/>
        <item x="34"/>
        <item x="3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4">
    <field x="5"/>
    <field x="2"/>
    <field x="6"/>
    <field x="8"/>
  </rowFields>
  <rowItems count="51">
    <i>
      <x v="28"/>
    </i>
    <i r="1">
      <x v="9"/>
    </i>
    <i r="2">
      <x v="159"/>
    </i>
    <i r="3">
      <x v="15"/>
    </i>
    <i r="3">
      <x v="38"/>
    </i>
    <i r="3">
      <x v="39"/>
    </i>
    <i r="2">
      <x v="160"/>
    </i>
    <i r="3">
      <x v="6"/>
    </i>
    <i r="2">
      <x v="161"/>
    </i>
    <i r="3">
      <x v="3"/>
    </i>
    <i r="1">
      <x v="11"/>
    </i>
    <i r="2">
      <x v="157"/>
    </i>
    <i r="3">
      <x v="6"/>
    </i>
    <i r="3">
      <x v="15"/>
    </i>
    <i r="2">
      <x v="158"/>
    </i>
    <i r="3">
      <x v="30"/>
    </i>
    <i r="3">
      <x v="33"/>
    </i>
    <i>
      <x v="29"/>
    </i>
    <i r="1">
      <x v="21"/>
    </i>
    <i r="2">
      <x v="162"/>
    </i>
    <i r="3">
      <x v="3"/>
    </i>
    <i r="3">
      <x v="29"/>
    </i>
    <i r="2">
      <x v="163"/>
    </i>
    <i r="3">
      <x v="29"/>
    </i>
    <i r="3">
      <x v="40"/>
    </i>
    <i r="2">
      <x v="164"/>
    </i>
    <i r="3">
      <x v="13"/>
    </i>
    <i r="3">
      <x v="25"/>
    </i>
    <i r="3">
      <x v="29"/>
    </i>
    <i r="3">
      <x v="40"/>
    </i>
    <i r="3">
      <x v="42"/>
    </i>
    <i r="2">
      <x v="165"/>
    </i>
    <i r="3">
      <x v="6"/>
    </i>
    <i r="3">
      <x v="16"/>
    </i>
    <i r="3">
      <x v="25"/>
    </i>
    <i r="3">
      <x v="29"/>
    </i>
    <i r="3">
      <x v="39"/>
    </i>
    <i r="3">
      <x v="45"/>
    </i>
    <i r="2">
      <x v="166"/>
    </i>
    <i r="3">
      <x v="6"/>
    </i>
    <i r="3">
      <x v="16"/>
    </i>
    <i r="3">
      <x v="29"/>
    </i>
    <i r="3">
      <x v="40"/>
    </i>
    <i r="2">
      <x v="167"/>
    </i>
    <i r="3">
      <x v="6"/>
    </i>
    <i r="3">
      <x v="15"/>
    </i>
    <i r="3">
      <x v="25"/>
    </i>
    <i r="3">
      <x v="29"/>
    </i>
    <i r="2">
      <x v="168"/>
    </i>
    <i r="3">
      <x v="25"/>
    </i>
    <i t="grand">
      <x/>
    </i>
  </rowItems>
  <colItems count="1">
    <i/>
  </colItems>
  <pageFields count="5">
    <pageField fld="1" hier="-1"/>
    <pageField fld="7" hier="-1"/>
    <pageField fld="0" hier="-1"/>
    <pageField fld="11" hier="-1"/>
    <pageField fld="4"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361225-1E36-4286-85BA-49E8A392CD74}" name="PivotTable2" cacheId="23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01" firstHeaderRow="1" firstDataRow="1" firstDataCol="1" rowPageCount="5" colPageCount="1"/>
  <pivotFields count="20">
    <pivotField axis="axisPage" multipleItemSelectionAllowed="1" showAll="0">
      <items count="4">
        <item x="0"/>
        <item h="1" x="1"/>
        <item h="1" m="1" x="2"/>
        <item t="default"/>
      </items>
    </pivotField>
    <pivotField axis="axisPage" showAll="0">
      <items count="8">
        <item m="1" x="5"/>
        <item x="2"/>
        <item x="1"/>
        <item x="0"/>
        <item x="3"/>
        <item m="1" x="6"/>
        <item m="1" x="4"/>
        <item t="default"/>
      </items>
    </pivotField>
    <pivotField showAll="0"/>
    <pivotField showAll="0"/>
    <pivotField axis="axisPage" multipleItemSelectionAllowed="1" showAll="0">
      <items count="8">
        <item h="1" sd="0" x="6"/>
        <item h="1" sd="0" x="0"/>
        <item h="1" sd="0" x="1"/>
        <item sd="0" x="2"/>
        <item h="1" sd="0" x="3"/>
        <item h="1" sd="0" x="4"/>
        <item h="1" sd="0" x="5"/>
        <item t="default"/>
      </items>
    </pivotField>
    <pivotField axis="axisRow" showAll="0">
      <items count="32">
        <item m="1" x="27"/>
        <item x="1"/>
        <item x="16"/>
        <item x="6"/>
        <item x="7"/>
        <item x="8"/>
        <item m="1" x="22"/>
        <item m="1" x="28"/>
        <item m="1" x="30"/>
        <item m="1" x="25"/>
        <item x="10"/>
        <item x="9"/>
        <item x="5"/>
        <item m="1" x="26"/>
        <item x="3"/>
        <item x="12"/>
        <item x="11"/>
        <item x="17"/>
        <item m="1" x="23"/>
        <item x="0"/>
        <item x="2"/>
        <item x="4"/>
        <item x="14"/>
        <item m="1" x="24"/>
        <item x="15"/>
        <item m="1" x="29"/>
        <item x="13"/>
        <item m="1" x="21"/>
        <item x="18"/>
        <item x="19"/>
        <item x="20"/>
        <item t="default"/>
      </items>
    </pivotField>
    <pivotField axis="axisRow" showAll="0">
      <items count="187">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137"/>
        <item x="33"/>
        <item x="5"/>
        <item x="3"/>
        <item x="92"/>
        <item x="63"/>
        <item x="97"/>
        <item x="38"/>
        <item x="39"/>
        <item x="132"/>
        <item x="128"/>
        <item x="131"/>
        <item x="127"/>
        <item x="46"/>
        <item m="1" x="181"/>
        <item m="1" x="182"/>
        <item m="1" x="180"/>
        <item x="82"/>
        <item x="67"/>
        <item x="94"/>
        <item x="100"/>
        <item x="85"/>
        <item x="77"/>
        <item x="86"/>
        <item x="95"/>
        <item x="102"/>
        <item x="104"/>
        <item x="96"/>
        <item x="88"/>
        <item x="79"/>
        <item x="80"/>
        <item x="1"/>
        <item x="78"/>
        <item m="1" x="174"/>
        <item m="1" x="173"/>
        <item x="2"/>
        <item x="61"/>
        <item x="119"/>
        <item x="121"/>
        <item x="122"/>
        <item x="110"/>
        <item x="89"/>
        <item x="91"/>
        <item x="90"/>
        <item x="138"/>
        <item m="1" x="168"/>
        <item x="87"/>
        <item x="101"/>
        <item x="107"/>
        <item x="26"/>
        <item m="1" x="169"/>
        <item x="55"/>
        <item x="27"/>
        <item x="14"/>
        <item m="1" x="167"/>
        <item m="1" x="171"/>
        <item x="130"/>
        <item x="136"/>
        <item m="1" x="170"/>
        <item x="83"/>
        <item x="84"/>
        <item x="98"/>
        <item x="99"/>
        <item x="58"/>
        <item x="135"/>
        <item x="129"/>
        <item x="109"/>
        <item x="118"/>
        <item x="134"/>
        <item m="1" x="166"/>
        <item m="1" x="172"/>
        <item x="111"/>
        <item x="120"/>
        <item x="36"/>
        <item x="20"/>
        <item x="48"/>
        <item x="51"/>
        <item x="49"/>
        <item x="68"/>
        <item x="34"/>
        <item x="2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32"/>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axis="axisPage" multipleItemSelectionAllowed="1" showAll="0">
      <items count="10">
        <item x="3"/>
        <item x="5"/>
        <item x="2"/>
        <item x="4"/>
        <item x="1"/>
        <item x="6"/>
        <item x="0"/>
        <item m="1" x="7"/>
        <item m="1" x="8"/>
        <item t="default"/>
      </items>
    </pivotField>
    <pivotField axis="axisRow" showAll="0">
      <items count="56">
        <item sd="0" x="19"/>
        <item sd="0" x="15"/>
        <item sd="0" x="27"/>
        <item sd="0" x="5"/>
        <item x="4"/>
        <item x="3"/>
        <item x="17"/>
        <item x="31"/>
        <item m="1" x="47"/>
        <item x="28"/>
        <item x="26"/>
        <item x="32"/>
        <item x="11"/>
        <item x="6"/>
        <item x="2"/>
        <item x="9"/>
        <item x="7"/>
        <item m="1" x="51"/>
        <item m="1" x="49"/>
        <item x="16"/>
        <item m="1" x="50"/>
        <item m="1" x="48"/>
        <item x="10"/>
        <item x="20"/>
        <item sd="0" x="23"/>
        <item sd="0" x="8"/>
        <item sd="0" x="14"/>
        <item m="1" x="52"/>
        <item m="1" x="53"/>
        <item x="25"/>
        <item x="1"/>
        <item x="18"/>
        <item m="1" x="43"/>
        <item x="22"/>
        <item m="1" x="54"/>
        <item m="1" x="40"/>
        <item x="21"/>
        <item x="33"/>
        <item x="34"/>
        <item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h="1" x="7"/>
        <item x="5"/>
        <item x="6"/>
        <item x="9"/>
        <item x="11"/>
        <item x="14"/>
        <item x="15"/>
        <item x="57"/>
        <item x="10"/>
        <item x="58"/>
        <item x="21"/>
        <item x="56"/>
        <item x="52"/>
        <item x="13"/>
        <item m="1" x="65"/>
        <item x="59"/>
        <item x="30"/>
        <item x="24"/>
        <item m="1" x="64"/>
        <item x="55"/>
        <item m="1" x="77"/>
        <item x="12"/>
        <item x="3"/>
        <item x="4"/>
        <item x="47"/>
        <item x="1"/>
        <item x="42"/>
        <item x="2"/>
        <item x="39"/>
        <item m="1" x="78"/>
        <item x="40"/>
        <item m="1" x="79"/>
        <item m="1" x="63"/>
        <item m="1" x="69"/>
        <item x="0"/>
        <item x="38"/>
        <item x="44"/>
        <item x="26"/>
        <item x="34"/>
        <item x="49"/>
        <item m="1" x="67"/>
        <item m="1" x="61"/>
        <item x="16"/>
        <item x="28"/>
        <item x="33"/>
        <item x="46"/>
        <item m="1" x="62"/>
        <item m="1" x="72"/>
        <item x="17"/>
        <item x="36"/>
        <item x="8"/>
        <item m="1" x="75"/>
        <item m="1" x="74"/>
        <item x="54"/>
        <item x="18"/>
        <item x="23"/>
        <item x="22"/>
        <item x="19"/>
        <item x="31"/>
        <item x="20"/>
        <item m="1" x="68"/>
        <item x="32"/>
        <item m="1" x="70"/>
        <item x="41"/>
        <item x="53"/>
        <item x="43"/>
        <item x="51"/>
        <item x="50"/>
        <item m="1" x="66"/>
        <item x="27"/>
        <item x="45"/>
        <item x="35"/>
        <item m="1" x="71"/>
        <item m="1" x="76"/>
        <item x="25"/>
        <item x="48"/>
        <item m="1" x="73"/>
        <item x="29"/>
        <item x="37"/>
        <item x="60"/>
        <item t="default"/>
      </items>
    </pivotField>
    <pivotField showAll="0">
      <items count="37">
        <item x="7"/>
        <item x="29"/>
        <item x="26"/>
        <item x="31"/>
        <item x="32"/>
        <item x="1"/>
        <item x="2"/>
        <item x="30"/>
        <item x="24"/>
        <item x="10"/>
        <item x="25"/>
        <item x="16"/>
        <item x="4"/>
        <item x="15"/>
        <item x="21"/>
        <item x="13"/>
        <item x="14"/>
        <item x="3"/>
        <item x="28"/>
        <item x="9"/>
        <item x="27"/>
        <item x="17"/>
        <item x="0"/>
        <item x="23"/>
        <item x="19"/>
        <item x="8"/>
        <item x="11"/>
        <item x="12"/>
        <item x="22"/>
        <item x="20"/>
        <item x="18"/>
        <item x="5"/>
        <item x="6"/>
        <item x="33"/>
        <item x="34"/>
        <item x="3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3">
    <field x="5"/>
    <field x="6"/>
    <field x="8"/>
  </rowFields>
  <rowItems count="193">
    <i>
      <x v="3"/>
    </i>
    <i r="1">
      <x v="33"/>
    </i>
    <i r="2">
      <x v="51"/>
    </i>
    <i r="1">
      <x v="42"/>
    </i>
    <i r="2">
      <x v="13"/>
    </i>
    <i r="1">
      <x v="118"/>
    </i>
    <i r="2">
      <x v="13"/>
    </i>
    <i r="1">
      <x v="172"/>
    </i>
    <i r="2">
      <x v="30"/>
    </i>
    <i r="2">
      <x v="31"/>
    </i>
    <i>
      <x v="4"/>
    </i>
    <i r="1">
      <x v="21"/>
    </i>
    <i r="2">
      <x v="29"/>
    </i>
    <i r="1">
      <x v="30"/>
    </i>
    <i r="2">
      <x v="25"/>
    </i>
    <i r="1">
      <x v="32"/>
    </i>
    <i r="2">
      <x v="48"/>
    </i>
    <i r="1">
      <x v="62"/>
    </i>
    <i r="2">
      <x v="3"/>
    </i>
    <i r="1">
      <x v="95"/>
    </i>
    <i r="2">
      <x v="25"/>
    </i>
    <i r="2">
      <x v="30"/>
    </i>
    <i>
      <x v="5"/>
    </i>
    <i r="1">
      <x/>
    </i>
    <i r="2">
      <x v="13"/>
    </i>
    <i r="1">
      <x v="85"/>
    </i>
    <i r="2">
      <x v="13"/>
    </i>
    <i r="2">
      <x v="31"/>
    </i>
    <i r="1">
      <x v="86"/>
    </i>
    <i r="2">
      <x v="13"/>
    </i>
    <i r="1">
      <x v="87"/>
    </i>
    <i r="2">
      <x v="13"/>
    </i>
    <i r="1">
      <x v="88"/>
    </i>
    <i r="2">
      <x v="13"/>
    </i>
    <i r="1">
      <x v="93"/>
    </i>
    <i r="2">
      <x v="48"/>
    </i>
    <i r="1">
      <x v="96"/>
    </i>
    <i r="2">
      <x v="48"/>
    </i>
    <i r="1">
      <x v="171"/>
    </i>
    <i r="2">
      <x v="13"/>
    </i>
    <i>
      <x v="10"/>
    </i>
    <i r="1">
      <x v="63"/>
    </i>
    <i r="2">
      <x v="31"/>
    </i>
    <i r="1">
      <x v="68"/>
    </i>
    <i r="2">
      <x v="31"/>
    </i>
    <i r="1">
      <x v="72"/>
    </i>
    <i r="2">
      <x v="25"/>
    </i>
    <i r="2">
      <x v="31"/>
    </i>
    <i r="1">
      <x v="97"/>
    </i>
    <i r="2">
      <x v="1"/>
    </i>
    <i r="2">
      <x v="31"/>
    </i>
    <i r="1">
      <x v="103"/>
    </i>
    <i r="2">
      <x v="5"/>
    </i>
    <i r="2">
      <x v="31"/>
    </i>
    <i r="1">
      <x v="104"/>
    </i>
    <i r="2">
      <x v="25"/>
    </i>
    <i r="2">
      <x v="31"/>
    </i>
    <i r="1">
      <x v="105"/>
    </i>
    <i r="2">
      <x v="13"/>
    </i>
    <i r="1">
      <x v="106"/>
    </i>
    <i r="2">
      <x v="13"/>
    </i>
    <i>
      <x v="11"/>
    </i>
    <i r="1">
      <x v="5"/>
    </i>
    <i r="2">
      <x v="49"/>
    </i>
    <i r="1">
      <x v="6"/>
    </i>
    <i r="2">
      <x v="26"/>
    </i>
    <i r="1">
      <x v="7"/>
    </i>
    <i r="2">
      <x v="49"/>
    </i>
    <i r="1">
      <x v="18"/>
    </i>
    <i r="2">
      <x v="26"/>
    </i>
    <i r="2">
      <x v="49"/>
    </i>
    <i r="1">
      <x v="65"/>
    </i>
    <i r="2">
      <x v="13"/>
    </i>
    <i r="2">
      <x v="26"/>
    </i>
    <i r="2">
      <x v="31"/>
    </i>
    <i r="1">
      <x v="66"/>
    </i>
    <i r="2">
      <x v="49"/>
    </i>
    <i r="1">
      <x v="67"/>
    </i>
    <i r="2">
      <x v="13"/>
    </i>
    <i>
      <x v="14"/>
    </i>
    <i r="1">
      <x v="1"/>
    </i>
    <i r="2">
      <x v="19"/>
    </i>
    <i r="1">
      <x v="97"/>
    </i>
    <i r="2">
      <x v="3"/>
    </i>
    <i r="1">
      <x v="140"/>
    </i>
    <i r="2">
      <x v="25"/>
    </i>
    <i r="1">
      <x v="151"/>
    </i>
    <i r="2">
      <x/>
    </i>
    <i r="2">
      <x v="25"/>
    </i>
    <i r="1">
      <x v="153"/>
    </i>
    <i r="2">
      <x v="30"/>
    </i>
    <i>
      <x v="17"/>
    </i>
    <i r="1">
      <x v="44"/>
    </i>
    <i r="2">
      <x v="37"/>
    </i>
    <i>
      <x v="19"/>
    </i>
    <i r="1">
      <x v="28"/>
    </i>
    <i r="2">
      <x v="46"/>
    </i>
    <i r="1">
      <x v="37"/>
    </i>
    <i r="2">
      <x v="30"/>
    </i>
    <i r="1">
      <x v="107"/>
    </i>
    <i r="2">
      <x v="30"/>
    </i>
    <i r="1">
      <x v="108"/>
    </i>
    <i r="2">
      <x v="30"/>
    </i>
    <i r="1">
      <x v="112"/>
    </i>
    <i r="2">
      <x v="11"/>
    </i>
    <i r="1">
      <x v="115"/>
    </i>
    <i r="2">
      <x v="12"/>
    </i>
    <i r="2">
      <x v="30"/>
    </i>
    <i>
      <x v="20"/>
    </i>
    <i r="1">
      <x v="2"/>
    </i>
    <i r="2">
      <x v="30"/>
    </i>
    <i r="1">
      <x v="8"/>
    </i>
    <i r="2">
      <x v="13"/>
    </i>
    <i r="2">
      <x v="25"/>
    </i>
    <i r="1">
      <x v="17"/>
    </i>
    <i r="2">
      <x v="30"/>
    </i>
    <i r="1">
      <x v="22"/>
    </i>
    <i r="2">
      <x v="13"/>
    </i>
    <i r="1">
      <x v="23"/>
    </i>
    <i r="2">
      <x v="13"/>
    </i>
    <i r="1">
      <x v="35"/>
    </i>
    <i r="2">
      <x v="30"/>
    </i>
    <i r="1">
      <x v="39"/>
    </i>
    <i r="2">
      <x v="13"/>
    </i>
    <i r="1">
      <x v="46"/>
    </i>
    <i r="2">
      <x v="13"/>
    </i>
    <i r="2">
      <x v="30"/>
    </i>
    <i r="1">
      <x v="50"/>
    </i>
    <i r="2">
      <x v="25"/>
    </i>
    <i r="2">
      <x v="31"/>
    </i>
    <i r="1">
      <x v="51"/>
    </i>
    <i r="2">
      <x v="30"/>
    </i>
    <i r="1">
      <x v="80"/>
    </i>
    <i r="2">
      <x v="3"/>
    </i>
    <i r="2">
      <x v="25"/>
    </i>
    <i r="2">
      <x v="30"/>
    </i>
    <i r="1">
      <x v="124"/>
    </i>
    <i r="2">
      <x v="13"/>
    </i>
    <i r="1">
      <x v="131"/>
    </i>
    <i r="2">
      <x v="30"/>
    </i>
    <i r="1">
      <x v="132"/>
    </i>
    <i r="2">
      <x v="3"/>
    </i>
    <i r="1">
      <x v="133"/>
    </i>
    <i r="2">
      <x v="30"/>
    </i>
    <i r="1">
      <x v="134"/>
    </i>
    <i r="2">
      <x v="12"/>
    </i>
    <i r="1">
      <x v="136"/>
    </i>
    <i r="2">
      <x v="30"/>
    </i>
    <i r="1">
      <x v="142"/>
    </i>
    <i r="2">
      <x v="30"/>
    </i>
    <i r="1">
      <x v="156"/>
    </i>
    <i r="2">
      <x v="3"/>
    </i>
    <i>
      <x v="21"/>
    </i>
    <i r="1">
      <x v="27"/>
    </i>
    <i r="2">
      <x v="30"/>
    </i>
    <i r="1">
      <x v="29"/>
    </i>
    <i r="2">
      <x v="25"/>
    </i>
    <i r="2">
      <x v="30"/>
    </i>
    <i r="1">
      <x v="73"/>
    </i>
    <i r="2">
      <x v="19"/>
    </i>
    <i r="1">
      <x v="83"/>
    </i>
    <i r="2">
      <x v="22"/>
    </i>
    <i r="1">
      <x v="110"/>
    </i>
    <i r="2">
      <x v="19"/>
    </i>
    <i r="1">
      <x v="128"/>
    </i>
    <i r="2">
      <x v="5"/>
    </i>
    <i r="2">
      <x v="13"/>
    </i>
    <i r="2">
      <x v="30"/>
    </i>
    <i r="1">
      <x v="174"/>
    </i>
    <i r="2">
      <x v="12"/>
    </i>
    <i r="2">
      <x v="30"/>
    </i>
    <i r="2">
      <x v="54"/>
    </i>
    <i r="1">
      <x v="175"/>
    </i>
    <i r="2">
      <x v="30"/>
    </i>
    <i r="2">
      <x v="52"/>
    </i>
    <i r="2">
      <x v="54"/>
    </i>
    <i>
      <x v="26"/>
    </i>
    <i r="1">
      <x v="138"/>
    </i>
    <i r="2">
      <x v="33"/>
    </i>
    <i r="1">
      <x v="139"/>
    </i>
    <i r="2">
      <x v="30"/>
    </i>
    <i r="1">
      <x v="145"/>
    </i>
    <i r="2">
      <x v="24"/>
    </i>
    <i r="2">
      <x v="25"/>
    </i>
    <i r="2">
      <x v="33"/>
    </i>
    <i r="1">
      <x v="146"/>
    </i>
    <i r="2">
      <x v="30"/>
    </i>
    <i>
      <x v="30"/>
    </i>
    <i r="1">
      <x v="184"/>
    </i>
    <i r="2">
      <x v="25"/>
    </i>
    <i r="1">
      <x v="185"/>
    </i>
    <i r="2">
      <x v="25"/>
    </i>
    <i t="grand">
      <x/>
    </i>
  </rowItems>
  <colItems count="1">
    <i/>
  </colItems>
  <pageFields count="5">
    <pageField fld="1" hier="-1"/>
    <pageField fld="7" hier="-1"/>
    <pageField fld="0" hier="-1"/>
    <pageField fld="11" hier="-1"/>
    <pageField fld="4"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B71357-6363-4A22-A291-6AFD2ED3BC40}" name="PivotTable2" cacheId="23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I76" firstHeaderRow="1" firstDataRow="2" firstDataCol="1" rowPageCount="4" colPageCount="1"/>
  <pivotFields count="20">
    <pivotField axis="axisRow" multipleItemSelectionAllowed="1" showAll="0">
      <items count="4">
        <item x="0"/>
        <item x="1"/>
        <item m="1" x="2"/>
        <item t="default"/>
      </items>
    </pivotField>
    <pivotField axis="axisPage" multipleItemSelectionAllowed="1" showAll="0">
      <items count="8">
        <item h="1" m="1" x="5"/>
        <item h="1" x="2"/>
        <item h="1" x="1"/>
        <item h="1" x="0"/>
        <item x="3"/>
        <item h="1" m="1" x="6"/>
        <item h="1" m="1" x="4"/>
        <item t="default"/>
      </items>
    </pivotField>
    <pivotField axis="axisPage" showAll="0">
      <items count="31">
        <item x="16"/>
        <item x="13"/>
        <item x="24"/>
        <item x="8"/>
        <item x="2"/>
        <item x="5"/>
        <item x="18"/>
        <item x="6"/>
        <item x="14"/>
        <item x="27"/>
        <item x="0"/>
        <item x="17"/>
        <item x="26"/>
        <item x="22"/>
        <item x="3"/>
        <item x="12"/>
        <item x="21"/>
        <item x="9"/>
        <item x="15"/>
        <item x="19"/>
        <item x="4"/>
        <item x="28"/>
        <item x="7"/>
        <item x="25"/>
        <item x="10"/>
        <item x="20"/>
        <item x="23"/>
        <item x="1"/>
        <item x="11"/>
        <item m="1" x="29"/>
        <item t="default"/>
      </items>
    </pivotField>
    <pivotField showAll="0"/>
    <pivotField axis="axisCol" showAll="0">
      <items count="8">
        <item sd="0" x="6"/>
        <item sd="0" x="0"/>
        <item sd="0" x="1"/>
        <item sd="0" x="2"/>
        <item sd="0" x="3"/>
        <item sd="0" x="4"/>
        <item sd="0" x="5"/>
        <item t="default"/>
      </items>
    </pivotField>
    <pivotField axis="axisRow" showAll="0">
      <items count="32">
        <item m="1" x="27"/>
        <item x="1"/>
        <item x="16"/>
        <item x="6"/>
        <item x="7"/>
        <item x="8"/>
        <item m="1" x="22"/>
        <item m="1" x="28"/>
        <item m="1" x="30"/>
        <item m="1" x="25"/>
        <item x="10"/>
        <item x="9"/>
        <item x="5"/>
        <item m="1" x="26"/>
        <item x="3"/>
        <item x="12"/>
        <item x="11"/>
        <item x="17"/>
        <item m="1" x="23"/>
        <item x="0"/>
        <item x="2"/>
        <item x="4"/>
        <item x="14"/>
        <item m="1" x="24"/>
        <item x="15"/>
        <item m="1" x="29"/>
        <item x="13"/>
        <item m="1" x="21"/>
        <item x="18"/>
        <item x="19"/>
        <item x="20"/>
        <item t="default"/>
      </items>
    </pivotField>
    <pivotField axis="axisRow" showAll="0">
      <items count="187">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137"/>
        <item x="33"/>
        <item x="5"/>
        <item x="3"/>
        <item x="92"/>
        <item x="63"/>
        <item x="97"/>
        <item x="38"/>
        <item x="39"/>
        <item x="132"/>
        <item x="128"/>
        <item x="131"/>
        <item x="127"/>
        <item x="46"/>
        <item m="1" x="181"/>
        <item m="1" x="182"/>
        <item m="1" x="180"/>
        <item x="82"/>
        <item x="67"/>
        <item x="94"/>
        <item x="100"/>
        <item x="85"/>
        <item x="77"/>
        <item x="86"/>
        <item x="95"/>
        <item x="102"/>
        <item x="104"/>
        <item x="96"/>
        <item x="88"/>
        <item x="79"/>
        <item x="80"/>
        <item x="1"/>
        <item x="78"/>
        <item m="1" x="174"/>
        <item m="1" x="173"/>
        <item x="2"/>
        <item x="61"/>
        <item x="119"/>
        <item x="121"/>
        <item x="122"/>
        <item x="110"/>
        <item x="89"/>
        <item x="91"/>
        <item x="90"/>
        <item x="138"/>
        <item m="1" x="168"/>
        <item x="87"/>
        <item x="101"/>
        <item x="107"/>
        <item x="26"/>
        <item m="1" x="169"/>
        <item x="55"/>
        <item x="27"/>
        <item x="14"/>
        <item m="1" x="167"/>
        <item m="1" x="171"/>
        <item x="130"/>
        <item x="136"/>
        <item m="1" x="170"/>
        <item x="83"/>
        <item x="84"/>
        <item x="98"/>
        <item x="99"/>
        <item x="58"/>
        <item x="135"/>
        <item x="129"/>
        <item x="109"/>
        <item x="118"/>
        <item x="134"/>
        <item m="1" x="166"/>
        <item m="1" x="172"/>
        <item x="111"/>
        <item x="120"/>
        <item x="36"/>
        <item x="20"/>
        <item x="48"/>
        <item x="51"/>
        <item x="49"/>
        <item x="68"/>
        <item x="34"/>
        <item x="2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32"/>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axis="axisPage" multipleItemSelectionAllowed="1" showAll="0">
      <items count="10">
        <item x="3"/>
        <item x="5"/>
        <item x="2"/>
        <item x="4"/>
        <item x="1"/>
        <item x="6"/>
        <item x="0"/>
        <item m="1" x="7"/>
        <item m="1" x="8"/>
        <item t="default"/>
      </items>
    </pivotField>
    <pivotField axis="axisRow" showAll="0">
      <items count="56">
        <item sd="0" x="19"/>
        <item sd="0" x="15"/>
        <item sd="0" x="27"/>
        <item sd="0" x="5"/>
        <item sd="0" x="4"/>
        <item sd="0" x="3"/>
        <item sd="0" x="17"/>
        <item x="31"/>
        <item m="1" x="47"/>
        <item sd="0" x="28"/>
        <item sd="0" x="26"/>
        <item x="32"/>
        <item x="11"/>
        <item x="6"/>
        <item x="2"/>
        <item sd="0" x="9"/>
        <item sd="0" x="7"/>
        <item m="1" x="51"/>
        <item m="1" x="49"/>
        <item x="16"/>
        <item m="1" x="50"/>
        <item m="1" x="48"/>
        <item x="10"/>
        <item x="20"/>
        <item sd="0" x="23"/>
        <item sd="0" x="8"/>
        <item sd="0" x="14"/>
        <item m="1" x="52"/>
        <item m="1" x="53"/>
        <item x="25"/>
        <item x="1"/>
        <item x="18"/>
        <item m="1" x="43"/>
        <item x="22"/>
        <item m="1" x="54"/>
        <item m="1" x="40"/>
        <item sd="0" x="21"/>
        <item x="33"/>
        <item x="34"/>
        <item sd="0"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x="7"/>
        <item x="5"/>
        <item x="6"/>
        <item x="9"/>
        <item x="11"/>
        <item x="14"/>
        <item x="15"/>
        <item x="57"/>
        <item x="10"/>
        <item x="58"/>
        <item x="21"/>
        <item x="56"/>
        <item x="52"/>
        <item x="13"/>
        <item m="1" x="65"/>
        <item x="59"/>
        <item x="30"/>
        <item x="24"/>
        <item m="1" x="64"/>
        <item x="55"/>
        <item m="1" x="77"/>
        <item x="12"/>
        <item x="3"/>
        <item x="4"/>
        <item x="47"/>
        <item x="1"/>
        <item x="42"/>
        <item x="2"/>
        <item x="39"/>
        <item m="1" x="78"/>
        <item x="40"/>
        <item m="1" x="79"/>
        <item m="1" x="63"/>
        <item m="1" x="69"/>
        <item x="0"/>
        <item x="38"/>
        <item x="44"/>
        <item x="26"/>
        <item x="34"/>
        <item x="49"/>
        <item m="1" x="67"/>
        <item m="1" x="61"/>
        <item x="16"/>
        <item x="28"/>
        <item x="33"/>
        <item x="46"/>
        <item m="1" x="62"/>
        <item m="1" x="72"/>
        <item x="17"/>
        <item x="36"/>
        <item x="8"/>
        <item m="1" x="75"/>
        <item m="1" x="74"/>
        <item x="54"/>
        <item x="18"/>
        <item x="23"/>
        <item x="22"/>
        <item x="19"/>
        <item x="31"/>
        <item x="20"/>
        <item m="1" x="68"/>
        <item x="32"/>
        <item m="1" x="70"/>
        <item x="41"/>
        <item x="53"/>
        <item x="43"/>
        <item x="51"/>
        <item x="50"/>
        <item m="1" x="66"/>
        <item x="27"/>
        <item x="45"/>
        <item x="35"/>
        <item m="1" x="71"/>
        <item m="1" x="76"/>
        <item x="25"/>
        <item x="48"/>
        <item m="1" x="73"/>
        <item x="29"/>
        <item x="37"/>
        <item x="60"/>
        <item t="default"/>
      </items>
    </pivotField>
    <pivotField showAll="0">
      <items count="37">
        <item x="7"/>
        <item x="29"/>
        <item x="26"/>
        <item x="31"/>
        <item x="32"/>
        <item x="1"/>
        <item x="2"/>
        <item x="30"/>
        <item x="24"/>
        <item x="10"/>
        <item x="25"/>
        <item x="16"/>
        <item x="4"/>
        <item x="15"/>
        <item x="21"/>
        <item x="13"/>
        <item x="14"/>
        <item x="3"/>
        <item x="28"/>
        <item x="9"/>
        <item x="27"/>
        <item x="17"/>
        <item x="0"/>
        <item x="23"/>
        <item x="19"/>
        <item x="8"/>
        <item x="11"/>
        <item x="12"/>
        <item x="22"/>
        <item x="20"/>
        <item x="18"/>
        <item x="5"/>
        <item x="6"/>
        <item x="33"/>
        <item x="34"/>
        <item x="3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4">
    <field x="0"/>
    <field x="8"/>
    <field x="5"/>
    <field x="6"/>
  </rowFields>
  <rowItems count="68">
    <i>
      <x/>
    </i>
    <i r="1">
      <x v="11"/>
    </i>
    <i r="2">
      <x v="19"/>
    </i>
    <i r="3">
      <x v="112"/>
    </i>
    <i r="1">
      <x v="19"/>
    </i>
    <i r="2">
      <x v="12"/>
    </i>
    <i r="3">
      <x v="1"/>
    </i>
    <i r="2">
      <x v="14"/>
    </i>
    <i r="3">
      <x v="1"/>
    </i>
    <i r="2">
      <x v="21"/>
    </i>
    <i r="3">
      <x v="73"/>
    </i>
    <i r="3">
      <x v="110"/>
    </i>
    <i r="3">
      <x v="111"/>
    </i>
    <i r="2">
      <x v="22"/>
    </i>
    <i r="3">
      <x v="92"/>
    </i>
    <i r="1">
      <x v="22"/>
    </i>
    <i r="2">
      <x v="1"/>
    </i>
    <i r="3">
      <x v="148"/>
    </i>
    <i r="2">
      <x v="2"/>
    </i>
    <i r="3">
      <x v="3"/>
    </i>
    <i r="2">
      <x v="12"/>
    </i>
    <i r="3">
      <x v="1"/>
    </i>
    <i r="2">
      <x v="14"/>
    </i>
    <i r="3">
      <x v="170"/>
    </i>
    <i r="2">
      <x v="21"/>
    </i>
    <i r="3">
      <x v="83"/>
    </i>
    <i r="1">
      <x v="38"/>
    </i>
    <i r="2">
      <x v="28"/>
    </i>
    <i r="3">
      <x v="159"/>
    </i>
    <i>
      <x v="1"/>
    </i>
    <i r="1">
      <x v="11"/>
    </i>
    <i r="2">
      <x v="19"/>
    </i>
    <i r="3">
      <x v="112"/>
    </i>
    <i r="1">
      <x v="19"/>
    </i>
    <i r="2">
      <x v="1"/>
    </i>
    <i r="3">
      <x v="61"/>
    </i>
    <i r="2">
      <x v="16"/>
    </i>
    <i r="3">
      <x v="52"/>
    </i>
    <i r="2">
      <x v="19"/>
    </i>
    <i r="3">
      <x v="115"/>
    </i>
    <i r="3">
      <x v="116"/>
    </i>
    <i r="2">
      <x v="21"/>
    </i>
    <i r="3">
      <x v="73"/>
    </i>
    <i r="3">
      <x v="101"/>
    </i>
    <i r="1">
      <x v="22"/>
    </i>
    <i r="2">
      <x v="1"/>
    </i>
    <i r="3">
      <x v="47"/>
    </i>
    <i r="2">
      <x v="14"/>
    </i>
    <i r="3">
      <x v="1"/>
    </i>
    <i r="2">
      <x v="21"/>
    </i>
    <i r="3">
      <x v="81"/>
    </i>
    <i r="3">
      <x v="82"/>
    </i>
    <i r="3">
      <x v="83"/>
    </i>
    <i r="3">
      <x v="84"/>
    </i>
    <i r="1">
      <x v="23"/>
    </i>
    <i r="2">
      <x v="1"/>
    </i>
    <i r="3">
      <x v="75"/>
    </i>
    <i r="3">
      <x v="76"/>
    </i>
    <i r="2">
      <x v="12"/>
    </i>
    <i r="3">
      <x v="151"/>
    </i>
    <i r="2">
      <x v="14"/>
    </i>
    <i r="3">
      <x v="153"/>
    </i>
    <i r="2">
      <x v="21"/>
    </i>
    <i r="3">
      <x v="101"/>
    </i>
    <i r="2">
      <x v="24"/>
    </i>
    <i r="3">
      <x v="141"/>
    </i>
    <i r="3">
      <x v="150"/>
    </i>
    <i t="grand">
      <x/>
    </i>
  </rowItems>
  <colFields count="1">
    <field x="4"/>
  </colFields>
  <colItems count="8">
    <i>
      <x/>
    </i>
    <i>
      <x v="1"/>
    </i>
    <i>
      <x v="2"/>
    </i>
    <i>
      <x v="3"/>
    </i>
    <i>
      <x v="4"/>
    </i>
    <i>
      <x v="5"/>
    </i>
    <i>
      <x v="6"/>
    </i>
    <i t="grand">
      <x/>
    </i>
  </colItems>
  <pageFields count="4">
    <pageField fld="1" hier="-1"/>
    <pageField fld="7" hier="-1"/>
    <pageField fld="11" hier="-1"/>
    <pageField fld="2"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B14C50-5397-394C-88D2-4E927A2F4F84}" name="PivotTable2" cacheId="23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4" firstHeaderRow="1" firstDataRow="1" firstDataCol="1" rowPageCount="5" colPageCount="1"/>
  <pivotFields count="20">
    <pivotField axis="axisPage" multipleItemSelectionAllowed="1" showAll="0">
      <items count="4">
        <item x="0"/>
        <item h="1" x="1"/>
        <item h="1" m="1" x="2"/>
        <item t="default"/>
      </items>
    </pivotField>
    <pivotField axis="axisPage" showAll="0">
      <items count="8">
        <item m="1" x="5"/>
        <item x="2"/>
        <item h="1" x="1"/>
        <item h="1" x="0"/>
        <item h="1" x="3"/>
        <item m="1" x="6"/>
        <item m="1" x="4"/>
        <item t="default"/>
      </items>
    </pivotField>
    <pivotField showAll="0"/>
    <pivotField showAll="0"/>
    <pivotField axis="axisPage" multipleItemSelectionAllowed="1" showAll="0">
      <items count="8">
        <item sd="0" x="6"/>
        <item sd="0" x="0"/>
        <item sd="0" x="1"/>
        <item sd="0" x="2"/>
        <item sd="0" x="3"/>
        <item sd="0" x="4"/>
        <item sd="0" x="5"/>
        <item t="default"/>
      </items>
    </pivotField>
    <pivotField axis="axisRow" showAll="0">
      <items count="32">
        <item m="1" x="27"/>
        <item x="1"/>
        <item x="16"/>
        <item x="6"/>
        <item x="7"/>
        <item x="8"/>
        <item m="1" x="22"/>
        <item m="1" x="28"/>
        <item m="1" x="30"/>
        <item m="1" x="25"/>
        <item x="10"/>
        <item x="9"/>
        <item x="5"/>
        <item m="1" x="26"/>
        <item x="3"/>
        <item x="12"/>
        <item x="11"/>
        <item x="17"/>
        <item m="1" x="23"/>
        <item x="0"/>
        <item x="2"/>
        <item x="4"/>
        <item x="14"/>
        <item m="1" x="24"/>
        <item x="15"/>
        <item m="1" x="29"/>
        <item x="13"/>
        <item m="1" x="21"/>
        <item x="18"/>
        <item x="19"/>
        <item x="20"/>
        <item t="default"/>
      </items>
    </pivotField>
    <pivotField axis="axisRow" showAll="0">
      <items count="187">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137"/>
        <item x="33"/>
        <item x="5"/>
        <item x="3"/>
        <item x="92"/>
        <item x="63"/>
        <item x="97"/>
        <item x="38"/>
        <item x="39"/>
        <item x="132"/>
        <item x="128"/>
        <item x="131"/>
        <item x="127"/>
        <item x="46"/>
        <item m="1" x="181"/>
        <item m="1" x="182"/>
        <item m="1" x="180"/>
        <item x="82"/>
        <item x="67"/>
        <item x="94"/>
        <item x="100"/>
        <item x="85"/>
        <item x="77"/>
        <item x="86"/>
        <item x="95"/>
        <item x="102"/>
        <item x="104"/>
        <item x="96"/>
        <item x="88"/>
        <item x="79"/>
        <item x="80"/>
        <item x="1"/>
        <item x="78"/>
        <item m="1" x="174"/>
        <item m="1" x="173"/>
        <item x="2"/>
        <item x="61"/>
        <item x="119"/>
        <item x="121"/>
        <item x="122"/>
        <item x="110"/>
        <item x="89"/>
        <item x="91"/>
        <item x="90"/>
        <item x="138"/>
        <item m="1" x="168"/>
        <item x="87"/>
        <item x="101"/>
        <item x="107"/>
        <item x="26"/>
        <item m="1" x="169"/>
        <item x="55"/>
        <item x="27"/>
        <item x="14"/>
        <item m="1" x="167"/>
        <item m="1" x="171"/>
        <item x="130"/>
        <item x="136"/>
        <item m="1" x="170"/>
        <item x="83"/>
        <item x="84"/>
        <item x="98"/>
        <item x="99"/>
        <item x="58"/>
        <item x="135"/>
        <item x="129"/>
        <item x="109"/>
        <item x="118"/>
        <item x="134"/>
        <item m="1" x="166"/>
        <item m="1" x="172"/>
        <item x="111"/>
        <item x="120"/>
        <item x="36"/>
        <item x="20"/>
        <item x="48"/>
        <item x="51"/>
        <item x="49"/>
        <item x="68"/>
        <item x="34"/>
        <item x="2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32"/>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axis="axisPage" multipleItemSelectionAllowed="1" showAll="0">
      <items count="10">
        <item x="3"/>
        <item x="5"/>
        <item x="2"/>
        <item x="4"/>
        <item x="1"/>
        <item x="6"/>
        <item x="0"/>
        <item m="1" x="7"/>
        <item m="1" x="8"/>
        <item t="default"/>
      </items>
    </pivotField>
    <pivotField axis="axisRow" showAll="0">
      <items count="56">
        <item sd="0" x="19"/>
        <item sd="0" x="15"/>
        <item sd="0" x="27"/>
        <item sd="0" x="5"/>
        <item x="4"/>
        <item x="3"/>
        <item x="17"/>
        <item x="31"/>
        <item m="1" x="47"/>
        <item x="28"/>
        <item x="26"/>
        <item x="32"/>
        <item x="11"/>
        <item x="6"/>
        <item x="2"/>
        <item x="9"/>
        <item x="7"/>
        <item m="1" x="51"/>
        <item m="1" x="49"/>
        <item x="16"/>
        <item m="1" x="50"/>
        <item m="1" x="48"/>
        <item x="10"/>
        <item x="20"/>
        <item sd="0" x="23"/>
        <item sd="0" x="8"/>
        <item sd="0" x="14"/>
        <item m="1" x="52"/>
        <item m="1" x="53"/>
        <item x="25"/>
        <item x="1"/>
        <item x="18"/>
        <item m="1" x="43"/>
        <item x="22"/>
        <item m="1" x="54"/>
        <item m="1" x="40"/>
        <item x="21"/>
        <item x="33"/>
        <item x="34"/>
        <item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h="1" x="7"/>
        <item x="5"/>
        <item x="6"/>
        <item x="9"/>
        <item x="11"/>
        <item x="14"/>
        <item x="15"/>
        <item x="57"/>
        <item x="10"/>
        <item x="58"/>
        <item x="21"/>
        <item x="56"/>
        <item x="52"/>
        <item x="13"/>
        <item m="1" x="65"/>
        <item x="59"/>
        <item x="30"/>
        <item x="24"/>
        <item m="1" x="64"/>
        <item x="55"/>
        <item m="1" x="77"/>
        <item x="12"/>
        <item x="3"/>
        <item x="4"/>
        <item x="47"/>
        <item x="1"/>
        <item x="42"/>
        <item x="2"/>
        <item x="39"/>
        <item m="1" x="78"/>
        <item x="40"/>
        <item m="1" x="79"/>
        <item m="1" x="63"/>
        <item m="1" x="69"/>
        <item x="0"/>
        <item x="38"/>
        <item x="44"/>
        <item x="26"/>
        <item x="34"/>
        <item x="49"/>
        <item m="1" x="67"/>
        <item m="1" x="61"/>
        <item x="16"/>
        <item x="28"/>
        <item x="33"/>
        <item x="46"/>
        <item m="1" x="62"/>
        <item m="1" x="72"/>
        <item x="17"/>
        <item x="36"/>
        <item x="8"/>
        <item m="1" x="75"/>
        <item m="1" x="74"/>
        <item x="54"/>
        <item x="18"/>
        <item x="23"/>
        <item x="22"/>
        <item x="19"/>
        <item x="31"/>
        <item x="20"/>
        <item m="1" x="68"/>
        <item x="32"/>
        <item m="1" x="70"/>
        <item x="41"/>
        <item x="53"/>
        <item x="43"/>
        <item x="51"/>
        <item x="50"/>
        <item m="1" x="66"/>
        <item x="27"/>
        <item x="45"/>
        <item x="35"/>
        <item m="1" x="71"/>
        <item m="1" x="76"/>
        <item x="25"/>
        <item x="48"/>
        <item m="1" x="73"/>
        <item x="29"/>
        <item x="37"/>
        <item h="1" x="60"/>
        <item t="default"/>
      </items>
    </pivotField>
    <pivotField showAll="0">
      <items count="37">
        <item x="7"/>
        <item x="29"/>
        <item x="26"/>
        <item x="31"/>
        <item x="32"/>
        <item x="1"/>
        <item x="2"/>
        <item x="30"/>
        <item x="24"/>
        <item x="10"/>
        <item x="25"/>
        <item x="16"/>
        <item x="4"/>
        <item x="15"/>
        <item x="21"/>
        <item x="13"/>
        <item x="14"/>
        <item x="3"/>
        <item x="28"/>
        <item x="9"/>
        <item x="27"/>
        <item x="17"/>
        <item x="0"/>
        <item x="23"/>
        <item x="19"/>
        <item x="8"/>
        <item x="11"/>
        <item x="12"/>
        <item x="22"/>
        <item x="20"/>
        <item x="18"/>
        <item x="5"/>
        <item x="6"/>
        <item x="33"/>
        <item x="34"/>
        <item x="3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3">
    <field x="5"/>
    <field x="6"/>
    <field x="8"/>
  </rowFields>
  <rowItems count="106">
    <i>
      <x v="4"/>
    </i>
    <i r="1">
      <x v="30"/>
    </i>
    <i r="2">
      <x v="25"/>
    </i>
    <i r="1">
      <x v="62"/>
    </i>
    <i r="2">
      <x v="3"/>
    </i>
    <i r="1">
      <x v="95"/>
    </i>
    <i r="2">
      <x v="25"/>
    </i>
    <i>
      <x v="10"/>
    </i>
    <i r="1">
      <x v="72"/>
    </i>
    <i r="2">
      <x v="25"/>
    </i>
    <i r="1">
      <x v="90"/>
    </i>
    <i r="2">
      <x v="25"/>
    </i>
    <i r="1">
      <x v="97"/>
    </i>
    <i r="2">
      <x v="1"/>
    </i>
    <i r="1">
      <x v="104"/>
    </i>
    <i r="2">
      <x v="25"/>
    </i>
    <i>
      <x v="11"/>
    </i>
    <i r="1">
      <x v="6"/>
    </i>
    <i r="2">
      <x v="26"/>
    </i>
    <i r="1">
      <x v="18"/>
    </i>
    <i r="2">
      <x v="26"/>
    </i>
    <i r="1">
      <x v="65"/>
    </i>
    <i r="2">
      <x v="26"/>
    </i>
    <i>
      <x v="12"/>
    </i>
    <i r="1">
      <x v="10"/>
    </i>
    <i r="2">
      <x v="25"/>
    </i>
    <i r="1">
      <x v="35"/>
    </i>
    <i r="2">
      <x v="25"/>
    </i>
    <i r="1">
      <x v="63"/>
    </i>
    <i r="2">
      <x v="25"/>
    </i>
    <i r="1">
      <x v="64"/>
    </i>
    <i r="2">
      <x v="25"/>
    </i>
    <i r="1">
      <x v="69"/>
    </i>
    <i r="2">
      <x v="25"/>
    </i>
    <i r="2">
      <x v="53"/>
    </i>
    <i r="1">
      <x v="71"/>
    </i>
    <i r="2">
      <x v="25"/>
    </i>
    <i r="1">
      <x v="97"/>
    </i>
    <i r="2">
      <x v="1"/>
    </i>
    <i r="1">
      <x v="129"/>
    </i>
    <i r="2">
      <x v="25"/>
    </i>
    <i r="1">
      <x v="151"/>
    </i>
    <i r="2">
      <x/>
    </i>
    <i r="2">
      <x v="25"/>
    </i>
    <i>
      <x v="14"/>
    </i>
    <i r="1">
      <x v="97"/>
    </i>
    <i r="2">
      <x v="3"/>
    </i>
    <i r="1">
      <x v="140"/>
    </i>
    <i r="2">
      <x v="25"/>
    </i>
    <i r="1">
      <x v="151"/>
    </i>
    <i r="2">
      <x/>
    </i>
    <i r="2">
      <x v="25"/>
    </i>
    <i>
      <x v="17"/>
    </i>
    <i r="1">
      <x v="44"/>
    </i>
    <i r="2">
      <x v="25"/>
    </i>
    <i>
      <x v="20"/>
    </i>
    <i r="1">
      <x v="8"/>
    </i>
    <i r="2">
      <x v="25"/>
    </i>
    <i r="1">
      <x v="15"/>
    </i>
    <i r="2">
      <x v="25"/>
    </i>
    <i r="1">
      <x v="48"/>
    </i>
    <i r="2">
      <x v="25"/>
    </i>
    <i r="1">
      <x v="50"/>
    </i>
    <i r="2">
      <x v="25"/>
    </i>
    <i r="1">
      <x v="80"/>
    </i>
    <i r="2">
      <x v="3"/>
    </i>
    <i r="2">
      <x v="25"/>
    </i>
    <i r="1">
      <x v="132"/>
    </i>
    <i r="2">
      <x v="3"/>
    </i>
    <i r="1">
      <x v="134"/>
    </i>
    <i r="2">
      <x v="3"/>
    </i>
    <i r="1">
      <x v="156"/>
    </i>
    <i r="2">
      <x v="3"/>
    </i>
    <i>
      <x v="21"/>
    </i>
    <i r="1">
      <x v="29"/>
    </i>
    <i r="2">
      <x v="25"/>
    </i>
    <i>
      <x v="26"/>
    </i>
    <i r="1">
      <x v="145"/>
    </i>
    <i r="2">
      <x v="24"/>
    </i>
    <i r="2">
      <x v="25"/>
    </i>
    <i>
      <x v="28"/>
    </i>
    <i r="1">
      <x v="161"/>
    </i>
    <i r="2">
      <x v="3"/>
    </i>
    <i>
      <x v="29"/>
    </i>
    <i r="1">
      <x v="162"/>
    </i>
    <i r="2">
      <x v="3"/>
    </i>
    <i r="1">
      <x v="163"/>
    </i>
    <i r="2">
      <x v="40"/>
    </i>
    <i r="1">
      <x v="164"/>
    </i>
    <i r="2">
      <x v="25"/>
    </i>
    <i r="2">
      <x v="40"/>
    </i>
    <i r="2">
      <x v="42"/>
    </i>
    <i r="1">
      <x v="165"/>
    </i>
    <i r="2">
      <x v="25"/>
    </i>
    <i r="1">
      <x v="166"/>
    </i>
    <i r="2">
      <x v="40"/>
    </i>
    <i r="1">
      <x v="167"/>
    </i>
    <i r="2">
      <x v="25"/>
    </i>
    <i r="1">
      <x v="168"/>
    </i>
    <i r="2">
      <x v="25"/>
    </i>
    <i>
      <x v="30"/>
    </i>
    <i r="1">
      <x v="184"/>
    </i>
    <i r="2">
      <x v="25"/>
    </i>
    <i r="1">
      <x v="185"/>
    </i>
    <i r="2">
      <x v="25"/>
    </i>
    <i t="grand">
      <x/>
    </i>
  </rowItems>
  <colItems count="1">
    <i/>
  </colItems>
  <pageFields count="5">
    <pageField fld="1" item="1" hier="-1"/>
    <pageField fld="7" hier="-1"/>
    <pageField fld="0" hier="-1"/>
    <pageField fld="11" hier="-1"/>
    <pageField fld="4"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C93E4D-AF17-E747-AAB8-B323677C19DB}" name="PivotTable2" cacheId="23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60" firstHeaderRow="1" firstDataRow="2" firstDataCol="1" rowPageCount="3" colPageCount="1"/>
  <pivotFields count="20">
    <pivotField axis="axisPage" multipleItemSelectionAllowed="1" showAll="0">
      <items count="4">
        <item x="0"/>
        <item x="1"/>
        <item m="1" x="2"/>
        <item t="default"/>
      </items>
    </pivotField>
    <pivotField axis="axisPage" multipleItemSelectionAllowed="1" showAll="0">
      <items count="8">
        <item h="1" m="1" x="5"/>
        <item x="2"/>
        <item h="1" x="1"/>
        <item h="1" x="0"/>
        <item h="1" x="3"/>
        <item h="1" m="1" x="6"/>
        <item h="1" m="1" x="4"/>
        <item t="default"/>
      </items>
    </pivotField>
    <pivotField showAll="0"/>
    <pivotField showAll="0"/>
    <pivotField axis="axisCol" showAll="0" sortType="ascending">
      <items count="8">
        <item h="1" sd="0" x="2"/>
        <item h="1" sd="0" x="3"/>
        <item h="1" sd="0" x="1"/>
        <item h="1" sd="0" x="4"/>
        <item h="1" x="5"/>
        <item sd="0" x="0"/>
        <item h="1" sd="0" x="6"/>
        <item t="default"/>
      </items>
    </pivotField>
    <pivotField axis="axisRow" showAll="0">
      <items count="32">
        <item m="1" x="27"/>
        <item x="1"/>
        <item x="16"/>
        <item x="6"/>
        <item x="7"/>
        <item x="8"/>
        <item m="1" x="22"/>
        <item m="1" x="28"/>
        <item m="1" x="30"/>
        <item m="1" x="25"/>
        <item x="10"/>
        <item x="9"/>
        <item x="5"/>
        <item m="1" x="26"/>
        <item x="3"/>
        <item x="12"/>
        <item x="11"/>
        <item x="17"/>
        <item m="1" x="23"/>
        <item x="0"/>
        <item x="2"/>
        <item x="4"/>
        <item x="14"/>
        <item m="1" x="24"/>
        <item sd="0" x="15"/>
        <item m="1" x="29"/>
        <item x="13"/>
        <item m="1" x="21"/>
        <item x="18"/>
        <item x="19"/>
        <item x="20"/>
        <item t="default"/>
      </items>
    </pivotField>
    <pivotField axis="axisRow" showAll="0">
      <items count="187">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137"/>
        <item x="33"/>
        <item x="5"/>
        <item x="3"/>
        <item x="92"/>
        <item x="63"/>
        <item x="97"/>
        <item x="38"/>
        <item x="39"/>
        <item x="132"/>
        <item x="128"/>
        <item x="131"/>
        <item x="127"/>
        <item x="46"/>
        <item m="1" x="181"/>
        <item m="1" x="182"/>
        <item m="1" x="180"/>
        <item x="82"/>
        <item x="67"/>
        <item x="94"/>
        <item x="100"/>
        <item x="85"/>
        <item x="77"/>
        <item x="86"/>
        <item x="95"/>
        <item x="102"/>
        <item x="104"/>
        <item x="96"/>
        <item x="88"/>
        <item x="79"/>
        <item x="80"/>
        <item x="1"/>
        <item x="78"/>
        <item m="1" x="174"/>
        <item m="1" x="173"/>
        <item x="2"/>
        <item x="61"/>
        <item x="119"/>
        <item x="121"/>
        <item x="122"/>
        <item x="110"/>
        <item x="89"/>
        <item x="91"/>
        <item x="90"/>
        <item x="138"/>
        <item m="1" x="168"/>
        <item x="87"/>
        <item x="101"/>
        <item x="107"/>
        <item x="26"/>
        <item m="1" x="169"/>
        <item x="55"/>
        <item x="27"/>
        <item x="14"/>
        <item m="1" x="167"/>
        <item m="1" x="171"/>
        <item x="130"/>
        <item x="136"/>
        <item m="1" x="170"/>
        <item x="83"/>
        <item x="84"/>
        <item x="98"/>
        <item x="99"/>
        <item x="58"/>
        <item x="135"/>
        <item x="129"/>
        <item x="109"/>
        <item x="118"/>
        <item x="134"/>
        <item m="1" x="166"/>
        <item m="1" x="172"/>
        <item x="111"/>
        <item x="120"/>
        <item x="36"/>
        <item x="20"/>
        <item x="48"/>
        <item x="51"/>
        <item x="49"/>
        <item x="68"/>
        <item x="34"/>
        <item x="2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32"/>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axis="axisPage" multipleItemSelectionAllowed="1" showAll="0">
      <items count="10">
        <item x="3"/>
        <item x="5"/>
        <item h="1" x="2"/>
        <item h="1" x="4"/>
        <item h="1" x="1"/>
        <item h="1" x="6"/>
        <item h="1" x="0"/>
        <item m="1" x="7"/>
        <item m="1" x="8"/>
        <item t="default"/>
      </items>
    </pivotField>
    <pivotField axis="axisRow" showAll="0" sortType="ascending">
      <items count="56">
        <item sd="0" x="19"/>
        <item x="15"/>
        <item x="29"/>
        <item sd="0" x="27"/>
        <item x="5"/>
        <item x="38"/>
        <item x="4"/>
        <item x="3"/>
        <item x="17"/>
        <item x="31"/>
        <item m="1" x="47"/>
        <item x="35"/>
        <item x="21"/>
        <item x="28"/>
        <item x="26"/>
        <item x="32"/>
        <item m="1" x="45"/>
        <item sd="0" m="1" x="46"/>
        <item sd="0" x="36"/>
        <item x="11"/>
        <item x="24"/>
        <item x="13"/>
        <item x="12"/>
        <item m="1" x="41"/>
        <item x="30"/>
        <item m="1" x="42"/>
        <item x="6"/>
        <item sd="0" m="1" x="44"/>
        <item x="2"/>
        <item x="9"/>
        <item x="7"/>
        <item sd="0" x="37"/>
        <item m="1" x="51"/>
        <item m="1" x="49"/>
        <item x="16"/>
        <item m="1" x="50"/>
        <item m="1" x="48"/>
        <item x="10"/>
        <item x="20"/>
        <item x="34"/>
        <item x="23"/>
        <item x="8"/>
        <item x="14"/>
        <item m="1" x="52"/>
        <item m="1" x="53"/>
        <item x="25"/>
        <item x="1"/>
        <item x="33"/>
        <item x="18"/>
        <item m="1" x="43"/>
        <item x="39"/>
        <item x="0"/>
        <item x="22"/>
        <item m="1" x="54"/>
        <item m="1" x="40"/>
        <item t="default"/>
      </items>
    </pivotField>
    <pivotField showAll="0"/>
    <pivotField showAll="0"/>
    <pivotField dataField="1" showAll="0"/>
    <pivotField showAll="0">
      <items count="37">
        <item x="7"/>
        <item x="29"/>
        <item x="26"/>
        <item x="31"/>
        <item x="32"/>
        <item x="1"/>
        <item x="2"/>
        <item x="30"/>
        <item x="24"/>
        <item x="10"/>
        <item x="25"/>
        <item x="16"/>
        <item x="4"/>
        <item x="15"/>
        <item x="21"/>
        <item x="13"/>
        <item x="14"/>
        <item x="3"/>
        <item x="28"/>
        <item x="9"/>
        <item x="27"/>
        <item x="17"/>
        <item x="0"/>
        <item x="23"/>
        <item x="19"/>
        <item x="8"/>
        <item x="11"/>
        <item x="12"/>
        <item x="22"/>
        <item x="20"/>
        <item x="18"/>
        <item x="5"/>
        <item x="6"/>
        <item x="33"/>
        <item x="34"/>
        <item x="3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3">
    <field x="8"/>
    <field x="5"/>
    <field x="6"/>
  </rowFields>
  <rowItems count="54">
    <i>
      <x/>
    </i>
    <i>
      <x v="1"/>
    </i>
    <i r="1">
      <x v="10"/>
    </i>
    <i r="2">
      <x v="97"/>
    </i>
    <i>
      <x v="4"/>
    </i>
    <i r="1">
      <x v="4"/>
    </i>
    <i r="2">
      <x v="62"/>
    </i>
    <i r="1">
      <x v="14"/>
    </i>
    <i r="2">
      <x v="13"/>
    </i>
    <i r="2">
      <x v="97"/>
    </i>
    <i r="1">
      <x v="15"/>
    </i>
    <i r="2">
      <x v="120"/>
    </i>
    <i r="2">
      <x v="147"/>
    </i>
    <i r="1">
      <x v="20"/>
    </i>
    <i r="2">
      <x v="80"/>
    </i>
    <i r="2">
      <x v="132"/>
    </i>
    <i r="2">
      <x v="134"/>
    </i>
    <i r="2">
      <x v="137"/>
    </i>
    <i>
      <x v="40"/>
    </i>
    <i r="1">
      <x v="10"/>
    </i>
    <i r="2">
      <x v="104"/>
    </i>
    <i r="1">
      <x v="26"/>
    </i>
    <i r="2">
      <x v="145"/>
    </i>
    <i>
      <x v="41"/>
    </i>
    <i r="1">
      <x v="4"/>
    </i>
    <i r="2">
      <x v="30"/>
    </i>
    <i r="2">
      <x v="95"/>
    </i>
    <i r="1">
      <x v="10"/>
    </i>
    <i r="2">
      <x v="72"/>
    </i>
    <i r="2">
      <x v="90"/>
    </i>
    <i r="1">
      <x v="14"/>
    </i>
    <i r="2">
      <x v="140"/>
    </i>
    <i r="2">
      <x v="151"/>
    </i>
    <i r="1">
      <x v="17"/>
    </i>
    <i r="2">
      <x v="44"/>
    </i>
    <i r="1">
      <x v="20"/>
    </i>
    <i r="2">
      <x v="8"/>
    </i>
    <i r="2">
      <x v="15"/>
    </i>
    <i r="2">
      <x v="48"/>
    </i>
    <i r="2">
      <x v="71"/>
    </i>
    <i r="2">
      <x v="80"/>
    </i>
    <i r="1">
      <x v="21"/>
    </i>
    <i r="2">
      <x v="29"/>
    </i>
    <i r="1">
      <x v="26"/>
    </i>
    <i r="2">
      <x v="145"/>
    </i>
    <i r="1">
      <x v="30"/>
    </i>
    <i r="2">
      <x v="184"/>
    </i>
    <i r="2">
      <x v="185"/>
    </i>
    <i>
      <x v="42"/>
    </i>
    <i r="1">
      <x v="11"/>
    </i>
    <i r="2">
      <x v="6"/>
    </i>
    <i r="2">
      <x v="18"/>
    </i>
    <i r="2">
      <x v="65"/>
    </i>
    <i t="grand">
      <x/>
    </i>
  </rowItems>
  <colFields count="1">
    <field x="4"/>
  </colFields>
  <colItems count="2">
    <i>
      <x v="5"/>
    </i>
    <i t="grand">
      <x/>
    </i>
  </colItems>
  <pageFields count="3">
    <pageField fld="1" hier="-1"/>
    <pageField fld="7" hier="-1"/>
    <pageField fld="0"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E11324-12AC-4046-AC03-0063B221841A}" name="PivotTable2" cacheId="23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I59" firstHeaderRow="1" firstDataRow="2" firstDataCol="1" rowPageCount="4" colPageCount="1"/>
  <pivotFields count="20">
    <pivotField axis="axisPage" multipleItemSelectionAllowed="1" showAll="0">
      <items count="4">
        <item x="0"/>
        <item h="1" x="1"/>
        <item h="1" m="1" x="2"/>
        <item t="default"/>
      </items>
    </pivotField>
    <pivotField axis="axisPage" multipleItemSelectionAllowed="1" showAll="0">
      <items count="8">
        <item h="1" m="1" x="5"/>
        <item h="1" x="2"/>
        <item x="1"/>
        <item h="1" x="0"/>
        <item h="1" x="3"/>
        <item h="1" m="1" x="6"/>
        <item h="1" m="1" x="4"/>
        <item t="default"/>
      </items>
    </pivotField>
    <pivotField showAll="0"/>
    <pivotField showAll="0"/>
    <pivotField axis="axisCol" showAll="0">
      <items count="8">
        <item sd="0" x="6"/>
        <item sd="0" x="0"/>
        <item sd="0" x="1"/>
        <item sd="0" x="2"/>
        <item sd="0" x="3"/>
        <item sd="0" x="4"/>
        <item sd="0" x="5"/>
        <item t="default"/>
      </items>
    </pivotField>
    <pivotField axis="axisRow" showAll="0">
      <items count="32">
        <item m="1" x="27"/>
        <item x="1"/>
        <item x="16"/>
        <item x="6"/>
        <item x="7"/>
        <item x="8"/>
        <item m="1" x="22"/>
        <item m="1" x="28"/>
        <item m="1" x="30"/>
        <item m="1" x="25"/>
        <item x="10"/>
        <item x="9"/>
        <item x="5"/>
        <item m="1" x="26"/>
        <item x="3"/>
        <item x="12"/>
        <item x="11"/>
        <item x="17"/>
        <item m="1" x="23"/>
        <item x="0"/>
        <item x="2"/>
        <item x="4"/>
        <item x="14"/>
        <item m="1" x="24"/>
        <item x="15"/>
        <item m="1" x="29"/>
        <item x="13"/>
        <item m="1" x="21"/>
        <item x="18"/>
        <item x="19"/>
        <item x="20"/>
        <item t="default"/>
      </items>
    </pivotField>
    <pivotField axis="axisRow" showAll="0">
      <items count="187">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137"/>
        <item x="33"/>
        <item x="5"/>
        <item x="3"/>
        <item x="92"/>
        <item x="63"/>
        <item x="97"/>
        <item x="38"/>
        <item x="39"/>
        <item x="132"/>
        <item x="128"/>
        <item x="131"/>
        <item x="127"/>
        <item x="46"/>
        <item m="1" x="181"/>
        <item m="1" x="182"/>
        <item m="1" x="180"/>
        <item x="82"/>
        <item x="67"/>
        <item x="94"/>
        <item x="100"/>
        <item x="85"/>
        <item x="77"/>
        <item x="86"/>
        <item x="95"/>
        <item x="102"/>
        <item x="104"/>
        <item x="96"/>
        <item x="88"/>
        <item x="79"/>
        <item x="80"/>
        <item x="1"/>
        <item x="78"/>
        <item m="1" x="174"/>
        <item m="1" x="173"/>
        <item x="2"/>
        <item x="61"/>
        <item x="119"/>
        <item x="121"/>
        <item x="122"/>
        <item x="110"/>
        <item x="89"/>
        <item x="91"/>
        <item x="90"/>
        <item x="138"/>
        <item m="1" x="168"/>
        <item x="87"/>
        <item x="101"/>
        <item x="107"/>
        <item x="26"/>
        <item m="1" x="169"/>
        <item x="55"/>
        <item x="27"/>
        <item x="14"/>
        <item m="1" x="167"/>
        <item m="1" x="171"/>
        <item x="130"/>
        <item x="136"/>
        <item m="1" x="170"/>
        <item x="83"/>
        <item x="84"/>
        <item x="98"/>
        <item x="99"/>
        <item x="58"/>
        <item x="135"/>
        <item x="129"/>
        <item x="109"/>
        <item x="118"/>
        <item x="134"/>
        <item m="1" x="166"/>
        <item m="1" x="172"/>
        <item x="111"/>
        <item x="120"/>
        <item x="36"/>
        <item x="20"/>
        <item x="48"/>
        <item x="51"/>
        <item x="49"/>
        <item x="68"/>
        <item x="34"/>
        <item x="2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32"/>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axis="axisPage" multipleItemSelectionAllowed="1" showAll="0">
      <items count="10">
        <item h="1" x="3"/>
        <item h="1" x="5"/>
        <item x="2"/>
        <item h="1" x="4"/>
        <item x="1"/>
        <item h="1" x="6"/>
        <item h="1" x="0"/>
        <item m="1" x="7"/>
        <item m="1" x="8"/>
        <item t="default"/>
      </items>
    </pivotField>
    <pivotField axis="axisRow" showAll="0">
      <items count="56">
        <item sd="0" x="19"/>
        <item sd="0" x="15"/>
        <item sd="0" x="27"/>
        <item sd="0" x="5"/>
        <item x="4"/>
        <item x="3"/>
        <item sd="0" x="17"/>
        <item x="31"/>
        <item m="1" x="47"/>
        <item sd="0" x="28"/>
        <item sd="0" x="26"/>
        <item x="32"/>
        <item x="11"/>
        <item x="6"/>
        <item x="2"/>
        <item x="9"/>
        <item x="7"/>
        <item m="1" x="51"/>
        <item m="1" x="49"/>
        <item x="16"/>
        <item m="1" x="50"/>
        <item m="1" x="48"/>
        <item x="10"/>
        <item x="20"/>
        <item sd="0" x="23"/>
        <item sd="0" x="8"/>
        <item sd="0" x="14"/>
        <item m="1" x="52"/>
        <item m="1" x="53"/>
        <item x="25"/>
        <item x="1"/>
        <item x="18"/>
        <item m="1" x="43"/>
        <item x="22"/>
        <item m="1" x="54"/>
        <item m="1" x="40"/>
        <item sd="0" x="21"/>
        <item x="33"/>
        <item x="34"/>
        <item sd="0"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h="1" x="7"/>
        <item x="5"/>
        <item x="6"/>
        <item x="9"/>
        <item x="11"/>
        <item x="14"/>
        <item x="15"/>
        <item x="57"/>
        <item x="10"/>
        <item x="58"/>
        <item x="21"/>
        <item x="56"/>
        <item x="52"/>
        <item x="13"/>
        <item m="1" x="65"/>
        <item x="59"/>
        <item x="30"/>
        <item x="24"/>
        <item m="1" x="64"/>
        <item x="55"/>
        <item m="1" x="77"/>
        <item x="12"/>
        <item x="3"/>
        <item x="4"/>
        <item x="47"/>
        <item x="1"/>
        <item x="42"/>
        <item x="2"/>
        <item x="39"/>
        <item m="1" x="78"/>
        <item x="40"/>
        <item m="1" x="79"/>
        <item m="1" x="63"/>
        <item m="1" x="69"/>
        <item x="0"/>
        <item x="38"/>
        <item x="44"/>
        <item x="26"/>
        <item x="34"/>
        <item x="49"/>
        <item m="1" x="67"/>
        <item m="1" x="61"/>
        <item x="16"/>
        <item x="28"/>
        <item x="33"/>
        <item x="46"/>
        <item m="1" x="62"/>
        <item m="1" x="72"/>
        <item x="17"/>
        <item x="36"/>
        <item x="8"/>
        <item m="1" x="75"/>
        <item m="1" x="74"/>
        <item x="54"/>
        <item x="18"/>
        <item x="23"/>
        <item x="22"/>
        <item x="19"/>
        <item x="31"/>
        <item x="20"/>
        <item m="1" x="68"/>
        <item x="32"/>
        <item m="1" x="70"/>
        <item x="41"/>
        <item x="53"/>
        <item x="43"/>
        <item x="51"/>
        <item x="50"/>
        <item m="1" x="66"/>
        <item x="27"/>
        <item x="45"/>
        <item x="35"/>
        <item m="1" x="71"/>
        <item m="1" x="76"/>
        <item x="25"/>
        <item x="48"/>
        <item m="1" x="73"/>
        <item x="29"/>
        <item x="37"/>
        <item h="1" x="60"/>
        <item t="default"/>
      </items>
    </pivotField>
    <pivotField showAll="0">
      <items count="37">
        <item x="7"/>
        <item x="29"/>
        <item x="26"/>
        <item x="31"/>
        <item x="32"/>
        <item x="1"/>
        <item x="2"/>
        <item x="30"/>
        <item x="24"/>
        <item x="10"/>
        <item x="25"/>
        <item x="16"/>
        <item x="4"/>
        <item x="15"/>
        <item x="21"/>
        <item x="13"/>
        <item x="14"/>
        <item x="3"/>
        <item x="28"/>
        <item x="9"/>
        <item x="27"/>
        <item x="17"/>
        <item x="0"/>
        <item x="23"/>
        <item x="19"/>
        <item x="8"/>
        <item x="11"/>
        <item x="12"/>
        <item x="22"/>
        <item x="20"/>
        <item x="18"/>
        <item x="5"/>
        <item x="6"/>
        <item x="33"/>
        <item x="34"/>
        <item x="3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3">
    <field x="8"/>
    <field x="5"/>
    <field x="6"/>
  </rowFields>
  <rowItems count="52">
    <i>
      <x v="4"/>
    </i>
    <i r="1">
      <x v="21"/>
    </i>
    <i r="2">
      <x v="128"/>
    </i>
    <i>
      <x v="5"/>
    </i>
    <i r="1">
      <x v="10"/>
    </i>
    <i r="2">
      <x v="103"/>
    </i>
    <i r="1">
      <x v="12"/>
    </i>
    <i r="2">
      <x v="64"/>
    </i>
    <i r="1">
      <x v="21"/>
    </i>
    <i r="2">
      <x v="128"/>
    </i>
    <i>
      <x v="6"/>
    </i>
    <i>
      <x v="9"/>
    </i>
    <i>
      <x v="14"/>
    </i>
    <i r="1">
      <x v="20"/>
    </i>
    <i r="2">
      <x v="15"/>
    </i>
    <i>
      <x v="15"/>
    </i>
    <i r="1">
      <x v="12"/>
    </i>
    <i r="2">
      <x v="71"/>
    </i>
    <i r="1">
      <x v="20"/>
    </i>
    <i r="2">
      <x v="35"/>
    </i>
    <i r="2">
      <x v="48"/>
    </i>
    <i r="2">
      <x v="142"/>
    </i>
    <i r="1">
      <x v="28"/>
    </i>
    <i r="2">
      <x v="157"/>
    </i>
    <i r="2">
      <x v="159"/>
    </i>
    <i r="1">
      <x v="29"/>
    </i>
    <i r="2">
      <x v="167"/>
    </i>
    <i>
      <x v="16"/>
    </i>
    <i r="1">
      <x v="2"/>
    </i>
    <i r="2">
      <x v="3"/>
    </i>
    <i r="1">
      <x v="4"/>
    </i>
    <i r="2">
      <x v="30"/>
    </i>
    <i r="1">
      <x v="14"/>
    </i>
    <i r="2">
      <x v="51"/>
    </i>
    <i r="2">
      <x v="153"/>
    </i>
    <i r="2">
      <x v="156"/>
    </i>
    <i r="1">
      <x v="20"/>
    </i>
    <i r="2">
      <x v="8"/>
    </i>
    <i r="2">
      <x v="108"/>
    </i>
    <i r="2">
      <x v="135"/>
    </i>
    <i r="1">
      <x v="21"/>
    </i>
    <i r="2">
      <x v="74"/>
    </i>
    <i r="2">
      <x v="110"/>
    </i>
    <i r="2">
      <x v="111"/>
    </i>
    <i r="2">
      <x v="128"/>
    </i>
    <i r="1">
      <x v="26"/>
    </i>
    <i r="2">
      <x v="49"/>
    </i>
    <i r="1">
      <x v="29"/>
    </i>
    <i r="2">
      <x v="165"/>
    </i>
    <i r="2">
      <x v="166"/>
    </i>
    <i>
      <x v="39"/>
    </i>
    <i t="grand">
      <x/>
    </i>
  </rowItems>
  <colFields count="1">
    <field x="4"/>
  </colFields>
  <colItems count="8">
    <i>
      <x/>
    </i>
    <i>
      <x v="1"/>
    </i>
    <i>
      <x v="2"/>
    </i>
    <i>
      <x v="3"/>
    </i>
    <i>
      <x v="4"/>
    </i>
    <i>
      <x v="5"/>
    </i>
    <i>
      <x v="6"/>
    </i>
    <i t="grand">
      <x/>
    </i>
  </colItems>
  <pageFields count="4">
    <pageField fld="1" hier="-1"/>
    <pageField fld="7" hier="-1"/>
    <pageField fld="0" hier="-1"/>
    <pageField fld="11"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848317-89C0-D94E-9403-277416C0CC7E}" name="PivotTable1" cacheId="2337" applyNumberFormats="0" applyBorderFormats="0" applyFontFormats="0" applyPatternFormats="0" applyAlignmentFormats="0" applyWidthHeightFormats="1" dataCaption="Values" updatedVersion="8" minRefreshableVersion="3" itemPrintTitles="1" createdVersion="8" indent="0" multipleFieldFilters="0" rowHeaderCaption="FA -&gt; Service">
  <location ref="A7:D645" firstHeaderRow="1" firstDataRow="2" firstDataCol="1" rowPageCount="3" colPageCount="1"/>
  <pivotFields count="20">
    <pivotField axis="axisCol" showAll="0">
      <items count="4">
        <item x="0"/>
        <item x="1"/>
        <item m="1" x="2"/>
        <item t="default"/>
      </items>
    </pivotField>
    <pivotField axis="axisPage" multipleItemSelectionAllowed="1" showAll="0" defaultSubtotal="0">
      <items count="7">
        <item x="2"/>
        <item x="1"/>
        <item x="0"/>
        <item x="3"/>
        <item m="1" x="6"/>
        <item m="1" x="4"/>
        <item m="1" x="5"/>
      </items>
    </pivotField>
    <pivotField axis="axisRow" showAll="0" defaultSubtotal="0">
      <items count="30">
        <item sd="0" x="16"/>
        <item x="13"/>
        <item x="8"/>
        <item x="2"/>
        <item x="5"/>
        <item x="18"/>
        <item x="6"/>
        <item x="14"/>
        <item x="0"/>
        <item x="17"/>
        <item x="3"/>
        <item x="12"/>
        <item sd="0" x="21"/>
        <item x="9"/>
        <item x="15"/>
        <item x="19"/>
        <item x="4"/>
        <item x="7"/>
        <item x="10"/>
        <item x="1"/>
        <item x="11"/>
        <item sd="0" x="20"/>
        <item x="22"/>
        <item x="23"/>
        <item x="24"/>
        <item x="25"/>
        <item x="26"/>
        <item m="1" x="29"/>
        <item x="27"/>
        <item x="28"/>
      </items>
    </pivotField>
    <pivotField axis="axisPage" multipleItemSelectionAllowed="1" showAll="0">
      <items count="31">
        <item x="13"/>
        <item x="16"/>
        <item x="24"/>
        <item x="8"/>
        <item x="2"/>
        <item x="5"/>
        <item x="15"/>
        <item x="6"/>
        <item x="18"/>
        <item x="14"/>
        <item x="0"/>
        <item x="17"/>
        <item x="26"/>
        <item x="22"/>
        <item x="3"/>
        <item x="21"/>
        <item x="12"/>
        <item x="9"/>
        <item x="19"/>
        <item x="4"/>
        <item x="7"/>
        <item x="25"/>
        <item x="10"/>
        <item x="23"/>
        <item x="20"/>
        <item x="1"/>
        <item x="11"/>
        <item m="1" x="29"/>
        <item x="27"/>
        <item x="28"/>
        <item t="default"/>
      </items>
    </pivotField>
    <pivotField axis="axisRow" multipleItemSelectionAllowed="1" showAll="0">
      <items count="8">
        <item sd="0" x="3"/>
        <item sd="0" x="1"/>
        <item sd="0" x="4"/>
        <item sd="0" x="5"/>
        <item x="0"/>
        <item sd="0" x="6"/>
        <item x="2"/>
        <item t="default"/>
      </items>
    </pivotField>
    <pivotField axis="axisRow" showAll="0" defaultSubtotal="0">
      <items count="31">
        <item m="1" x="27"/>
        <item sd="0" x="1"/>
        <item x="6"/>
        <item x="7"/>
        <item x="8"/>
        <item m="1" x="22"/>
        <item m="1" x="28"/>
        <item m="1" x="30"/>
        <item m="1" x="25"/>
        <item x="10"/>
        <item x="9"/>
        <item m="1" x="26"/>
        <item x="3"/>
        <item sd="0" x="11"/>
        <item x="0"/>
        <item x="2"/>
        <item sd="0" x="4"/>
        <item x="14"/>
        <item m="1" x="24"/>
        <item m="1" x="29"/>
        <item x="13"/>
        <item sd="0" x="15"/>
        <item sd="0" x="5"/>
        <item sd="0" x="16"/>
        <item x="17"/>
        <item m="1" x="23"/>
        <item x="12"/>
        <item m="1" x="21"/>
        <item x="18"/>
        <item x="19"/>
        <item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sd="0" x="82"/>
        <item x="67"/>
        <item x="94"/>
        <item x="100"/>
        <item x="85"/>
        <item x="86"/>
        <item x="95"/>
        <item x="102"/>
        <item x="104"/>
        <item x="96"/>
        <item x="88"/>
        <item x="79"/>
        <item x="80"/>
        <item sd="0"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items count="56">
        <item sd="0" x="19"/>
        <item sd="0" x="27"/>
        <item sd="0" x="5"/>
        <item sd="0" x="4"/>
        <item sd="0" x="3"/>
        <item sd="0" x="17"/>
        <item sd="0" x="26"/>
        <item sd="0" x="11"/>
        <item x="6"/>
        <item sd="0" x="2"/>
        <item x="9"/>
        <item x="7"/>
        <item m="1" x="49"/>
        <item m="1" x="50"/>
        <item m="1" x="48"/>
        <item x="10"/>
        <item sd="0" x="8"/>
        <item sd="0" x="14"/>
        <item m="1" x="52"/>
        <item m="1" x="53"/>
        <item x="25"/>
        <item x="1"/>
        <item x="18"/>
        <item x="22"/>
        <item m="1" x="54"/>
        <item x="16"/>
        <item sd="0" m="1" x="40"/>
        <item x="32"/>
        <item m="1" x="47"/>
        <item x="31"/>
        <item m="1" x="51"/>
        <item sd="0" x="15"/>
        <item x="20"/>
        <item m="1" x="43"/>
        <item sd="0" x="23"/>
        <item sd="0" x="28"/>
        <item x="21"/>
        <item x="33"/>
        <item x="34"/>
        <item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m="1" x="67"/>
        <item m="1" x="62"/>
        <item m="1" x="69"/>
        <item m="1" x="63"/>
        <item m="1" x="66"/>
        <item x="34"/>
        <item x="35"/>
        <item m="1" x="68"/>
        <item m="1" x="70"/>
        <item x="45"/>
        <item x="27"/>
        <item m="1" x="61"/>
        <item x="41"/>
        <item x="28"/>
        <item x="36"/>
        <item x="43"/>
        <item x="44"/>
        <item x="46"/>
        <item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5">
    <field x="8"/>
    <field x="4"/>
    <field x="5"/>
    <field x="6"/>
    <field x="2"/>
  </rowFields>
  <rowItems count="637">
    <i>
      <x/>
    </i>
    <i>
      <x v="1"/>
    </i>
    <i>
      <x v="2"/>
    </i>
    <i>
      <x v="3"/>
    </i>
    <i>
      <x v="4"/>
    </i>
    <i>
      <x v="5"/>
    </i>
    <i>
      <x v="6"/>
    </i>
    <i>
      <x v="7"/>
    </i>
    <i>
      <x v="8"/>
    </i>
    <i r="1">
      <x/>
    </i>
    <i r="1">
      <x v="1"/>
    </i>
    <i r="1">
      <x v="2"/>
    </i>
    <i r="1">
      <x v="3"/>
    </i>
    <i r="1">
      <x v="4"/>
    </i>
    <i r="2">
      <x v="2"/>
    </i>
    <i r="3">
      <x v="38"/>
    </i>
    <i r="4">
      <x v="2"/>
    </i>
    <i r="3">
      <x v="146"/>
    </i>
    <i r="4">
      <x v="2"/>
    </i>
    <i r="2">
      <x v="4"/>
    </i>
    <i r="3">
      <x/>
    </i>
    <i r="4">
      <x v="5"/>
    </i>
    <i r="3">
      <x v="171"/>
    </i>
    <i r="4">
      <x v="5"/>
    </i>
    <i r="2">
      <x v="9"/>
    </i>
    <i r="3">
      <x v="81"/>
    </i>
    <i r="4">
      <x v="2"/>
    </i>
    <i r="2">
      <x v="10"/>
    </i>
    <i r="3">
      <x v="98"/>
    </i>
    <i r="4">
      <x v="5"/>
    </i>
    <i r="2">
      <x v="12"/>
    </i>
    <i r="3">
      <x v="10"/>
    </i>
    <i r="4">
      <x v="2"/>
    </i>
    <i r="3">
      <x v="46"/>
    </i>
    <i r="4">
      <x v="10"/>
    </i>
    <i r="2">
      <x v="15"/>
    </i>
    <i r="3">
      <x v="7"/>
    </i>
    <i r="4">
      <x v="2"/>
    </i>
    <i r="3">
      <x v="19"/>
    </i>
    <i r="4">
      <x v="2"/>
    </i>
    <i r="3">
      <x v="20"/>
    </i>
    <i r="4">
      <x v="2"/>
    </i>
    <i r="3">
      <x v="36"/>
    </i>
    <i r="4">
      <x v="2"/>
    </i>
    <i r="3">
      <x v="41"/>
    </i>
    <i r="4">
      <x v="2"/>
    </i>
    <i r="4">
      <x v="4"/>
    </i>
    <i r="3">
      <x v="151"/>
    </i>
    <i r="4">
      <x v="2"/>
    </i>
    <i r="2">
      <x v="16"/>
    </i>
    <i r="1">
      <x v="5"/>
    </i>
    <i r="1">
      <x v="6"/>
    </i>
    <i r="2">
      <x v="2"/>
    </i>
    <i r="3">
      <x v="38"/>
    </i>
    <i r="4">
      <x v="2"/>
    </i>
    <i r="3">
      <x v="146"/>
    </i>
    <i r="4">
      <x v="2"/>
    </i>
    <i r="2">
      <x v="4"/>
    </i>
    <i r="3">
      <x/>
    </i>
    <i r="4">
      <x v="5"/>
    </i>
    <i r="3">
      <x v="71"/>
    </i>
    <i r="4">
      <x v="12"/>
    </i>
    <i r="3">
      <x v="72"/>
    </i>
    <i r="4">
      <x v="12"/>
    </i>
    <i r="3">
      <x v="73"/>
    </i>
    <i r="4">
      <x v="12"/>
    </i>
    <i r="3">
      <x v="155"/>
    </i>
    <i r="4">
      <x v="12"/>
    </i>
    <i r="3">
      <x v="171"/>
    </i>
    <i r="4">
      <x v="5"/>
    </i>
    <i r="2">
      <x v="9"/>
    </i>
    <i r="3">
      <x v="81"/>
    </i>
    <i r="4">
      <x v="2"/>
    </i>
    <i r="3">
      <x v="86"/>
    </i>
    <i r="4">
      <x v="12"/>
    </i>
    <i r="3">
      <x v="87"/>
    </i>
    <i r="4">
      <x v="12"/>
    </i>
    <i r="2">
      <x v="10"/>
    </i>
    <i r="3">
      <x v="56"/>
    </i>
    <i r="4">
      <x v="12"/>
    </i>
    <i r="3">
      <x v="57"/>
    </i>
    <i r="4">
      <x v="12"/>
    </i>
    <i r="3">
      <x v="98"/>
    </i>
    <i r="4">
      <x v="5"/>
    </i>
    <i r="2">
      <x v="12"/>
    </i>
    <i r="3">
      <x v="10"/>
    </i>
    <i r="4">
      <x v="2"/>
    </i>
    <i r="3">
      <x v="46"/>
    </i>
    <i r="4">
      <x v="10"/>
    </i>
    <i r="2">
      <x v="15"/>
    </i>
    <i r="3">
      <x v="7"/>
    </i>
    <i r="4">
      <x v="2"/>
    </i>
    <i r="3">
      <x v="19"/>
    </i>
    <i r="4">
      <x v="2"/>
    </i>
    <i r="3">
      <x v="20"/>
    </i>
    <i r="4">
      <x v="2"/>
    </i>
    <i r="3">
      <x v="36"/>
    </i>
    <i r="4">
      <x v="2"/>
    </i>
    <i r="3">
      <x v="41"/>
    </i>
    <i r="4">
      <x v="2"/>
    </i>
    <i r="4">
      <x v="4"/>
    </i>
    <i r="3">
      <x v="151"/>
    </i>
    <i r="4">
      <x v="2"/>
    </i>
    <i r="2">
      <x v="16"/>
    </i>
    <i>
      <x v="9"/>
    </i>
    <i>
      <x v="10"/>
    </i>
    <i r="1">
      <x/>
    </i>
    <i r="1">
      <x v="1"/>
    </i>
    <i r="1">
      <x v="2"/>
    </i>
    <i r="1">
      <x v="3"/>
    </i>
    <i r="1">
      <x v="4"/>
    </i>
    <i r="2">
      <x v="15"/>
    </i>
    <i r="3">
      <x v="32"/>
    </i>
    <i r="4">
      <x v="19"/>
    </i>
    <i r="3">
      <x v="43"/>
    </i>
    <i r="4">
      <x v="12"/>
    </i>
    <i r="3">
      <x v="109"/>
    </i>
    <i r="4">
      <x v="21"/>
    </i>
    <i r="3">
      <x v="114"/>
    </i>
    <i r="4">
      <x v="19"/>
    </i>
    <i r="1">
      <x v="5"/>
    </i>
    <i r="1">
      <x v="6"/>
    </i>
    <i r="2">
      <x v="15"/>
    </i>
    <i r="3">
      <x v="32"/>
    </i>
    <i r="4">
      <x v="19"/>
    </i>
    <i r="3">
      <x v="109"/>
    </i>
    <i r="4">
      <x v="21"/>
    </i>
    <i r="3">
      <x v="114"/>
    </i>
    <i r="4">
      <x v="19"/>
    </i>
    <i>
      <x v="11"/>
    </i>
    <i r="1">
      <x/>
    </i>
    <i r="1">
      <x v="1"/>
    </i>
    <i r="1">
      <x v="2"/>
    </i>
    <i r="1">
      <x v="3"/>
    </i>
    <i r="1">
      <x v="4"/>
    </i>
    <i r="2">
      <x v="3"/>
    </i>
    <i r="3">
      <x v="27"/>
    </i>
    <i r="4">
      <x v="5"/>
    </i>
    <i r="2">
      <x v="12"/>
    </i>
    <i r="3">
      <x v="46"/>
    </i>
    <i r="4">
      <x v="10"/>
    </i>
    <i r="3">
      <x v="123"/>
    </i>
    <i r="4">
      <x v="20"/>
    </i>
    <i r="3">
      <x v="156"/>
    </i>
    <i r="4">
      <x v="22"/>
    </i>
    <i r="2">
      <x v="14"/>
    </i>
    <i r="3">
      <x v="26"/>
    </i>
    <i r="4">
      <x v="7"/>
    </i>
    <i r="2">
      <x v="15"/>
    </i>
    <i r="3">
      <x v="7"/>
    </i>
    <i r="4">
      <x v="2"/>
    </i>
    <i r="3">
      <x v="41"/>
    </i>
    <i r="4">
      <x v="4"/>
    </i>
    <i r="3">
      <x v="105"/>
    </i>
    <i r="4">
      <x v="21"/>
    </i>
    <i r="3">
      <x v="107"/>
    </i>
    <i r="4">
      <x v="18"/>
    </i>
    <i r="3">
      <x v="148"/>
    </i>
    <i r="4">
      <x v="25"/>
    </i>
    <i r="2">
      <x v="16"/>
    </i>
    <i r="2">
      <x v="20"/>
    </i>
    <i r="3">
      <x v="44"/>
    </i>
    <i r="4">
      <x v="9"/>
    </i>
    <i r="1">
      <x v="5"/>
    </i>
    <i r="1">
      <x v="6"/>
    </i>
    <i r="2">
      <x v="3"/>
    </i>
    <i r="3">
      <x v="27"/>
    </i>
    <i r="4">
      <x v="5"/>
    </i>
    <i r="2">
      <x v="12"/>
    </i>
    <i r="3">
      <x v="123"/>
    </i>
    <i r="4">
      <x v="20"/>
    </i>
    <i r="3">
      <x v="156"/>
    </i>
    <i r="4">
      <x v="22"/>
    </i>
    <i r="2">
      <x v="14"/>
    </i>
    <i r="3">
      <x v="26"/>
    </i>
    <i r="4">
      <x v="7"/>
    </i>
    <i r="2">
      <x v="15"/>
    </i>
    <i r="3">
      <x v="7"/>
    </i>
    <i r="4">
      <x v="2"/>
    </i>
    <i r="3">
      <x v="41"/>
    </i>
    <i r="4">
      <x v="4"/>
    </i>
    <i r="3">
      <x v="45"/>
    </i>
    <i r="4">
      <x v="12"/>
    </i>
    <i r="3">
      <x v="46"/>
    </i>
    <i r="4">
      <x v="10"/>
    </i>
    <i r="3">
      <x v="105"/>
    </i>
    <i r="4">
      <x v="21"/>
    </i>
    <i r="3">
      <x v="107"/>
    </i>
    <i r="4">
      <x v="18"/>
    </i>
    <i r="3">
      <x v="148"/>
    </i>
    <i r="4">
      <x v="25"/>
    </i>
    <i r="2">
      <x v="16"/>
    </i>
    <i r="2">
      <x v="20"/>
    </i>
    <i r="3">
      <x v="44"/>
    </i>
    <i r="4">
      <x v="9"/>
    </i>
    <i>
      <x v="15"/>
    </i>
    <i r="1">
      <x/>
    </i>
    <i r="1">
      <x v="1"/>
    </i>
    <i r="1">
      <x v="2"/>
    </i>
    <i r="1">
      <x v="3"/>
    </i>
    <i r="1">
      <x v="4"/>
    </i>
    <i r="2">
      <x v="12"/>
    </i>
    <i r="3">
      <x v="1"/>
    </i>
    <i r="4">
      <x v="1"/>
    </i>
    <i r="2">
      <x v="16"/>
    </i>
    <i r="1">
      <x v="5"/>
    </i>
    <i r="1">
      <x v="6"/>
    </i>
    <i r="2">
      <x v="12"/>
    </i>
    <i r="3">
      <x v="1"/>
    </i>
    <i r="4">
      <x v="1"/>
    </i>
    <i r="2">
      <x v="16"/>
    </i>
    <i>
      <x v="16"/>
    </i>
    <i>
      <x v="17"/>
    </i>
    <i>
      <x v="20"/>
    </i>
    <i r="1">
      <x/>
    </i>
    <i r="1">
      <x v="1"/>
    </i>
    <i r="1">
      <x v="2"/>
    </i>
    <i r="1">
      <x v="3"/>
    </i>
    <i r="1">
      <x v="4"/>
    </i>
    <i r="2">
      <x v="3"/>
    </i>
    <i r="3">
      <x v="18"/>
    </i>
    <i r="4">
      <x v="5"/>
    </i>
    <i r="1">
      <x v="5"/>
    </i>
    <i r="1">
      <x v="6"/>
    </i>
    <i r="2">
      <x v="3"/>
    </i>
    <i r="3">
      <x v="18"/>
    </i>
    <i r="4">
      <x v="5"/>
    </i>
    <i>
      <x v="21"/>
    </i>
    <i r="1">
      <x/>
    </i>
    <i r="1">
      <x v="1"/>
    </i>
    <i r="1">
      <x v="2"/>
    </i>
    <i r="1">
      <x v="3"/>
    </i>
    <i r="1">
      <x v="4"/>
    </i>
    <i r="2">
      <x v="2"/>
    </i>
    <i r="3">
      <x v="172"/>
    </i>
    <i r="4">
      <x v="2"/>
    </i>
    <i r="2">
      <x v="3"/>
    </i>
    <i r="3">
      <x v="79"/>
    </i>
    <i r="4">
      <x v="11"/>
    </i>
    <i r="2">
      <x v="12"/>
    </i>
    <i r="3">
      <x v="3"/>
    </i>
    <i r="4">
      <x v="6"/>
    </i>
    <i r="3">
      <x v="21"/>
    </i>
    <i r="4">
      <x v="3"/>
    </i>
    <i r="3">
      <x v="46"/>
    </i>
    <i r="4">
      <x v="10"/>
    </i>
    <i r="3">
      <x v="123"/>
    </i>
    <i r="4">
      <x v="20"/>
    </i>
    <i r="2">
      <x v="14"/>
    </i>
    <i r="3">
      <x v="22"/>
    </i>
    <i r="4">
      <x v="21"/>
    </i>
    <i r="3">
      <x v="34"/>
    </i>
    <i r="4">
      <x v="19"/>
    </i>
    <i r="3">
      <x v="88"/>
    </i>
    <i r="4">
      <x v="11"/>
    </i>
    <i r="3">
      <x v="93"/>
    </i>
    <i r="4">
      <x v="21"/>
    </i>
    <i r="2">
      <x v="15"/>
    </i>
    <i r="3">
      <x v="2"/>
    </i>
    <i r="4">
      <x v="18"/>
    </i>
    <i r="3">
      <x v="11"/>
    </i>
    <i r="4">
      <x v="4"/>
    </i>
    <i r="3">
      <x v="12"/>
    </i>
    <i r="4">
      <x v="4"/>
    </i>
    <i r="3">
      <x v="32"/>
    </i>
    <i r="4">
      <x v="16"/>
    </i>
    <i r="4">
      <x v="19"/>
    </i>
    <i r="3">
      <x v="37"/>
    </i>
    <i r="4">
      <x v="4"/>
    </i>
    <i r="3">
      <x v="41"/>
    </i>
    <i r="4">
      <x v="4"/>
    </i>
    <i r="3">
      <x v="66"/>
    </i>
    <i r="4">
      <x v="14"/>
    </i>
    <i r="3">
      <x v="103"/>
    </i>
    <i r="4">
      <x v="18"/>
    </i>
    <i r="3">
      <x v="105"/>
    </i>
    <i r="4">
      <x v="21"/>
    </i>
    <i r="3">
      <x v="108"/>
    </i>
    <i r="4">
      <x v="18"/>
    </i>
    <i r="3">
      <x v="109"/>
    </i>
    <i r="4">
      <x v="21"/>
    </i>
    <i r="3">
      <x v="114"/>
    </i>
    <i r="4">
      <x v="19"/>
    </i>
    <i r="3">
      <x v="148"/>
    </i>
    <i r="4">
      <x v="25"/>
    </i>
    <i r="2">
      <x v="16"/>
    </i>
    <i r="2">
      <x v="20"/>
    </i>
    <i r="3">
      <x v="111"/>
    </i>
    <i r="4">
      <x v="11"/>
    </i>
    <i r="3">
      <x v="117"/>
    </i>
    <i r="4">
      <x v="11"/>
    </i>
    <i r="2">
      <x v="26"/>
    </i>
    <i r="3">
      <x v="118"/>
    </i>
    <i r="4">
      <x v="20"/>
    </i>
    <i r="1">
      <x v="5"/>
    </i>
    <i r="1">
      <x v="6"/>
    </i>
    <i r="2">
      <x v="2"/>
    </i>
    <i r="3">
      <x v="172"/>
    </i>
    <i r="4">
      <x v="2"/>
    </i>
    <i r="2">
      <x v="3"/>
    </i>
    <i r="3">
      <x v="79"/>
    </i>
    <i r="4">
      <x v="11"/>
    </i>
    <i r="2">
      <x v="12"/>
    </i>
    <i r="3">
      <x v="3"/>
    </i>
    <i r="4">
      <x v="6"/>
    </i>
    <i r="3">
      <x v="21"/>
    </i>
    <i r="4">
      <x v="3"/>
    </i>
    <i r="3">
      <x v="123"/>
    </i>
    <i r="4">
      <x v="20"/>
    </i>
    <i r="2">
      <x v="14"/>
    </i>
    <i r="3">
      <x v="22"/>
    </i>
    <i r="4">
      <x v="21"/>
    </i>
    <i r="3">
      <x v="34"/>
    </i>
    <i r="4">
      <x v="19"/>
    </i>
    <i r="3">
      <x v="88"/>
    </i>
    <i r="4">
      <x v="11"/>
    </i>
    <i r="3">
      <x v="92"/>
    </i>
    <i r="4">
      <x v="21"/>
    </i>
    <i r="3">
      <x v="148"/>
    </i>
    <i r="4">
      <x v="25"/>
    </i>
    <i r="2">
      <x v="15"/>
    </i>
    <i r="3">
      <x v="2"/>
    </i>
    <i r="4">
      <x v="18"/>
    </i>
    <i r="3">
      <x v="14"/>
    </i>
    <i r="4">
      <x v="4"/>
    </i>
    <i r="3">
      <x v="32"/>
    </i>
    <i r="4">
      <x v="16"/>
    </i>
    <i r="4">
      <x v="19"/>
    </i>
    <i r="3">
      <x v="41"/>
    </i>
    <i r="4">
      <x v="4"/>
    </i>
    <i r="3">
      <x v="46"/>
    </i>
    <i r="4">
      <x v="10"/>
    </i>
    <i r="3">
      <x v="66"/>
    </i>
    <i r="4">
      <x v="14"/>
    </i>
    <i r="3">
      <x v="103"/>
    </i>
    <i r="4">
      <x v="18"/>
    </i>
    <i r="3">
      <x v="105"/>
    </i>
    <i r="4">
      <x v="21"/>
    </i>
    <i r="3">
      <x v="108"/>
    </i>
    <i r="4">
      <x v="18"/>
    </i>
    <i r="3">
      <x v="109"/>
    </i>
    <i r="4">
      <x v="21"/>
    </i>
    <i r="3">
      <x v="114"/>
    </i>
    <i r="4">
      <x v="19"/>
    </i>
    <i r="2">
      <x v="16"/>
    </i>
    <i r="2">
      <x v="20"/>
    </i>
    <i r="3">
      <x v="111"/>
    </i>
    <i r="4">
      <x v="11"/>
    </i>
    <i r="3">
      <x v="117"/>
    </i>
    <i r="4">
      <x v="11"/>
    </i>
    <i>
      <x v="22"/>
    </i>
    <i r="1">
      <x/>
    </i>
    <i r="1">
      <x v="1"/>
    </i>
    <i r="1">
      <x v="2"/>
    </i>
    <i r="1">
      <x v="3"/>
    </i>
    <i r="1">
      <x v="4"/>
    </i>
    <i r="2">
      <x v="2"/>
    </i>
    <i r="3">
      <x v="172"/>
    </i>
    <i r="4">
      <x v="2"/>
    </i>
    <i r="2">
      <x v="4"/>
    </i>
    <i r="3">
      <x v="71"/>
    </i>
    <i r="4">
      <x v="12"/>
    </i>
    <i r="2">
      <x v="9"/>
    </i>
    <i r="3">
      <x v="54"/>
    </i>
    <i r="4">
      <x v="12"/>
    </i>
    <i r="3">
      <x v="58"/>
    </i>
    <i r="4">
      <x v="12"/>
    </i>
    <i r="3">
      <x v="62"/>
    </i>
    <i r="4">
      <x v="12"/>
    </i>
    <i r="3">
      <x v="74"/>
    </i>
    <i r="4">
      <x v="12"/>
    </i>
    <i r="3">
      <x v="81"/>
    </i>
    <i r="4">
      <x v="12"/>
    </i>
    <i r="3">
      <x v="84"/>
    </i>
    <i r="4">
      <x v="12"/>
    </i>
    <i r="3">
      <x v="85"/>
    </i>
    <i r="4">
      <x v="12"/>
    </i>
    <i r="2">
      <x v="10"/>
    </i>
    <i r="3">
      <x v="56"/>
    </i>
    <i r="4">
      <x v="12"/>
    </i>
    <i r="2">
      <x v="15"/>
    </i>
    <i r="3">
      <x v="43"/>
    </i>
    <i r="4">
      <x v="12"/>
    </i>
    <i r="3">
      <x v="61"/>
    </i>
    <i r="4">
      <x v="12"/>
    </i>
    <i r="1">
      <x v="5"/>
    </i>
    <i r="1">
      <x v="6"/>
    </i>
    <i r="2">
      <x v="2"/>
    </i>
    <i r="3">
      <x v="172"/>
    </i>
    <i r="4">
      <x v="2"/>
    </i>
    <i r="2">
      <x v="4"/>
    </i>
    <i r="3">
      <x v="71"/>
    </i>
    <i r="4">
      <x v="12"/>
    </i>
    <i r="2">
      <x v="9"/>
    </i>
    <i r="3">
      <x v="54"/>
    </i>
    <i r="4">
      <x v="12"/>
    </i>
    <i r="3">
      <x v="58"/>
    </i>
    <i r="4">
      <x v="12"/>
    </i>
    <i r="3">
      <x v="62"/>
    </i>
    <i r="4">
      <x v="12"/>
    </i>
    <i r="3">
      <x v="81"/>
    </i>
    <i r="4">
      <x v="12"/>
    </i>
    <i r="3">
      <x v="84"/>
    </i>
    <i r="4">
      <x v="12"/>
    </i>
    <i r="3">
      <x v="85"/>
    </i>
    <i r="4">
      <x v="12"/>
    </i>
    <i r="2">
      <x v="10"/>
    </i>
    <i r="3">
      <x v="56"/>
    </i>
    <i r="4">
      <x v="12"/>
    </i>
    <i r="2">
      <x v="15"/>
    </i>
    <i r="3">
      <x v="45"/>
    </i>
    <i r="4">
      <x v="12"/>
    </i>
    <i>
      <x v="23"/>
    </i>
    <i r="1">
      <x/>
    </i>
    <i r="1">
      <x v="1"/>
    </i>
    <i r="1">
      <x v="2"/>
    </i>
    <i r="1">
      <x v="3"/>
    </i>
    <i r="1">
      <x v="4"/>
    </i>
    <i r="2">
      <x v="20"/>
    </i>
    <i r="3">
      <x v="110"/>
    </i>
    <i r="4">
      <x v="9"/>
    </i>
    <i r="3">
      <x v="116"/>
    </i>
    <i r="4">
      <x v="9"/>
    </i>
    <i r="1">
      <x v="5"/>
    </i>
    <i r="1">
      <x v="6"/>
    </i>
    <i r="2">
      <x v="20"/>
    </i>
    <i r="3">
      <x v="110"/>
    </i>
    <i r="4">
      <x v="9"/>
    </i>
    <i r="3">
      <x v="116"/>
    </i>
    <i r="4">
      <x v="9"/>
    </i>
    <i>
      <x v="25"/>
    </i>
    <i r="1">
      <x/>
    </i>
    <i r="1">
      <x v="1"/>
    </i>
    <i r="1">
      <x v="2"/>
    </i>
    <i r="1">
      <x v="3"/>
    </i>
    <i r="1">
      <x v="4"/>
    </i>
    <i r="2">
      <x v="12"/>
    </i>
    <i r="3">
      <x v="1"/>
    </i>
    <i r="4">
      <x v="1"/>
    </i>
    <i r="2">
      <x v="14"/>
    </i>
    <i r="3">
      <x v="93"/>
    </i>
    <i r="4">
      <x v="21"/>
    </i>
    <i r="2">
      <x v="16"/>
    </i>
    <i r="1">
      <x v="5"/>
    </i>
    <i r="1">
      <x v="6"/>
    </i>
    <i r="2">
      <x v="12"/>
    </i>
    <i r="3">
      <x v="1"/>
    </i>
    <i r="4">
      <x v="1"/>
    </i>
    <i r="2">
      <x v="14"/>
    </i>
    <i r="3">
      <x v="92"/>
    </i>
    <i r="4">
      <x v="21"/>
    </i>
    <i r="2">
      <x v="16"/>
    </i>
    <i>
      <x v="27"/>
    </i>
    <i r="1">
      <x/>
    </i>
    <i r="1">
      <x v="1"/>
    </i>
    <i r="1">
      <x v="2"/>
    </i>
    <i r="1">
      <x v="3"/>
    </i>
    <i r="1">
      <x v="4"/>
    </i>
    <i r="2">
      <x v="14"/>
    </i>
    <i r="3">
      <x v="133"/>
    </i>
    <i r="4">
      <x v="22"/>
    </i>
    <i r="1">
      <x v="6"/>
    </i>
    <i r="2">
      <x v="14"/>
    </i>
    <i r="3">
      <x v="133"/>
    </i>
    <i r="4">
      <x v="22"/>
    </i>
    <i>
      <x v="29"/>
    </i>
    <i r="1">
      <x v="5"/>
    </i>
    <i>
      <x v="31"/>
    </i>
    <i>
      <x v="32"/>
    </i>
    <i r="1">
      <x/>
    </i>
    <i r="1">
      <x v="1"/>
    </i>
    <i r="1">
      <x v="2"/>
    </i>
    <i r="1">
      <x v="3"/>
    </i>
    <i r="1">
      <x v="4"/>
    </i>
    <i r="2">
      <x v="12"/>
    </i>
    <i r="3">
      <x v="123"/>
    </i>
    <i r="4">
      <x v="20"/>
    </i>
    <i r="2">
      <x v="16"/>
    </i>
    <i r="1">
      <x v="5"/>
    </i>
    <i r="1">
      <x v="6"/>
    </i>
    <i r="2">
      <x v="12"/>
    </i>
    <i r="3">
      <x v="123"/>
    </i>
    <i r="4">
      <x v="20"/>
    </i>
    <i r="2">
      <x v="16"/>
    </i>
    <i>
      <x v="34"/>
    </i>
    <i>
      <x v="35"/>
    </i>
    <i>
      <x v="36"/>
    </i>
    <i r="1">
      <x/>
    </i>
    <i r="1">
      <x v="1"/>
    </i>
    <i r="1">
      <x v="2"/>
    </i>
    <i r="1">
      <x v="3"/>
    </i>
    <i r="1">
      <x v="4"/>
    </i>
    <i r="2">
      <x v="16"/>
    </i>
    <i r="1">
      <x v="5"/>
    </i>
    <i r="1">
      <x v="6"/>
    </i>
    <i r="2">
      <x v="16"/>
    </i>
    <i>
      <x v="37"/>
    </i>
    <i r="1">
      <x/>
    </i>
    <i r="1">
      <x v="1"/>
    </i>
    <i r="1">
      <x v="2"/>
    </i>
    <i r="1">
      <x v="3"/>
    </i>
    <i r="1">
      <x v="4"/>
    </i>
    <i r="2">
      <x v="24"/>
    </i>
    <i r="3">
      <x v="150"/>
    </i>
    <i r="4">
      <x v="26"/>
    </i>
    <i r="1">
      <x v="6"/>
    </i>
    <i r="2">
      <x v="24"/>
    </i>
    <i r="3">
      <x v="150"/>
    </i>
    <i r="4">
      <x v="26"/>
    </i>
    <i>
      <x v="38"/>
    </i>
    <i r="1">
      <x v="5"/>
    </i>
    <i>
      <x v="39"/>
    </i>
    <i r="1">
      <x v="5"/>
    </i>
    <i>
      <x v="40"/>
    </i>
    <i r="1">
      <x v="5"/>
    </i>
    <i>
      <x v="42"/>
    </i>
    <i r="1">
      <x v="5"/>
    </i>
    <i>
      <x v="45"/>
    </i>
    <i r="1">
      <x v="5"/>
    </i>
    <i>
      <x v="46"/>
    </i>
    <i r="1">
      <x/>
    </i>
    <i r="1">
      <x v="1"/>
    </i>
    <i r="1">
      <x v="2"/>
    </i>
    <i r="1">
      <x v="3"/>
    </i>
    <i r="1">
      <x v="4"/>
    </i>
    <i r="2">
      <x v="14"/>
    </i>
    <i r="3">
      <x v="25"/>
    </i>
    <i r="4">
      <x v="8"/>
    </i>
    <i r="1">
      <x v="6"/>
    </i>
    <i r="2">
      <x v="14"/>
    </i>
    <i r="3">
      <x v="25"/>
    </i>
    <i r="4">
      <x v="8"/>
    </i>
    <i>
      <x v="48"/>
    </i>
    <i r="1">
      <x/>
    </i>
    <i r="1">
      <x v="1"/>
    </i>
    <i r="1">
      <x v="2"/>
    </i>
    <i r="1">
      <x v="3"/>
    </i>
    <i r="1">
      <x v="4"/>
    </i>
    <i r="2">
      <x v="3"/>
    </i>
    <i r="3">
      <x v="29"/>
    </i>
    <i r="4">
      <x v="2"/>
    </i>
    <i r="2">
      <x v="4"/>
    </i>
    <i r="3">
      <x v="71"/>
    </i>
    <i r="4">
      <x v="12"/>
    </i>
    <i r="3">
      <x v="72"/>
    </i>
    <i r="4">
      <x v="12"/>
    </i>
    <i r="3">
      <x v="73"/>
    </i>
    <i r="4">
      <x v="12"/>
    </i>
    <i r="3">
      <x v="77"/>
    </i>
    <i r="4">
      <x v="2"/>
    </i>
    <i r="3">
      <x v="80"/>
    </i>
    <i r="4">
      <x v="2"/>
    </i>
    <i r="3">
      <x v="155"/>
    </i>
    <i r="4">
      <x v="12"/>
    </i>
    <i r="2">
      <x v="9"/>
    </i>
    <i r="3">
      <x v="74"/>
    </i>
    <i r="4">
      <x v="12"/>
    </i>
    <i r="2">
      <x v="10"/>
    </i>
    <i r="3">
      <x v="57"/>
    </i>
    <i r="4">
      <x v="12"/>
    </i>
    <i r="1">
      <x v="6"/>
    </i>
    <i r="2">
      <x v="3"/>
    </i>
    <i r="3">
      <x v="29"/>
    </i>
    <i r="4">
      <x v="2"/>
    </i>
    <i r="2">
      <x v="4"/>
    </i>
    <i r="3">
      <x v="77"/>
    </i>
    <i r="4">
      <x v="2"/>
    </i>
    <i r="3">
      <x v="80"/>
    </i>
    <i r="4">
      <x v="2"/>
    </i>
    <i>
      <x v="49"/>
    </i>
    <i r="1">
      <x/>
    </i>
    <i r="1">
      <x v="1"/>
    </i>
    <i r="1">
      <x v="2"/>
    </i>
    <i r="1">
      <x v="3"/>
    </i>
    <i r="1">
      <x v="4"/>
    </i>
    <i r="2">
      <x v="9"/>
    </i>
    <i r="3">
      <x v="85"/>
    </i>
    <i r="4">
      <x v="12"/>
    </i>
    <i r="2">
      <x v="10"/>
    </i>
    <i r="3">
      <x v="4"/>
    </i>
    <i r="4">
      <x v="5"/>
    </i>
    <i r="3">
      <x v="6"/>
    </i>
    <i r="4">
      <x v="5"/>
    </i>
    <i r="3">
      <x v="15"/>
    </i>
    <i r="4">
      <x v="2"/>
    </i>
    <i r="3">
      <x v="56"/>
    </i>
    <i r="4">
      <x v="12"/>
    </i>
    <i r="3">
      <x v="152"/>
    </i>
    <i r="4">
      <x v="5"/>
    </i>
    <i r="1">
      <x v="6"/>
    </i>
    <i r="2">
      <x v="10"/>
    </i>
    <i r="3">
      <x v="4"/>
    </i>
    <i r="4">
      <x v="5"/>
    </i>
    <i r="3">
      <x v="6"/>
    </i>
    <i r="4">
      <x v="5"/>
    </i>
    <i r="3">
      <x v="15"/>
    </i>
    <i r="4">
      <x v="2"/>
    </i>
    <i r="3">
      <x v="152"/>
    </i>
    <i r="4">
      <x v="5"/>
    </i>
    <i>
      <x v="51"/>
    </i>
    <i r="1">
      <x/>
    </i>
    <i r="1">
      <x v="1"/>
    </i>
    <i r="1">
      <x v="2"/>
    </i>
    <i r="1">
      <x v="3"/>
    </i>
    <i r="1">
      <x v="4"/>
    </i>
    <i r="2">
      <x v="2"/>
    </i>
    <i r="3">
      <x v="30"/>
    </i>
    <i r="4">
      <x v="5"/>
    </i>
    <i r="3">
      <x v="31"/>
    </i>
    <i r="4">
      <x v="5"/>
    </i>
    <i r="1">
      <x v="6"/>
    </i>
    <i r="2">
      <x v="2"/>
    </i>
    <i r="3">
      <x v="30"/>
    </i>
    <i r="4">
      <x v="5"/>
    </i>
    <i r="3">
      <x v="31"/>
    </i>
    <i r="4">
      <x v="5"/>
    </i>
    <i>
      <x v="52"/>
    </i>
    <i r="1">
      <x/>
    </i>
    <i r="1">
      <x v="1"/>
    </i>
    <i r="1">
      <x v="2"/>
    </i>
    <i r="1">
      <x v="3"/>
    </i>
    <i r="1">
      <x v="4"/>
    </i>
    <i r="2">
      <x v="16"/>
    </i>
    <i r="1">
      <x v="6"/>
    </i>
    <i r="2">
      <x v="16"/>
    </i>
    <i>
      <x v="53"/>
    </i>
    <i r="1">
      <x v="5"/>
    </i>
    <i>
      <x v="54"/>
    </i>
    <i r="1">
      <x/>
    </i>
    <i r="1">
      <x v="1"/>
    </i>
    <i r="1">
      <x v="2"/>
    </i>
    <i r="1">
      <x v="3"/>
    </i>
    <i r="1">
      <x v="4"/>
    </i>
    <i r="2">
      <x v="16"/>
    </i>
    <i r="1">
      <x v="6"/>
    </i>
    <i r="2">
      <x v="16"/>
    </i>
    <i t="grand">
      <x/>
    </i>
  </rowItems>
  <colFields count="1">
    <field x="0"/>
  </colFields>
  <colItems count="3">
    <i>
      <x/>
    </i>
    <i>
      <x v="1"/>
    </i>
    <i t="grand">
      <x/>
    </i>
  </colItems>
  <pageFields count="3">
    <pageField fld="1" hier="-1"/>
    <pageField fld="11" hier="-1"/>
    <pageField fld="3" hier="-1"/>
  </pageFields>
  <dataFields count="1">
    <dataField name="QTY" fld="11" baseField="0" baseItem="0"/>
  </dataFields>
  <formats count="1359">
    <format dxfId="1455">
      <pivotArea type="origin" dataOnly="0" labelOnly="1" outline="0" fieldPosition="0"/>
    </format>
    <format dxfId="1456">
      <pivotArea field="8" type="button" dataOnly="0" labelOnly="1" outline="0" axis="axisRow" fieldPosition="0"/>
    </format>
    <format dxfId="1457">
      <pivotArea dataOnly="0" labelOnly="1" fieldPosition="0">
        <references count="1">
          <reference field="8" count="0"/>
        </references>
      </pivotArea>
    </format>
    <format dxfId="1458">
      <pivotArea dataOnly="0" labelOnly="1" grandRow="1" outline="0" fieldPosition="0"/>
    </format>
    <format dxfId="1459">
      <pivotArea dataOnly="0" labelOnly="1" grandCol="1" outline="0" fieldPosition="0"/>
    </format>
    <format dxfId="1460">
      <pivotArea grandCol="1" outline="0" collapsedLevelsAreSubtotals="1" fieldPosition="0"/>
    </format>
    <format dxfId="1461">
      <pivotArea outline="0" collapsedLevelsAreSubtotals="1" fieldPosition="0"/>
    </format>
    <format dxfId="1462">
      <pivotArea dataOnly="0" labelOnly="1" outline="0" fieldPosition="0">
        <references count="1">
          <reference field="4" count="0"/>
        </references>
      </pivotArea>
    </format>
    <format dxfId="1463">
      <pivotArea type="topRight" dataOnly="0" labelOnly="1" outline="0" fieldPosition="0"/>
    </format>
    <format dxfId="1464">
      <pivotArea dataOnly="0" labelOnly="1" grandCol="1" outline="0" fieldPosition="0"/>
    </format>
    <format dxfId="1465">
      <pivotArea dataOnly="0" labelOnly="1" outline="0" fieldPosition="0">
        <references count="1">
          <reference field="4" count="0"/>
        </references>
      </pivotArea>
    </format>
    <format dxfId="1466">
      <pivotArea outline="0" collapsedLevelsAreSubtotals="1" fieldPosition="0"/>
    </format>
    <format dxfId="1467">
      <pivotArea field="2" type="button" dataOnly="0" labelOnly="1" outline="0" axis="axisRow" fieldPosition="4"/>
    </format>
    <format dxfId="1468">
      <pivotArea type="topRight" dataOnly="0" labelOnly="1" outline="0" fieldPosition="0"/>
    </format>
    <format dxfId="1469">
      <pivotArea dataOnly="0" labelOnly="1" grandCol="1" outline="0" fieldPosition="0"/>
    </format>
    <format dxfId="1470">
      <pivotArea field="5" type="button" dataOnly="0" labelOnly="1" outline="0" axis="axisRow" fieldPosition="2"/>
    </format>
    <format dxfId="1471">
      <pivotArea dataOnly="0" labelOnly="1" fieldPosition="0">
        <references count="1">
          <reference field="5" count="0"/>
        </references>
      </pivotArea>
    </format>
    <format dxfId="1472">
      <pivotArea outline="0" collapsedLevelsAreSubtotals="1" fieldPosition="0">
        <references count="1">
          <reference field="4294967294" count="1" selected="0">
            <x v="0"/>
          </reference>
        </references>
      </pivotArea>
    </format>
    <format dxfId="1473">
      <pivotArea dataOnly="0" labelOnly="1" outline="0" fieldPosition="0">
        <references count="1">
          <reference field="4294967294" count="1">
            <x v="0"/>
          </reference>
        </references>
      </pivotArea>
    </format>
    <format dxfId="1474">
      <pivotArea type="origin" dataOnly="0" labelOnly="1" outline="0" fieldPosition="0"/>
    </format>
    <format dxfId="1475">
      <pivotArea dataOnly="0" labelOnly="1" fieldPosition="0">
        <references count="1">
          <reference field="8" count="0"/>
        </references>
      </pivotArea>
    </format>
    <format dxfId="1476">
      <pivotArea dataOnly="0" labelOnly="1" fieldPosition="0">
        <references count="1">
          <reference field="8" count="8">
            <x v="0"/>
            <x v="1"/>
            <x v="2"/>
            <x v="16"/>
            <x v="17"/>
            <x v="26"/>
            <x v="31"/>
            <x v="34"/>
          </reference>
        </references>
      </pivotArea>
    </format>
    <format dxfId="1477">
      <pivotArea dataOnly="0" labelOnly="1" fieldPosition="0">
        <references count="2">
          <reference field="4" count="1" selected="0">
            <x v="0"/>
          </reference>
          <reference field="8" count="8">
            <x v="0"/>
            <x v="1"/>
            <x v="2"/>
            <x v="16"/>
            <x v="17"/>
            <x v="26"/>
            <x v="31"/>
            <x v="34"/>
          </reference>
        </references>
      </pivotArea>
    </format>
    <format dxfId="1478">
      <pivotArea dataOnly="0" labelOnly="1" fieldPosition="0">
        <references count="2">
          <reference field="4" count="1" selected="0">
            <x v="1"/>
          </reference>
          <reference field="8" count="8">
            <x v="0"/>
            <x v="1"/>
            <x v="2"/>
            <x v="16"/>
            <x v="17"/>
            <x v="26"/>
            <x v="31"/>
            <x v="34"/>
          </reference>
        </references>
      </pivotArea>
    </format>
    <format dxfId="1479">
      <pivotArea dataOnly="0" labelOnly="1" fieldPosition="0">
        <references count="2">
          <reference field="4" count="1" selected="0">
            <x v="2"/>
          </reference>
          <reference field="8" count="8">
            <x v="0"/>
            <x v="1"/>
            <x v="2"/>
            <x v="16"/>
            <x v="17"/>
            <x v="26"/>
            <x v="31"/>
            <x v="34"/>
          </reference>
        </references>
      </pivotArea>
    </format>
    <format dxfId="1480">
      <pivotArea dataOnly="0" labelOnly="1" fieldPosition="0">
        <references count="2">
          <reference field="4" count="1" selected="0">
            <x v="3"/>
          </reference>
          <reference field="8" count="8">
            <x v="0"/>
            <x v="1"/>
            <x v="2"/>
            <x v="16"/>
            <x v="17"/>
            <x v="26"/>
            <x v="31"/>
            <x v="34"/>
          </reference>
        </references>
      </pivotArea>
    </format>
    <format dxfId="1481">
      <pivotArea dataOnly="0" labelOnly="1" fieldPosition="0">
        <references count="2">
          <reference field="4" count="1" selected="0">
            <x v="4"/>
          </reference>
          <reference field="8" count="8">
            <x v="0"/>
            <x v="1"/>
            <x v="2"/>
            <x v="16"/>
            <x v="17"/>
            <x v="26"/>
            <x v="31"/>
            <x v="34"/>
          </reference>
        </references>
      </pivotArea>
    </format>
    <format dxfId="1482">
      <pivotArea dataOnly="0" labelOnly="1" fieldPosition="0">
        <references count="2">
          <reference field="4" count="1" selected="0">
            <x v="6"/>
          </reference>
          <reference field="8" count="8">
            <x v="0"/>
            <x v="1"/>
            <x v="2"/>
            <x v="16"/>
            <x v="17"/>
            <x v="26"/>
            <x v="31"/>
            <x v="34"/>
          </reference>
        </references>
      </pivotArea>
    </format>
    <format dxfId="1483">
      <pivotArea dataOnly="0" labelOnly="1" fieldPosition="0">
        <references count="3">
          <reference field="4" count="1" selected="0">
            <x v="0"/>
          </reference>
          <reference field="5" count="1">
            <x v="12"/>
          </reference>
          <reference field="8" count="1" selected="0">
            <x v="0"/>
          </reference>
        </references>
      </pivotArea>
    </format>
    <format dxfId="1484">
      <pivotArea dataOnly="0" labelOnly="1" fieldPosition="0">
        <references count="3">
          <reference field="4" count="1" selected="0">
            <x v="0"/>
          </reference>
          <reference field="5" count="1">
            <x v="9"/>
          </reference>
          <reference field="8" count="1" selected="0">
            <x v="1"/>
          </reference>
        </references>
      </pivotArea>
    </format>
    <format dxfId="1485">
      <pivotArea dataOnly="0" labelOnly="1" fieldPosition="0">
        <references count="3">
          <reference field="4" count="1" selected="0">
            <x v="0"/>
          </reference>
          <reference field="5" count="6">
            <x v="3"/>
            <x v="9"/>
            <x v="12"/>
            <x v="15"/>
            <x v="16"/>
            <x v="24"/>
          </reference>
          <reference field="8" count="1" selected="0">
            <x v="2"/>
          </reference>
        </references>
      </pivotArea>
    </format>
    <format dxfId="1486">
      <pivotArea dataOnly="0" labelOnly="1" fieldPosition="0">
        <references count="3">
          <reference field="4" count="1" selected="0">
            <x v="0"/>
          </reference>
          <reference field="5" count="1">
            <x v="10"/>
          </reference>
          <reference field="8" count="1" selected="0">
            <x v="17"/>
          </reference>
        </references>
      </pivotArea>
    </format>
    <format dxfId="1487">
      <pivotArea dataOnly="0" labelOnly="1" fieldPosition="0">
        <references count="3">
          <reference field="4" count="1" selected="0">
            <x v="0"/>
          </reference>
          <reference field="5" count="1">
            <x v="10"/>
          </reference>
          <reference field="8" count="1" selected="0">
            <x v="26"/>
          </reference>
        </references>
      </pivotArea>
    </format>
    <format dxfId="1488">
      <pivotArea dataOnly="0" labelOnly="1" fieldPosition="0">
        <references count="3">
          <reference field="4" count="1" selected="0">
            <x v="0"/>
          </reference>
          <reference field="5" count="1">
            <x v="9"/>
          </reference>
          <reference field="8" count="1" selected="0">
            <x v="31"/>
          </reference>
        </references>
      </pivotArea>
    </format>
    <format dxfId="1489">
      <pivotArea dataOnly="0" labelOnly="1" fieldPosition="0">
        <references count="3">
          <reference field="4" count="1" selected="0">
            <x v="0"/>
          </reference>
          <reference field="5" count="1">
            <x v="20"/>
          </reference>
          <reference field="8" count="1" selected="0">
            <x v="34"/>
          </reference>
        </references>
      </pivotArea>
    </format>
    <format dxfId="1490">
      <pivotArea dataOnly="0" labelOnly="1" fieldPosition="0">
        <references count="3">
          <reference field="4" count="1" selected="0">
            <x v="1"/>
          </reference>
          <reference field="5" count="1">
            <x v="12"/>
          </reference>
          <reference field="8" count="1" selected="0">
            <x v="0"/>
          </reference>
        </references>
      </pivotArea>
    </format>
    <format dxfId="1491">
      <pivotArea dataOnly="0" labelOnly="1" fieldPosition="0">
        <references count="3">
          <reference field="4" count="1" selected="0">
            <x v="1"/>
          </reference>
          <reference field="5" count="1">
            <x v="9"/>
          </reference>
          <reference field="8" count="1" selected="0">
            <x v="1"/>
          </reference>
        </references>
      </pivotArea>
    </format>
    <format dxfId="1492">
      <pivotArea dataOnly="0" labelOnly="1" fieldPosition="0">
        <references count="3">
          <reference field="4" count="1" selected="0">
            <x v="1"/>
          </reference>
          <reference field="5" count="6">
            <x v="3"/>
            <x v="9"/>
            <x v="12"/>
            <x v="15"/>
            <x v="16"/>
            <x v="24"/>
          </reference>
          <reference field="8" count="1" selected="0">
            <x v="2"/>
          </reference>
        </references>
      </pivotArea>
    </format>
    <format dxfId="1493">
      <pivotArea dataOnly="0" labelOnly="1" fieldPosition="0">
        <references count="3">
          <reference field="4" count="1" selected="0">
            <x v="1"/>
          </reference>
          <reference field="5" count="1">
            <x v="10"/>
          </reference>
          <reference field="8" count="1" selected="0">
            <x v="17"/>
          </reference>
        </references>
      </pivotArea>
    </format>
    <format dxfId="1494">
      <pivotArea dataOnly="0" labelOnly="1" fieldPosition="0">
        <references count="3">
          <reference field="4" count="1" selected="0">
            <x v="1"/>
          </reference>
          <reference field="5" count="1">
            <x v="10"/>
          </reference>
          <reference field="8" count="1" selected="0">
            <x v="26"/>
          </reference>
        </references>
      </pivotArea>
    </format>
    <format dxfId="1495">
      <pivotArea dataOnly="0" labelOnly="1" fieldPosition="0">
        <references count="3">
          <reference field="4" count="1" selected="0">
            <x v="1"/>
          </reference>
          <reference field="5" count="1">
            <x v="9"/>
          </reference>
          <reference field="8" count="1" selected="0">
            <x v="31"/>
          </reference>
        </references>
      </pivotArea>
    </format>
    <format dxfId="1496">
      <pivotArea dataOnly="0" labelOnly="1" fieldPosition="0">
        <references count="3">
          <reference field="4" count="1" selected="0">
            <x v="1"/>
          </reference>
          <reference field="5" count="1">
            <x v="20"/>
          </reference>
          <reference field="8" count="1" selected="0">
            <x v="34"/>
          </reference>
        </references>
      </pivotArea>
    </format>
    <format dxfId="1497">
      <pivotArea dataOnly="0" labelOnly="1" fieldPosition="0">
        <references count="3">
          <reference field="4" count="1" selected="0">
            <x v="2"/>
          </reference>
          <reference field="5" count="1">
            <x v="12"/>
          </reference>
          <reference field="8" count="1" selected="0">
            <x v="0"/>
          </reference>
        </references>
      </pivotArea>
    </format>
    <format dxfId="1498">
      <pivotArea dataOnly="0" labelOnly="1" fieldPosition="0">
        <references count="3">
          <reference field="4" count="1" selected="0">
            <x v="2"/>
          </reference>
          <reference field="5" count="1">
            <x v="9"/>
          </reference>
          <reference field="8" count="1" selected="0">
            <x v="1"/>
          </reference>
        </references>
      </pivotArea>
    </format>
    <format dxfId="1499">
      <pivotArea dataOnly="0" labelOnly="1" fieldPosition="0">
        <references count="3">
          <reference field="4" count="1" selected="0">
            <x v="2"/>
          </reference>
          <reference field="5" count="6">
            <x v="3"/>
            <x v="9"/>
            <x v="12"/>
            <x v="15"/>
            <x v="16"/>
            <x v="24"/>
          </reference>
          <reference field="8" count="1" selected="0">
            <x v="2"/>
          </reference>
        </references>
      </pivotArea>
    </format>
    <format dxfId="1500">
      <pivotArea dataOnly="0" labelOnly="1" fieldPosition="0">
        <references count="3">
          <reference field="4" count="1" selected="0">
            <x v="2"/>
          </reference>
          <reference field="5" count="1">
            <x v="10"/>
          </reference>
          <reference field="8" count="1" selected="0">
            <x v="17"/>
          </reference>
        </references>
      </pivotArea>
    </format>
    <format dxfId="1501">
      <pivotArea dataOnly="0" labelOnly="1" fieldPosition="0">
        <references count="3">
          <reference field="4" count="1" selected="0">
            <x v="2"/>
          </reference>
          <reference field="5" count="1">
            <x v="10"/>
          </reference>
          <reference field="8" count="1" selected="0">
            <x v="26"/>
          </reference>
        </references>
      </pivotArea>
    </format>
    <format dxfId="1502">
      <pivotArea dataOnly="0" labelOnly="1" fieldPosition="0">
        <references count="3">
          <reference field="4" count="1" selected="0">
            <x v="2"/>
          </reference>
          <reference field="5" count="1">
            <x v="9"/>
          </reference>
          <reference field="8" count="1" selected="0">
            <x v="31"/>
          </reference>
        </references>
      </pivotArea>
    </format>
    <format dxfId="1503">
      <pivotArea dataOnly="0" labelOnly="1" fieldPosition="0">
        <references count="3">
          <reference field="4" count="1" selected="0">
            <x v="2"/>
          </reference>
          <reference field="5" count="1">
            <x v="20"/>
          </reference>
          <reference field="8" count="1" selected="0">
            <x v="34"/>
          </reference>
        </references>
      </pivotArea>
    </format>
    <format dxfId="1504">
      <pivotArea dataOnly="0" labelOnly="1" fieldPosition="0">
        <references count="3">
          <reference field="4" count="1" selected="0">
            <x v="3"/>
          </reference>
          <reference field="5" count="1">
            <x v="12"/>
          </reference>
          <reference field="8" count="1" selected="0">
            <x v="0"/>
          </reference>
        </references>
      </pivotArea>
    </format>
    <format dxfId="1505">
      <pivotArea dataOnly="0" labelOnly="1" fieldPosition="0">
        <references count="3">
          <reference field="4" count="1" selected="0">
            <x v="3"/>
          </reference>
          <reference field="5" count="1">
            <x v="9"/>
          </reference>
          <reference field="8" count="1" selected="0">
            <x v="1"/>
          </reference>
        </references>
      </pivotArea>
    </format>
    <format dxfId="1506">
      <pivotArea dataOnly="0" labelOnly="1" fieldPosition="0">
        <references count="3">
          <reference field="4" count="1" selected="0">
            <x v="3"/>
          </reference>
          <reference field="5" count="6">
            <x v="3"/>
            <x v="9"/>
            <x v="12"/>
            <x v="15"/>
            <x v="16"/>
            <x v="24"/>
          </reference>
          <reference field="8" count="1" selected="0">
            <x v="2"/>
          </reference>
        </references>
      </pivotArea>
    </format>
    <format dxfId="1507">
      <pivotArea dataOnly="0" labelOnly="1" fieldPosition="0">
        <references count="3">
          <reference field="4" count="1" selected="0">
            <x v="3"/>
          </reference>
          <reference field="5" count="1">
            <x v="10"/>
          </reference>
          <reference field="8" count="1" selected="0">
            <x v="17"/>
          </reference>
        </references>
      </pivotArea>
    </format>
    <format dxfId="1508">
      <pivotArea dataOnly="0" labelOnly="1" fieldPosition="0">
        <references count="3">
          <reference field="4" count="1" selected="0">
            <x v="3"/>
          </reference>
          <reference field="5" count="1">
            <x v="10"/>
          </reference>
          <reference field="8" count="1" selected="0">
            <x v="26"/>
          </reference>
        </references>
      </pivotArea>
    </format>
    <format dxfId="1509">
      <pivotArea dataOnly="0" labelOnly="1" fieldPosition="0">
        <references count="3">
          <reference field="4" count="1" selected="0">
            <x v="3"/>
          </reference>
          <reference field="5" count="1">
            <x v="9"/>
          </reference>
          <reference field="8" count="1" selected="0">
            <x v="31"/>
          </reference>
        </references>
      </pivotArea>
    </format>
    <format dxfId="1510">
      <pivotArea dataOnly="0" labelOnly="1" fieldPosition="0">
        <references count="3">
          <reference field="4" count="1" selected="0">
            <x v="3"/>
          </reference>
          <reference field="5" count="1">
            <x v="20"/>
          </reference>
          <reference field="8" count="1" selected="0">
            <x v="34"/>
          </reference>
        </references>
      </pivotArea>
    </format>
    <format dxfId="1511">
      <pivotArea dataOnly="0" labelOnly="1" fieldPosition="0">
        <references count="3">
          <reference field="4" count="1" selected="0">
            <x v="4"/>
          </reference>
          <reference field="5" count="2">
            <x v="12"/>
            <x v="26"/>
          </reference>
          <reference field="8" count="1" selected="0">
            <x v="0"/>
          </reference>
        </references>
      </pivotArea>
    </format>
    <format dxfId="1512">
      <pivotArea dataOnly="0" labelOnly="1" fieldPosition="0">
        <references count="3">
          <reference field="4" count="1" selected="0">
            <x v="4"/>
          </reference>
          <reference field="5" count="1">
            <x v="9"/>
          </reference>
          <reference field="8" count="1" selected="0">
            <x v="1"/>
          </reference>
        </references>
      </pivotArea>
    </format>
    <format dxfId="1513">
      <pivotArea dataOnly="0" labelOnly="1" fieldPosition="0">
        <references count="3">
          <reference field="4" count="1" selected="0">
            <x v="4"/>
          </reference>
          <reference field="5" count="7">
            <x v="3"/>
            <x v="9"/>
            <x v="12"/>
            <x v="15"/>
            <x v="16"/>
            <x v="24"/>
            <x v="26"/>
          </reference>
          <reference field="8" count="1" selected="0">
            <x v="2"/>
          </reference>
        </references>
      </pivotArea>
    </format>
    <format dxfId="1514">
      <pivotArea dataOnly="0" labelOnly="1" fieldPosition="0">
        <references count="3">
          <reference field="4" count="1" selected="0">
            <x v="4"/>
          </reference>
          <reference field="5" count="1">
            <x v="10"/>
          </reference>
          <reference field="8" count="1" selected="0">
            <x v="17"/>
          </reference>
        </references>
      </pivotArea>
    </format>
    <format dxfId="1515">
      <pivotArea dataOnly="0" labelOnly="1" fieldPosition="0">
        <references count="3">
          <reference field="4" count="1" selected="0">
            <x v="4"/>
          </reference>
          <reference field="5" count="1">
            <x v="10"/>
          </reference>
          <reference field="8" count="1" selected="0">
            <x v="26"/>
          </reference>
        </references>
      </pivotArea>
    </format>
    <format dxfId="1516">
      <pivotArea dataOnly="0" labelOnly="1" fieldPosition="0">
        <references count="3">
          <reference field="4" count="1" selected="0">
            <x v="4"/>
          </reference>
          <reference field="5" count="1">
            <x v="9"/>
          </reference>
          <reference field="8" count="1" selected="0">
            <x v="31"/>
          </reference>
        </references>
      </pivotArea>
    </format>
    <format dxfId="1517">
      <pivotArea dataOnly="0" labelOnly="1" fieldPosition="0">
        <references count="3">
          <reference field="4" count="1" selected="0">
            <x v="4"/>
          </reference>
          <reference field="5" count="1">
            <x v="20"/>
          </reference>
          <reference field="8" count="1" selected="0">
            <x v="34"/>
          </reference>
        </references>
      </pivotArea>
    </format>
    <format dxfId="1518">
      <pivotArea dataOnly="0" labelOnly="1" fieldPosition="0">
        <references count="3">
          <reference field="4" count="1" selected="0">
            <x v="5"/>
          </reference>
          <reference field="5" count="2">
            <x v="21"/>
            <x v="22"/>
          </reference>
          <reference field="8" count="1" selected="0">
            <x v="0"/>
          </reference>
        </references>
      </pivotArea>
    </format>
    <format dxfId="1519">
      <pivotArea dataOnly="0" labelOnly="1" fieldPosition="0">
        <references count="3">
          <reference field="4" count="1" selected="0">
            <x v="5"/>
          </reference>
          <reference field="5" count="3">
            <x v="1"/>
            <x v="21"/>
            <x v="22"/>
          </reference>
          <reference field="8" count="1" selected="0">
            <x v="1"/>
          </reference>
        </references>
      </pivotArea>
    </format>
    <format dxfId="1520">
      <pivotArea dataOnly="0" labelOnly="1" fieldPosition="0">
        <references count="3">
          <reference field="4" count="1" selected="0">
            <x v="6"/>
          </reference>
          <reference field="5" count="1">
            <x v="12"/>
          </reference>
          <reference field="8" count="1" selected="0">
            <x v="0"/>
          </reference>
        </references>
      </pivotArea>
    </format>
    <format dxfId="1521">
      <pivotArea dataOnly="0" labelOnly="1" fieldPosition="0">
        <references count="3">
          <reference field="4" count="1" selected="0">
            <x v="6"/>
          </reference>
          <reference field="5" count="1">
            <x v="9"/>
          </reference>
          <reference field="8" count="1" selected="0">
            <x v="1"/>
          </reference>
        </references>
      </pivotArea>
    </format>
    <format dxfId="1522">
      <pivotArea dataOnly="0" labelOnly="1" fieldPosition="0">
        <references count="3">
          <reference field="4" count="1" selected="0">
            <x v="6"/>
          </reference>
          <reference field="5" count="6">
            <x v="3"/>
            <x v="9"/>
            <x v="12"/>
            <x v="15"/>
            <x v="16"/>
            <x v="24"/>
          </reference>
          <reference field="8" count="1" selected="0">
            <x v="2"/>
          </reference>
        </references>
      </pivotArea>
    </format>
    <format dxfId="1523">
      <pivotArea dataOnly="0" labelOnly="1" fieldPosition="0">
        <references count="3">
          <reference field="4" count="1" selected="0">
            <x v="6"/>
          </reference>
          <reference field="5" count="1">
            <x v="10"/>
          </reference>
          <reference field="8" count="1" selected="0">
            <x v="17"/>
          </reference>
        </references>
      </pivotArea>
    </format>
    <format dxfId="1524">
      <pivotArea dataOnly="0" labelOnly="1" fieldPosition="0">
        <references count="3">
          <reference field="4" count="1" selected="0">
            <x v="6"/>
          </reference>
          <reference field="5" count="1">
            <x v="10"/>
          </reference>
          <reference field="8" count="1" selected="0">
            <x v="26"/>
          </reference>
        </references>
      </pivotArea>
    </format>
    <format dxfId="1525">
      <pivotArea dataOnly="0" labelOnly="1" fieldPosition="0">
        <references count="3">
          <reference field="4" count="1" selected="0">
            <x v="6"/>
          </reference>
          <reference field="5" count="1">
            <x v="9"/>
          </reference>
          <reference field="8" count="1" selected="0">
            <x v="31"/>
          </reference>
        </references>
      </pivotArea>
    </format>
    <format dxfId="1526">
      <pivotArea dataOnly="0" labelOnly="1" fieldPosition="0">
        <references count="3">
          <reference field="4" count="1" selected="0">
            <x v="6"/>
          </reference>
          <reference field="5" count="1">
            <x v="20"/>
          </reference>
          <reference field="8" count="1" selected="0">
            <x v="34"/>
          </reference>
        </references>
      </pivotArea>
    </format>
    <format dxfId="1527">
      <pivotArea dataOnly="0" labelOnly="1" fieldPosition="0">
        <references count="4">
          <reference field="4" count="1" selected="0">
            <x v="0"/>
          </reference>
          <reference field="5" count="1" selected="0">
            <x v="12"/>
          </reference>
          <reference field="6" count="1">
            <x v="121"/>
          </reference>
          <reference field="8" count="1" selected="0">
            <x v="0"/>
          </reference>
        </references>
      </pivotArea>
    </format>
    <format dxfId="1528">
      <pivotArea dataOnly="0" labelOnly="1" fieldPosition="0">
        <references count="4">
          <reference field="4" count="1" selected="0">
            <x v="0"/>
          </reference>
          <reference field="5" count="1" selected="0">
            <x v="9"/>
          </reference>
          <reference field="6" count="1">
            <x v="81"/>
          </reference>
          <reference field="8" count="1" selected="0">
            <x v="1"/>
          </reference>
        </references>
      </pivotArea>
    </format>
    <format dxfId="1529">
      <pivotArea dataOnly="0" labelOnly="1" fieldPosition="0">
        <references count="4">
          <reference field="4" count="1" selected="0">
            <x v="0"/>
          </reference>
          <reference field="5" count="1" selected="0">
            <x v="9"/>
          </reference>
          <reference field="6" count="1">
            <x v="62"/>
          </reference>
          <reference field="8" count="1" selected="0">
            <x v="2"/>
          </reference>
        </references>
      </pivotArea>
    </format>
    <format dxfId="1530">
      <pivotArea dataOnly="0" labelOnly="1" fieldPosition="0">
        <references count="4">
          <reference field="4" count="1" selected="0">
            <x v="0"/>
          </reference>
          <reference field="5" count="1" selected="0">
            <x v="24"/>
          </reference>
          <reference field="6" count="1">
            <x v="150"/>
          </reference>
          <reference field="8" count="1" selected="0">
            <x v="2"/>
          </reference>
        </references>
      </pivotArea>
    </format>
    <format dxfId="1531">
      <pivotArea dataOnly="0" labelOnly="1" fieldPosition="0">
        <references count="4">
          <reference field="4" count="1" selected="0">
            <x v="0"/>
          </reference>
          <reference field="5" count="1" selected="0">
            <x v="10"/>
          </reference>
          <reference field="6" count="2">
            <x v="5"/>
            <x v="15"/>
          </reference>
          <reference field="8" count="1" selected="0">
            <x v="17"/>
          </reference>
        </references>
      </pivotArea>
    </format>
    <format dxfId="1532">
      <pivotArea dataOnly="0" labelOnly="1" fieldPosition="0">
        <references count="4">
          <reference field="4" count="1" selected="0">
            <x v="0"/>
          </reference>
          <reference field="5" count="1" selected="0">
            <x v="10"/>
          </reference>
          <reference field="6" count="1">
            <x v="56"/>
          </reference>
          <reference field="8" count="1" selected="0">
            <x v="26"/>
          </reference>
        </references>
      </pivotArea>
    </format>
    <format dxfId="1533">
      <pivotArea dataOnly="0" labelOnly="1" fieldPosition="0">
        <references count="4">
          <reference field="4" count="1" selected="0">
            <x v="0"/>
          </reference>
          <reference field="5" count="1" selected="0">
            <x v="9"/>
          </reference>
          <reference field="6" count="1">
            <x v="81"/>
          </reference>
          <reference field="8" count="1" selected="0">
            <x v="31"/>
          </reference>
        </references>
      </pivotArea>
    </format>
    <format dxfId="1534">
      <pivotArea dataOnly="0" labelOnly="1" fieldPosition="0">
        <references count="4">
          <reference field="4" count="1" selected="0">
            <x v="0"/>
          </reference>
          <reference field="5" count="1" selected="0">
            <x v="20"/>
          </reference>
          <reference field="6" count="1">
            <x v="116"/>
          </reference>
          <reference field="8" count="1" selected="0">
            <x v="34"/>
          </reference>
        </references>
      </pivotArea>
    </format>
    <format dxfId="1535">
      <pivotArea dataOnly="0" labelOnly="1" fieldPosition="0">
        <references count="4">
          <reference field="4" count="1" selected="0">
            <x v="1"/>
          </reference>
          <reference field="5" count="1" selected="0">
            <x v="12"/>
          </reference>
          <reference field="6" count="1">
            <x v="121"/>
          </reference>
          <reference field="8" count="1" selected="0">
            <x v="0"/>
          </reference>
        </references>
      </pivotArea>
    </format>
    <format dxfId="1536">
      <pivotArea dataOnly="0" labelOnly="1" fieldPosition="0">
        <references count="4">
          <reference field="4" count="1" selected="0">
            <x v="1"/>
          </reference>
          <reference field="5" count="1" selected="0">
            <x v="9"/>
          </reference>
          <reference field="6" count="1">
            <x v="81"/>
          </reference>
          <reference field="8" count="1" selected="0">
            <x v="1"/>
          </reference>
        </references>
      </pivotArea>
    </format>
    <format dxfId="1537">
      <pivotArea dataOnly="0" labelOnly="1" fieldPosition="0">
        <references count="4">
          <reference field="4" count="1" selected="0">
            <x v="1"/>
          </reference>
          <reference field="5" count="1" selected="0">
            <x v="9"/>
          </reference>
          <reference field="6" count="1">
            <x v="62"/>
          </reference>
          <reference field="8" count="1" selected="0">
            <x v="2"/>
          </reference>
        </references>
      </pivotArea>
    </format>
    <format dxfId="1538">
      <pivotArea dataOnly="0" labelOnly="1" fieldPosition="0">
        <references count="4">
          <reference field="4" count="1" selected="0">
            <x v="1"/>
          </reference>
          <reference field="5" count="1" selected="0">
            <x v="24"/>
          </reference>
          <reference field="6" count="1">
            <x v="150"/>
          </reference>
          <reference field="8" count="1" selected="0">
            <x v="2"/>
          </reference>
        </references>
      </pivotArea>
    </format>
    <format dxfId="1539">
      <pivotArea dataOnly="0" labelOnly="1" fieldPosition="0">
        <references count="4">
          <reference field="4" count="1" selected="0">
            <x v="1"/>
          </reference>
          <reference field="5" count="1" selected="0">
            <x v="10"/>
          </reference>
          <reference field="6" count="2">
            <x v="5"/>
            <x v="15"/>
          </reference>
          <reference field="8" count="1" selected="0">
            <x v="17"/>
          </reference>
        </references>
      </pivotArea>
    </format>
    <format dxfId="1540">
      <pivotArea dataOnly="0" labelOnly="1" fieldPosition="0">
        <references count="4">
          <reference field="4" count="1" selected="0">
            <x v="1"/>
          </reference>
          <reference field="5" count="1" selected="0">
            <x v="10"/>
          </reference>
          <reference field="6" count="1">
            <x v="56"/>
          </reference>
          <reference field="8" count="1" selected="0">
            <x v="26"/>
          </reference>
        </references>
      </pivotArea>
    </format>
    <format dxfId="1541">
      <pivotArea dataOnly="0" labelOnly="1" fieldPosition="0">
        <references count="4">
          <reference field="4" count="1" selected="0">
            <x v="1"/>
          </reference>
          <reference field="5" count="1" selected="0">
            <x v="9"/>
          </reference>
          <reference field="6" count="1">
            <x v="81"/>
          </reference>
          <reference field="8" count="1" selected="0">
            <x v="31"/>
          </reference>
        </references>
      </pivotArea>
    </format>
    <format dxfId="1542">
      <pivotArea dataOnly="0" labelOnly="1" fieldPosition="0">
        <references count="4">
          <reference field="4" count="1" selected="0">
            <x v="1"/>
          </reference>
          <reference field="5" count="1" selected="0">
            <x v="20"/>
          </reference>
          <reference field="6" count="1">
            <x v="116"/>
          </reference>
          <reference field="8" count="1" selected="0">
            <x v="34"/>
          </reference>
        </references>
      </pivotArea>
    </format>
    <format dxfId="1543">
      <pivotArea dataOnly="0" labelOnly="1" fieldPosition="0">
        <references count="4">
          <reference field="4" count="1" selected="0">
            <x v="2"/>
          </reference>
          <reference field="5" count="1" selected="0">
            <x v="12"/>
          </reference>
          <reference field="6" count="1">
            <x v="121"/>
          </reference>
          <reference field="8" count="1" selected="0">
            <x v="0"/>
          </reference>
        </references>
      </pivotArea>
    </format>
    <format dxfId="1544">
      <pivotArea dataOnly="0" labelOnly="1" fieldPosition="0">
        <references count="4">
          <reference field="4" count="1" selected="0">
            <x v="2"/>
          </reference>
          <reference field="5" count="1" selected="0">
            <x v="9"/>
          </reference>
          <reference field="6" count="1">
            <x v="81"/>
          </reference>
          <reference field="8" count="1" selected="0">
            <x v="1"/>
          </reference>
        </references>
      </pivotArea>
    </format>
    <format dxfId="1545">
      <pivotArea dataOnly="0" labelOnly="1" fieldPosition="0">
        <references count="4">
          <reference field="4" count="1" selected="0">
            <x v="2"/>
          </reference>
          <reference field="5" count="1" selected="0">
            <x v="9"/>
          </reference>
          <reference field="6" count="1">
            <x v="62"/>
          </reference>
          <reference field="8" count="1" selected="0">
            <x v="2"/>
          </reference>
        </references>
      </pivotArea>
    </format>
    <format dxfId="1546">
      <pivotArea dataOnly="0" labelOnly="1" fieldPosition="0">
        <references count="4">
          <reference field="4" count="1" selected="0">
            <x v="2"/>
          </reference>
          <reference field="5" count="1" selected="0">
            <x v="24"/>
          </reference>
          <reference field="6" count="1">
            <x v="150"/>
          </reference>
          <reference field="8" count="1" selected="0">
            <x v="2"/>
          </reference>
        </references>
      </pivotArea>
    </format>
    <format dxfId="1547">
      <pivotArea dataOnly="0" labelOnly="1" fieldPosition="0">
        <references count="4">
          <reference field="4" count="1" selected="0">
            <x v="2"/>
          </reference>
          <reference field="5" count="1" selected="0">
            <x v="10"/>
          </reference>
          <reference field="6" count="2">
            <x v="5"/>
            <x v="15"/>
          </reference>
          <reference field="8" count="1" selected="0">
            <x v="17"/>
          </reference>
        </references>
      </pivotArea>
    </format>
    <format dxfId="1548">
      <pivotArea dataOnly="0" labelOnly="1" fieldPosition="0">
        <references count="4">
          <reference field="4" count="1" selected="0">
            <x v="2"/>
          </reference>
          <reference field="5" count="1" selected="0">
            <x v="10"/>
          </reference>
          <reference field="6" count="1">
            <x v="56"/>
          </reference>
          <reference field="8" count="1" selected="0">
            <x v="26"/>
          </reference>
        </references>
      </pivotArea>
    </format>
    <format dxfId="1549">
      <pivotArea dataOnly="0" labelOnly="1" fieldPosition="0">
        <references count="4">
          <reference field="4" count="1" selected="0">
            <x v="2"/>
          </reference>
          <reference field="5" count="1" selected="0">
            <x v="9"/>
          </reference>
          <reference field="6" count="1">
            <x v="81"/>
          </reference>
          <reference field="8" count="1" selected="0">
            <x v="31"/>
          </reference>
        </references>
      </pivotArea>
    </format>
    <format dxfId="1550">
      <pivotArea dataOnly="0" labelOnly="1" fieldPosition="0">
        <references count="4">
          <reference field="4" count="1" selected="0">
            <x v="2"/>
          </reference>
          <reference field="5" count="1" selected="0">
            <x v="20"/>
          </reference>
          <reference field="6" count="1">
            <x v="116"/>
          </reference>
          <reference field="8" count="1" selected="0">
            <x v="34"/>
          </reference>
        </references>
      </pivotArea>
    </format>
    <format dxfId="1551">
      <pivotArea dataOnly="0" labelOnly="1" fieldPosition="0">
        <references count="4">
          <reference field="4" count="1" selected="0">
            <x v="3"/>
          </reference>
          <reference field="5" count="1" selected="0">
            <x v="12"/>
          </reference>
          <reference field="6" count="1">
            <x v="121"/>
          </reference>
          <reference field="8" count="1" selected="0">
            <x v="0"/>
          </reference>
        </references>
      </pivotArea>
    </format>
    <format dxfId="1552">
      <pivotArea dataOnly="0" labelOnly="1" fieldPosition="0">
        <references count="4">
          <reference field="4" count="1" selected="0">
            <x v="3"/>
          </reference>
          <reference field="5" count="1" selected="0">
            <x v="9"/>
          </reference>
          <reference field="6" count="1">
            <x v="81"/>
          </reference>
          <reference field="8" count="1" selected="0">
            <x v="1"/>
          </reference>
        </references>
      </pivotArea>
    </format>
    <format dxfId="1553">
      <pivotArea dataOnly="0" labelOnly="1" fieldPosition="0">
        <references count="4">
          <reference field="4" count="1" selected="0">
            <x v="3"/>
          </reference>
          <reference field="5" count="1" selected="0">
            <x v="9"/>
          </reference>
          <reference field="6" count="1">
            <x v="62"/>
          </reference>
          <reference field="8" count="1" selected="0">
            <x v="2"/>
          </reference>
        </references>
      </pivotArea>
    </format>
    <format dxfId="1554">
      <pivotArea dataOnly="0" labelOnly="1" fieldPosition="0">
        <references count="4">
          <reference field="4" count="1" selected="0">
            <x v="3"/>
          </reference>
          <reference field="5" count="1" selected="0">
            <x v="24"/>
          </reference>
          <reference field="6" count="1">
            <x v="150"/>
          </reference>
          <reference field="8" count="1" selected="0">
            <x v="2"/>
          </reference>
        </references>
      </pivotArea>
    </format>
    <format dxfId="1555">
      <pivotArea dataOnly="0" labelOnly="1" fieldPosition="0">
        <references count="4">
          <reference field="4" count="1" selected="0">
            <x v="3"/>
          </reference>
          <reference field="5" count="1" selected="0">
            <x v="10"/>
          </reference>
          <reference field="6" count="2">
            <x v="5"/>
            <x v="15"/>
          </reference>
          <reference field="8" count="1" selected="0">
            <x v="17"/>
          </reference>
        </references>
      </pivotArea>
    </format>
    <format dxfId="1556">
      <pivotArea dataOnly="0" labelOnly="1" fieldPosition="0">
        <references count="4">
          <reference field="4" count="1" selected="0">
            <x v="3"/>
          </reference>
          <reference field="5" count="1" selected="0">
            <x v="10"/>
          </reference>
          <reference field="6" count="1">
            <x v="56"/>
          </reference>
          <reference field="8" count="1" selected="0">
            <x v="26"/>
          </reference>
        </references>
      </pivotArea>
    </format>
    <format dxfId="1557">
      <pivotArea dataOnly="0" labelOnly="1" fieldPosition="0">
        <references count="4">
          <reference field="4" count="1" selected="0">
            <x v="3"/>
          </reference>
          <reference field="5" count="1" selected="0">
            <x v="9"/>
          </reference>
          <reference field="6" count="1">
            <x v="81"/>
          </reference>
          <reference field="8" count="1" selected="0">
            <x v="31"/>
          </reference>
        </references>
      </pivotArea>
    </format>
    <format dxfId="1558">
      <pivotArea dataOnly="0" labelOnly="1" fieldPosition="0">
        <references count="4">
          <reference field="4" count="1" selected="0">
            <x v="3"/>
          </reference>
          <reference field="5" count="1" selected="0">
            <x v="20"/>
          </reference>
          <reference field="6" count="1">
            <x v="116"/>
          </reference>
          <reference field="8" count="1" selected="0">
            <x v="34"/>
          </reference>
        </references>
      </pivotArea>
    </format>
    <format dxfId="1559">
      <pivotArea dataOnly="0" labelOnly="1" fieldPosition="0">
        <references count="4">
          <reference field="4" count="1" selected="0">
            <x v="4"/>
          </reference>
          <reference field="5" count="1" selected="0">
            <x v="12"/>
          </reference>
          <reference field="6" count="1">
            <x v="121"/>
          </reference>
          <reference field="8" count="1" selected="0">
            <x v="0"/>
          </reference>
        </references>
      </pivotArea>
    </format>
    <format dxfId="1560">
      <pivotArea dataOnly="0" labelOnly="1" fieldPosition="0">
        <references count="4">
          <reference field="4" count="1" selected="0">
            <x v="4"/>
          </reference>
          <reference field="5" count="1" selected="0">
            <x v="26"/>
          </reference>
          <reference field="6" count="1">
            <x v="118"/>
          </reference>
          <reference field="8" count="1" selected="0">
            <x v="0"/>
          </reference>
        </references>
      </pivotArea>
    </format>
    <format dxfId="1561">
      <pivotArea dataOnly="0" labelOnly="1" fieldPosition="0">
        <references count="4">
          <reference field="4" count="1" selected="0">
            <x v="4"/>
          </reference>
          <reference field="5" count="1" selected="0">
            <x v="9"/>
          </reference>
          <reference field="6" count="1">
            <x v="81"/>
          </reference>
          <reference field="8" count="1" selected="0">
            <x v="1"/>
          </reference>
        </references>
      </pivotArea>
    </format>
    <format dxfId="1562">
      <pivotArea dataOnly="0" labelOnly="1" fieldPosition="0">
        <references count="4">
          <reference field="4" count="1" selected="0">
            <x v="4"/>
          </reference>
          <reference field="5" count="1" selected="0">
            <x v="9"/>
          </reference>
          <reference field="6" count="1">
            <x v="62"/>
          </reference>
          <reference field="8" count="1" selected="0">
            <x v="2"/>
          </reference>
        </references>
      </pivotArea>
    </format>
    <format dxfId="1563">
      <pivotArea dataOnly="0" labelOnly="1" fieldPosition="0">
        <references count="4">
          <reference field="4" count="1" selected="0">
            <x v="4"/>
          </reference>
          <reference field="5" count="1" selected="0">
            <x v="24"/>
          </reference>
          <reference field="6" count="1">
            <x v="150"/>
          </reference>
          <reference field="8" count="1" selected="0">
            <x v="2"/>
          </reference>
        </references>
      </pivotArea>
    </format>
    <format dxfId="1564">
      <pivotArea dataOnly="0" labelOnly="1" fieldPosition="0">
        <references count="4">
          <reference field="4" count="1" selected="0">
            <x v="4"/>
          </reference>
          <reference field="5" count="1" selected="0">
            <x v="10"/>
          </reference>
          <reference field="6" count="2">
            <x v="5"/>
            <x v="15"/>
          </reference>
          <reference field="8" count="1" selected="0">
            <x v="17"/>
          </reference>
        </references>
      </pivotArea>
    </format>
    <format dxfId="1565">
      <pivotArea dataOnly="0" labelOnly="1" fieldPosition="0">
        <references count="4">
          <reference field="4" count="1" selected="0">
            <x v="4"/>
          </reference>
          <reference field="5" count="1" selected="0">
            <x v="10"/>
          </reference>
          <reference field="6" count="1">
            <x v="56"/>
          </reference>
          <reference field="8" count="1" selected="0">
            <x v="26"/>
          </reference>
        </references>
      </pivotArea>
    </format>
    <format dxfId="1566">
      <pivotArea dataOnly="0" labelOnly="1" fieldPosition="0">
        <references count="4">
          <reference field="4" count="1" selected="0">
            <x v="4"/>
          </reference>
          <reference field="5" count="1" selected="0">
            <x v="9"/>
          </reference>
          <reference field="6" count="1">
            <x v="81"/>
          </reference>
          <reference field="8" count="1" selected="0">
            <x v="31"/>
          </reference>
        </references>
      </pivotArea>
    </format>
    <format dxfId="1567">
      <pivotArea dataOnly="0" labelOnly="1" fieldPosition="0">
        <references count="4">
          <reference field="4" count="1" selected="0">
            <x v="4"/>
          </reference>
          <reference field="5" count="1" selected="0">
            <x v="20"/>
          </reference>
          <reference field="6" count="1">
            <x v="116"/>
          </reference>
          <reference field="8" count="1" selected="0">
            <x v="34"/>
          </reference>
        </references>
      </pivotArea>
    </format>
    <format dxfId="1568">
      <pivotArea dataOnly="0" labelOnly="1" fieldPosition="0">
        <references count="4">
          <reference field="4" count="1" selected="0">
            <x v="5"/>
          </reference>
          <reference field="5" count="1" selected="0">
            <x v="21"/>
          </reference>
          <reference field="6" count="1">
            <x v="120"/>
          </reference>
          <reference field="8" count="1" selected="0">
            <x v="0"/>
          </reference>
        </references>
      </pivotArea>
    </format>
    <format dxfId="1569">
      <pivotArea dataOnly="0" labelOnly="1" fieldPosition="0">
        <references count="4">
          <reference field="4" count="1" selected="0">
            <x v="5"/>
          </reference>
          <reference field="5" count="1" selected="0">
            <x v="22"/>
          </reference>
          <reference field="6" count="1">
            <x v="121"/>
          </reference>
          <reference field="8" count="1" selected="0">
            <x v="0"/>
          </reference>
        </references>
      </pivotArea>
    </format>
    <format dxfId="1570">
      <pivotArea dataOnly="0" labelOnly="1" fieldPosition="0">
        <references count="4">
          <reference field="4" count="1" selected="0">
            <x v="5"/>
          </reference>
          <reference field="5" count="1" selected="0">
            <x v="1"/>
          </reference>
          <reference field="6" count="2">
            <x v="52"/>
            <x v="65"/>
          </reference>
          <reference field="8" count="1" selected="0">
            <x v="1"/>
          </reference>
        </references>
      </pivotArea>
    </format>
    <format dxfId="1571">
      <pivotArea dataOnly="0" labelOnly="1" fieldPosition="0">
        <references count="4">
          <reference field="4" count="1" selected="0">
            <x v="5"/>
          </reference>
          <reference field="5" count="1" selected="0">
            <x v="21"/>
          </reference>
          <reference field="6" count="1">
            <x v="113"/>
          </reference>
          <reference field="8" count="1" selected="0">
            <x v="1"/>
          </reference>
        </references>
      </pivotArea>
    </format>
    <format dxfId="1572">
      <pivotArea dataOnly="0" labelOnly="1" fieldPosition="0">
        <references count="4">
          <reference field="4" count="1" selected="0">
            <x v="5"/>
          </reference>
          <reference field="5" count="1" selected="0">
            <x v="22"/>
          </reference>
          <reference field="6" count="3">
            <x v="59"/>
            <x v="81"/>
            <x v="130"/>
          </reference>
          <reference field="8" count="1" selected="0">
            <x v="1"/>
          </reference>
        </references>
      </pivotArea>
    </format>
    <format dxfId="1573">
      <pivotArea dataOnly="0" labelOnly="1" fieldPosition="0">
        <references count="4">
          <reference field="4" count="1" selected="0">
            <x v="6"/>
          </reference>
          <reference field="5" count="1" selected="0">
            <x v="12"/>
          </reference>
          <reference field="6" count="1">
            <x v="121"/>
          </reference>
          <reference field="8" count="1" selected="0">
            <x v="0"/>
          </reference>
        </references>
      </pivotArea>
    </format>
    <format dxfId="1574">
      <pivotArea dataOnly="0" labelOnly="1" fieldPosition="0">
        <references count="4">
          <reference field="4" count="1" selected="0">
            <x v="6"/>
          </reference>
          <reference field="5" count="1" selected="0">
            <x v="9"/>
          </reference>
          <reference field="6" count="1">
            <x v="81"/>
          </reference>
          <reference field="8" count="1" selected="0">
            <x v="1"/>
          </reference>
        </references>
      </pivotArea>
    </format>
    <format dxfId="1575">
      <pivotArea dataOnly="0" labelOnly="1" fieldPosition="0">
        <references count="4">
          <reference field="4" count="1" selected="0">
            <x v="6"/>
          </reference>
          <reference field="5" count="1" selected="0">
            <x v="9"/>
          </reference>
          <reference field="6" count="1">
            <x v="62"/>
          </reference>
          <reference field="8" count="1" selected="0">
            <x v="2"/>
          </reference>
        </references>
      </pivotArea>
    </format>
    <format dxfId="1576">
      <pivotArea dataOnly="0" labelOnly="1" fieldPosition="0">
        <references count="4">
          <reference field="4" count="1" selected="0">
            <x v="6"/>
          </reference>
          <reference field="5" count="1" selected="0">
            <x v="24"/>
          </reference>
          <reference field="6" count="1">
            <x v="150"/>
          </reference>
          <reference field="8" count="1" selected="0">
            <x v="2"/>
          </reference>
        </references>
      </pivotArea>
    </format>
    <format dxfId="1577">
      <pivotArea dataOnly="0" labelOnly="1" fieldPosition="0">
        <references count="4">
          <reference field="4" count="1" selected="0">
            <x v="6"/>
          </reference>
          <reference field="5" count="1" selected="0">
            <x v="10"/>
          </reference>
          <reference field="6" count="2">
            <x v="5"/>
            <x v="15"/>
          </reference>
          <reference field="8" count="1" selected="0">
            <x v="17"/>
          </reference>
        </references>
      </pivotArea>
    </format>
    <format dxfId="1578">
      <pivotArea dataOnly="0" labelOnly="1" fieldPosition="0">
        <references count="4">
          <reference field="4" count="1" selected="0">
            <x v="6"/>
          </reference>
          <reference field="5" count="1" selected="0">
            <x v="10"/>
          </reference>
          <reference field="6" count="1">
            <x v="56"/>
          </reference>
          <reference field="8" count="1" selected="0">
            <x v="26"/>
          </reference>
        </references>
      </pivotArea>
    </format>
    <format dxfId="1579">
      <pivotArea dataOnly="0" labelOnly="1" fieldPosition="0">
        <references count="4">
          <reference field="4" count="1" selected="0">
            <x v="6"/>
          </reference>
          <reference field="5" count="1" selected="0">
            <x v="9"/>
          </reference>
          <reference field="6" count="1">
            <x v="81"/>
          </reference>
          <reference field="8" count="1" selected="0">
            <x v="31"/>
          </reference>
        </references>
      </pivotArea>
    </format>
    <format dxfId="1580">
      <pivotArea dataOnly="0" labelOnly="1" fieldPosition="0">
        <references count="4">
          <reference field="4" count="1" selected="0">
            <x v="6"/>
          </reference>
          <reference field="5" count="1" selected="0">
            <x v="20"/>
          </reference>
          <reference field="6" count="1">
            <x v="116"/>
          </reference>
          <reference field="8" count="1" selected="0">
            <x v="34"/>
          </reference>
        </references>
      </pivotArea>
    </format>
    <format dxfId="1581">
      <pivotArea dataOnly="0" labelOnly="1" fieldPosition="0">
        <references count="2">
          <reference field="4" count="1" selected="0">
            <x v="0"/>
          </reference>
          <reference field="8" count="7">
            <x v="0"/>
            <x v="1"/>
            <x v="2"/>
            <x v="16"/>
            <x v="17"/>
            <x v="31"/>
            <x v="34"/>
          </reference>
        </references>
      </pivotArea>
    </format>
    <format dxfId="1582">
      <pivotArea dataOnly="0" labelOnly="1" fieldPosition="0">
        <references count="2">
          <reference field="4" count="1" selected="0">
            <x v="1"/>
          </reference>
          <reference field="8" count="7">
            <x v="0"/>
            <x v="1"/>
            <x v="2"/>
            <x v="16"/>
            <x v="17"/>
            <x v="31"/>
            <x v="34"/>
          </reference>
        </references>
      </pivotArea>
    </format>
    <format dxfId="1583">
      <pivotArea dataOnly="0" labelOnly="1" fieldPosition="0">
        <references count="2">
          <reference field="4" count="1" selected="0">
            <x v="2"/>
          </reference>
          <reference field="8" count="7">
            <x v="0"/>
            <x v="1"/>
            <x v="2"/>
            <x v="16"/>
            <x v="17"/>
            <x v="31"/>
            <x v="34"/>
          </reference>
        </references>
      </pivotArea>
    </format>
    <format dxfId="1584">
      <pivotArea dataOnly="0" labelOnly="1" fieldPosition="0">
        <references count="2">
          <reference field="4" count="1" selected="0">
            <x v="3"/>
          </reference>
          <reference field="8" count="7">
            <x v="0"/>
            <x v="1"/>
            <x v="2"/>
            <x v="16"/>
            <x v="17"/>
            <x v="31"/>
            <x v="34"/>
          </reference>
        </references>
      </pivotArea>
    </format>
    <format dxfId="1585">
      <pivotArea dataOnly="0" labelOnly="1" fieldPosition="0">
        <references count="2">
          <reference field="4" count="1" selected="0">
            <x v="4"/>
          </reference>
          <reference field="8" count="7">
            <x v="0"/>
            <x v="1"/>
            <x v="2"/>
            <x v="16"/>
            <x v="17"/>
            <x v="31"/>
            <x v="34"/>
          </reference>
        </references>
      </pivotArea>
    </format>
    <format dxfId="1586">
      <pivotArea dataOnly="0" labelOnly="1" fieldPosition="0">
        <references count="2">
          <reference field="4" count="1" selected="0">
            <x v="5"/>
          </reference>
          <reference field="8" count="4">
            <x v="0"/>
            <x v="1"/>
            <x v="2"/>
            <x v="16"/>
          </reference>
        </references>
      </pivotArea>
    </format>
    <format dxfId="1587">
      <pivotArea dataOnly="0" labelOnly="1" fieldPosition="0">
        <references count="2">
          <reference field="4" count="1" selected="0">
            <x v="6"/>
          </reference>
          <reference field="8" count="7">
            <x v="0"/>
            <x v="1"/>
            <x v="2"/>
            <x v="16"/>
            <x v="17"/>
            <x v="31"/>
            <x v="34"/>
          </reference>
        </references>
      </pivotArea>
    </format>
    <format dxfId="1588">
      <pivotArea dataOnly="0" labelOnly="1" fieldPosition="0">
        <references count="3">
          <reference field="4" count="1" selected="0">
            <x v="0"/>
          </reference>
          <reference field="5" count="4">
            <x v="3"/>
            <x v="12"/>
            <x v="15"/>
            <x v="16"/>
          </reference>
          <reference field="8" count="1" selected="0">
            <x v="2"/>
          </reference>
        </references>
      </pivotArea>
    </format>
    <format dxfId="1589">
      <pivotArea dataOnly="0" labelOnly="1" fieldPosition="0">
        <references count="3">
          <reference field="4" count="1" selected="0">
            <x v="0"/>
          </reference>
          <reference field="5" count="6">
            <x v="3"/>
            <x v="9"/>
            <x v="12"/>
            <x v="15"/>
            <x v="20"/>
            <x v="24"/>
          </reference>
          <reference field="8" count="1" selected="0">
            <x v="16"/>
          </reference>
        </references>
      </pivotArea>
    </format>
    <format dxfId="1590">
      <pivotArea dataOnly="0" labelOnly="1" fieldPosition="0">
        <references count="3">
          <reference field="4" count="1" selected="0">
            <x v="1"/>
          </reference>
          <reference field="5" count="4">
            <x v="3"/>
            <x v="12"/>
            <x v="15"/>
            <x v="16"/>
          </reference>
          <reference field="8" count="1" selected="0">
            <x v="2"/>
          </reference>
        </references>
      </pivotArea>
    </format>
    <format dxfId="1591">
      <pivotArea dataOnly="0" labelOnly="1" fieldPosition="0">
        <references count="3">
          <reference field="4" count="1" selected="0">
            <x v="1"/>
          </reference>
          <reference field="5" count="6">
            <x v="3"/>
            <x v="9"/>
            <x v="12"/>
            <x v="15"/>
            <x v="20"/>
            <x v="24"/>
          </reference>
          <reference field="8" count="1" selected="0">
            <x v="16"/>
          </reference>
        </references>
      </pivotArea>
    </format>
    <format dxfId="1592">
      <pivotArea dataOnly="0" labelOnly="1" fieldPosition="0">
        <references count="3">
          <reference field="4" count="1" selected="0">
            <x v="2"/>
          </reference>
          <reference field="5" count="4">
            <x v="3"/>
            <x v="12"/>
            <x v="15"/>
            <x v="16"/>
          </reference>
          <reference field="8" count="1" selected="0">
            <x v="2"/>
          </reference>
        </references>
      </pivotArea>
    </format>
    <format dxfId="1593">
      <pivotArea dataOnly="0" labelOnly="1" fieldPosition="0">
        <references count="3">
          <reference field="4" count="1" selected="0">
            <x v="2"/>
          </reference>
          <reference field="5" count="6">
            <x v="3"/>
            <x v="9"/>
            <x v="12"/>
            <x v="15"/>
            <x v="20"/>
            <x v="24"/>
          </reference>
          <reference field="8" count="1" selected="0">
            <x v="16"/>
          </reference>
        </references>
      </pivotArea>
    </format>
    <format dxfId="1594">
      <pivotArea dataOnly="0" labelOnly="1" fieldPosition="0">
        <references count="3">
          <reference field="4" count="1" selected="0">
            <x v="3"/>
          </reference>
          <reference field="5" count="4">
            <x v="3"/>
            <x v="12"/>
            <x v="15"/>
            <x v="16"/>
          </reference>
          <reference field="8" count="1" selected="0">
            <x v="2"/>
          </reference>
        </references>
      </pivotArea>
    </format>
    <format dxfId="1595">
      <pivotArea dataOnly="0" labelOnly="1" fieldPosition="0">
        <references count="3">
          <reference field="4" count="1" selected="0">
            <x v="3"/>
          </reference>
          <reference field="5" count="6">
            <x v="3"/>
            <x v="9"/>
            <x v="12"/>
            <x v="15"/>
            <x v="20"/>
            <x v="24"/>
          </reference>
          <reference field="8" count="1" selected="0">
            <x v="16"/>
          </reference>
        </references>
      </pivotArea>
    </format>
    <format dxfId="1596">
      <pivotArea dataOnly="0" labelOnly="1" fieldPosition="0">
        <references count="3">
          <reference field="4" count="1" selected="0">
            <x v="4"/>
          </reference>
          <reference field="5" count="5">
            <x v="3"/>
            <x v="12"/>
            <x v="15"/>
            <x v="16"/>
            <x v="26"/>
          </reference>
          <reference field="8" count="1" selected="0">
            <x v="2"/>
          </reference>
        </references>
      </pivotArea>
    </format>
    <format dxfId="1597">
      <pivotArea dataOnly="0" labelOnly="1" fieldPosition="0">
        <references count="3">
          <reference field="4" count="1" selected="0">
            <x v="4"/>
          </reference>
          <reference field="5" count="6">
            <x v="3"/>
            <x v="9"/>
            <x v="12"/>
            <x v="15"/>
            <x v="20"/>
            <x v="24"/>
          </reference>
          <reference field="8" count="1" selected="0">
            <x v="16"/>
          </reference>
        </references>
      </pivotArea>
    </format>
    <format dxfId="1598">
      <pivotArea dataOnly="0" labelOnly="1" fieldPosition="0">
        <references count="3">
          <reference field="4" count="1" selected="0">
            <x v="5"/>
          </reference>
          <reference field="5" count="2">
            <x v="1"/>
            <x v="21"/>
          </reference>
          <reference field="8" count="1" selected="0">
            <x v="2"/>
          </reference>
        </references>
      </pivotArea>
    </format>
    <format dxfId="1599">
      <pivotArea dataOnly="0" labelOnly="1" fieldPosition="0">
        <references count="3">
          <reference field="4" count="1" selected="0">
            <x v="5"/>
          </reference>
          <reference field="5" count="3">
            <x v="1"/>
            <x v="21"/>
            <x v="22"/>
          </reference>
          <reference field="8" count="1" selected="0">
            <x v="16"/>
          </reference>
        </references>
      </pivotArea>
    </format>
    <format dxfId="1600">
      <pivotArea dataOnly="0" labelOnly="1" fieldPosition="0">
        <references count="3">
          <reference field="4" count="1" selected="0">
            <x v="6"/>
          </reference>
          <reference field="5" count="4">
            <x v="3"/>
            <x v="12"/>
            <x v="15"/>
            <x v="16"/>
          </reference>
          <reference field="8" count="1" selected="0">
            <x v="2"/>
          </reference>
        </references>
      </pivotArea>
    </format>
    <format dxfId="1601">
      <pivotArea dataOnly="0" labelOnly="1" fieldPosition="0">
        <references count="3">
          <reference field="4" count="1" selected="0">
            <x v="6"/>
          </reference>
          <reference field="5" count="6">
            <x v="3"/>
            <x v="9"/>
            <x v="12"/>
            <x v="15"/>
            <x v="20"/>
            <x v="24"/>
          </reference>
          <reference field="8" count="1" selected="0">
            <x v="16"/>
          </reference>
        </references>
      </pivotArea>
    </format>
    <format dxfId="1602">
      <pivotArea dataOnly="0" labelOnly="1" fieldPosition="0">
        <references count="4">
          <reference field="4" count="1" selected="0">
            <x v="0"/>
          </reference>
          <reference field="5" count="1" selected="0">
            <x v="3"/>
          </reference>
          <reference field="6" count="1">
            <x v="53"/>
          </reference>
          <reference field="8" count="1" selected="0">
            <x v="2"/>
          </reference>
        </references>
      </pivotArea>
    </format>
    <format dxfId="1603">
      <pivotArea dataOnly="0" labelOnly="1" fieldPosition="0">
        <references count="4">
          <reference field="4" count="1" selected="0">
            <x v="0"/>
          </reference>
          <reference field="5" count="1" selected="0">
            <x v="12"/>
          </reference>
          <reference field="6" count="2">
            <x v="10"/>
            <x v="81"/>
          </reference>
          <reference field="8" count="1" selected="0">
            <x v="2"/>
          </reference>
        </references>
      </pivotArea>
    </format>
    <format dxfId="1604">
      <pivotArea dataOnly="0" labelOnly="1" fieldPosition="0">
        <references count="4">
          <reference field="4" count="1" selected="0">
            <x v="0"/>
          </reference>
          <reference field="5" count="1" selected="0">
            <x v="15"/>
          </reference>
          <reference field="6" count="4">
            <x v="66"/>
            <x v="104"/>
            <x v="106"/>
            <x v="109"/>
          </reference>
          <reference field="8" count="1" selected="0">
            <x v="2"/>
          </reference>
        </references>
      </pivotArea>
    </format>
    <format dxfId="1605">
      <pivotArea dataOnly="0" labelOnly="1" fieldPosition="0">
        <references count="4">
          <reference field="4" count="1" selected="0">
            <x v="0"/>
          </reference>
          <reference field="5" count="1" selected="0">
            <x v="16"/>
          </reference>
          <reference field="6" count="1">
            <x v="26"/>
          </reference>
          <reference field="8" count="1" selected="0">
            <x v="2"/>
          </reference>
        </references>
      </pivotArea>
    </format>
    <format dxfId="1606">
      <pivotArea dataOnly="0" labelOnly="1" fieldPosition="0">
        <references count="4">
          <reference field="4" count="1" selected="0">
            <x v="0"/>
          </reference>
          <reference field="5" count="1" selected="0">
            <x v="3"/>
          </reference>
          <reference field="6" count="2">
            <x v="27"/>
            <x v="79"/>
          </reference>
          <reference field="8" count="1" selected="0">
            <x v="16"/>
          </reference>
        </references>
      </pivotArea>
    </format>
    <format dxfId="1607">
      <pivotArea dataOnly="0" labelOnly="1" fieldPosition="0">
        <references count="4">
          <reference field="4" count="1" selected="0">
            <x v="0"/>
          </reference>
          <reference field="5" count="1" selected="0">
            <x v="9"/>
          </reference>
          <reference field="6" count="3">
            <x v="62"/>
            <x v="74"/>
            <x v="85"/>
          </reference>
          <reference field="8" count="1" selected="0">
            <x v="16"/>
          </reference>
        </references>
      </pivotArea>
    </format>
    <format dxfId="1608">
      <pivotArea dataOnly="0" labelOnly="1" fieldPosition="0">
        <references count="4">
          <reference field="4" count="1" selected="0">
            <x v="0"/>
          </reference>
          <reference field="5" count="1" selected="0">
            <x v="12"/>
          </reference>
          <reference field="6" count="2">
            <x v="112"/>
            <x v="121"/>
          </reference>
          <reference field="8" count="1" selected="0">
            <x v="16"/>
          </reference>
        </references>
      </pivotArea>
    </format>
    <format dxfId="1609">
      <pivotArea dataOnly="0" labelOnly="1" fieldPosition="0">
        <references count="4">
          <reference field="4" count="1" selected="0">
            <x v="0"/>
          </reference>
          <reference field="5" count="1" selected="0">
            <x v="15"/>
          </reference>
          <reference field="6" count="3">
            <x v="7"/>
            <x v="45"/>
            <x v="66"/>
          </reference>
          <reference field="8" count="1" selected="0">
            <x v="16"/>
          </reference>
        </references>
      </pivotArea>
    </format>
    <format dxfId="1610">
      <pivotArea dataOnly="0" labelOnly="1" fieldPosition="0">
        <references count="4">
          <reference field="4" count="1" selected="0">
            <x v="0"/>
          </reference>
          <reference field="5" count="1" selected="0">
            <x v="20"/>
          </reference>
          <reference field="6" count="1">
            <x v="116"/>
          </reference>
          <reference field="8" count="1" selected="0">
            <x v="16"/>
          </reference>
        </references>
      </pivotArea>
    </format>
    <format dxfId="1611">
      <pivotArea dataOnly="0" labelOnly="1" fieldPosition="0">
        <references count="4">
          <reference field="4" count="1" selected="0">
            <x v="0"/>
          </reference>
          <reference field="5" count="1" selected="0">
            <x v="24"/>
          </reference>
          <reference field="6" count="1">
            <x v="150"/>
          </reference>
          <reference field="8" count="1" selected="0">
            <x v="16"/>
          </reference>
        </references>
      </pivotArea>
    </format>
    <format dxfId="1612">
      <pivotArea dataOnly="0" labelOnly="1" fieldPosition="0">
        <references count="4">
          <reference field="4" count="1" selected="0">
            <x v="1"/>
          </reference>
          <reference field="5" count="1" selected="0">
            <x v="3"/>
          </reference>
          <reference field="6" count="1">
            <x v="53"/>
          </reference>
          <reference field="8" count="1" selected="0">
            <x v="2"/>
          </reference>
        </references>
      </pivotArea>
    </format>
    <format dxfId="1613">
      <pivotArea dataOnly="0" labelOnly="1" fieldPosition="0">
        <references count="4">
          <reference field="4" count="1" selected="0">
            <x v="1"/>
          </reference>
          <reference field="5" count="1" selected="0">
            <x v="12"/>
          </reference>
          <reference field="6" count="2">
            <x v="10"/>
            <x v="81"/>
          </reference>
          <reference field="8" count="1" selected="0">
            <x v="2"/>
          </reference>
        </references>
      </pivotArea>
    </format>
    <format dxfId="1614">
      <pivotArea dataOnly="0" labelOnly="1" fieldPosition="0">
        <references count="4">
          <reference field="4" count="1" selected="0">
            <x v="1"/>
          </reference>
          <reference field="5" count="1" selected="0">
            <x v="15"/>
          </reference>
          <reference field="6" count="4">
            <x v="66"/>
            <x v="104"/>
            <x v="106"/>
            <x v="109"/>
          </reference>
          <reference field="8" count="1" selected="0">
            <x v="2"/>
          </reference>
        </references>
      </pivotArea>
    </format>
    <format dxfId="1615">
      <pivotArea dataOnly="0" labelOnly="1" fieldPosition="0">
        <references count="4">
          <reference field="4" count="1" selected="0">
            <x v="1"/>
          </reference>
          <reference field="5" count="1" selected="0">
            <x v="16"/>
          </reference>
          <reference field="6" count="1">
            <x v="26"/>
          </reference>
          <reference field="8" count="1" selected="0">
            <x v="2"/>
          </reference>
        </references>
      </pivotArea>
    </format>
    <format dxfId="1616">
      <pivotArea dataOnly="0" labelOnly="1" fieldPosition="0">
        <references count="4">
          <reference field="4" count="1" selected="0">
            <x v="1"/>
          </reference>
          <reference field="5" count="1" selected="0">
            <x v="3"/>
          </reference>
          <reference field="6" count="2">
            <x v="27"/>
            <x v="79"/>
          </reference>
          <reference field="8" count="1" selected="0">
            <x v="16"/>
          </reference>
        </references>
      </pivotArea>
    </format>
    <format dxfId="1617">
      <pivotArea dataOnly="0" labelOnly="1" fieldPosition="0">
        <references count="4">
          <reference field="4" count="1" selected="0">
            <x v="1"/>
          </reference>
          <reference field="5" count="1" selected="0">
            <x v="9"/>
          </reference>
          <reference field="6" count="3">
            <x v="62"/>
            <x v="74"/>
            <x v="85"/>
          </reference>
          <reference field="8" count="1" selected="0">
            <x v="16"/>
          </reference>
        </references>
      </pivotArea>
    </format>
    <format dxfId="1618">
      <pivotArea dataOnly="0" labelOnly="1" fieldPosition="0">
        <references count="4">
          <reference field="4" count="1" selected="0">
            <x v="1"/>
          </reference>
          <reference field="5" count="1" selected="0">
            <x v="12"/>
          </reference>
          <reference field="6" count="2">
            <x v="112"/>
            <x v="121"/>
          </reference>
          <reference field="8" count="1" selected="0">
            <x v="16"/>
          </reference>
        </references>
      </pivotArea>
    </format>
    <format dxfId="1619">
      <pivotArea dataOnly="0" labelOnly="1" fieldPosition="0">
        <references count="4">
          <reference field="4" count="1" selected="0">
            <x v="1"/>
          </reference>
          <reference field="5" count="1" selected="0">
            <x v="15"/>
          </reference>
          <reference field="6" count="5">
            <x v="7"/>
            <x v="12"/>
            <x v="28"/>
            <x v="43"/>
            <x v="66"/>
          </reference>
          <reference field="8" count="1" selected="0">
            <x v="16"/>
          </reference>
        </references>
      </pivotArea>
    </format>
    <format dxfId="1620">
      <pivotArea dataOnly="0" labelOnly="1" fieldPosition="0">
        <references count="4">
          <reference field="4" count="1" selected="0">
            <x v="1"/>
          </reference>
          <reference field="5" count="1" selected="0">
            <x v="20"/>
          </reference>
          <reference field="6" count="1">
            <x v="116"/>
          </reference>
          <reference field="8" count="1" selected="0">
            <x v="16"/>
          </reference>
        </references>
      </pivotArea>
    </format>
    <format dxfId="1621">
      <pivotArea dataOnly="0" labelOnly="1" fieldPosition="0">
        <references count="4">
          <reference field="4" count="1" selected="0">
            <x v="1"/>
          </reference>
          <reference field="5" count="1" selected="0">
            <x v="24"/>
          </reference>
          <reference field="6" count="1">
            <x v="150"/>
          </reference>
          <reference field="8" count="1" selected="0">
            <x v="16"/>
          </reference>
        </references>
      </pivotArea>
    </format>
    <format dxfId="1622">
      <pivotArea dataOnly="0" labelOnly="1" fieldPosition="0">
        <references count="4">
          <reference field="4" count="1" selected="0">
            <x v="2"/>
          </reference>
          <reference field="5" count="1" selected="0">
            <x v="3"/>
          </reference>
          <reference field="6" count="1">
            <x v="53"/>
          </reference>
          <reference field="8" count="1" selected="0">
            <x v="2"/>
          </reference>
        </references>
      </pivotArea>
    </format>
    <format dxfId="1623">
      <pivotArea dataOnly="0" labelOnly="1" fieldPosition="0">
        <references count="4">
          <reference field="4" count="1" selected="0">
            <x v="2"/>
          </reference>
          <reference field="5" count="1" selected="0">
            <x v="12"/>
          </reference>
          <reference field="6" count="2">
            <x v="10"/>
            <x v="81"/>
          </reference>
          <reference field="8" count="1" selected="0">
            <x v="2"/>
          </reference>
        </references>
      </pivotArea>
    </format>
    <format dxfId="1624">
      <pivotArea dataOnly="0" labelOnly="1" fieldPosition="0">
        <references count="4">
          <reference field="4" count="1" selected="0">
            <x v="2"/>
          </reference>
          <reference field="5" count="1" selected="0">
            <x v="15"/>
          </reference>
          <reference field="6" count="4">
            <x v="66"/>
            <x v="104"/>
            <x v="106"/>
            <x v="109"/>
          </reference>
          <reference field="8" count="1" selected="0">
            <x v="2"/>
          </reference>
        </references>
      </pivotArea>
    </format>
    <format dxfId="1625">
      <pivotArea dataOnly="0" labelOnly="1" fieldPosition="0">
        <references count="4">
          <reference field="4" count="1" selected="0">
            <x v="2"/>
          </reference>
          <reference field="5" count="1" selected="0">
            <x v="16"/>
          </reference>
          <reference field="6" count="1">
            <x v="26"/>
          </reference>
          <reference field="8" count="1" selected="0">
            <x v="2"/>
          </reference>
        </references>
      </pivotArea>
    </format>
    <format dxfId="1626">
      <pivotArea dataOnly="0" labelOnly="1" fieldPosition="0">
        <references count="4">
          <reference field="4" count="1" selected="0">
            <x v="2"/>
          </reference>
          <reference field="5" count="1" selected="0">
            <x v="3"/>
          </reference>
          <reference field="6" count="2">
            <x v="27"/>
            <x v="79"/>
          </reference>
          <reference field="8" count="1" selected="0">
            <x v="16"/>
          </reference>
        </references>
      </pivotArea>
    </format>
    <format dxfId="1627">
      <pivotArea dataOnly="0" labelOnly="1" fieldPosition="0">
        <references count="4">
          <reference field="4" count="1" selected="0">
            <x v="2"/>
          </reference>
          <reference field="5" count="1" selected="0">
            <x v="9"/>
          </reference>
          <reference field="6" count="3">
            <x v="62"/>
            <x v="74"/>
            <x v="85"/>
          </reference>
          <reference field="8" count="1" selected="0">
            <x v="16"/>
          </reference>
        </references>
      </pivotArea>
    </format>
    <format dxfId="1628">
      <pivotArea dataOnly="0" labelOnly="1" fieldPosition="0">
        <references count="4">
          <reference field="4" count="1" selected="0">
            <x v="2"/>
          </reference>
          <reference field="5" count="1" selected="0">
            <x v="12"/>
          </reference>
          <reference field="6" count="2">
            <x v="112"/>
            <x v="121"/>
          </reference>
          <reference field="8" count="1" selected="0">
            <x v="16"/>
          </reference>
        </references>
      </pivotArea>
    </format>
    <format dxfId="1629">
      <pivotArea dataOnly="0" labelOnly="1" fieldPosition="0">
        <references count="4">
          <reference field="4" count="1" selected="0">
            <x v="2"/>
          </reference>
          <reference field="5" count="1" selected="0">
            <x v="15"/>
          </reference>
          <reference field="6" count="4">
            <x v="7"/>
            <x v="28"/>
            <x v="43"/>
            <x v="66"/>
          </reference>
          <reference field="8" count="1" selected="0">
            <x v="16"/>
          </reference>
        </references>
      </pivotArea>
    </format>
    <format dxfId="1630">
      <pivotArea dataOnly="0" labelOnly="1" fieldPosition="0">
        <references count="4">
          <reference field="4" count="1" selected="0">
            <x v="2"/>
          </reference>
          <reference field="5" count="1" selected="0">
            <x v="20"/>
          </reference>
          <reference field="6" count="1">
            <x v="116"/>
          </reference>
          <reference field="8" count="1" selected="0">
            <x v="16"/>
          </reference>
        </references>
      </pivotArea>
    </format>
    <format dxfId="1631">
      <pivotArea dataOnly="0" labelOnly="1" fieldPosition="0">
        <references count="4">
          <reference field="4" count="1" selected="0">
            <x v="2"/>
          </reference>
          <reference field="5" count="1" selected="0">
            <x v="24"/>
          </reference>
          <reference field="6" count="1">
            <x v="150"/>
          </reference>
          <reference field="8" count="1" selected="0">
            <x v="16"/>
          </reference>
        </references>
      </pivotArea>
    </format>
    <format dxfId="1632">
      <pivotArea dataOnly="0" labelOnly="1" fieldPosition="0">
        <references count="4">
          <reference field="4" count="1" selected="0">
            <x v="3"/>
          </reference>
          <reference field="5" count="1" selected="0">
            <x v="3"/>
          </reference>
          <reference field="6" count="1">
            <x v="53"/>
          </reference>
          <reference field="8" count="1" selected="0">
            <x v="2"/>
          </reference>
        </references>
      </pivotArea>
    </format>
    <format dxfId="1633">
      <pivotArea dataOnly="0" labelOnly="1" fieldPosition="0">
        <references count="4">
          <reference field="4" count="1" selected="0">
            <x v="3"/>
          </reference>
          <reference field="5" count="1" selected="0">
            <x v="12"/>
          </reference>
          <reference field="6" count="2">
            <x v="10"/>
            <x v="81"/>
          </reference>
          <reference field="8" count="1" selected="0">
            <x v="2"/>
          </reference>
        </references>
      </pivotArea>
    </format>
    <format dxfId="1634">
      <pivotArea dataOnly="0" labelOnly="1" fieldPosition="0">
        <references count="4">
          <reference field="4" count="1" selected="0">
            <x v="3"/>
          </reference>
          <reference field="5" count="1" selected="0">
            <x v="15"/>
          </reference>
          <reference field="6" count="4">
            <x v="66"/>
            <x v="104"/>
            <x v="106"/>
            <x v="109"/>
          </reference>
          <reference field="8" count="1" selected="0">
            <x v="2"/>
          </reference>
        </references>
      </pivotArea>
    </format>
    <format dxfId="1635">
      <pivotArea dataOnly="0" labelOnly="1" fieldPosition="0">
        <references count="4">
          <reference field="4" count="1" selected="0">
            <x v="3"/>
          </reference>
          <reference field="5" count="1" selected="0">
            <x v="16"/>
          </reference>
          <reference field="6" count="1">
            <x v="26"/>
          </reference>
          <reference field="8" count="1" selected="0">
            <x v="2"/>
          </reference>
        </references>
      </pivotArea>
    </format>
    <format dxfId="1636">
      <pivotArea dataOnly="0" labelOnly="1" fieldPosition="0">
        <references count="4">
          <reference field="4" count="1" selected="0">
            <x v="3"/>
          </reference>
          <reference field="5" count="1" selected="0">
            <x v="3"/>
          </reference>
          <reference field="6" count="2">
            <x v="27"/>
            <x v="79"/>
          </reference>
          <reference field="8" count="1" selected="0">
            <x v="16"/>
          </reference>
        </references>
      </pivotArea>
    </format>
    <format dxfId="1637">
      <pivotArea dataOnly="0" labelOnly="1" fieldPosition="0">
        <references count="4">
          <reference field="4" count="1" selected="0">
            <x v="3"/>
          </reference>
          <reference field="5" count="1" selected="0">
            <x v="9"/>
          </reference>
          <reference field="6" count="3">
            <x v="62"/>
            <x v="74"/>
            <x v="85"/>
          </reference>
          <reference field="8" count="1" selected="0">
            <x v="16"/>
          </reference>
        </references>
      </pivotArea>
    </format>
    <format dxfId="1638">
      <pivotArea dataOnly="0" labelOnly="1" fieldPosition="0">
        <references count="4">
          <reference field="4" count="1" selected="0">
            <x v="3"/>
          </reference>
          <reference field="5" count="1" selected="0">
            <x v="12"/>
          </reference>
          <reference field="6" count="2">
            <x v="112"/>
            <x v="121"/>
          </reference>
          <reference field="8" count="1" selected="0">
            <x v="16"/>
          </reference>
        </references>
      </pivotArea>
    </format>
    <format dxfId="1639">
      <pivotArea dataOnly="0" labelOnly="1" fieldPosition="0">
        <references count="4">
          <reference field="4" count="1" selected="0">
            <x v="3"/>
          </reference>
          <reference field="5" count="1" selected="0">
            <x v="15"/>
          </reference>
          <reference field="6" count="4">
            <x v="7"/>
            <x v="28"/>
            <x v="43"/>
            <x v="66"/>
          </reference>
          <reference field="8" count="1" selected="0">
            <x v="16"/>
          </reference>
        </references>
      </pivotArea>
    </format>
    <format dxfId="1640">
      <pivotArea dataOnly="0" labelOnly="1" fieldPosition="0">
        <references count="4">
          <reference field="4" count="1" selected="0">
            <x v="3"/>
          </reference>
          <reference field="5" count="1" selected="0">
            <x v="20"/>
          </reference>
          <reference field="6" count="1">
            <x v="116"/>
          </reference>
          <reference field="8" count="1" selected="0">
            <x v="16"/>
          </reference>
        </references>
      </pivotArea>
    </format>
    <format dxfId="1641">
      <pivotArea dataOnly="0" labelOnly="1" fieldPosition="0">
        <references count="4">
          <reference field="4" count="1" selected="0">
            <x v="3"/>
          </reference>
          <reference field="5" count="1" selected="0">
            <x v="24"/>
          </reference>
          <reference field="6" count="1">
            <x v="150"/>
          </reference>
          <reference field="8" count="1" selected="0">
            <x v="16"/>
          </reference>
        </references>
      </pivotArea>
    </format>
    <format dxfId="1642">
      <pivotArea dataOnly="0" labelOnly="1" fieldPosition="0">
        <references count="4">
          <reference field="4" count="1" selected="0">
            <x v="4"/>
          </reference>
          <reference field="5" count="1" selected="0">
            <x v="3"/>
          </reference>
          <reference field="6" count="1">
            <x v="53"/>
          </reference>
          <reference field="8" count="1" selected="0">
            <x v="2"/>
          </reference>
        </references>
      </pivotArea>
    </format>
    <format dxfId="1643">
      <pivotArea dataOnly="0" labelOnly="1" fieldPosition="0">
        <references count="4">
          <reference field="4" count="1" selected="0">
            <x v="4"/>
          </reference>
          <reference field="5" count="1" selected="0">
            <x v="12"/>
          </reference>
          <reference field="6" count="2">
            <x v="10"/>
            <x v="81"/>
          </reference>
          <reference field="8" count="1" selected="0">
            <x v="2"/>
          </reference>
        </references>
      </pivotArea>
    </format>
    <format dxfId="1644">
      <pivotArea dataOnly="0" labelOnly="1" fieldPosition="0">
        <references count="4">
          <reference field="4" count="1" selected="0">
            <x v="4"/>
          </reference>
          <reference field="5" count="1" selected="0">
            <x v="15"/>
          </reference>
          <reference field="6" count="4">
            <x v="66"/>
            <x v="104"/>
            <x v="106"/>
            <x v="109"/>
          </reference>
          <reference field="8" count="1" selected="0">
            <x v="2"/>
          </reference>
        </references>
      </pivotArea>
    </format>
    <format dxfId="1645">
      <pivotArea dataOnly="0" labelOnly="1" fieldPosition="0">
        <references count="4">
          <reference field="4" count="1" selected="0">
            <x v="4"/>
          </reference>
          <reference field="5" count="1" selected="0">
            <x v="16"/>
          </reference>
          <reference field="6" count="1">
            <x v="26"/>
          </reference>
          <reference field="8" count="1" selected="0">
            <x v="2"/>
          </reference>
        </references>
      </pivotArea>
    </format>
    <format dxfId="1646">
      <pivotArea dataOnly="0" labelOnly="1" fieldPosition="0">
        <references count="4">
          <reference field="4" count="1" selected="0">
            <x v="4"/>
          </reference>
          <reference field="5" count="1" selected="0">
            <x v="26"/>
          </reference>
          <reference field="6" count="2">
            <x v="96"/>
            <x v="118"/>
          </reference>
          <reference field="8" count="1" selected="0">
            <x v="2"/>
          </reference>
        </references>
      </pivotArea>
    </format>
    <format dxfId="1647">
      <pivotArea dataOnly="0" labelOnly="1" fieldPosition="0">
        <references count="4">
          <reference field="4" count="1" selected="0">
            <x v="4"/>
          </reference>
          <reference field="5" count="1" selected="0">
            <x v="3"/>
          </reference>
          <reference field="6" count="2">
            <x v="27"/>
            <x v="79"/>
          </reference>
          <reference field="8" count="1" selected="0">
            <x v="16"/>
          </reference>
        </references>
      </pivotArea>
    </format>
    <format dxfId="1648">
      <pivotArea dataOnly="0" labelOnly="1" fieldPosition="0">
        <references count="4">
          <reference field="4" count="1" selected="0">
            <x v="4"/>
          </reference>
          <reference field="5" count="1" selected="0">
            <x v="9"/>
          </reference>
          <reference field="6" count="3">
            <x v="62"/>
            <x v="74"/>
            <x v="85"/>
          </reference>
          <reference field="8" count="1" selected="0">
            <x v="16"/>
          </reference>
        </references>
      </pivotArea>
    </format>
    <format dxfId="1649">
      <pivotArea dataOnly="0" labelOnly="1" fieldPosition="0">
        <references count="4">
          <reference field="4" count="1" selected="0">
            <x v="4"/>
          </reference>
          <reference field="5" count="1" selected="0">
            <x v="12"/>
          </reference>
          <reference field="6" count="2">
            <x v="112"/>
            <x v="121"/>
          </reference>
          <reference field="8" count="1" selected="0">
            <x v="16"/>
          </reference>
        </references>
      </pivotArea>
    </format>
    <format dxfId="1650">
      <pivotArea dataOnly="0" labelOnly="1" fieldPosition="0">
        <references count="4">
          <reference field="4" count="1" selected="0">
            <x v="4"/>
          </reference>
          <reference field="5" count="1" selected="0">
            <x v="15"/>
          </reference>
          <reference field="6" count="5">
            <x v="7"/>
            <x v="12"/>
            <x v="43"/>
            <x v="61"/>
            <x v="66"/>
          </reference>
          <reference field="8" count="1" selected="0">
            <x v="16"/>
          </reference>
        </references>
      </pivotArea>
    </format>
    <format dxfId="1651">
      <pivotArea dataOnly="0" labelOnly="1" fieldPosition="0">
        <references count="4">
          <reference field="4" count="1" selected="0">
            <x v="4"/>
          </reference>
          <reference field="5" count="1" selected="0">
            <x v="20"/>
          </reference>
          <reference field="6" count="1">
            <x v="116"/>
          </reference>
          <reference field="8" count="1" selected="0">
            <x v="16"/>
          </reference>
        </references>
      </pivotArea>
    </format>
    <format dxfId="1652">
      <pivotArea dataOnly="0" labelOnly="1" fieldPosition="0">
        <references count="4">
          <reference field="4" count="1" selected="0">
            <x v="4"/>
          </reference>
          <reference field="5" count="1" selected="0">
            <x v="24"/>
          </reference>
          <reference field="6" count="1">
            <x v="150"/>
          </reference>
          <reference field="8" count="1" selected="0">
            <x v="16"/>
          </reference>
        </references>
      </pivotArea>
    </format>
    <format dxfId="1653">
      <pivotArea dataOnly="0" labelOnly="1" fieldPosition="0">
        <references count="4">
          <reference field="4" count="1" selected="0">
            <x v="5"/>
          </reference>
          <reference field="5" count="1" selected="0">
            <x v="1"/>
          </reference>
          <reference field="6" count="4">
            <x v="42"/>
            <x v="52"/>
            <x v="65"/>
            <x v="132"/>
          </reference>
          <reference field="8" count="1" selected="0">
            <x v="2"/>
          </reference>
        </references>
      </pivotArea>
    </format>
    <format dxfId="1654">
      <pivotArea dataOnly="0" labelOnly="1" fieldPosition="0">
        <references count="4">
          <reference field="4" count="1" selected="0">
            <x v="5"/>
          </reference>
          <reference field="5" count="1" selected="0">
            <x v="21"/>
          </reference>
          <reference field="6" count="3">
            <x v="99"/>
            <x v="113"/>
            <x v="114"/>
          </reference>
          <reference field="8" count="1" selected="0">
            <x v="2"/>
          </reference>
        </references>
      </pivotArea>
    </format>
    <format dxfId="1655">
      <pivotArea dataOnly="0" labelOnly="1" fieldPosition="0">
        <references count="4">
          <reference field="4" count="1" selected="0">
            <x v="5"/>
          </reference>
          <reference field="5" count="1" selected="0">
            <x v="1"/>
          </reference>
          <reference field="6" count="2">
            <x v="65"/>
            <x v="132"/>
          </reference>
          <reference field="8" count="1" selected="0">
            <x v="16"/>
          </reference>
        </references>
      </pivotArea>
    </format>
    <format dxfId="1656">
      <pivotArea dataOnly="0" labelOnly="1" fieldPosition="0">
        <references count="4">
          <reference field="4" count="1" selected="0">
            <x v="5"/>
          </reference>
          <reference field="5" count="1" selected="0">
            <x v="21"/>
          </reference>
          <reference field="6" count="3">
            <x v="113"/>
            <x v="120"/>
            <x v="137"/>
          </reference>
          <reference field="8" count="1" selected="0">
            <x v="16"/>
          </reference>
        </references>
      </pivotArea>
    </format>
    <format dxfId="1657">
      <pivotArea dataOnly="0" labelOnly="1" fieldPosition="0">
        <references count="4">
          <reference field="4" count="1" selected="0">
            <x v="5"/>
          </reference>
          <reference field="5" count="1" selected="0">
            <x v="22"/>
          </reference>
          <reference field="6" count="8">
            <x v="32"/>
            <x v="54"/>
            <x v="55"/>
            <x v="59"/>
            <x v="61"/>
            <x v="121"/>
            <x v="126"/>
            <x v="129"/>
          </reference>
          <reference field="8" count="1" selected="0">
            <x v="16"/>
          </reference>
        </references>
      </pivotArea>
    </format>
    <format dxfId="1658">
      <pivotArea dataOnly="0" labelOnly="1" fieldPosition="0">
        <references count="4">
          <reference field="4" count="1" selected="0">
            <x v="6"/>
          </reference>
          <reference field="5" count="1" selected="0">
            <x v="3"/>
          </reference>
          <reference field="6" count="1">
            <x v="53"/>
          </reference>
          <reference field="8" count="1" selected="0">
            <x v="2"/>
          </reference>
        </references>
      </pivotArea>
    </format>
    <format dxfId="1659">
      <pivotArea dataOnly="0" labelOnly="1" fieldPosition="0">
        <references count="4">
          <reference field="4" count="1" selected="0">
            <x v="6"/>
          </reference>
          <reference field="5" count="1" selected="0">
            <x v="12"/>
          </reference>
          <reference field="6" count="2">
            <x v="10"/>
            <x v="81"/>
          </reference>
          <reference field="8" count="1" selected="0">
            <x v="2"/>
          </reference>
        </references>
      </pivotArea>
    </format>
    <format dxfId="1660">
      <pivotArea dataOnly="0" labelOnly="1" fieldPosition="0">
        <references count="4">
          <reference field="4" count="1" selected="0">
            <x v="6"/>
          </reference>
          <reference field="5" count="1" selected="0">
            <x v="15"/>
          </reference>
          <reference field="6" count="4">
            <x v="66"/>
            <x v="104"/>
            <x v="106"/>
            <x v="109"/>
          </reference>
          <reference field="8" count="1" selected="0">
            <x v="2"/>
          </reference>
        </references>
      </pivotArea>
    </format>
    <format dxfId="1661">
      <pivotArea dataOnly="0" labelOnly="1" fieldPosition="0">
        <references count="4">
          <reference field="4" count="1" selected="0">
            <x v="6"/>
          </reference>
          <reference field="5" count="1" selected="0">
            <x v="16"/>
          </reference>
          <reference field="6" count="1">
            <x v="26"/>
          </reference>
          <reference field="8" count="1" selected="0">
            <x v="2"/>
          </reference>
        </references>
      </pivotArea>
    </format>
    <format dxfId="1662">
      <pivotArea dataOnly="0" labelOnly="1" fieldPosition="0">
        <references count="4">
          <reference field="4" count="1" selected="0">
            <x v="6"/>
          </reference>
          <reference field="5" count="1" selected="0">
            <x v="3"/>
          </reference>
          <reference field="6" count="2">
            <x v="27"/>
            <x v="79"/>
          </reference>
          <reference field="8" count="1" selected="0">
            <x v="16"/>
          </reference>
        </references>
      </pivotArea>
    </format>
    <format dxfId="1663">
      <pivotArea dataOnly="0" labelOnly="1" fieldPosition="0">
        <references count="4">
          <reference field="4" count="1" selected="0">
            <x v="6"/>
          </reference>
          <reference field="5" count="1" selected="0">
            <x v="9"/>
          </reference>
          <reference field="6" count="2">
            <x v="62"/>
            <x v="85"/>
          </reference>
          <reference field="8" count="1" selected="0">
            <x v="16"/>
          </reference>
        </references>
      </pivotArea>
    </format>
    <format dxfId="1664">
      <pivotArea dataOnly="0" labelOnly="1" fieldPosition="0">
        <references count="4">
          <reference field="4" count="1" selected="0">
            <x v="6"/>
          </reference>
          <reference field="5" count="1" selected="0">
            <x v="12"/>
          </reference>
          <reference field="6" count="2">
            <x v="112"/>
            <x v="121"/>
          </reference>
          <reference field="8" count="1" selected="0">
            <x v="16"/>
          </reference>
        </references>
      </pivotArea>
    </format>
    <format dxfId="1665">
      <pivotArea dataOnly="0" labelOnly="1" fieldPosition="0">
        <references count="4">
          <reference field="4" count="1" selected="0">
            <x v="6"/>
          </reference>
          <reference field="5" count="1" selected="0">
            <x v="15"/>
          </reference>
          <reference field="6" count="3">
            <x v="7"/>
            <x v="45"/>
            <x v="66"/>
          </reference>
          <reference field="8" count="1" selected="0">
            <x v="16"/>
          </reference>
        </references>
      </pivotArea>
    </format>
    <format dxfId="1666">
      <pivotArea dataOnly="0" labelOnly="1" fieldPosition="0">
        <references count="4">
          <reference field="4" count="1" selected="0">
            <x v="6"/>
          </reference>
          <reference field="5" count="1" selected="0">
            <x v="20"/>
          </reference>
          <reference field="6" count="1">
            <x v="116"/>
          </reference>
          <reference field="8" count="1" selected="0">
            <x v="16"/>
          </reference>
        </references>
      </pivotArea>
    </format>
    <format dxfId="1667">
      <pivotArea dataOnly="0" labelOnly="1" fieldPosition="0">
        <references count="4">
          <reference field="4" count="1" selected="0">
            <x v="6"/>
          </reference>
          <reference field="5" count="1" selected="0">
            <x v="24"/>
          </reference>
          <reference field="6" count="1">
            <x v="150"/>
          </reference>
          <reference field="8" count="1" selected="0">
            <x v="16"/>
          </reference>
        </references>
      </pivotArea>
    </format>
    <format dxfId="1668">
      <pivotArea dataOnly="0" labelOnly="1" fieldPosition="0">
        <references count="5">
          <reference field="2" count="1">
            <x v="5"/>
          </reference>
          <reference field="4" count="1" selected="0">
            <x v="0"/>
          </reference>
          <reference field="5" count="1" selected="0">
            <x v="3"/>
          </reference>
          <reference field="6" count="1" selected="0">
            <x v="53"/>
          </reference>
          <reference field="8" count="1" selected="0">
            <x v="2"/>
          </reference>
        </references>
      </pivotArea>
    </format>
    <format dxfId="1669">
      <pivotArea dataOnly="0" labelOnly="1" fieldPosition="0">
        <references count="5">
          <reference field="2" count="1">
            <x v="2"/>
          </reference>
          <reference field="4" count="1" selected="0">
            <x v="0"/>
          </reference>
          <reference field="5" count="1" selected="0">
            <x v="12"/>
          </reference>
          <reference field="6" count="1" selected="0">
            <x v="10"/>
          </reference>
          <reference field="8" count="1" selected="0">
            <x v="2"/>
          </reference>
        </references>
      </pivotArea>
    </format>
    <format dxfId="1670">
      <pivotArea dataOnly="0" labelOnly="1" fieldPosition="0">
        <references count="5">
          <reference field="2" count="1">
            <x v="19"/>
          </reference>
          <reference field="4" count="1" selected="0">
            <x v="0"/>
          </reference>
          <reference field="5" count="1" selected="0">
            <x v="12"/>
          </reference>
          <reference field="6" count="1" selected="0">
            <x v="81"/>
          </reference>
          <reference field="8" count="1" selected="0">
            <x v="2"/>
          </reference>
        </references>
      </pivotArea>
    </format>
    <format dxfId="1671">
      <pivotArea dataOnly="0" labelOnly="1" fieldPosition="0">
        <references count="5">
          <reference field="2" count="1">
            <x v="14"/>
          </reference>
          <reference field="4" count="1" selected="0">
            <x v="0"/>
          </reference>
          <reference field="5" count="1" selected="0">
            <x v="15"/>
          </reference>
          <reference field="6" count="1" selected="0">
            <x v="66"/>
          </reference>
          <reference field="8" count="1" selected="0">
            <x v="2"/>
          </reference>
        </references>
      </pivotArea>
    </format>
    <format dxfId="1672">
      <pivotArea dataOnly="0" labelOnly="1" fieldPosition="0">
        <references count="5">
          <reference field="2" count="1">
            <x v="18"/>
          </reference>
          <reference field="4" count="1" selected="0">
            <x v="0"/>
          </reference>
          <reference field="5" count="1" selected="0">
            <x v="15"/>
          </reference>
          <reference field="6" count="1" selected="0">
            <x v="104"/>
          </reference>
          <reference field="8" count="1" selected="0">
            <x v="2"/>
          </reference>
        </references>
      </pivotArea>
    </format>
    <format dxfId="1673">
      <pivotArea dataOnly="0" labelOnly="1" fieldPosition="0">
        <references count="5">
          <reference field="2" count="1">
            <x v="21"/>
          </reference>
          <reference field="4" count="1" selected="0">
            <x v="0"/>
          </reference>
          <reference field="5" count="1" selected="0">
            <x v="15"/>
          </reference>
          <reference field="6" count="1" selected="0">
            <x v="106"/>
          </reference>
          <reference field="8" count="1" selected="0">
            <x v="2"/>
          </reference>
        </references>
      </pivotArea>
    </format>
    <format dxfId="1674">
      <pivotArea dataOnly="0" labelOnly="1" fieldPosition="0">
        <references count="5">
          <reference field="2" count="1">
            <x v="21"/>
          </reference>
          <reference field="4" count="1" selected="0">
            <x v="0"/>
          </reference>
          <reference field="5" count="1" selected="0">
            <x v="15"/>
          </reference>
          <reference field="6" count="1" selected="0">
            <x v="109"/>
          </reference>
          <reference field="8" count="1" selected="0">
            <x v="2"/>
          </reference>
        </references>
      </pivotArea>
    </format>
    <format dxfId="1675">
      <pivotArea dataOnly="0" labelOnly="1" fieldPosition="0">
        <references count="5">
          <reference field="2" count="1">
            <x v="7"/>
          </reference>
          <reference field="4" count="1" selected="0">
            <x v="0"/>
          </reference>
          <reference field="5" count="1" selected="0">
            <x v="16"/>
          </reference>
          <reference field="6" count="1" selected="0">
            <x v="26"/>
          </reference>
          <reference field="8" count="1" selected="0">
            <x v="2"/>
          </reference>
        </references>
      </pivotArea>
    </format>
    <format dxfId="1676">
      <pivotArea dataOnly="0" labelOnly="1" fieldPosition="0">
        <references count="5">
          <reference field="2" count="1">
            <x v="5"/>
          </reference>
          <reference field="4" count="1" selected="0">
            <x v="0"/>
          </reference>
          <reference field="5" count="1" selected="0">
            <x v="3"/>
          </reference>
          <reference field="6" count="1" selected="0">
            <x v="27"/>
          </reference>
          <reference field="8" count="1" selected="0">
            <x v="16"/>
          </reference>
        </references>
      </pivotArea>
    </format>
    <format dxfId="1677">
      <pivotArea dataOnly="0" labelOnly="1" fieldPosition="0">
        <references count="5">
          <reference field="2" count="1">
            <x v="11"/>
          </reference>
          <reference field="4" count="1" selected="0">
            <x v="0"/>
          </reference>
          <reference field="5" count="1" selected="0">
            <x v="3"/>
          </reference>
          <reference field="6" count="1" selected="0">
            <x v="79"/>
          </reference>
          <reference field="8" count="1" selected="0">
            <x v="16"/>
          </reference>
        </references>
      </pivotArea>
    </format>
    <format dxfId="1678">
      <pivotArea dataOnly="0" labelOnly="1" fieldPosition="0">
        <references count="5">
          <reference field="2" count="1">
            <x v="12"/>
          </reference>
          <reference field="4" count="1" selected="0">
            <x v="0"/>
          </reference>
          <reference field="5" count="1" selected="0">
            <x v="9"/>
          </reference>
          <reference field="6" count="1" selected="0">
            <x v="62"/>
          </reference>
          <reference field="8" count="1" selected="0">
            <x v="16"/>
          </reference>
        </references>
      </pivotArea>
    </format>
    <format dxfId="1679">
      <pivotArea dataOnly="0" labelOnly="1" fieldPosition="0">
        <references count="5">
          <reference field="2" count="1">
            <x v="12"/>
          </reference>
          <reference field="4" count="1" selected="0">
            <x v="0"/>
          </reference>
          <reference field="5" count="1" selected="0">
            <x v="9"/>
          </reference>
          <reference field="6" count="1" selected="0">
            <x v="74"/>
          </reference>
          <reference field="8" count="1" selected="0">
            <x v="16"/>
          </reference>
        </references>
      </pivotArea>
    </format>
    <format dxfId="1680">
      <pivotArea dataOnly="0" labelOnly="1" fieldPosition="0">
        <references count="5">
          <reference field="2" count="1">
            <x v="12"/>
          </reference>
          <reference field="4" count="1" selected="0">
            <x v="0"/>
          </reference>
          <reference field="5" count="1" selected="0">
            <x v="9"/>
          </reference>
          <reference field="6" count="1" selected="0">
            <x v="85"/>
          </reference>
          <reference field="8" count="1" selected="0">
            <x v="16"/>
          </reference>
        </references>
      </pivotArea>
    </format>
    <format dxfId="1681">
      <pivotArea dataOnly="0" labelOnly="1" fieldPosition="0">
        <references count="5">
          <reference field="2" count="1">
            <x v="19"/>
          </reference>
          <reference field="4" count="1" selected="0">
            <x v="0"/>
          </reference>
          <reference field="5" count="1" selected="0">
            <x v="12"/>
          </reference>
          <reference field="6" count="1" selected="0">
            <x v="112"/>
          </reference>
          <reference field="8" count="1" selected="0">
            <x v="16"/>
          </reference>
        </references>
      </pivotArea>
    </format>
    <format dxfId="1682">
      <pivotArea dataOnly="0" labelOnly="1" fieldPosition="0">
        <references count="5">
          <reference field="2" count="1">
            <x v="20"/>
          </reference>
          <reference field="4" count="1" selected="0">
            <x v="0"/>
          </reference>
          <reference field="5" count="1" selected="0">
            <x v="12"/>
          </reference>
          <reference field="6" count="1" selected="0">
            <x v="121"/>
          </reference>
          <reference field="8" count="1" selected="0">
            <x v="16"/>
          </reference>
        </references>
      </pivotArea>
    </format>
    <format dxfId="1683">
      <pivotArea dataOnly="0" labelOnly="1" fieldPosition="0">
        <references count="5">
          <reference field="2" count="1">
            <x v="2"/>
          </reference>
          <reference field="4" count="1" selected="0">
            <x v="0"/>
          </reference>
          <reference field="5" count="1" selected="0">
            <x v="15"/>
          </reference>
          <reference field="6" count="1" selected="0">
            <x v="7"/>
          </reference>
          <reference field="8" count="1" selected="0">
            <x v="16"/>
          </reference>
        </references>
      </pivotArea>
    </format>
    <format dxfId="1684">
      <pivotArea dataOnly="0" labelOnly="1" fieldPosition="0">
        <references count="5">
          <reference field="2" count="1">
            <x v="12"/>
          </reference>
          <reference field="4" count="1" selected="0">
            <x v="0"/>
          </reference>
          <reference field="5" count="1" selected="0">
            <x v="15"/>
          </reference>
          <reference field="6" count="1" selected="0">
            <x v="45"/>
          </reference>
          <reference field="8" count="1" selected="0">
            <x v="16"/>
          </reference>
        </references>
      </pivotArea>
    </format>
    <format dxfId="1685">
      <pivotArea dataOnly="0" labelOnly="1" fieldPosition="0">
        <references count="5">
          <reference field="2" count="1">
            <x v="14"/>
          </reference>
          <reference field="4" count="1" selected="0">
            <x v="0"/>
          </reference>
          <reference field="5" count="1" selected="0">
            <x v="15"/>
          </reference>
          <reference field="6" count="1" selected="0">
            <x v="66"/>
          </reference>
          <reference field="8" count="1" selected="0">
            <x v="16"/>
          </reference>
        </references>
      </pivotArea>
    </format>
    <format dxfId="1686">
      <pivotArea dataOnly="0" labelOnly="1" fieldPosition="0">
        <references count="5">
          <reference field="2" count="1">
            <x v="9"/>
          </reference>
          <reference field="4" count="1" selected="0">
            <x v="0"/>
          </reference>
          <reference field="5" count="1" selected="0">
            <x v="20"/>
          </reference>
          <reference field="6" count="1" selected="0">
            <x v="116"/>
          </reference>
          <reference field="8" count="1" selected="0">
            <x v="16"/>
          </reference>
        </references>
      </pivotArea>
    </format>
    <format dxfId="1687">
      <pivotArea dataOnly="0" labelOnly="1" fieldPosition="0">
        <references count="5">
          <reference field="2" count="1">
            <x v="26"/>
          </reference>
          <reference field="4" count="1" selected="0">
            <x v="0"/>
          </reference>
          <reference field="5" count="1" selected="0">
            <x v="24"/>
          </reference>
          <reference field="6" count="1" selected="0">
            <x v="150"/>
          </reference>
          <reference field="8" count="1" selected="0">
            <x v="16"/>
          </reference>
        </references>
      </pivotArea>
    </format>
    <format dxfId="1688">
      <pivotArea dataOnly="0" labelOnly="1" fieldPosition="0">
        <references count="5">
          <reference field="2" count="1">
            <x v="5"/>
          </reference>
          <reference field="4" count="1" selected="0">
            <x v="1"/>
          </reference>
          <reference field="5" count="1" selected="0">
            <x v="3"/>
          </reference>
          <reference field="6" count="1" selected="0">
            <x v="53"/>
          </reference>
          <reference field="8" count="1" selected="0">
            <x v="2"/>
          </reference>
        </references>
      </pivotArea>
    </format>
    <format dxfId="1689">
      <pivotArea dataOnly="0" labelOnly="1" fieldPosition="0">
        <references count="5">
          <reference field="2" count="1">
            <x v="2"/>
          </reference>
          <reference field="4" count="1" selected="0">
            <x v="1"/>
          </reference>
          <reference field="5" count="1" selected="0">
            <x v="12"/>
          </reference>
          <reference field="6" count="1" selected="0">
            <x v="10"/>
          </reference>
          <reference field="8" count="1" selected="0">
            <x v="2"/>
          </reference>
        </references>
      </pivotArea>
    </format>
    <format dxfId="1690">
      <pivotArea dataOnly="0" labelOnly="1" fieldPosition="0">
        <references count="5">
          <reference field="2" count="1">
            <x v="19"/>
          </reference>
          <reference field="4" count="1" selected="0">
            <x v="1"/>
          </reference>
          <reference field="5" count="1" selected="0">
            <x v="12"/>
          </reference>
          <reference field="6" count="1" selected="0">
            <x v="81"/>
          </reference>
          <reference field="8" count="1" selected="0">
            <x v="2"/>
          </reference>
        </references>
      </pivotArea>
    </format>
    <format dxfId="1691">
      <pivotArea dataOnly="0" labelOnly="1" fieldPosition="0">
        <references count="5">
          <reference field="2" count="1">
            <x v="14"/>
          </reference>
          <reference field="4" count="1" selected="0">
            <x v="1"/>
          </reference>
          <reference field="5" count="1" selected="0">
            <x v="15"/>
          </reference>
          <reference field="6" count="1" selected="0">
            <x v="66"/>
          </reference>
          <reference field="8" count="1" selected="0">
            <x v="2"/>
          </reference>
        </references>
      </pivotArea>
    </format>
    <format dxfId="1692">
      <pivotArea dataOnly="0" labelOnly="1" fieldPosition="0">
        <references count="5">
          <reference field="2" count="1">
            <x v="18"/>
          </reference>
          <reference field="4" count="1" selected="0">
            <x v="1"/>
          </reference>
          <reference field="5" count="1" selected="0">
            <x v="15"/>
          </reference>
          <reference field="6" count="1" selected="0">
            <x v="104"/>
          </reference>
          <reference field="8" count="1" selected="0">
            <x v="2"/>
          </reference>
        </references>
      </pivotArea>
    </format>
    <format dxfId="1693">
      <pivotArea dataOnly="0" labelOnly="1" fieldPosition="0">
        <references count="5">
          <reference field="2" count="1">
            <x v="21"/>
          </reference>
          <reference field="4" count="1" selected="0">
            <x v="1"/>
          </reference>
          <reference field="5" count="1" selected="0">
            <x v="15"/>
          </reference>
          <reference field="6" count="1" selected="0">
            <x v="106"/>
          </reference>
          <reference field="8" count="1" selected="0">
            <x v="2"/>
          </reference>
        </references>
      </pivotArea>
    </format>
    <format dxfId="1694">
      <pivotArea dataOnly="0" labelOnly="1" fieldPosition="0">
        <references count="5">
          <reference field="2" count="1">
            <x v="21"/>
          </reference>
          <reference field="4" count="1" selected="0">
            <x v="1"/>
          </reference>
          <reference field="5" count="1" selected="0">
            <x v="15"/>
          </reference>
          <reference field="6" count="1" selected="0">
            <x v="109"/>
          </reference>
          <reference field="8" count="1" selected="0">
            <x v="2"/>
          </reference>
        </references>
      </pivotArea>
    </format>
    <format dxfId="1695">
      <pivotArea dataOnly="0" labelOnly="1" fieldPosition="0">
        <references count="5">
          <reference field="2" count="1">
            <x v="7"/>
          </reference>
          <reference field="4" count="1" selected="0">
            <x v="1"/>
          </reference>
          <reference field="5" count="1" selected="0">
            <x v="16"/>
          </reference>
          <reference field="6" count="1" selected="0">
            <x v="26"/>
          </reference>
          <reference field="8" count="1" selected="0">
            <x v="2"/>
          </reference>
        </references>
      </pivotArea>
    </format>
    <format dxfId="1696">
      <pivotArea dataOnly="0" labelOnly="1" fieldPosition="0">
        <references count="5">
          <reference field="2" count="1">
            <x v="5"/>
          </reference>
          <reference field="4" count="1" selected="0">
            <x v="1"/>
          </reference>
          <reference field="5" count="1" selected="0">
            <x v="3"/>
          </reference>
          <reference field="6" count="1" selected="0">
            <x v="27"/>
          </reference>
          <reference field="8" count="1" selected="0">
            <x v="16"/>
          </reference>
        </references>
      </pivotArea>
    </format>
    <format dxfId="1697">
      <pivotArea dataOnly="0" labelOnly="1" fieldPosition="0">
        <references count="5">
          <reference field="2" count="1">
            <x v="11"/>
          </reference>
          <reference field="4" count="1" selected="0">
            <x v="1"/>
          </reference>
          <reference field="5" count="1" selected="0">
            <x v="3"/>
          </reference>
          <reference field="6" count="1" selected="0">
            <x v="79"/>
          </reference>
          <reference field="8" count="1" selected="0">
            <x v="16"/>
          </reference>
        </references>
      </pivotArea>
    </format>
    <format dxfId="1698">
      <pivotArea dataOnly="0" labelOnly="1" fieldPosition="0">
        <references count="5">
          <reference field="2" count="1">
            <x v="12"/>
          </reference>
          <reference field="4" count="1" selected="0">
            <x v="1"/>
          </reference>
          <reference field="5" count="1" selected="0">
            <x v="9"/>
          </reference>
          <reference field="6" count="1" selected="0">
            <x v="62"/>
          </reference>
          <reference field="8" count="1" selected="0">
            <x v="16"/>
          </reference>
        </references>
      </pivotArea>
    </format>
    <format dxfId="1699">
      <pivotArea dataOnly="0" labelOnly="1" fieldPosition="0">
        <references count="5">
          <reference field="2" count="1">
            <x v="12"/>
          </reference>
          <reference field="4" count="1" selected="0">
            <x v="1"/>
          </reference>
          <reference field="5" count="1" selected="0">
            <x v="9"/>
          </reference>
          <reference field="6" count="1" selected="0">
            <x v="74"/>
          </reference>
          <reference field="8" count="1" selected="0">
            <x v="16"/>
          </reference>
        </references>
      </pivotArea>
    </format>
    <format dxfId="1700">
      <pivotArea dataOnly="0" labelOnly="1" fieldPosition="0">
        <references count="5">
          <reference field="2" count="1">
            <x v="12"/>
          </reference>
          <reference field="4" count="1" selected="0">
            <x v="1"/>
          </reference>
          <reference field="5" count="1" selected="0">
            <x v="9"/>
          </reference>
          <reference field="6" count="1" selected="0">
            <x v="85"/>
          </reference>
          <reference field="8" count="1" selected="0">
            <x v="16"/>
          </reference>
        </references>
      </pivotArea>
    </format>
    <format dxfId="1701">
      <pivotArea dataOnly="0" labelOnly="1" fieldPosition="0">
        <references count="5">
          <reference field="2" count="1">
            <x v="19"/>
          </reference>
          <reference field="4" count="1" selected="0">
            <x v="1"/>
          </reference>
          <reference field="5" count="1" selected="0">
            <x v="12"/>
          </reference>
          <reference field="6" count="1" selected="0">
            <x v="112"/>
          </reference>
          <reference field="8" count="1" selected="0">
            <x v="16"/>
          </reference>
        </references>
      </pivotArea>
    </format>
    <format dxfId="1702">
      <pivotArea dataOnly="0" labelOnly="1" fieldPosition="0">
        <references count="5">
          <reference field="2" count="1">
            <x v="20"/>
          </reference>
          <reference field="4" count="1" selected="0">
            <x v="1"/>
          </reference>
          <reference field="5" count="1" selected="0">
            <x v="12"/>
          </reference>
          <reference field="6" count="1" selected="0">
            <x v="121"/>
          </reference>
          <reference field="8" count="1" selected="0">
            <x v="16"/>
          </reference>
        </references>
      </pivotArea>
    </format>
    <format dxfId="1703">
      <pivotArea dataOnly="0" labelOnly="1" fieldPosition="0">
        <references count="5">
          <reference field="2" count="1">
            <x v="2"/>
          </reference>
          <reference field="4" count="1" selected="0">
            <x v="1"/>
          </reference>
          <reference field="5" count="1" selected="0">
            <x v="15"/>
          </reference>
          <reference field="6" count="1" selected="0">
            <x v="7"/>
          </reference>
          <reference field="8" count="1" selected="0">
            <x v="16"/>
          </reference>
        </references>
      </pivotArea>
    </format>
    <format dxfId="1704">
      <pivotArea dataOnly="0" labelOnly="1" fieldPosition="0">
        <references count="5">
          <reference field="2" count="1">
            <x v="4"/>
          </reference>
          <reference field="4" count="1" selected="0">
            <x v="1"/>
          </reference>
          <reference field="5" count="1" selected="0">
            <x v="15"/>
          </reference>
          <reference field="6" count="1" selected="0">
            <x v="12"/>
          </reference>
          <reference field="8" count="1" selected="0">
            <x v="16"/>
          </reference>
        </references>
      </pivotArea>
    </format>
    <format dxfId="1705">
      <pivotArea dataOnly="0" labelOnly="1" fieldPosition="0">
        <references count="5">
          <reference field="2" count="1">
            <x v="12"/>
          </reference>
          <reference field="4" count="1" selected="0">
            <x v="1"/>
          </reference>
          <reference field="5" count="1" selected="0">
            <x v="15"/>
          </reference>
          <reference field="6" count="1" selected="0">
            <x v="28"/>
          </reference>
          <reference field="8" count="1" selected="0">
            <x v="16"/>
          </reference>
        </references>
      </pivotArea>
    </format>
    <format dxfId="1706">
      <pivotArea dataOnly="0" labelOnly="1" fieldPosition="0">
        <references count="5">
          <reference field="2" count="1">
            <x v="12"/>
          </reference>
          <reference field="4" count="1" selected="0">
            <x v="1"/>
          </reference>
          <reference field="5" count="1" selected="0">
            <x v="15"/>
          </reference>
          <reference field="6" count="1" selected="0">
            <x v="43"/>
          </reference>
          <reference field="8" count="1" selected="0">
            <x v="16"/>
          </reference>
        </references>
      </pivotArea>
    </format>
    <format dxfId="1707">
      <pivotArea dataOnly="0" labelOnly="1" fieldPosition="0">
        <references count="5">
          <reference field="2" count="1">
            <x v="14"/>
          </reference>
          <reference field="4" count="1" selected="0">
            <x v="1"/>
          </reference>
          <reference field="5" count="1" selected="0">
            <x v="15"/>
          </reference>
          <reference field="6" count="1" selected="0">
            <x v="66"/>
          </reference>
          <reference field="8" count="1" selected="0">
            <x v="16"/>
          </reference>
        </references>
      </pivotArea>
    </format>
    <format dxfId="1708">
      <pivotArea dataOnly="0" labelOnly="1" fieldPosition="0">
        <references count="5">
          <reference field="2" count="1">
            <x v="9"/>
          </reference>
          <reference field="4" count="1" selected="0">
            <x v="1"/>
          </reference>
          <reference field="5" count="1" selected="0">
            <x v="20"/>
          </reference>
          <reference field="6" count="1" selected="0">
            <x v="116"/>
          </reference>
          <reference field="8" count="1" selected="0">
            <x v="16"/>
          </reference>
        </references>
      </pivotArea>
    </format>
    <format dxfId="1709">
      <pivotArea dataOnly="0" labelOnly="1" fieldPosition="0">
        <references count="5">
          <reference field="2" count="1">
            <x v="26"/>
          </reference>
          <reference field="4" count="1" selected="0">
            <x v="1"/>
          </reference>
          <reference field="5" count="1" selected="0">
            <x v="24"/>
          </reference>
          <reference field="6" count="1" selected="0">
            <x v="150"/>
          </reference>
          <reference field="8" count="1" selected="0">
            <x v="16"/>
          </reference>
        </references>
      </pivotArea>
    </format>
    <format dxfId="1710">
      <pivotArea dataOnly="0" labelOnly="1" fieldPosition="0">
        <references count="5">
          <reference field="2" count="1">
            <x v="5"/>
          </reference>
          <reference field="4" count="1" selected="0">
            <x v="2"/>
          </reference>
          <reference field="5" count="1" selected="0">
            <x v="3"/>
          </reference>
          <reference field="6" count="1" selected="0">
            <x v="53"/>
          </reference>
          <reference field="8" count="1" selected="0">
            <x v="2"/>
          </reference>
        </references>
      </pivotArea>
    </format>
    <format dxfId="1711">
      <pivotArea dataOnly="0" labelOnly="1" fieldPosition="0">
        <references count="5">
          <reference field="2" count="1">
            <x v="2"/>
          </reference>
          <reference field="4" count="1" selected="0">
            <x v="2"/>
          </reference>
          <reference field="5" count="1" selected="0">
            <x v="12"/>
          </reference>
          <reference field="6" count="1" selected="0">
            <x v="10"/>
          </reference>
          <reference field="8" count="1" selected="0">
            <x v="2"/>
          </reference>
        </references>
      </pivotArea>
    </format>
    <format dxfId="1712">
      <pivotArea dataOnly="0" labelOnly="1" fieldPosition="0">
        <references count="5">
          <reference field="2" count="1">
            <x v="19"/>
          </reference>
          <reference field="4" count="1" selected="0">
            <x v="2"/>
          </reference>
          <reference field="5" count="1" selected="0">
            <x v="12"/>
          </reference>
          <reference field="6" count="1" selected="0">
            <x v="81"/>
          </reference>
          <reference field="8" count="1" selected="0">
            <x v="2"/>
          </reference>
        </references>
      </pivotArea>
    </format>
    <format dxfId="1713">
      <pivotArea dataOnly="0" labelOnly="1" fieldPosition="0">
        <references count="5">
          <reference field="2" count="1">
            <x v="14"/>
          </reference>
          <reference field="4" count="1" selected="0">
            <x v="2"/>
          </reference>
          <reference field="5" count="1" selected="0">
            <x v="15"/>
          </reference>
          <reference field="6" count="1" selected="0">
            <x v="66"/>
          </reference>
          <reference field="8" count="1" selected="0">
            <x v="2"/>
          </reference>
        </references>
      </pivotArea>
    </format>
    <format dxfId="1714">
      <pivotArea dataOnly="0" labelOnly="1" fieldPosition="0">
        <references count="5">
          <reference field="2" count="1">
            <x v="18"/>
          </reference>
          <reference field="4" count="1" selected="0">
            <x v="2"/>
          </reference>
          <reference field="5" count="1" selected="0">
            <x v="15"/>
          </reference>
          <reference field="6" count="1" selected="0">
            <x v="104"/>
          </reference>
          <reference field="8" count="1" selected="0">
            <x v="2"/>
          </reference>
        </references>
      </pivotArea>
    </format>
    <format dxfId="1715">
      <pivotArea dataOnly="0" labelOnly="1" fieldPosition="0">
        <references count="5">
          <reference field="2" count="1">
            <x v="21"/>
          </reference>
          <reference field="4" count="1" selected="0">
            <x v="2"/>
          </reference>
          <reference field="5" count="1" selected="0">
            <x v="15"/>
          </reference>
          <reference field="6" count="1" selected="0">
            <x v="106"/>
          </reference>
          <reference field="8" count="1" selected="0">
            <x v="2"/>
          </reference>
        </references>
      </pivotArea>
    </format>
    <format dxfId="1716">
      <pivotArea dataOnly="0" labelOnly="1" fieldPosition="0">
        <references count="5">
          <reference field="2" count="1">
            <x v="21"/>
          </reference>
          <reference field="4" count="1" selected="0">
            <x v="2"/>
          </reference>
          <reference field="5" count="1" selected="0">
            <x v="15"/>
          </reference>
          <reference field="6" count="1" selected="0">
            <x v="109"/>
          </reference>
          <reference field="8" count="1" selected="0">
            <x v="2"/>
          </reference>
        </references>
      </pivotArea>
    </format>
    <format dxfId="1717">
      <pivotArea dataOnly="0" labelOnly="1" fieldPosition="0">
        <references count="5">
          <reference field="2" count="1">
            <x v="7"/>
          </reference>
          <reference field="4" count="1" selected="0">
            <x v="2"/>
          </reference>
          <reference field="5" count="1" selected="0">
            <x v="16"/>
          </reference>
          <reference field="6" count="1" selected="0">
            <x v="26"/>
          </reference>
          <reference field="8" count="1" selected="0">
            <x v="2"/>
          </reference>
        </references>
      </pivotArea>
    </format>
    <format dxfId="1718">
      <pivotArea dataOnly="0" labelOnly="1" fieldPosition="0">
        <references count="5">
          <reference field="2" count="1">
            <x v="5"/>
          </reference>
          <reference field="4" count="1" selected="0">
            <x v="2"/>
          </reference>
          <reference field="5" count="1" selected="0">
            <x v="3"/>
          </reference>
          <reference field="6" count="1" selected="0">
            <x v="27"/>
          </reference>
          <reference field="8" count="1" selected="0">
            <x v="16"/>
          </reference>
        </references>
      </pivotArea>
    </format>
    <format dxfId="1719">
      <pivotArea dataOnly="0" labelOnly="1" fieldPosition="0">
        <references count="5">
          <reference field="2" count="1">
            <x v="11"/>
          </reference>
          <reference field="4" count="1" selected="0">
            <x v="2"/>
          </reference>
          <reference field="5" count="1" selected="0">
            <x v="3"/>
          </reference>
          <reference field="6" count="1" selected="0">
            <x v="79"/>
          </reference>
          <reference field="8" count="1" selected="0">
            <x v="16"/>
          </reference>
        </references>
      </pivotArea>
    </format>
    <format dxfId="1720">
      <pivotArea dataOnly="0" labelOnly="1" fieldPosition="0">
        <references count="5">
          <reference field="2" count="1">
            <x v="12"/>
          </reference>
          <reference field="4" count="1" selected="0">
            <x v="2"/>
          </reference>
          <reference field="5" count="1" selected="0">
            <x v="9"/>
          </reference>
          <reference field="6" count="1" selected="0">
            <x v="62"/>
          </reference>
          <reference field="8" count="1" selected="0">
            <x v="16"/>
          </reference>
        </references>
      </pivotArea>
    </format>
    <format dxfId="1721">
      <pivotArea dataOnly="0" labelOnly="1" fieldPosition="0">
        <references count="5">
          <reference field="2" count="1">
            <x v="12"/>
          </reference>
          <reference field="4" count="1" selected="0">
            <x v="2"/>
          </reference>
          <reference field="5" count="1" selected="0">
            <x v="9"/>
          </reference>
          <reference field="6" count="1" selected="0">
            <x v="74"/>
          </reference>
          <reference field="8" count="1" selected="0">
            <x v="16"/>
          </reference>
        </references>
      </pivotArea>
    </format>
    <format dxfId="1722">
      <pivotArea dataOnly="0" labelOnly="1" fieldPosition="0">
        <references count="5">
          <reference field="2" count="1">
            <x v="12"/>
          </reference>
          <reference field="4" count="1" selected="0">
            <x v="2"/>
          </reference>
          <reference field="5" count="1" selected="0">
            <x v="9"/>
          </reference>
          <reference field="6" count="1" selected="0">
            <x v="85"/>
          </reference>
          <reference field="8" count="1" selected="0">
            <x v="16"/>
          </reference>
        </references>
      </pivotArea>
    </format>
    <format dxfId="1723">
      <pivotArea dataOnly="0" labelOnly="1" fieldPosition="0">
        <references count="5">
          <reference field="2" count="1">
            <x v="19"/>
          </reference>
          <reference field="4" count="1" selected="0">
            <x v="2"/>
          </reference>
          <reference field="5" count="1" selected="0">
            <x v="12"/>
          </reference>
          <reference field="6" count="1" selected="0">
            <x v="112"/>
          </reference>
          <reference field="8" count="1" selected="0">
            <x v="16"/>
          </reference>
        </references>
      </pivotArea>
    </format>
    <format dxfId="1724">
      <pivotArea dataOnly="0" labelOnly="1" fieldPosition="0">
        <references count="5">
          <reference field="2" count="1">
            <x v="20"/>
          </reference>
          <reference field="4" count="1" selected="0">
            <x v="2"/>
          </reference>
          <reference field="5" count="1" selected="0">
            <x v="12"/>
          </reference>
          <reference field="6" count="1" selected="0">
            <x v="121"/>
          </reference>
          <reference field="8" count="1" selected="0">
            <x v="16"/>
          </reference>
        </references>
      </pivotArea>
    </format>
    <format dxfId="1725">
      <pivotArea dataOnly="0" labelOnly="1" fieldPosition="0">
        <references count="5">
          <reference field="2" count="1">
            <x v="2"/>
          </reference>
          <reference field="4" count="1" selected="0">
            <x v="2"/>
          </reference>
          <reference field="5" count="1" selected="0">
            <x v="15"/>
          </reference>
          <reference field="6" count="1" selected="0">
            <x v="7"/>
          </reference>
          <reference field="8" count="1" selected="0">
            <x v="16"/>
          </reference>
        </references>
      </pivotArea>
    </format>
    <format dxfId="1726">
      <pivotArea dataOnly="0" labelOnly="1" fieldPosition="0">
        <references count="5">
          <reference field="2" count="1">
            <x v="12"/>
          </reference>
          <reference field="4" count="1" selected="0">
            <x v="2"/>
          </reference>
          <reference field="5" count="1" selected="0">
            <x v="15"/>
          </reference>
          <reference field="6" count="1" selected="0">
            <x v="28"/>
          </reference>
          <reference field="8" count="1" selected="0">
            <x v="16"/>
          </reference>
        </references>
      </pivotArea>
    </format>
    <format dxfId="1727">
      <pivotArea dataOnly="0" labelOnly="1" fieldPosition="0">
        <references count="5">
          <reference field="2" count="1">
            <x v="12"/>
          </reference>
          <reference field="4" count="1" selected="0">
            <x v="2"/>
          </reference>
          <reference field="5" count="1" selected="0">
            <x v="15"/>
          </reference>
          <reference field="6" count="1" selected="0">
            <x v="43"/>
          </reference>
          <reference field="8" count="1" selected="0">
            <x v="16"/>
          </reference>
        </references>
      </pivotArea>
    </format>
    <format dxfId="1728">
      <pivotArea dataOnly="0" labelOnly="1" fieldPosition="0">
        <references count="5">
          <reference field="2" count="1">
            <x v="14"/>
          </reference>
          <reference field="4" count="1" selected="0">
            <x v="2"/>
          </reference>
          <reference field="5" count="1" selected="0">
            <x v="15"/>
          </reference>
          <reference field="6" count="1" selected="0">
            <x v="66"/>
          </reference>
          <reference field="8" count="1" selected="0">
            <x v="16"/>
          </reference>
        </references>
      </pivotArea>
    </format>
    <format dxfId="1729">
      <pivotArea dataOnly="0" labelOnly="1" fieldPosition="0">
        <references count="5">
          <reference field="2" count="1">
            <x v="9"/>
          </reference>
          <reference field="4" count="1" selected="0">
            <x v="2"/>
          </reference>
          <reference field="5" count="1" selected="0">
            <x v="20"/>
          </reference>
          <reference field="6" count="1" selected="0">
            <x v="116"/>
          </reference>
          <reference field="8" count="1" selected="0">
            <x v="16"/>
          </reference>
        </references>
      </pivotArea>
    </format>
    <format dxfId="1730">
      <pivotArea dataOnly="0" labelOnly="1" fieldPosition="0">
        <references count="5">
          <reference field="2" count="1">
            <x v="26"/>
          </reference>
          <reference field="4" count="1" selected="0">
            <x v="2"/>
          </reference>
          <reference field="5" count="1" selected="0">
            <x v="24"/>
          </reference>
          <reference field="6" count="1" selected="0">
            <x v="150"/>
          </reference>
          <reference field="8" count="1" selected="0">
            <x v="16"/>
          </reference>
        </references>
      </pivotArea>
    </format>
    <format dxfId="1731">
      <pivotArea dataOnly="0" labelOnly="1" fieldPosition="0">
        <references count="5">
          <reference field="2" count="1">
            <x v="5"/>
          </reference>
          <reference field="4" count="1" selected="0">
            <x v="3"/>
          </reference>
          <reference field="5" count="1" selected="0">
            <x v="3"/>
          </reference>
          <reference field="6" count="1" selected="0">
            <x v="53"/>
          </reference>
          <reference field="8" count="1" selected="0">
            <x v="2"/>
          </reference>
        </references>
      </pivotArea>
    </format>
    <format dxfId="1732">
      <pivotArea dataOnly="0" labelOnly="1" fieldPosition="0">
        <references count="5">
          <reference field="2" count="1">
            <x v="2"/>
          </reference>
          <reference field="4" count="1" selected="0">
            <x v="3"/>
          </reference>
          <reference field="5" count="1" selected="0">
            <x v="12"/>
          </reference>
          <reference field="6" count="1" selected="0">
            <x v="10"/>
          </reference>
          <reference field="8" count="1" selected="0">
            <x v="2"/>
          </reference>
        </references>
      </pivotArea>
    </format>
    <format dxfId="1733">
      <pivotArea dataOnly="0" labelOnly="1" fieldPosition="0">
        <references count="5">
          <reference field="2" count="1">
            <x v="19"/>
          </reference>
          <reference field="4" count="1" selected="0">
            <x v="3"/>
          </reference>
          <reference field="5" count="1" selected="0">
            <x v="12"/>
          </reference>
          <reference field="6" count="1" selected="0">
            <x v="81"/>
          </reference>
          <reference field="8" count="1" selected="0">
            <x v="2"/>
          </reference>
        </references>
      </pivotArea>
    </format>
    <format dxfId="1734">
      <pivotArea dataOnly="0" labelOnly="1" fieldPosition="0">
        <references count="5">
          <reference field="2" count="1">
            <x v="14"/>
          </reference>
          <reference field="4" count="1" selected="0">
            <x v="3"/>
          </reference>
          <reference field="5" count="1" selected="0">
            <x v="15"/>
          </reference>
          <reference field="6" count="1" selected="0">
            <x v="66"/>
          </reference>
          <reference field="8" count="1" selected="0">
            <x v="2"/>
          </reference>
        </references>
      </pivotArea>
    </format>
    <format dxfId="1735">
      <pivotArea dataOnly="0" labelOnly="1" fieldPosition="0">
        <references count="5">
          <reference field="2" count="1">
            <x v="18"/>
          </reference>
          <reference field="4" count="1" selected="0">
            <x v="3"/>
          </reference>
          <reference field="5" count="1" selected="0">
            <x v="15"/>
          </reference>
          <reference field="6" count="1" selected="0">
            <x v="104"/>
          </reference>
          <reference field="8" count="1" selected="0">
            <x v="2"/>
          </reference>
        </references>
      </pivotArea>
    </format>
    <format dxfId="1736">
      <pivotArea dataOnly="0" labelOnly="1" fieldPosition="0">
        <references count="5">
          <reference field="2" count="1">
            <x v="21"/>
          </reference>
          <reference field="4" count="1" selected="0">
            <x v="3"/>
          </reference>
          <reference field="5" count="1" selected="0">
            <x v="15"/>
          </reference>
          <reference field="6" count="1" selected="0">
            <x v="106"/>
          </reference>
          <reference field="8" count="1" selected="0">
            <x v="2"/>
          </reference>
        </references>
      </pivotArea>
    </format>
    <format dxfId="1737">
      <pivotArea dataOnly="0" labelOnly="1" fieldPosition="0">
        <references count="5">
          <reference field="2" count="1">
            <x v="21"/>
          </reference>
          <reference field="4" count="1" selected="0">
            <x v="3"/>
          </reference>
          <reference field="5" count="1" selected="0">
            <x v="15"/>
          </reference>
          <reference field="6" count="1" selected="0">
            <x v="109"/>
          </reference>
          <reference field="8" count="1" selected="0">
            <x v="2"/>
          </reference>
        </references>
      </pivotArea>
    </format>
    <format dxfId="1738">
      <pivotArea dataOnly="0" labelOnly="1" fieldPosition="0">
        <references count="5">
          <reference field="2" count="1">
            <x v="7"/>
          </reference>
          <reference field="4" count="1" selected="0">
            <x v="3"/>
          </reference>
          <reference field="5" count="1" selected="0">
            <x v="16"/>
          </reference>
          <reference field="6" count="1" selected="0">
            <x v="26"/>
          </reference>
          <reference field="8" count="1" selected="0">
            <x v="2"/>
          </reference>
        </references>
      </pivotArea>
    </format>
    <format dxfId="1739">
      <pivotArea dataOnly="0" labelOnly="1" fieldPosition="0">
        <references count="5">
          <reference field="2" count="1">
            <x v="5"/>
          </reference>
          <reference field="4" count="1" selected="0">
            <x v="3"/>
          </reference>
          <reference field="5" count="1" selected="0">
            <x v="3"/>
          </reference>
          <reference field="6" count="1" selected="0">
            <x v="27"/>
          </reference>
          <reference field="8" count="1" selected="0">
            <x v="16"/>
          </reference>
        </references>
      </pivotArea>
    </format>
    <format dxfId="1740">
      <pivotArea dataOnly="0" labelOnly="1" fieldPosition="0">
        <references count="5">
          <reference field="2" count="1">
            <x v="11"/>
          </reference>
          <reference field="4" count="1" selected="0">
            <x v="3"/>
          </reference>
          <reference field="5" count="1" selected="0">
            <x v="3"/>
          </reference>
          <reference field="6" count="1" selected="0">
            <x v="79"/>
          </reference>
          <reference field="8" count="1" selected="0">
            <x v="16"/>
          </reference>
        </references>
      </pivotArea>
    </format>
    <format dxfId="1741">
      <pivotArea dataOnly="0" labelOnly="1" fieldPosition="0">
        <references count="5">
          <reference field="2" count="1">
            <x v="12"/>
          </reference>
          <reference field="4" count="1" selected="0">
            <x v="3"/>
          </reference>
          <reference field="5" count="1" selected="0">
            <x v="9"/>
          </reference>
          <reference field="6" count="1" selected="0">
            <x v="62"/>
          </reference>
          <reference field="8" count="1" selected="0">
            <x v="16"/>
          </reference>
        </references>
      </pivotArea>
    </format>
    <format dxfId="1742">
      <pivotArea dataOnly="0" labelOnly="1" fieldPosition="0">
        <references count="5">
          <reference field="2" count="1">
            <x v="12"/>
          </reference>
          <reference field="4" count="1" selected="0">
            <x v="3"/>
          </reference>
          <reference field="5" count="1" selected="0">
            <x v="9"/>
          </reference>
          <reference field="6" count="1" selected="0">
            <x v="74"/>
          </reference>
          <reference field="8" count="1" selected="0">
            <x v="16"/>
          </reference>
        </references>
      </pivotArea>
    </format>
    <format dxfId="1743">
      <pivotArea dataOnly="0" labelOnly="1" fieldPosition="0">
        <references count="5">
          <reference field="2" count="1">
            <x v="12"/>
          </reference>
          <reference field="4" count="1" selected="0">
            <x v="3"/>
          </reference>
          <reference field="5" count="1" selected="0">
            <x v="9"/>
          </reference>
          <reference field="6" count="1" selected="0">
            <x v="85"/>
          </reference>
          <reference field="8" count="1" selected="0">
            <x v="16"/>
          </reference>
        </references>
      </pivotArea>
    </format>
    <format dxfId="1744">
      <pivotArea dataOnly="0" labelOnly="1" fieldPosition="0">
        <references count="5">
          <reference field="2" count="1">
            <x v="19"/>
          </reference>
          <reference field="4" count="1" selected="0">
            <x v="3"/>
          </reference>
          <reference field="5" count="1" selected="0">
            <x v="12"/>
          </reference>
          <reference field="6" count="1" selected="0">
            <x v="112"/>
          </reference>
          <reference field="8" count="1" selected="0">
            <x v="16"/>
          </reference>
        </references>
      </pivotArea>
    </format>
    <format dxfId="1745">
      <pivotArea dataOnly="0" labelOnly="1" fieldPosition="0">
        <references count="5">
          <reference field="2" count="1">
            <x v="20"/>
          </reference>
          <reference field="4" count="1" selected="0">
            <x v="3"/>
          </reference>
          <reference field="5" count="1" selected="0">
            <x v="12"/>
          </reference>
          <reference field="6" count="1" selected="0">
            <x v="121"/>
          </reference>
          <reference field="8" count="1" selected="0">
            <x v="16"/>
          </reference>
        </references>
      </pivotArea>
    </format>
    <format dxfId="1746">
      <pivotArea dataOnly="0" labelOnly="1" fieldPosition="0">
        <references count="5">
          <reference field="2" count="1">
            <x v="2"/>
          </reference>
          <reference field="4" count="1" selected="0">
            <x v="3"/>
          </reference>
          <reference field="5" count="1" selected="0">
            <x v="15"/>
          </reference>
          <reference field="6" count="1" selected="0">
            <x v="7"/>
          </reference>
          <reference field="8" count="1" selected="0">
            <x v="16"/>
          </reference>
        </references>
      </pivotArea>
    </format>
    <format dxfId="1747">
      <pivotArea dataOnly="0" labelOnly="1" fieldPosition="0">
        <references count="5">
          <reference field="2" count="1">
            <x v="12"/>
          </reference>
          <reference field="4" count="1" selected="0">
            <x v="3"/>
          </reference>
          <reference field="5" count="1" selected="0">
            <x v="15"/>
          </reference>
          <reference field="6" count="1" selected="0">
            <x v="28"/>
          </reference>
          <reference field="8" count="1" selected="0">
            <x v="16"/>
          </reference>
        </references>
      </pivotArea>
    </format>
    <format dxfId="1748">
      <pivotArea dataOnly="0" labelOnly="1" fieldPosition="0">
        <references count="5">
          <reference field="2" count="1">
            <x v="12"/>
          </reference>
          <reference field="4" count="1" selected="0">
            <x v="3"/>
          </reference>
          <reference field="5" count="1" selected="0">
            <x v="15"/>
          </reference>
          <reference field="6" count="1" selected="0">
            <x v="43"/>
          </reference>
          <reference field="8" count="1" selected="0">
            <x v="16"/>
          </reference>
        </references>
      </pivotArea>
    </format>
    <format dxfId="1749">
      <pivotArea dataOnly="0" labelOnly="1" fieldPosition="0">
        <references count="5">
          <reference field="2" count="1">
            <x v="14"/>
          </reference>
          <reference field="4" count="1" selected="0">
            <x v="3"/>
          </reference>
          <reference field="5" count="1" selected="0">
            <x v="15"/>
          </reference>
          <reference field="6" count="1" selected="0">
            <x v="66"/>
          </reference>
          <reference field="8" count="1" selected="0">
            <x v="16"/>
          </reference>
        </references>
      </pivotArea>
    </format>
    <format dxfId="1750">
      <pivotArea dataOnly="0" labelOnly="1" fieldPosition="0">
        <references count="5">
          <reference field="2" count="1">
            <x v="9"/>
          </reference>
          <reference field="4" count="1" selected="0">
            <x v="3"/>
          </reference>
          <reference field="5" count="1" selected="0">
            <x v="20"/>
          </reference>
          <reference field="6" count="1" selected="0">
            <x v="116"/>
          </reference>
          <reference field="8" count="1" selected="0">
            <x v="16"/>
          </reference>
        </references>
      </pivotArea>
    </format>
    <format dxfId="1751">
      <pivotArea dataOnly="0" labelOnly="1" fieldPosition="0">
        <references count="5">
          <reference field="2" count="1">
            <x v="26"/>
          </reference>
          <reference field="4" count="1" selected="0">
            <x v="3"/>
          </reference>
          <reference field="5" count="1" selected="0">
            <x v="24"/>
          </reference>
          <reference field="6" count="1" selected="0">
            <x v="150"/>
          </reference>
          <reference field="8" count="1" selected="0">
            <x v="16"/>
          </reference>
        </references>
      </pivotArea>
    </format>
    <format dxfId="1752">
      <pivotArea dataOnly="0" labelOnly="1" fieldPosition="0">
        <references count="5">
          <reference field="2" count="1">
            <x v="5"/>
          </reference>
          <reference field="4" count="1" selected="0">
            <x v="4"/>
          </reference>
          <reference field="5" count="1" selected="0">
            <x v="3"/>
          </reference>
          <reference field="6" count="1" selected="0">
            <x v="53"/>
          </reference>
          <reference field="8" count="1" selected="0">
            <x v="2"/>
          </reference>
        </references>
      </pivotArea>
    </format>
    <format dxfId="1753">
      <pivotArea dataOnly="0" labelOnly="1" fieldPosition="0">
        <references count="5">
          <reference field="2" count="1">
            <x v="2"/>
          </reference>
          <reference field="4" count="1" selected="0">
            <x v="4"/>
          </reference>
          <reference field="5" count="1" selected="0">
            <x v="12"/>
          </reference>
          <reference field="6" count="1" selected="0">
            <x v="10"/>
          </reference>
          <reference field="8" count="1" selected="0">
            <x v="2"/>
          </reference>
        </references>
      </pivotArea>
    </format>
    <format dxfId="1754">
      <pivotArea dataOnly="0" labelOnly="1" fieldPosition="0">
        <references count="5">
          <reference field="2" count="1">
            <x v="19"/>
          </reference>
          <reference field="4" count="1" selected="0">
            <x v="4"/>
          </reference>
          <reference field="5" count="1" selected="0">
            <x v="12"/>
          </reference>
          <reference field="6" count="1" selected="0">
            <x v="81"/>
          </reference>
          <reference field="8" count="1" selected="0">
            <x v="2"/>
          </reference>
        </references>
      </pivotArea>
    </format>
    <format dxfId="1755">
      <pivotArea dataOnly="0" labelOnly="1" fieldPosition="0">
        <references count="5">
          <reference field="2" count="1">
            <x v="14"/>
          </reference>
          <reference field="4" count="1" selected="0">
            <x v="4"/>
          </reference>
          <reference field="5" count="1" selected="0">
            <x v="15"/>
          </reference>
          <reference field="6" count="1" selected="0">
            <x v="66"/>
          </reference>
          <reference field="8" count="1" selected="0">
            <x v="2"/>
          </reference>
        </references>
      </pivotArea>
    </format>
    <format dxfId="1756">
      <pivotArea dataOnly="0" labelOnly="1" fieldPosition="0">
        <references count="5">
          <reference field="2" count="1">
            <x v="18"/>
          </reference>
          <reference field="4" count="1" selected="0">
            <x v="4"/>
          </reference>
          <reference field="5" count="1" selected="0">
            <x v="15"/>
          </reference>
          <reference field="6" count="1" selected="0">
            <x v="104"/>
          </reference>
          <reference field="8" count="1" selected="0">
            <x v="2"/>
          </reference>
        </references>
      </pivotArea>
    </format>
    <format dxfId="1757">
      <pivotArea dataOnly="0" labelOnly="1" fieldPosition="0">
        <references count="5">
          <reference field="2" count="1">
            <x v="21"/>
          </reference>
          <reference field="4" count="1" selected="0">
            <x v="4"/>
          </reference>
          <reference field="5" count="1" selected="0">
            <x v="15"/>
          </reference>
          <reference field="6" count="1" selected="0">
            <x v="106"/>
          </reference>
          <reference field="8" count="1" selected="0">
            <x v="2"/>
          </reference>
        </references>
      </pivotArea>
    </format>
    <format dxfId="1758">
      <pivotArea dataOnly="0" labelOnly="1" fieldPosition="0">
        <references count="5">
          <reference field="2" count="1">
            <x v="21"/>
          </reference>
          <reference field="4" count="1" selected="0">
            <x v="4"/>
          </reference>
          <reference field="5" count="1" selected="0">
            <x v="15"/>
          </reference>
          <reference field="6" count="1" selected="0">
            <x v="109"/>
          </reference>
          <reference field="8" count="1" selected="0">
            <x v="2"/>
          </reference>
        </references>
      </pivotArea>
    </format>
    <format dxfId="1759">
      <pivotArea dataOnly="0" labelOnly="1" fieldPosition="0">
        <references count="5">
          <reference field="2" count="1">
            <x v="7"/>
          </reference>
          <reference field="4" count="1" selected="0">
            <x v="4"/>
          </reference>
          <reference field="5" count="1" selected="0">
            <x v="16"/>
          </reference>
          <reference field="6" count="1" selected="0">
            <x v="26"/>
          </reference>
          <reference field="8" count="1" selected="0">
            <x v="2"/>
          </reference>
        </references>
      </pivotArea>
    </format>
    <format dxfId="1760">
      <pivotArea dataOnly="0" labelOnly="1" fieldPosition="0">
        <references count="5">
          <reference field="2" count="1">
            <x v="20"/>
          </reference>
          <reference field="4" count="1" selected="0">
            <x v="4"/>
          </reference>
          <reference field="5" count="1" selected="0">
            <x v="26"/>
          </reference>
          <reference field="6" count="1" selected="0">
            <x v="96"/>
          </reference>
          <reference field="8" count="1" selected="0">
            <x v="2"/>
          </reference>
        </references>
      </pivotArea>
    </format>
    <format dxfId="1761">
      <pivotArea dataOnly="0" labelOnly="1" fieldPosition="0">
        <references count="5">
          <reference field="2" count="1">
            <x v="20"/>
          </reference>
          <reference field="4" count="1" selected="0">
            <x v="4"/>
          </reference>
          <reference field="5" count="1" selected="0">
            <x v="26"/>
          </reference>
          <reference field="6" count="1" selected="0">
            <x v="118"/>
          </reference>
          <reference field="8" count="1" selected="0">
            <x v="2"/>
          </reference>
        </references>
      </pivotArea>
    </format>
    <format dxfId="1762">
      <pivotArea dataOnly="0" labelOnly="1" fieldPosition="0">
        <references count="5">
          <reference field="2" count="1">
            <x v="5"/>
          </reference>
          <reference field="4" count="1" selected="0">
            <x v="4"/>
          </reference>
          <reference field="5" count="1" selected="0">
            <x v="3"/>
          </reference>
          <reference field="6" count="1" selected="0">
            <x v="27"/>
          </reference>
          <reference field="8" count="1" selected="0">
            <x v="16"/>
          </reference>
        </references>
      </pivotArea>
    </format>
    <format dxfId="1763">
      <pivotArea dataOnly="0" labelOnly="1" fieldPosition="0">
        <references count="5">
          <reference field="2" count="1">
            <x v="11"/>
          </reference>
          <reference field="4" count="1" selected="0">
            <x v="4"/>
          </reference>
          <reference field="5" count="1" selected="0">
            <x v="3"/>
          </reference>
          <reference field="6" count="1" selected="0">
            <x v="79"/>
          </reference>
          <reference field="8" count="1" selected="0">
            <x v="16"/>
          </reference>
        </references>
      </pivotArea>
    </format>
    <format dxfId="1764">
      <pivotArea dataOnly="0" labelOnly="1" fieldPosition="0">
        <references count="5">
          <reference field="2" count="1">
            <x v="12"/>
          </reference>
          <reference field="4" count="1" selected="0">
            <x v="4"/>
          </reference>
          <reference field="5" count="1" selected="0">
            <x v="9"/>
          </reference>
          <reference field="6" count="1" selected="0">
            <x v="62"/>
          </reference>
          <reference field="8" count="1" selected="0">
            <x v="16"/>
          </reference>
        </references>
      </pivotArea>
    </format>
    <format dxfId="1765">
      <pivotArea dataOnly="0" labelOnly="1" fieldPosition="0">
        <references count="5">
          <reference field="2" count="1">
            <x v="12"/>
          </reference>
          <reference field="4" count="1" selected="0">
            <x v="4"/>
          </reference>
          <reference field="5" count="1" selected="0">
            <x v="9"/>
          </reference>
          <reference field="6" count="1" selected="0">
            <x v="74"/>
          </reference>
          <reference field="8" count="1" selected="0">
            <x v="16"/>
          </reference>
        </references>
      </pivotArea>
    </format>
    <format dxfId="1766">
      <pivotArea dataOnly="0" labelOnly="1" fieldPosition="0">
        <references count="5">
          <reference field="2" count="1">
            <x v="12"/>
          </reference>
          <reference field="4" count="1" selected="0">
            <x v="4"/>
          </reference>
          <reference field="5" count="1" selected="0">
            <x v="9"/>
          </reference>
          <reference field="6" count="1" selected="0">
            <x v="85"/>
          </reference>
          <reference field="8" count="1" selected="0">
            <x v="16"/>
          </reference>
        </references>
      </pivotArea>
    </format>
    <format dxfId="1767">
      <pivotArea dataOnly="0" labelOnly="1" fieldPosition="0">
        <references count="5">
          <reference field="2" count="1">
            <x v="19"/>
          </reference>
          <reference field="4" count="1" selected="0">
            <x v="4"/>
          </reference>
          <reference field="5" count="1" selected="0">
            <x v="12"/>
          </reference>
          <reference field="6" count="1" selected="0">
            <x v="112"/>
          </reference>
          <reference field="8" count="1" selected="0">
            <x v="16"/>
          </reference>
        </references>
      </pivotArea>
    </format>
    <format dxfId="1768">
      <pivotArea dataOnly="0" labelOnly="1" fieldPosition="0">
        <references count="5">
          <reference field="2" count="1">
            <x v="20"/>
          </reference>
          <reference field="4" count="1" selected="0">
            <x v="4"/>
          </reference>
          <reference field="5" count="1" selected="0">
            <x v="12"/>
          </reference>
          <reference field="6" count="1" selected="0">
            <x v="121"/>
          </reference>
          <reference field="8" count="1" selected="0">
            <x v="16"/>
          </reference>
        </references>
      </pivotArea>
    </format>
    <format dxfId="1769">
      <pivotArea dataOnly="0" labelOnly="1" fieldPosition="0">
        <references count="5">
          <reference field="2" count="1">
            <x v="2"/>
          </reference>
          <reference field="4" count="1" selected="0">
            <x v="4"/>
          </reference>
          <reference field="5" count="1" selected="0">
            <x v="15"/>
          </reference>
          <reference field="6" count="1" selected="0">
            <x v="7"/>
          </reference>
          <reference field="8" count="1" selected="0">
            <x v="16"/>
          </reference>
        </references>
      </pivotArea>
    </format>
    <format dxfId="1770">
      <pivotArea dataOnly="0" labelOnly="1" fieldPosition="0">
        <references count="5">
          <reference field="2" count="1">
            <x v="4"/>
          </reference>
          <reference field="4" count="1" selected="0">
            <x v="4"/>
          </reference>
          <reference field="5" count="1" selected="0">
            <x v="15"/>
          </reference>
          <reference field="6" count="1" selected="0">
            <x v="12"/>
          </reference>
          <reference field="8" count="1" selected="0">
            <x v="16"/>
          </reference>
        </references>
      </pivotArea>
    </format>
    <format dxfId="1771">
      <pivotArea dataOnly="0" labelOnly="1" fieldPosition="0">
        <references count="5">
          <reference field="2" count="1">
            <x v="12"/>
          </reference>
          <reference field="4" count="1" selected="0">
            <x v="4"/>
          </reference>
          <reference field="5" count="1" selected="0">
            <x v="15"/>
          </reference>
          <reference field="6" count="1" selected="0">
            <x v="43"/>
          </reference>
          <reference field="8" count="1" selected="0">
            <x v="16"/>
          </reference>
        </references>
      </pivotArea>
    </format>
    <format dxfId="1772">
      <pivotArea dataOnly="0" labelOnly="1" fieldPosition="0">
        <references count="5">
          <reference field="2" count="1">
            <x v="12"/>
          </reference>
          <reference field="4" count="1" selected="0">
            <x v="4"/>
          </reference>
          <reference field="5" count="1" selected="0">
            <x v="15"/>
          </reference>
          <reference field="6" count="1" selected="0">
            <x v="61"/>
          </reference>
          <reference field="8" count="1" selected="0">
            <x v="16"/>
          </reference>
        </references>
      </pivotArea>
    </format>
    <format dxfId="1773">
      <pivotArea dataOnly="0" labelOnly="1" fieldPosition="0">
        <references count="5">
          <reference field="2" count="1">
            <x v="14"/>
          </reference>
          <reference field="4" count="1" selected="0">
            <x v="4"/>
          </reference>
          <reference field="5" count="1" selected="0">
            <x v="15"/>
          </reference>
          <reference field="6" count="1" selected="0">
            <x v="66"/>
          </reference>
          <reference field="8" count="1" selected="0">
            <x v="16"/>
          </reference>
        </references>
      </pivotArea>
    </format>
    <format dxfId="1774">
      <pivotArea dataOnly="0" labelOnly="1" fieldPosition="0">
        <references count="5">
          <reference field="2" count="1">
            <x v="9"/>
          </reference>
          <reference field="4" count="1" selected="0">
            <x v="4"/>
          </reference>
          <reference field="5" count="1" selected="0">
            <x v="20"/>
          </reference>
          <reference field="6" count="1" selected="0">
            <x v="116"/>
          </reference>
          <reference field="8" count="1" selected="0">
            <x v="16"/>
          </reference>
        </references>
      </pivotArea>
    </format>
    <format dxfId="1775">
      <pivotArea dataOnly="0" labelOnly="1" fieldPosition="0">
        <references count="5">
          <reference field="2" count="1">
            <x v="26"/>
          </reference>
          <reference field="4" count="1" selected="0">
            <x v="4"/>
          </reference>
          <reference field="5" count="1" selected="0">
            <x v="24"/>
          </reference>
          <reference field="6" count="1" selected="0">
            <x v="150"/>
          </reference>
          <reference field="8" count="1" selected="0">
            <x v="16"/>
          </reference>
        </references>
      </pivotArea>
    </format>
    <format dxfId="1776">
      <pivotArea dataOnly="0" labelOnly="1" fieldPosition="0">
        <references count="5">
          <reference field="2" count="1">
            <x v="10"/>
          </reference>
          <reference field="4" count="1" selected="0">
            <x v="5"/>
          </reference>
          <reference field="5" count="1" selected="0">
            <x v="1"/>
          </reference>
          <reference field="6" count="1" selected="0">
            <x v="42"/>
          </reference>
          <reference field="8" count="1" selected="0">
            <x v="2"/>
          </reference>
        </references>
      </pivotArea>
    </format>
    <format dxfId="1777">
      <pivotArea dataOnly="0" labelOnly="1" fieldPosition="0">
        <references count="5">
          <reference field="2" count="1">
            <x v="21"/>
          </reference>
          <reference field="4" count="1" selected="0">
            <x v="5"/>
          </reference>
          <reference field="5" count="1" selected="0">
            <x v="1"/>
          </reference>
          <reference field="6" count="1" selected="0">
            <x v="52"/>
          </reference>
          <reference field="8" count="1" selected="0">
            <x v="2"/>
          </reference>
        </references>
      </pivotArea>
    </format>
    <format dxfId="1778">
      <pivotArea dataOnly="0" labelOnly="1" fieldPosition="0">
        <references count="5">
          <reference field="2" count="1">
            <x v="15"/>
          </reference>
          <reference field="4" count="1" selected="0">
            <x v="5"/>
          </reference>
          <reference field="5" count="1" selected="0">
            <x v="1"/>
          </reference>
          <reference field="6" count="1" selected="0">
            <x v="65"/>
          </reference>
          <reference field="8" count="1" selected="0">
            <x v="2"/>
          </reference>
        </references>
      </pivotArea>
    </format>
    <format dxfId="1779">
      <pivotArea dataOnly="0" labelOnly="1" fieldPosition="0">
        <references count="5">
          <reference field="2" count="1">
            <x v="13"/>
          </reference>
          <reference field="4" count="1" selected="0">
            <x v="5"/>
          </reference>
          <reference field="5" count="1" selected="0">
            <x v="1"/>
          </reference>
          <reference field="6" count="1" selected="0">
            <x v="132"/>
          </reference>
          <reference field="8" count="1" selected="0">
            <x v="2"/>
          </reference>
        </references>
      </pivotArea>
    </format>
    <format dxfId="1780">
      <pivotArea dataOnly="0" labelOnly="1" fieldPosition="0">
        <references count="5">
          <reference field="2" count="1">
            <x v="20"/>
          </reference>
          <reference field="4" count="1" selected="0">
            <x v="5"/>
          </reference>
          <reference field="5" count="1" selected="0">
            <x v="21"/>
          </reference>
          <reference field="6" count="1" selected="0">
            <x v="99"/>
          </reference>
          <reference field="8" count="1" selected="0">
            <x v="2"/>
          </reference>
        </references>
      </pivotArea>
    </format>
    <format dxfId="1781">
      <pivotArea dataOnly="0" labelOnly="1" fieldPosition="0">
        <references count="5">
          <reference field="2" count="1">
            <x v="20"/>
          </reference>
          <reference field="4" count="1" selected="0">
            <x v="5"/>
          </reference>
          <reference field="5" count="1" selected="0">
            <x v="21"/>
          </reference>
          <reference field="6" count="1" selected="0">
            <x v="113"/>
          </reference>
          <reference field="8" count="1" selected="0">
            <x v="2"/>
          </reference>
        </references>
      </pivotArea>
    </format>
    <format dxfId="1782">
      <pivotArea dataOnly="0" labelOnly="1" fieldPosition="0">
        <references count="5">
          <reference field="2" count="1">
            <x v="19"/>
          </reference>
          <reference field="4" count="1" selected="0">
            <x v="5"/>
          </reference>
          <reference field="5" count="1" selected="0">
            <x v="21"/>
          </reference>
          <reference field="6" count="1" selected="0">
            <x v="114"/>
          </reference>
          <reference field="8" count="1" selected="0">
            <x v="2"/>
          </reference>
        </references>
      </pivotArea>
    </format>
    <format dxfId="1783">
      <pivotArea dataOnly="0" labelOnly="1" fieldPosition="0">
        <references count="5">
          <reference field="2" count="1">
            <x v="15"/>
          </reference>
          <reference field="4" count="1" selected="0">
            <x v="5"/>
          </reference>
          <reference field="5" count="1" selected="0">
            <x v="1"/>
          </reference>
          <reference field="6" count="1" selected="0">
            <x v="65"/>
          </reference>
          <reference field="8" count="1" selected="0">
            <x v="16"/>
          </reference>
        </references>
      </pivotArea>
    </format>
    <format dxfId="1784">
      <pivotArea dataOnly="0" labelOnly="1" fieldPosition="0">
        <references count="5">
          <reference field="2" count="1">
            <x v="13"/>
          </reference>
          <reference field="4" count="1" selected="0">
            <x v="5"/>
          </reference>
          <reference field="5" count="1" selected="0">
            <x v="1"/>
          </reference>
          <reference field="6" count="1" selected="0">
            <x v="132"/>
          </reference>
          <reference field="8" count="1" selected="0">
            <x v="16"/>
          </reference>
        </references>
      </pivotArea>
    </format>
    <format dxfId="1785">
      <pivotArea dataOnly="0" labelOnly="1" fieldPosition="0">
        <references count="5">
          <reference field="2" count="1">
            <x v="20"/>
          </reference>
          <reference field="4" count="1" selected="0">
            <x v="5"/>
          </reference>
          <reference field="5" count="1" selected="0">
            <x v="21"/>
          </reference>
          <reference field="6" count="1" selected="0">
            <x v="113"/>
          </reference>
          <reference field="8" count="1" selected="0">
            <x v="16"/>
          </reference>
        </references>
      </pivotArea>
    </format>
    <format dxfId="1786">
      <pivotArea dataOnly="0" labelOnly="1" fieldPosition="0">
        <references count="5">
          <reference field="2" count="1">
            <x v="20"/>
          </reference>
          <reference field="4" count="1" selected="0">
            <x v="5"/>
          </reference>
          <reference field="5" count="1" selected="0">
            <x v="21"/>
          </reference>
          <reference field="6" count="1" selected="0">
            <x v="120"/>
          </reference>
          <reference field="8" count="1" selected="0">
            <x v="16"/>
          </reference>
        </references>
      </pivotArea>
    </format>
    <format dxfId="1787">
      <pivotArea dataOnly="0" labelOnly="1" fieldPosition="0">
        <references count="5">
          <reference field="2" count="1">
            <x v="0"/>
          </reference>
          <reference field="4" count="1" selected="0">
            <x v="5"/>
          </reference>
          <reference field="5" count="1" selected="0">
            <x v="21"/>
          </reference>
          <reference field="6" count="1" selected="0">
            <x v="137"/>
          </reference>
          <reference field="8" count="1" selected="0">
            <x v="16"/>
          </reference>
        </references>
      </pivotArea>
    </format>
    <format dxfId="1788">
      <pivotArea dataOnly="0" labelOnly="1" fieldPosition="0">
        <references count="5">
          <reference field="2" count="1">
            <x v="19"/>
          </reference>
          <reference field="4" count="1" selected="0">
            <x v="5"/>
          </reference>
          <reference field="5" count="1" selected="0">
            <x v="22"/>
          </reference>
          <reference field="6" count="1" selected="0">
            <x v="32"/>
          </reference>
          <reference field="8" count="1" selected="0">
            <x v="16"/>
          </reference>
        </references>
      </pivotArea>
    </format>
    <format dxfId="1789">
      <pivotArea dataOnly="0" labelOnly="1" fieldPosition="0">
        <references count="5">
          <reference field="2" count="1">
            <x v="12"/>
          </reference>
          <reference field="4" count="1" selected="0">
            <x v="5"/>
          </reference>
          <reference field="5" count="1" selected="0">
            <x v="22"/>
          </reference>
          <reference field="6" count="1" selected="0">
            <x v="54"/>
          </reference>
          <reference field="8" count="1" selected="0">
            <x v="16"/>
          </reference>
        </references>
      </pivotArea>
    </format>
    <format dxfId="1790">
      <pivotArea dataOnly="0" labelOnly="1" fieldPosition="0">
        <references count="5">
          <reference field="2" count="1">
            <x v="12"/>
          </reference>
          <reference field="4" count="1" selected="0">
            <x v="5"/>
          </reference>
          <reference field="5" count="1" selected="0">
            <x v="22"/>
          </reference>
          <reference field="6" count="1" selected="0">
            <x v="55"/>
          </reference>
          <reference field="8" count="1" selected="0">
            <x v="16"/>
          </reference>
        </references>
      </pivotArea>
    </format>
    <format dxfId="1791">
      <pivotArea dataOnly="0" labelOnly="1" fieldPosition="0">
        <references count="5">
          <reference field="2" count="1">
            <x v="12"/>
          </reference>
          <reference field="4" count="1" selected="0">
            <x v="5"/>
          </reference>
          <reference field="5" count="1" selected="0">
            <x v="22"/>
          </reference>
          <reference field="6" count="1" selected="0">
            <x v="59"/>
          </reference>
          <reference field="8" count="1" selected="0">
            <x v="16"/>
          </reference>
        </references>
      </pivotArea>
    </format>
    <format dxfId="1792">
      <pivotArea dataOnly="0" labelOnly="1" fieldPosition="0">
        <references count="5">
          <reference field="2" count="1">
            <x v="12"/>
          </reference>
          <reference field="4" count="1" selected="0">
            <x v="5"/>
          </reference>
          <reference field="5" count="1" selected="0">
            <x v="22"/>
          </reference>
          <reference field="6" count="1" selected="0">
            <x v="61"/>
          </reference>
          <reference field="8" count="1" selected="0">
            <x v="16"/>
          </reference>
        </references>
      </pivotArea>
    </format>
    <format dxfId="1793">
      <pivotArea dataOnly="0" labelOnly="1" fieldPosition="0">
        <references count="5">
          <reference field="2" count="1">
            <x v="20"/>
          </reference>
          <reference field="4" count="1" selected="0">
            <x v="5"/>
          </reference>
          <reference field="5" count="1" selected="0">
            <x v="22"/>
          </reference>
          <reference field="6" count="1" selected="0">
            <x v="121"/>
          </reference>
          <reference field="8" count="1" selected="0">
            <x v="16"/>
          </reference>
        </references>
      </pivotArea>
    </format>
    <format dxfId="1794">
      <pivotArea dataOnly="0" labelOnly="1" fieldPosition="0">
        <references count="5">
          <reference field="2" count="1">
            <x v="19"/>
          </reference>
          <reference field="4" count="1" selected="0">
            <x v="5"/>
          </reference>
          <reference field="5" count="1" selected="0">
            <x v="22"/>
          </reference>
          <reference field="6" count="1" selected="0">
            <x v="126"/>
          </reference>
          <reference field="8" count="1" selected="0">
            <x v="16"/>
          </reference>
        </references>
      </pivotArea>
    </format>
    <format dxfId="1795">
      <pivotArea dataOnly="0" labelOnly="1" fieldPosition="0">
        <references count="5">
          <reference field="2" count="1">
            <x v="2"/>
          </reference>
          <reference field="4" count="1" selected="0">
            <x v="5"/>
          </reference>
          <reference field="5" count="1" selected="0">
            <x v="22"/>
          </reference>
          <reference field="6" count="1" selected="0">
            <x v="129"/>
          </reference>
          <reference field="8" count="1" selected="0">
            <x v="16"/>
          </reference>
        </references>
      </pivotArea>
    </format>
    <format dxfId="1796">
      <pivotArea dataOnly="0" labelOnly="1" fieldPosition="0">
        <references count="5">
          <reference field="2" count="1">
            <x v="5"/>
          </reference>
          <reference field="4" count="1" selected="0">
            <x v="6"/>
          </reference>
          <reference field="5" count="1" selected="0">
            <x v="3"/>
          </reference>
          <reference field="6" count="1" selected="0">
            <x v="53"/>
          </reference>
          <reference field="8" count="1" selected="0">
            <x v="2"/>
          </reference>
        </references>
      </pivotArea>
    </format>
    <format dxfId="1797">
      <pivotArea dataOnly="0" labelOnly="1" fieldPosition="0">
        <references count="5">
          <reference field="2" count="1">
            <x v="2"/>
          </reference>
          <reference field="4" count="1" selected="0">
            <x v="6"/>
          </reference>
          <reference field="5" count="1" selected="0">
            <x v="12"/>
          </reference>
          <reference field="6" count="1" selected="0">
            <x v="10"/>
          </reference>
          <reference field="8" count="1" selected="0">
            <x v="2"/>
          </reference>
        </references>
      </pivotArea>
    </format>
    <format dxfId="1798">
      <pivotArea dataOnly="0" labelOnly="1" fieldPosition="0">
        <references count="5">
          <reference field="2" count="1">
            <x v="19"/>
          </reference>
          <reference field="4" count="1" selected="0">
            <x v="6"/>
          </reference>
          <reference field="5" count="1" selected="0">
            <x v="12"/>
          </reference>
          <reference field="6" count="1" selected="0">
            <x v="81"/>
          </reference>
          <reference field="8" count="1" selected="0">
            <x v="2"/>
          </reference>
        </references>
      </pivotArea>
    </format>
    <format dxfId="1799">
      <pivotArea dataOnly="0" labelOnly="1" fieldPosition="0">
        <references count="5">
          <reference field="2" count="1">
            <x v="14"/>
          </reference>
          <reference field="4" count="1" selected="0">
            <x v="6"/>
          </reference>
          <reference field="5" count="1" selected="0">
            <x v="15"/>
          </reference>
          <reference field="6" count="1" selected="0">
            <x v="66"/>
          </reference>
          <reference field="8" count="1" selected="0">
            <x v="2"/>
          </reference>
        </references>
      </pivotArea>
    </format>
    <format dxfId="1800">
      <pivotArea dataOnly="0" labelOnly="1" fieldPosition="0">
        <references count="5">
          <reference field="2" count="1">
            <x v="18"/>
          </reference>
          <reference field="4" count="1" selected="0">
            <x v="6"/>
          </reference>
          <reference field="5" count="1" selected="0">
            <x v="15"/>
          </reference>
          <reference field="6" count="1" selected="0">
            <x v="104"/>
          </reference>
          <reference field="8" count="1" selected="0">
            <x v="2"/>
          </reference>
        </references>
      </pivotArea>
    </format>
    <format dxfId="1801">
      <pivotArea dataOnly="0" labelOnly="1" fieldPosition="0">
        <references count="5">
          <reference field="2" count="1">
            <x v="21"/>
          </reference>
          <reference field="4" count="1" selected="0">
            <x v="6"/>
          </reference>
          <reference field="5" count="1" selected="0">
            <x v="15"/>
          </reference>
          <reference field="6" count="1" selected="0">
            <x v="106"/>
          </reference>
          <reference field="8" count="1" selected="0">
            <x v="2"/>
          </reference>
        </references>
      </pivotArea>
    </format>
    <format dxfId="1802">
      <pivotArea dataOnly="0" labelOnly="1" fieldPosition="0">
        <references count="5">
          <reference field="2" count="1">
            <x v="21"/>
          </reference>
          <reference field="4" count="1" selected="0">
            <x v="6"/>
          </reference>
          <reference field="5" count="1" selected="0">
            <x v="15"/>
          </reference>
          <reference field="6" count="1" selected="0">
            <x v="109"/>
          </reference>
          <reference field="8" count="1" selected="0">
            <x v="2"/>
          </reference>
        </references>
      </pivotArea>
    </format>
    <format dxfId="1803">
      <pivotArea dataOnly="0" labelOnly="1" fieldPosition="0">
        <references count="5">
          <reference field="2" count="1">
            <x v="7"/>
          </reference>
          <reference field="4" count="1" selected="0">
            <x v="6"/>
          </reference>
          <reference field="5" count="1" selected="0">
            <x v="16"/>
          </reference>
          <reference field="6" count="1" selected="0">
            <x v="26"/>
          </reference>
          <reference field="8" count="1" selected="0">
            <x v="2"/>
          </reference>
        </references>
      </pivotArea>
    </format>
    <format dxfId="1804">
      <pivotArea dataOnly="0" labelOnly="1" fieldPosition="0">
        <references count="5">
          <reference field="2" count="1">
            <x v="5"/>
          </reference>
          <reference field="4" count="1" selected="0">
            <x v="6"/>
          </reference>
          <reference field="5" count="1" selected="0">
            <x v="3"/>
          </reference>
          <reference field="6" count="1" selected="0">
            <x v="27"/>
          </reference>
          <reference field="8" count="1" selected="0">
            <x v="16"/>
          </reference>
        </references>
      </pivotArea>
    </format>
    <format dxfId="1805">
      <pivotArea dataOnly="0" labelOnly="1" fieldPosition="0">
        <references count="5">
          <reference field="2" count="1">
            <x v="11"/>
          </reference>
          <reference field="4" count="1" selected="0">
            <x v="6"/>
          </reference>
          <reference field="5" count="1" selected="0">
            <x v="3"/>
          </reference>
          <reference field="6" count="1" selected="0">
            <x v="79"/>
          </reference>
          <reference field="8" count="1" selected="0">
            <x v="16"/>
          </reference>
        </references>
      </pivotArea>
    </format>
    <format dxfId="1806">
      <pivotArea dataOnly="0" labelOnly="1" fieldPosition="0">
        <references count="5">
          <reference field="2" count="1">
            <x v="12"/>
          </reference>
          <reference field="4" count="1" selected="0">
            <x v="6"/>
          </reference>
          <reference field="5" count="1" selected="0">
            <x v="9"/>
          </reference>
          <reference field="6" count="1" selected="0">
            <x v="62"/>
          </reference>
          <reference field="8" count="1" selected="0">
            <x v="16"/>
          </reference>
        </references>
      </pivotArea>
    </format>
    <format dxfId="1807">
      <pivotArea dataOnly="0" labelOnly="1" fieldPosition="0">
        <references count="5">
          <reference field="2" count="1">
            <x v="12"/>
          </reference>
          <reference field="4" count="1" selected="0">
            <x v="6"/>
          </reference>
          <reference field="5" count="1" selected="0">
            <x v="9"/>
          </reference>
          <reference field="6" count="1" selected="0">
            <x v="85"/>
          </reference>
          <reference field="8" count="1" selected="0">
            <x v="16"/>
          </reference>
        </references>
      </pivotArea>
    </format>
    <format dxfId="1808">
      <pivotArea dataOnly="0" labelOnly="1" fieldPosition="0">
        <references count="5">
          <reference field="2" count="1">
            <x v="19"/>
          </reference>
          <reference field="4" count="1" selected="0">
            <x v="6"/>
          </reference>
          <reference field="5" count="1" selected="0">
            <x v="12"/>
          </reference>
          <reference field="6" count="1" selected="0">
            <x v="112"/>
          </reference>
          <reference field="8" count="1" selected="0">
            <x v="16"/>
          </reference>
        </references>
      </pivotArea>
    </format>
    <format dxfId="1809">
      <pivotArea dataOnly="0" labelOnly="1" fieldPosition="0">
        <references count="5">
          <reference field="2" count="1">
            <x v="20"/>
          </reference>
          <reference field="4" count="1" selected="0">
            <x v="6"/>
          </reference>
          <reference field="5" count="1" selected="0">
            <x v="12"/>
          </reference>
          <reference field="6" count="1" selected="0">
            <x v="121"/>
          </reference>
          <reference field="8" count="1" selected="0">
            <x v="16"/>
          </reference>
        </references>
      </pivotArea>
    </format>
    <format dxfId="1810">
      <pivotArea dataOnly="0" labelOnly="1" fieldPosition="0">
        <references count="5">
          <reference field="2" count="1">
            <x v="2"/>
          </reference>
          <reference field="4" count="1" selected="0">
            <x v="6"/>
          </reference>
          <reference field="5" count="1" selected="0">
            <x v="15"/>
          </reference>
          <reference field="6" count="1" selected="0">
            <x v="7"/>
          </reference>
          <reference field="8" count="1" selected="0">
            <x v="16"/>
          </reference>
        </references>
      </pivotArea>
    </format>
    <format dxfId="1811">
      <pivotArea dataOnly="0" labelOnly="1" fieldPosition="0">
        <references count="5">
          <reference field="2" count="1">
            <x v="12"/>
          </reference>
          <reference field="4" count="1" selected="0">
            <x v="6"/>
          </reference>
          <reference field="5" count="1" selected="0">
            <x v="15"/>
          </reference>
          <reference field="6" count="1" selected="0">
            <x v="45"/>
          </reference>
          <reference field="8" count="1" selected="0">
            <x v="16"/>
          </reference>
        </references>
      </pivotArea>
    </format>
    <format dxfId="1812">
      <pivotArea dataOnly="0" labelOnly="1" fieldPosition="0">
        <references count="5">
          <reference field="2" count="1">
            <x v="14"/>
          </reference>
          <reference field="4" count="1" selected="0">
            <x v="6"/>
          </reference>
          <reference field="5" count="1" selected="0">
            <x v="15"/>
          </reference>
          <reference field="6" count="1" selected="0">
            <x v="66"/>
          </reference>
          <reference field="8" count="1" selected="0">
            <x v="16"/>
          </reference>
        </references>
      </pivotArea>
    </format>
    <format dxfId="1813">
      <pivotArea dataOnly="0" labelOnly="1" fieldPosition="0">
        <references count="5">
          <reference field="2" count="1">
            <x v="9"/>
          </reference>
          <reference field="4" count="1" selected="0">
            <x v="6"/>
          </reference>
          <reference field="5" count="1" selected="0">
            <x v="20"/>
          </reference>
          <reference field="6" count="1" selected="0">
            <x v="116"/>
          </reference>
          <reference field="8" count="1" selected="0">
            <x v="16"/>
          </reference>
        </references>
      </pivotArea>
    </format>
    <format dxfId="1814">
      <pivotArea dataOnly="0" labelOnly="1" fieldPosition="0">
        <references count="5">
          <reference field="2" count="1">
            <x v="26"/>
          </reference>
          <reference field="4" count="1" selected="0">
            <x v="6"/>
          </reference>
          <reference field="5" count="1" selected="0">
            <x v="24"/>
          </reference>
          <reference field="6" count="1" selected="0">
            <x v="150"/>
          </reference>
          <reference field="8" count="1" selected="0">
            <x v="16"/>
          </reference>
        </references>
      </pivotArea>
    </format>
    <format dxfId="1815">
      <pivotArea dataOnly="0" labelOnly="1" fieldPosition="0">
        <references count="3">
          <reference field="4" count="1" selected="0">
            <x v="0"/>
          </reference>
          <reference field="5" count="2">
            <x v="12"/>
            <x v="16"/>
          </reference>
          <reference field="8" count="1" selected="0">
            <x v="3"/>
          </reference>
        </references>
      </pivotArea>
    </format>
    <format dxfId="1816">
      <pivotArea dataOnly="0" labelOnly="1" fieldPosition="0">
        <references count="3">
          <reference field="4" count="1" selected="0">
            <x v="0"/>
          </reference>
          <reference field="5" count="5">
            <x v="9"/>
            <x v="12"/>
            <x v="14"/>
            <x v="15"/>
            <x v="16"/>
          </reference>
          <reference field="8" count="1" selected="0">
            <x v="4"/>
          </reference>
        </references>
      </pivotArea>
    </format>
    <format dxfId="1817">
      <pivotArea dataOnly="0" labelOnly="1" fieldPosition="0">
        <references count="3">
          <reference field="4" count="1" selected="0">
            <x v="0"/>
          </reference>
          <reference field="5" count="1">
            <x v="16"/>
          </reference>
          <reference field="8" count="1" selected="0">
            <x v="6"/>
          </reference>
        </references>
      </pivotArea>
    </format>
    <format dxfId="1818">
      <pivotArea dataOnly="0" labelOnly="1" fieldPosition="0">
        <references count="3">
          <reference field="4" count="1" selected="0">
            <x v="0"/>
          </reference>
          <reference field="5" count="1">
            <x v="15"/>
          </reference>
          <reference field="8" count="1" selected="0">
            <x v="9"/>
          </reference>
        </references>
      </pivotArea>
    </format>
    <format dxfId="1819">
      <pivotArea dataOnly="0" labelOnly="1" fieldPosition="0">
        <references count="3">
          <reference field="4" count="1" selected="0">
            <x v="0"/>
          </reference>
          <reference field="5" count="1">
            <x v="15"/>
          </reference>
          <reference field="8" count="1" selected="0">
            <x v="10"/>
          </reference>
        </references>
      </pivotArea>
    </format>
    <format dxfId="1820">
      <pivotArea dataOnly="0" labelOnly="1" fieldPosition="0">
        <references count="3">
          <reference field="4" count="1" selected="0">
            <x v="0"/>
          </reference>
          <reference field="5" count="6">
            <x v="3"/>
            <x v="12"/>
            <x v="14"/>
            <x v="15"/>
            <x v="16"/>
            <x v="20"/>
          </reference>
          <reference field="8" count="1" selected="0">
            <x v="11"/>
          </reference>
        </references>
      </pivotArea>
    </format>
    <format dxfId="1821">
      <pivotArea dataOnly="0" labelOnly="1" fieldPosition="0">
        <references count="3">
          <reference field="4" count="1" selected="0">
            <x v="0"/>
          </reference>
          <reference field="5" count="1">
            <x v="15"/>
          </reference>
          <reference field="8" count="1" selected="0">
            <x v="35"/>
          </reference>
        </references>
      </pivotArea>
    </format>
    <format dxfId="1822">
      <pivotArea dataOnly="0" labelOnly="1" fieldPosition="0">
        <references count="3">
          <reference field="4" count="1" selected="0">
            <x v="1"/>
          </reference>
          <reference field="5" count="2">
            <x v="12"/>
            <x v="16"/>
          </reference>
          <reference field="8" count="1" selected="0">
            <x v="3"/>
          </reference>
        </references>
      </pivotArea>
    </format>
    <format dxfId="1823">
      <pivotArea dataOnly="0" labelOnly="1" fieldPosition="0">
        <references count="3">
          <reference field="4" count="1" selected="0">
            <x v="1"/>
          </reference>
          <reference field="5" count="5">
            <x v="9"/>
            <x v="12"/>
            <x v="14"/>
            <x v="15"/>
            <x v="16"/>
          </reference>
          <reference field="8" count="1" selected="0">
            <x v="4"/>
          </reference>
        </references>
      </pivotArea>
    </format>
    <format dxfId="1824">
      <pivotArea dataOnly="0" labelOnly="1" fieldPosition="0">
        <references count="3">
          <reference field="4" count="1" selected="0">
            <x v="1"/>
          </reference>
          <reference field="5" count="1">
            <x v="16"/>
          </reference>
          <reference field="8" count="1" selected="0">
            <x v="6"/>
          </reference>
        </references>
      </pivotArea>
    </format>
    <format dxfId="1825">
      <pivotArea dataOnly="0" labelOnly="1" fieldPosition="0">
        <references count="3">
          <reference field="4" count="1" selected="0">
            <x v="1"/>
          </reference>
          <reference field="5" count="1">
            <x v="15"/>
          </reference>
          <reference field="8" count="1" selected="0">
            <x v="9"/>
          </reference>
        </references>
      </pivotArea>
    </format>
    <format dxfId="1826">
      <pivotArea dataOnly="0" labelOnly="1" fieldPosition="0">
        <references count="3">
          <reference field="4" count="1" selected="0">
            <x v="1"/>
          </reference>
          <reference field="5" count="1">
            <x v="15"/>
          </reference>
          <reference field="8" count="1" selected="0">
            <x v="10"/>
          </reference>
        </references>
      </pivotArea>
    </format>
    <format dxfId="1827">
      <pivotArea dataOnly="0" labelOnly="1" fieldPosition="0">
        <references count="3">
          <reference field="4" count="1" selected="0">
            <x v="1"/>
          </reference>
          <reference field="5" count="6">
            <x v="3"/>
            <x v="12"/>
            <x v="14"/>
            <x v="15"/>
            <x v="16"/>
            <x v="20"/>
          </reference>
          <reference field="8" count="1" selected="0">
            <x v="11"/>
          </reference>
        </references>
      </pivotArea>
    </format>
    <format dxfId="1828">
      <pivotArea dataOnly="0" labelOnly="1" fieldPosition="0">
        <references count="3">
          <reference field="4" count="1" selected="0">
            <x v="1"/>
          </reference>
          <reference field="5" count="1">
            <x v="15"/>
          </reference>
          <reference field="8" count="1" selected="0">
            <x v="35"/>
          </reference>
        </references>
      </pivotArea>
    </format>
    <format dxfId="1829">
      <pivotArea dataOnly="0" labelOnly="1" fieldPosition="0">
        <references count="3">
          <reference field="4" count="1" selected="0">
            <x v="2"/>
          </reference>
          <reference field="5" count="2">
            <x v="12"/>
            <x v="16"/>
          </reference>
          <reference field="8" count="1" selected="0">
            <x v="3"/>
          </reference>
        </references>
      </pivotArea>
    </format>
    <format dxfId="1830">
      <pivotArea dataOnly="0" labelOnly="1" fieldPosition="0">
        <references count="3">
          <reference field="4" count="1" selected="0">
            <x v="2"/>
          </reference>
          <reference field="5" count="5">
            <x v="9"/>
            <x v="12"/>
            <x v="14"/>
            <x v="15"/>
            <x v="16"/>
          </reference>
          <reference field="8" count="1" selected="0">
            <x v="4"/>
          </reference>
        </references>
      </pivotArea>
    </format>
    <format dxfId="1831">
      <pivotArea dataOnly="0" labelOnly="1" fieldPosition="0">
        <references count="3">
          <reference field="4" count="1" selected="0">
            <x v="2"/>
          </reference>
          <reference field="5" count="1">
            <x v="16"/>
          </reference>
          <reference field="8" count="1" selected="0">
            <x v="6"/>
          </reference>
        </references>
      </pivotArea>
    </format>
    <format dxfId="1832">
      <pivotArea dataOnly="0" labelOnly="1" fieldPosition="0">
        <references count="3">
          <reference field="4" count="1" selected="0">
            <x v="2"/>
          </reference>
          <reference field="5" count="1">
            <x v="15"/>
          </reference>
          <reference field="8" count="1" selected="0">
            <x v="9"/>
          </reference>
        </references>
      </pivotArea>
    </format>
    <format dxfId="1833">
      <pivotArea dataOnly="0" labelOnly="1" fieldPosition="0">
        <references count="3">
          <reference field="4" count="1" selected="0">
            <x v="2"/>
          </reference>
          <reference field="5" count="1">
            <x v="15"/>
          </reference>
          <reference field="8" count="1" selected="0">
            <x v="10"/>
          </reference>
        </references>
      </pivotArea>
    </format>
    <format dxfId="1834">
      <pivotArea dataOnly="0" labelOnly="1" fieldPosition="0">
        <references count="3">
          <reference field="4" count="1" selected="0">
            <x v="2"/>
          </reference>
          <reference field="5" count="6">
            <x v="3"/>
            <x v="12"/>
            <x v="14"/>
            <x v="15"/>
            <x v="16"/>
            <x v="20"/>
          </reference>
          <reference field="8" count="1" selected="0">
            <x v="11"/>
          </reference>
        </references>
      </pivotArea>
    </format>
    <format dxfId="1835">
      <pivotArea dataOnly="0" labelOnly="1" fieldPosition="0">
        <references count="3">
          <reference field="4" count="1" selected="0">
            <x v="2"/>
          </reference>
          <reference field="5" count="1">
            <x v="15"/>
          </reference>
          <reference field="8" count="1" selected="0">
            <x v="35"/>
          </reference>
        </references>
      </pivotArea>
    </format>
    <format dxfId="1836">
      <pivotArea dataOnly="0" labelOnly="1" fieldPosition="0">
        <references count="3">
          <reference field="4" count="1" selected="0">
            <x v="3"/>
          </reference>
          <reference field="5" count="2">
            <x v="12"/>
            <x v="16"/>
          </reference>
          <reference field="8" count="1" selected="0">
            <x v="3"/>
          </reference>
        </references>
      </pivotArea>
    </format>
    <format dxfId="1837">
      <pivotArea dataOnly="0" labelOnly="1" fieldPosition="0">
        <references count="3">
          <reference field="4" count="1" selected="0">
            <x v="3"/>
          </reference>
          <reference field="5" count="5">
            <x v="9"/>
            <x v="12"/>
            <x v="14"/>
            <x v="15"/>
            <x v="16"/>
          </reference>
          <reference field="8" count="1" selected="0">
            <x v="4"/>
          </reference>
        </references>
      </pivotArea>
    </format>
    <format dxfId="1838">
      <pivotArea dataOnly="0" labelOnly="1" fieldPosition="0">
        <references count="3">
          <reference field="4" count="1" selected="0">
            <x v="3"/>
          </reference>
          <reference field="5" count="1">
            <x v="16"/>
          </reference>
          <reference field="8" count="1" selected="0">
            <x v="6"/>
          </reference>
        </references>
      </pivotArea>
    </format>
    <format dxfId="1839">
      <pivotArea dataOnly="0" labelOnly="1" fieldPosition="0">
        <references count="3">
          <reference field="4" count="1" selected="0">
            <x v="3"/>
          </reference>
          <reference field="5" count="1">
            <x v="15"/>
          </reference>
          <reference field="8" count="1" selected="0">
            <x v="9"/>
          </reference>
        </references>
      </pivotArea>
    </format>
    <format dxfId="1840">
      <pivotArea dataOnly="0" labelOnly="1" fieldPosition="0">
        <references count="3">
          <reference field="4" count="1" selected="0">
            <x v="3"/>
          </reference>
          <reference field="5" count="1">
            <x v="15"/>
          </reference>
          <reference field="8" count="1" selected="0">
            <x v="10"/>
          </reference>
        </references>
      </pivotArea>
    </format>
    <format dxfId="1841">
      <pivotArea dataOnly="0" labelOnly="1" fieldPosition="0">
        <references count="3">
          <reference field="4" count="1" selected="0">
            <x v="3"/>
          </reference>
          <reference field="5" count="6">
            <x v="3"/>
            <x v="12"/>
            <x v="14"/>
            <x v="15"/>
            <x v="16"/>
            <x v="20"/>
          </reference>
          <reference field="8" count="1" selected="0">
            <x v="11"/>
          </reference>
        </references>
      </pivotArea>
    </format>
    <format dxfId="1842">
      <pivotArea dataOnly="0" labelOnly="1" fieldPosition="0">
        <references count="3">
          <reference field="4" count="1" selected="0">
            <x v="3"/>
          </reference>
          <reference field="5" count="1">
            <x v="15"/>
          </reference>
          <reference field="8" count="1" selected="0">
            <x v="35"/>
          </reference>
        </references>
      </pivotArea>
    </format>
    <format dxfId="1843">
      <pivotArea dataOnly="0" labelOnly="1" fieldPosition="0">
        <references count="3">
          <reference field="4" count="1" selected="0">
            <x v="4"/>
          </reference>
          <reference field="5" count="3">
            <x v="12"/>
            <x v="16"/>
            <x v="26"/>
          </reference>
          <reference field="8" count="1" selected="0">
            <x v="3"/>
          </reference>
        </references>
      </pivotArea>
    </format>
    <format dxfId="1844">
      <pivotArea dataOnly="0" labelOnly="1" fieldPosition="0">
        <references count="3">
          <reference field="4" count="1" selected="0">
            <x v="4"/>
          </reference>
          <reference field="5" count="6">
            <x v="9"/>
            <x v="12"/>
            <x v="14"/>
            <x v="15"/>
            <x v="16"/>
            <x v="26"/>
          </reference>
          <reference field="8" count="1" selected="0">
            <x v="4"/>
          </reference>
        </references>
      </pivotArea>
    </format>
    <format dxfId="1845">
      <pivotArea dataOnly="0" labelOnly="1" fieldPosition="0">
        <references count="3">
          <reference field="4" count="1" selected="0">
            <x v="4"/>
          </reference>
          <reference field="5" count="1">
            <x v="26"/>
          </reference>
          <reference field="8" count="1" selected="0">
            <x v="5"/>
          </reference>
        </references>
      </pivotArea>
    </format>
    <format dxfId="1846">
      <pivotArea dataOnly="0" labelOnly="1" fieldPosition="0">
        <references count="3">
          <reference field="4" count="1" selected="0">
            <x v="4"/>
          </reference>
          <reference field="5" count="1">
            <x v="16"/>
          </reference>
          <reference field="8" count="1" selected="0">
            <x v="6"/>
          </reference>
        </references>
      </pivotArea>
    </format>
    <format dxfId="1847">
      <pivotArea dataOnly="0" labelOnly="1" fieldPosition="0">
        <references count="3">
          <reference field="4" count="1" selected="0">
            <x v="4"/>
          </reference>
          <reference field="5" count="2">
            <x v="15"/>
            <x v="26"/>
          </reference>
          <reference field="8" count="1" selected="0">
            <x v="9"/>
          </reference>
        </references>
      </pivotArea>
    </format>
    <format dxfId="1848">
      <pivotArea dataOnly="0" labelOnly="1" fieldPosition="0">
        <references count="3">
          <reference field="4" count="1" selected="0">
            <x v="4"/>
          </reference>
          <reference field="5" count="1">
            <x v="15"/>
          </reference>
          <reference field="8" count="1" selected="0">
            <x v="10"/>
          </reference>
        </references>
      </pivotArea>
    </format>
    <format dxfId="1849">
      <pivotArea dataOnly="0" labelOnly="1" fieldPosition="0">
        <references count="3">
          <reference field="4" count="1" selected="0">
            <x v="4"/>
          </reference>
          <reference field="5" count="6">
            <x v="3"/>
            <x v="12"/>
            <x v="14"/>
            <x v="15"/>
            <x v="16"/>
            <x v="20"/>
          </reference>
          <reference field="8" count="1" selected="0">
            <x v="11"/>
          </reference>
        </references>
      </pivotArea>
    </format>
    <format dxfId="1850">
      <pivotArea dataOnly="0" labelOnly="1" fieldPosition="0">
        <references count="3">
          <reference field="4" count="1" selected="0">
            <x v="4"/>
          </reference>
          <reference field="5" count="1">
            <x v="15"/>
          </reference>
          <reference field="8" count="1" selected="0">
            <x v="35"/>
          </reference>
        </references>
      </pivotArea>
    </format>
    <format dxfId="1851">
      <pivotArea dataOnly="0" labelOnly="1" fieldPosition="0">
        <references count="3">
          <reference field="4" count="1" selected="0">
            <x v="5"/>
          </reference>
          <reference field="5" count="2">
            <x v="1"/>
            <x v="21"/>
          </reference>
          <reference field="8" count="1" selected="0">
            <x v="3"/>
          </reference>
        </references>
      </pivotArea>
    </format>
    <format dxfId="1852">
      <pivotArea dataOnly="0" labelOnly="1" fieldPosition="0">
        <references count="3">
          <reference field="4" count="1" selected="0">
            <x v="5"/>
          </reference>
          <reference field="5" count="4">
            <x v="1"/>
            <x v="13"/>
            <x v="21"/>
            <x v="22"/>
          </reference>
          <reference field="8" count="1" selected="0">
            <x v="4"/>
          </reference>
        </references>
      </pivotArea>
    </format>
    <format dxfId="1853">
      <pivotArea dataOnly="0" labelOnly="1" fieldPosition="0">
        <references count="3">
          <reference field="4" count="1" selected="0">
            <x v="5"/>
          </reference>
          <reference field="5" count="3">
            <x v="1"/>
            <x v="21"/>
            <x v="23"/>
          </reference>
          <reference field="8" count="1" selected="0">
            <x v="5"/>
          </reference>
        </references>
      </pivotArea>
    </format>
    <format dxfId="1854">
      <pivotArea dataOnly="0" labelOnly="1" fieldPosition="0">
        <references count="3">
          <reference field="4" count="1" selected="0">
            <x v="5"/>
          </reference>
          <reference field="5" count="2">
            <x v="1"/>
            <x v="22"/>
          </reference>
          <reference field="8" count="1" selected="0">
            <x v="9"/>
          </reference>
        </references>
      </pivotArea>
    </format>
    <format dxfId="1855">
      <pivotArea dataOnly="0" labelOnly="1" fieldPosition="0">
        <references count="3">
          <reference field="4" count="1" selected="0">
            <x v="5"/>
          </reference>
          <reference field="5" count="3">
            <x v="1"/>
            <x v="21"/>
            <x v="22"/>
          </reference>
          <reference field="8" count="1" selected="0">
            <x v="10"/>
          </reference>
        </references>
      </pivotArea>
    </format>
    <format dxfId="1856">
      <pivotArea dataOnly="0" labelOnly="1" fieldPosition="0">
        <references count="3">
          <reference field="4" count="1" selected="0">
            <x v="5"/>
          </reference>
          <reference field="5" count="4">
            <x v="1"/>
            <x v="13"/>
            <x v="21"/>
            <x v="23"/>
          </reference>
          <reference field="8" count="1" selected="0">
            <x v="11"/>
          </reference>
        </references>
      </pivotArea>
    </format>
    <format dxfId="1857">
      <pivotArea dataOnly="0" labelOnly="1" fieldPosition="0">
        <references count="3">
          <reference field="4" count="1" selected="0">
            <x v="5"/>
          </reference>
          <reference field="5" count="1">
            <x v="21"/>
          </reference>
          <reference field="8" count="1" selected="0">
            <x v="28"/>
          </reference>
        </references>
      </pivotArea>
    </format>
    <format dxfId="1858">
      <pivotArea dataOnly="0" labelOnly="1" fieldPosition="0">
        <references count="3">
          <reference field="4" count="1" selected="0">
            <x v="5"/>
          </reference>
          <reference field="5" count="1">
            <x v="21"/>
          </reference>
          <reference field="8" count="1" selected="0">
            <x v="29"/>
          </reference>
        </references>
      </pivotArea>
    </format>
    <format dxfId="1859">
      <pivotArea dataOnly="0" labelOnly="1" fieldPosition="0">
        <references count="3">
          <reference field="4" count="1" selected="0">
            <x v="6"/>
          </reference>
          <reference field="5" count="2">
            <x v="12"/>
            <x v="16"/>
          </reference>
          <reference field="8" count="1" selected="0">
            <x v="3"/>
          </reference>
        </references>
      </pivotArea>
    </format>
    <format dxfId="1860">
      <pivotArea dataOnly="0" labelOnly="1" fieldPosition="0">
        <references count="3">
          <reference field="4" count="1" selected="0">
            <x v="6"/>
          </reference>
          <reference field="5" count="5">
            <x v="9"/>
            <x v="12"/>
            <x v="14"/>
            <x v="15"/>
            <x v="16"/>
          </reference>
          <reference field="8" count="1" selected="0">
            <x v="4"/>
          </reference>
        </references>
      </pivotArea>
    </format>
    <format dxfId="1861">
      <pivotArea dataOnly="0" labelOnly="1" fieldPosition="0">
        <references count="3">
          <reference field="4" count="1" selected="0">
            <x v="6"/>
          </reference>
          <reference field="5" count="1">
            <x v="16"/>
          </reference>
          <reference field="8" count="1" selected="0">
            <x v="6"/>
          </reference>
        </references>
      </pivotArea>
    </format>
    <format dxfId="1862">
      <pivotArea dataOnly="0" labelOnly="1" fieldPosition="0">
        <references count="3">
          <reference field="4" count="1" selected="0">
            <x v="6"/>
          </reference>
          <reference field="5" count="1">
            <x v="15"/>
          </reference>
          <reference field="8" count="1" selected="0">
            <x v="9"/>
          </reference>
        </references>
      </pivotArea>
    </format>
    <format dxfId="1863">
      <pivotArea dataOnly="0" labelOnly="1" fieldPosition="0">
        <references count="3">
          <reference field="4" count="1" selected="0">
            <x v="6"/>
          </reference>
          <reference field="5" count="1">
            <x v="15"/>
          </reference>
          <reference field="8" count="1" selected="0">
            <x v="10"/>
          </reference>
        </references>
      </pivotArea>
    </format>
    <format dxfId="1864">
      <pivotArea dataOnly="0" labelOnly="1" fieldPosition="0">
        <references count="3">
          <reference field="4" count="1" selected="0">
            <x v="6"/>
          </reference>
          <reference field="5" count="6">
            <x v="3"/>
            <x v="12"/>
            <x v="14"/>
            <x v="15"/>
            <x v="16"/>
            <x v="20"/>
          </reference>
          <reference field="8" count="1" selected="0">
            <x v="11"/>
          </reference>
        </references>
      </pivotArea>
    </format>
    <format dxfId="1865">
      <pivotArea dataOnly="0" labelOnly="1" fieldPosition="0">
        <references count="3">
          <reference field="4" count="1" selected="0">
            <x v="6"/>
          </reference>
          <reference field="5" count="1">
            <x v="15"/>
          </reference>
          <reference field="8" count="1" selected="0">
            <x v="35"/>
          </reference>
        </references>
      </pivotArea>
    </format>
    <format dxfId="1866">
      <pivotArea dataOnly="0" labelOnly="1" fieldPosition="0">
        <references count="4">
          <reference field="4" count="1" selected="0">
            <x v="0"/>
          </reference>
          <reference field="5" count="1" selected="0">
            <x v="12"/>
          </reference>
          <reference field="6" count="2">
            <x v="21"/>
            <x v="119"/>
          </reference>
          <reference field="8" count="1" selected="0">
            <x v="3"/>
          </reference>
        </references>
      </pivotArea>
    </format>
    <format dxfId="1867">
      <pivotArea dataOnly="0" labelOnly="1" fieldPosition="0">
        <references count="4">
          <reference field="4" count="1" selected="0">
            <x v="0"/>
          </reference>
          <reference field="5" count="1" selected="0">
            <x v="16"/>
          </reference>
          <reference field="6" count="2">
            <x v="101"/>
            <x v="149"/>
          </reference>
          <reference field="8" count="1" selected="0">
            <x v="3"/>
          </reference>
        </references>
      </pivotArea>
    </format>
    <format dxfId="1868">
      <pivotArea dataOnly="0" labelOnly="1" fieldPosition="0">
        <references count="4">
          <reference field="4" count="1" selected="0">
            <x v="0"/>
          </reference>
          <reference field="5" count="1" selected="0">
            <x v="9"/>
          </reference>
          <reference field="6" count="1">
            <x v="84"/>
          </reference>
          <reference field="8" count="1" selected="0">
            <x v="4"/>
          </reference>
        </references>
      </pivotArea>
    </format>
    <format dxfId="1869">
      <pivotArea dataOnly="0" labelOnly="1" fieldPosition="0">
        <references count="4">
          <reference field="4" count="1" selected="0">
            <x v="0"/>
          </reference>
          <reference field="5" count="1" selected="0">
            <x v="12"/>
          </reference>
          <reference field="6" count="3">
            <x v="21"/>
            <x v="119"/>
            <x v="124"/>
          </reference>
          <reference field="8" count="1" selected="0">
            <x v="4"/>
          </reference>
        </references>
      </pivotArea>
    </format>
    <format dxfId="1870">
      <pivotArea dataOnly="0" labelOnly="1" fieldPosition="0">
        <references count="4">
          <reference field="4" count="1" selected="0">
            <x v="0"/>
          </reference>
          <reference field="5" count="1" selected="0">
            <x v="14"/>
          </reference>
          <reference field="6" count="1">
            <x v="92"/>
          </reference>
          <reference field="8" count="1" selected="0">
            <x v="4"/>
          </reference>
        </references>
      </pivotArea>
    </format>
    <format dxfId="1871">
      <pivotArea dataOnly="0" labelOnly="1" fieldPosition="0">
        <references count="4">
          <reference field="4" count="1" selected="0">
            <x v="0"/>
          </reference>
          <reference field="5" count="1" selected="0">
            <x v="15"/>
          </reference>
          <reference field="6" count="1">
            <x v="106"/>
          </reference>
          <reference field="8" count="1" selected="0">
            <x v="4"/>
          </reference>
        </references>
      </pivotArea>
    </format>
    <format dxfId="1872">
      <pivotArea dataOnly="0" labelOnly="1" fieldPosition="0">
        <references count="4">
          <reference field="4" count="1" selected="0">
            <x v="0"/>
          </reference>
          <reference field="5" count="1" selected="0">
            <x v="16"/>
          </reference>
          <reference field="6" count="4">
            <x v="26"/>
            <x v="90"/>
            <x v="101"/>
            <x v="149"/>
          </reference>
          <reference field="8" count="1" selected="0">
            <x v="4"/>
          </reference>
        </references>
      </pivotArea>
    </format>
    <format dxfId="1873">
      <pivotArea dataOnly="0" labelOnly="1" fieldPosition="0">
        <references count="4">
          <reference field="4" count="1" selected="0">
            <x v="0"/>
          </reference>
          <reference field="5" count="1" selected="0">
            <x v="16"/>
          </reference>
          <reference field="6" count="2">
            <x v="23"/>
            <x v="101"/>
          </reference>
          <reference field="8" count="1" selected="0">
            <x v="6"/>
          </reference>
        </references>
      </pivotArea>
    </format>
    <format dxfId="1874">
      <pivotArea dataOnly="0" labelOnly="1" fieldPosition="0">
        <references count="4">
          <reference field="4" count="1" selected="0">
            <x v="0"/>
          </reference>
          <reference field="5" count="1" selected="0">
            <x v="15"/>
          </reference>
          <reference field="6" count="2">
            <x v="12"/>
            <x v="32"/>
          </reference>
          <reference field="8" count="1" selected="0">
            <x v="9"/>
          </reference>
        </references>
      </pivotArea>
    </format>
    <format dxfId="1875">
      <pivotArea dataOnly="0" labelOnly="1" fieldPosition="0">
        <references count="4">
          <reference field="4" count="1" selected="0">
            <x v="0"/>
          </reference>
          <reference field="5" count="1" selected="0">
            <x v="15"/>
          </reference>
          <reference field="6" count="3">
            <x v="32"/>
            <x v="109"/>
            <x v="114"/>
          </reference>
          <reference field="8" count="1" selected="0">
            <x v="10"/>
          </reference>
        </references>
      </pivotArea>
    </format>
    <format dxfId="1876">
      <pivotArea dataOnly="0" labelOnly="1" fieldPosition="0">
        <references count="4">
          <reference field="4" count="1" selected="0">
            <x v="0"/>
          </reference>
          <reference field="5" count="1" selected="0">
            <x v="3"/>
          </reference>
          <reference field="6" count="1">
            <x v="27"/>
          </reference>
          <reference field="8" count="1" selected="0">
            <x v="11"/>
          </reference>
        </references>
      </pivotArea>
    </format>
    <format dxfId="1877">
      <pivotArea dataOnly="0" labelOnly="1" fieldPosition="0">
        <references count="4">
          <reference field="4" count="1" selected="0">
            <x v="0"/>
          </reference>
          <reference field="5" count="1" selected="0">
            <x v="12"/>
          </reference>
          <reference field="6" count="1">
            <x v="123"/>
          </reference>
          <reference field="8" count="1" selected="0">
            <x v="11"/>
          </reference>
        </references>
      </pivotArea>
    </format>
    <format dxfId="1878">
      <pivotArea dataOnly="0" labelOnly="1" fieldPosition="0">
        <references count="4">
          <reference field="4" count="1" selected="0">
            <x v="0"/>
          </reference>
          <reference field="5" count="1" selected="0">
            <x v="14"/>
          </reference>
          <reference field="6" count="1">
            <x v="26"/>
          </reference>
          <reference field="8" count="1" selected="0">
            <x v="11"/>
          </reference>
        </references>
      </pivotArea>
    </format>
    <format dxfId="1879">
      <pivotArea dataOnly="0" labelOnly="1" fieldPosition="0">
        <references count="4">
          <reference field="4" count="1" selected="0">
            <x v="0"/>
          </reference>
          <reference field="5" count="1" selected="0">
            <x v="15"/>
          </reference>
          <reference field="6" count="7">
            <x v="7"/>
            <x v="41"/>
            <x v="45"/>
            <x v="46"/>
            <x v="105"/>
            <x v="107"/>
            <x v="148"/>
          </reference>
          <reference field="8" count="1" selected="0">
            <x v="11"/>
          </reference>
        </references>
      </pivotArea>
    </format>
    <format dxfId="1880">
      <pivotArea dataOnly="0" labelOnly="1" fieldPosition="0">
        <references count="4">
          <reference field="4" count="1" selected="0">
            <x v="0"/>
          </reference>
          <reference field="5" count="1" selected="0">
            <x v="16"/>
          </reference>
          <reference field="6" count="2">
            <x v="90"/>
            <x v="101"/>
          </reference>
          <reference field="8" count="1" selected="0">
            <x v="11"/>
          </reference>
        </references>
      </pivotArea>
    </format>
    <format dxfId="1881">
      <pivotArea dataOnly="0" labelOnly="1" fieldPosition="0">
        <references count="4">
          <reference field="4" count="1" selected="0">
            <x v="0"/>
          </reference>
          <reference field="5" count="1" selected="0">
            <x v="20"/>
          </reference>
          <reference field="6" count="1">
            <x v="44"/>
          </reference>
          <reference field="8" count="1" selected="0">
            <x v="11"/>
          </reference>
        </references>
      </pivotArea>
    </format>
    <format dxfId="1882">
      <pivotArea dataOnly="0" labelOnly="1" fieldPosition="0">
        <references count="4">
          <reference field="4" count="1" selected="0">
            <x v="0"/>
          </reference>
          <reference field="5" count="1" selected="0">
            <x v="15"/>
          </reference>
          <reference field="6" count="1">
            <x v="45"/>
          </reference>
          <reference field="8" count="1" selected="0">
            <x v="35"/>
          </reference>
        </references>
      </pivotArea>
    </format>
    <format dxfId="1883">
      <pivotArea dataOnly="0" labelOnly="1" fieldPosition="0">
        <references count="4">
          <reference field="4" count="1" selected="0">
            <x v="1"/>
          </reference>
          <reference field="5" count="1" selected="0">
            <x v="12"/>
          </reference>
          <reference field="6" count="2">
            <x v="21"/>
            <x v="119"/>
          </reference>
          <reference field="8" count="1" selected="0">
            <x v="3"/>
          </reference>
        </references>
      </pivotArea>
    </format>
    <format dxfId="1884">
      <pivotArea dataOnly="0" labelOnly="1" fieldPosition="0">
        <references count="4">
          <reference field="4" count="1" selected="0">
            <x v="1"/>
          </reference>
          <reference field="5" count="1" selected="0">
            <x v="16"/>
          </reference>
          <reference field="6" count="2">
            <x v="101"/>
            <x v="149"/>
          </reference>
          <reference field="8" count="1" selected="0">
            <x v="3"/>
          </reference>
        </references>
      </pivotArea>
    </format>
    <format dxfId="1885">
      <pivotArea dataOnly="0" labelOnly="1" fieldPosition="0">
        <references count="4">
          <reference field="4" count="1" selected="0">
            <x v="1"/>
          </reference>
          <reference field="5" count="1" selected="0">
            <x v="9"/>
          </reference>
          <reference field="6" count="1">
            <x v="84"/>
          </reference>
          <reference field="8" count="1" selected="0">
            <x v="4"/>
          </reference>
        </references>
      </pivotArea>
    </format>
    <format dxfId="1886">
      <pivotArea dataOnly="0" labelOnly="1" fieldPosition="0">
        <references count="4">
          <reference field="4" count="1" selected="0">
            <x v="1"/>
          </reference>
          <reference field="5" count="1" selected="0">
            <x v="12"/>
          </reference>
          <reference field="6" count="3">
            <x v="21"/>
            <x v="119"/>
            <x v="124"/>
          </reference>
          <reference field="8" count="1" selected="0">
            <x v="4"/>
          </reference>
        </references>
      </pivotArea>
    </format>
    <format dxfId="1887">
      <pivotArea dataOnly="0" labelOnly="1" fieldPosition="0">
        <references count="4">
          <reference field="4" count="1" selected="0">
            <x v="1"/>
          </reference>
          <reference field="5" count="1" selected="0">
            <x v="14"/>
          </reference>
          <reference field="6" count="1">
            <x v="93"/>
          </reference>
          <reference field="8" count="1" selected="0">
            <x v="4"/>
          </reference>
        </references>
      </pivotArea>
    </format>
    <format dxfId="1888">
      <pivotArea dataOnly="0" labelOnly="1" fieldPosition="0">
        <references count="4">
          <reference field="4" count="1" selected="0">
            <x v="1"/>
          </reference>
          <reference field="5" count="1" selected="0">
            <x v="15"/>
          </reference>
          <reference field="6" count="1">
            <x v="106"/>
          </reference>
          <reference field="8" count="1" selected="0">
            <x v="4"/>
          </reference>
        </references>
      </pivotArea>
    </format>
    <format dxfId="1889">
      <pivotArea dataOnly="0" labelOnly="1" fieldPosition="0">
        <references count="4">
          <reference field="4" count="1" selected="0">
            <x v="1"/>
          </reference>
          <reference field="5" count="1" selected="0">
            <x v="16"/>
          </reference>
          <reference field="6" count="4">
            <x v="26"/>
            <x v="90"/>
            <x v="101"/>
            <x v="149"/>
          </reference>
          <reference field="8" count="1" selected="0">
            <x v="4"/>
          </reference>
        </references>
      </pivotArea>
    </format>
    <format dxfId="1890">
      <pivotArea dataOnly="0" labelOnly="1" fieldPosition="0">
        <references count="4">
          <reference field="4" count="1" selected="0">
            <x v="1"/>
          </reference>
          <reference field="5" count="1" selected="0">
            <x v="16"/>
          </reference>
          <reference field="6" count="2">
            <x v="23"/>
            <x v="101"/>
          </reference>
          <reference field="8" count="1" selected="0">
            <x v="6"/>
          </reference>
        </references>
      </pivotArea>
    </format>
    <format dxfId="1891">
      <pivotArea dataOnly="0" labelOnly="1" fieldPosition="0">
        <references count="4">
          <reference field="4" count="1" selected="0">
            <x v="1"/>
          </reference>
          <reference field="5" count="1" selected="0">
            <x v="15"/>
          </reference>
          <reference field="6" count="2">
            <x v="12"/>
            <x v="32"/>
          </reference>
          <reference field="8" count="1" selected="0">
            <x v="9"/>
          </reference>
        </references>
      </pivotArea>
    </format>
    <format dxfId="1892">
      <pivotArea dataOnly="0" labelOnly="1" fieldPosition="0">
        <references count="4">
          <reference field="4" count="1" selected="0">
            <x v="1"/>
          </reference>
          <reference field="5" count="1" selected="0">
            <x v="15"/>
          </reference>
          <reference field="6" count="3">
            <x v="32"/>
            <x v="109"/>
            <x v="114"/>
          </reference>
          <reference field="8" count="1" selected="0">
            <x v="10"/>
          </reference>
        </references>
      </pivotArea>
    </format>
    <format dxfId="1893">
      <pivotArea dataOnly="0" labelOnly="1" fieldPosition="0">
        <references count="4">
          <reference field="4" count="1" selected="0">
            <x v="1"/>
          </reference>
          <reference field="5" count="1" selected="0">
            <x v="3"/>
          </reference>
          <reference field="6" count="1">
            <x v="27"/>
          </reference>
          <reference field="8" count="1" selected="0">
            <x v="11"/>
          </reference>
        </references>
      </pivotArea>
    </format>
    <format dxfId="1894">
      <pivotArea dataOnly="0" labelOnly="1" fieldPosition="0">
        <references count="4">
          <reference field="4" count="1" selected="0">
            <x v="1"/>
          </reference>
          <reference field="5" count="1" selected="0">
            <x v="12"/>
          </reference>
          <reference field="6" count="2">
            <x v="46"/>
            <x v="123"/>
          </reference>
          <reference field="8" count="1" selected="0">
            <x v="11"/>
          </reference>
        </references>
      </pivotArea>
    </format>
    <format dxfId="1895">
      <pivotArea dataOnly="0" labelOnly="1" fieldPosition="0">
        <references count="4">
          <reference field="4" count="1" selected="0">
            <x v="1"/>
          </reference>
          <reference field="5" count="1" selected="0">
            <x v="14"/>
          </reference>
          <reference field="6" count="1">
            <x v="26"/>
          </reference>
          <reference field="8" count="1" selected="0">
            <x v="11"/>
          </reference>
        </references>
      </pivotArea>
    </format>
    <format dxfId="1896">
      <pivotArea dataOnly="0" labelOnly="1" fieldPosition="0">
        <references count="4">
          <reference field="4" count="1" selected="0">
            <x v="1"/>
          </reference>
          <reference field="5" count="1" selected="0">
            <x v="15"/>
          </reference>
          <reference field="6" count="6">
            <x v="7"/>
            <x v="41"/>
            <x v="43"/>
            <x v="105"/>
            <x v="107"/>
            <x v="148"/>
          </reference>
          <reference field="8" count="1" selected="0">
            <x v="11"/>
          </reference>
        </references>
      </pivotArea>
    </format>
    <format dxfId="1897">
      <pivotArea dataOnly="0" labelOnly="1" fieldPosition="0">
        <references count="4">
          <reference field="4" count="1" selected="0">
            <x v="1"/>
          </reference>
          <reference field="5" count="1" selected="0">
            <x v="16"/>
          </reference>
          <reference field="6" count="3">
            <x v="64"/>
            <x v="90"/>
            <x v="101"/>
          </reference>
          <reference field="8" count="1" selected="0">
            <x v="11"/>
          </reference>
        </references>
      </pivotArea>
    </format>
    <format dxfId="1898">
      <pivotArea dataOnly="0" labelOnly="1" fieldPosition="0">
        <references count="4">
          <reference field="4" count="1" selected="0">
            <x v="1"/>
          </reference>
          <reference field="5" count="1" selected="0">
            <x v="20"/>
          </reference>
          <reference field="6" count="1">
            <x v="44"/>
          </reference>
          <reference field="8" count="1" selected="0">
            <x v="11"/>
          </reference>
        </references>
      </pivotArea>
    </format>
    <format dxfId="1899">
      <pivotArea dataOnly="0" labelOnly="1" fieldPosition="0">
        <references count="4">
          <reference field="4" count="1" selected="0">
            <x v="1"/>
          </reference>
          <reference field="5" count="1" selected="0">
            <x v="15"/>
          </reference>
          <reference field="6" count="1">
            <x v="43"/>
          </reference>
          <reference field="8" count="1" selected="0">
            <x v="35"/>
          </reference>
        </references>
      </pivotArea>
    </format>
    <format dxfId="1900">
      <pivotArea dataOnly="0" labelOnly="1" fieldPosition="0">
        <references count="4">
          <reference field="4" count="1" selected="0">
            <x v="2"/>
          </reference>
          <reference field="5" count="1" selected="0">
            <x v="12"/>
          </reference>
          <reference field="6" count="2">
            <x v="21"/>
            <x v="119"/>
          </reference>
          <reference field="8" count="1" selected="0">
            <x v="3"/>
          </reference>
        </references>
      </pivotArea>
    </format>
    <format dxfId="1901">
      <pivotArea dataOnly="0" labelOnly="1" fieldPosition="0">
        <references count="4">
          <reference field="4" count="1" selected="0">
            <x v="2"/>
          </reference>
          <reference field="5" count="1" selected="0">
            <x v="16"/>
          </reference>
          <reference field="6" count="2">
            <x v="101"/>
            <x v="149"/>
          </reference>
          <reference field="8" count="1" selected="0">
            <x v="3"/>
          </reference>
        </references>
      </pivotArea>
    </format>
    <format dxfId="1902">
      <pivotArea dataOnly="0" labelOnly="1" fieldPosition="0">
        <references count="4">
          <reference field="4" count="1" selected="0">
            <x v="2"/>
          </reference>
          <reference field="5" count="1" selected="0">
            <x v="9"/>
          </reference>
          <reference field="6" count="1">
            <x v="84"/>
          </reference>
          <reference field="8" count="1" selected="0">
            <x v="4"/>
          </reference>
        </references>
      </pivotArea>
    </format>
    <format dxfId="1903">
      <pivotArea dataOnly="0" labelOnly="1" fieldPosition="0">
        <references count="4">
          <reference field="4" count="1" selected="0">
            <x v="2"/>
          </reference>
          <reference field="5" count="1" selected="0">
            <x v="12"/>
          </reference>
          <reference field="6" count="3">
            <x v="21"/>
            <x v="119"/>
            <x v="124"/>
          </reference>
          <reference field="8" count="1" selected="0">
            <x v="4"/>
          </reference>
        </references>
      </pivotArea>
    </format>
    <format dxfId="1904">
      <pivotArea dataOnly="0" labelOnly="1" fieldPosition="0">
        <references count="4">
          <reference field="4" count="1" selected="0">
            <x v="2"/>
          </reference>
          <reference field="5" count="1" selected="0">
            <x v="14"/>
          </reference>
          <reference field="6" count="1">
            <x v="92"/>
          </reference>
          <reference field="8" count="1" selected="0">
            <x v="4"/>
          </reference>
        </references>
      </pivotArea>
    </format>
    <format dxfId="1905">
      <pivotArea dataOnly="0" labelOnly="1" fieldPosition="0">
        <references count="4">
          <reference field="4" count="1" selected="0">
            <x v="2"/>
          </reference>
          <reference field="5" count="1" selected="0">
            <x v="15"/>
          </reference>
          <reference field="6" count="1">
            <x v="106"/>
          </reference>
          <reference field="8" count="1" selected="0">
            <x v="4"/>
          </reference>
        </references>
      </pivotArea>
    </format>
    <format dxfId="1906">
      <pivotArea dataOnly="0" labelOnly="1" fieldPosition="0">
        <references count="4">
          <reference field="4" count="1" selected="0">
            <x v="2"/>
          </reference>
          <reference field="5" count="1" selected="0">
            <x v="16"/>
          </reference>
          <reference field="6" count="4">
            <x v="26"/>
            <x v="89"/>
            <x v="101"/>
            <x v="149"/>
          </reference>
          <reference field="8" count="1" selected="0">
            <x v="4"/>
          </reference>
        </references>
      </pivotArea>
    </format>
    <format dxfId="1907">
      <pivotArea dataOnly="0" labelOnly="1" fieldPosition="0">
        <references count="4">
          <reference field="4" count="1" selected="0">
            <x v="2"/>
          </reference>
          <reference field="5" count="1" selected="0">
            <x v="16"/>
          </reference>
          <reference field="6" count="2">
            <x v="23"/>
            <x v="101"/>
          </reference>
          <reference field="8" count="1" selected="0">
            <x v="6"/>
          </reference>
        </references>
      </pivotArea>
    </format>
    <format dxfId="1908">
      <pivotArea dataOnly="0" labelOnly="1" fieldPosition="0">
        <references count="4">
          <reference field="4" count="1" selected="0">
            <x v="2"/>
          </reference>
          <reference field="5" count="1" selected="0">
            <x v="15"/>
          </reference>
          <reference field="6" count="2">
            <x v="12"/>
            <x v="32"/>
          </reference>
          <reference field="8" count="1" selected="0">
            <x v="9"/>
          </reference>
        </references>
      </pivotArea>
    </format>
    <format dxfId="1909">
      <pivotArea dataOnly="0" labelOnly="1" fieldPosition="0">
        <references count="4">
          <reference field="4" count="1" selected="0">
            <x v="2"/>
          </reference>
          <reference field="5" count="1" selected="0">
            <x v="15"/>
          </reference>
          <reference field="6" count="3">
            <x v="32"/>
            <x v="109"/>
            <x v="114"/>
          </reference>
          <reference field="8" count="1" selected="0">
            <x v="10"/>
          </reference>
        </references>
      </pivotArea>
    </format>
    <format dxfId="1910">
      <pivotArea dataOnly="0" labelOnly="1" fieldPosition="0">
        <references count="4">
          <reference field="4" count="1" selected="0">
            <x v="2"/>
          </reference>
          <reference field="5" count="1" selected="0">
            <x v="3"/>
          </reference>
          <reference field="6" count="1">
            <x v="27"/>
          </reference>
          <reference field="8" count="1" selected="0">
            <x v="11"/>
          </reference>
        </references>
      </pivotArea>
    </format>
    <format dxfId="1911">
      <pivotArea dataOnly="0" labelOnly="1" fieldPosition="0">
        <references count="4">
          <reference field="4" count="1" selected="0">
            <x v="2"/>
          </reference>
          <reference field="5" count="1" selected="0">
            <x v="12"/>
          </reference>
          <reference field="6" count="2">
            <x v="46"/>
            <x v="123"/>
          </reference>
          <reference field="8" count="1" selected="0">
            <x v="11"/>
          </reference>
        </references>
      </pivotArea>
    </format>
    <format dxfId="1912">
      <pivotArea dataOnly="0" labelOnly="1" fieldPosition="0">
        <references count="4">
          <reference field="4" count="1" selected="0">
            <x v="2"/>
          </reference>
          <reference field="5" count="1" selected="0">
            <x v="14"/>
          </reference>
          <reference field="6" count="1">
            <x v="26"/>
          </reference>
          <reference field="8" count="1" selected="0">
            <x v="11"/>
          </reference>
        </references>
      </pivotArea>
    </format>
    <format dxfId="1913">
      <pivotArea dataOnly="0" labelOnly="1" fieldPosition="0">
        <references count="4">
          <reference field="4" count="1" selected="0">
            <x v="2"/>
          </reference>
          <reference field="5" count="1" selected="0">
            <x v="15"/>
          </reference>
          <reference field="6" count="6">
            <x v="7"/>
            <x v="41"/>
            <x v="43"/>
            <x v="105"/>
            <x v="107"/>
            <x v="148"/>
          </reference>
          <reference field="8" count="1" selected="0">
            <x v="11"/>
          </reference>
        </references>
      </pivotArea>
    </format>
    <format dxfId="1914">
      <pivotArea dataOnly="0" labelOnly="1" fieldPosition="0">
        <references count="4">
          <reference field="4" count="1" selected="0">
            <x v="2"/>
          </reference>
          <reference field="5" count="1" selected="0">
            <x v="16"/>
          </reference>
          <reference field="6" count="2">
            <x v="89"/>
            <x v="101"/>
          </reference>
          <reference field="8" count="1" selected="0">
            <x v="11"/>
          </reference>
        </references>
      </pivotArea>
    </format>
    <format dxfId="1915">
      <pivotArea dataOnly="0" labelOnly="1" fieldPosition="0">
        <references count="4">
          <reference field="4" count="1" selected="0">
            <x v="2"/>
          </reference>
          <reference field="5" count="1" selected="0">
            <x v="20"/>
          </reference>
          <reference field="6" count="1">
            <x v="44"/>
          </reference>
          <reference field="8" count="1" selected="0">
            <x v="11"/>
          </reference>
        </references>
      </pivotArea>
    </format>
    <format dxfId="1916">
      <pivotArea dataOnly="0" labelOnly="1" fieldPosition="0">
        <references count="4">
          <reference field="4" count="1" selected="0">
            <x v="2"/>
          </reference>
          <reference field="5" count="1" selected="0">
            <x v="15"/>
          </reference>
          <reference field="6" count="1">
            <x v="43"/>
          </reference>
          <reference field="8" count="1" selected="0">
            <x v="35"/>
          </reference>
        </references>
      </pivotArea>
    </format>
    <format dxfId="1917">
      <pivotArea dataOnly="0" labelOnly="1" fieldPosition="0">
        <references count="4">
          <reference field="4" count="1" selected="0">
            <x v="3"/>
          </reference>
          <reference field="5" count="1" selected="0">
            <x v="12"/>
          </reference>
          <reference field="6" count="2">
            <x v="21"/>
            <x v="119"/>
          </reference>
          <reference field="8" count="1" selected="0">
            <x v="3"/>
          </reference>
        </references>
      </pivotArea>
    </format>
    <format dxfId="1918">
      <pivotArea dataOnly="0" labelOnly="1" fieldPosition="0">
        <references count="4">
          <reference field="4" count="1" selected="0">
            <x v="3"/>
          </reference>
          <reference field="5" count="1" selected="0">
            <x v="16"/>
          </reference>
          <reference field="6" count="2">
            <x v="101"/>
            <x v="149"/>
          </reference>
          <reference field="8" count="1" selected="0">
            <x v="3"/>
          </reference>
        </references>
      </pivotArea>
    </format>
    <format dxfId="1919">
      <pivotArea dataOnly="0" labelOnly="1" fieldPosition="0">
        <references count="4">
          <reference field="4" count="1" selected="0">
            <x v="3"/>
          </reference>
          <reference field="5" count="1" selected="0">
            <x v="9"/>
          </reference>
          <reference field="6" count="1">
            <x v="84"/>
          </reference>
          <reference field="8" count="1" selected="0">
            <x v="4"/>
          </reference>
        </references>
      </pivotArea>
    </format>
    <format dxfId="1920">
      <pivotArea dataOnly="0" labelOnly="1" fieldPosition="0">
        <references count="4">
          <reference field="4" count="1" selected="0">
            <x v="3"/>
          </reference>
          <reference field="5" count="1" selected="0">
            <x v="12"/>
          </reference>
          <reference field="6" count="3">
            <x v="21"/>
            <x v="119"/>
            <x v="124"/>
          </reference>
          <reference field="8" count="1" selected="0">
            <x v="4"/>
          </reference>
        </references>
      </pivotArea>
    </format>
    <format dxfId="1921">
      <pivotArea dataOnly="0" labelOnly="1" fieldPosition="0">
        <references count="4">
          <reference field="4" count="1" selected="0">
            <x v="3"/>
          </reference>
          <reference field="5" count="1" selected="0">
            <x v="14"/>
          </reference>
          <reference field="6" count="1">
            <x v="92"/>
          </reference>
          <reference field="8" count="1" selected="0">
            <x v="4"/>
          </reference>
        </references>
      </pivotArea>
    </format>
    <format dxfId="1922">
      <pivotArea dataOnly="0" labelOnly="1" fieldPosition="0">
        <references count="4">
          <reference field="4" count="1" selected="0">
            <x v="3"/>
          </reference>
          <reference field="5" count="1" selected="0">
            <x v="15"/>
          </reference>
          <reference field="6" count="1">
            <x v="106"/>
          </reference>
          <reference field="8" count="1" selected="0">
            <x v="4"/>
          </reference>
        </references>
      </pivotArea>
    </format>
    <format dxfId="1923">
      <pivotArea dataOnly="0" labelOnly="1" fieldPosition="0">
        <references count="4">
          <reference field="4" count="1" selected="0">
            <x v="3"/>
          </reference>
          <reference field="5" count="1" selected="0">
            <x v="16"/>
          </reference>
          <reference field="6" count="4">
            <x v="26"/>
            <x v="89"/>
            <x v="101"/>
            <x v="149"/>
          </reference>
          <reference field="8" count="1" selected="0">
            <x v="4"/>
          </reference>
        </references>
      </pivotArea>
    </format>
    <format dxfId="1924">
      <pivotArea dataOnly="0" labelOnly="1" fieldPosition="0">
        <references count="4">
          <reference field="4" count="1" selected="0">
            <x v="3"/>
          </reference>
          <reference field="5" count="1" selected="0">
            <x v="16"/>
          </reference>
          <reference field="6" count="2">
            <x v="23"/>
            <x v="101"/>
          </reference>
          <reference field="8" count="1" selected="0">
            <x v="6"/>
          </reference>
        </references>
      </pivotArea>
    </format>
    <format dxfId="1925">
      <pivotArea dataOnly="0" labelOnly="1" fieldPosition="0">
        <references count="4">
          <reference field="4" count="1" selected="0">
            <x v="3"/>
          </reference>
          <reference field="5" count="1" selected="0">
            <x v="15"/>
          </reference>
          <reference field="6" count="2">
            <x v="12"/>
            <x v="32"/>
          </reference>
          <reference field="8" count="1" selected="0">
            <x v="9"/>
          </reference>
        </references>
      </pivotArea>
    </format>
    <format dxfId="1926">
      <pivotArea dataOnly="0" labelOnly="1" fieldPosition="0">
        <references count="4">
          <reference field="4" count="1" selected="0">
            <x v="3"/>
          </reference>
          <reference field="5" count="1" selected="0">
            <x v="15"/>
          </reference>
          <reference field="6" count="3">
            <x v="32"/>
            <x v="109"/>
            <x v="114"/>
          </reference>
          <reference field="8" count="1" selected="0">
            <x v="10"/>
          </reference>
        </references>
      </pivotArea>
    </format>
    <format dxfId="1927">
      <pivotArea dataOnly="0" labelOnly="1" fieldPosition="0">
        <references count="4">
          <reference field="4" count="1" selected="0">
            <x v="3"/>
          </reference>
          <reference field="5" count="1" selected="0">
            <x v="3"/>
          </reference>
          <reference field="6" count="1">
            <x v="27"/>
          </reference>
          <reference field="8" count="1" selected="0">
            <x v="11"/>
          </reference>
        </references>
      </pivotArea>
    </format>
    <format dxfId="1928">
      <pivotArea dataOnly="0" labelOnly="1" fieldPosition="0">
        <references count="4">
          <reference field="4" count="1" selected="0">
            <x v="3"/>
          </reference>
          <reference field="5" count="1" selected="0">
            <x v="12"/>
          </reference>
          <reference field="6" count="2">
            <x v="46"/>
            <x v="123"/>
          </reference>
          <reference field="8" count="1" selected="0">
            <x v="11"/>
          </reference>
        </references>
      </pivotArea>
    </format>
    <format dxfId="1929">
      <pivotArea dataOnly="0" labelOnly="1" fieldPosition="0">
        <references count="4">
          <reference field="4" count="1" selected="0">
            <x v="3"/>
          </reference>
          <reference field="5" count="1" selected="0">
            <x v="14"/>
          </reference>
          <reference field="6" count="1">
            <x v="26"/>
          </reference>
          <reference field="8" count="1" selected="0">
            <x v="11"/>
          </reference>
        </references>
      </pivotArea>
    </format>
    <format dxfId="1930">
      <pivotArea dataOnly="0" labelOnly="1" fieldPosition="0">
        <references count="4">
          <reference field="4" count="1" selected="0">
            <x v="3"/>
          </reference>
          <reference field="5" count="1" selected="0">
            <x v="15"/>
          </reference>
          <reference field="6" count="6">
            <x v="7"/>
            <x v="41"/>
            <x v="43"/>
            <x v="105"/>
            <x v="107"/>
            <x v="148"/>
          </reference>
          <reference field="8" count="1" selected="0">
            <x v="11"/>
          </reference>
        </references>
      </pivotArea>
    </format>
    <format dxfId="1931">
      <pivotArea dataOnly="0" labelOnly="1" fieldPosition="0">
        <references count="4">
          <reference field="4" count="1" selected="0">
            <x v="3"/>
          </reference>
          <reference field="5" count="1" selected="0">
            <x v="16"/>
          </reference>
          <reference field="6" count="2">
            <x v="89"/>
            <x v="101"/>
          </reference>
          <reference field="8" count="1" selected="0">
            <x v="11"/>
          </reference>
        </references>
      </pivotArea>
    </format>
    <format dxfId="1932">
      <pivotArea dataOnly="0" labelOnly="1" fieldPosition="0">
        <references count="4">
          <reference field="4" count="1" selected="0">
            <x v="3"/>
          </reference>
          <reference field="5" count="1" selected="0">
            <x v="20"/>
          </reference>
          <reference field="6" count="1">
            <x v="44"/>
          </reference>
          <reference field="8" count="1" selected="0">
            <x v="11"/>
          </reference>
        </references>
      </pivotArea>
    </format>
    <format dxfId="1933">
      <pivotArea dataOnly="0" labelOnly="1" fieldPosition="0">
        <references count="4">
          <reference field="4" count="1" selected="0">
            <x v="3"/>
          </reference>
          <reference field="5" count="1" selected="0">
            <x v="15"/>
          </reference>
          <reference field="6" count="1">
            <x v="43"/>
          </reference>
          <reference field="8" count="1" selected="0">
            <x v="35"/>
          </reference>
        </references>
      </pivotArea>
    </format>
    <format dxfId="1934">
      <pivotArea dataOnly="0" labelOnly="1" fieldPosition="0">
        <references count="4">
          <reference field="4" count="1" selected="0">
            <x v="4"/>
          </reference>
          <reference field="5" count="1" selected="0">
            <x v="12"/>
          </reference>
          <reference field="6" count="2">
            <x v="21"/>
            <x v="119"/>
          </reference>
          <reference field="8" count="1" selected="0">
            <x v="3"/>
          </reference>
        </references>
      </pivotArea>
    </format>
    <format dxfId="1935">
      <pivotArea dataOnly="0" labelOnly="1" fieldPosition="0">
        <references count="4">
          <reference field="4" count="1" selected="0">
            <x v="4"/>
          </reference>
          <reference field="5" count="1" selected="0">
            <x v="16"/>
          </reference>
          <reference field="6" count="2">
            <x v="101"/>
            <x v="149"/>
          </reference>
          <reference field="8" count="1" selected="0">
            <x v="3"/>
          </reference>
        </references>
      </pivotArea>
    </format>
    <format dxfId="1936">
      <pivotArea dataOnly="0" labelOnly="1" fieldPosition="0">
        <references count="4">
          <reference field="4" count="1" selected="0">
            <x v="4"/>
          </reference>
          <reference field="5" count="1" selected="0">
            <x v="26"/>
          </reference>
          <reference field="6" count="1">
            <x v="97"/>
          </reference>
          <reference field="8" count="1" selected="0">
            <x v="3"/>
          </reference>
        </references>
      </pivotArea>
    </format>
    <format dxfId="1937">
      <pivotArea dataOnly="0" labelOnly="1" fieldPosition="0">
        <references count="4">
          <reference field="4" count="1" selected="0">
            <x v="4"/>
          </reference>
          <reference field="5" count="1" selected="0">
            <x v="9"/>
          </reference>
          <reference field="6" count="1">
            <x v="84"/>
          </reference>
          <reference field="8" count="1" selected="0">
            <x v="4"/>
          </reference>
        </references>
      </pivotArea>
    </format>
    <format dxfId="1938">
      <pivotArea dataOnly="0" labelOnly="1" fieldPosition="0">
        <references count="4">
          <reference field="4" count="1" selected="0">
            <x v="4"/>
          </reference>
          <reference field="5" count="1" selected="0">
            <x v="12"/>
          </reference>
          <reference field="6" count="3">
            <x v="21"/>
            <x v="119"/>
            <x v="124"/>
          </reference>
          <reference field="8" count="1" selected="0">
            <x v="4"/>
          </reference>
        </references>
      </pivotArea>
    </format>
    <format dxfId="1939">
      <pivotArea dataOnly="0" labelOnly="1" fieldPosition="0">
        <references count="4">
          <reference field="4" count="1" selected="0">
            <x v="4"/>
          </reference>
          <reference field="5" count="1" selected="0">
            <x v="14"/>
          </reference>
          <reference field="6" count="1">
            <x v="93"/>
          </reference>
          <reference field="8" count="1" selected="0">
            <x v="4"/>
          </reference>
        </references>
      </pivotArea>
    </format>
    <format dxfId="1940">
      <pivotArea dataOnly="0" labelOnly="1" fieldPosition="0">
        <references count="4">
          <reference field="4" count="1" selected="0">
            <x v="4"/>
          </reference>
          <reference field="5" count="1" selected="0">
            <x v="15"/>
          </reference>
          <reference field="6" count="1">
            <x v="106"/>
          </reference>
          <reference field="8" count="1" selected="0">
            <x v="4"/>
          </reference>
        </references>
      </pivotArea>
    </format>
    <format dxfId="1941">
      <pivotArea dataOnly="0" labelOnly="1" fieldPosition="0">
        <references count="4">
          <reference field="4" count="1" selected="0">
            <x v="4"/>
          </reference>
          <reference field="5" count="1" selected="0">
            <x v="16"/>
          </reference>
          <reference field="6" count="4">
            <x v="26"/>
            <x v="90"/>
            <x v="101"/>
            <x v="149"/>
          </reference>
          <reference field="8" count="1" selected="0">
            <x v="4"/>
          </reference>
        </references>
      </pivotArea>
    </format>
    <format dxfId="1942">
      <pivotArea dataOnly="0" labelOnly="1" fieldPosition="0">
        <references count="4">
          <reference field="4" count="1" selected="0">
            <x v="4"/>
          </reference>
          <reference field="5" count="1" selected="0">
            <x v="26"/>
          </reference>
          <reference field="6" count="1">
            <x v="95"/>
          </reference>
          <reference field="8" count="1" selected="0">
            <x v="4"/>
          </reference>
        </references>
      </pivotArea>
    </format>
    <format dxfId="1943">
      <pivotArea dataOnly="0" labelOnly="1" fieldPosition="0">
        <references count="4">
          <reference field="4" count="1" selected="0">
            <x v="4"/>
          </reference>
          <reference field="5" count="1" selected="0">
            <x v="26"/>
          </reference>
          <reference field="6" count="1">
            <x v="97"/>
          </reference>
          <reference field="8" count="1" selected="0">
            <x v="5"/>
          </reference>
        </references>
      </pivotArea>
    </format>
    <format dxfId="1944">
      <pivotArea dataOnly="0" labelOnly="1" fieldPosition="0">
        <references count="4">
          <reference field="4" count="1" selected="0">
            <x v="4"/>
          </reference>
          <reference field="5" count="1" selected="0">
            <x v="16"/>
          </reference>
          <reference field="6" count="2">
            <x v="23"/>
            <x v="101"/>
          </reference>
          <reference field="8" count="1" selected="0">
            <x v="6"/>
          </reference>
        </references>
      </pivotArea>
    </format>
    <format dxfId="1945">
      <pivotArea dataOnly="0" labelOnly="1" fieldPosition="0">
        <references count="4">
          <reference field="4" count="1" selected="0">
            <x v="4"/>
          </reference>
          <reference field="5" count="1" selected="0">
            <x v="15"/>
          </reference>
          <reference field="6" count="2">
            <x v="12"/>
            <x v="32"/>
          </reference>
          <reference field="8" count="1" selected="0">
            <x v="9"/>
          </reference>
        </references>
      </pivotArea>
    </format>
    <format dxfId="1946">
      <pivotArea dataOnly="0" labelOnly="1" fieldPosition="0">
        <references count="4">
          <reference field="4" count="1" selected="0">
            <x v="4"/>
          </reference>
          <reference field="5" count="1" selected="0">
            <x v="26"/>
          </reference>
          <reference field="6" count="1">
            <x v="97"/>
          </reference>
          <reference field="8" count="1" selected="0">
            <x v="9"/>
          </reference>
        </references>
      </pivotArea>
    </format>
    <format dxfId="1947">
      <pivotArea dataOnly="0" labelOnly="1" fieldPosition="0">
        <references count="4">
          <reference field="4" count="1" selected="0">
            <x v="4"/>
          </reference>
          <reference field="5" count="1" selected="0">
            <x v="15"/>
          </reference>
          <reference field="6" count="3">
            <x v="32"/>
            <x v="109"/>
            <x v="114"/>
          </reference>
          <reference field="8" count="1" selected="0">
            <x v="10"/>
          </reference>
        </references>
      </pivotArea>
    </format>
    <format dxfId="1948">
      <pivotArea dataOnly="0" labelOnly="1" fieldPosition="0">
        <references count="4">
          <reference field="4" count="1" selected="0">
            <x v="4"/>
          </reference>
          <reference field="5" count="1" selected="0">
            <x v="3"/>
          </reference>
          <reference field="6" count="1">
            <x v="27"/>
          </reference>
          <reference field="8" count="1" selected="0">
            <x v="11"/>
          </reference>
        </references>
      </pivotArea>
    </format>
    <format dxfId="1949">
      <pivotArea dataOnly="0" labelOnly="1" fieldPosition="0">
        <references count="4">
          <reference field="4" count="1" selected="0">
            <x v="4"/>
          </reference>
          <reference field="5" count="1" selected="0">
            <x v="12"/>
          </reference>
          <reference field="6" count="2">
            <x v="46"/>
            <x v="123"/>
          </reference>
          <reference field="8" count="1" selected="0">
            <x v="11"/>
          </reference>
        </references>
      </pivotArea>
    </format>
    <format dxfId="1950">
      <pivotArea dataOnly="0" labelOnly="1" fieldPosition="0">
        <references count="4">
          <reference field="4" count="1" selected="0">
            <x v="4"/>
          </reference>
          <reference field="5" count="1" selected="0">
            <x v="14"/>
          </reference>
          <reference field="6" count="1">
            <x v="26"/>
          </reference>
          <reference field="8" count="1" selected="0">
            <x v="11"/>
          </reference>
        </references>
      </pivotArea>
    </format>
    <format dxfId="1951">
      <pivotArea dataOnly="0" labelOnly="1" fieldPosition="0">
        <references count="4">
          <reference field="4" count="1" selected="0">
            <x v="4"/>
          </reference>
          <reference field="5" count="1" selected="0">
            <x v="15"/>
          </reference>
          <reference field="6" count="6">
            <x v="7"/>
            <x v="41"/>
            <x v="43"/>
            <x v="105"/>
            <x v="107"/>
            <x v="148"/>
          </reference>
          <reference field="8" count="1" selected="0">
            <x v="11"/>
          </reference>
        </references>
      </pivotArea>
    </format>
    <format dxfId="1952">
      <pivotArea dataOnly="0" labelOnly="1" fieldPosition="0">
        <references count="4">
          <reference field="4" count="1" selected="0">
            <x v="4"/>
          </reference>
          <reference field="5" count="1" selected="0">
            <x v="16"/>
          </reference>
          <reference field="6" count="2">
            <x v="90"/>
            <x v="101"/>
          </reference>
          <reference field="8" count="1" selected="0">
            <x v="11"/>
          </reference>
        </references>
      </pivotArea>
    </format>
    <format dxfId="1953">
      <pivotArea dataOnly="0" labelOnly="1" fieldPosition="0">
        <references count="4">
          <reference field="4" count="1" selected="0">
            <x v="4"/>
          </reference>
          <reference field="5" count="1" selected="0">
            <x v="20"/>
          </reference>
          <reference field="6" count="1">
            <x v="44"/>
          </reference>
          <reference field="8" count="1" selected="0">
            <x v="11"/>
          </reference>
        </references>
      </pivotArea>
    </format>
    <format dxfId="1954">
      <pivotArea dataOnly="0" labelOnly="1" fieldPosition="0">
        <references count="4">
          <reference field="4" count="1" selected="0">
            <x v="4"/>
          </reference>
          <reference field="5" count="1" selected="0">
            <x v="15"/>
          </reference>
          <reference field="6" count="1">
            <x v="43"/>
          </reference>
          <reference field="8" count="1" selected="0">
            <x v="35"/>
          </reference>
        </references>
      </pivotArea>
    </format>
    <format dxfId="1955">
      <pivotArea dataOnly="0" labelOnly="1" fieldPosition="0">
        <references count="4">
          <reference field="4" count="1" selected="0">
            <x v="5"/>
          </reference>
          <reference field="5" count="1" selected="0">
            <x v="1"/>
          </reference>
          <reference field="6" count="2">
            <x v="127"/>
            <x v="145"/>
          </reference>
          <reference field="8" count="1" selected="0">
            <x v="3"/>
          </reference>
        </references>
      </pivotArea>
    </format>
    <format dxfId="1956">
      <pivotArea dataOnly="0" labelOnly="1" fieldPosition="0">
        <references count="4">
          <reference field="4" count="1" selected="0">
            <x v="5"/>
          </reference>
          <reference field="5" count="1" selected="0">
            <x v="21"/>
          </reference>
          <reference field="6" count="3">
            <x v="99"/>
            <x v="119"/>
            <x v="134"/>
          </reference>
          <reference field="8" count="1" selected="0">
            <x v="3"/>
          </reference>
        </references>
      </pivotArea>
    </format>
    <format dxfId="1957">
      <pivotArea dataOnly="0" labelOnly="1" fieldPosition="0">
        <references count="4">
          <reference field="4" count="1" selected="0">
            <x v="5"/>
          </reference>
          <reference field="5" count="1" selected="0">
            <x v="1"/>
          </reference>
          <reference field="6" count="4">
            <x v="52"/>
            <x v="65"/>
            <x v="127"/>
            <x v="145"/>
          </reference>
          <reference field="8" count="1" selected="0">
            <x v="4"/>
          </reference>
        </references>
      </pivotArea>
    </format>
    <format dxfId="1958">
      <pivotArea dataOnly="0" labelOnly="1" fieldPosition="0">
        <references count="4">
          <reference field="4" count="1" selected="0">
            <x v="5"/>
          </reference>
          <reference field="5" count="1" selected="0">
            <x v="13"/>
          </reference>
          <reference field="6" count="1">
            <x v="47"/>
          </reference>
          <reference field="8" count="1" selected="0">
            <x v="4"/>
          </reference>
        </references>
      </pivotArea>
    </format>
    <format dxfId="1959">
      <pivotArea dataOnly="0" labelOnly="1" fieldPosition="0">
        <references count="4">
          <reference field="4" count="1" selected="0">
            <x v="5"/>
          </reference>
          <reference field="5" count="1" selected="0">
            <x v="21"/>
          </reference>
          <reference field="6" count="5">
            <x v="99"/>
            <x v="113"/>
            <x v="119"/>
            <x v="120"/>
            <x v="134"/>
          </reference>
          <reference field="8" count="1" selected="0">
            <x v="4"/>
          </reference>
        </references>
      </pivotArea>
    </format>
    <format dxfId="1960">
      <pivotArea dataOnly="0" labelOnly="1" fieldPosition="0">
        <references count="4">
          <reference field="4" count="1" selected="0">
            <x v="5"/>
          </reference>
          <reference field="5" count="1" selected="0">
            <x v="22"/>
          </reference>
          <reference field="6" count="2">
            <x v="55"/>
            <x v="121"/>
          </reference>
          <reference field="8" count="1" selected="0">
            <x v="4"/>
          </reference>
        </references>
      </pivotArea>
    </format>
    <format dxfId="1961">
      <pivotArea dataOnly="0" labelOnly="1" fieldPosition="0">
        <references count="4">
          <reference field="4" count="1" selected="0">
            <x v="5"/>
          </reference>
          <reference field="5" count="1" selected="0">
            <x v="1"/>
          </reference>
          <reference field="6" count="3">
            <x v="52"/>
            <x v="65"/>
            <x v="145"/>
          </reference>
          <reference field="8" count="1" selected="0">
            <x v="5"/>
          </reference>
        </references>
      </pivotArea>
    </format>
    <format dxfId="1962">
      <pivotArea dataOnly="0" labelOnly="1" fieldPosition="0">
        <references count="4">
          <reference field="4" count="1" selected="0">
            <x v="5"/>
          </reference>
          <reference field="5" count="1" selected="0">
            <x v="21"/>
          </reference>
          <reference field="6" count="3">
            <x v="99"/>
            <x v="113"/>
            <x v="114"/>
          </reference>
          <reference field="8" count="1" selected="0">
            <x v="5"/>
          </reference>
        </references>
      </pivotArea>
    </format>
    <format dxfId="1963">
      <pivotArea dataOnly="0" labelOnly="1" fieldPosition="0">
        <references count="4">
          <reference field="4" count="1" selected="0">
            <x v="5"/>
          </reference>
          <reference field="5" count="1" selected="0">
            <x v="23"/>
          </reference>
          <reference field="6" count="1">
            <x v="142"/>
          </reference>
          <reference field="8" count="1" selected="0">
            <x v="5"/>
          </reference>
        </references>
      </pivotArea>
    </format>
    <format dxfId="1964">
      <pivotArea dataOnly="0" labelOnly="1" fieldPosition="0">
        <references count="4">
          <reference field="4" count="1" selected="0">
            <x v="5"/>
          </reference>
          <reference field="5" count="1" selected="0">
            <x v="1"/>
          </reference>
          <reference field="6" count="3">
            <x v="42"/>
            <x v="65"/>
            <x v="132"/>
          </reference>
          <reference field="8" count="1" selected="0">
            <x v="9"/>
          </reference>
        </references>
      </pivotArea>
    </format>
    <format dxfId="1965">
      <pivotArea dataOnly="0" labelOnly="1" fieldPosition="0">
        <references count="4">
          <reference field="4" count="1" selected="0">
            <x v="5"/>
          </reference>
          <reference field="5" count="1" selected="0">
            <x v="22"/>
          </reference>
          <reference field="6" count="1">
            <x v="48"/>
          </reference>
          <reference field="8" count="1" selected="0">
            <x v="9"/>
          </reference>
        </references>
      </pivotArea>
    </format>
    <format dxfId="1966">
      <pivotArea dataOnly="0" labelOnly="1" fieldPosition="0">
        <references count="4">
          <reference field="4" count="1" selected="0">
            <x v="5"/>
          </reference>
          <reference field="5" count="1" selected="0">
            <x v="1"/>
          </reference>
          <reference field="6" count="2">
            <x v="52"/>
            <x v="65"/>
          </reference>
          <reference field="8" count="1" selected="0">
            <x v="10"/>
          </reference>
        </references>
      </pivotArea>
    </format>
    <format dxfId="1967">
      <pivotArea dataOnly="0" labelOnly="1" fieldPosition="0">
        <references count="4">
          <reference field="4" count="1" selected="0">
            <x v="5"/>
          </reference>
          <reference field="5" count="1" selected="0">
            <x v="21"/>
          </reference>
          <reference field="6" count="3">
            <x v="113"/>
            <x v="114"/>
            <x v="135"/>
          </reference>
          <reference field="8" count="1" selected="0">
            <x v="10"/>
          </reference>
        </references>
      </pivotArea>
    </format>
    <format dxfId="1968">
      <pivotArea dataOnly="0" labelOnly="1" fieldPosition="0">
        <references count="4">
          <reference field="4" count="1" selected="0">
            <x v="5"/>
          </reference>
          <reference field="5" count="1" selected="0">
            <x v="22"/>
          </reference>
          <reference field="6" count="2">
            <x v="32"/>
            <x v="61"/>
          </reference>
          <reference field="8" count="1" selected="0">
            <x v="10"/>
          </reference>
        </references>
      </pivotArea>
    </format>
    <format dxfId="1969">
      <pivotArea dataOnly="0" labelOnly="1" fieldPosition="0">
        <references count="4">
          <reference field="4" count="1" selected="0">
            <x v="5"/>
          </reference>
          <reference field="5" count="1" selected="0">
            <x v="1"/>
          </reference>
          <reference field="6" count="3">
            <x v="52"/>
            <x v="65"/>
            <x v="145"/>
          </reference>
          <reference field="8" count="1" selected="0">
            <x v="11"/>
          </reference>
        </references>
      </pivotArea>
    </format>
    <format dxfId="1970">
      <pivotArea dataOnly="0" labelOnly="1" fieldPosition="0">
        <references count="4">
          <reference field="4" count="1" selected="0">
            <x v="5"/>
          </reference>
          <reference field="5" count="1" selected="0">
            <x v="13"/>
          </reference>
          <reference field="6" count="1">
            <x v="47"/>
          </reference>
          <reference field="8" count="1" selected="0">
            <x v="11"/>
          </reference>
        </references>
      </pivotArea>
    </format>
    <format dxfId="1971">
      <pivotArea dataOnly="0" labelOnly="1" fieldPosition="0">
        <references count="4">
          <reference field="4" count="1" selected="0">
            <x v="5"/>
          </reference>
          <reference field="5" count="1" selected="0">
            <x v="21"/>
          </reference>
          <reference field="6" count="4">
            <x v="99"/>
            <x v="134"/>
            <x v="143"/>
            <x v="147"/>
          </reference>
          <reference field="8" count="1" selected="0">
            <x v="11"/>
          </reference>
        </references>
      </pivotArea>
    </format>
    <format dxfId="1972">
      <pivotArea dataOnly="0" labelOnly="1" fieldPosition="0">
        <references count="4">
          <reference field="4" count="1" selected="0">
            <x v="5"/>
          </reference>
          <reference field="5" count="1" selected="0">
            <x v="23"/>
          </reference>
          <reference field="6" count="1">
            <x v="142"/>
          </reference>
          <reference field="8" count="1" selected="0">
            <x v="11"/>
          </reference>
        </references>
      </pivotArea>
    </format>
    <format dxfId="1973">
      <pivotArea dataOnly="0" labelOnly="1" fieldPosition="0">
        <references count="4">
          <reference field="4" count="1" selected="0">
            <x v="5"/>
          </reference>
          <reference field="5" count="1" selected="0">
            <x v="21"/>
          </reference>
          <reference field="6" count="2">
            <x v="113"/>
            <x v="134"/>
          </reference>
          <reference field="8" count="1" selected="0">
            <x v="28"/>
          </reference>
        </references>
      </pivotArea>
    </format>
    <format dxfId="1974">
      <pivotArea dataOnly="0" labelOnly="1" fieldPosition="0">
        <references count="4">
          <reference field="4" count="1" selected="0">
            <x v="5"/>
          </reference>
          <reference field="5" count="1" selected="0">
            <x v="21"/>
          </reference>
          <reference field="6" count="1">
            <x v="134"/>
          </reference>
          <reference field="8" count="1" selected="0">
            <x v="29"/>
          </reference>
        </references>
      </pivotArea>
    </format>
    <format dxfId="1975">
      <pivotArea dataOnly="0" labelOnly="1" fieldPosition="0">
        <references count="4">
          <reference field="4" count="1" selected="0">
            <x v="6"/>
          </reference>
          <reference field="5" count="1" selected="0">
            <x v="12"/>
          </reference>
          <reference field="6" count="2">
            <x v="21"/>
            <x v="119"/>
          </reference>
          <reference field="8" count="1" selected="0">
            <x v="3"/>
          </reference>
        </references>
      </pivotArea>
    </format>
    <format dxfId="1976">
      <pivotArea dataOnly="0" labelOnly="1" fieldPosition="0">
        <references count="4">
          <reference field="4" count="1" selected="0">
            <x v="6"/>
          </reference>
          <reference field="5" count="1" selected="0">
            <x v="16"/>
          </reference>
          <reference field="6" count="2">
            <x v="101"/>
            <x v="149"/>
          </reference>
          <reference field="8" count="1" selected="0">
            <x v="3"/>
          </reference>
        </references>
      </pivotArea>
    </format>
    <format dxfId="1977">
      <pivotArea dataOnly="0" labelOnly="1" fieldPosition="0">
        <references count="4">
          <reference field="4" count="1" selected="0">
            <x v="6"/>
          </reference>
          <reference field="5" count="1" selected="0">
            <x v="9"/>
          </reference>
          <reference field="6" count="1">
            <x v="84"/>
          </reference>
          <reference field="8" count="1" selected="0">
            <x v="4"/>
          </reference>
        </references>
      </pivotArea>
    </format>
    <format dxfId="1978">
      <pivotArea dataOnly="0" labelOnly="1" fieldPosition="0">
        <references count="4">
          <reference field="4" count="1" selected="0">
            <x v="6"/>
          </reference>
          <reference field="5" count="1" selected="0">
            <x v="12"/>
          </reference>
          <reference field="6" count="3">
            <x v="21"/>
            <x v="119"/>
            <x v="124"/>
          </reference>
          <reference field="8" count="1" selected="0">
            <x v="4"/>
          </reference>
        </references>
      </pivotArea>
    </format>
    <format dxfId="1979">
      <pivotArea dataOnly="0" labelOnly="1" fieldPosition="0">
        <references count="4">
          <reference field="4" count="1" selected="0">
            <x v="6"/>
          </reference>
          <reference field="5" count="1" selected="0">
            <x v="14"/>
          </reference>
          <reference field="6" count="1">
            <x v="92"/>
          </reference>
          <reference field="8" count="1" selected="0">
            <x v="4"/>
          </reference>
        </references>
      </pivotArea>
    </format>
    <format dxfId="1980">
      <pivotArea dataOnly="0" labelOnly="1" fieldPosition="0">
        <references count="4">
          <reference field="4" count="1" selected="0">
            <x v="6"/>
          </reference>
          <reference field="5" count="1" selected="0">
            <x v="15"/>
          </reference>
          <reference field="6" count="1">
            <x v="106"/>
          </reference>
          <reference field="8" count="1" selected="0">
            <x v="4"/>
          </reference>
        </references>
      </pivotArea>
    </format>
    <format dxfId="1981">
      <pivotArea dataOnly="0" labelOnly="1" fieldPosition="0">
        <references count="4">
          <reference field="4" count="1" selected="0">
            <x v="6"/>
          </reference>
          <reference field="5" count="1" selected="0">
            <x v="16"/>
          </reference>
          <reference field="6" count="4">
            <x v="26"/>
            <x v="89"/>
            <x v="101"/>
            <x v="149"/>
          </reference>
          <reference field="8" count="1" selected="0">
            <x v="4"/>
          </reference>
        </references>
      </pivotArea>
    </format>
    <format dxfId="1982">
      <pivotArea dataOnly="0" labelOnly="1" fieldPosition="0">
        <references count="4">
          <reference field="4" count="1" selected="0">
            <x v="6"/>
          </reference>
          <reference field="5" count="1" selected="0">
            <x v="16"/>
          </reference>
          <reference field="6" count="2">
            <x v="23"/>
            <x v="101"/>
          </reference>
          <reference field="8" count="1" selected="0">
            <x v="6"/>
          </reference>
        </references>
      </pivotArea>
    </format>
    <format dxfId="1983">
      <pivotArea dataOnly="0" labelOnly="1" fieldPosition="0">
        <references count="4">
          <reference field="4" count="1" selected="0">
            <x v="6"/>
          </reference>
          <reference field="5" count="1" selected="0">
            <x v="15"/>
          </reference>
          <reference field="6" count="2">
            <x v="12"/>
            <x v="32"/>
          </reference>
          <reference field="8" count="1" selected="0">
            <x v="9"/>
          </reference>
        </references>
      </pivotArea>
    </format>
    <format dxfId="1984">
      <pivotArea dataOnly="0" labelOnly="1" fieldPosition="0">
        <references count="4">
          <reference field="4" count="1" selected="0">
            <x v="6"/>
          </reference>
          <reference field="5" count="1" selected="0">
            <x v="15"/>
          </reference>
          <reference field="6" count="3">
            <x v="32"/>
            <x v="109"/>
            <x v="114"/>
          </reference>
          <reference field="8" count="1" selected="0">
            <x v="10"/>
          </reference>
        </references>
      </pivotArea>
    </format>
    <format dxfId="1985">
      <pivotArea dataOnly="0" labelOnly="1" fieldPosition="0">
        <references count="4">
          <reference field="4" count="1" selected="0">
            <x v="6"/>
          </reference>
          <reference field="5" count="1" selected="0">
            <x v="3"/>
          </reference>
          <reference field="6" count="1">
            <x v="27"/>
          </reference>
          <reference field="8" count="1" selected="0">
            <x v="11"/>
          </reference>
        </references>
      </pivotArea>
    </format>
    <format dxfId="1986">
      <pivotArea dataOnly="0" labelOnly="1" fieldPosition="0">
        <references count="4">
          <reference field="4" count="1" selected="0">
            <x v="6"/>
          </reference>
          <reference field="5" count="1" selected="0">
            <x v="12"/>
          </reference>
          <reference field="6" count="1">
            <x v="123"/>
          </reference>
          <reference field="8" count="1" selected="0">
            <x v="11"/>
          </reference>
        </references>
      </pivotArea>
    </format>
    <format dxfId="1987">
      <pivotArea dataOnly="0" labelOnly="1" fieldPosition="0">
        <references count="4">
          <reference field="4" count="1" selected="0">
            <x v="6"/>
          </reference>
          <reference field="5" count="1" selected="0">
            <x v="14"/>
          </reference>
          <reference field="6" count="1">
            <x v="26"/>
          </reference>
          <reference field="8" count="1" selected="0">
            <x v="11"/>
          </reference>
        </references>
      </pivotArea>
    </format>
    <format dxfId="1988">
      <pivotArea dataOnly="0" labelOnly="1" fieldPosition="0">
        <references count="4">
          <reference field="4" count="1" selected="0">
            <x v="6"/>
          </reference>
          <reference field="5" count="1" selected="0">
            <x v="15"/>
          </reference>
          <reference field="6" count="7">
            <x v="7"/>
            <x v="41"/>
            <x v="45"/>
            <x v="46"/>
            <x v="105"/>
            <x v="107"/>
            <x v="148"/>
          </reference>
          <reference field="8" count="1" selected="0">
            <x v="11"/>
          </reference>
        </references>
      </pivotArea>
    </format>
    <format dxfId="1989">
      <pivotArea dataOnly="0" labelOnly="1" fieldPosition="0">
        <references count="4">
          <reference field="4" count="1" selected="0">
            <x v="6"/>
          </reference>
          <reference field="5" count="1" selected="0">
            <x v="16"/>
          </reference>
          <reference field="6" count="2">
            <x v="89"/>
            <x v="101"/>
          </reference>
          <reference field="8" count="1" selected="0">
            <x v="11"/>
          </reference>
        </references>
      </pivotArea>
    </format>
    <format dxfId="1990">
      <pivotArea dataOnly="0" labelOnly="1" fieldPosition="0">
        <references count="4">
          <reference field="4" count="1" selected="0">
            <x v="6"/>
          </reference>
          <reference field="5" count="1" selected="0">
            <x v="20"/>
          </reference>
          <reference field="6" count="1">
            <x v="44"/>
          </reference>
          <reference field="8" count="1" selected="0">
            <x v="11"/>
          </reference>
        </references>
      </pivotArea>
    </format>
    <format dxfId="1991">
      <pivotArea dataOnly="0" labelOnly="1" fieldPosition="0">
        <references count="4">
          <reference field="4" count="1" selected="0">
            <x v="6"/>
          </reference>
          <reference field="5" count="1" selected="0">
            <x v="15"/>
          </reference>
          <reference field="6" count="1">
            <x v="45"/>
          </reference>
          <reference field="8" count="1" selected="0">
            <x v="35"/>
          </reference>
        </references>
      </pivotArea>
    </format>
    <format dxfId="1992">
      <pivotArea field="4" type="button" dataOnly="0" labelOnly="1" outline="0" axis="axisRow" fieldPosition="1"/>
    </format>
    <format dxfId="1993">
      <pivotArea dataOnly="0" labelOnly="1" fieldPosition="0">
        <references count="1">
          <reference field="4" count="0"/>
        </references>
      </pivotArea>
    </format>
    <format dxfId="1994">
      <pivotArea dataOnly="0" labelOnly="1" grandRow="1" outline="0" fieldPosition="0"/>
    </format>
    <format dxfId="1995">
      <pivotArea dataOnly="0" labelOnly="1" fieldPosition="0">
        <references count="2">
          <reference field="4" count="1" selected="0">
            <x v="0"/>
          </reference>
          <reference field="8" count="7">
            <x v="3"/>
            <x v="4"/>
            <x v="6"/>
            <x v="9"/>
            <x v="10"/>
            <x v="11"/>
            <x v="35"/>
          </reference>
        </references>
      </pivotArea>
    </format>
    <format dxfId="1996">
      <pivotArea dataOnly="0" labelOnly="1" fieldPosition="0">
        <references count="2">
          <reference field="4" count="1" selected="0">
            <x v="1"/>
          </reference>
          <reference field="8" count="7">
            <x v="3"/>
            <x v="4"/>
            <x v="6"/>
            <x v="9"/>
            <x v="10"/>
            <x v="11"/>
            <x v="35"/>
          </reference>
        </references>
      </pivotArea>
    </format>
    <format dxfId="1997">
      <pivotArea dataOnly="0" labelOnly="1" fieldPosition="0">
        <references count="2">
          <reference field="4" count="1" selected="0">
            <x v="2"/>
          </reference>
          <reference field="8" count="7">
            <x v="3"/>
            <x v="4"/>
            <x v="6"/>
            <x v="9"/>
            <x v="10"/>
            <x v="11"/>
            <x v="35"/>
          </reference>
        </references>
      </pivotArea>
    </format>
    <format dxfId="1998">
      <pivotArea dataOnly="0" labelOnly="1" fieldPosition="0">
        <references count="2">
          <reference field="4" count="1" selected="0">
            <x v="3"/>
          </reference>
          <reference field="8" count="7">
            <x v="3"/>
            <x v="4"/>
            <x v="6"/>
            <x v="9"/>
            <x v="10"/>
            <x v="11"/>
            <x v="35"/>
          </reference>
        </references>
      </pivotArea>
    </format>
    <format dxfId="1999">
      <pivotArea dataOnly="0" labelOnly="1" fieldPosition="0">
        <references count="2">
          <reference field="4" count="1" selected="0">
            <x v="4"/>
          </reference>
          <reference field="8" count="8">
            <x v="3"/>
            <x v="4"/>
            <x v="5"/>
            <x v="6"/>
            <x v="9"/>
            <x v="10"/>
            <x v="11"/>
            <x v="35"/>
          </reference>
        </references>
      </pivotArea>
    </format>
    <format dxfId="2000">
      <pivotArea dataOnly="0" labelOnly="1" fieldPosition="0">
        <references count="2">
          <reference field="4" count="1" selected="0">
            <x v="5"/>
          </reference>
          <reference field="8" count="8">
            <x v="3"/>
            <x v="4"/>
            <x v="5"/>
            <x v="9"/>
            <x v="10"/>
            <x v="11"/>
            <x v="28"/>
            <x v="29"/>
          </reference>
        </references>
      </pivotArea>
    </format>
    <format dxfId="2001">
      <pivotArea dataOnly="0" labelOnly="1" fieldPosition="0">
        <references count="2">
          <reference field="4" count="1" selected="0">
            <x v="6"/>
          </reference>
          <reference field="8" count="7">
            <x v="3"/>
            <x v="4"/>
            <x v="6"/>
            <x v="9"/>
            <x v="10"/>
            <x v="11"/>
            <x v="35"/>
          </reference>
        </references>
      </pivotArea>
    </format>
    <format dxfId="2002">
      <pivotArea dataOnly="0" labelOnly="1" fieldPosition="0">
        <references count="3">
          <reference field="2" count="3">
            <x v="0"/>
            <x v="3"/>
            <x v="25"/>
          </reference>
          <reference field="4" count="1" selected="0">
            <x v="0"/>
          </reference>
          <reference field="8" count="1" selected="0">
            <x v="3"/>
          </reference>
        </references>
      </pivotArea>
    </format>
    <format dxfId="2003">
      <pivotArea dataOnly="0" labelOnly="1" fieldPosition="0">
        <references count="3">
          <reference field="2" count="7">
            <x v="0"/>
            <x v="3"/>
            <x v="7"/>
            <x v="12"/>
            <x v="20"/>
            <x v="21"/>
            <x v="25"/>
          </reference>
          <reference field="4" count="1" selected="0">
            <x v="0"/>
          </reference>
          <reference field="8" count="1" selected="0">
            <x v="4"/>
          </reference>
        </references>
      </pivotArea>
    </format>
    <format dxfId="2004">
      <pivotArea dataOnly="0" labelOnly="1" fieldPosition="0">
        <references count="3">
          <reference field="2" count="2">
            <x v="0"/>
            <x v="13"/>
          </reference>
          <reference field="4" count="1" selected="0">
            <x v="0"/>
          </reference>
          <reference field="8" count="1" selected="0">
            <x v="6"/>
          </reference>
        </references>
      </pivotArea>
    </format>
    <format dxfId="2005">
      <pivotArea dataOnly="0" labelOnly="1" fieldPosition="0">
        <references count="3">
          <reference field="2" count="2">
            <x v="4"/>
            <x v="16"/>
          </reference>
          <reference field="4" count="1" selected="0">
            <x v="0"/>
          </reference>
          <reference field="8" count="1" selected="0">
            <x v="9"/>
          </reference>
        </references>
      </pivotArea>
    </format>
    <format dxfId="2006">
      <pivotArea dataOnly="0" labelOnly="1" fieldPosition="0">
        <references count="3">
          <reference field="2" count="2">
            <x v="19"/>
            <x v="21"/>
          </reference>
          <reference field="4" count="1" selected="0">
            <x v="0"/>
          </reference>
          <reference field="8" count="1" selected="0">
            <x v="10"/>
          </reference>
        </references>
      </pivotArea>
    </format>
    <format dxfId="2007">
      <pivotArea dataOnly="0" labelOnly="1" fieldPosition="0">
        <references count="3">
          <reference field="2" count="12">
            <x v="0"/>
            <x v="2"/>
            <x v="4"/>
            <x v="5"/>
            <x v="7"/>
            <x v="9"/>
            <x v="10"/>
            <x v="12"/>
            <x v="18"/>
            <x v="20"/>
            <x v="21"/>
            <x v="25"/>
          </reference>
          <reference field="4" count="1" selected="0">
            <x v="0"/>
          </reference>
          <reference field="8" count="1" selected="0">
            <x v="11"/>
          </reference>
        </references>
      </pivotArea>
    </format>
    <format dxfId="2008">
      <pivotArea dataOnly="0" labelOnly="1" fieldPosition="0">
        <references count="3">
          <reference field="2" count="1">
            <x v="12"/>
          </reference>
          <reference field="4" count="1" selected="0">
            <x v="0"/>
          </reference>
          <reference field="8" count="1" selected="0">
            <x v="35"/>
          </reference>
        </references>
      </pivotArea>
    </format>
    <format dxfId="2009">
      <pivotArea dataOnly="0" labelOnly="1" fieldPosition="0">
        <references count="3">
          <reference field="2" count="3">
            <x v="0"/>
            <x v="3"/>
            <x v="25"/>
          </reference>
          <reference field="4" count="1" selected="0">
            <x v="1"/>
          </reference>
          <reference field="8" count="1" selected="0">
            <x v="3"/>
          </reference>
        </references>
      </pivotArea>
    </format>
    <format dxfId="2010">
      <pivotArea dataOnly="0" labelOnly="1" fieldPosition="0">
        <references count="3">
          <reference field="2" count="7">
            <x v="0"/>
            <x v="3"/>
            <x v="7"/>
            <x v="12"/>
            <x v="20"/>
            <x v="21"/>
            <x v="25"/>
          </reference>
          <reference field="4" count="1" selected="0">
            <x v="1"/>
          </reference>
          <reference field="8" count="1" selected="0">
            <x v="4"/>
          </reference>
        </references>
      </pivotArea>
    </format>
    <format dxfId="2011">
      <pivotArea dataOnly="0" labelOnly="1" fieldPosition="0">
        <references count="3">
          <reference field="2" count="2">
            <x v="0"/>
            <x v="13"/>
          </reference>
          <reference field="4" count="1" selected="0">
            <x v="1"/>
          </reference>
          <reference field="8" count="1" selected="0">
            <x v="6"/>
          </reference>
        </references>
      </pivotArea>
    </format>
    <format dxfId="2012">
      <pivotArea dataOnly="0" labelOnly="1" fieldPosition="0">
        <references count="3">
          <reference field="2" count="2">
            <x v="4"/>
            <x v="16"/>
          </reference>
          <reference field="4" count="1" selected="0">
            <x v="1"/>
          </reference>
          <reference field="8" count="1" selected="0">
            <x v="9"/>
          </reference>
        </references>
      </pivotArea>
    </format>
    <format dxfId="2013">
      <pivotArea dataOnly="0" labelOnly="1" fieldPosition="0">
        <references count="3">
          <reference field="2" count="2">
            <x v="19"/>
            <x v="21"/>
          </reference>
          <reference field="4" count="1" selected="0">
            <x v="1"/>
          </reference>
          <reference field="8" count="1" selected="0">
            <x v="10"/>
          </reference>
        </references>
      </pivotArea>
    </format>
    <format dxfId="2014">
      <pivotArea dataOnly="0" labelOnly="1" fieldPosition="0">
        <references count="3">
          <reference field="2" count="13">
            <x v="0"/>
            <x v="2"/>
            <x v="4"/>
            <x v="5"/>
            <x v="7"/>
            <x v="9"/>
            <x v="10"/>
            <x v="12"/>
            <x v="13"/>
            <x v="18"/>
            <x v="20"/>
            <x v="21"/>
            <x v="25"/>
          </reference>
          <reference field="4" count="1" selected="0">
            <x v="1"/>
          </reference>
          <reference field="8" count="1" selected="0">
            <x v="11"/>
          </reference>
        </references>
      </pivotArea>
    </format>
    <format dxfId="2015">
      <pivotArea dataOnly="0" labelOnly="1" fieldPosition="0">
        <references count="3">
          <reference field="2" count="1">
            <x v="12"/>
          </reference>
          <reference field="4" count="1" selected="0">
            <x v="1"/>
          </reference>
          <reference field="8" count="1" selected="0">
            <x v="35"/>
          </reference>
        </references>
      </pivotArea>
    </format>
    <format dxfId="2016">
      <pivotArea dataOnly="0" labelOnly="1" fieldPosition="0">
        <references count="3">
          <reference field="2" count="3">
            <x v="0"/>
            <x v="3"/>
            <x v="25"/>
          </reference>
          <reference field="4" count="1" selected="0">
            <x v="2"/>
          </reference>
          <reference field="8" count="1" selected="0">
            <x v="3"/>
          </reference>
        </references>
      </pivotArea>
    </format>
    <format dxfId="2017">
      <pivotArea dataOnly="0" labelOnly="1" fieldPosition="0">
        <references count="3">
          <reference field="2" count="7">
            <x v="0"/>
            <x v="3"/>
            <x v="7"/>
            <x v="12"/>
            <x v="20"/>
            <x v="21"/>
            <x v="25"/>
          </reference>
          <reference field="4" count="1" selected="0">
            <x v="2"/>
          </reference>
          <reference field="8" count="1" selected="0">
            <x v="4"/>
          </reference>
        </references>
      </pivotArea>
    </format>
    <format dxfId="2018">
      <pivotArea dataOnly="0" labelOnly="1" fieldPosition="0">
        <references count="3">
          <reference field="2" count="2">
            <x v="0"/>
            <x v="13"/>
          </reference>
          <reference field="4" count="1" selected="0">
            <x v="2"/>
          </reference>
          <reference field="8" count="1" selected="0">
            <x v="6"/>
          </reference>
        </references>
      </pivotArea>
    </format>
    <format dxfId="2019">
      <pivotArea dataOnly="0" labelOnly="1" fieldPosition="0">
        <references count="3">
          <reference field="2" count="2">
            <x v="4"/>
            <x v="16"/>
          </reference>
          <reference field="4" count="1" selected="0">
            <x v="2"/>
          </reference>
          <reference field="8" count="1" selected="0">
            <x v="9"/>
          </reference>
        </references>
      </pivotArea>
    </format>
    <format dxfId="2020">
      <pivotArea dataOnly="0" labelOnly="1" fieldPosition="0">
        <references count="3">
          <reference field="2" count="2">
            <x v="19"/>
            <x v="21"/>
          </reference>
          <reference field="4" count="1" selected="0">
            <x v="2"/>
          </reference>
          <reference field="8" count="1" selected="0">
            <x v="10"/>
          </reference>
        </references>
      </pivotArea>
    </format>
    <format dxfId="2021">
      <pivotArea dataOnly="0" labelOnly="1" fieldPosition="0">
        <references count="3">
          <reference field="2" count="12">
            <x v="0"/>
            <x v="2"/>
            <x v="4"/>
            <x v="5"/>
            <x v="7"/>
            <x v="9"/>
            <x v="10"/>
            <x v="12"/>
            <x v="18"/>
            <x v="20"/>
            <x v="21"/>
            <x v="25"/>
          </reference>
          <reference field="4" count="1" selected="0">
            <x v="2"/>
          </reference>
          <reference field="8" count="1" selected="0">
            <x v="11"/>
          </reference>
        </references>
      </pivotArea>
    </format>
    <format dxfId="2022">
      <pivotArea dataOnly="0" labelOnly="1" fieldPosition="0">
        <references count="3">
          <reference field="2" count="1">
            <x v="12"/>
          </reference>
          <reference field="4" count="1" selected="0">
            <x v="2"/>
          </reference>
          <reference field="8" count="1" selected="0">
            <x v="35"/>
          </reference>
        </references>
      </pivotArea>
    </format>
    <format dxfId="2023">
      <pivotArea dataOnly="0" labelOnly="1" fieldPosition="0">
        <references count="3">
          <reference field="2" count="3">
            <x v="0"/>
            <x v="3"/>
            <x v="25"/>
          </reference>
          <reference field="4" count="1" selected="0">
            <x v="3"/>
          </reference>
          <reference field="8" count="1" selected="0">
            <x v="3"/>
          </reference>
        </references>
      </pivotArea>
    </format>
    <format dxfId="2024">
      <pivotArea dataOnly="0" labelOnly="1" fieldPosition="0">
        <references count="3">
          <reference field="2" count="7">
            <x v="0"/>
            <x v="3"/>
            <x v="7"/>
            <x v="12"/>
            <x v="20"/>
            <x v="21"/>
            <x v="25"/>
          </reference>
          <reference field="4" count="1" selected="0">
            <x v="3"/>
          </reference>
          <reference field="8" count="1" selected="0">
            <x v="4"/>
          </reference>
        </references>
      </pivotArea>
    </format>
    <format dxfId="2025">
      <pivotArea dataOnly="0" labelOnly="1" fieldPosition="0">
        <references count="3">
          <reference field="2" count="2">
            <x v="0"/>
            <x v="13"/>
          </reference>
          <reference field="4" count="1" selected="0">
            <x v="3"/>
          </reference>
          <reference field="8" count="1" selected="0">
            <x v="6"/>
          </reference>
        </references>
      </pivotArea>
    </format>
    <format dxfId="2026">
      <pivotArea dataOnly="0" labelOnly="1" fieldPosition="0">
        <references count="3">
          <reference field="2" count="2">
            <x v="4"/>
            <x v="16"/>
          </reference>
          <reference field="4" count="1" selected="0">
            <x v="3"/>
          </reference>
          <reference field="8" count="1" selected="0">
            <x v="9"/>
          </reference>
        </references>
      </pivotArea>
    </format>
    <format dxfId="2027">
      <pivotArea dataOnly="0" labelOnly="1" fieldPosition="0">
        <references count="3">
          <reference field="2" count="2">
            <x v="19"/>
            <x v="21"/>
          </reference>
          <reference field="4" count="1" selected="0">
            <x v="3"/>
          </reference>
          <reference field="8" count="1" selected="0">
            <x v="10"/>
          </reference>
        </references>
      </pivotArea>
    </format>
    <format dxfId="2028">
      <pivotArea dataOnly="0" labelOnly="1" fieldPosition="0">
        <references count="3">
          <reference field="2" count="12">
            <x v="0"/>
            <x v="2"/>
            <x v="4"/>
            <x v="5"/>
            <x v="7"/>
            <x v="9"/>
            <x v="10"/>
            <x v="12"/>
            <x v="18"/>
            <x v="20"/>
            <x v="21"/>
            <x v="25"/>
          </reference>
          <reference field="4" count="1" selected="0">
            <x v="3"/>
          </reference>
          <reference field="8" count="1" selected="0">
            <x v="11"/>
          </reference>
        </references>
      </pivotArea>
    </format>
    <format dxfId="2029">
      <pivotArea dataOnly="0" labelOnly="1" fieldPosition="0">
        <references count="3">
          <reference field="2" count="1">
            <x v="12"/>
          </reference>
          <reference field="4" count="1" selected="0">
            <x v="3"/>
          </reference>
          <reference field="8" count="1" selected="0">
            <x v="35"/>
          </reference>
        </references>
      </pivotArea>
    </format>
    <format dxfId="2030">
      <pivotArea dataOnly="0" labelOnly="1" fieldPosition="0">
        <references count="3">
          <reference field="2" count="4">
            <x v="0"/>
            <x v="3"/>
            <x v="20"/>
            <x v="25"/>
          </reference>
          <reference field="4" count="1" selected="0">
            <x v="4"/>
          </reference>
          <reference field="8" count="1" selected="0">
            <x v="3"/>
          </reference>
        </references>
      </pivotArea>
    </format>
    <format dxfId="2031">
      <pivotArea dataOnly="0" labelOnly="1" fieldPosition="0">
        <references count="3">
          <reference field="2" count="7">
            <x v="0"/>
            <x v="3"/>
            <x v="7"/>
            <x v="12"/>
            <x v="20"/>
            <x v="21"/>
            <x v="25"/>
          </reference>
          <reference field="4" count="1" selected="0">
            <x v="4"/>
          </reference>
          <reference field="8" count="1" selected="0">
            <x v="4"/>
          </reference>
        </references>
      </pivotArea>
    </format>
    <format dxfId="2032">
      <pivotArea dataOnly="0" labelOnly="1" fieldPosition="0">
        <references count="3">
          <reference field="2" count="1">
            <x v="20"/>
          </reference>
          <reference field="4" count="1" selected="0">
            <x v="4"/>
          </reference>
          <reference field="8" count="1" selected="0">
            <x v="5"/>
          </reference>
        </references>
      </pivotArea>
    </format>
    <format dxfId="2033">
      <pivotArea dataOnly="0" labelOnly="1" fieldPosition="0">
        <references count="3">
          <reference field="2" count="2">
            <x v="0"/>
            <x v="13"/>
          </reference>
          <reference field="4" count="1" selected="0">
            <x v="4"/>
          </reference>
          <reference field="8" count="1" selected="0">
            <x v="6"/>
          </reference>
        </references>
      </pivotArea>
    </format>
    <format dxfId="2034">
      <pivotArea dataOnly="0" labelOnly="1" fieldPosition="0">
        <references count="3">
          <reference field="2" count="3">
            <x v="4"/>
            <x v="16"/>
            <x v="20"/>
          </reference>
          <reference field="4" count="1" selected="0">
            <x v="4"/>
          </reference>
          <reference field="8" count="1" selected="0">
            <x v="9"/>
          </reference>
        </references>
      </pivotArea>
    </format>
    <format dxfId="2035">
      <pivotArea dataOnly="0" labelOnly="1" fieldPosition="0">
        <references count="3">
          <reference field="2" count="2">
            <x v="19"/>
            <x v="21"/>
          </reference>
          <reference field="4" count="1" selected="0">
            <x v="4"/>
          </reference>
          <reference field="8" count="1" selected="0">
            <x v="10"/>
          </reference>
        </references>
      </pivotArea>
    </format>
    <format dxfId="2036">
      <pivotArea dataOnly="0" labelOnly="1" fieldPosition="0">
        <references count="3">
          <reference field="2" count="12">
            <x v="0"/>
            <x v="2"/>
            <x v="4"/>
            <x v="5"/>
            <x v="7"/>
            <x v="9"/>
            <x v="10"/>
            <x v="12"/>
            <x v="18"/>
            <x v="20"/>
            <x v="21"/>
            <x v="25"/>
          </reference>
          <reference field="4" count="1" selected="0">
            <x v="4"/>
          </reference>
          <reference field="8" count="1" selected="0">
            <x v="11"/>
          </reference>
        </references>
      </pivotArea>
    </format>
    <format dxfId="2037">
      <pivotArea dataOnly="0" labelOnly="1" fieldPosition="0">
        <references count="3">
          <reference field="2" count="1">
            <x v="12"/>
          </reference>
          <reference field="4" count="1" selected="0">
            <x v="4"/>
          </reference>
          <reference field="8" count="1" selected="0">
            <x v="35"/>
          </reference>
        </references>
      </pivotArea>
    </format>
    <format dxfId="2038">
      <pivotArea dataOnly="0" labelOnly="1" fieldPosition="0">
        <references count="3">
          <reference field="2" count="4">
            <x v="0"/>
            <x v="3"/>
            <x v="13"/>
            <x v="20"/>
          </reference>
          <reference field="4" count="1" selected="0">
            <x v="5"/>
          </reference>
          <reference field="8" count="1" selected="0">
            <x v="3"/>
          </reference>
        </references>
      </pivotArea>
    </format>
    <format dxfId="2039">
      <pivotArea dataOnly="0" labelOnly="1" fieldPosition="0">
        <references count="3">
          <reference field="2" count="9">
            <x v="0"/>
            <x v="3"/>
            <x v="10"/>
            <x v="12"/>
            <x v="13"/>
            <x v="15"/>
            <x v="17"/>
            <x v="20"/>
            <x v="21"/>
          </reference>
          <reference field="4" count="1" selected="0">
            <x v="5"/>
          </reference>
          <reference field="8" count="1" selected="0">
            <x v="4"/>
          </reference>
        </references>
      </pivotArea>
    </format>
    <format dxfId="2040">
      <pivotArea dataOnly="0" labelOnly="1" fieldPosition="0">
        <references count="3">
          <reference field="2" count="6">
            <x v="13"/>
            <x v="15"/>
            <x v="19"/>
            <x v="20"/>
            <x v="21"/>
            <x v="24"/>
          </reference>
          <reference field="4" count="1" selected="0">
            <x v="5"/>
          </reference>
          <reference field="8" count="1" selected="0">
            <x v="5"/>
          </reference>
        </references>
      </pivotArea>
    </format>
    <format dxfId="2041">
      <pivotArea dataOnly="0" labelOnly="1" fieldPosition="0">
        <references count="3">
          <reference field="2" count="5">
            <x v="6"/>
            <x v="10"/>
            <x v="13"/>
            <x v="17"/>
            <x v="19"/>
          </reference>
          <reference field="4" count="1" selected="0">
            <x v="5"/>
          </reference>
          <reference field="8" count="1" selected="0">
            <x v="9"/>
          </reference>
        </references>
      </pivotArea>
    </format>
    <format dxfId="2042">
      <pivotArea dataOnly="0" labelOnly="1" fieldPosition="0">
        <references count="3">
          <reference field="2" count="6">
            <x v="0"/>
            <x v="12"/>
            <x v="15"/>
            <x v="19"/>
            <x v="20"/>
            <x v="21"/>
          </reference>
          <reference field="4" count="1" selected="0">
            <x v="5"/>
          </reference>
          <reference field="8" count="1" selected="0">
            <x v="10"/>
          </reference>
        </references>
      </pivotArea>
    </format>
    <format dxfId="2043">
      <pivotArea dataOnly="0" labelOnly="1" fieldPosition="0">
        <references count="3">
          <reference field="2" count="8">
            <x v="0"/>
            <x v="10"/>
            <x v="13"/>
            <x v="15"/>
            <x v="20"/>
            <x v="21"/>
            <x v="22"/>
            <x v="24"/>
          </reference>
          <reference field="4" count="1" selected="0">
            <x v="5"/>
          </reference>
          <reference field="8" count="1" selected="0">
            <x v="11"/>
          </reference>
        </references>
      </pivotArea>
    </format>
    <format dxfId="2044">
      <pivotArea dataOnly="0" labelOnly="1" fieldPosition="0">
        <references count="3">
          <reference field="2" count="2">
            <x v="0"/>
            <x v="20"/>
          </reference>
          <reference field="4" count="1" selected="0">
            <x v="5"/>
          </reference>
          <reference field="8" count="1" selected="0">
            <x v="28"/>
          </reference>
        </references>
      </pivotArea>
    </format>
    <format dxfId="2045">
      <pivotArea dataOnly="0" labelOnly="1" fieldPosition="0">
        <references count="3">
          <reference field="2" count="1">
            <x v="0"/>
          </reference>
          <reference field="4" count="1" selected="0">
            <x v="5"/>
          </reference>
          <reference field="8" count="1" selected="0">
            <x v="29"/>
          </reference>
        </references>
      </pivotArea>
    </format>
    <format dxfId="2046">
      <pivotArea dataOnly="0" labelOnly="1" fieldPosition="0">
        <references count="3">
          <reference field="2" count="3">
            <x v="0"/>
            <x v="3"/>
            <x v="25"/>
          </reference>
          <reference field="4" count="1" selected="0">
            <x v="6"/>
          </reference>
          <reference field="8" count="1" selected="0">
            <x v="3"/>
          </reference>
        </references>
      </pivotArea>
    </format>
    <format dxfId="2047">
      <pivotArea dataOnly="0" labelOnly="1" fieldPosition="0">
        <references count="3">
          <reference field="2" count="7">
            <x v="0"/>
            <x v="3"/>
            <x v="7"/>
            <x v="12"/>
            <x v="20"/>
            <x v="21"/>
            <x v="25"/>
          </reference>
          <reference field="4" count="1" selected="0">
            <x v="6"/>
          </reference>
          <reference field="8" count="1" selected="0">
            <x v="4"/>
          </reference>
        </references>
      </pivotArea>
    </format>
    <format dxfId="2048">
      <pivotArea dataOnly="0" labelOnly="1" fieldPosition="0">
        <references count="3">
          <reference field="2" count="2">
            <x v="0"/>
            <x v="13"/>
          </reference>
          <reference field="4" count="1" selected="0">
            <x v="6"/>
          </reference>
          <reference field="8" count="1" selected="0">
            <x v="6"/>
          </reference>
        </references>
      </pivotArea>
    </format>
    <format dxfId="2049">
      <pivotArea dataOnly="0" labelOnly="1" fieldPosition="0">
        <references count="3">
          <reference field="2" count="2">
            <x v="4"/>
            <x v="16"/>
          </reference>
          <reference field="4" count="1" selected="0">
            <x v="6"/>
          </reference>
          <reference field="8" count="1" selected="0">
            <x v="9"/>
          </reference>
        </references>
      </pivotArea>
    </format>
    <format dxfId="2050">
      <pivotArea dataOnly="0" labelOnly="1" fieldPosition="0">
        <references count="3">
          <reference field="2" count="2">
            <x v="19"/>
            <x v="21"/>
          </reference>
          <reference field="4" count="1" selected="0">
            <x v="6"/>
          </reference>
          <reference field="8" count="1" selected="0">
            <x v="10"/>
          </reference>
        </references>
      </pivotArea>
    </format>
    <format dxfId="2051">
      <pivotArea dataOnly="0" labelOnly="1" fieldPosition="0">
        <references count="3">
          <reference field="2" count="12">
            <x v="0"/>
            <x v="2"/>
            <x v="4"/>
            <x v="5"/>
            <x v="7"/>
            <x v="9"/>
            <x v="10"/>
            <x v="12"/>
            <x v="18"/>
            <x v="20"/>
            <x v="21"/>
            <x v="25"/>
          </reference>
          <reference field="4" count="1" selected="0">
            <x v="6"/>
          </reference>
          <reference field="8" count="1" selected="0">
            <x v="11"/>
          </reference>
        </references>
      </pivotArea>
    </format>
    <format dxfId="2052">
      <pivotArea dataOnly="0" labelOnly="1" fieldPosition="0">
        <references count="3">
          <reference field="2" count="1">
            <x v="12"/>
          </reference>
          <reference field="4" count="1" selected="0">
            <x v="6"/>
          </reference>
          <reference field="8" count="1" selected="0">
            <x v="35"/>
          </reference>
        </references>
      </pivotArea>
    </format>
    <format dxfId="2053">
      <pivotArea dataOnly="0" labelOnly="1" fieldPosition="0">
        <references count="4">
          <reference field="2" count="1" selected="0">
            <x v="0"/>
          </reference>
          <reference field="4" count="1" selected="0">
            <x v="0"/>
          </reference>
          <reference field="5" count="1">
            <x v="16"/>
          </reference>
          <reference field="8" count="1" selected="0">
            <x v="3"/>
          </reference>
        </references>
      </pivotArea>
    </format>
    <format dxfId="2054">
      <pivotArea dataOnly="0" labelOnly="1" fieldPosition="0">
        <references count="4">
          <reference field="2" count="1" selected="0">
            <x v="3"/>
          </reference>
          <reference field="4" count="1" selected="0">
            <x v="0"/>
          </reference>
          <reference field="5" count="1">
            <x v="12"/>
          </reference>
          <reference field="8" count="1" selected="0">
            <x v="3"/>
          </reference>
        </references>
      </pivotArea>
    </format>
    <format dxfId="2055">
      <pivotArea dataOnly="0" labelOnly="1" fieldPosition="0">
        <references count="4">
          <reference field="2" count="1" selected="0">
            <x v="25"/>
          </reference>
          <reference field="4" count="1" selected="0">
            <x v="0"/>
          </reference>
          <reference field="5" count="1">
            <x v="16"/>
          </reference>
          <reference field="8" count="1" selected="0">
            <x v="3"/>
          </reference>
        </references>
      </pivotArea>
    </format>
    <format dxfId="2056">
      <pivotArea dataOnly="0" labelOnly="1" fieldPosition="0">
        <references count="4">
          <reference field="2" count="1" selected="0">
            <x v="0"/>
          </reference>
          <reference field="4" count="1" selected="0">
            <x v="0"/>
          </reference>
          <reference field="5" count="1">
            <x v="16"/>
          </reference>
          <reference field="8" count="1" selected="0">
            <x v="4"/>
          </reference>
        </references>
      </pivotArea>
    </format>
    <format dxfId="2057">
      <pivotArea dataOnly="0" labelOnly="1" fieldPosition="0">
        <references count="4">
          <reference field="2" count="1" selected="0">
            <x v="3"/>
          </reference>
          <reference field="4" count="1" selected="0">
            <x v="0"/>
          </reference>
          <reference field="5" count="1">
            <x v="12"/>
          </reference>
          <reference field="8" count="1" selected="0">
            <x v="4"/>
          </reference>
        </references>
      </pivotArea>
    </format>
    <format dxfId="2058">
      <pivotArea dataOnly="0" labelOnly="1" fieldPosition="0">
        <references count="4">
          <reference field="2" count="1" selected="0">
            <x v="7"/>
          </reference>
          <reference field="4" count="1" selected="0">
            <x v="0"/>
          </reference>
          <reference field="5" count="1">
            <x v="16"/>
          </reference>
          <reference field="8" count="1" selected="0">
            <x v="4"/>
          </reference>
        </references>
      </pivotArea>
    </format>
    <format dxfId="2059">
      <pivotArea dataOnly="0" labelOnly="1" fieldPosition="0">
        <references count="4">
          <reference field="2" count="1" selected="0">
            <x v="12"/>
          </reference>
          <reference field="4" count="1" selected="0">
            <x v="0"/>
          </reference>
          <reference field="5" count="1">
            <x v="9"/>
          </reference>
          <reference field="8" count="1" selected="0">
            <x v="4"/>
          </reference>
        </references>
      </pivotArea>
    </format>
    <format dxfId="2060">
      <pivotArea dataOnly="0" labelOnly="1" fieldPosition="0">
        <references count="4">
          <reference field="2" count="1" selected="0">
            <x v="20"/>
          </reference>
          <reference field="4" count="1" selected="0">
            <x v="0"/>
          </reference>
          <reference field="5" count="1">
            <x v="12"/>
          </reference>
          <reference field="8" count="1" selected="0">
            <x v="4"/>
          </reference>
        </references>
      </pivotArea>
    </format>
    <format dxfId="2061">
      <pivotArea dataOnly="0" labelOnly="1" fieldPosition="0">
        <references count="4">
          <reference field="2" count="1" selected="0">
            <x v="21"/>
          </reference>
          <reference field="4" count="1" selected="0">
            <x v="0"/>
          </reference>
          <reference field="5" count="3">
            <x v="14"/>
            <x v="15"/>
            <x v="16"/>
          </reference>
          <reference field="8" count="1" selected="0">
            <x v="4"/>
          </reference>
        </references>
      </pivotArea>
    </format>
    <format dxfId="2062">
      <pivotArea dataOnly="0" labelOnly="1" fieldPosition="0">
        <references count="4">
          <reference field="2" count="1" selected="0">
            <x v="25"/>
          </reference>
          <reference field="4" count="1" selected="0">
            <x v="0"/>
          </reference>
          <reference field="5" count="1">
            <x v="16"/>
          </reference>
          <reference field="8" count="1" selected="0">
            <x v="4"/>
          </reference>
        </references>
      </pivotArea>
    </format>
    <format dxfId="2063">
      <pivotArea dataOnly="0" labelOnly="1" fieldPosition="0">
        <references count="4">
          <reference field="2" count="1" selected="0">
            <x v="0"/>
          </reference>
          <reference field="4" count="1" selected="0">
            <x v="0"/>
          </reference>
          <reference field="5" count="1">
            <x v="16"/>
          </reference>
          <reference field="8" count="1" selected="0">
            <x v="6"/>
          </reference>
        </references>
      </pivotArea>
    </format>
    <format dxfId="2064">
      <pivotArea dataOnly="0" labelOnly="1" fieldPosition="0">
        <references count="4">
          <reference field="2" count="1" selected="0">
            <x v="13"/>
          </reference>
          <reference field="4" count="1" selected="0">
            <x v="0"/>
          </reference>
          <reference field="5" count="1">
            <x v="16"/>
          </reference>
          <reference field="8" count="1" selected="0">
            <x v="6"/>
          </reference>
        </references>
      </pivotArea>
    </format>
    <format dxfId="2065">
      <pivotArea dataOnly="0" labelOnly="1" fieldPosition="0">
        <references count="4">
          <reference field="2" count="1" selected="0">
            <x v="4"/>
          </reference>
          <reference field="4" count="1" selected="0">
            <x v="0"/>
          </reference>
          <reference field="5" count="1">
            <x v="15"/>
          </reference>
          <reference field="8" count="1" selected="0">
            <x v="9"/>
          </reference>
        </references>
      </pivotArea>
    </format>
    <format dxfId="2066">
      <pivotArea dataOnly="0" labelOnly="1" fieldPosition="0">
        <references count="4">
          <reference field="2" count="1" selected="0">
            <x v="16"/>
          </reference>
          <reference field="4" count="1" selected="0">
            <x v="0"/>
          </reference>
          <reference field="5" count="1">
            <x v="15"/>
          </reference>
          <reference field="8" count="1" selected="0">
            <x v="9"/>
          </reference>
        </references>
      </pivotArea>
    </format>
    <format dxfId="2067">
      <pivotArea dataOnly="0" labelOnly="1" fieldPosition="0">
        <references count="4">
          <reference field="2" count="1" selected="0">
            <x v="19"/>
          </reference>
          <reference field="4" count="1" selected="0">
            <x v="0"/>
          </reference>
          <reference field="5" count="1">
            <x v="15"/>
          </reference>
          <reference field="8" count="1" selected="0">
            <x v="10"/>
          </reference>
        </references>
      </pivotArea>
    </format>
    <format dxfId="2068">
      <pivotArea dataOnly="0" labelOnly="1" fieldPosition="0">
        <references count="4">
          <reference field="2" count="1" selected="0">
            <x v="21"/>
          </reference>
          <reference field="4" count="1" selected="0">
            <x v="0"/>
          </reference>
          <reference field="5" count="1">
            <x v="15"/>
          </reference>
          <reference field="8" count="1" selected="0">
            <x v="10"/>
          </reference>
        </references>
      </pivotArea>
    </format>
    <format dxfId="2069">
      <pivotArea dataOnly="0" labelOnly="1" fieldPosition="0">
        <references count="4">
          <reference field="2" count="1" selected="0">
            <x v="0"/>
          </reference>
          <reference field="4" count="1" selected="0">
            <x v="0"/>
          </reference>
          <reference field="5" count="1">
            <x v="16"/>
          </reference>
          <reference field="8" count="1" selected="0">
            <x v="11"/>
          </reference>
        </references>
      </pivotArea>
    </format>
    <format dxfId="2070">
      <pivotArea dataOnly="0" labelOnly="1" fieldPosition="0">
        <references count="4">
          <reference field="2" count="1" selected="0">
            <x v="2"/>
          </reference>
          <reference field="4" count="1" selected="0">
            <x v="0"/>
          </reference>
          <reference field="5" count="1">
            <x v="15"/>
          </reference>
          <reference field="8" count="1" selected="0">
            <x v="11"/>
          </reference>
        </references>
      </pivotArea>
    </format>
    <format dxfId="2071">
      <pivotArea dataOnly="0" labelOnly="1" fieldPosition="0">
        <references count="4">
          <reference field="2" count="1" selected="0">
            <x v="4"/>
          </reference>
          <reference field="4" count="1" selected="0">
            <x v="0"/>
          </reference>
          <reference field="5" count="1">
            <x v="15"/>
          </reference>
          <reference field="8" count="1" selected="0">
            <x v="11"/>
          </reference>
        </references>
      </pivotArea>
    </format>
    <format dxfId="2072">
      <pivotArea dataOnly="0" labelOnly="1" fieldPosition="0">
        <references count="4">
          <reference field="2" count="1" selected="0">
            <x v="5"/>
          </reference>
          <reference field="4" count="1" selected="0">
            <x v="0"/>
          </reference>
          <reference field="5" count="1">
            <x v="3"/>
          </reference>
          <reference field="8" count="1" selected="0">
            <x v="11"/>
          </reference>
        </references>
      </pivotArea>
    </format>
    <format dxfId="2073">
      <pivotArea dataOnly="0" labelOnly="1" fieldPosition="0">
        <references count="4">
          <reference field="2" count="1" selected="0">
            <x v="7"/>
          </reference>
          <reference field="4" count="1" selected="0">
            <x v="0"/>
          </reference>
          <reference field="5" count="1">
            <x v="14"/>
          </reference>
          <reference field="8" count="1" selected="0">
            <x v="11"/>
          </reference>
        </references>
      </pivotArea>
    </format>
    <format dxfId="2074">
      <pivotArea dataOnly="0" labelOnly="1" fieldPosition="0">
        <references count="4">
          <reference field="2" count="1" selected="0">
            <x v="9"/>
          </reference>
          <reference field="4" count="1" selected="0">
            <x v="0"/>
          </reference>
          <reference field="5" count="1">
            <x v="20"/>
          </reference>
          <reference field="8" count="1" selected="0">
            <x v="11"/>
          </reference>
        </references>
      </pivotArea>
    </format>
    <format dxfId="2075">
      <pivotArea dataOnly="0" labelOnly="1" fieldPosition="0">
        <references count="4">
          <reference field="2" count="1" selected="0">
            <x v="10"/>
          </reference>
          <reference field="4" count="1" selected="0">
            <x v="0"/>
          </reference>
          <reference field="5" count="1">
            <x v="15"/>
          </reference>
          <reference field="8" count="1" selected="0">
            <x v="11"/>
          </reference>
        </references>
      </pivotArea>
    </format>
    <format dxfId="2076">
      <pivotArea dataOnly="0" labelOnly="1" fieldPosition="0">
        <references count="4">
          <reference field="2" count="1" selected="0">
            <x v="12"/>
          </reference>
          <reference field="4" count="1" selected="0">
            <x v="0"/>
          </reference>
          <reference field="5" count="1">
            <x v="15"/>
          </reference>
          <reference field="8" count="1" selected="0">
            <x v="11"/>
          </reference>
        </references>
      </pivotArea>
    </format>
    <format dxfId="2077">
      <pivotArea dataOnly="0" labelOnly="1" fieldPosition="0">
        <references count="4">
          <reference field="2" count="1" selected="0">
            <x v="18"/>
          </reference>
          <reference field="4" count="1" selected="0">
            <x v="0"/>
          </reference>
          <reference field="5" count="1">
            <x v="15"/>
          </reference>
          <reference field="8" count="1" selected="0">
            <x v="11"/>
          </reference>
        </references>
      </pivotArea>
    </format>
    <format dxfId="2078">
      <pivotArea dataOnly="0" labelOnly="1" fieldPosition="0">
        <references count="4">
          <reference field="2" count="1" selected="0">
            <x v="20"/>
          </reference>
          <reference field="4" count="1" selected="0">
            <x v="0"/>
          </reference>
          <reference field="5" count="1">
            <x v="12"/>
          </reference>
          <reference field="8" count="1" selected="0">
            <x v="11"/>
          </reference>
        </references>
      </pivotArea>
    </format>
    <format dxfId="2079">
      <pivotArea dataOnly="0" labelOnly="1" fieldPosition="0">
        <references count="4">
          <reference field="2" count="1" selected="0">
            <x v="21"/>
          </reference>
          <reference field="4" count="1" selected="0">
            <x v="0"/>
          </reference>
          <reference field="5" count="2">
            <x v="15"/>
            <x v="16"/>
          </reference>
          <reference field="8" count="1" selected="0">
            <x v="11"/>
          </reference>
        </references>
      </pivotArea>
    </format>
    <format dxfId="2080">
      <pivotArea dataOnly="0" labelOnly="1" fieldPosition="0">
        <references count="4">
          <reference field="2" count="1" selected="0">
            <x v="25"/>
          </reference>
          <reference field="4" count="1" selected="0">
            <x v="0"/>
          </reference>
          <reference field="5" count="1">
            <x v="15"/>
          </reference>
          <reference field="8" count="1" selected="0">
            <x v="11"/>
          </reference>
        </references>
      </pivotArea>
    </format>
    <format dxfId="2081">
      <pivotArea dataOnly="0" labelOnly="1" fieldPosition="0">
        <references count="4">
          <reference field="2" count="1" selected="0">
            <x v="12"/>
          </reference>
          <reference field="4" count="1" selected="0">
            <x v="0"/>
          </reference>
          <reference field="5" count="1">
            <x v="15"/>
          </reference>
          <reference field="8" count="1" selected="0">
            <x v="35"/>
          </reference>
        </references>
      </pivotArea>
    </format>
    <format dxfId="2082">
      <pivotArea dataOnly="0" labelOnly="1" fieldPosition="0">
        <references count="4">
          <reference field="2" count="1" selected="0">
            <x v="0"/>
          </reference>
          <reference field="4" count="1" selected="0">
            <x v="1"/>
          </reference>
          <reference field="5" count="1">
            <x v="16"/>
          </reference>
          <reference field="8" count="1" selected="0">
            <x v="3"/>
          </reference>
        </references>
      </pivotArea>
    </format>
    <format dxfId="2083">
      <pivotArea dataOnly="0" labelOnly="1" fieldPosition="0">
        <references count="4">
          <reference field="2" count="1" selected="0">
            <x v="3"/>
          </reference>
          <reference field="4" count="1" selected="0">
            <x v="1"/>
          </reference>
          <reference field="5" count="1">
            <x v="12"/>
          </reference>
          <reference field="8" count="1" selected="0">
            <x v="3"/>
          </reference>
        </references>
      </pivotArea>
    </format>
    <format dxfId="2084">
      <pivotArea dataOnly="0" labelOnly="1" fieldPosition="0">
        <references count="4">
          <reference field="2" count="1" selected="0">
            <x v="25"/>
          </reference>
          <reference field="4" count="1" selected="0">
            <x v="1"/>
          </reference>
          <reference field="5" count="1">
            <x v="16"/>
          </reference>
          <reference field="8" count="1" selected="0">
            <x v="3"/>
          </reference>
        </references>
      </pivotArea>
    </format>
    <format dxfId="2085">
      <pivotArea dataOnly="0" labelOnly="1" fieldPosition="0">
        <references count="4">
          <reference field="2" count="1" selected="0">
            <x v="0"/>
          </reference>
          <reference field="4" count="1" selected="0">
            <x v="1"/>
          </reference>
          <reference field="5" count="1">
            <x v="16"/>
          </reference>
          <reference field="8" count="1" selected="0">
            <x v="4"/>
          </reference>
        </references>
      </pivotArea>
    </format>
    <format dxfId="2086">
      <pivotArea dataOnly="0" labelOnly="1" fieldPosition="0">
        <references count="4">
          <reference field="2" count="1" selected="0">
            <x v="3"/>
          </reference>
          <reference field="4" count="1" selected="0">
            <x v="1"/>
          </reference>
          <reference field="5" count="1">
            <x v="12"/>
          </reference>
          <reference field="8" count="1" selected="0">
            <x v="4"/>
          </reference>
        </references>
      </pivotArea>
    </format>
    <format dxfId="2087">
      <pivotArea dataOnly="0" labelOnly="1" fieldPosition="0">
        <references count="4">
          <reference field="2" count="1" selected="0">
            <x v="7"/>
          </reference>
          <reference field="4" count="1" selected="0">
            <x v="1"/>
          </reference>
          <reference field="5" count="1">
            <x v="16"/>
          </reference>
          <reference field="8" count="1" selected="0">
            <x v="4"/>
          </reference>
        </references>
      </pivotArea>
    </format>
    <format dxfId="2088">
      <pivotArea dataOnly="0" labelOnly="1" fieldPosition="0">
        <references count="4">
          <reference field="2" count="1" selected="0">
            <x v="12"/>
          </reference>
          <reference field="4" count="1" selected="0">
            <x v="1"/>
          </reference>
          <reference field="5" count="1">
            <x v="9"/>
          </reference>
          <reference field="8" count="1" selected="0">
            <x v="4"/>
          </reference>
        </references>
      </pivotArea>
    </format>
    <format dxfId="2089">
      <pivotArea dataOnly="0" labelOnly="1" fieldPosition="0">
        <references count="4">
          <reference field="2" count="1" selected="0">
            <x v="20"/>
          </reference>
          <reference field="4" count="1" selected="0">
            <x v="1"/>
          </reference>
          <reference field="5" count="1">
            <x v="12"/>
          </reference>
          <reference field="8" count="1" selected="0">
            <x v="4"/>
          </reference>
        </references>
      </pivotArea>
    </format>
    <format dxfId="2090">
      <pivotArea dataOnly="0" labelOnly="1" fieldPosition="0">
        <references count="4">
          <reference field="2" count="1" selected="0">
            <x v="21"/>
          </reference>
          <reference field="4" count="1" selected="0">
            <x v="1"/>
          </reference>
          <reference field="5" count="3">
            <x v="14"/>
            <x v="15"/>
            <x v="16"/>
          </reference>
          <reference field="8" count="1" selected="0">
            <x v="4"/>
          </reference>
        </references>
      </pivotArea>
    </format>
    <format dxfId="2091">
      <pivotArea dataOnly="0" labelOnly="1" fieldPosition="0">
        <references count="4">
          <reference field="2" count="1" selected="0">
            <x v="25"/>
          </reference>
          <reference field="4" count="1" selected="0">
            <x v="1"/>
          </reference>
          <reference field="5" count="1">
            <x v="16"/>
          </reference>
          <reference field="8" count="1" selected="0">
            <x v="4"/>
          </reference>
        </references>
      </pivotArea>
    </format>
    <format dxfId="2092">
      <pivotArea dataOnly="0" labelOnly="1" fieldPosition="0">
        <references count="4">
          <reference field="2" count="1" selected="0">
            <x v="0"/>
          </reference>
          <reference field="4" count="1" selected="0">
            <x v="1"/>
          </reference>
          <reference field="5" count="1">
            <x v="16"/>
          </reference>
          <reference field="8" count="1" selected="0">
            <x v="6"/>
          </reference>
        </references>
      </pivotArea>
    </format>
    <format dxfId="2093">
      <pivotArea dataOnly="0" labelOnly="1" fieldPosition="0">
        <references count="4">
          <reference field="2" count="1" selected="0">
            <x v="13"/>
          </reference>
          <reference field="4" count="1" selected="0">
            <x v="1"/>
          </reference>
          <reference field="5" count="1">
            <x v="16"/>
          </reference>
          <reference field="8" count="1" selected="0">
            <x v="6"/>
          </reference>
        </references>
      </pivotArea>
    </format>
    <format dxfId="2094">
      <pivotArea dataOnly="0" labelOnly="1" fieldPosition="0">
        <references count="4">
          <reference field="2" count="1" selected="0">
            <x v="4"/>
          </reference>
          <reference field="4" count="1" selected="0">
            <x v="1"/>
          </reference>
          <reference field="5" count="1">
            <x v="15"/>
          </reference>
          <reference field="8" count="1" selected="0">
            <x v="9"/>
          </reference>
        </references>
      </pivotArea>
    </format>
    <format dxfId="2095">
      <pivotArea dataOnly="0" labelOnly="1" fieldPosition="0">
        <references count="4">
          <reference field="2" count="1" selected="0">
            <x v="16"/>
          </reference>
          <reference field="4" count="1" selected="0">
            <x v="1"/>
          </reference>
          <reference field="5" count="1">
            <x v="15"/>
          </reference>
          <reference field="8" count="1" selected="0">
            <x v="9"/>
          </reference>
        </references>
      </pivotArea>
    </format>
    <format dxfId="2096">
      <pivotArea dataOnly="0" labelOnly="1" fieldPosition="0">
        <references count="4">
          <reference field="2" count="1" selected="0">
            <x v="19"/>
          </reference>
          <reference field="4" count="1" selected="0">
            <x v="1"/>
          </reference>
          <reference field="5" count="1">
            <x v="15"/>
          </reference>
          <reference field="8" count="1" selected="0">
            <x v="10"/>
          </reference>
        </references>
      </pivotArea>
    </format>
    <format dxfId="2097">
      <pivotArea dataOnly="0" labelOnly="1" fieldPosition="0">
        <references count="4">
          <reference field="2" count="1" selected="0">
            <x v="21"/>
          </reference>
          <reference field="4" count="1" selected="0">
            <x v="1"/>
          </reference>
          <reference field="5" count="1">
            <x v="15"/>
          </reference>
          <reference field="8" count="1" selected="0">
            <x v="10"/>
          </reference>
        </references>
      </pivotArea>
    </format>
    <format dxfId="2098">
      <pivotArea dataOnly="0" labelOnly="1" fieldPosition="0">
        <references count="4">
          <reference field="2" count="1" selected="0">
            <x v="0"/>
          </reference>
          <reference field="4" count="1" selected="0">
            <x v="1"/>
          </reference>
          <reference field="5" count="1">
            <x v="16"/>
          </reference>
          <reference field="8" count="1" selected="0">
            <x v="11"/>
          </reference>
        </references>
      </pivotArea>
    </format>
    <format dxfId="2099">
      <pivotArea dataOnly="0" labelOnly="1" fieldPosition="0">
        <references count="4">
          <reference field="2" count="1" selected="0">
            <x v="2"/>
          </reference>
          <reference field="4" count="1" selected="0">
            <x v="1"/>
          </reference>
          <reference field="5" count="1">
            <x v="15"/>
          </reference>
          <reference field="8" count="1" selected="0">
            <x v="11"/>
          </reference>
        </references>
      </pivotArea>
    </format>
    <format dxfId="2100">
      <pivotArea dataOnly="0" labelOnly="1" fieldPosition="0">
        <references count="4">
          <reference field="2" count="1" selected="0">
            <x v="4"/>
          </reference>
          <reference field="4" count="1" selected="0">
            <x v="1"/>
          </reference>
          <reference field="5" count="1">
            <x v="15"/>
          </reference>
          <reference field="8" count="1" selected="0">
            <x v="11"/>
          </reference>
        </references>
      </pivotArea>
    </format>
    <format dxfId="2101">
      <pivotArea dataOnly="0" labelOnly="1" fieldPosition="0">
        <references count="4">
          <reference field="2" count="1" selected="0">
            <x v="5"/>
          </reference>
          <reference field="4" count="1" selected="0">
            <x v="1"/>
          </reference>
          <reference field="5" count="1">
            <x v="3"/>
          </reference>
          <reference field="8" count="1" selected="0">
            <x v="11"/>
          </reference>
        </references>
      </pivotArea>
    </format>
    <format dxfId="2102">
      <pivotArea dataOnly="0" labelOnly="1" fieldPosition="0">
        <references count="4">
          <reference field="2" count="1" selected="0">
            <x v="7"/>
          </reference>
          <reference field="4" count="1" selected="0">
            <x v="1"/>
          </reference>
          <reference field="5" count="1">
            <x v="14"/>
          </reference>
          <reference field="8" count="1" selected="0">
            <x v="11"/>
          </reference>
        </references>
      </pivotArea>
    </format>
    <format dxfId="2103">
      <pivotArea dataOnly="0" labelOnly="1" fieldPosition="0">
        <references count="4">
          <reference field="2" count="1" selected="0">
            <x v="9"/>
          </reference>
          <reference field="4" count="1" selected="0">
            <x v="1"/>
          </reference>
          <reference field="5" count="1">
            <x v="20"/>
          </reference>
          <reference field="8" count="1" selected="0">
            <x v="11"/>
          </reference>
        </references>
      </pivotArea>
    </format>
    <format dxfId="2104">
      <pivotArea dataOnly="0" labelOnly="1" fieldPosition="0">
        <references count="4">
          <reference field="2" count="1" selected="0">
            <x v="10"/>
          </reference>
          <reference field="4" count="1" selected="0">
            <x v="1"/>
          </reference>
          <reference field="5" count="1">
            <x v="12"/>
          </reference>
          <reference field="8" count="1" selected="0">
            <x v="11"/>
          </reference>
        </references>
      </pivotArea>
    </format>
    <format dxfId="2105">
      <pivotArea dataOnly="0" labelOnly="1" fieldPosition="0">
        <references count="4">
          <reference field="2" count="1" selected="0">
            <x v="12"/>
          </reference>
          <reference field="4" count="1" selected="0">
            <x v="1"/>
          </reference>
          <reference field="5" count="1">
            <x v="15"/>
          </reference>
          <reference field="8" count="1" selected="0">
            <x v="11"/>
          </reference>
        </references>
      </pivotArea>
    </format>
    <format dxfId="2106">
      <pivotArea dataOnly="0" labelOnly="1" fieldPosition="0">
        <references count="4">
          <reference field="2" count="1" selected="0">
            <x v="13"/>
          </reference>
          <reference field="4" count="1" selected="0">
            <x v="1"/>
          </reference>
          <reference field="5" count="1">
            <x v="16"/>
          </reference>
          <reference field="8" count="1" selected="0">
            <x v="11"/>
          </reference>
        </references>
      </pivotArea>
    </format>
    <format dxfId="2107">
      <pivotArea dataOnly="0" labelOnly="1" fieldPosition="0">
        <references count="4">
          <reference field="2" count="1" selected="0">
            <x v="18"/>
          </reference>
          <reference field="4" count="1" selected="0">
            <x v="1"/>
          </reference>
          <reference field="5" count="1">
            <x v="15"/>
          </reference>
          <reference field="8" count="1" selected="0">
            <x v="11"/>
          </reference>
        </references>
      </pivotArea>
    </format>
    <format dxfId="2108">
      <pivotArea dataOnly="0" labelOnly="1" fieldPosition="0">
        <references count="4">
          <reference field="2" count="1" selected="0">
            <x v="20"/>
          </reference>
          <reference field="4" count="1" selected="0">
            <x v="1"/>
          </reference>
          <reference field="5" count="1">
            <x v="12"/>
          </reference>
          <reference field="8" count="1" selected="0">
            <x v="11"/>
          </reference>
        </references>
      </pivotArea>
    </format>
    <format dxfId="2109">
      <pivotArea dataOnly="0" labelOnly="1" fieldPosition="0">
        <references count="4">
          <reference field="2" count="1" selected="0">
            <x v="21"/>
          </reference>
          <reference field="4" count="1" selected="0">
            <x v="1"/>
          </reference>
          <reference field="5" count="2">
            <x v="15"/>
            <x v="16"/>
          </reference>
          <reference field="8" count="1" selected="0">
            <x v="11"/>
          </reference>
        </references>
      </pivotArea>
    </format>
    <format dxfId="2110">
      <pivotArea dataOnly="0" labelOnly="1" fieldPosition="0">
        <references count="4">
          <reference field="2" count="1" selected="0">
            <x v="25"/>
          </reference>
          <reference field="4" count="1" selected="0">
            <x v="1"/>
          </reference>
          <reference field="5" count="1">
            <x v="15"/>
          </reference>
          <reference field="8" count="1" selected="0">
            <x v="11"/>
          </reference>
        </references>
      </pivotArea>
    </format>
    <format dxfId="2111">
      <pivotArea dataOnly="0" labelOnly="1" fieldPosition="0">
        <references count="4">
          <reference field="2" count="1" selected="0">
            <x v="12"/>
          </reference>
          <reference field="4" count="1" selected="0">
            <x v="1"/>
          </reference>
          <reference field="5" count="1">
            <x v="15"/>
          </reference>
          <reference field="8" count="1" selected="0">
            <x v="35"/>
          </reference>
        </references>
      </pivotArea>
    </format>
    <format dxfId="2112">
      <pivotArea dataOnly="0" labelOnly="1" fieldPosition="0">
        <references count="4">
          <reference field="2" count="1" selected="0">
            <x v="0"/>
          </reference>
          <reference field="4" count="1" selected="0">
            <x v="2"/>
          </reference>
          <reference field="5" count="1">
            <x v="16"/>
          </reference>
          <reference field="8" count="1" selected="0">
            <x v="3"/>
          </reference>
        </references>
      </pivotArea>
    </format>
    <format dxfId="2113">
      <pivotArea dataOnly="0" labelOnly="1" fieldPosition="0">
        <references count="4">
          <reference field="2" count="1" selected="0">
            <x v="3"/>
          </reference>
          <reference field="4" count="1" selected="0">
            <x v="2"/>
          </reference>
          <reference field="5" count="1">
            <x v="12"/>
          </reference>
          <reference field="8" count="1" selected="0">
            <x v="3"/>
          </reference>
        </references>
      </pivotArea>
    </format>
    <format dxfId="2114">
      <pivotArea dataOnly="0" labelOnly="1" fieldPosition="0">
        <references count="4">
          <reference field="2" count="1" selected="0">
            <x v="25"/>
          </reference>
          <reference field="4" count="1" selected="0">
            <x v="2"/>
          </reference>
          <reference field="5" count="1">
            <x v="16"/>
          </reference>
          <reference field="8" count="1" selected="0">
            <x v="3"/>
          </reference>
        </references>
      </pivotArea>
    </format>
    <format dxfId="2115">
      <pivotArea dataOnly="0" labelOnly="1" fieldPosition="0">
        <references count="4">
          <reference field="2" count="1" selected="0">
            <x v="0"/>
          </reference>
          <reference field="4" count="1" selected="0">
            <x v="2"/>
          </reference>
          <reference field="5" count="1">
            <x v="16"/>
          </reference>
          <reference field="8" count="1" selected="0">
            <x v="4"/>
          </reference>
        </references>
      </pivotArea>
    </format>
    <format dxfId="2116">
      <pivotArea dataOnly="0" labelOnly="1" fieldPosition="0">
        <references count="4">
          <reference field="2" count="1" selected="0">
            <x v="3"/>
          </reference>
          <reference field="4" count="1" selected="0">
            <x v="2"/>
          </reference>
          <reference field="5" count="1">
            <x v="12"/>
          </reference>
          <reference field="8" count="1" selected="0">
            <x v="4"/>
          </reference>
        </references>
      </pivotArea>
    </format>
    <format dxfId="2117">
      <pivotArea dataOnly="0" labelOnly="1" fieldPosition="0">
        <references count="4">
          <reference field="2" count="1" selected="0">
            <x v="7"/>
          </reference>
          <reference field="4" count="1" selected="0">
            <x v="2"/>
          </reference>
          <reference field="5" count="1">
            <x v="16"/>
          </reference>
          <reference field="8" count="1" selected="0">
            <x v="4"/>
          </reference>
        </references>
      </pivotArea>
    </format>
    <format dxfId="2118">
      <pivotArea dataOnly="0" labelOnly="1" fieldPosition="0">
        <references count="4">
          <reference field="2" count="1" selected="0">
            <x v="12"/>
          </reference>
          <reference field="4" count="1" selected="0">
            <x v="2"/>
          </reference>
          <reference field="5" count="1">
            <x v="9"/>
          </reference>
          <reference field="8" count="1" selected="0">
            <x v="4"/>
          </reference>
        </references>
      </pivotArea>
    </format>
    <format dxfId="2119">
      <pivotArea dataOnly="0" labelOnly="1" fieldPosition="0">
        <references count="4">
          <reference field="2" count="1" selected="0">
            <x v="20"/>
          </reference>
          <reference field="4" count="1" selected="0">
            <x v="2"/>
          </reference>
          <reference field="5" count="1">
            <x v="12"/>
          </reference>
          <reference field="8" count="1" selected="0">
            <x v="4"/>
          </reference>
        </references>
      </pivotArea>
    </format>
    <format dxfId="2120">
      <pivotArea dataOnly="0" labelOnly="1" fieldPosition="0">
        <references count="4">
          <reference field="2" count="1" selected="0">
            <x v="21"/>
          </reference>
          <reference field="4" count="1" selected="0">
            <x v="2"/>
          </reference>
          <reference field="5" count="3">
            <x v="14"/>
            <x v="15"/>
            <x v="16"/>
          </reference>
          <reference field="8" count="1" selected="0">
            <x v="4"/>
          </reference>
        </references>
      </pivotArea>
    </format>
    <format dxfId="2121">
      <pivotArea dataOnly="0" labelOnly="1" fieldPosition="0">
        <references count="4">
          <reference field="2" count="1" selected="0">
            <x v="25"/>
          </reference>
          <reference field="4" count="1" selected="0">
            <x v="2"/>
          </reference>
          <reference field="5" count="1">
            <x v="16"/>
          </reference>
          <reference field="8" count="1" selected="0">
            <x v="4"/>
          </reference>
        </references>
      </pivotArea>
    </format>
    <format dxfId="2122">
      <pivotArea dataOnly="0" labelOnly="1" fieldPosition="0">
        <references count="4">
          <reference field="2" count="1" selected="0">
            <x v="0"/>
          </reference>
          <reference field="4" count="1" selected="0">
            <x v="2"/>
          </reference>
          <reference field="5" count="1">
            <x v="16"/>
          </reference>
          <reference field="8" count="1" selected="0">
            <x v="6"/>
          </reference>
        </references>
      </pivotArea>
    </format>
    <format dxfId="2123">
      <pivotArea dataOnly="0" labelOnly="1" fieldPosition="0">
        <references count="4">
          <reference field="2" count="1" selected="0">
            <x v="13"/>
          </reference>
          <reference field="4" count="1" selected="0">
            <x v="2"/>
          </reference>
          <reference field="5" count="1">
            <x v="16"/>
          </reference>
          <reference field="8" count="1" selected="0">
            <x v="6"/>
          </reference>
        </references>
      </pivotArea>
    </format>
    <format dxfId="2124">
      <pivotArea dataOnly="0" labelOnly="1" fieldPosition="0">
        <references count="4">
          <reference field="2" count="1" selected="0">
            <x v="4"/>
          </reference>
          <reference field="4" count="1" selected="0">
            <x v="2"/>
          </reference>
          <reference field="5" count="1">
            <x v="15"/>
          </reference>
          <reference field="8" count="1" selected="0">
            <x v="9"/>
          </reference>
        </references>
      </pivotArea>
    </format>
    <format dxfId="2125">
      <pivotArea dataOnly="0" labelOnly="1" fieldPosition="0">
        <references count="4">
          <reference field="2" count="1" selected="0">
            <x v="16"/>
          </reference>
          <reference field="4" count="1" selected="0">
            <x v="2"/>
          </reference>
          <reference field="5" count="1">
            <x v="15"/>
          </reference>
          <reference field="8" count="1" selected="0">
            <x v="9"/>
          </reference>
        </references>
      </pivotArea>
    </format>
    <format dxfId="2126">
      <pivotArea dataOnly="0" labelOnly="1" fieldPosition="0">
        <references count="4">
          <reference field="2" count="1" selected="0">
            <x v="19"/>
          </reference>
          <reference field="4" count="1" selected="0">
            <x v="2"/>
          </reference>
          <reference field="5" count="1">
            <x v="15"/>
          </reference>
          <reference field="8" count="1" selected="0">
            <x v="10"/>
          </reference>
        </references>
      </pivotArea>
    </format>
    <format dxfId="2127">
      <pivotArea dataOnly="0" labelOnly="1" fieldPosition="0">
        <references count="4">
          <reference field="2" count="1" selected="0">
            <x v="21"/>
          </reference>
          <reference field="4" count="1" selected="0">
            <x v="2"/>
          </reference>
          <reference field="5" count="1">
            <x v="15"/>
          </reference>
          <reference field="8" count="1" selected="0">
            <x v="10"/>
          </reference>
        </references>
      </pivotArea>
    </format>
    <format dxfId="2128">
      <pivotArea dataOnly="0" labelOnly="1" fieldPosition="0">
        <references count="4">
          <reference field="2" count="1" selected="0">
            <x v="0"/>
          </reference>
          <reference field="4" count="1" selected="0">
            <x v="2"/>
          </reference>
          <reference field="5" count="1">
            <x v="16"/>
          </reference>
          <reference field="8" count="1" selected="0">
            <x v="11"/>
          </reference>
        </references>
      </pivotArea>
    </format>
    <format dxfId="2129">
      <pivotArea dataOnly="0" labelOnly="1" fieldPosition="0">
        <references count="4">
          <reference field="2" count="1" selected="0">
            <x v="2"/>
          </reference>
          <reference field="4" count="1" selected="0">
            <x v="2"/>
          </reference>
          <reference field="5" count="1">
            <x v="15"/>
          </reference>
          <reference field="8" count="1" selected="0">
            <x v="11"/>
          </reference>
        </references>
      </pivotArea>
    </format>
    <format dxfId="2130">
      <pivotArea dataOnly="0" labelOnly="1" fieldPosition="0">
        <references count="4">
          <reference field="2" count="1" selected="0">
            <x v="4"/>
          </reference>
          <reference field="4" count="1" selected="0">
            <x v="2"/>
          </reference>
          <reference field="5" count="1">
            <x v="15"/>
          </reference>
          <reference field="8" count="1" selected="0">
            <x v="11"/>
          </reference>
        </references>
      </pivotArea>
    </format>
    <format dxfId="2131">
      <pivotArea dataOnly="0" labelOnly="1" fieldPosition="0">
        <references count="4">
          <reference field="2" count="1" selected="0">
            <x v="5"/>
          </reference>
          <reference field="4" count="1" selected="0">
            <x v="2"/>
          </reference>
          <reference field="5" count="1">
            <x v="3"/>
          </reference>
          <reference field="8" count="1" selected="0">
            <x v="11"/>
          </reference>
        </references>
      </pivotArea>
    </format>
    <format dxfId="2132">
      <pivotArea dataOnly="0" labelOnly="1" fieldPosition="0">
        <references count="4">
          <reference field="2" count="1" selected="0">
            <x v="7"/>
          </reference>
          <reference field="4" count="1" selected="0">
            <x v="2"/>
          </reference>
          <reference field="5" count="1">
            <x v="14"/>
          </reference>
          <reference field="8" count="1" selected="0">
            <x v="11"/>
          </reference>
        </references>
      </pivotArea>
    </format>
    <format dxfId="2133">
      <pivotArea dataOnly="0" labelOnly="1" fieldPosition="0">
        <references count="4">
          <reference field="2" count="1" selected="0">
            <x v="9"/>
          </reference>
          <reference field="4" count="1" selected="0">
            <x v="2"/>
          </reference>
          <reference field="5" count="1">
            <x v="20"/>
          </reference>
          <reference field="8" count="1" selected="0">
            <x v="11"/>
          </reference>
        </references>
      </pivotArea>
    </format>
    <format dxfId="2134">
      <pivotArea dataOnly="0" labelOnly="1" fieldPosition="0">
        <references count="4">
          <reference field="2" count="1" selected="0">
            <x v="10"/>
          </reference>
          <reference field="4" count="1" selected="0">
            <x v="2"/>
          </reference>
          <reference field="5" count="1">
            <x v="12"/>
          </reference>
          <reference field="8" count="1" selected="0">
            <x v="11"/>
          </reference>
        </references>
      </pivotArea>
    </format>
    <format dxfId="2135">
      <pivotArea dataOnly="0" labelOnly="1" fieldPosition="0">
        <references count="4">
          <reference field="2" count="1" selected="0">
            <x v="12"/>
          </reference>
          <reference field="4" count="1" selected="0">
            <x v="2"/>
          </reference>
          <reference field="5" count="1">
            <x v="15"/>
          </reference>
          <reference field="8" count="1" selected="0">
            <x v="11"/>
          </reference>
        </references>
      </pivotArea>
    </format>
    <format dxfId="2136">
      <pivotArea dataOnly="0" labelOnly="1" fieldPosition="0">
        <references count="4">
          <reference field="2" count="1" selected="0">
            <x v="18"/>
          </reference>
          <reference field="4" count="1" selected="0">
            <x v="2"/>
          </reference>
          <reference field="5" count="1">
            <x v="15"/>
          </reference>
          <reference field="8" count="1" selected="0">
            <x v="11"/>
          </reference>
        </references>
      </pivotArea>
    </format>
    <format dxfId="2137">
      <pivotArea dataOnly="0" labelOnly="1" fieldPosition="0">
        <references count="4">
          <reference field="2" count="1" selected="0">
            <x v="20"/>
          </reference>
          <reference field="4" count="1" selected="0">
            <x v="2"/>
          </reference>
          <reference field="5" count="1">
            <x v="12"/>
          </reference>
          <reference field="8" count="1" selected="0">
            <x v="11"/>
          </reference>
        </references>
      </pivotArea>
    </format>
    <format dxfId="2138">
      <pivotArea dataOnly="0" labelOnly="1" fieldPosition="0">
        <references count="4">
          <reference field="2" count="1" selected="0">
            <x v="21"/>
          </reference>
          <reference field="4" count="1" selected="0">
            <x v="2"/>
          </reference>
          <reference field="5" count="2">
            <x v="15"/>
            <x v="16"/>
          </reference>
          <reference field="8" count="1" selected="0">
            <x v="11"/>
          </reference>
        </references>
      </pivotArea>
    </format>
    <format dxfId="2139">
      <pivotArea dataOnly="0" labelOnly="1" fieldPosition="0">
        <references count="4">
          <reference field="2" count="1" selected="0">
            <x v="25"/>
          </reference>
          <reference field="4" count="1" selected="0">
            <x v="2"/>
          </reference>
          <reference field="5" count="1">
            <x v="15"/>
          </reference>
          <reference field="8" count="1" selected="0">
            <x v="11"/>
          </reference>
        </references>
      </pivotArea>
    </format>
    <format dxfId="2140">
      <pivotArea dataOnly="0" labelOnly="1" fieldPosition="0">
        <references count="4">
          <reference field="2" count="1" selected="0">
            <x v="12"/>
          </reference>
          <reference field="4" count="1" selected="0">
            <x v="2"/>
          </reference>
          <reference field="5" count="1">
            <x v="15"/>
          </reference>
          <reference field="8" count="1" selected="0">
            <x v="35"/>
          </reference>
        </references>
      </pivotArea>
    </format>
    <format dxfId="2141">
      <pivotArea dataOnly="0" labelOnly="1" fieldPosition="0">
        <references count="4">
          <reference field="2" count="1" selected="0">
            <x v="0"/>
          </reference>
          <reference field="4" count="1" selected="0">
            <x v="3"/>
          </reference>
          <reference field="5" count="1">
            <x v="16"/>
          </reference>
          <reference field="8" count="1" selected="0">
            <x v="3"/>
          </reference>
        </references>
      </pivotArea>
    </format>
    <format dxfId="2142">
      <pivotArea dataOnly="0" labelOnly="1" fieldPosition="0">
        <references count="4">
          <reference field="2" count="1" selected="0">
            <x v="3"/>
          </reference>
          <reference field="4" count="1" selected="0">
            <x v="3"/>
          </reference>
          <reference field="5" count="1">
            <x v="12"/>
          </reference>
          <reference field="8" count="1" selected="0">
            <x v="3"/>
          </reference>
        </references>
      </pivotArea>
    </format>
    <format dxfId="2143">
      <pivotArea dataOnly="0" labelOnly="1" fieldPosition="0">
        <references count="4">
          <reference field="2" count="1" selected="0">
            <x v="25"/>
          </reference>
          <reference field="4" count="1" selected="0">
            <x v="3"/>
          </reference>
          <reference field="5" count="1">
            <x v="16"/>
          </reference>
          <reference field="8" count="1" selected="0">
            <x v="3"/>
          </reference>
        </references>
      </pivotArea>
    </format>
    <format dxfId="2144">
      <pivotArea dataOnly="0" labelOnly="1" fieldPosition="0">
        <references count="4">
          <reference field="2" count="1" selected="0">
            <x v="0"/>
          </reference>
          <reference field="4" count="1" selected="0">
            <x v="3"/>
          </reference>
          <reference field="5" count="1">
            <x v="16"/>
          </reference>
          <reference field="8" count="1" selected="0">
            <x v="4"/>
          </reference>
        </references>
      </pivotArea>
    </format>
    <format dxfId="2145">
      <pivotArea dataOnly="0" labelOnly="1" fieldPosition="0">
        <references count="4">
          <reference field="2" count="1" selected="0">
            <x v="3"/>
          </reference>
          <reference field="4" count="1" selected="0">
            <x v="3"/>
          </reference>
          <reference field="5" count="1">
            <x v="12"/>
          </reference>
          <reference field="8" count="1" selected="0">
            <x v="4"/>
          </reference>
        </references>
      </pivotArea>
    </format>
    <format dxfId="2146">
      <pivotArea dataOnly="0" labelOnly="1" fieldPosition="0">
        <references count="4">
          <reference field="2" count="1" selected="0">
            <x v="7"/>
          </reference>
          <reference field="4" count="1" selected="0">
            <x v="3"/>
          </reference>
          <reference field="5" count="1">
            <x v="16"/>
          </reference>
          <reference field="8" count="1" selected="0">
            <x v="4"/>
          </reference>
        </references>
      </pivotArea>
    </format>
    <format dxfId="2147">
      <pivotArea dataOnly="0" labelOnly="1" fieldPosition="0">
        <references count="4">
          <reference field="2" count="1" selected="0">
            <x v="12"/>
          </reference>
          <reference field="4" count="1" selected="0">
            <x v="3"/>
          </reference>
          <reference field="5" count="1">
            <x v="9"/>
          </reference>
          <reference field="8" count="1" selected="0">
            <x v="4"/>
          </reference>
        </references>
      </pivotArea>
    </format>
    <format dxfId="2148">
      <pivotArea dataOnly="0" labelOnly="1" fieldPosition="0">
        <references count="4">
          <reference field="2" count="1" selected="0">
            <x v="20"/>
          </reference>
          <reference field="4" count="1" selected="0">
            <x v="3"/>
          </reference>
          <reference field="5" count="1">
            <x v="12"/>
          </reference>
          <reference field="8" count="1" selected="0">
            <x v="4"/>
          </reference>
        </references>
      </pivotArea>
    </format>
    <format dxfId="2149">
      <pivotArea dataOnly="0" labelOnly="1" fieldPosition="0">
        <references count="4">
          <reference field="2" count="1" selected="0">
            <x v="21"/>
          </reference>
          <reference field="4" count="1" selected="0">
            <x v="3"/>
          </reference>
          <reference field="5" count="3">
            <x v="14"/>
            <x v="15"/>
            <x v="16"/>
          </reference>
          <reference field="8" count="1" selected="0">
            <x v="4"/>
          </reference>
        </references>
      </pivotArea>
    </format>
    <format dxfId="2150">
      <pivotArea dataOnly="0" labelOnly="1" fieldPosition="0">
        <references count="4">
          <reference field="2" count="1" selected="0">
            <x v="25"/>
          </reference>
          <reference field="4" count="1" selected="0">
            <x v="3"/>
          </reference>
          <reference field="5" count="1">
            <x v="16"/>
          </reference>
          <reference field="8" count="1" selected="0">
            <x v="4"/>
          </reference>
        </references>
      </pivotArea>
    </format>
    <format dxfId="2151">
      <pivotArea dataOnly="0" labelOnly="1" fieldPosition="0">
        <references count="4">
          <reference field="2" count="1" selected="0">
            <x v="0"/>
          </reference>
          <reference field="4" count="1" selected="0">
            <x v="3"/>
          </reference>
          <reference field="5" count="1">
            <x v="16"/>
          </reference>
          <reference field="8" count="1" selected="0">
            <x v="6"/>
          </reference>
        </references>
      </pivotArea>
    </format>
    <format dxfId="2152">
      <pivotArea dataOnly="0" labelOnly="1" fieldPosition="0">
        <references count="4">
          <reference field="2" count="1" selected="0">
            <x v="13"/>
          </reference>
          <reference field="4" count="1" selected="0">
            <x v="3"/>
          </reference>
          <reference field="5" count="1">
            <x v="16"/>
          </reference>
          <reference field="8" count="1" selected="0">
            <x v="6"/>
          </reference>
        </references>
      </pivotArea>
    </format>
    <format dxfId="2153">
      <pivotArea dataOnly="0" labelOnly="1" fieldPosition="0">
        <references count="4">
          <reference field="2" count="1" selected="0">
            <x v="4"/>
          </reference>
          <reference field="4" count="1" selected="0">
            <x v="3"/>
          </reference>
          <reference field="5" count="1">
            <x v="15"/>
          </reference>
          <reference field="8" count="1" selected="0">
            <x v="9"/>
          </reference>
        </references>
      </pivotArea>
    </format>
    <format dxfId="2154">
      <pivotArea dataOnly="0" labelOnly="1" fieldPosition="0">
        <references count="4">
          <reference field="2" count="1" selected="0">
            <x v="16"/>
          </reference>
          <reference field="4" count="1" selected="0">
            <x v="3"/>
          </reference>
          <reference field="5" count="1">
            <x v="15"/>
          </reference>
          <reference field="8" count="1" selected="0">
            <x v="9"/>
          </reference>
        </references>
      </pivotArea>
    </format>
    <format dxfId="2155">
      <pivotArea dataOnly="0" labelOnly="1" fieldPosition="0">
        <references count="4">
          <reference field="2" count="1" selected="0">
            <x v="19"/>
          </reference>
          <reference field="4" count="1" selected="0">
            <x v="3"/>
          </reference>
          <reference field="5" count="1">
            <x v="15"/>
          </reference>
          <reference field="8" count="1" selected="0">
            <x v="10"/>
          </reference>
        </references>
      </pivotArea>
    </format>
    <format dxfId="2156">
      <pivotArea dataOnly="0" labelOnly="1" fieldPosition="0">
        <references count="4">
          <reference field="2" count="1" selected="0">
            <x v="21"/>
          </reference>
          <reference field="4" count="1" selected="0">
            <x v="3"/>
          </reference>
          <reference field="5" count="1">
            <x v="15"/>
          </reference>
          <reference field="8" count="1" selected="0">
            <x v="10"/>
          </reference>
        </references>
      </pivotArea>
    </format>
    <format dxfId="2157">
      <pivotArea dataOnly="0" labelOnly="1" fieldPosition="0">
        <references count="4">
          <reference field="2" count="1" selected="0">
            <x v="0"/>
          </reference>
          <reference field="4" count="1" selected="0">
            <x v="3"/>
          </reference>
          <reference field="5" count="1">
            <x v="16"/>
          </reference>
          <reference field="8" count="1" selected="0">
            <x v="11"/>
          </reference>
        </references>
      </pivotArea>
    </format>
    <format dxfId="2158">
      <pivotArea dataOnly="0" labelOnly="1" fieldPosition="0">
        <references count="4">
          <reference field="2" count="1" selected="0">
            <x v="2"/>
          </reference>
          <reference field="4" count="1" selected="0">
            <x v="3"/>
          </reference>
          <reference field="5" count="1">
            <x v="15"/>
          </reference>
          <reference field="8" count="1" selected="0">
            <x v="11"/>
          </reference>
        </references>
      </pivotArea>
    </format>
    <format dxfId="2159">
      <pivotArea dataOnly="0" labelOnly="1" fieldPosition="0">
        <references count="4">
          <reference field="2" count="1" selected="0">
            <x v="4"/>
          </reference>
          <reference field="4" count="1" selected="0">
            <x v="3"/>
          </reference>
          <reference field="5" count="1">
            <x v="15"/>
          </reference>
          <reference field="8" count="1" selected="0">
            <x v="11"/>
          </reference>
        </references>
      </pivotArea>
    </format>
    <format dxfId="2160">
      <pivotArea dataOnly="0" labelOnly="1" fieldPosition="0">
        <references count="4">
          <reference field="2" count="1" selected="0">
            <x v="5"/>
          </reference>
          <reference field="4" count="1" selected="0">
            <x v="3"/>
          </reference>
          <reference field="5" count="1">
            <x v="3"/>
          </reference>
          <reference field="8" count="1" selected="0">
            <x v="11"/>
          </reference>
        </references>
      </pivotArea>
    </format>
    <format dxfId="2161">
      <pivotArea dataOnly="0" labelOnly="1" fieldPosition="0">
        <references count="4">
          <reference field="2" count="1" selected="0">
            <x v="7"/>
          </reference>
          <reference field="4" count="1" selected="0">
            <x v="3"/>
          </reference>
          <reference field="5" count="1">
            <x v="14"/>
          </reference>
          <reference field="8" count="1" selected="0">
            <x v="11"/>
          </reference>
        </references>
      </pivotArea>
    </format>
    <format dxfId="2162">
      <pivotArea dataOnly="0" labelOnly="1" fieldPosition="0">
        <references count="4">
          <reference field="2" count="1" selected="0">
            <x v="9"/>
          </reference>
          <reference field="4" count="1" selected="0">
            <x v="3"/>
          </reference>
          <reference field="5" count="1">
            <x v="20"/>
          </reference>
          <reference field="8" count="1" selected="0">
            <x v="11"/>
          </reference>
        </references>
      </pivotArea>
    </format>
    <format dxfId="2163">
      <pivotArea dataOnly="0" labelOnly="1" fieldPosition="0">
        <references count="4">
          <reference field="2" count="1" selected="0">
            <x v="10"/>
          </reference>
          <reference field="4" count="1" selected="0">
            <x v="3"/>
          </reference>
          <reference field="5" count="1">
            <x v="12"/>
          </reference>
          <reference field="8" count="1" selected="0">
            <x v="11"/>
          </reference>
        </references>
      </pivotArea>
    </format>
    <format dxfId="2164">
      <pivotArea dataOnly="0" labelOnly="1" fieldPosition="0">
        <references count="4">
          <reference field="2" count="1" selected="0">
            <x v="12"/>
          </reference>
          <reference field="4" count="1" selected="0">
            <x v="3"/>
          </reference>
          <reference field="5" count="1">
            <x v="15"/>
          </reference>
          <reference field="8" count="1" selected="0">
            <x v="11"/>
          </reference>
        </references>
      </pivotArea>
    </format>
    <format dxfId="2165">
      <pivotArea dataOnly="0" labelOnly="1" fieldPosition="0">
        <references count="4">
          <reference field="2" count="1" selected="0">
            <x v="18"/>
          </reference>
          <reference field="4" count="1" selected="0">
            <x v="3"/>
          </reference>
          <reference field="5" count="1">
            <x v="15"/>
          </reference>
          <reference field="8" count="1" selected="0">
            <x v="11"/>
          </reference>
        </references>
      </pivotArea>
    </format>
    <format dxfId="2166">
      <pivotArea dataOnly="0" labelOnly="1" fieldPosition="0">
        <references count="4">
          <reference field="2" count="1" selected="0">
            <x v="20"/>
          </reference>
          <reference field="4" count="1" selected="0">
            <x v="3"/>
          </reference>
          <reference field="5" count="1">
            <x v="12"/>
          </reference>
          <reference field="8" count="1" selected="0">
            <x v="11"/>
          </reference>
        </references>
      </pivotArea>
    </format>
    <format dxfId="2167">
      <pivotArea dataOnly="0" labelOnly="1" fieldPosition="0">
        <references count="4">
          <reference field="2" count="1" selected="0">
            <x v="21"/>
          </reference>
          <reference field="4" count="1" selected="0">
            <x v="3"/>
          </reference>
          <reference field="5" count="2">
            <x v="15"/>
            <x v="16"/>
          </reference>
          <reference field="8" count="1" selected="0">
            <x v="11"/>
          </reference>
        </references>
      </pivotArea>
    </format>
    <format dxfId="2168">
      <pivotArea dataOnly="0" labelOnly="1" fieldPosition="0">
        <references count="4">
          <reference field="2" count="1" selected="0">
            <x v="25"/>
          </reference>
          <reference field="4" count="1" selected="0">
            <x v="3"/>
          </reference>
          <reference field="5" count="1">
            <x v="15"/>
          </reference>
          <reference field="8" count="1" selected="0">
            <x v="11"/>
          </reference>
        </references>
      </pivotArea>
    </format>
    <format dxfId="2169">
      <pivotArea dataOnly="0" labelOnly="1" fieldPosition="0">
        <references count="4">
          <reference field="2" count="1" selected="0">
            <x v="12"/>
          </reference>
          <reference field="4" count="1" selected="0">
            <x v="3"/>
          </reference>
          <reference field="5" count="1">
            <x v="15"/>
          </reference>
          <reference field="8" count="1" selected="0">
            <x v="35"/>
          </reference>
        </references>
      </pivotArea>
    </format>
    <format dxfId="2170">
      <pivotArea dataOnly="0" labelOnly="1" fieldPosition="0">
        <references count="4">
          <reference field="2" count="1" selected="0">
            <x v="0"/>
          </reference>
          <reference field="4" count="1" selected="0">
            <x v="4"/>
          </reference>
          <reference field="5" count="1">
            <x v="16"/>
          </reference>
          <reference field="8" count="1" selected="0">
            <x v="3"/>
          </reference>
        </references>
      </pivotArea>
    </format>
    <format dxfId="2171">
      <pivotArea dataOnly="0" labelOnly="1" fieldPosition="0">
        <references count="4">
          <reference field="2" count="1" selected="0">
            <x v="3"/>
          </reference>
          <reference field="4" count="1" selected="0">
            <x v="4"/>
          </reference>
          <reference field="5" count="1">
            <x v="12"/>
          </reference>
          <reference field="8" count="1" selected="0">
            <x v="3"/>
          </reference>
        </references>
      </pivotArea>
    </format>
    <format dxfId="2172">
      <pivotArea dataOnly="0" labelOnly="1" fieldPosition="0">
        <references count="4">
          <reference field="2" count="1" selected="0">
            <x v="20"/>
          </reference>
          <reference field="4" count="1" selected="0">
            <x v="4"/>
          </reference>
          <reference field="5" count="1">
            <x v="26"/>
          </reference>
          <reference field="8" count="1" selected="0">
            <x v="3"/>
          </reference>
        </references>
      </pivotArea>
    </format>
    <format dxfId="2173">
      <pivotArea dataOnly="0" labelOnly="1" fieldPosition="0">
        <references count="4">
          <reference field="2" count="1" selected="0">
            <x v="25"/>
          </reference>
          <reference field="4" count="1" selected="0">
            <x v="4"/>
          </reference>
          <reference field="5" count="1">
            <x v="16"/>
          </reference>
          <reference field="8" count="1" selected="0">
            <x v="3"/>
          </reference>
        </references>
      </pivotArea>
    </format>
    <format dxfId="2174">
      <pivotArea dataOnly="0" labelOnly="1" fieldPosition="0">
        <references count="4">
          <reference field="2" count="1" selected="0">
            <x v="0"/>
          </reference>
          <reference field="4" count="1" selected="0">
            <x v="4"/>
          </reference>
          <reference field="5" count="1">
            <x v="16"/>
          </reference>
          <reference field="8" count="1" selected="0">
            <x v="4"/>
          </reference>
        </references>
      </pivotArea>
    </format>
    <format dxfId="2175">
      <pivotArea dataOnly="0" labelOnly="1" fieldPosition="0">
        <references count="4">
          <reference field="2" count="1" selected="0">
            <x v="3"/>
          </reference>
          <reference field="4" count="1" selected="0">
            <x v="4"/>
          </reference>
          <reference field="5" count="1">
            <x v="12"/>
          </reference>
          <reference field="8" count="1" selected="0">
            <x v="4"/>
          </reference>
        </references>
      </pivotArea>
    </format>
    <format dxfId="2176">
      <pivotArea dataOnly="0" labelOnly="1" fieldPosition="0">
        <references count="4">
          <reference field="2" count="1" selected="0">
            <x v="7"/>
          </reference>
          <reference field="4" count="1" selected="0">
            <x v="4"/>
          </reference>
          <reference field="5" count="1">
            <x v="16"/>
          </reference>
          <reference field="8" count="1" selected="0">
            <x v="4"/>
          </reference>
        </references>
      </pivotArea>
    </format>
    <format dxfId="2177">
      <pivotArea dataOnly="0" labelOnly="1" fieldPosition="0">
        <references count="4">
          <reference field="2" count="1" selected="0">
            <x v="12"/>
          </reference>
          <reference field="4" count="1" selected="0">
            <x v="4"/>
          </reference>
          <reference field="5" count="1">
            <x v="9"/>
          </reference>
          <reference field="8" count="1" selected="0">
            <x v="4"/>
          </reference>
        </references>
      </pivotArea>
    </format>
    <format dxfId="2178">
      <pivotArea dataOnly="0" labelOnly="1" fieldPosition="0">
        <references count="4">
          <reference field="2" count="1" selected="0">
            <x v="20"/>
          </reference>
          <reference field="4" count="1" selected="0">
            <x v="4"/>
          </reference>
          <reference field="5" count="2">
            <x v="12"/>
            <x v="26"/>
          </reference>
          <reference field="8" count="1" selected="0">
            <x v="4"/>
          </reference>
        </references>
      </pivotArea>
    </format>
    <format dxfId="2179">
      <pivotArea dataOnly="0" labelOnly="1" fieldPosition="0">
        <references count="4">
          <reference field="2" count="1" selected="0">
            <x v="21"/>
          </reference>
          <reference field="4" count="1" selected="0">
            <x v="4"/>
          </reference>
          <reference field="5" count="3">
            <x v="14"/>
            <x v="15"/>
            <x v="16"/>
          </reference>
          <reference field="8" count="1" selected="0">
            <x v="4"/>
          </reference>
        </references>
      </pivotArea>
    </format>
    <format dxfId="2180">
      <pivotArea dataOnly="0" labelOnly="1" fieldPosition="0">
        <references count="4">
          <reference field="2" count="1" selected="0">
            <x v="25"/>
          </reference>
          <reference field="4" count="1" selected="0">
            <x v="4"/>
          </reference>
          <reference field="5" count="1">
            <x v="16"/>
          </reference>
          <reference field="8" count="1" selected="0">
            <x v="4"/>
          </reference>
        </references>
      </pivotArea>
    </format>
    <format dxfId="2181">
      <pivotArea dataOnly="0" labelOnly="1" fieldPosition="0">
        <references count="4">
          <reference field="2" count="1" selected="0">
            <x v="20"/>
          </reference>
          <reference field="4" count="1" selected="0">
            <x v="4"/>
          </reference>
          <reference field="5" count="1">
            <x v="26"/>
          </reference>
          <reference field="8" count="1" selected="0">
            <x v="5"/>
          </reference>
        </references>
      </pivotArea>
    </format>
    <format dxfId="2182">
      <pivotArea dataOnly="0" labelOnly="1" fieldPosition="0">
        <references count="4">
          <reference field="2" count="1" selected="0">
            <x v="0"/>
          </reference>
          <reference field="4" count="1" selected="0">
            <x v="4"/>
          </reference>
          <reference field="5" count="1">
            <x v="16"/>
          </reference>
          <reference field="8" count="1" selected="0">
            <x v="6"/>
          </reference>
        </references>
      </pivotArea>
    </format>
    <format dxfId="2183">
      <pivotArea dataOnly="0" labelOnly="1" fieldPosition="0">
        <references count="4">
          <reference field="2" count="1" selected="0">
            <x v="13"/>
          </reference>
          <reference field="4" count="1" selected="0">
            <x v="4"/>
          </reference>
          <reference field="5" count="1">
            <x v="16"/>
          </reference>
          <reference field="8" count="1" selected="0">
            <x v="6"/>
          </reference>
        </references>
      </pivotArea>
    </format>
    <format dxfId="2184">
      <pivotArea dataOnly="0" labelOnly="1" fieldPosition="0">
        <references count="4">
          <reference field="2" count="1" selected="0">
            <x v="4"/>
          </reference>
          <reference field="4" count="1" selected="0">
            <x v="4"/>
          </reference>
          <reference field="5" count="1">
            <x v="15"/>
          </reference>
          <reference field="8" count="1" selected="0">
            <x v="9"/>
          </reference>
        </references>
      </pivotArea>
    </format>
    <format dxfId="2185">
      <pivotArea dataOnly="0" labelOnly="1" fieldPosition="0">
        <references count="4">
          <reference field="2" count="1" selected="0">
            <x v="16"/>
          </reference>
          <reference field="4" count="1" selected="0">
            <x v="4"/>
          </reference>
          <reference field="5" count="1">
            <x v="15"/>
          </reference>
          <reference field="8" count="1" selected="0">
            <x v="9"/>
          </reference>
        </references>
      </pivotArea>
    </format>
    <format dxfId="2186">
      <pivotArea dataOnly="0" labelOnly="1" fieldPosition="0">
        <references count="4">
          <reference field="2" count="1" selected="0">
            <x v="20"/>
          </reference>
          <reference field="4" count="1" selected="0">
            <x v="4"/>
          </reference>
          <reference field="5" count="1">
            <x v="26"/>
          </reference>
          <reference field="8" count="1" selected="0">
            <x v="9"/>
          </reference>
        </references>
      </pivotArea>
    </format>
    <format dxfId="2187">
      <pivotArea dataOnly="0" labelOnly="1" fieldPosition="0">
        <references count="4">
          <reference field="2" count="1" selected="0">
            <x v="19"/>
          </reference>
          <reference field="4" count="1" selected="0">
            <x v="4"/>
          </reference>
          <reference field="5" count="1">
            <x v="15"/>
          </reference>
          <reference field="8" count="1" selected="0">
            <x v="10"/>
          </reference>
        </references>
      </pivotArea>
    </format>
    <format dxfId="2188">
      <pivotArea dataOnly="0" labelOnly="1" fieldPosition="0">
        <references count="4">
          <reference field="2" count="1" selected="0">
            <x v="21"/>
          </reference>
          <reference field="4" count="1" selected="0">
            <x v="4"/>
          </reference>
          <reference field="5" count="1">
            <x v="15"/>
          </reference>
          <reference field="8" count="1" selected="0">
            <x v="10"/>
          </reference>
        </references>
      </pivotArea>
    </format>
    <format dxfId="2189">
      <pivotArea dataOnly="0" labelOnly="1" fieldPosition="0">
        <references count="4">
          <reference field="2" count="1" selected="0">
            <x v="0"/>
          </reference>
          <reference field="4" count="1" selected="0">
            <x v="4"/>
          </reference>
          <reference field="5" count="1">
            <x v="16"/>
          </reference>
          <reference field="8" count="1" selected="0">
            <x v="11"/>
          </reference>
        </references>
      </pivotArea>
    </format>
    <format dxfId="2190">
      <pivotArea dataOnly="0" labelOnly="1" fieldPosition="0">
        <references count="4">
          <reference field="2" count="1" selected="0">
            <x v="2"/>
          </reference>
          <reference field="4" count="1" selected="0">
            <x v="4"/>
          </reference>
          <reference field="5" count="1">
            <x v="15"/>
          </reference>
          <reference field="8" count="1" selected="0">
            <x v="11"/>
          </reference>
        </references>
      </pivotArea>
    </format>
    <format dxfId="2191">
      <pivotArea dataOnly="0" labelOnly="1" fieldPosition="0">
        <references count="4">
          <reference field="2" count="1" selected="0">
            <x v="4"/>
          </reference>
          <reference field="4" count="1" selected="0">
            <x v="4"/>
          </reference>
          <reference field="5" count="1">
            <x v="15"/>
          </reference>
          <reference field="8" count="1" selected="0">
            <x v="11"/>
          </reference>
        </references>
      </pivotArea>
    </format>
    <format dxfId="2192">
      <pivotArea dataOnly="0" labelOnly="1" fieldPosition="0">
        <references count="4">
          <reference field="2" count="1" selected="0">
            <x v="5"/>
          </reference>
          <reference field="4" count="1" selected="0">
            <x v="4"/>
          </reference>
          <reference field="5" count="1">
            <x v="3"/>
          </reference>
          <reference field="8" count="1" selected="0">
            <x v="11"/>
          </reference>
        </references>
      </pivotArea>
    </format>
    <format dxfId="2193">
      <pivotArea dataOnly="0" labelOnly="1" fieldPosition="0">
        <references count="4">
          <reference field="2" count="1" selected="0">
            <x v="7"/>
          </reference>
          <reference field="4" count="1" selected="0">
            <x v="4"/>
          </reference>
          <reference field="5" count="1">
            <x v="14"/>
          </reference>
          <reference field="8" count="1" selected="0">
            <x v="11"/>
          </reference>
        </references>
      </pivotArea>
    </format>
    <format dxfId="2194">
      <pivotArea dataOnly="0" labelOnly="1" fieldPosition="0">
        <references count="4">
          <reference field="2" count="1" selected="0">
            <x v="9"/>
          </reference>
          <reference field="4" count="1" selected="0">
            <x v="4"/>
          </reference>
          <reference field="5" count="1">
            <x v="20"/>
          </reference>
          <reference field="8" count="1" selected="0">
            <x v="11"/>
          </reference>
        </references>
      </pivotArea>
    </format>
    <format dxfId="2195">
      <pivotArea dataOnly="0" labelOnly="1" fieldPosition="0">
        <references count="4">
          <reference field="2" count="1" selected="0">
            <x v="10"/>
          </reference>
          <reference field="4" count="1" selected="0">
            <x v="4"/>
          </reference>
          <reference field="5" count="1">
            <x v="12"/>
          </reference>
          <reference field="8" count="1" selected="0">
            <x v="11"/>
          </reference>
        </references>
      </pivotArea>
    </format>
    <format dxfId="2196">
      <pivotArea dataOnly="0" labelOnly="1" fieldPosition="0">
        <references count="4">
          <reference field="2" count="1" selected="0">
            <x v="12"/>
          </reference>
          <reference field="4" count="1" selected="0">
            <x v="4"/>
          </reference>
          <reference field="5" count="1">
            <x v="15"/>
          </reference>
          <reference field="8" count="1" selected="0">
            <x v="11"/>
          </reference>
        </references>
      </pivotArea>
    </format>
    <format dxfId="2197">
      <pivotArea dataOnly="0" labelOnly="1" fieldPosition="0">
        <references count="4">
          <reference field="2" count="1" selected="0">
            <x v="18"/>
          </reference>
          <reference field="4" count="1" selected="0">
            <x v="4"/>
          </reference>
          <reference field="5" count="1">
            <x v="15"/>
          </reference>
          <reference field="8" count="1" selected="0">
            <x v="11"/>
          </reference>
        </references>
      </pivotArea>
    </format>
    <format dxfId="2198">
      <pivotArea dataOnly="0" labelOnly="1" fieldPosition="0">
        <references count="4">
          <reference field="2" count="1" selected="0">
            <x v="20"/>
          </reference>
          <reference field="4" count="1" selected="0">
            <x v="4"/>
          </reference>
          <reference field="5" count="1">
            <x v="12"/>
          </reference>
          <reference field="8" count="1" selected="0">
            <x v="11"/>
          </reference>
        </references>
      </pivotArea>
    </format>
    <format dxfId="2199">
      <pivotArea dataOnly="0" labelOnly="1" fieldPosition="0">
        <references count="4">
          <reference field="2" count="1" selected="0">
            <x v="21"/>
          </reference>
          <reference field="4" count="1" selected="0">
            <x v="4"/>
          </reference>
          <reference field="5" count="2">
            <x v="15"/>
            <x v="16"/>
          </reference>
          <reference field="8" count="1" selected="0">
            <x v="11"/>
          </reference>
        </references>
      </pivotArea>
    </format>
    <format dxfId="2200">
      <pivotArea dataOnly="0" labelOnly="1" fieldPosition="0">
        <references count="4">
          <reference field="2" count="1" selected="0">
            <x v="25"/>
          </reference>
          <reference field="4" count="1" selected="0">
            <x v="4"/>
          </reference>
          <reference field="5" count="1">
            <x v="15"/>
          </reference>
          <reference field="8" count="1" selected="0">
            <x v="11"/>
          </reference>
        </references>
      </pivotArea>
    </format>
    <format dxfId="2201">
      <pivotArea dataOnly="0" labelOnly="1" fieldPosition="0">
        <references count="4">
          <reference field="2" count="1" selected="0">
            <x v="12"/>
          </reference>
          <reference field="4" count="1" selected="0">
            <x v="4"/>
          </reference>
          <reference field="5" count="1">
            <x v="15"/>
          </reference>
          <reference field="8" count="1" selected="0">
            <x v="35"/>
          </reference>
        </references>
      </pivotArea>
    </format>
    <format dxfId="2202">
      <pivotArea dataOnly="0" labelOnly="1" fieldPosition="0">
        <references count="4">
          <reference field="2" count="1" selected="0">
            <x v="0"/>
          </reference>
          <reference field="4" count="1" selected="0">
            <x v="5"/>
          </reference>
          <reference field="5" count="1">
            <x v="21"/>
          </reference>
          <reference field="8" count="1" selected="0">
            <x v="3"/>
          </reference>
        </references>
      </pivotArea>
    </format>
    <format dxfId="2203">
      <pivotArea dataOnly="0" labelOnly="1" fieldPosition="0">
        <references count="4">
          <reference field="2" count="1" selected="0">
            <x v="3"/>
          </reference>
          <reference field="4" count="1" selected="0">
            <x v="5"/>
          </reference>
          <reference field="5" count="2">
            <x v="1"/>
            <x v="21"/>
          </reference>
          <reference field="8" count="1" selected="0">
            <x v="3"/>
          </reference>
        </references>
      </pivotArea>
    </format>
    <format dxfId="2204">
      <pivotArea dataOnly="0" labelOnly="1" fieldPosition="0">
        <references count="4">
          <reference field="2" count="1" selected="0">
            <x v="13"/>
          </reference>
          <reference field="4" count="1" selected="0">
            <x v="5"/>
          </reference>
          <reference field="5" count="1">
            <x v="1"/>
          </reference>
          <reference field="8" count="1" selected="0">
            <x v="3"/>
          </reference>
        </references>
      </pivotArea>
    </format>
    <format dxfId="2205">
      <pivotArea dataOnly="0" labelOnly="1" fieldPosition="0">
        <references count="4">
          <reference field="2" count="1" selected="0">
            <x v="20"/>
          </reference>
          <reference field="4" count="1" selected="0">
            <x v="5"/>
          </reference>
          <reference field="5" count="1">
            <x v="21"/>
          </reference>
          <reference field="8" count="1" selected="0">
            <x v="3"/>
          </reference>
        </references>
      </pivotArea>
    </format>
    <format dxfId="2206">
      <pivotArea dataOnly="0" labelOnly="1" fieldPosition="0">
        <references count="4">
          <reference field="2" count="1" selected="0">
            <x v="0"/>
          </reference>
          <reference field="4" count="1" selected="0">
            <x v="5"/>
          </reference>
          <reference field="5" count="1">
            <x v="21"/>
          </reference>
          <reference field="8" count="1" selected="0">
            <x v="4"/>
          </reference>
        </references>
      </pivotArea>
    </format>
    <format dxfId="2207">
      <pivotArea dataOnly="0" labelOnly="1" fieldPosition="0">
        <references count="4">
          <reference field="2" count="1" selected="0">
            <x v="3"/>
          </reference>
          <reference field="4" count="1" selected="0">
            <x v="5"/>
          </reference>
          <reference field="5" count="2">
            <x v="1"/>
            <x v="21"/>
          </reference>
          <reference field="8" count="1" selected="0">
            <x v="4"/>
          </reference>
        </references>
      </pivotArea>
    </format>
    <format dxfId="2208">
      <pivotArea dataOnly="0" labelOnly="1" fieldPosition="0">
        <references count="4">
          <reference field="2" count="1" selected="0">
            <x v="10"/>
          </reference>
          <reference field="4" count="1" selected="0">
            <x v="5"/>
          </reference>
          <reference field="5" count="1">
            <x v="13"/>
          </reference>
          <reference field="8" count="1" selected="0">
            <x v="4"/>
          </reference>
        </references>
      </pivotArea>
    </format>
    <format dxfId="2209">
      <pivotArea dataOnly="0" labelOnly="1" fieldPosition="0">
        <references count="4">
          <reference field="2" count="1" selected="0">
            <x v="12"/>
          </reference>
          <reference field="4" count="1" selected="0">
            <x v="5"/>
          </reference>
          <reference field="5" count="1">
            <x v="22"/>
          </reference>
          <reference field="8" count="1" selected="0">
            <x v="4"/>
          </reference>
        </references>
      </pivotArea>
    </format>
    <format dxfId="2210">
      <pivotArea dataOnly="0" labelOnly="1" fieldPosition="0">
        <references count="4">
          <reference field="2" count="1" selected="0">
            <x v="13"/>
          </reference>
          <reference field="4" count="1" selected="0">
            <x v="5"/>
          </reference>
          <reference field="5" count="1">
            <x v="1"/>
          </reference>
          <reference field="8" count="1" selected="0">
            <x v="4"/>
          </reference>
        </references>
      </pivotArea>
    </format>
    <format dxfId="2211">
      <pivotArea dataOnly="0" labelOnly="1" fieldPosition="0">
        <references count="4">
          <reference field="2" count="1" selected="0">
            <x v="15"/>
          </reference>
          <reference field="4" count="1" selected="0">
            <x v="5"/>
          </reference>
          <reference field="5" count="1">
            <x v="1"/>
          </reference>
          <reference field="8" count="1" selected="0">
            <x v="4"/>
          </reference>
        </references>
      </pivotArea>
    </format>
    <format dxfId="2212">
      <pivotArea dataOnly="0" labelOnly="1" fieldPosition="0">
        <references count="4">
          <reference field="2" count="1" selected="0">
            <x v="17"/>
          </reference>
          <reference field="4" count="1" selected="0">
            <x v="5"/>
          </reference>
          <reference field="5" count="1">
            <x v="1"/>
          </reference>
          <reference field="8" count="1" selected="0">
            <x v="4"/>
          </reference>
        </references>
      </pivotArea>
    </format>
    <format dxfId="2213">
      <pivotArea dataOnly="0" labelOnly="1" fieldPosition="0">
        <references count="4">
          <reference field="2" count="1" selected="0">
            <x v="20"/>
          </reference>
          <reference field="4" count="1" selected="0">
            <x v="5"/>
          </reference>
          <reference field="5" count="2">
            <x v="21"/>
            <x v="22"/>
          </reference>
          <reference field="8" count="1" selected="0">
            <x v="4"/>
          </reference>
        </references>
      </pivotArea>
    </format>
    <format dxfId="2214">
      <pivotArea dataOnly="0" labelOnly="1" fieldPosition="0">
        <references count="4">
          <reference field="2" count="1" selected="0">
            <x v="21"/>
          </reference>
          <reference field="4" count="1" selected="0">
            <x v="5"/>
          </reference>
          <reference field="5" count="1">
            <x v="1"/>
          </reference>
          <reference field="8" count="1" selected="0">
            <x v="4"/>
          </reference>
        </references>
      </pivotArea>
    </format>
    <format dxfId="2215">
      <pivotArea dataOnly="0" labelOnly="1" fieldPosition="0">
        <references count="4">
          <reference field="2" count="1" selected="0">
            <x v="13"/>
          </reference>
          <reference field="4" count="1" selected="0">
            <x v="5"/>
          </reference>
          <reference field="5" count="1">
            <x v="1"/>
          </reference>
          <reference field="8" count="1" selected="0">
            <x v="5"/>
          </reference>
        </references>
      </pivotArea>
    </format>
    <format dxfId="2216">
      <pivotArea dataOnly="0" labelOnly="1" fieldPosition="0">
        <references count="4">
          <reference field="2" count="1" selected="0">
            <x v="15"/>
          </reference>
          <reference field="4" count="1" selected="0">
            <x v="5"/>
          </reference>
          <reference field="5" count="1">
            <x v="1"/>
          </reference>
          <reference field="8" count="1" selected="0">
            <x v="5"/>
          </reference>
        </references>
      </pivotArea>
    </format>
    <format dxfId="2217">
      <pivotArea dataOnly="0" labelOnly="1" fieldPosition="0">
        <references count="4">
          <reference field="2" count="1" selected="0">
            <x v="19"/>
          </reference>
          <reference field="4" count="1" selected="0">
            <x v="5"/>
          </reference>
          <reference field="5" count="1">
            <x v="21"/>
          </reference>
          <reference field="8" count="1" selected="0">
            <x v="5"/>
          </reference>
        </references>
      </pivotArea>
    </format>
    <format dxfId="2218">
      <pivotArea dataOnly="0" labelOnly="1" fieldPosition="0">
        <references count="4">
          <reference field="2" count="1" selected="0">
            <x v="20"/>
          </reference>
          <reference field="4" count="1" selected="0">
            <x v="5"/>
          </reference>
          <reference field="5" count="1">
            <x v="21"/>
          </reference>
          <reference field="8" count="1" selected="0">
            <x v="5"/>
          </reference>
        </references>
      </pivotArea>
    </format>
    <format dxfId="2219">
      <pivotArea dataOnly="0" labelOnly="1" fieldPosition="0">
        <references count="4">
          <reference field="2" count="1" selected="0">
            <x v="21"/>
          </reference>
          <reference field="4" count="1" selected="0">
            <x v="5"/>
          </reference>
          <reference field="5" count="1">
            <x v="1"/>
          </reference>
          <reference field="8" count="1" selected="0">
            <x v="5"/>
          </reference>
        </references>
      </pivotArea>
    </format>
    <format dxfId="2220">
      <pivotArea dataOnly="0" labelOnly="1" fieldPosition="0">
        <references count="4">
          <reference field="2" count="1" selected="0">
            <x v="24"/>
          </reference>
          <reference field="4" count="1" selected="0">
            <x v="5"/>
          </reference>
          <reference field="5" count="1">
            <x v="23"/>
          </reference>
          <reference field="8" count="1" selected="0">
            <x v="5"/>
          </reference>
        </references>
      </pivotArea>
    </format>
    <format dxfId="2221">
      <pivotArea dataOnly="0" labelOnly="1" fieldPosition="0">
        <references count="4">
          <reference field="2" count="1" selected="0">
            <x v="6"/>
          </reference>
          <reference field="4" count="1" selected="0">
            <x v="5"/>
          </reference>
          <reference field="5" count="2">
            <x v="1"/>
            <x v="22"/>
          </reference>
          <reference field="8" count="1" selected="0">
            <x v="9"/>
          </reference>
        </references>
      </pivotArea>
    </format>
    <format dxfId="2222">
      <pivotArea dataOnly="0" labelOnly="1" fieldPosition="0">
        <references count="4">
          <reference field="2" count="1" selected="0">
            <x v="10"/>
          </reference>
          <reference field="4" count="1" selected="0">
            <x v="5"/>
          </reference>
          <reference field="5" count="1">
            <x v="1"/>
          </reference>
          <reference field="8" count="1" selected="0">
            <x v="9"/>
          </reference>
        </references>
      </pivotArea>
    </format>
    <format dxfId="2223">
      <pivotArea dataOnly="0" labelOnly="1" fieldPosition="0">
        <references count="4">
          <reference field="2" count="1" selected="0">
            <x v="13"/>
          </reference>
          <reference field="4" count="1" selected="0">
            <x v="5"/>
          </reference>
          <reference field="5" count="1">
            <x v="1"/>
          </reference>
          <reference field="8" count="1" selected="0">
            <x v="9"/>
          </reference>
        </references>
      </pivotArea>
    </format>
    <format dxfId="2224">
      <pivotArea dataOnly="0" labelOnly="1" fieldPosition="0">
        <references count="4">
          <reference field="2" count="1" selected="0">
            <x v="17"/>
          </reference>
          <reference field="4" count="1" selected="0">
            <x v="5"/>
          </reference>
          <reference field="5" count="1">
            <x v="1"/>
          </reference>
          <reference field="8" count="1" selected="0">
            <x v="9"/>
          </reference>
        </references>
      </pivotArea>
    </format>
    <format dxfId="2225">
      <pivotArea dataOnly="0" labelOnly="1" fieldPosition="0">
        <references count="4">
          <reference field="2" count="1" selected="0">
            <x v="19"/>
          </reference>
          <reference field="4" count="1" selected="0">
            <x v="5"/>
          </reference>
          <reference field="5" count="1">
            <x v="1"/>
          </reference>
          <reference field="8" count="1" selected="0">
            <x v="9"/>
          </reference>
        </references>
      </pivotArea>
    </format>
    <format dxfId="2226">
      <pivotArea dataOnly="0" labelOnly="1" fieldPosition="0">
        <references count="4">
          <reference field="2" count="1" selected="0">
            <x v="0"/>
          </reference>
          <reference field="4" count="1" selected="0">
            <x v="5"/>
          </reference>
          <reference field="5" count="1">
            <x v="21"/>
          </reference>
          <reference field="8" count="1" selected="0">
            <x v="10"/>
          </reference>
        </references>
      </pivotArea>
    </format>
    <format dxfId="2227">
      <pivotArea dataOnly="0" labelOnly="1" fieldPosition="0">
        <references count="4">
          <reference field="2" count="1" selected="0">
            <x v="12"/>
          </reference>
          <reference field="4" count="1" selected="0">
            <x v="5"/>
          </reference>
          <reference field="5" count="1">
            <x v="22"/>
          </reference>
          <reference field="8" count="1" selected="0">
            <x v="10"/>
          </reference>
        </references>
      </pivotArea>
    </format>
    <format dxfId="2228">
      <pivotArea dataOnly="0" labelOnly="1" fieldPosition="0">
        <references count="4">
          <reference field="2" count="1" selected="0">
            <x v="15"/>
          </reference>
          <reference field="4" count="1" selected="0">
            <x v="5"/>
          </reference>
          <reference field="5" count="1">
            <x v="1"/>
          </reference>
          <reference field="8" count="1" selected="0">
            <x v="10"/>
          </reference>
        </references>
      </pivotArea>
    </format>
    <format dxfId="2229">
      <pivotArea dataOnly="0" labelOnly="1" fieldPosition="0">
        <references count="4">
          <reference field="2" count="1" selected="0">
            <x v="19"/>
          </reference>
          <reference field="4" count="1" selected="0">
            <x v="5"/>
          </reference>
          <reference field="5" count="2">
            <x v="21"/>
            <x v="22"/>
          </reference>
          <reference field="8" count="1" selected="0">
            <x v="10"/>
          </reference>
        </references>
      </pivotArea>
    </format>
    <format dxfId="2230">
      <pivotArea dataOnly="0" labelOnly="1" fieldPosition="0">
        <references count="4">
          <reference field="2" count="1" selected="0">
            <x v="20"/>
          </reference>
          <reference field="4" count="1" selected="0">
            <x v="5"/>
          </reference>
          <reference field="5" count="1">
            <x v="21"/>
          </reference>
          <reference field="8" count="1" selected="0">
            <x v="10"/>
          </reference>
        </references>
      </pivotArea>
    </format>
    <format dxfId="2231">
      <pivotArea dataOnly="0" labelOnly="1" fieldPosition="0">
        <references count="4">
          <reference field="2" count="1" selected="0">
            <x v="21"/>
          </reference>
          <reference field="4" count="1" selected="0">
            <x v="5"/>
          </reference>
          <reference field="5" count="1">
            <x v="1"/>
          </reference>
          <reference field="8" count="1" selected="0">
            <x v="10"/>
          </reference>
        </references>
      </pivotArea>
    </format>
    <format dxfId="2232">
      <pivotArea dataOnly="0" labelOnly="1" fieldPosition="0">
        <references count="4">
          <reference field="2" count="1" selected="0">
            <x v="0"/>
          </reference>
          <reference field="4" count="1" selected="0">
            <x v="5"/>
          </reference>
          <reference field="5" count="1">
            <x v="21"/>
          </reference>
          <reference field="8" count="1" selected="0">
            <x v="11"/>
          </reference>
        </references>
      </pivotArea>
    </format>
    <format dxfId="2233">
      <pivotArea dataOnly="0" labelOnly="1" fieldPosition="0">
        <references count="4">
          <reference field="2" count="1" selected="0">
            <x v="10"/>
          </reference>
          <reference field="4" count="1" selected="0">
            <x v="5"/>
          </reference>
          <reference field="5" count="1">
            <x v="13"/>
          </reference>
          <reference field="8" count="1" selected="0">
            <x v="11"/>
          </reference>
        </references>
      </pivotArea>
    </format>
    <format dxfId="2234">
      <pivotArea dataOnly="0" labelOnly="1" fieldPosition="0">
        <references count="4">
          <reference field="2" count="1" selected="0">
            <x v="13"/>
          </reference>
          <reference field="4" count="1" selected="0">
            <x v="5"/>
          </reference>
          <reference field="5" count="1">
            <x v="1"/>
          </reference>
          <reference field="8" count="1" selected="0">
            <x v="11"/>
          </reference>
        </references>
      </pivotArea>
    </format>
    <format dxfId="2235">
      <pivotArea dataOnly="0" labelOnly="1" fieldPosition="0">
        <references count="4">
          <reference field="2" count="1" selected="0">
            <x v="15"/>
          </reference>
          <reference field="4" count="1" selected="0">
            <x v="5"/>
          </reference>
          <reference field="5" count="1">
            <x v="1"/>
          </reference>
          <reference field="8" count="1" selected="0">
            <x v="11"/>
          </reference>
        </references>
      </pivotArea>
    </format>
    <format dxfId="2236">
      <pivotArea dataOnly="0" labelOnly="1" fieldPosition="0">
        <references count="4">
          <reference field="2" count="1" selected="0">
            <x v="20"/>
          </reference>
          <reference field="4" count="1" selected="0">
            <x v="5"/>
          </reference>
          <reference field="5" count="1">
            <x v="21"/>
          </reference>
          <reference field="8" count="1" selected="0">
            <x v="11"/>
          </reference>
        </references>
      </pivotArea>
    </format>
    <format dxfId="2237">
      <pivotArea dataOnly="0" labelOnly="1" fieldPosition="0">
        <references count="4">
          <reference field="2" count="1" selected="0">
            <x v="21"/>
          </reference>
          <reference field="4" count="1" selected="0">
            <x v="5"/>
          </reference>
          <reference field="5" count="1">
            <x v="1"/>
          </reference>
          <reference field="8" count="1" selected="0">
            <x v="11"/>
          </reference>
        </references>
      </pivotArea>
    </format>
    <format dxfId="2238">
      <pivotArea dataOnly="0" labelOnly="1" fieldPosition="0">
        <references count="4">
          <reference field="2" count="1" selected="0">
            <x v="22"/>
          </reference>
          <reference field="4" count="1" selected="0">
            <x v="5"/>
          </reference>
          <reference field="5" count="1">
            <x v="21"/>
          </reference>
          <reference field="8" count="1" selected="0">
            <x v="11"/>
          </reference>
        </references>
      </pivotArea>
    </format>
    <format dxfId="2239">
      <pivotArea dataOnly="0" labelOnly="1" fieldPosition="0">
        <references count="4">
          <reference field="2" count="1" selected="0">
            <x v="24"/>
          </reference>
          <reference field="4" count="1" selected="0">
            <x v="5"/>
          </reference>
          <reference field="5" count="1">
            <x v="23"/>
          </reference>
          <reference field="8" count="1" selected="0">
            <x v="11"/>
          </reference>
        </references>
      </pivotArea>
    </format>
    <format dxfId="2240">
      <pivotArea dataOnly="0" labelOnly="1" fieldPosition="0">
        <references count="4">
          <reference field="2" count="1" selected="0">
            <x v="0"/>
          </reference>
          <reference field="4" count="1" selected="0">
            <x v="5"/>
          </reference>
          <reference field="5" count="1">
            <x v="21"/>
          </reference>
          <reference field="8" count="1" selected="0">
            <x v="28"/>
          </reference>
        </references>
      </pivotArea>
    </format>
    <format dxfId="2241">
      <pivotArea dataOnly="0" labelOnly="1" fieldPosition="0">
        <references count="4">
          <reference field="2" count="1" selected="0">
            <x v="20"/>
          </reference>
          <reference field="4" count="1" selected="0">
            <x v="5"/>
          </reference>
          <reference field="5" count="1">
            <x v="21"/>
          </reference>
          <reference field="8" count="1" selected="0">
            <x v="28"/>
          </reference>
        </references>
      </pivotArea>
    </format>
    <format dxfId="2242">
      <pivotArea dataOnly="0" labelOnly="1" fieldPosition="0">
        <references count="4">
          <reference field="2" count="1" selected="0">
            <x v="0"/>
          </reference>
          <reference field="4" count="1" selected="0">
            <x v="5"/>
          </reference>
          <reference field="5" count="1">
            <x v="21"/>
          </reference>
          <reference field="8" count="1" selected="0">
            <x v="29"/>
          </reference>
        </references>
      </pivotArea>
    </format>
    <format dxfId="2243">
      <pivotArea dataOnly="0" labelOnly="1" fieldPosition="0">
        <references count="4">
          <reference field="2" count="1" selected="0">
            <x v="0"/>
          </reference>
          <reference field="4" count="1" selected="0">
            <x v="6"/>
          </reference>
          <reference field="5" count="1">
            <x v="16"/>
          </reference>
          <reference field="8" count="1" selected="0">
            <x v="3"/>
          </reference>
        </references>
      </pivotArea>
    </format>
    <format dxfId="2244">
      <pivotArea dataOnly="0" labelOnly="1" fieldPosition="0">
        <references count="4">
          <reference field="2" count="1" selected="0">
            <x v="3"/>
          </reference>
          <reference field="4" count="1" selected="0">
            <x v="6"/>
          </reference>
          <reference field="5" count="1">
            <x v="12"/>
          </reference>
          <reference field="8" count="1" selected="0">
            <x v="3"/>
          </reference>
        </references>
      </pivotArea>
    </format>
    <format dxfId="2245">
      <pivotArea dataOnly="0" labelOnly="1" fieldPosition="0">
        <references count="4">
          <reference field="2" count="1" selected="0">
            <x v="25"/>
          </reference>
          <reference field="4" count="1" selected="0">
            <x v="6"/>
          </reference>
          <reference field="5" count="1">
            <x v="16"/>
          </reference>
          <reference field="8" count="1" selected="0">
            <x v="3"/>
          </reference>
        </references>
      </pivotArea>
    </format>
    <format dxfId="2246">
      <pivotArea dataOnly="0" labelOnly="1" fieldPosition="0">
        <references count="4">
          <reference field="2" count="1" selected="0">
            <x v="0"/>
          </reference>
          <reference field="4" count="1" selected="0">
            <x v="6"/>
          </reference>
          <reference field="5" count="1">
            <x v="16"/>
          </reference>
          <reference field="8" count="1" selected="0">
            <x v="4"/>
          </reference>
        </references>
      </pivotArea>
    </format>
    <format dxfId="2247">
      <pivotArea dataOnly="0" labelOnly="1" fieldPosition="0">
        <references count="4">
          <reference field="2" count="1" selected="0">
            <x v="3"/>
          </reference>
          <reference field="4" count="1" selected="0">
            <x v="6"/>
          </reference>
          <reference field="5" count="1">
            <x v="12"/>
          </reference>
          <reference field="8" count="1" selected="0">
            <x v="4"/>
          </reference>
        </references>
      </pivotArea>
    </format>
    <format dxfId="2248">
      <pivotArea dataOnly="0" labelOnly="1" fieldPosition="0">
        <references count="4">
          <reference field="2" count="1" selected="0">
            <x v="7"/>
          </reference>
          <reference field="4" count="1" selected="0">
            <x v="6"/>
          </reference>
          <reference field="5" count="1">
            <x v="16"/>
          </reference>
          <reference field="8" count="1" selected="0">
            <x v="4"/>
          </reference>
        </references>
      </pivotArea>
    </format>
    <format dxfId="2249">
      <pivotArea dataOnly="0" labelOnly="1" fieldPosition="0">
        <references count="4">
          <reference field="2" count="1" selected="0">
            <x v="12"/>
          </reference>
          <reference field="4" count="1" selected="0">
            <x v="6"/>
          </reference>
          <reference field="5" count="1">
            <x v="9"/>
          </reference>
          <reference field="8" count="1" selected="0">
            <x v="4"/>
          </reference>
        </references>
      </pivotArea>
    </format>
    <format dxfId="2250">
      <pivotArea dataOnly="0" labelOnly="1" fieldPosition="0">
        <references count="4">
          <reference field="2" count="1" selected="0">
            <x v="20"/>
          </reference>
          <reference field="4" count="1" selected="0">
            <x v="6"/>
          </reference>
          <reference field="5" count="1">
            <x v="12"/>
          </reference>
          <reference field="8" count="1" selected="0">
            <x v="4"/>
          </reference>
        </references>
      </pivotArea>
    </format>
    <format dxfId="2251">
      <pivotArea dataOnly="0" labelOnly="1" fieldPosition="0">
        <references count="4">
          <reference field="2" count="1" selected="0">
            <x v="21"/>
          </reference>
          <reference field="4" count="1" selected="0">
            <x v="6"/>
          </reference>
          <reference field="5" count="3">
            <x v="14"/>
            <x v="15"/>
            <x v="16"/>
          </reference>
          <reference field="8" count="1" selected="0">
            <x v="4"/>
          </reference>
        </references>
      </pivotArea>
    </format>
    <format dxfId="2252">
      <pivotArea dataOnly="0" labelOnly="1" fieldPosition="0">
        <references count="4">
          <reference field="2" count="1" selected="0">
            <x v="25"/>
          </reference>
          <reference field="4" count="1" selected="0">
            <x v="6"/>
          </reference>
          <reference field="5" count="1">
            <x v="16"/>
          </reference>
          <reference field="8" count="1" selected="0">
            <x v="4"/>
          </reference>
        </references>
      </pivotArea>
    </format>
    <format dxfId="2253">
      <pivotArea dataOnly="0" labelOnly="1" fieldPosition="0">
        <references count="4">
          <reference field="2" count="1" selected="0">
            <x v="0"/>
          </reference>
          <reference field="4" count="1" selected="0">
            <x v="6"/>
          </reference>
          <reference field="5" count="1">
            <x v="16"/>
          </reference>
          <reference field="8" count="1" selected="0">
            <x v="6"/>
          </reference>
        </references>
      </pivotArea>
    </format>
    <format dxfId="2254">
      <pivotArea dataOnly="0" labelOnly="1" fieldPosition="0">
        <references count="4">
          <reference field="2" count="1" selected="0">
            <x v="13"/>
          </reference>
          <reference field="4" count="1" selected="0">
            <x v="6"/>
          </reference>
          <reference field="5" count="1">
            <x v="16"/>
          </reference>
          <reference field="8" count="1" selected="0">
            <x v="6"/>
          </reference>
        </references>
      </pivotArea>
    </format>
    <format dxfId="2255">
      <pivotArea dataOnly="0" labelOnly="1" fieldPosition="0">
        <references count="4">
          <reference field="2" count="1" selected="0">
            <x v="4"/>
          </reference>
          <reference field="4" count="1" selected="0">
            <x v="6"/>
          </reference>
          <reference field="5" count="1">
            <x v="15"/>
          </reference>
          <reference field="8" count="1" selected="0">
            <x v="9"/>
          </reference>
        </references>
      </pivotArea>
    </format>
    <format dxfId="2256">
      <pivotArea dataOnly="0" labelOnly="1" fieldPosition="0">
        <references count="4">
          <reference field="2" count="1" selected="0">
            <x v="16"/>
          </reference>
          <reference field="4" count="1" selected="0">
            <x v="6"/>
          </reference>
          <reference field="5" count="1">
            <x v="15"/>
          </reference>
          <reference field="8" count="1" selected="0">
            <x v="9"/>
          </reference>
        </references>
      </pivotArea>
    </format>
    <format dxfId="2257">
      <pivotArea dataOnly="0" labelOnly="1" fieldPosition="0">
        <references count="4">
          <reference field="2" count="1" selected="0">
            <x v="19"/>
          </reference>
          <reference field="4" count="1" selected="0">
            <x v="6"/>
          </reference>
          <reference field="5" count="1">
            <x v="15"/>
          </reference>
          <reference field="8" count="1" selected="0">
            <x v="10"/>
          </reference>
        </references>
      </pivotArea>
    </format>
    <format dxfId="2258">
      <pivotArea dataOnly="0" labelOnly="1" fieldPosition="0">
        <references count="4">
          <reference field="2" count="1" selected="0">
            <x v="21"/>
          </reference>
          <reference field="4" count="1" selected="0">
            <x v="6"/>
          </reference>
          <reference field="5" count="1">
            <x v="15"/>
          </reference>
          <reference field="8" count="1" selected="0">
            <x v="10"/>
          </reference>
        </references>
      </pivotArea>
    </format>
    <format dxfId="2259">
      <pivotArea dataOnly="0" labelOnly="1" fieldPosition="0">
        <references count="4">
          <reference field="2" count="1" selected="0">
            <x v="0"/>
          </reference>
          <reference field="4" count="1" selected="0">
            <x v="6"/>
          </reference>
          <reference field="5" count="1">
            <x v="16"/>
          </reference>
          <reference field="8" count="1" selected="0">
            <x v="11"/>
          </reference>
        </references>
      </pivotArea>
    </format>
    <format dxfId="2260">
      <pivotArea dataOnly="0" labelOnly="1" fieldPosition="0">
        <references count="4">
          <reference field="2" count="1" selected="0">
            <x v="2"/>
          </reference>
          <reference field="4" count="1" selected="0">
            <x v="6"/>
          </reference>
          <reference field="5" count="1">
            <x v="15"/>
          </reference>
          <reference field="8" count="1" selected="0">
            <x v="11"/>
          </reference>
        </references>
      </pivotArea>
    </format>
    <format dxfId="2261">
      <pivotArea dataOnly="0" labelOnly="1" fieldPosition="0">
        <references count="4">
          <reference field="2" count="1" selected="0">
            <x v="4"/>
          </reference>
          <reference field="4" count="1" selected="0">
            <x v="6"/>
          </reference>
          <reference field="5" count="1">
            <x v="15"/>
          </reference>
          <reference field="8" count="1" selected="0">
            <x v="11"/>
          </reference>
        </references>
      </pivotArea>
    </format>
    <format dxfId="2262">
      <pivotArea dataOnly="0" labelOnly="1" fieldPosition="0">
        <references count="4">
          <reference field="2" count="1" selected="0">
            <x v="5"/>
          </reference>
          <reference field="4" count="1" selected="0">
            <x v="6"/>
          </reference>
          <reference field="5" count="1">
            <x v="3"/>
          </reference>
          <reference field="8" count="1" selected="0">
            <x v="11"/>
          </reference>
        </references>
      </pivotArea>
    </format>
    <format dxfId="2263">
      <pivotArea dataOnly="0" labelOnly="1" fieldPosition="0">
        <references count="4">
          <reference field="2" count="1" selected="0">
            <x v="7"/>
          </reference>
          <reference field="4" count="1" selected="0">
            <x v="6"/>
          </reference>
          <reference field="5" count="1">
            <x v="14"/>
          </reference>
          <reference field="8" count="1" selected="0">
            <x v="11"/>
          </reference>
        </references>
      </pivotArea>
    </format>
    <format dxfId="2264">
      <pivotArea dataOnly="0" labelOnly="1" fieldPosition="0">
        <references count="2">
          <reference field="4" count="1" selected="0">
            <x v="5"/>
          </reference>
          <reference field="8" count="8">
            <x v="3"/>
            <x v="4"/>
            <x v="5"/>
            <x v="9"/>
            <x v="10"/>
            <x v="11"/>
            <x v="28"/>
            <x v="29"/>
          </reference>
        </references>
      </pivotArea>
    </format>
    <format dxfId="2265">
      <pivotArea dataOnly="0" labelOnly="1" fieldPosition="0">
        <references count="3">
          <reference field="2" count="3">
            <x v="0"/>
            <x v="3"/>
            <x v="25"/>
          </reference>
          <reference field="4" count="1" selected="0">
            <x v="0"/>
          </reference>
          <reference field="8" count="1" selected="0">
            <x v="3"/>
          </reference>
        </references>
      </pivotArea>
    </format>
    <format dxfId="2266">
      <pivotArea dataOnly="0" labelOnly="1" fieldPosition="0">
        <references count="3">
          <reference field="2" count="2">
            <x v="0"/>
            <x v="13"/>
          </reference>
          <reference field="4" count="1" selected="0">
            <x v="0"/>
          </reference>
          <reference field="8" count="1" selected="0">
            <x v="6"/>
          </reference>
        </references>
      </pivotArea>
    </format>
    <format dxfId="2267">
      <pivotArea dataOnly="0" labelOnly="1" fieldPosition="0">
        <references count="3">
          <reference field="2" count="2">
            <x v="4"/>
            <x v="16"/>
          </reference>
          <reference field="4" count="1" selected="0">
            <x v="0"/>
          </reference>
          <reference field="8" count="1" selected="0">
            <x v="9"/>
          </reference>
        </references>
      </pivotArea>
    </format>
    <format dxfId="2268">
      <pivotArea dataOnly="0" labelOnly="1" fieldPosition="0">
        <references count="3">
          <reference field="2" count="2">
            <x v="19"/>
            <x v="21"/>
          </reference>
          <reference field="4" count="1" selected="0">
            <x v="0"/>
          </reference>
          <reference field="8" count="1" selected="0">
            <x v="10"/>
          </reference>
        </references>
      </pivotArea>
    </format>
    <format dxfId="2269">
      <pivotArea dataOnly="0" labelOnly="1" fieldPosition="0">
        <references count="3">
          <reference field="2" count="12">
            <x v="0"/>
            <x v="2"/>
            <x v="4"/>
            <x v="5"/>
            <x v="7"/>
            <x v="9"/>
            <x v="10"/>
            <x v="12"/>
            <x v="18"/>
            <x v="20"/>
            <x v="21"/>
            <x v="25"/>
          </reference>
          <reference field="4" count="1" selected="0">
            <x v="0"/>
          </reference>
          <reference field="8" count="1" selected="0">
            <x v="11"/>
          </reference>
        </references>
      </pivotArea>
    </format>
    <format dxfId="2270">
      <pivotArea dataOnly="0" labelOnly="1" fieldPosition="0">
        <references count="3">
          <reference field="2" count="1">
            <x v="12"/>
          </reference>
          <reference field="4" count="1" selected="0">
            <x v="0"/>
          </reference>
          <reference field="8" count="1" selected="0">
            <x v="35"/>
          </reference>
        </references>
      </pivotArea>
    </format>
    <format dxfId="2271">
      <pivotArea dataOnly="0" labelOnly="1" fieldPosition="0">
        <references count="3">
          <reference field="2" count="3">
            <x v="0"/>
            <x v="3"/>
            <x v="25"/>
          </reference>
          <reference field="4" count="1" selected="0">
            <x v="1"/>
          </reference>
          <reference field="8" count="1" selected="0">
            <x v="3"/>
          </reference>
        </references>
      </pivotArea>
    </format>
    <format dxfId="2272">
      <pivotArea dataOnly="0" labelOnly="1" fieldPosition="0">
        <references count="3">
          <reference field="2" count="2">
            <x v="0"/>
            <x v="13"/>
          </reference>
          <reference field="4" count="1" selected="0">
            <x v="1"/>
          </reference>
          <reference field="8" count="1" selected="0">
            <x v="6"/>
          </reference>
        </references>
      </pivotArea>
    </format>
    <format dxfId="2273">
      <pivotArea dataOnly="0" labelOnly="1" fieldPosition="0">
        <references count="3">
          <reference field="2" count="2">
            <x v="4"/>
            <x v="16"/>
          </reference>
          <reference field="4" count="1" selected="0">
            <x v="1"/>
          </reference>
          <reference field="8" count="1" selected="0">
            <x v="9"/>
          </reference>
        </references>
      </pivotArea>
    </format>
    <format dxfId="2274">
      <pivotArea dataOnly="0" labelOnly="1" fieldPosition="0">
        <references count="3">
          <reference field="2" count="2">
            <x v="19"/>
            <x v="21"/>
          </reference>
          <reference field="4" count="1" selected="0">
            <x v="1"/>
          </reference>
          <reference field="8" count="1" selected="0">
            <x v="10"/>
          </reference>
        </references>
      </pivotArea>
    </format>
    <format dxfId="2275">
      <pivotArea dataOnly="0" labelOnly="1" fieldPosition="0">
        <references count="3">
          <reference field="2" count="13">
            <x v="0"/>
            <x v="2"/>
            <x v="4"/>
            <x v="5"/>
            <x v="7"/>
            <x v="9"/>
            <x v="10"/>
            <x v="12"/>
            <x v="13"/>
            <x v="18"/>
            <x v="20"/>
            <x v="21"/>
            <x v="25"/>
          </reference>
          <reference field="4" count="1" selected="0">
            <x v="1"/>
          </reference>
          <reference field="8" count="1" selected="0">
            <x v="11"/>
          </reference>
        </references>
      </pivotArea>
    </format>
    <format dxfId="2276">
      <pivotArea dataOnly="0" labelOnly="1" fieldPosition="0">
        <references count="3">
          <reference field="2" count="1">
            <x v="12"/>
          </reference>
          <reference field="4" count="1" selected="0">
            <x v="1"/>
          </reference>
          <reference field="8" count="1" selected="0">
            <x v="35"/>
          </reference>
        </references>
      </pivotArea>
    </format>
    <format dxfId="2277">
      <pivotArea dataOnly="0" labelOnly="1" fieldPosition="0">
        <references count="3">
          <reference field="2" count="3">
            <x v="0"/>
            <x v="3"/>
            <x v="25"/>
          </reference>
          <reference field="4" count="1" selected="0">
            <x v="2"/>
          </reference>
          <reference field="8" count="1" selected="0">
            <x v="3"/>
          </reference>
        </references>
      </pivotArea>
    </format>
    <format dxfId="2278">
      <pivotArea dataOnly="0" labelOnly="1" fieldPosition="0">
        <references count="3">
          <reference field="2" count="2">
            <x v="0"/>
            <x v="13"/>
          </reference>
          <reference field="4" count="1" selected="0">
            <x v="2"/>
          </reference>
          <reference field="8" count="1" selected="0">
            <x v="6"/>
          </reference>
        </references>
      </pivotArea>
    </format>
    <format dxfId="2279">
      <pivotArea dataOnly="0" labelOnly="1" fieldPosition="0">
        <references count="3">
          <reference field="2" count="2">
            <x v="4"/>
            <x v="16"/>
          </reference>
          <reference field="4" count="1" selected="0">
            <x v="2"/>
          </reference>
          <reference field="8" count="1" selected="0">
            <x v="9"/>
          </reference>
        </references>
      </pivotArea>
    </format>
    <format dxfId="2280">
      <pivotArea dataOnly="0" labelOnly="1" fieldPosition="0">
        <references count="3">
          <reference field="2" count="2">
            <x v="19"/>
            <x v="21"/>
          </reference>
          <reference field="4" count="1" selected="0">
            <x v="2"/>
          </reference>
          <reference field="8" count="1" selected="0">
            <x v="10"/>
          </reference>
        </references>
      </pivotArea>
    </format>
    <format dxfId="2281">
      <pivotArea dataOnly="0" labelOnly="1" fieldPosition="0">
        <references count="3">
          <reference field="2" count="12">
            <x v="0"/>
            <x v="2"/>
            <x v="4"/>
            <x v="5"/>
            <x v="7"/>
            <x v="9"/>
            <x v="10"/>
            <x v="12"/>
            <x v="18"/>
            <x v="20"/>
            <x v="21"/>
            <x v="25"/>
          </reference>
          <reference field="4" count="1" selected="0">
            <x v="2"/>
          </reference>
          <reference field="8" count="1" selected="0">
            <x v="11"/>
          </reference>
        </references>
      </pivotArea>
    </format>
    <format dxfId="2282">
      <pivotArea dataOnly="0" labelOnly="1" fieldPosition="0">
        <references count="3">
          <reference field="2" count="1">
            <x v="12"/>
          </reference>
          <reference field="4" count="1" selected="0">
            <x v="2"/>
          </reference>
          <reference field="8" count="1" selected="0">
            <x v="35"/>
          </reference>
        </references>
      </pivotArea>
    </format>
    <format dxfId="2283">
      <pivotArea dataOnly="0" labelOnly="1" fieldPosition="0">
        <references count="3">
          <reference field="2" count="3">
            <x v="0"/>
            <x v="3"/>
            <x v="25"/>
          </reference>
          <reference field="4" count="1" selected="0">
            <x v="3"/>
          </reference>
          <reference field="8" count="1" selected="0">
            <x v="3"/>
          </reference>
        </references>
      </pivotArea>
    </format>
    <format dxfId="2284">
      <pivotArea dataOnly="0" labelOnly="1" fieldPosition="0">
        <references count="3">
          <reference field="2" count="2">
            <x v="0"/>
            <x v="13"/>
          </reference>
          <reference field="4" count="1" selected="0">
            <x v="3"/>
          </reference>
          <reference field="8" count="1" selected="0">
            <x v="6"/>
          </reference>
        </references>
      </pivotArea>
    </format>
    <format dxfId="2285">
      <pivotArea dataOnly="0" labelOnly="1" fieldPosition="0">
        <references count="3">
          <reference field="2" count="2">
            <x v="4"/>
            <x v="16"/>
          </reference>
          <reference field="4" count="1" selected="0">
            <x v="3"/>
          </reference>
          <reference field="8" count="1" selected="0">
            <x v="9"/>
          </reference>
        </references>
      </pivotArea>
    </format>
    <format dxfId="2286">
      <pivotArea dataOnly="0" labelOnly="1" fieldPosition="0">
        <references count="3">
          <reference field="2" count="2">
            <x v="19"/>
            <x v="21"/>
          </reference>
          <reference field="4" count="1" selected="0">
            <x v="3"/>
          </reference>
          <reference field="8" count="1" selected="0">
            <x v="10"/>
          </reference>
        </references>
      </pivotArea>
    </format>
    <format dxfId="2287">
      <pivotArea dataOnly="0" labelOnly="1" fieldPosition="0">
        <references count="3">
          <reference field="2" count="12">
            <x v="0"/>
            <x v="2"/>
            <x v="4"/>
            <x v="5"/>
            <x v="7"/>
            <x v="9"/>
            <x v="10"/>
            <x v="12"/>
            <x v="18"/>
            <x v="20"/>
            <x v="21"/>
            <x v="25"/>
          </reference>
          <reference field="4" count="1" selected="0">
            <x v="3"/>
          </reference>
          <reference field="8" count="1" selected="0">
            <x v="11"/>
          </reference>
        </references>
      </pivotArea>
    </format>
    <format dxfId="2288">
      <pivotArea dataOnly="0" labelOnly="1" fieldPosition="0">
        <references count="3">
          <reference field="2" count="1">
            <x v="12"/>
          </reference>
          <reference field="4" count="1" selected="0">
            <x v="3"/>
          </reference>
          <reference field="8" count="1" selected="0">
            <x v="35"/>
          </reference>
        </references>
      </pivotArea>
    </format>
    <format dxfId="2289">
      <pivotArea dataOnly="0" labelOnly="1" fieldPosition="0">
        <references count="3">
          <reference field="2" count="4">
            <x v="0"/>
            <x v="3"/>
            <x v="20"/>
            <x v="25"/>
          </reference>
          <reference field="4" count="1" selected="0">
            <x v="4"/>
          </reference>
          <reference field="8" count="1" selected="0">
            <x v="3"/>
          </reference>
        </references>
      </pivotArea>
    </format>
    <format dxfId="2290">
      <pivotArea dataOnly="0" labelOnly="1" fieldPosition="0">
        <references count="3">
          <reference field="2" count="1">
            <x v="20"/>
          </reference>
          <reference field="4" count="1" selected="0">
            <x v="4"/>
          </reference>
          <reference field="8" count="1" selected="0">
            <x v="5"/>
          </reference>
        </references>
      </pivotArea>
    </format>
    <format dxfId="2291">
      <pivotArea dataOnly="0" labelOnly="1" fieldPosition="0">
        <references count="3">
          <reference field="2" count="2">
            <x v="0"/>
            <x v="13"/>
          </reference>
          <reference field="4" count="1" selected="0">
            <x v="4"/>
          </reference>
          <reference field="8" count="1" selected="0">
            <x v="6"/>
          </reference>
        </references>
      </pivotArea>
    </format>
    <format dxfId="2292">
      <pivotArea dataOnly="0" labelOnly="1" fieldPosition="0">
        <references count="3">
          <reference field="2" count="3">
            <x v="4"/>
            <x v="16"/>
            <x v="20"/>
          </reference>
          <reference field="4" count="1" selected="0">
            <x v="4"/>
          </reference>
          <reference field="8" count="1" selected="0">
            <x v="9"/>
          </reference>
        </references>
      </pivotArea>
    </format>
    <format dxfId="2293">
      <pivotArea dataOnly="0" labelOnly="1" fieldPosition="0">
        <references count="3">
          <reference field="2" count="2">
            <x v="19"/>
            <x v="21"/>
          </reference>
          <reference field="4" count="1" selected="0">
            <x v="4"/>
          </reference>
          <reference field="8" count="1" selected="0">
            <x v="10"/>
          </reference>
        </references>
      </pivotArea>
    </format>
    <format dxfId="2294">
      <pivotArea dataOnly="0" labelOnly="1" fieldPosition="0">
        <references count="3">
          <reference field="2" count="12">
            <x v="0"/>
            <x v="2"/>
            <x v="4"/>
            <x v="5"/>
            <x v="7"/>
            <x v="9"/>
            <x v="10"/>
            <x v="12"/>
            <x v="18"/>
            <x v="20"/>
            <x v="21"/>
            <x v="25"/>
          </reference>
          <reference field="4" count="1" selected="0">
            <x v="4"/>
          </reference>
          <reference field="8" count="1" selected="0">
            <x v="11"/>
          </reference>
        </references>
      </pivotArea>
    </format>
    <format dxfId="2295">
      <pivotArea dataOnly="0" labelOnly="1" fieldPosition="0">
        <references count="3">
          <reference field="2" count="1">
            <x v="12"/>
          </reference>
          <reference field="4" count="1" selected="0">
            <x v="4"/>
          </reference>
          <reference field="8" count="1" selected="0">
            <x v="35"/>
          </reference>
        </references>
      </pivotArea>
    </format>
    <format dxfId="2296">
      <pivotArea dataOnly="0" labelOnly="1" fieldPosition="0">
        <references count="3">
          <reference field="2" count="4">
            <x v="0"/>
            <x v="3"/>
            <x v="13"/>
            <x v="20"/>
          </reference>
          <reference field="4" count="1" selected="0">
            <x v="5"/>
          </reference>
          <reference field="8" count="1" selected="0">
            <x v="3"/>
          </reference>
        </references>
      </pivotArea>
    </format>
    <format dxfId="2297">
      <pivotArea dataOnly="0" labelOnly="1" fieldPosition="0">
        <references count="3">
          <reference field="2" count="9">
            <x v="0"/>
            <x v="3"/>
            <x v="10"/>
            <x v="12"/>
            <x v="13"/>
            <x v="15"/>
            <x v="17"/>
            <x v="20"/>
            <x v="21"/>
          </reference>
          <reference field="4" count="1" selected="0">
            <x v="5"/>
          </reference>
          <reference field="8" count="1" selected="0">
            <x v="4"/>
          </reference>
        </references>
      </pivotArea>
    </format>
    <format dxfId="2298">
      <pivotArea dataOnly="0" labelOnly="1" fieldPosition="0">
        <references count="3">
          <reference field="2" count="6">
            <x v="13"/>
            <x v="15"/>
            <x v="19"/>
            <x v="20"/>
            <x v="21"/>
            <x v="24"/>
          </reference>
          <reference field="4" count="1" selected="0">
            <x v="5"/>
          </reference>
          <reference field="8" count="1" selected="0">
            <x v="5"/>
          </reference>
        </references>
      </pivotArea>
    </format>
    <format dxfId="2299">
      <pivotArea dataOnly="0" labelOnly="1" fieldPosition="0">
        <references count="3">
          <reference field="2" count="5">
            <x v="6"/>
            <x v="10"/>
            <x v="13"/>
            <x v="17"/>
            <x v="19"/>
          </reference>
          <reference field="4" count="1" selected="0">
            <x v="5"/>
          </reference>
          <reference field="8" count="1" selected="0">
            <x v="9"/>
          </reference>
        </references>
      </pivotArea>
    </format>
    <format dxfId="2300">
      <pivotArea dataOnly="0" labelOnly="1" fieldPosition="0">
        <references count="3">
          <reference field="2" count="6">
            <x v="0"/>
            <x v="12"/>
            <x v="15"/>
            <x v="19"/>
            <x v="20"/>
            <x v="21"/>
          </reference>
          <reference field="4" count="1" selected="0">
            <x v="5"/>
          </reference>
          <reference field="8" count="1" selected="0">
            <x v="10"/>
          </reference>
        </references>
      </pivotArea>
    </format>
    <format dxfId="2301">
      <pivotArea dataOnly="0" labelOnly="1" fieldPosition="0">
        <references count="3">
          <reference field="2" count="8">
            <x v="0"/>
            <x v="10"/>
            <x v="13"/>
            <x v="15"/>
            <x v="20"/>
            <x v="21"/>
            <x v="22"/>
            <x v="24"/>
          </reference>
          <reference field="4" count="1" selected="0">
            <x v="5"/>
          </reference>
          <reference field="8" count="1" selected="0">
            <x v="11"/>
          </reference>
        </references>
      </pivotArea>
    </format>
    <format dxfId="2302">
      <pivotArea dataOnly="0" labelOnly="1" fieldPosition="0">
        <references count="3">
          <reference field="2" count="2">
            <x v="0"/>
            <x v="20"/>
          </reference>
          <reference field="4" count="1" selected="0">
            <x v="5"/>
          </reference>
          <reference field="8" count="1" selected="0">
            <x v="28"/>
          </reference>
        </references>
      </pivotArea>
    </format>
    <format dxfId="2303">
      <pivotArea dataOnly="0" labelOnly="1" fieldPosition="0">
        <references count="3">
          <reference field="2" count="1">
            <x v="0"/>
          </reference>
          <reference field="4" count="1" selected="0">
            <x v="5"/>
          </reference>
          <reference field="8" count="1" selected="0">
            <x v="29"/>
          </reference>
        </references>
      </pivotArea>
    </format>
    <format dxfId="2304">
      <pivotArea dataOnly="0" labelOnly="1" fieldPosition="0">
        <references count="3">
          <reference field="2" count="3">
            <x v="0"/>
            <x v="3"/>
            <x v="25"/>
          </reference>
          <reference field="4" count="1" selected="0">
            <x v="6"/>
          </reference>
          <reference field="8" count="1" selected="0">
            <x v="3"/>
          </reference>
        </references>
      </pivotArea>
    </format>
    <format dxfId="2305">
      <pivotArea dataOnly="0" labelOnly="1" fieldPosition="0">
        <references count="3">
          <reference field="2" count="2">
            <x v="0"/>
            <x v="13"/>
          </reference>
          <reference field="4" count="1" selected="0">
            <x v="6"/>
          </reference>
          <reference field="8" count="1" selected="0">
            <x v="6"/>
          </reference>
        </references>
      </pivotArea>
    </format>
    <format dxfId="2306">
      <pivotArea dataOnly="0" labelOnly="1" fieldPosition="0">
        <references count="3">
          <reference field="2" count="2">
            <x v="4"/>
            <x v="16"/>
          </reference>
          <reference field="4" count="1" selected="0">
            <x v="6"/>
          </reference>
          <reference field="8" count="1" selected="0">
            <x v="9"/>
          </reference>
        </references>
      </pivotArea>
    </format>
    <format dxfId="2307">
      <pivotArea dataOnly="0" labelOnly="1" fieldPosition="0">
        <references count="3">
          <reference field="2" count="2">
            <x v="19"/>
            <x v="21"/>
          </reference>
          <reference field="4" count="1" selected="0">
            <x v="6"/>
          </reference>
          <reference field="8" count="1" selected="0">
            <x v="10"/>
          </reference>
        </references>
      </pivotArea>
    </format>
    <format dxfId="2308">
      <pivotArea dataOnly="0" labelOnly="1" fieldPosition="0">
        <references count="3">
          <reference field="2" count="12">
            <x v="0"/>
            <x v="2"/>
            <x v="4"/>
            <x v="5"/>
            <x v="7"/>
            <x v="9"/>
            <x v="10"/>
            <x v="12"/>
            <x v="18"/>
            <x v="20"/>
            <x v="21"/>
            <x v="25"/>
          </reference>
          <reference field="4" count="1" selected="0">
            <x v="6"/>
          </reference>
          <reference field="8" count="1" selected="0">
            <x v="11"/>
          </reference>
        </references>
      </pivotArea>
    </format>
    <format dxfId="2309">
      <pivotArea dataOnly="0" labelOnly="1" fieldPosition="0">
        <references count="3">
          <reference field="2" count="1">
            <x v="12"/>
          </reference>
          <reference field="4" count="1" selected="0">
            <x v="6"/>
          </reference>
          <reference field="8" count="1" selected="0">
            <x v="35"/>
          </reference>
        </references>
      </pivotArea>
    </format>
    <format dxfId="2310">
      <pivotArea dataOnly="0" labelOnly="1" fieldPosition="0">
        <references count="4">
          <reference field="2" count="1" selected="0">
            <x v="0"/>
          </reference>
          <reference field="4" count="1" selected="0">
            <x v="0"/>
          </reference>
          <reference field="5" count="1">
            <x v="16"/>
          </reference>
          <reference field="8" count="1" selected="0">
            <x v="3"/>
          </reference>
        </references>
      </pivotArea>
    </format>
    <format dxfId="2311">
      <pivotArea dataOnly="0" labelOnly="1" fieldPosition="0">
        <references count="4">
          <reference field="2" count="1" selected="0">
            <x v="3"/>
          </reference>
          <reference field="4" count="1" selected="0">
            <x v="0"/>
          </reference>
          <reference field="5" count="1">
            <x v="12"/>
          </reference>
          <reference field="8" count="1" selected="0">
            <x v="3"/>
          </reference>
        </references>
      </pivotArea>
    </format>
    <format dxfId="2312">
      <pivotArea dataOnly="0" labelOnly="1" fieldPosition="0">
        <references count="4">
          <reference field="2" count="1" selected="0">
            <x v="25"/>
          </reference>
          <reference field="4" count="1" selected="0">
            <x v="0"/>
          </reference>
          <reference field="5" count="1">
            <x v="16"/>
          </reference>
          <reference field="8" count="1" selected="0">
            <x v="3"/>
          </reference>
        </references>
      </pivotArea>
    </format>
    <format dxfId="2313">
      <pivotArea dataOnly="0" labelOnly="1" fieldPosition="0">
        <references count="4">
          <reference field="2" count="1" selected="0">
            <x v="0"/>
          </reference>
          <reference field="4" count="1" selected="0">
            <x v="0"/>
          </reference>
          <reference field="5" count="1">
            <x v="16"/>
          </reference>
          <reference field="8" count="1" selected="0">
            <x v="4"/>
          </reference>
        </references>
      </pivotArea>
    </format>
    <format dxfId="2314">
      <pivotArea dataOnly="0" labelOnly="1" fieldPosition="0">
        <references count="4">
          <reference field="2" count="1" selected="0">
            <x v="3"/>
          </reference>
          <reference field="4" count="1" selected="0">
            <x v="0"/>
          </reference>
          <reference field="5" count="1">
            <x v="12"/>
          </reference>
          <reference field="8" count="1" selected="0">
            <x v="4"/>
          </reference>
        </references>
      </pivotArea>
    </format>
    <format dxfId="2315">
      <pivotArea dataOnly="0" labelOnly="1" fieldPosition="0">
        <references count="4">
          <reference field="2" count="1" selected="0">
            <x v="7"/>
          </reference>
          <reference field="4" count="1" selected="0">
            <x v="0"/>
          </reference>
          <reference field="5" count="1">
            <x v="16"/>
          </reference>
          <reference field="8" count="1" selected="0">
            <x v="4"/>
          </reference>
        </references>
      </pivotArea>
    </format>
    <format dxfId="2316">
      <pivotArea dataOnly="0" labelOnly="1" fieldPosition="0">
        <references count="4">
          <reference field="2" count="1" selected="0">
            <x v="12"/>
          </reference>
          <reference field="4" count="1" selected="0">
            <x v="0"/>
          </reference>
          <reference field="5" count="1">
            <x v="9"/>
          </reference>
          <reference field="8" count="1" selected="0">
            <x v="4"/>
          </reference>
        </references>
      </pivotArea>
    </format>
    <format dxfId="2317">
      <pivotArea dataOnly="0" labelOnly="1" fieldPosition="0">
        <references count="4">
          <reference field="2" count="1" selected="0">
            <x v="20"/>
          </reference>
          <reference field="4" count="1" selected="0">
            <x v="0"/>
          </reference>
          <reference field="5" count="1">
            <x v="12"/>
          </reference>
          <reference field="8" count="1" selected="0">
            <x v="4"/>
          </reference>
        </references>
      </pivotArea>
    </format>
    <format dxfId="2318">
      <pivotArea dataOnly="0" labelOnly="1" fieldPosition="0">
        <references count="4">
          <reference field="2" count="1" selected="0">
            <x v="21"/>
          </reference>
          <reference field="4" count="1" selected="0">
            <x v="0"/>
          </reference>
          <reference field="5" count="3">
            <x v="14"/>
            <x v="15"/>
            <x v="16"/>
          </reference>
          <reference field="8" count="1" selected="0">
            <x v="4"/>
          </reference>
        </references>
      </pivotArea>
    </format>
    <format dxfId="2319">
      <pivotArea dataOnly="0" labelOnly="1" fieldPosition="0">
        <references count="4">
          <reference field="2" count="1" selected="0">
            <x v="25"/>
          </reference>
          <reference field="4" count="1" selected="0">
            <x v="0"/>
          </reference>
          <reference field="5" count="1">
            <x v="16"/>
          </reference>
          <reference field="8" count="1" selected="0">
            <x v="4"/>
          </reference>
        </references>
      </pivotArea>
    </format>
    <format dxfId="2320">
      <pivotArea dataOnly="0" labelOnly="1" fieldPosition="0">
        <references count="4">
          <reference field="2" count="1" selected="0">
            <x v="0"/>
          </reference>
          <reference field="4" count="1" selected="0">
            <x v="0"/>
          </reference>
          <reference field="5" count="1">
            <x v="16"/>
          </reference>
          <reference field="8" count="1" selected="0">
            <x v="6"/>
          </reference>
        </references>
      </pivotArea>
    </format>
    <format dxfId="2321">
      <pivotArea dataOnly="0" labelOnly="1" fieldPosition="0">
        <references count="4">
          <reference field="2" count="1" selected="0">
            <x v="13"/>
          </reference>
          <reference field="4" count="1" selected="0">
            <x v="0"/>
          </reference>
          <reference field="5" count="1">
            <x v="16"/>
          </reference>
          <reference field="8" count="1" selected="0">
            <x v="6"/>
          </reference>
        </references>
      </pivotArea>
    </format>
    <format dxfId="2322">
      <pivotArea dataOnly="0" labelOnly="1" fieldPosition="0">
        <references count="4">
          <reference field="2" count="1" selected="0">
            <x v="4"/>
          </reference>
          <reference field="4" count="1" selected="0">
            <x v="0"/>
          </reference>
          <reference field="5" count="1">
            <x v="15"/>
          </reference>
          <reference field="8" count="1" selected="0">
            <x v="9"/>
          </reference>
        </references>
      </pivotArea>
    </format>
    <format dxfId="2323">
      <pivotArea dataOnly="0" labelOnly="1" fieldPosition="0">
        <references count="4">
          <reference field="2" count="1" selected="0">
            <x v="16"/>
          </reference>
          <reference field="4" count="1" selected="0">
            <x v="0"/>
          </reference>
          <reference field="5" count="1">
            <x v="15"/>
          </reference>
          <reference field="8" count="1" selected="0">
            <x v="9"/>
          </reference>
        </references>
      </pivotArea>
    </format>
    <format dxfId="2324">
      <pivotArea dataOnly="0" labelOnly="1" fieldPosition="0">
        <references count="4">
          <reference field="2" count="1" selected="0">
            <x v="19"/>
          </reference>
          <reference field="4" count="1" selected="0">
            <x v="0"/>
          </reference>
          <reference field="5" count="1">
            <x v="15"/>
          </reference>
          <reference field="8" count="1" selected="0">
            <x v="10"/>
          </reference>
        </references>
      </pivotArea>
    </format>
    <format dxfId="2325">
      <pivotArea dataOnly="0" labelOnly="1" fieldPosition="0">
        <references count="4">
          <reference field="2" count="1" selected="0">
            <x v="21"/>
          </reference>
          <reference field="4" count="1" selected="0">
            <x v="0"/>
          </reference>
          <reference field="5" count="1">
            <x v="15"/>
          </reference>
          <reference field="8" count="1" selected="0">
            <x v="10"/>
          </reference>
        </references>
      </pivotArea>
    </format>
    <format dxfId="2326">
      <pivotArea dataOnly="0" labelOnly="1" fieldPosition="0">
        <references count="4">
          <reference field="2" count="1" selected="0">
            <x v="0"/>
          </reference>
          <reference field="4" count="1" selected="0">
            <x v="0"/>
          </reference>
          <reference field="5" count="1">
            <x v="16"/>
          </reference>
          <reference field="8" count="1" selected="0">
            <x v="11"/>
          </reference>
        </references>
      </pivotArea>
    </format>
    <format dxfId="2327">
      <pivotArea dataOnly="0" labelOnly="1" fieldPosition="0">
        <references count="4">
          <reference field="2" count="1" selected="0">
            <x v="2"/>
          </reference>
          <reference field="4" count="1" selected="0">
            <x v="0"/>
          </reference>
          <reference field="5" count="1">
            <x v="15"/>
          </reference>
          <reference field="8" count="1" selected="0">
            <x v="11"/>
          </reference>
        </references>
      </pivotArea>
    </format>
    <format dxfId="2328">
      <pivotArea dataOnly="0" labelOnly="1" fieldPosition="0">
        <references count="4">
          <reference field="2" count="1" selected="0">
            <x v="4"/>
          </reference>
          <reference field="4" count="1" selected="0">
            <x v="0"/>
          </reference>
          <reference field="5" count="1">
            <x v="15"/>
          </reference>
          <reference field="8" count="1" selected="0">
            <x v="11"/>
          </reference>
        </references>
      </pivotArea>
    </format>
    <format dxfId="2329">
      <pivotArea dataOnly="0" labelOnly="1" fieldPosition="0">
        <references count="4">
          <reference field="2" count="1" selected="0">
            <x v="5"/>
          </reference>
          <reference field="4" count="1" selected="0">
            <x v="0"/>
          </reference>
          <reference field="5" count="1">
            <x v="3"/>
          </reference>
          <reference field="8" count="1" selected="0">
            <x v="11"/>
          </reference>
        </references>
      </pivotArea>
    </format>
    <format dxfId="2330">
      <pivotArea dataOnly="0" labelOnly="1" fieldPosition="0">
        <references count="4">
          <reference field="2" count="1" selected="0">
            <x v="7"/>
          </reference>
          <reference field="4" count="1" selected="0">
            <x v="0"/>
          </reference>
          <reference field="5" count="1">
            <x v="14"/>
          </reference>
          <reference field="8" count="1" selected="0">
            <x v="11"/>
          </reference>
        </references>
      </pivotArea>
    </format>
    <format dxfId="2331">
      <pivotArea dataOnly="0" labelOnly="1" fieldPosition="0">
        <references count="4">
          <reference field="2" count="1" selected="0">
            <x v="9"/>
          </reference>
          <reference field="4" count="1" selected="0">
            <x v="0"/>
          </reference>
          <reference field="5" count="1">
            <x v="20"/>
          </reference>
          <reference field="8" count="1" selected="0">
            <x v="11"/>
          </reference>
        </references>
      </pivotArea>
    </format>
    <format dxfId="2332">
      <pivotArea dataOnly="0" labelOnly="1" fieldPosition="0">
        <references count="4">
          <reference field="2" count="1" selected="0">
            <x v="10"/>
          </reference>
          <reference field="4" count="1" selected="0">
            <x v="0"/>
          </reference>
          <reference field="5" count="1">
            <x v="15"/>
          </reference>
          <reference field="8" count="1" selected="0">
            <x v="11"/>
          </reference>
        </references>
      </pivotArea>
    </format>
    <format dxfId="2333">
      <pivotArea dataOnly="0" labelOnly="1" fieldPosition="0">
        <references count="4">
          <reference field="2" count="1" selected="0">
            <x v="12"/>
          </reference>
          <reference field="4" count="1" selected="0">
            <x v="0"/>
          </reference>
          <reference field="5" count="1">
            <x v="15"/>
          </reference>
          <reference field="8" count="1" selected="0">
            <x v="11"/>
          </reference>
        </references>
      </pivotArea>
    </format>
    <format dxfId="2334">
      <pivotArea dataOnly="0" labelOnly="1" fieldPosition="0">
        <references count="4">
          <reference field="2" count="1" selected="0">
            <x v="18"/>
          </reference>
          <reference field="4" count="1" selected="0">
            <x v="0"/>
          </reference>
          <reference field="5" count="1">
            <x v="15"/>
          </reference>
          <reference field="8" count="1" selected="0">
            <x v="11"/>
          </reference>
        </references>
      </pivotArea>
    </format>
    <format dxfId="2335">
      <pivotArea dataOnly="0" labelOnly="1" fieldPosition="0">
        <references count="4">
          <reference field="2" count="1" selected="0">
            <x v="20"/>
          </reference>
          <reference field="4" count="1" selected="0">
            <x v="0"/>
          </reference>
          <reference field="5" count="1">
            <x v="12"/>
          </reference>
          <reference field="8" count="1" selected="0">
            <x v="11"/>
          </reference>
        </references>
      </pivotArea>
    </format>
    <format dxfId="2336">
      <pivotArea dataOnly="0" labelOnly="1" fieldPosition="0">
        <references count="4">
          <reference field="2" count="1" selected="0">
            <x v="21"/>
          </reference>
          <reference field="4" count="1" selected="0">
            <x v="0"/>
          </reference>
          <reference field="5" count="2">
            <x v="15"/>
            <x v="16"/>
          </reference>
          <reference field="8" count="1" selected="0">
            <x v="11"/>
          </reference>
        </references>
      </pivotArea>
    </format>
    <format dxfId="2337">
      <pivotArea dataOnly="0" labelOnly="1" fieldPosition="0">
        <references count="4">
          <reference field="2" count="1" selected="0">
            <x v="25"/>
          </reference>
          <reference field="4" count="1" selected="0">
            <x v="0"/>
          </reference>
          <reference field="5" count="1">
            <x v="15"/>
          </reference>
          <reference field="8" count="1" selected="0">
            <x v="11"/>
          </reference>
        </references>
      </pivotArea>
    </format>
    <format dxfId="2338">
      <pivotArea dataOnly="0" labelOnly="1" fieldPosition="0">
        <references count="4">
          <reference field="2" count="1" selected="0">
            <x v="12"/>
          </reference>
          <reference field="4" count="1" selected="0">
            <x v="0"/>
          </reference>
          <reference field="5" count="1">
            <x v="15"/>
          </reference>
          <reference field="8" count="1" selected="0">
            <x v="35"/>
          </reference>
        </references>
      </pivotArea>
    </format>
    <format dxfId="2339">
      <pivotArea dataOnly="0" labelOnly="1" fieldPosition="0">
        <references count="4">
          <reference field="2" count="1" selected="0">
            <x v="0"/>
          </reference>
          <reference field="4" count="1" selected="0">
            <x v="1"/>
          </reference>
          <reference field="5" count="1">
            <x v="16"/>
          </reference>
          <reference field="8" count="1" selected="0">
            <x v="3"/>
          </reference>
        </references>
      </pivotArea>
    </format>
    <format dxfId="2340">
      <pivotArea dataOnly="0" labelOnly="1" fieldPosition="0">
        <references count="4">
          <reference field="2" count="1" selected="0">
            <x v="3"/>
          </reference>
          <reference field="4" count="1" selected="0">
            <x v="1"/>
          </reference>
          <reference field="5" count="1">
            <x v="12"/>
          </reference>
          <reference field="8" count="1" selected="0">
            <x v="3"/>
          </reference>
        </references>
      </pivotArea>
    </format>
    <format dxfId="2341">
      <pivotArea dataOnly="0" labelOnly="1" fieldPosition="0">
        <references count="4">
          <reference field="2" count="1" selected="0">
            <x v="25"/>
          </reference>
          <reference field="4" count="1" selected="0">
            <x v="1"/>
          </reference>
          <reference field="5" count="1">
            <x v="16"/>
          </reference>
          <reference field="8" count="1" selected="0">
            <x v="3"/>
          </reference>
        </references>
      </pivotArea>
    </format>
    <format dxfId="2342">
      <pivotArea dataOnly="0" labelOnly="1" fieldPosition="0">
        <references count="4">
          <reference field="2" count="1" selected="0">
            <x v="0"/>
          </reference>
          <reference field="4" count="1" selected="0">
            <x v="1"/>
          </reference>
          <reference field="5" count="1">
            <x v="16"/>
          </reference>
          <reference field="8" count="1" selected="0">
            <x v="4"/>
          </reference>
        </references>
      </pivotArea>
    </format>
    <format dxfId="2343">
      <pivotArea dataOnly="0" labelOnly="1" fieldPosition="0">
        <references count="4">
          <reference field="2" count="1" selected="0">
            <x v="3"/>
          </reference>
          <reference field="4" count="1" selected="0">
            <x v="1"/>
          </reference>
          <reference field="5" count="1">
            <x v="12"/>
          </reference>
          <reference field="8" count="1" selected="0">
            <x v="4"/>
          </reference>
        </references>
      </pivotArea>
    </format>
    <format dxfId="2344">
      <pivotArea dataOnly="0" labelOnly="1" fieldPosition="0">
        <references count="4">
          <reference field="2" count="1" selected="0">
            <x v="7"/>
          </reference>
          <reference field="4" count="1" selected="0">
            <x v="1"/>
          </reference>
          <reference field="5" count="1">
            <x v="16"/>
          </reference>
          <reference field="8" count="1" selected="0">
            <x v="4"/>
          </reference>
        </references>
      </pivotArea>
    </format>
    <format dxfId="2345">
      <pivotArea dataOnly="0" labelOnly="1" fieldPosition="0">
        <references count="4">
          <reference field="2" count="1" selected="0">
            <x v="12"/>
          </reference>
          <reference field="4" count="1" selected="0">
            <x v="1"/>
          </reference>
          <reference field="5" count="1">
            <x v="9"/>
          </reference>
          <reference field="8" count="1" selected="0">
            <x v="4"/>
          </reference>
        </references>
      </pivotArea>
    </format>
    <format dxfId="2346">
      <pivotArea dataOnly="0" labelOnly="1" fieldPosition="0">
        <references count="4">
          <reference field="2" count="1" selected="0">
            <x v="20"/>
          </reference>
          <reference field="4" count="1" selected="0">
            <x v="1"/>
          </reference>
          <reference field="5" count="1">
            <x v="12"/>
          </reference>
          <reference field="8" count="1" selected="0">
            <x v="4"/>
          </reference>
        </references>
      </pivotArea>
    </format>
    <format dxfId="2347">
      <pivotArea dataOnly="0" labelOnly="1" fieldPosition="0">
        <references count="4">
          <reference field="2" count="1" selected="0">
            <x v="21"/>
          </reference>
          <reference field="4" count="1" selected="0">
            <x v="1"/>
          </reference>
          <reference field="5" count="3">
            <x v="14"/>
            <x v="15"/>
            <x v="16"/>
          </reference>
          <reference field="8" count="1" selected="0">
            <x v="4"/>
          </reference>
        </references>
      </pivotArea>
    </format>
    <format dxfId="2348">
      <pivotArea dataOnly="0" labelOnly="1" fieldPosition="0">
        <references count="4">
          <reference field="2" count="1" selected="0">
            <x v="25"/>
          </reference>
          <reference field="4" count="1" selected="0">
            <x v="1"/>
          </reference>
          <reference field="5" count="1">
            <x v="16"/>
          </reference>
          <reference field="8" count="1" selected="0">
            <x v="4"/>
          </reference>
        </references>
      </pivotArea>
    </format>
    <format dxfId="2349">
      <pivotArea dataOnly="0" labelOnly="1" fieldPosition="0">
        <references count="4">
          <reference field="2" count="1" selected="0">
            <x v="0"/>
          </reference>
          <reference field="4" count="1" selected="0">
            <x v="1"/>
          </reference>
          <reference field="5" count="1">
            <x v="16"/>
          </reference>
          <reference field="8" count="1" selected="0">
            <x v="6"/>
          </reference>
        </references>
      </pivotArea>
    </format>
    <format dxfId="2350">
      <pivotArea dataOnly="0" labelOnly="1" fieldPosition="0">
        <references count="4">
          <reference field="2" count="1" selected="0">
            <x v="13"/>
          </reference>
          <reference field="4" count="1" selected="0">
            <x v="1"/>
          </reference>
          <reference field="5" count="1">
            <x v="16"/>
          </reference>
          <reference field="8" count="1" selected="0">
            <x v="6"/>
          </reference>
        </references>
      </pivotArea>
    </format>
    <format dxfId="2351">
      <pivotArea dataOnly="0" labelOnly="1" fieldPosition="0">
        <references count="4">
          <reference field="2" count="1" selected="0">
            <x v="4"/>
          </reference>
          <reference field="4" count="1" selected="0">
            <x v="1"/>
          </reference>
          <reference field="5" count="1">
            <x v="15"/>
          </reference>
          <reference field="8" count="1" selected="0">
            <x v="9"/>
          </reference>
        </references>
      </pivotArea>
    </format>
    <format dxfId="2352">
      <pivotArea dataOnly="0" labelOnly="1" fieldPosition="0">
        <references count="4">
          <reference field="2" count="1" selected="0">
            <x v="16"/>
          </reference>
          <reference field="4" count="1" selected="0">
            <x v="1"/>
          </reference>
          <reference field="5" count="1">
            <x v="15"/>
          </reference>
          <reference field="8" count="1" selected="0">
            <x v="9"/>
          </reference>
        </references>
      </pivotArea>
    </format>
    <format dxfId="2353">
      <pivotArea dataOnly="0" labelOnly="1" fieldPosition="0">
        <references count="4">
          <reference field="2" count="1" selected="0">
            <x v="19"/>
          </reference>
          <reference field="4" count="1" selected="0">
            <x v="1"/>
          </reference>
          <reference field="5" count="1">
            <x v="15"/>
          </reference>
          <reference field="8" count="1" selected="0">
            <x v="10"/>
          </reference>
        </references>
      </pivotArea>
    </format>
    <format dxfId="2354">
      <pivotArea dataOnly="0" labelOnly="1" fieldPosition="0">
        <references count="4">
          <reference field="2" count="1" selected="0">
            <x v="21"/>
          </reference>
          <reference field="4" count="1" selected="0">
            <x v="1"/>
          </reference>
          <reference field="5" count="1">
            <x v="15"/>
          </reference>
          <reference field="8" count="1" selected="0">
            <x v="10"/>
          </reference>
        </references>
      </pivotArea>
    </format>
    <format dxfId="2355">
      <pivotArea dataOnly="0" labelOnly="1" fieldPosition="0">
        <references count="4">
          <reference field="2" count="1" selected="0">
            <x v="0"/>
          </reference>
          <reference field="4" count="1" selected="0">
            <x v="1"/>
          </reference>
          <reference field="5" count="1">
            <x v="16"/>
          </reference>
          <reference field="8" count="1" selected="0">
            <x v="11"/>
          </reference>
        </references>
      </pivotArea>
    </format>
    <format dxfId="2356">
      <pivotArea dataOnly="0" labelOnly="1" fieldPosition="0">
        <references count="4">
          <reference field="2" count="1" selected="0">
            <x v="2"/>
          </reference>
          <reference field="4" count="1" selected="0">
            <x v="1"/>
          </reference>
          <reference field="5" count="1">
            <x v="15"/>
          </reference>
          <reference field="8" count="1" selected="0">
            <x v="11"/>
          </reference>
        </references>
      </pivotArea>
    </format>
    <format dxfId="2357">
      <pivotArea dataOnly="0" labelOnly="1" fieldPosition="0">
        <references count="4">
          <reference field="2" count="1" selected="0">
            <x v="4"/>
          </reference>
          <reference field="4" count="1" selected="0">
            <x v="1"/>
          </reference>
          <reference field="5" count="1">
            <x v="15"/>
          </reference>
          <reference field="8" count="1" selected="0">
            <x v="11"/>
          </reference>
        </references>
      </pivotArea>
    </format>
    <format dxfId="2358">
      <pivotArea dataOnly="0" labelOnly="1" fieldPosition="0">
        <references count="4">
          <reference field="2" count="1" selected="0">
            <x v="5"/>
          </reference>
          <reference field="4" count="1" selected="0">
            <x v="1"/>
          </reference>
          <reference field="5" count="1">
            <x v="3"/>
          </reference>
          <reference field="8" count="1" selected="0">
            <x v="11"/>
          </reference>
        </references>
      </pivotArea>
    </format>
    <format dxfId="2359">
      <pivotArea dataOnly="0" labelOnly="1" fieldPosition="0">
        <references count="4">
          <reference field="2" count="1" selected="0">
            <x v="7"/>
          </reference>
          <reference field="4" count="1" selected="0">
            <x v="1"/>
          </reference>
          <reference field="5" count="1">
            <x v="14"/>
          </reference>
          <reference field="8" count="1" selected="0">
            <x v="11"/>
          </reference>
        </references>
      </pivotArea>
    </format>
    <format dxfId="2360">
      <pivotArea dataOnly="0" labelOnly="1" fieldPosition="0">
        <references count="4">
          <reference field="2" count="1" selected="0">
            <x v="9"/>
          </reference>
          <reference field="4" count="1" selected="0">
            <x v="1"/>
          </reference>
          <reference field="5" count="1">
            <x v="20"/>
          </reference>
          <reference field="8" count="1" selected="0">
            <x v="11"/>
          </reference>
        </references>
      </pivotArea>
    </format>
    <format dxfId="2361">
      <pivotArea dataOnly="0" labelOnly="1" fieldPosition="0">
        <references count="4">
          <reference field="2" count="1" selected="0">
            <x v="10"/>
          </reference>
          <reference field="4" count="1" selected="0">
            <x v="1"/>
          </reference>
          <reference field="5" count="1">
            <x v="12"/>
          </reference>
          <reference field="8" count="1" selected="0">
            <x v="11"/>
          </reference>
        </references>
      </pivotArea>
    </format>
    <format dxfId="2362">
      <pivotArea dataOnly="0" labelOnly="1" fieldPosition="0">
        <references count="4">
          <reference field="2" count="1" selected="0">
            <x v="12"/>
          </reference>
          <reference field="4" count="1" selected="0">
            <x v="1"/>
          </reference>
          <reference field="5" count="1">
            <x v="15"/>
          </reference>
          <reference field="8" count="1" selected="0">
            <x v="11"/>
          </reference>
        </references>
      </pivotArea>
    </format>
    <format dxfId="2363">
      <pivotArea dataOnly="0" labelOnly="1" fieldPosition="0">
        <references count="4">
          <reference field="2" count="1" selected="0">
            <x v="13"/>
          </reference>
          <reference field="4" count="1" selected="0">
            <x v="1"/>
          </reference>
          <reference field="5" count="1">
            <x v="16"/>
          </reference>
          <reference field="8" count="1" selected="0">
            <x v="11"/>
          </reference>
        </references>
      </pivotArea>
    </format>
    <format dxfId="2364">
      <pivotArea dataOnly="0" labelOnly="1" fieldPosition="0">
        <references count="4">
          <reference field="2" count="1" selected="0">
            <x v="18"/>
          </reference>
          <reference field="4" count="1" selected="0">
            <x v="1"/>
          </reference>
          <reference field="5" count="1">
            <x v="15"/>
          </reference>
          <reference field="8" count="1" selected="0">
            <x v="11"/>
          </reference>
        </references>
      </pivotArea>
    </format>
    <format dxfId="2365">
      <pivotArea dataOnly="0" labelOnly="1" fieldPosition="0">
        <references count="4">
          <reference field="2" count="1" selected="0">
            <x v="20"/>
          </reference>
          <reference field="4" count="1" selected="0">
            <x v="1"/>
          </reference>
          <reference field="5" count="1">
            <x v="12"/>
          </reference>
          <reference field="8" count="1" selected="0">
            <x v="11"/>
          </reference>
        </references>
      </pivotArea>
    </format>
    <format dxfId="2366">
      <pivotArea dataOnly="0" labelOnly="1" fieldPosition="0">
        <references count="4">
          <reference field="2" count="1" selected="0">
            <x v="21"/>
          </reference>
          <reference field="4" count="1" selected="0">
            <x v="1"/>
          </reference>
          <reference field="5" count="2">
            <x v="15"/>
            <x v="16"/>
          </reference>
          <reference field="8" count="1" selected="0">
            <x v="11"/>
          </reference>
        </references>
      </pivotArea>
    </format>
    <format dxfId="2367">
      <pivotArea dataOnly="0" labelOnly="1" fieldPosition="0">
        <references count="4">
          <reference field="2" count="1" selected="0">
            <x v="25"/>
          </reference>
          <reference field="4" count="1" selected="0">
            <x v="1"/>
          </reference>
          <reference field="5" count="1">
            <x v="15"/>
          </reference>
          <reference field="8" count="1" selected="0">
            <x v="11"/>
          </reference>
        </references>
      </pivotArea>
    </format>
    <format dxfId="2368">
      <pivotArea dataOnly="0" labelOnly="1" fieldPosition="0">
        <references count="4">
          <reference field="2" count="1" selected="0">
            <x v="12"/>
          </reference>
          <reference field="4" count="1" selected="0">
            <x v="1"/>
          </reference>
          <reference field="5" count="1">
            <x v="15"/>
          </reference>
          <reference field="8" count="1" selected="0">
            <x v="35"/>
          </reference>
        </references>
      </pivotArea>
    </format>
    <format dxfId="2369">
      <pivotArea dataOnly="0" labelOnly="1" fieldPosition="0">
        <references count="4">
          <reference field="2" count="1" selected="0">
            <x v="0"/>
          </reference>
          <reference field="4" count="1" selected="0">
            <x v="2"/>
          </reference>
          <reference field="5" count="1">
            <x v="16"/>
          </reference>
          <reference field="8" count="1" selected="0">
            <x v="3"/>
          </reference>
        </references>
      </pivotArea>
    </format>
    <format dxfId="2370">
      <pivotArea dataOnly="0" labelOnly="1" fieldPosition="0">
        <references count="4">
          <reference field="2" count="1" selected="0">
            <x v="3"/>
          </reference>
          <reference field="4" count="1" selected="0">
            <x v="2"/>
          </reference>
          <reference field="5" count="1">
            <x v="12"/>
          </reference>
          <reference field="8" count="1" selected="0">
            <x v="3"/>
          </reference>
        </references>
      </pivotArea>
    </format>
    <format dxfId="2371">
      <pivotArea dataOnly="0" labelOnly="1" fieldPosition="0">
        <references count="4">
          <reference field="2" count="1" selected="0">
            <x v="25"/>
          </reference>
          <reference field="4" count="1" selected="0">
            <x v="2"/>
          </reference>
          <reference field="5" count="1">
            <x v="16"/>
          </reference>
          <reference field="8" count="1" selected="0">
            <x v="3"/>
          </reference>
        </references>
      </pivotArea>
    </format>
    <format dxfId="2372">
      <pivotArea dataOnly="0" labelOnly="1" fieldPosition="0">
        <references count="4">
          <reference field="2" count="1" selected="0">
            <x v="0"/>
          </reference>
          <reference field="4" count="1" selected="0">
            <x v="2"/>
          </reference>
          <reference field="5" count="1">
            <x v="16"/>
          </reference>
          <reference field="8" count="1" selected="0">
            <x v="4"/>
          </reference>
        </references>
      </pivotArea>
    </format>
    <format dxfId="2373">
      <pivotArea dataOnly="0" labelOnly="1" fieldPosition="0">
        <references count="4">
          <reference field="2" count="1" selected="0">
            <x v="3"/>
          </reference>
          <reference field="4" count="1" selected="0">
            <x v="2"/>
          </reference>
          <reference field="5" count="1">
            <x v="12"/>
          </reference>
          <reference field="8" count="1" selected="0">
            <x v="4"/>
          </reference>
        </references>
      </pivotArea>
    </format>
    <format dxfId="2374">
      <pivotArea dataOnly="0" labelOnly="1" fieldPosition="0">
        <references count="4">
          <reference field="2" count="1" selected="0">
            <x v="7"/>
          </reference>
          <reference field="4" count="1" selected="0">
            <x v="2"/>
          </reference>
          <reference field="5" count="1">
            <x v="16"/>
          </reference>
          <reference field="8" count="1" selected="0">
            <x v="4"/>
          </reference>
        </references>
      </pivotArea>
    </format>
    <format dxfId="2375">
      <pivotArea dataOnly="0" labelOnly="1" fieldPosition="0">
        <references count="4">
          <reference field="2" count="1" selected="0">
            <x v="12"/>
          </reference>
          <reference field="4" count="1" selected="0">
            <x v="2"/>
          </reference>
          <reference field="5" count="1">
            <x v="9"/>
          </reference>
          <reference field="8" count="1" selected="0">
            <x v="4"/>
          </reference>
        </references>
      </pivotArea>
    </format>
    <format dxfId="2376">
      <pivotArea dataOnly="0" labelOnly="1" fieldPosition="0">
        <references count="4">
          <reference field="2" count="1" selected="0">
            <x v="20"/>
          </reference>
          <reference field="4" count="1" selected="0">
            <x v="2"/>
          </reference>
          <reference field="5" count="1">
            <x v="12"/>
          </reference>
          <reference field="8" count="1" selected="0">
            <x v="4"/>
          </reference>
        </references>
      </pivotArea>
    </format>
    <format dxfId="2377">
      <pivotArea dataOnly="0" labelOnly="1" fieldPosition="0">
        <references count="4">
          <reference field="2" count="1" selected="0">
            <x v="21"/>
          </reference>
          <reference field="4" count="1" selected="0">
            <x v="2"/>
          </reference>
          <reference field="5" count="3">
            <x v="14"/>
            <x v="15"/>
            <x v="16"/>
          </reference>
          <reference field="8" count="1" selected="0">
            <x v="4"/>
          </reference>
        </references>
      </pivotArea>
    </format>
    <format dxfId="2378">
      <pivotArea dataOnly="0" labelOnly="1" fieldPosition="0">
        <references count="4">
          <reference field="2" count="1" selected="0">
            <x v="25"/>
          </reference>
          <reference field="4" count="1" selected="0">
            <x v="2"/>
          </reference>
          <reference field="5" count="1">
            <x v="16"/>
          </reference>
          <reference field="8" count="1" selected="0">
            <x v="4"/>
          </reference>
        </references>
      </pivotArea>
    </format>
    <format dxfId="2379">
      <pivotArea dataOnly="0" labelOnly="1" fieldPosition="0">
        <references count="4">
          <reference field="2" count="1" selected="0">
            <x v="0"/>
          </reference>
          <reference field="4" count="1" selected="0">
            <x v="2"/>
          </reference>
          <reference field="5" count="1">
            <x v="16"/>
          </reference>
          <reference field="8" count="1" selected="0">
            <x v="6"/>
          </reference>
        </references>
      </pivotArea>
    </format>
    <format dxfId="2380">
      <pivotArea dataOnly="0" labelOnly="1" fieldPosition="0">
        <references count="4">
          <reference field="2" count="1" selected="0">
            <x v="13"/>
          </reference>
          <reference field="4" count="1" selected="0">
            <x v="2"/>
          </reference>
          <reference field="5" count="1">
            <x v="16"/>
          </reference>
          <reference field="8" count="1" selected="0">
            <x v="6"/>
          </reference>
        </references>
      </pivotArea>
    </format>
    <format dxfId="2381">
      <pivotArea dataOnly="0" labelOnly="1" fieldPosition="0">
        <references count="4">
          <reference field="2" count="1" selected="0">
            <x v="4"/>
          </reference>
          <reference field="4" count="1" selected="0">
            <x v="2"/>
          </reference>
          <reference field="5" count="1">
            <x v="15"/>
          </reference>
          <reference field="8" count="1" selected="0">
            <x v="9"/>
          </reference>
        </references>
      </pivotArea>
    </format>
    <format dxfId="2382">
      <pivotArea dataOnly="0" labelOnly="1" fieldPosition="0">
        <references count="4">
          <reference field="2" count="1" selected="0">
            <x v="16"/>
          </reference>
          <reference field="4" count="1" selected="0">
            <x v="2"/>
          </reference>
          <reference field="5" count="1">
            <x v="15"/>
          </reference>
          <reference field="8" count="1" selected="0">
            <x v="9"/>
          </reference>
        </references>
      </pivotArea>
    </format>
    <format dxfId="2383">
      <pivotArea dataOnly="0" labelOnly="1" fieldPosition="0">
        <references count="4">
          <reference field="2" count="1" selected="0">
            <x v="19"/>
          </reference>
          <reference field="4" count="1" selected="0">
            <x v="2"/>
          </reference>
          <reference field="5" count="1">
            <x v="15"/>
          </reference>
          <reference field="8" count="1" selected="0">
            <x v="10"/>
          </reference>
        </references>
      </pivotArea>
    </format>
    <format dxfId="2384">
      <pivotArea dataOnly="0" labelOnly="1" fieldPosition="0">
        <references count="4">
          <reference field="2" count="1" selected="0">
            <x v="21"/>
          </reference>
          <reference field="4" count="1" selected="0">
            <x v="2"/>
          </reference>
          <reference field="5" count="1">
            <x v="15"/>
          </reference>
          <reference field="8" count="1" selected="0">
            <x v="10"/>
          </reference>
        </references>
      </pivotArea>
    </format>
    <format dxfId="2385">
      <pivotArea dataOnly="0" labelOnly="1" fieldPosition="0">
        <references count="4">
          <reference field="2" count="1" selected="0">
            <x v="0"/>
          </reference>
          <reference field="4" count="1" selected="0">
            <x v="2"/>
          </reference>
          <reference field="5" count="1">
            <x v="16"/>
          </reference>
          <reference field="8" count="1" selected="0">
            <x v="11"/>
          </reference>
        </references>
      </pivotArea>
    </format>
    <format dxfId="2386">
      <pivotArea dataOnly="0" labelOnly="1" fieldPosition="0">
        <references count="4">
          <reference field="2" count="1" selected="0">
            <x v="2"/>
          </reference>
          <reference field="4" count="1" selected="0">
            <x v="2"/>
          </reference>
          <reference field="5" count="1">
            <x v="15"/>
          </reference>
          <reference field="8" count="1" selected="0">
            <x v="11"/>
          </reference>
        </references>
      </pivotArea>
    </format>
    <format dxfId="2387">
      <pivotArea dataOnly="0" labelOnly="1" fieldPosition="0">
        <references count="4">
          <reference field="2" count="1" selected="0">
            <x v="4"/>
          </reference>
          <reference field="4" count="1" selected="0">
            <x v="2"/>
          </reference>
          <reference field="5" count="1">
            <x v="15"/>
          </reference>
          <reference field="8" count="1" selected="0">
            <x v="11"/>
          </reference>
        </references>
      </pivotArea>
    </format>
    <format dxfId="2388">
      <pivotArea dataOnly="0" labelOnly="1" fieldPosition="0">
        <references count="4">
          <reference field="2" count="1" selected="0">
            <x v="5"/>
          </reference>
          <reference field="4" count="1" selected="0">
            <x v="2"/>
          </reference>
          <reference field="5" count="1">
            <x v="3"/>
          </reference>
          <reference field="8" count="1" selected="0">
            <x v="11"/>
          </reference>
        </references>
      </pivotArea>
    </format>
    <format dxfId="2389">
      <pivotArea dataOnly="0" labelOnly="1" fieldPosition="0">
        <references count="4">
          <reference field="2" count="1" selected="0">
            <x v="7"/>
          </reference>
          <reference field="4" count="1" selected="0">
            <x v="2"/>
          </reference>
          <reference field="5" count="1">
            <x v="14"/>
          </reference>
          <reference field="8" count="1" selected="0">
            <x v="11"/>
          </reference>
        </references>
      </pivotArea>
    </format>
    <format dxfId="2390">
      <pivotArea dataOnly="0" labelOnly="1" fieldPosition="0">
        <references count="4">
          <reference field="2" count="1" selected="0">
            <x v="9"/>
          </reference>
          <reference field="4" count="1" selected="0">
            <x v="2"/>
          </reference>
          <reference field="5" count="1">
            <x v="20"/>
          </reference>
          <reference field="8" count="1" selected="0">
            <x v="11"/>
          </reference>
        </references>
      </pivotArea>
    </format>
    <format dxfId="2391">
      <pivotArea dataOnly="0" labelOnly="1" fieldPosition="0">
        <references count="4">
          <reference field="2" count="1" selected="0">
            <x v="10"/>
          </reference>
          <reference field="4" count="1" selected="0">
            <x v="2"/>
          </reference>
          <reference field="5" count="1">
            <x v="12"/>
          </reference>
          <reference field="8" count="1" selected="0">
            <x v="11"/>
          </reference>
        </references>
      </pivotArea>
    </format>
    <format dxfId="2392">
      <pivotArea dataOnly="0" labelOnly="1" fieldPosition="0">
        <references count="4">
          <reference field="2" count="1" selected="0">
            <x v="12"/>
          </reference>
          <reference field="4" count="1" selected="0">
            <x v="2"/>
          </reference>
          <reference field="5" count="1">
            <x v="15"/>
          </reference>
          <reference field="8" count="1" selected="0">
            <x v="11"/>
          </reference>
        </references>
      </pivotArea>
    </format>
    <format dxfId="2393">
      <pivotArea dataOnly="0" labelOnly="1" fieldPosition="0">
        <references count="4">
          <reference field="2" count="1" selected="0">
            <x v="18"/>
          </reference>
          <reference field="4" count="1" selected="0">
            <x v="2"/>
          </reference>
          <reference field="5" count="1">
            <x v="15"/>
          </reference>
          <reference field="8" count="1" selected="0">
            <x v="11"/>
          </reference>
        </references>
      </pivotArea>
    </format>
    <format dxfId="2394">
      <pivotArea dataOnly="0" labelOnly="1" fieldPosition="0">
        <references count="4">
          <reference field="2" count="1" selected="0">
            <x v="20"/>
          </reference>
          <reference field="4" count="1" selected="0">
            <x v="2"/>
          </reference>
          <reference field="5" count="1">
            <x v="12"/>
          </reference>
          <reference field="8" count="1" selected="0">
            <x v="11"/>
          </reference>
        </references>
      </pivotArea>
    </format>
    <format dxfId="2395">
      <pivotArea dataOnly="0" labelOnly="1" fieldPosition="0">
        <references count="4">
          <reference field="2" count="1" selected="0">
            <x v="21"/>
          </reference>
          <reference field="4" count="1" selected="0">
            <x v="2"/>
          </reference>
          <reference field="5" count="2">
            <x v="15"/>
            <x v="16"/>
          </reference>
          <reference field="8" count="1" selected="0">
            <x v="11"/>
          </reference>
        </references>
      </pivotArea>
    </format>
    <format dxfId="2396">
      <pivotArea dataOnly="0" labelOnly="1" fieldPosition="0">
        <references count="4">
          <reference field="2" count="1" selected="0">
            <x v="25"/>
          </reference>
          <reference field="4" count="1" selected="0">
            <x v="2"/>
          </reference>
          <reference field="5" count="1">
            <x v="15"/>
          </reference>
          <reference field="8" count="1" selected="0">
            <x v="11"/>
          </reference>
        </references>
      </pivotArea>
    </format>
    <format dxfId="2397">
      <pivotArea dataOnly="0" labelOnly="1" fieldPosition="0">
        <references count="4">
          <reference field="2" count="1" selected="0">
            <x v="12"/>
          </reference>
          <reference field="4" count="1" selected="0">
            <x v="2"/>
          </reference>
          <reference field="5" count="1">
            <x v="15"/>
          </reference>
          <reference field="8" count="1" selected="0">
            <x v="35"/>
          </reference>
        </references>
      </pivotArea>
    </format>
    <format dxfId="2398">
      <pivotArea dataOnly="0" labelOnly="1" fieldPosition="0">
        <references count="4">
          <reference field="2" count="1" selected="0">
            <x v="0"/>
          </reference>
          <reference field="4" count="1" selected="0">
            <x v="3"/>
          </reference>
          <reference field="5" count="1">
            <x v="16"/>
          </reference>
          <reference field="8" count="1" selected="0">
            <x v="3"/>
          </reference>
        </references>
      </pivotArea>
    </format>
    <format dxfId="2399">
      <pivotArea dataOnly="0" labelOnly="1" fieldPosition="0">
        <references count="4">
          <reference field="2" count="1" selected="0">
            <x v="3"/>
          </reference>
          <reference field="4" count="1" selected="0">
            <x v="3"/>
          </reference>
          <reference field="5" count="1">
            <x v="12"/>
          </reference>
          <reference field="8" count="1" selected="0">
            <x v="3"/>
          </reference>
        </references>
      </pivotArea>
    </format>
    <format dxfId="2400">
      <pivotArea dataOnly="0" labelOnly="1" fieldPosition="0">
        <references count="4">
          <reference field="2" count="1" selected="0">
            <x v="25"/>
          </reference>
          <reference field="4" count="1" selected="0">
            <x v="3"/>
          </reference>
          <reference field="5" count="1">
            <x v="16"/>
          </reference>
          <reference field="8" count="1" selected="0">
            <x v="3"/>
          </reference>
        </references>
      </pivotArea>
    </format>
    <format dxfId="2401">
      <pivotArea dataOnly="0" labelOnly="1" fieldPosition="0">
        <references count="4">
          <reference field="2" count="1" selected="0">
            <x v="0"/>
          </reference>
          <reference field="4" count="1" selected="0">
            <x v="3"/>
          </reference>
          <reference field="5" count="1">
            <x v="16"/>
          </reference>
          <reference field="8" count="1" selected="0">
            <x v="4"/>
          </reference>
        </references>
      </pivotArea>
    </format>
    <format dxfId="2402">
      <pivotArea dataOnly="0" labelOnly="1" fieldPosition="0">
        <references count="4">
          <reference field="2" count="1" selected="0">
            <x v="3"/>
          </reference>
          <reference field="4" count="1" selected="0">
            <x v="3"/>
          </reference>
          <reference field="5" count="1">
            <x v="12"/>
          </reference>
          <reference field="8" count="1" selected="0">
            <x v="4"/>
          </reference>
        </references>
      </pivotArea>
    </format>
    <format dxfId="2403">
      <pivotArea dataOnly="0" labelOnly="1" fieldPosition="0">
        <references count="4">
          <reference field="2" count="1" selected="0">
            <x v="7"/>
          </reference>
          <reference field="4" count="1" selected="0">
            <x v="3"/>
          </reference>
          <reference field="5" count="1">
            <x v="16"/>
          </reference>
          <reference field="8" count="1" selected="0">
            <x v="4"/>
          </reference>
        </references>
      </pivotArea>
    </format>
    <format dxfId="2404">
      <pivotArea dataOnly="0" labelOnly="1" fieldPosition="0">
        <references count="4">
          <reference field="2" count="1" selected="0">
            <x v="12"/>
          </reference>
          <reference field="4" count="1" selected="0">
            <x v="3"/>
          </reference>
          <reference field="5" count="1">
            <x v="9"/>
          </reference>
          <reference field="8" count="1" selected="0">
            <x v="4"/>
          </reference>
        </references>
      </pivotArea>
    </format>
    <format dxfId="2405">
      <pivotArea dataOnly="0" labelOnly="1" fieldPosition="0">
        <references count="4">
          <reference field="2" count="1" selected="0">
            <x v="20"/>
          </reference>
          <reference field="4" count="1" selected="0">
            <x v="3"/>
          </reference>
          <reference field="5" count="1">
            <x v="12"/>
          </reference>
          <reference field="8" count="1" selected="0">
            <x v="4"/>
          </reference>
        </references>
      </pivotArea>
    </format>
    <format dxfId="2406">
      <pivotArea dataOnly="0" labelOnly="1" fieldPosition="0">
        <references count="4">
          <reference field="2" count="1" selected="0">
            <x v="21"/>
          </reference>
          <reference field="4" count="1" selected="0">
            <x v="3"/>
          </reference>
          <reference field="5" count="3">
            <x v="14"/>
            <x v="15"/>
            <x v="16"/>
          </reference>
          <reference field="8" count="1" selected="0">
            <x v="4"/>
          </reference>
        </references>
      </pivotArea>
    </format>
    <format dxfId="2407">
      <pivotArea dataOnly="0" labelOnly="1" fieldPosition="0">
        <references count="4">
          <reference field="2" count="1" selected="0">
            <x v="25"/>
          </reference>
          <reference field="4" count="1" selected="0">
            <x v="3"/>
          </reference>
          <reference field="5" count="1">
            <x v="16"/>
          </reference>
          <reference field="8" count="1" selected="0">
            <x v="4"/>
          </reference>
        </references>
      </pivotArea>
    </format>
    <format dxfId="2408">
      <pivotArea dataOnly="0" labelOnly="1" fieldPosition="0">
        <references count="4">
          <reference field="2" count="1" selected="0">
            <x v="0"/>
          </reference>
          <reference field="4" count="1" selected="0">
            <x v="3"/>
          </reference>
          <reference field="5" count="1">
            <x v="16"/>
          </reference>
          <reference field="8" count="1" selected="0">
            <x v="6"/>
          </reference>
        </references>
      </pivotArea>
    </format>
    <format dxfId="2409">
      <pivotArea dataOnly="0" labelOnly="1" fieldPosition="0">
        <references count="4">
          <reference field="2" count="1" selected="0">
            <x v="13"/>
          </reference>
          <reference field="4" count="1" selected="0">
            <x v="3"/>
          </reference>
          <reference field="5" count="1">
            <x v="16"/>
          </reference>
          <reference field="8" count="1" selected="0">
            <x v="6"/>
          </reference>
        </references>
      </pivotArea>
    </format>
    <format dxfId="2410">
      <pivotArea dataOnly="0" labelOnly="1" fieldPosition="0">
        <references count="4">
          <reference field="2" count="1" selected="0">
            <x v="4"/>
          </reference>
          <reference field="4" count="1" selected="0">
            <x v="3"/>
          </reference>
          <reference field="5" count="1">
            <x v="15"/>
          </reference>
          <reference field="8" count="1" selected="0">
            <x v="9"/>
          </reference>
        </references>
      </pivotArea>
    </format>
    <format dxfId="2411">
      <pivotArea dataOnly="0" labelOnly="1" fieldPosition="0">
        <references count="4">
          <reference field="2" count="1" selected="0">
            <x v="16"/>
          </reference>
          <reference field="4" count="1" selected="0">
            <x v="3"/>
          </reference>
          <reference field="5" count="1">
            <x v="15"/>
          </reference>
          <reference field="8" count="1" selected="0">
            <x v="9"/>
          </reference>
        </references>
      </pivotArea>
    </format>
    <format dxfId="2412">
      <pivotArea dataOnly="0" labelOnly="1" fieldPosition="0">
        <references count="4">
          <reference field="2" count="1" selected="0">
            <x v="19"/>
          </reference>
          <reference field="4" count="1" selected="0">
            <x v="3"/>
          </reference>
          <reference field="5" count="1">
            <x v="15"/>
          </reference>
          <reference field="8" count="1" selected="0">
            <x v="10"/>
          </reference>
        </references>
      </pivotArea>
    </format>
    <format dxfId="2413">
      <pivotArea dataOnly="0" labelOnly="1" fieldPosition="0">
        <references count="4">
          <reference field="2" count="1" selected="0">
            <x v="21"/>
          </reference>
          <reference field="4" count="1" selected="0">
            <x v="3"/>
          </reference>
          <reference field="5" count="1">
            <x v="15"/>
          </reference>
          <reference field="8" count="1" selected="0">
            <x v="10"/>
          </reference>
        </references>
      </pivotArea>
    </format>
    <format dxfId="2414">
      <pivotArea dataOnly="0" labelOnly="1" fieldPosition="0">
        <references count="4">
          <reference field="2" count="1" selected="0">
            <x v="0"/>
          </reference>
          <reference field="4" count="1" selected="0">
            <x v="3"/>
          </reference>
          <reference field="5" count="1">
            <x v="16"/>
          </reference>
          <reference field="8" count="1" selected="0">
            <x v="11"/>
          </reference>
        </references>
      </pivotArea>
    </format>
    <format dxfId="2415">
      <pivotArea dataOnly="0" labelOnly="1" fieldPosition="0">
        <references count="4">
          <reference field="2" count="1" selected="0">
            <x v="2"/>
          </reference>
          <reference field="4" count="1" selected="0">
            <x v="3"/>
          </reference>
          <reference field="5" count="1">
            <x v="15"/>
          </reference>
          <reference field="8" count="1" selected="0">
            <x v="11"/>
          </reference>
        </references>
      </pivotArea>
    </format>
    <format dxfId="2416">
      <pivotArea dataOnly="0" labelOnly="1" fieldPosition="0">
        <references count="4">
          <reference field="2" count="1" selected="0">
            <x v="4"/>
          </reference>
          <reference field="4" count="1" selected="0">
            <x v="3"/>
          </reference>
          <reference field="5" count="1">
            <x v="15"/>
          </reference>
          <reference field="8" count="1" selected="0">
            <x v="11"/>
          </reference>
        </references>
      </pivotArea>
    </format>
    <format dxfId="2417">
      <pivotArea dataOnly="0" labelOnly="1" fieldPosition="0">
        <references count="4">
          <reference field="2" count="1" selected="0">
            <x v="5"/>
          </reference>
          <reference field="4" count="1" selected="0">
            <x v="3"/>
          </reference>
          <reference field="5" count="1">
            <x v="3"/>
          </reference>
          <reference field="8" count="1" selected="0">
            <x v="11"/>
          </reference>
        </references>
      </pivotArea>
    </format>
    <format dxfId="2418">
      <pivotArea dataOnly="0" labelOnly="1" fieldPosition="0">
        <references count="4">
          <reference field="2" count="1" selected="0">
            <x v="7"/>
          </reference>
          <reference field="4" count="1" selected="0">
            <x v="3"/>
          </reference>
          <reference field="5" count="1">
            <x v="14"/>
          </reference>
          <reference field="8" count="1" selected="0">
            <x v="11"/>
          </reference>
        </references>
      </pivotArea>
    </format>
    <format dxfId="2419">
      <pivotArea dataOnly="0" labelOnly="1" fieldPosition="0">
        <references count="4">
          <reference field="2" count="1" selected="0">
            <x v="9"/>
          </reference>
          <reference field="4" count="1" selected="0">
            <x v="3"/>
          </reference>
          <reference field="5" count="1">
            <x v="20"/>
          </reference>
          <reference field="8" count="1" selected="0">
            <x v="11"/>
          </reference>
        </references>
      </pivotArea>
    </format>
    <format dxfId="2420">
      <pivotArea dataOnly="0" labelOnly="1" fieldPosition="0">
        <references count="4">
          <reference field="2" count="1" selected="0">
            <x v="10"/>
          </reference>
          <reference field="4" count="1" selected="0">
            <x v="3"/>
          </reference>
          <reference field="5" count="1">
            <x v="12"/>
          </reference>
          <reference field="8" count="1" selected="0">
            <x v="11"/>
          </reference>
        </references>
      </pivotArea>
    </format>
    <format dxfId="2421">
      <pivotArea dataOnly="0" labelOnly="1" fieldPosition="0">
        <references count="4">
          <reference field="2" count="1" selected="0">
            <x v="12"/>
          </reference>
          <reference field="4" count="1" selected="0">
            <x v="3"/>
          </reference>
          <reference field="5" count="1">
            <x v="15"/>
          </reference>
          <reference field="8" count="1" selected="0">
            <x v="11"/>
          </reference>
        </references>
      </pivotArea>
    </format>
    <format dxfId="2422">
      <pivotArea dataOnly="0" labelOnly="1" fieldPosition="0">
        <references count="4">
          <reference field="2" count="1" selected="0">
            <x v="18"/>
          </reference>
          <reference field="4" count="1" selected="0">
            <x v="3"/>
          </reference>
          <reference field="5" count="1">
            <x v="15"/>
          </reference>
          <reference field="8" count="1" selected="0">
            <x v="11"/>
          </reference>
        </references>
      </pivotArea>
    </format>
    <format dxfId="2423">
      <pivotArea dataOnly="0" labelOnly="1" fieldPosition="0">
        <references count="4">
          <reference field="2" count="1" selected="0">
            <x v="20"/>
          </reference>
          <reference field="4" count="1" selected="0">
            <x v="3"/>
          </reference>
          <reference field="5" count="1">
            <x v="12"/>
          </reference>
          <reference field="8" count="1" selected="0">
            <x v="11"/>
          </reference>
        </references>
      </pivotArea>
    </format>
    <format dxfId="2424">
      <pivotArea dataOnly="0" labelOnly="1" fieldPosition="0">
        <references count="4">
          <reference field="2" count="1" selected="0">
            <x v="21"/>
          </reference>
          <reference field="4" count="1" selected="0">
            <x v="3"/>
          </reference>
          <reference field="5" count="2">
            <x v="15"/>
            <x v="16"/>
          </reference>
          <reference field="8" count="1" selected="0">
            <x v="11"/>
          </reference>
        </references>
      </pivotArea>
    </format>
    <format dxfId="2425">
      <pivotArea dataOnly="0" labelOnly="1" fieldPosition="0">
        <references count="4">
          <reference field="2" count="1" selected="0">
            <x v="25"/>
          </reference>
          <reference field="4" count="1" selected="0">
            <x v="3"/>
          </reference>
          <reference field="5" count="1">
            <x v="15"/>
          </reference>
          <reference field="8" count="1" selected="0">
            <x v="11"/>
          </reference>
        </references>
      </pivotArea>
    </format>
    <format dxfId="2426">
      <pivotArea dataOnly="0" labelOnly="1" fieldPosition="0">
        <references count="4">
          <reference field="2" count="1" selected="0">
            <x v="12"/>
          </reference>
          <reference field="4" count="1" selected="0">
            <x v="3"/>
          </reference>
          <reference field="5" count="1">
            <x v="15"/>
          </reference>
          <reference field="8" count="1" selected="0">
            <x v="35"/>
          </reference>
        </references>
      </pivotArea>
    </format>
    <format dxfId="2427">
      <pivotArea dataOnly="0" labelOnly="1" fieldPosition="0">
        <references count="4">
          <reference field="2" count="1" selected="0">
            <x v="0"/>
          </reference>
          <reference field="4" count="1" selected="0">
            <x v="4"/>
          </reference>
          <reference field="5" count="1">
            <x v="16"/>
          </reference>
          <reference field="8" count="1" selected="0">
            <x v="3"/>
          </reference>
        </references>
      </pivotArea>
    </format>
    <format dxfId="2428">
      <pivotArea dataOnly="0" labelOnly="1" fieldPosition="0">
        <references count="4">
          <reference field="2" count="1" selected="0">
            <x v="3"/>
          </reference>
          <reference field="4" count="1" selected="0">
            <x v="4"/>
          </reference>
          <reference field="5" count="1">
            <x v="12"/>
          </reference>
          <reference field="8" count="1" selected="0">
            <x v="3"/>
          </reference>
        </references>
      </pivotArea>
    </format>
    <format dxfId="2429">
      <pivotArea dataOnly="0" labelOnly="1" fieldPosition="0">
        <references count="4">
          <reference field="2" count="1" selected="0">
            <x v="20"/>
          </reference>
          <reference field="4" count="1" selected="0">
            <x v="4"/>
          </reference>
          <reference field="5" count="1">
            <x v="26"/>
          </reference>
          <reference field="8" count="1" selected="0">
            <x v="3"/>
          </reference>
        </references>
      </pivotArea>
    </format>
    <format dxfId="2430">
      <pivotArea dataOnly="0" labelOnly="1" fieldPosition="0">
        <references count="4">
          <reference field="2" count="1" selected="0">
            <x v="25"/>
          </reference>
          <reference field="4" count="1" selected="0">
            <x v="4"/>
          </reference>
          <reference field="5" count="1">
            <x v="16"/>
          </reference>
          <reference field="8" count="1" selected="0">
            <x v="3"/>
          </reference>
        </references>
      </pivotArea>
    </format>
    <format dxfId="2431">
      <pivotArea dataOnly="0" labelOnly="1" fieldPosition="0">
        <references count="4">
          <reference field="2" count="1" selected="0">
            <x v="0"/>
          </reference>
          <reference field="4" count="1" selected="0">
            <x v="4"/>
          </reference>
          <reference field="5" count="1">
            <x v="16"/>
          </reference>
          <reference field="8" count="1" selected="0">
            <x v="4"/>
          </reference>
        </references>
      </pivotArea>
    </format>
    <format dxfId="2432">
      <pivotArea dataOnly="0" labelOnly="1" fieldPosition="0">
        <references count="4">
          <reference field="2" count="1" selected="0">
            <x v="3"/>
          </reference>
          <reference field="4" count="1" selected="0">
            <x v="4"/>
          </reference>
          <reference field="5" count="1">
            <x v="12"/>
          </reference>
          <reference field="8" count="1" selected="0">
            <x v="4"/>
          </reference>
        </references>
      </pivotArea>
    </format>
    <format dxfId="2433">
      <pivotArea dataOnly="0" labelOnly="1" fieldPosition="0">
        <references count="4">
          <reference field="2" count="1" selected="0">
            <x v="7"/>
          </reference>
          <reference field="4" count="1" selected="0">
            <x v="4"/>
          </reference>
          <reference field="5" count="1">
            <x v="16"/>
          </reference>
          <reference field="8" count="1" selected="0">
            <x v="4"/>
          </reference>
        </references>
      </pivotArea>
    </format>
    <format dxfId="2434">
      <pivotArea dataOnly="0" labelOnly="1" fieldPosition="0">
        <references count="4">
          <reference field="2" count="1" selected="0">
            <x v="12"/>
          </reference>
          <reference field="4" count="1" selected="0">
            <x v="4"/>
          </reference>
          <reference field="5" count="1">
            <x v="9"/>
          </reference>
          <reference field="8" count="1" selected="0">
            <x v="4"/>
          </reference>
        </references>
      </pivotArea>
    </format>
    <format dxfId="2435">
      <pivotArea dataOnly="0" labelOnly="1" fieldPosition="0">
        <references count="4">
          <reference field="2" count="1" selected="0">
            <x v="20"/>
          </reference>
          <reference field="4" count="1" selected="0">
            <x v="4"/>
          </reference>
          <reference field="5" count="2">
            <x v="12"/>
            <x v="26"/>
          </reference>
          <reference field="8" count="1" selected="0">
            <x v="4"/>
          </reference>
        </references>
      </pivotArea>
    </format>
    <format dxfId="2436">
      <pivotArea dataOnly="0" labelOnly="1" fieldPosition="0">
        <references count="4">
          <reference field="2" count="1" selected="0">
            <x v="21"/>
          </reference>
          <reference field="4" count="1" selected="0">
            <x v="4"/>
          </reference>
          <reference field="5" count="3">
            <x v="14"/>
            <x v="15"/>
            <x v="16"/>
          </reference>
          <reference field="8" count="1" selected="0">
            <x v="4"/>
          </reference>
        </references>
      </pivotArea>
    </format>
    <format dxfId="2437">
      <pivotArea dataOnly="0" labelOnly="1" fieldPosition="0">
        <references count="4">
          <reference field="2" count="1" selected="0">
            <x v="25"/>
          </reference>
          <reference field="4" count="1" selected="0">
            <x v="4"/>
          </reference>
          <reference field="5" count="1">
            <x v="16"/>
          </reference>
          <reference field="8" count="1" selected="0">
            <x v="4"/>
          </reference>
        </references>
      </pivotArea>
    </format>
    <format dxfId="2438">
      <pivotArea dataOnly="0" labelOnly="1" fieldPosition="0">
        <references count="4">
          <reference field="2" count="1" selected="0">
            <x v="20"/>
          </reference>
          <reference field="4" count="1" selected="0">
            <x v="4"/>
          </reference>
          <reference field="5" count="1">
            <x v="26"/>
          </reference>
          <reference field="8" count="1" selected="0">
            <x v="5"/>
          </reference>
        </references>
      </pivotArea>
    </format>
    <format dxfId="2439">
      <pivotArea dataOnly="0" labelOnly="1" fieldPosition="0">
        <references count="4">
          <reference field="2" count="1" selected="0">
            <x v="0"/>
          </reference>
          <reference field="4" count="1" selected="0">
            <x v="4"/>
          </reference>
          <reference field="5" count="1">
            <x v="16"/>
          </reference>
          <reference field="8" count="1" selected="0">
            <x v="6"/>
          </reference>
        </references>
      </pivotArea>
    </format>
    <format dxfId="2440">
      <pivotArea dataOnly="0" labelOnly="1" fieldPosition="0">
        <references count="4">
          <reference field="2" count="1" selected="0">
            <x v="13"/>
          </reference>
          <reference field="4" count="1" selected="0">
            <x v="4"/>
          </reference>
          <reference field="5" count="1">
            <x v="16"/>
          </reference>
          <reference field="8" count="1" selected="0">
            <x v="6"/>
          </reference>
        </references>
      </pivotArea>
    </format>
    <format dxfId="2441">
      <pivotArea dataOnly="0" labelOnly="1" fieldPosition="0">
        <references count="4">
          <reference field="2" count="1" selected="0">
            <x v="4"/>
          </reference>
          <reference field="4" count="1" selected="0">
            <x v="4"/>
          </reference>
          <reference field="5" count="1">
            <x v="15"/>
          </reference>
          <reference field="8" count="1" selected="0">
            <x v="9"/>
          </reference>
        </references>
      </pivotArea>
    </format>
    <format dxfId="2442">
      <pivotArea dataOnly="0" labelOnly="1" fieldPosition="0">
        <references count="4">
          <reference field="2" count="1" selected="0">
            <x v="16"/>
          </reference>
          <reference field="4" count="1" selected="0">
            <x v="4"/>
          </reference>
          <reference field="5" count="1">
            <x v="15"/>
          </reference>
          <reference field="8" count="1" selected="0">
            <x v="9"/>
          </reference>
        </references>
      </pivotArea>
    </format>
    <format dxfId="2443">
      <pivotArea dataOnly="0" labelOnly="1" fieldPosition="0">
        <references count="4">
          <reference field="2" count="1" selected="0">
            <x v="20"/>
          </reference>
          <reference field="4" count="1" selected="0">
            <x v="4"/>
          </reference>
          <reference field="5" count="1">
            <x v="26"/>
          </reference>
          <reference field="8" count="1" selected="0">
            <x v="9"/>
          </reference>
        </references>
      </pivotArea>
    </format>
    <format dxfId="2444">
      <pivotArea dataOnly="0" labelOnly="1" fieldPosition="0">
        <references count="4">
          <reference field="2" count="1" selected="0">
            <x v="19"/>
          </reference>
          <reference field="4" count="1" selected="0">
            <x v="4"/>
          </reference>
          <reference field="5" count="1">
            <x v="15"/>
          </reference>
          <reference field="8" count="1" selected="0">
            <x v="10"/>
          </reference>
        </references>
      </pivotArea>
    </format>
    <format dxfId="2445">
      <pivotArea dataOnly="0" labelOnly="1" fieldPosition="0">
        <references count="4">
          <reference field="2" count="1" selected="0">
            <x v="21"/>
          </reference>
          <reference field="4" count="1" selected="0">
            <x v="4"/>
          </reference>
          <reference field="5" count="1">
            <x v="15"/>
          </reference>
          <reference field="8" count="1" selected="0">
            <x v="10"/>
          </reference>
        </references>
      </pivotArea>
    </format>
    <format dxfId="2446">
      <pivotArea dataOnly="0" labelOnly="1" fieldPosition="0">
        <references count="4">
          <reference field="2" count="1" selected="0">
            <x v="0"/>
          </reference>
          <reference field="4" count="1" selected="0">
            <x v="4"/>
          </reference>
          <reference field="5" count="1">
            <x v="16"/>
          </reference>
          <reference field="8" count="1" selected="0">
            <x v="11"/>
          </reference>
        </references>
      </pivotArea>
    </format>
    <format dxfId="2447">
      <pivotArea dataOnly="0" labelOnly="1" fieldPosition="0">
        <references count="4">
          <reference field="2" count="1" selected="0">
            <x v="2"/>
          </reference>
          <reference field="4" count="1" selected="0">
            <x v="4"/>
          </reference>
          <reference field="5" count="1">
            <x v="15"/>
          </reference>
          <reference field="8" count="1" selected="0">
            <x v="11"/>
          </reference>
        </references>
      </pivotArea>
    </format>
    <format dxfId="2448">
      <pivotArea dataOnly="0" labelOnly="1" fieldPosition="0">
        <references count="4">
          <reference field="2" count="1" selected="0">
            <x v="4"/>
          </reference>
          <reference field="4" count="1" selected="0">
            <x v="4"/>
          </reference>
          <reference field="5" count="1">
            <x v="15"/>
          </reference>
          <reference field="8" count="1" selected="0">
            <x v="11"/>
          </reference>
        </references>
      </pivotArea>
    </format>
    <format dxfId="2449">
      <pivotArea dataOnly="0" labelOnly="1" fieldPosition="0">
        <references count="4">
          <reference field="2" count="1" selected="0">
            <x v="5"/>
          </reference>
          <reference field="4" count="1" selected="0">
            <x v="4"/>
          </reference>
          <reference field="5" count="1">
            <x v="3"/>
          </reference>
          <reference field="8" count="1" selected="0">
            <x v="11"/>
          </reference>
        </references>
      </pivotArea>
    </format>
    <format dxfId="2450">
      <pivotArea dataOnly="0" labelOnly="1" fieldPosition="0">
        <references count="4">
          <reference field="2" count="1" selected="0">
            <x v="7"/>
          </reference>
          <reference field="4" count="1" selected="0">
            <x v="4"/>
          </reference>
          <reference field="5" count="1">
            <x v="14"/>
          </reference>
          <reference field="8" count="1" selected="0">
            <x v="11"/>
          </reference>
        </references>
      </pivotArea>
    </format>
    <format dxfId="2451">
      <pivotArea dataOnly="0" labelOnly="1" fieldPosition="0">
        <references count="4">
          <reference field="2" count="1" selected="0">
            <x v="9"/>
          </reference>
          <reference field="4" count="1" selected="0">
            <x v="4"/>
          </reference>
          <reference field="5" count="1">
            <x v="20"/>
          </reference>
          <reference field="8" count="1" selected="0">
            <x v="11"/>
          </reference>
        </references>
      </pivotArea>
    </format>
    <format dxfId="2452">
      <pivotArea dataOnly="0" labelOnly="1" fieldPosition="0">
        <references count="4">
          <reference field="2" count="1" selected="0">
            <x v="10"/>
          </reference>
          <reference field="4" count="1" selected="0">
            <x v="4"/>
          </reference>
          <reference field="5" count="1">
            <x v="12"/>
          </reference>
          <reference field="8" count="1" selected="0">
            <x v="11"/>
          </reference>
        </references>
      </pivotArea>
    </format>
    <format dxfId="2453">
      <pivotArea dataOnly="0" labelOnly="1" fieldPosition="0">
        <references count="4">
          <reference field="2" count="1" selected="0">
            <x v="12"/>
          </reference>
          <reference field="4" count="1" selected="0">
            <x v="4"/>
          </reference>
          <reference field="5" count="1">
            <x v="15"/>
          </reference>
          <reference field="8" count="1" selected="0">
            <x v="11"/>
          </reference>
        </references>
      </pivotArea>
    </format>
    <format dxfId="2454">
      <pivotArea dataOnly="0" labelOnly="1" fieldPosition="0">
        <references count="4">
          <reference field="2" count="1" selected="0">
            <x v="18"/>
          </reference>
          <reference field="4" count="1" selected="0">
            <x v="4"/>
          </reference>
          <reference field="5" count="1">
            <x v="15"/>
          </reference>
          <reference field="8" count="1" selected="0">
            <x v="11"/>
          </reference>
        </references>
      </pivotArea>
    </format>
    <format dxfId="2455">
      <pivotArea dataOnly="0" labelOnly="1" fieldPosition="0">
        <references count="4">
          <reference field="2" count="1" selected="0">
            <x v="20"/>
          </reference>
          <reference field="4" count="1" selected="0">
            <x v="4"/>
          </reference>
          <reference field="5" count="1">
            <x v="12"/>
          </reference>
          <reference field="8" count="1" selected="0">
            <x v="11"/>
          </reference>
        </references>
      </pivotArea>
    </format>
    <format dxfId="2456">
      <pivotArea dataOnly="0" labelOnly="1" fieldPosition="0">
        <references count="4">
          <reference field="2" count="1" selected="0">
            <x v="21"/>
          </reference>
          <reference field="4" count="1" selected="0">
            <x v="4"/>
          </reference>
          <reference field="5" count="2">
            <x v="15"/>
            <x v="16"/>
          </reference>
          <reference field="8" count="1" selected="0">
            <x v="11"/>
          </reference>
        </references>
      </pivotArea>
    </format>
    <format dxfId="2457">
      <pivotArea dataOnly="0" labelOnly="1" fieldPosition="0">
        <references count="4">
          <reference field="2" count="1" selected="0">
            <x v="25"/>
          </reference>
          <reference field="4" count="1" selected="0">
            <x v="4"/>
          </reference>
          <reference field="5" count="1">
            <x v="15"/>
          </reference>
          <reference field="8" count="1" selected="0">
            <x v="11"/>
          </reference>
        </references>
      </pivotArea>
    </format>
    <format dxfId="2458">
      <pivotArea dataOnly="0" labelOnly="1" fieldPosition="0">
        <references count="4">
          <reference field="2" count="1" selected="0">
            <x v="12"/>
          </reference>
          <reference field="4" count="1" selected="0">
            <x v="4"/>
          </reference>
          <reference field="5" count="1">
            <x v="15"/>
          </reference>
          <reference field="8" count="1" selected="0">
            <x v="35"/>
          </reference>
        </references>
      </pivotArea>
    </format>
    <format dxfId="2459">
      <pivotArea dataOnly="0" labelOnly="1" fieldPosition="0">
        <references count="4">
          <reference field="2" count="1" selected="0">
            <x v="0"/>
          </reference>
          <reference field="4" count="1" selected="0">
            <x v="5"/>
          </reference>
          <reference field="5" count="1">
            <x v="21"/>
          </reference>
          <reference field="8" count="1" selected="0">
            <x v="3"/>
          </reference>
        </references>
      </pivotArea>
    </format>
    <format dxfId="2460">
      <pivotArea dataOnly="0" labelOnly="1" fieldPosition="0">
        <references count="4">
          <reference field="2" count="1" selected="0">
            <x v="3"/>
          </reference>
          <reference field="4" count="1" selected="0">
            <x v="5"/>
          </reference>
          <reference field="5" count="2">
            <x v="1"/>
            <x v="21"/>
          </reference>
          <reference field="8" count="1" selected="0">
            <x v="3"/>
          </reference>
        </references>
      </pivotArea>
    </format>
    <format dxfId="2461">
      <pivotArea dataOnly="0" labelOnly="1" fieldPosition="0">
        <references count="4">
          <reference field="2" count="1" selected="0">
            <x v="13"/>
          </reference>
          <reference field="4" count="1" selected="0">
            <x v="5"/>
          </reference>
          <reference field="5" count="1">
            <x v="1"/>
          </reference>
          <reference field="8" count="1" selected="0">
            <x v="3"/>
          </reference>
        </references>
      </pivotArea>
    </format>
    <format dxfId="2462">
      <pivotArea dataOnly="0" labelOnly="1" fieldPosition="0">
        <references count="4">
          <reference field="2" count="1" selected="0">
            <x v="20"/>
          </reference>
          <reference field="4" count="1" selected="0">
            <x v="5"/>
          </reference>
          <reference field="5" count="1">
            <x v="21"/>
          </reference>
          <reference field="8" count="1" selected="0">
            <x v="3"/>
          </reference>
        </references>
      </pivotArea>
    </format>
    <format dxfId="2463">
      <pivotArea dataOnly="0" labelOnly="1" fieldPosition="0">
        <references count="4">
          <reference field="2" count="1" selected="0">
            <x v="0"/>
          </reference>
          <reference field="4" count="1" selected="0">
            <x v="5"/>
          </reference>
          <reference field="5" count="1">
            <x v="21"/>
          </reference>
          <reference field="8" count="1" selected="0">
            <x v="4"/>
          </reference>
        </references>
      </pivotArea>
    </format>
    <format dxfId="2464">
      <pivotArea dataOnly="0" labelOnly="1" fieldPosition="0">
        <references count="4">
          <reference field="2" count="1" selected="0">
            <x v="3"/>
          </reference>
          <reference field="4" count="1" selected="0">
            <x v="5"/>
          </reference>
          <reference field="5" count="2">
            <x v="1"/>
            <x v="21"/>
          </reference>
          <reference field="8" count="1" selected="0">
            <x v="4"/>
          </reference>
        </references>
      </pivotArea>
    </format>
    <format dxfId="2465">
      <pivotArea dataOnly="0" labelOnly="1" fieldPosition="0">
        <references count="4">
          <reference field="2" count="1" selected="0">
            <x v="10"/>
          </reference>
          <reference field="4" count="1" selected="0">
            <x v="5"/>
          </reference>
          <reference field="5" count="1">
            <x v="13"/>
          </reference>
          <reference field="8" count="1" selected="0">
            <x v="4"/>
          </reference>
        </references>
      </pivotArea>
    </format>
    <format dxfId="2466">
      <pivotArea dataOnly="0" labelOnly="1" fieldPosition="0">
        <references count="4">
          <reference field="2" count="1" selected="0">
            <x v="12"/>
          </reference>
          <reference field="4" count="1" selected="0">
            <x v="5"/>
          </reference>
          <reference field="5" count="1">
            <x v="22"/>
          </reference>
          <reference field="8" count="1" selected="0">
            <x v="4"/>
          </reference>
        </references>
      </pivotArea>
    </format>
    <format dxfId="2467">
      <pivotArea dataOnly="0" labelOnly="1" fieldPosition="0">
        <references count="4">
          <reference field="2" count="1" selected="0">
            <x v="13"/>
          </reference>
          <reference field="4" count="1" selected="0">
            <x v="5"/>
          </reference>
          <reference field="5" count="1">
            <x v="1"/>
          </reference>
          <reference field="8" count="1" selected="0">
            <x v="4"/>
          </reference>
        </references>
      </pivotArea>
    </format>
    <format dxfId="2468">
      <pivotArea dataOnly="0" labelOnly="1" fieldPosition="0">
        <references count="4">
          <reference field="2" count="1" selected="0">
            <x v="15"/>
          </reference>
          <reference field="4" count="1" selected="0">
            <x v="5"/>
          </reference>
          <reference field="5" count="1">
            <x v="1"/>
          </reference>
          <reference field="8" count="1" selected="0">
            <x v="4"/>
          </reference>
        </references>
      </pivotArea>
    </format>
    <format dxfId="2469">
      <pivotArea dataOnly="0" labelOnly="1" fieldPosition="0">
        <references count="4">
          <reference field="2" count="1" selected="0">
            <x v="17"/>
          </reference>
          <reference field="4" count="1" selected="0">
            <x v="5"/>
          </reference>
          <reference field="5" count="1">
            <x v="1"/>
          </reference>
          <reference field="8" count="1" selected="0">
            <x v="4"/>
          </reference>
        </references>
      </pivotArea>
    </format>
    <format dxfId="2470">
      <pivotArea dataOnly="0" labelOnly="1" fieldPosition="0">
        <references count="4">
          <reference field="2" count="1" selected="0">
            <x v="20"/>
          </reference>
          <reference field="4" count="1" selected="0">
            <x v="5"/>
          </reference>
          <reference field="5" count="2">
            <x v="21"/>
            <x v="22"/>
          </reference>
          <reference field="8" count="1" selected="0">
            <x v="4"/>
          </reference>
        </references>
      </pivotArea>
    </format>
    <format dxfId="2471">
      <pivotArea dataOnly="0" labelOnly="1" fieldPosition="0">
        <references count="4">
          <reference field="2" count="1" selected="0">
            <x v="21"/>
          </reference>
          <reference field="4" count="1" selected="0">
            <x v="5"/>
          </reference>
          <reference field="5" count="1">
            <x v="1"/>
          </reference>
          <reference field="8" count="1" selected="0">
            <x v="4"/>
          </reference>
        </references>
      </pivotArea>
    </format>
    <format dxfId="2472">
      <pivotArea dataOnly="0" labelOnly="1" fieldPosition="0">
        <references count="4">
          <reference field="2" count="1" selected="0">
            <x v="13"/>
          </reference>
          <reference field="4" count="1" selected="0">
            <x v="5"/>
          </reference>
          <reference field="5" count="1">
            <x v="1"/>
          </reference>
          <reference field="8" count="1" selected="0">
            <x v="5"/>
          </reference>
        </references>
      </pivotArea>
    </format>
    <format dxfId="2473">
      <pivotArea dataOnly="0" labelOnly="1" fieldPosition="0">
        <references count="4">
          <reference field="2" count="1" selected="0">
            <x v="15"/>
          </reference>
          <reference field="4" count="1" selected="0">
            <x v="5"/>
          </reference>
          <reference field="5" count="1">
            <x v="1"/>
          </reference>
          <reference field="8" count="1" selected="0">
            <x v="5"/>
          </reference>
        </references>
      </pivotArea>
    </format>
    <format dxfId="2474">
      <pivotArea dataOnly="0" labelOnly="1" fieldPosition="0">
        <references count="4">
          <reference field="2" count="1" selected="0">
            <x v="20"/>
          </reference>
          <reference field="4" count="1" selected="0">
            <x v="5"/>
          </reference>
          <reference field="5" count="1">
            <x v="21"/>
          </reference>
          <reference field="8" count="1" selected="0">
            <x v="5"/>
          </reference>
        </references>
      </pivotArea>
    </format>
    <format dxfId="2475">
      <pivotArea dataOnly="0" labelOnly="1" fieldPosition="0">
        <references count="4">
          <reference field="2" count="1" selected="0">
            <x v="6"/>
          </reference>
          <reference field="4" count="1" selected="0">
            <x v="5"/>
          </reference>
          <reference field="5" count="2">
            <x v="1"/>
            <x v="22"/>
          </reference>
          <reference field="8" count="1" selected="0">
            <x v="9"/>
          </reference>
        </references>
      </pivotArea>
    </format>
    <format dxfId="2476">
      <pivotArea dataOnly="0" labelOnly="1" fieldPosition="0">
        <references count="4">
          <reference field="2" count="1" selected="0">
            <x v="10"/>
          </reference>
          <reference field="4" count="1" selected="0">
            <x v="5"/>
          </reference>
          <reference field="5" count="1">
            <x v="1"/>
          </reference>
          <reference field="8" count="1" selected="0">
            <x v="9"/>
          </reference>
        </references>
      </pivotArea>
    </format>
    <format dxfId="2477">
      <pivotArea dataOnly="0" labelOnly="1" fieldPosition="0">
        <references count="4">
          <reference field="2" count="1" selected="0">
            <x v="13"/>
          </reference>
          <reference field="4" count="1" selected="0">
            <x v="5"/>
          </reference>
          <reference field="5" count="1">
            <x v="1"/>
          </reference>
          <reference field="8" count="1" selected="0">
            <x v="9"/>
          </reference>
        </references>
      </pivotArea>
    </format>
    <format dxfId="2478">
      <pivotArea dataOnly="0" labelOnly="1" fieldPosition="0">
        <references count="4">
          <reference field="2" count="1" selected="0">
            <x v="17"/>
          </reference>
          <reference field="4" count="1" selected="0">
            <x v="5"/>
          </reference>
          <reference field="5" count="1">
            <x v="1"/>
          </reference>
          <reference field="8" count="1" selected="0">
            <x v="9"/>
          </reference>
        </references>
      </pivotArea>
    </format>
    <format dxfId="2479">
      <pivotArea dataOnly="0" labelOnly="1" fieldPosition="0">
        <references count="4">
          <reference field="2" count="1" selected="0">
            <x v="19"/>
          </reference>
          <reference field="4" count="1" selected="0">
            <x v="5"/>
          </reference>
          <reference field="5" count="1">
            <x v="1"/>
          </reference>
          <reference field="8" count="1" selected="0">
            <x v="9"/>
          </reference>
        </references>
      </pivotArea>
    </format>
    <format dxfId="2480">
      <pivotArea dataOnly="0" labelOnly="1" fieldPosition="0">
        <references count="4">
          <reference field="2" count="1" selected="0">
            <x v="0"/>
          </reference>
          <reference field="4" count="1" selected="0">
            <x v="5"/>
          </reference>
          <reference field="5" count="1">
            <x v="21"/>
          </reference>
          <reference field="8" count="1" selected="0">
            <x v="10"/>
          </reference>
        </references>
      </pivotArea>
    </format>
    <format dxfId="2481">
      <pivotArea dataOnly="0" labelOnly="1" fieldPosition="0">
        <references count="4">
          <reference field="2" count="1" selected="0">
            <x v="12"/>
          </reference>
          <reference field="4" count="1" selected="0">
            <x v="5"/>
          </reference>
          <reference field="5" count="1">
            <x v="22"/>
          </reference>
          <reference field="8" count="1" selected="0">
            <x v="10"/>
          </reference>
        </references>
      </pivotArea>
    </format>
    <format dxfId="2482">
      <pivotArea dataOnly="0" labelOnly="1" fieldPosition="0">
        <references count="4">
          <reference field="2" count="1" selected="0">
            <x v="15"/>
          </reference>
          <reference field="4" count="1" selected="0">
            <x v="5"/>
          </reference>
          <reference field="5" count="1">
            <x v="1"/>
          </reference>
          <reference field="8" count="1" selected="0">
            <x v="10"/>
          </reference>
        </references>
      </pivotArea>
    </format>
    <format dxfId="2483">
      <pivotArea dataOnly="0" labelOnly="1" fieldPosition="0">
        <references count="4">
          <reference field="2" count="1" selected="0">
            <x v="19"/>
          </reference>
          <reference field="4" count="1" selected="0">
            <x v="5"/>
          </reference>
          <reference field="5" count="2">
            <x v="21"/>
            <x v="22"/>
          </reference>
          <reference field="8" count="1" selected="0">
            <x v="10"/>
          </reference>
        </references>
      </pivotArea>
    </format>
    <format dxfId="2484">
      <pivotArea dataOnly="0" labelOnly="1" fieldPosition="0">
        <references count="4">
          <reference field="2" count="1" selected="0">
            <x v="20"/>
          </reference>
          <reference field="4" count="1" selected="0">
            <x v="5"/>
          </reference>
          <reference field="5" count="1">
            <x v="21"/>
          </reference>
          <reference field="8" count="1" selected="0">
            <x v="10"/>
          </reference>
        </references>
      </pivotArea>
    </format>
    <format dxfId="2485">
      <pivotArea dataOnly="0" labelOnly="1" fieldPosition="0">
        <references count="4">
          <reference field="2" count="1" selected="0">
            <x v="21"/>
          </reference>
          <reference field="4" count="1" selected="0">
            <x v="5"/>
          </reference>
          <reference field="5" count="1">
            <x v="1"/>
          </reference>
          <reference field="8" count="1" selected="0">
            <x v="10"/>
          </reference>
        </references>
      </pivotArea>
    </format>
    <format dxfId="2486">
      <pivotArea dataOnly="0" labelOnly="1" fieldPosition="0">
        <references count="4">
          <reference field="2" count="1" selected="0">
            <x v="0"/>
          </reference>
          <reference field="4" count="1" selected="0">
            <x v="5"/>
          </reference>
          <reference field="5" count="1">
            <x v="21"/>
          </reference>
          <reference field="8" count="1" selected="0">
            <x v="11"/>
          </reference>
        </references>
      </pivotArea>
    </format>
    <format dxfId="2487">
      <pivotArea dataOnly="0" labelOnly="1" fieldPosition="0">
        <references count="4">
          <reference field="2" count="1" selected="0">
            <x v="10"/>
          </reference>
          <reference field="4" count="1" selected="0">
            <x v="5"/>
          </reference>
          <reference field="5" count="1">
            <x v="13"/>
          </reference>
          <reference field="8" count="1" selected="0">
            <x v="11"/>
          </reference>
        </references>
      </pivotArea>
    </format>
    <format dxfId="2488">
      <pivotArea dataOnly="0" labelOnly="1" fieldPosition="0">
        <references count="4">
          <reference field="2" count="1" selected="0">
            <x v="13"/>
          </reference>
          <reference field="4" count="1" selected="0">
            <x v="5"/>
          </reference>
          <reference field="5" count="1">
            <x v="1"/>
          </reference>
          <reference field="8" count="1" selected="0">
            <x v="11"/>
          </reference>
        </references>
      </pivotArea>
    </format>
    <format dxfId="2489">
      <pivotArea dataOnly="0" labelOnly="1" fieldPosition="0">
        <references count="4">
          <reference field="2" count="1" selected="0">
            <x v="15"/>
          </reference>
          <reference field="4" count="1" selected="0">
            <x v="5"/>
          </reference>
          <reference field="5" count="1">
            <x v="1"/>
          </reference>
          <reference field="8" count="1" selected="0">
            <x v="11"/>
          </reference>
        </references>
      </pivotArea>
    </format>
    <format dxfId="2490">
      <pivotArea dataOnly="0" labelOnly="1" fieldPosition="0">
        <references count="4">
          <reference field="2" count="1" selected="0">
            <x v="20"/>
          </reference>
          <reference field="4" count="1" selected="0">
            <x v="5"/>
          </reference>
          <reference field="5" count="1">
            <x v="21"/>
          </reference>
          <reference field="8" count="1" selected="0">
            <x v="11"/>
          </reference>
        </references>
      </pivotArea>
    </format>
    <format dxfId="2491">
      <pivotArea dataOnly="0" labelOnly="1" fieldPosition="0">
        <references count="4">
          <reference field="2" count="1" selected="0">
            <x v="21"/>
          </reference>
          <reference field="4" count="1" selected="0">
            <x v="5"/>
          </reference>
          <reference field="5" count="1">
            <x v="1"/>
          </reference>
          <reference field="8" count="1" selected="0">
            <x v="11"/>
          </reference>
        </references>
      </pivotArea>
    </format>
    <format dxfId="2492">
      <pivotArea dataOnly="0" labelOnly="1" fieldPosition="0">
        <references count="4">
          <reference field="2" count="1" selected="0">
            <x v="22"/>
          </reference>
          <reference field="4" count="1" selected="0">
            <x v="5"/>
          </reference>
          <reference field="5" count="1">
            <x v="21"/>
          </reference>
          <reference field="8" count="1" selected="0">
            <x v="11"/>
          </reference>
        </references>
      </pivotArea>
    </format>
    <format dxfId="2493">
      <pivotArea dataOnly="0" labelOnly="1" fieldPosition="0">
        <references count="4">
          <reference field="2" count="1" selected="0">
            <x v="24"/>
          </reference>
          <reference field="4" count="1" selected="0">
            <x v="5"/>
          </reference>
          <reference field="5" count="1">
            <x v="23"/>
          </reference>
          <reference field="8" count="1" selected="0">
            <x v="11"/>
          </reference>
        </references>
      </pivotArea>
    </format>
    <format dxfId="2494">
      <pivotArea dataOnly="0" labelOnly="1" fieldPosition="0">
        <references count="4">
          <reference field="2" count="1" selected="0">
            <x v="0"/>
          </reference>
          <reference field="4" count="1" selected="0">
            <x v="5"/>
          </reference>
          <reference field="5" count="1">
            <x v="21"/>
          </reference>
          <reference field="8" count="1" selected="0">
            <x v="28"/>
          </reference>
        </references>
      </pivotArea>
    </format>
    <format dxfId="2495">
      <pivotArea dataOnly="0" labelOnly="1" fieldPosition="0">
        <references count="4">
          <reference field="2" count="1" selected="0">
            <x v="20"/>
          </reference>
          <reference field="4" count="1" selected="0">
            <x v="5"/>
          </reference>
          <reference field="5" count="1">
            <x v="21"/>
          </reference>
          <reference field="8" count="1" selected="0">
            <x v="28"/>
          </reference>
        </references>
      </pivotArea>
    </format>
    <format dxfId="2496">
      <pivotArea dataOnly="0" labelOnly="1" fieldPosition="0">
        <references count="4">
          <reference field="2" count="1" selected="0">
            <x v="0"/>
          </reference>
          <reference field="4" count="1" selected="0">
            <x v="5"/>
          </reference>
          <reference field="5" count="1">
            <x v="21"/>
          </reference>
          <reference field="8" count="1" selected="0">
            <x v="29"/>
          </reference>
        </references>
      </pivotArea>
    </format>
    <format dxfId="2497">
      <pivotArea dataOnly="0" labelOnly="1" fieldPosition="0">
        <references count="4">
          <reference field="2" count="1" selected="0">
            <x v="0"/>
          </reference>
          <reference field="4" count="1" selected="0">
            <x v="6"/>
          </reference>
          <reference field="5" count="1">
            <x v="16"/>
          </reference>
          <reference field="8" count="1" selected="0">
            <x v="3"/>
          </reference>
        </references>
      </pivotArea>
    </format>
    <format dxfId="2498">
      <pivotArea dataOnly="0" labelOnly="1" fieldPosition="0">
        <references count="4">
          <reference field="2" count="1" selected="0">
            <x v="3"/>
          </reference>
          <reference field="4" count="1" selected="0">
            <x v="6"/>
          </reference>
          <reference field="5" count="1">
            <x v="12"/>
          </reference>
          <reference field="8" count="1" selected="0">
            <x v="3"/>
          </reference>
        </references>
      </pivotArea>
    </format>
    <format dxfId="2499">
      <pivotArea dataOnly="0" labelOnly="1" fieldPosition="0">
        <references count="4">
          <reference field="2" count="1" selected="0">
            <x v="25"/>
          </reference>
          <reference field="4" count="1" selected="0">
            <x v="6"/>
          </reference>
          <reference field="5" count="1">
            <x v="16"/>
          </reference>
          <reference field="8" count="1" selected="0">
            <x v="3"/>
          </reference>
        </references>
      </pivotArea>
    </format>
    <format dxfId="2500">
      <pivotArea dataOnly="0" labelOnly="1" fieldPosition="0">
        <references count="4">
          <reference field="2" count="1" selected="0">
            <x v="0"/>
          </reference>
          <reference field="4" count="1" selected="0">
            <x v="6"/>
          </reference>
          <reference field="5" count="1">
            <x v="16"/>
          </reference>
          <reference field="8" count="1" selected="0">
            <x v="4"/>
          </reference>
        </references>
      </pivotArea>
    </format>
    <format dxfId="2501">
      <pivotArea dataOnly="0" labelOnly="1" fieldPosition="0">
        <references count="4">
          <reference field="2" count="1" selected="0">
            <x v="3"/>
          </reference>
          <reference field="4" count="1" selected="0">
            <x v="6"/>
          </reference>
          <reference field="5" count="1">
            <x v="12"/>
          </reference>
          <reference field="8" count="1" selected="0">
            <x v="4"/>
          </reference>
        </references>
      </pivotArea>
    </format>
    <format dxfId="2502">
      <pivotArea dataOnly="0" labelOnly="1" fieldPosition="0">
        <references count="4">
          <reference field="2" count="1" selected="0">
            <x v="7"/>
          </reference>
          <reference field="4" count="1" selected="0">
            <x v="6"/>
          </reference>
          <reference field="5" count="1">
            <x v="16"/>
          </reference>
          <reference field="8" count="1" selected="0">
            <x v="4"/>
          </reference>
        </references>
      </pivotArea>
    </format>
    <format dxfId="2503">
      <pivotArea dataOnly="0" labelOnly="1" fieldPosition="0">
        <references count="4">
          <reference field="2" count="1" selected="0">
            <x v="12"/>
          </reference>
          <reference field="4" count="1" selected="0">
            <x v="6"/>
          </reference>
          <reference field="5" count="1">
            <x v="9"/>
          </reference>
          <reference field="8" count="1" selected="0">
            <x v="4"/>
          </reference>
        </references>
      </pivotArea>
    </format>
    <format dxfId="2504">
      <pivotArea dataOnly="0" labelOnly="1" fieldPosition="0">
        <references count="4">
          <reference field="2" count="1" selected="0">
            <x v="20"/>
          </reference>
          <reference field="4" count="1" selected="0">
            <x v="6"/>
          </reference>
          <reference field="5" count="1">
            <x v="12"/>
          </reference>
          <reference field="8" count="1" selected="0">
            <x v="4"/>
          </reference>
        </references>
      </pivotArea>
    </format>
    <format dxfId="2505">
      <pivotArea dataOnly="0" labelOnly="1" fieldPosition="0">
        <references count="4">
          <reference field="2" count="1" selected="0">
            <x v="21"/>
          </reference>
          <reference field="4" count="1" selected="0">
            <x v="6"/>
          </reference>
          <reference field="5" count="3">
            <x v="14"/>
            <x v="15"/>
            <x v="16"/>
          </reference>
          <reference field="8" count="1" selected="0">
            <x v="4"/>
          </reference>
        </references>
      </pivotArea>
    </format>
    <format dxfId="2506">
      <pivotArea dataOnly="0" labelOnly="1" fieldPosition="0">
        <references count="4">
          <reference field="2" count="1" selected="0">
            <x v="25"/>
          </reference>
          <reference field="4" count="1" selected="0">
            <x v="6"/>
          </reference>
          <reference field="5" count="1">
            <x v="16"/>
          </reference>
          <reference field="8" count="1" selected="0">
            <x v="4"/>
          </reference>
        </references>
      </pivotArea>
    </format>
    <format dxfId="2507">
      <pivotArea dataOnly="0" labelOnly="1" fieldPosition="0">
        <references count="4">
          <reference field="2" count="1" selected="0">
            <x v="0"/>
          </reference>
          <reference field="4" count="1" selected="0">
            <x v="6"/>
          </reference>
          <reference field="5" count="1">
            <x v="16"/>
          </reference>
          <reference field="8" count="1" selected="0">
            <x v="6"/>
          </reference>
        </references>
      </pivotArea>
    </format>
    <format dxfId="2508">
      <pivotArea dataOnly="0" labelOnly="1" fieldPosition="0">
        <references count="4">
          <reference field="2" count="1" selected="0">
            <x v="13"/>
          </reference>
          <reference field="4" count="1" selected="0">
            <x v="6"/>
          </reference>
          <reference field="5" count="1">
            <x v="16"/>
          </reference>
          <reference field="8" count="1" selected="0">
            <x v="6"/>
          </reference>
        </references>
      </pivotArea>
    </format>
    <format dxfId="2509">
      <pivotArea dataOnly="0" labelOnly="1" fieldPosition="0">
        <references count="4">
          <reference field="2" count="1" selected="0">
            <x v="4"/>
          </reference>
          <reference field="4" count="1" selected="0">
            <x v="6"/>
          </reference>
          <reference field="5" count="1">
            <x v="15"/>
          </reference>
          <reference field="8" count="1" selected="0">
            <x v="9"/>
          </reference>
        </references>
      </pivotArea>
    </format>
    <format dxfId="2510">
      <pivotArea dataOnly="0" labelOnly="1" fieldPosition="0">
        <references count="4">
          <reference field="2" count="1" selected="0">
            <x v="16"/>
          </reference>
          <reference field="4" count="1" selected="0">
            <x v="6"/>
          </reference>
          <reference field="5" count="1">
            <x v="15"/>
          </reference>
          <reference field="8" count="1" selected="0">
            <x v="9"/>
          </reference>
        </references>
      </pivotArea>
    </format>
    <format dxfId="2511">
      <pivotArea dataOnly="0" labelOnly="1" fieldPosition="0">
        <references count="4">
          <reference field="2" count="1" selected="0">
            <x v="19"/>
          </reference>
          <reference field="4" count="1" selected="0">
            <x v="6"/>
          </reference>
          <reference field="5" count="1">
            <x v="15"/>
          </reference>
          <reference field="8" count="1" selected="0">
            <x v="10"/>
          </reference>
        </references>
      </pivotArea>
    </format>
    <format dxfId="2512">
      <pivotArea dataOnly="0" labelOnly="1" fieldPosition="0">
        <references count="4">
          <reference field="2" count="1" selected="0">
            <x v="21"/>
          </reference>
          <reference field="4" count="1" selected="0">
            <x v="6"/>
          </reference>
          <reference field="5" count="1">
            <x v="15"/>
          </reference>
          <reference field="8" count="1" selected="0">
            <x v="10"/>
          </reference>
        </references>
      </pivotArea>
    </format>
    <format dxfId="2513">
      <pivotArea dataOnly="0" labelOnly="1" fieldPosition="0">
        <references count="4">
          <reference field="2" count="1" selected="0">
            <x v="0"/>
          </reference>
          <reference field="4" count="1" selected="0">
            <x v="6"/>
          </reference>
          <reference field="5" count="1">
            <x v="16"/>
          </reference>
          <reference field="8" count="1" selected="0">
            <x v="11"/>
          </reference>
        </references>
      </pivotArea>
    </format>
    <format dxfId="2514">
      <pivotArea dataOnly="0" labelOnly="1" fieldPosition="0">
        <references count="4">
          <reference field="2" count="1" selected="0">
            <x v="2"/>
          </reference>
          <reference field="4" count="1" selected="0">
            <x v="6"/>
          </reference>
          <reference field="5" count="1">
            <x v="15"/>
          </reference>
          <reference field="8" count="1" selected="0">
            <x v="11"/>
          </reference>
        </references>
      </pivotArea>
    </format>
    <format dxfId="2515">
      <pivotArea dataOnly="0" labelOnly="1" fieldPosition="0">
        <references count="4">
          <reference field="2" count="1" selected="0">
            <x v="4"/>
          </reference>
          <reference field="4" count="1" selected="0">
            <x v="6"/>
          </reference>
          <reference field="5" count="1">
            <x v="15"/>
          </reference>
          <reference field="8" count="1" selected="0">
            <x v="11"/>
          </reference>
        </references>
      </pivotArea>
    </format>
    <format dxfId="2516">
      <pivotArea dataOnly="0" labelOnly="1" fieldPosition="0">
        <references count="4">
          <reference field="2" count="1" selected="0">
            <x v="5"/>
          </reference>
          <reference field="4" count="1" selected="0">
            <x v="6"/>
          </reference>
          <reference field="5" count="1">
            <x v="3"/>
          </reference>
          <reference field="8" count="1" selected="0">
            <x v="11"/>
          </reference>
        </references>
      </pivotArea>
    </format>
    <format dxfId="2517">
      <pivotArea dataOnly="0" labelOnly="1" fieldPosition="0">
        <references count="4">
          <reference field="2" count="1" selected="0">
            <x v="7"/>
          </reference>
          <reference field="4" count="1" selected="0">
            <x v="6"/>
          </reference>
          <reference field="5" count="1">
            <x v="14"/>
          </reference>
          <reference field="8" count="1" selected="0">
            <x v="11"/>
          </reference>
        </references>
      </pivotArea>
    </format>
    <format dxfId="2518">
      <pivotArea dataOnly="0" labelOnly="1" fieldPosition="0">
        <references count="4">
          <reference field="2" count="1" selected="0">
            <x v="9"/>
          </reference>
          <reference field="4" count="1" selected="0">
            <x v="6"/>
          </reference>
          <reference field="5" count="1">
            <x v="20"/>
          </reference>
          <reference field="8" count="1" selected="0">
            <x v="11"/>
          </reference>
        </references>
      </pivotArea>
    </format>
    <format dxfId="2519">
      <pivotArea dataOnly="0" labelOnly="1" fieldPosition="0">
        <references count="4">
          <reference field="2" count="1" selected="0">
            <x v="10"/>
          </reference>
          <reference field="4" count="1" selected="0">
            <x v="6"/>
          </reference>
          <reference field="5" count="1">
            <x v="15"/>
          </reference>
          <reference field="8" count="1" selected="0">
            <x v="11"/>
          </reference>
        </references>
      </pivotArea>
    </format>
    <format dxfId="2520">
      <pivotArea dataOnly="0" labelOnly="1" fieldPosition="0">
        <references count="4">
          <reference field="2" count="1" selected="0">
            <x v="12"/>
          </reference>
          <reference field="4" count="1" selected="0">
            <x v="6"/>
          </reference>
          <reference field="5" count="1">
            <x v="15"/>
          </reference>
          <reference field="8" count="1" selected="0">
            <x v="11"/>
          </reference>
        </references>
      </pivotArea>
    </format>
    <format dxfId="2521">
      <pivotArea dataOnly="0" labelOnly="1" fieldPosition="0">
        <references count="4">
          <reference field="2" count="1" selected="0">
            <x v="18"/>
          </reference>
          <reference field="4" count="1" selected="0">
            <x v="6"/>
          </reference>
          <reference field="5" count="1">
            <x v="15"/>
          </reference>
          <reference field="8" count="1" selected="0">
            <x v="11"/>
          </reference>
        </references>
      </pivotArea>
    </format>
    <format dxfId="2522">
      <pivotArea dataOnly="0" labelOnly="1" fieldPosition="0">
        <references count="4">
          <reference field="2" count="1" selected="0">
            <x v="20"/>
          </reference>
          <reference field="4" count="1" selected="0">
            <x v="6"/>
          </reference>
          <reference field="5" count="1">
            <x v="12"/>
          </reference>
          <reference field="8" count="1" selected="0">
            <x v="11"/>
          </reference>
        </references>
      </pivotArea>
    </format>
    <format dxfId="2523">
      <pivotArea dataOnly="0" labelOnly="1" fieldPosition="0">
        <references count="4">
          <reference field="2" count="1" selected="0">
            <x v="21"/>
          </reference>
          <reference field="4" count="1" selected="0">
            <x v="6"/>
          </reference>
          <reference field="5" count="2">
            <x v="15"/>
            <x v="16"/>
          </reference>
          <reference field="8" count="1" selected="0">
            <x v="11"/>
          </reference>
        </references>
      </pivotArea>
    </format>
    <format dxfId="2524">
      <pivotArea dataOnly="0" labelOnly="1" fieldPosition="0">
        <references count="4">
          <reference field="2" count="1" selected="0">
            <x v="25"/>
          </reference>
          <reference field="4" count="1" selected="0">
            <x v="6"/>
          </reference>
          <reference field="5" count="1">
            <x v="15"/>
          </reference>
          <reference field="8" count="1" selected="0">
            <x v="11"/>
          </reference>
        </references>
      </pivotArea>
    </format>
    <format dxfId="2525">
      <pivotArea dataOnly="0" labelOnly="1" fieldPosition="0">
        <references count="4">
          <reference field="2" count="1" selected="0">
            <x v="12"/>
          </reference>
          <reference field="4" count="1" selected="0">
            <x v="6"/>
          </reference>
          <reference field="5" count="1">
            <x v="15"/>
          </reference>
          <reference field="8" count="1" selected="0">
            <x v="35"/>
          </reference>
        </references>
      </pivotArea>
    </format>
    <format dxfId="2526">
      <pivotArea dataOnly="0" labelOnly="1" fieldPosition="0">
        <references count="5">
          <reference field="2" count="1" selected="0">
            <x v="0"/>
          </reference>
          <reference field="4" count="1" selected="0">
            <x v="0"/>
          </reference>
          <reference field="5" count="1" selected="0">
            <x v="16"/>
          </reference>
          <reference field="6" count="1">
            <x v="101"/>
          </reference>
          <reference field="8" count="1" selected="0">
            <x v="3"/>
          </reference>
        </references>
      </pivotArea>
    </format>
    <format dxfId="2527">
      <pivotArea dataOnly="0" labelOnly="1" fieldPosition="0">
        <references count="5">
          <reference field="2" count="1" selected="0">
            <x v="3"/>
          </reference>
          <reference field="4" count="1" selected="0">
            <x v="0"/>
          </reference>
          <reference field="5" count="1" selected="0">
            <x v="12"/>
          </reference>
          <reference field="6" count="2">
            <x v="21"/>
            <x v="119"/>
          </reference>
          <reference field="8" count="1" selected="0">
            <x v="3"/>
          </reference>
        </references>
      </pivotArea>
    </format>
    <format dxfId="2528">
      <pivotArea dataOnly="0" labelOnly="1" fieldPosition="0">
        <references count="5">
          <reference field="2" count="1" selected="0">
            <x v="25"/>
          </reference>
          <reference field="4" count="1" selected="0">
            <x v="0"/>
          </reference>
          <reference field="5" count="1" selected="0">
            <x v="16"/>
          </reference>
          <reference field="6" count="1">
            <x v="149"/>
          </reference>
          <reference field="8" count="1" selected="0">
            <x v="3"/>
          </reference>
        </references>
      </pivotArea>
    </format>
    <format dxfId="2529">
      <pivotArea dataOnly="0" labelOnly="1" fieldPosition="0">
        <references count="5">
          <reference field="2" count="1" selected="0">
            <x v="0"/>
          </reference>
          <reference field="4" count="1" selected="0">
            <x v="0"/>
          </reference>
          <reference field="5" count="1" selected="0">
            <x v="16"/>
          </reference>
          <reference field="6" count="1">
            <x v="101"/>
          </reference>
          <reference field="8" count="1" selected="0">
            <x v="4"/>
          </reference>
        </references>
      </pivotArea>
    </format>
    <format dxfId="2530">
      <pivotArea dataOnly="0" labelOnly="1" fieldPosition="0">
        <references count="5">
          <reference field="2" count="1" selected="0">
            <x v="3"/>
          </reference>
          <reference field="4" count="1" selected="0">
            <x v="0"/>
          </reference>
          <reference field="5" count="1" selected="0">
            <x v="12"/>
          </reference>
          <reference field="6" count="2">
            <x v="21"/>
            <x v="119"/>
          </reference>
          <reference field="8" count="1" selected="0">
            <x v="4"/>
          </reference>
        </references>
      </pivotArea>
    </format>
    <format dxfId="2531">
      <pivotArea dataOnly="0" labelOnly="1" fieldPosition="0">
        <references count="5">
          <reference field="2" count="1" selected="0">
            <x v="7"/>
          </reference>
          <reference field="4" count="1" selected="0">
            <x v="0"/>
          </reference>
          <reference field="5" count="1" selected="0">
            <x v="16"/>
          </reference>
          <reference field="6" count="1">
            <x v="26"/>
          </reference>
          <reference field="8" count="1" selected="0">
            <x v="4"/>
          </reference>
        </references>
      </pivotArea>
    </format>
    <format dxfId="2532">
      <pivotArea dataOnly="0" labelOnly="1" fieldPosition="0">
        <references count="5">
          <reference field="2" count="1" selected="0">
            <x v="12"/>
          </reference>
          <reference field="4" count="1" selected="0">
            <x v="0"/>
          </reference>
          <reference field="5" count="1" selected="0">
            <x v="9"/>
          </reference>
          <reference field="6" count="1">
            <x v="84"/>
          </reference>
          <reference field="8" count="1" selected="0">
            <x v="4"/>
          </reference>
        </references>
      </pivotArea>
    </format>
    <format dxfId="2533">
      <pivotArea dataOnly="0" labelOnly="1" fieldPosition="0">
        <references count="5">
          <reference field="2" count="1" selected="0">
            <x v="20"/>
          </reference>
          <reference field="4" count="1" selected="0">
            <x v="0"/>
          </reference>
          <reference field="5" count="1" selected="0">
            <x v="12"/>
          </reference>
          <reference field="6" count="1">
            <x v="124"/>
          </reference>
          <reference field="8" count="1" selected="0">
            <x v="4"/>
          </reference>
        </references>
      </pivotArea>
    </format>
    <format dxfId="2534">
      <pivotArea dataOnly="0" labelOnly="1" fieldPosition="0">
        <references count="5">
          <reference field="2" count="1" selected="0">
            <x v="21"/>
          </reference>
          <reference field="4" count="1" selected="0">
            <x v="0"/>
          </reference>
          <reference field="5" count="1" selected="0">
            <x v="14"/>
          </reference>
          <reference field="6" count="1">
            <x v="92"/>
          </reference>
          <reference field="8" count="1" selected="0">
            <x v="4"/>
          </reference>
        </references>
      </pivotArea>
    </format>
    <format dxfId="2535">
      <pivotArea dataOnly="0" labelOnly="1" fieldPosition="0">
        <references count="5">
          <reference field="2" count="1" selected="0">
            <x v="21"/>
          </reference>
          <reference field="4" count="1" selected="0">
            <x v="0"/>
          </reference>
          <reference field="5" count="1" selected="0">
            <x v="15"/>
          </reference>
          <reference field="6" count="1">
            <x v="106"/>
          </reference>
          <reference field="8" count="1" selected="0">
            <x v="4"/>
          </reference>
        </references>
      </pivotArea>
    </format>
    <format dxfId="2536">
      <pivotArea dataOnly="0" labelOnly="1" fieldPosition="0">
        <references count="5">
          <reference field="2" count="1" selected="0">
            <x v="21"/>
          </reference>
          <reference field="4" count="1" selected="0">
            <x v="0"/>
          </reference>
          <reference field="5" count="1" selected="0">
            <x v="16"/>
          </reference>
          <reference field="6" count="1">
            <x v="90"/>
          </reference>
          <reference field="8" count="1" selected="0">
            <x v="4"/>
          </reference>
        </references>
      </pivotArea>
    </format>
    <format dxfId="2537">
      <pivotArea dataOnly="0" labelOnly="1" fieldPosition="0">
        <references count="5">
          <reference field="2" count="1" selected="0">
            <x v="25"/>
          </reference>
          <reference field="4" count="1" selected="0">
            <x v="0"/>
          </reference>
          <reference field="5" count="1" selected="0">
            <x v="16"/>
          </reference>
          <reference field="6" count="1">
            <x v="149"/>
          </reference>
          <reference field="8" count="1" selected="0">
            <x v="4"/>
          </reference>
        </references>
      </pivotArea>
    </format>
    <format dxfId="2538">
      <pivotArea dataOnly="0" labelOnly="1" fieldPosition="0">
        <references count="5">
          <reference field="2" count="1" selected="0">
            <x v="0"/>
          </reference>
          <reference field="4" count="1" selected="0">
            <x v="0"/>
          </reference>
          <reference field="5" count="1" selected="0">
            <x v="16"/>
          </reference>
          <reference field="6" count="1">
            <x v="101"/>
          </reference>
          <reference field="8" count="1" selected="0">
            <x v="6"/>
          </reference>
        </references>
      </pivotArea>
    </format>
    <format dxfId="2539">
      <pivotArea dataOnly="0" labelOnly="1" fieldPosition="0">
        <references count="5">
          <reference field="2" count="1" selected="0">
            <x v="13"/>
          </reference>
          <reference field="4" count="1" selected="0">
            <x v="0"/>
          </reference>
          <reference field="5" count="1" selected="0">
            <x v="16"/>
          </reference>
          <reference field="6" count="1">
            <x v="23"/>
          </reference>
          <reference field="8" count="1" selected="0">
            <x v="6"/>
          </reference>
        </references>
      </pivotArea>
    </format>
    <format dxfId="2540">
      <pivotArea dataOnly="0" labelOnly="1" fieldPosition="0">
        <references count="5">
          <reference field="2" count="1" selected="0">
            <x v="4"/>
          </reference>
          <reference field="4" count="1" selected="0">
            <x v="0"/>
          </reference>
          <reference field="5" count="1" selected="0">
            <x v="15"/>
          </reference>
          <reference field="6" count="1">
            <x v="12"/>
          </reference>
          <reference field="8" count="1" selected="0">
            <x v="9"/>
          </reference>
        </references>
      </pivotArea>
    </format>
    <format dxfId="2541">
      <pivotArea dataOnly="0" labelOnly="1" fieldPosition="0">
        <references count="5">
          <reference field="2" count="1" selected="0">
            <x v="16"/>
          </reference>
          <reference field="4" count="1" selected="0">
            <x v="0"/>
          </reference>
          <reference field="5" count="1" selected="0">
            <x v="15"/>
          </reference>
          <reference field="6" count="1">
            <x v="32"/>
          </reference>
          <reference field="8" count="1" selected="0">
            <x v="9"/>
          </reference>
        </references>
      </pivotArea>
    </format>
    <format dxfId="2542">
      <pivotArea dataOnly="0" labelOnly="1" fieldPosition="0">
        <references count="5">
          <reference field="2" count="1" selected="0">
            <x v="19"/>
          </reference>
          <reference field="4" count="1" selected="0">
            <x v="0"/>
          </reference>
          <reference field="5" count="1" selected="0">
            <x v="15"/>
          </reference>
          <reference field="6" count="2">
            <x v="32"/>
            <x v="114"/>
          </reference>
          <reference field="8" count="1" selected="0">
            <x v="10"/>
          </reference>
        </references>
      </pivotArea>
    </format>
    <format dxfId="2543">
      <pivotArea dataOnly="0" labelOnly="1" fieldPosition="0">
        <references count="5">
          <reference field="2" count="1" selected="0">
            <x v="21"/>
          </reference>
          <reference field="4" count="1" selected="0">
            <x v="0"/>
          </reference>
          <reference field="5" count="1" selected="0">
            <x v="15"/>
          </reference>
          <reference field="6" count="1">
            <x v="109"/>
          </reference>
          <reference field="8" count="1" selected="0">
            <x v="10"/>
          </reference>
        </references>
      </pivotArea>
    </format>
    <format dxfId="2544">
      <pivotArea dataOnly="0" labelOnly="1" fieldPosition="0">
        <references count="5">
          <reference field="2" count="1" selected="0">
            <x v="0"/>
          </reference>
          <reference field="4" count="1" selected="0">
            <x v="0"/>
          </reference>
          <reference field="5" count="1" selected="0">
            <x v="16"/>
          </reference>
          <reference field="6" count="1">
            <x v="101"/>
          </reference>
          <reference field="8" count="1" selected="0">
            <x v="11"/>
          </reference>
        </references>
      </pivotArea>
    </format>
    <format dxfId="2545">
      <pivotArea dataOnly="0" labelOnly="1" fieldPosition="0">
        <references count="5">
          <reference field="2" count="1" selected="0">
            <x v="2"/>
          </reference>
          <reference field="4" count="1" selected="0">
            <x v="0"/>
          </reference>
          <reference field="5" count="1" selected="0">
            <x v="15"/>
          </reference>
          <reference field="6" count="1">
            <x v="7"/>
          </reference>
          <reference field="8" count="1" selected="0">
            <x v="11"/>
          </reference>
        </references>
      </pivotArea>
    </format>
    <format dxfId="2546">
      <pivotArea dataOnly="0" labelOnly="1" fieldPosition="0">
        <references count="5">
          <reference field="2" count="1" selected="0">
            <x v="4"/>
          </reference>
          <reference field="4" count="1" selected="0">
            <x v="0"/>
          </reference>
          <reference field="5" count="1" selected="0">
            <x v="15"/>
          </reference>
          <reference field="6" count="1">
            <x v="41"/>
          </reference>
          <reference field="8" count="1" selected="0">
            <x v="11"/>
          </reference>
        </references>
      </pivotArea>
    </format>
    <format dxfId="2547">
      <pivotArea dataOnly="0" labelOnly="1" fieldPosition="0">
        <references count="5">
          <reference field="2" count="1" selected="0">
            <x v="5"/>
          </reference>
          <reference field="4" count="1" selected="0">
            <x v="0"/>
          </reference>
          <reference field="5" count="1" selected="0">
            <x v="3"/>
          </reference>
          <reference field="6" count="1">
            <x v="27"/>
          </reference>
          <reference field="8" count="1" selected="0">
            <x v="11"/>
          </reference>
        </references>
      </pivotArea>
    </format>
    <format dxfId="2548">
      <pivotArea dataOnly="0" labelOnly="1" fieldPosition="0">
        <references count="5">
          <reference field="2" count="1" selected="0">
            <x v="7"/>
          </reference>
          <reference field="4" count="1" selected="0">
            <x v="0"/>
          </reference>
          <reference field="5" count="1" selected="0">
            <x v="14"/>
          </reference>
          <reference field="6" count="1">
            <x v="26"/>
          </reference>
          <reference field="8" count="1" selected="0">
            <x v="11"/>
          </reference>
        </references>
      </pivotArea>
    </format>
    <format dxfId="2549">
      <pivotArea dataOnly="0" labelOnly="1" fieldPosition="0">
        <references count="5">
          <reference field="2" count="1" selected="0">
            <x v="9"/>
          </reference>
          <reference field="4" count="1" selected="0">
            <x v="0"/>
          </reference>
          <reference field="5" count="1" selected="0">
            <x v="20"/>
          </reference>
          <reference field="6" count="1">
            <x v="44"/>
          </reference>
          <reference field="8" count="1" selected="0">
            <x v="11"/>
          </reference>
        </references>
      </pivotArea>
    </format>
    <format dxfId="2550">
      <pivotArea dataOnly="0" labelOnly="1" fieldPosition="0">
        <references count="5">
          <reference field="2" count="1" selected="0">
            <x v="10"/>
          </reference>
          <reference field="4" count="1" selected="0">
            <x v="0"/>
          </reference>
          <reference field="5" count="1" selected="0">
            <x v="15"/>
          </reference>
          <reference field="6" count="1">
            <x v="46"/>
          </reference>
          <reference field="8" count="1" selected="0">
            <x v="11"/>
          </reference>
        </references>
      </pivotArea>
    </format>
    <format dxfId="2551">
      <pivotArea dataOnly="0" labelOnly="1" fieldPosition="0">
        <references count="5">
          <reference field="2" count="1" selected="0">
            <x v="12"/>
          </reference>
          <reference field="4" count="1" selected="0">
            <x v="0"/>
          </reference>
          <reference field="5" count="1" selected="0">
            <x v="15"/>
          </reference>
          <reference field="6" count="1">
            <x v="45"/>
          </reference>
          <reference field="8" count="1" selected="0">
            <x v="11"/>
          </reference>
        </references>
      </pivotArea>
    </format>
    <format dxfId="2552">
      <pivotArea dataOnly="0" labelOnly="1" fieldPosition="0">
        <references count="5">
          <reference field="2" count="1" selected="0">
            <x v="18"/>
          </reference>
          <reference field="4" count="1" selected="0">
            <x v="0"/>
          </reference>
          <reference field="5" count="1" selected="0">
            <x v="15"/>
          </reference>
          <reference field="6" count="1">
            <x v="107"/>
          </reference>
          <reference field="8" count="1" selected="0">
            <x v="11"/>
          </reference>
        </references>
      </pivotArea>
    </format>
    <format dxfId="2553">
      <pivotArea dataOnly="0" labelOnly="1" fieldPosition="0">
        <references count="5">
          <reference field="2" count="1" selected="0">
            <x v="20"/>
          </reference>
          <reference field="4" count="1" selected="0">
            <x v="0"/>
          </reference>
          <reference field="5" count="1" selected="0">
            <x v="12"/>
          </reference>
          <reference field="6" count="1">
            <x v="123"/>
          </reference>
          <reference field="8" count="1" selected="0">
            <x v="11"/>
          </reference>
        </references>
      </pivotArea>
    </format>
    <format dxfId="2554">
      <pivotArea dataOnly="0" labelOnly="1" fieldPosition="0">
        <references count="5">
          <reference field="2" count="1" selected="0">
            <x v="21"/>
          </reference>
          <reference field="4" count="1" selected="0">
            <x v="0"/>
          </reference>
          <reference field="5" count="1" selected="0">
            <x v="15"/>
          </reference>
          <reference field="6" count="1">
            <x v="105"/>
          </reference>
          <reference field="8" count="1" selected="0">
            <x v="11"/>
          </reference>
        </references>
      </pivotArea>
    </format>
    <format dxfId="2555">
      <pivotArea dataOnly="0" labelOnly="1" fieldPosition="0">
        <references count="5">
          <reference field="2" count="1" selected="0">
            <x v="21"/>
          </reference>
          <reference field="4" count="1" selected="0">
            <x v="0"/>
          </reference>
          <reference field="5" count="1" selected="0">
            <x v="16"/>
          </reference>
          <reference field="6" count="1">
            <x v="90"/>
          </reference>
          <reference field="8" count="1" selected="0">
            <x v="11"/>
          </reference>
        </references>
      </pivotArea>
    </format>
    <format dxfId="2556">
      <pivotArea dataOnly="0" labelOnly="1" fieldPosition="0">
        <references count="5">
          <reference field="2" count="1" selected="0">
            <x v="25"/>
          </reference>
          <reference field="4" count="1" selected="0">
            <x v="0"/>
          </reference>
          <reference field="5" count="1" selected="0">
            <x v="15"/>
          </reference>
          <reference field="6" count="1">
            <x v="148"/>
          </reference>
          <reference field="8" count="1" selected="0">
            <x v="11"/>
          </reference>
        </references>
      </pivotArea>
    </format>
    <format dxfId="2557">
      <pivotArea dataOnly="0" labelOnly="1" fieldPosition="0">
        <references count="5">
          <reference field="2" count="1" selected="0">
            <x v="12"/>
          </reference>
          <reference field="4" count="1" selected="0">
            <x v="0"/>
          </reference>
          <reference field="5" count="1" selected="0">
            <x v="15"/>
          </reference>
          <reference field="6" count="1">
            <x v="45"/>
          </reference>
          <reference field="8" count="1" selected="0">
            <x v="35"/>
          </reference>
        </references>
      </pivotArea>
    </format>
    <format dxfId="2558">
      <pivotArea dataOnly="0" labelOnly="1" fieldPosition="0">
        <references count="5">
          <reference field="2" count="1" selected="0">
            <x v="0"/>
          </reference>
          <reference field="4" count="1" selected="0">
            <x v="1"/>
          </reference>
          <reference field="5" count="1" selected="0">
            <x v="16"/>
          </reference>
          <reference field="6" count="1">
            <x v="101"/>
          </reference>
          <reference field="8" count="1" selected="0">
            <x v="3"/>
          </reference>
        </references>
      </pivotArea>
    </format>
    <format dxfId="2559">
      <pivotArea dataOnly="0" labelOnly="1" fieldPosition="0">
        <references count="5">
          <reference field="2" count="1" selected="0">
            <x v="3"/>
          </reference>
          <reference field="4" count="1" selected="0">
            <x v="1"/>
          </reference>
          <reference field="5" count="1" selected="0">
            <x v="12"/>
          </reference>
          <reference field="6" count="2">
            <x v="21"/>
            <x v="119"/>
          </reference>
          <reference field="8" count="1" selected="0">
            <x v="3"/>
          </reference>
        </references>
      </pivotArea>
    </format>
    <format dxfId="2560">
      <pivotArea dataOnly="0" labelOnly="1" fieldPosition="0">
        <references count="5">
          <reference field="2" count="1" selected="0">
            <x v="25"/>
          </reference>
          <reference field="4" count="1" selected="0">
            <x v="1"/>
          </reference>
          <reference field="5" count="1" selected="0">
            <x v="16"/>
          </reference>
          <reference field="6" count="1">
            <x v="149"/>
          </reference>
          <reference field="8" count="1" selected="0">
            <x v="3"/>
          </reference>
        </references>
      </pivotArea>
    </format>
    <format dxfId="2561">
      <pivotArea dataOnly="0" labelOnly="1" fieldPosition="0">
        <references count="5">
          <reference field="2" count="1" selected="0">
            <x v="0"/>
          </reference>
          <reference field="4" count="1" selected="0">
            <x v="1"/>
          </reference>
          <reference field="5" count="1" selected="0">
            <x v="16"/>
          </reference>
          <reference field="6" count="1">
            <x v="101"/>
          </reference>
          <reference field="8" count="1" selected="0">
            <x v="4"/>
          </reference>
        </references>
      </pivotArea>
    </format>
    <format dxfId="2562">
      <pivotArea dataOnly="0" labelOnly="1" fieldPosition="0">
        <references count="5">
          <reference field="2" count="1" selected="0">
            <x v="3"/>
          </reference>
          <reference field="4" count="1" selected="0">
            <x v="1"/>
          </reference>
          <reference field="5" count="1" selected="0">
            <x v="12"/>
          </reference>
          <reference field="6" count="2">
            <x v="21"/>
            <x v="119"/>
          </reference>
          <reference field="8" count="1" selected="0">
            <x v="4"/>
          </reference>
        </references>
      </pivotArea>
    </format>
    <format dxfId="2563">
      <pivotArea dataOnly="0" labelOnly="1" fieldPosition="0">
        <references count="5">
          <reference field="2" count="1" selected="0">
            <x v="7"/>
          </reference>
          <reference field="4" count="1" selected="0">
            <x v="1"/>
          </reference>
          <reference field="5" count="1" selected="0">
            <x v="16"/>
          </reference>
          <reference field="6" count="1">
            <x v="26"/>
          </reference>
          <reference field="8" count="1" selected="0">
            <x v="4"/>
          </reference>
        </references>
      </pivotArea>
    </format>
    <format dxfId="2564">
      <pivotArea dataOnly="0" labelOnly="1" fieldPosition="0">
        <references count="5">
          <reference field="2" count="1" selected="0">
            <x v="12"/>
          </reference>
          <reference field="4" count="1" selected="0">
            <x v="1"/>
          </reference>
          <reference field="5" count="1" selected="0">
            <x v="9"/>
          </reference>
          <reference field="6" count="1">
            <x v="84"/>
          </reference>
          <reference field="8" count="1" selected="0">
            <x v="4"/>
          </reference>
        </references>
      </pivotArea>
    </format>
    <format dxfId="2565">
      <pivotArea dataOnly="0" labelOnly="1" fieldPosition="0">
        <references count="5">
          <reference field="2" count="1" selected="0">
            <x v="20"/>
          </reference>
          <reference field="4" count="1" selected="0">
            <x v="1"/>
          </reference>
          <reference field="5" count="1" selected="0">
            <x v="12"/>
          </reference>
          <reference field="6" count="1">
            <x v="124"/>
          </reference>
          <reference field="8" count="1" selected="0">
            <x v="4"/>
          </reference>
        </references>
      </pivotArea>
    </format>
    <format dxfId="2566">
      <pivotArea dataOnly="0" labelOnly="1" fieldPosition="0">
        <references count="5">
          <reference field="2" count="1" selected="0">
            <x v="21"/>
          </reference>
          <reference field="4" count="1" selected="0">
            <x v="1"/>
          </reference>
          <reference field="5" count="1" selected="0">
            <x v="14"/>
          </reference>
          <reference field="6" count="1">
            <x v="93"/>
          </reference>
          <reference field="8" count="1" selected="0">
            <x v="4"/>
          </reference>
        </references>
      </pivotArea>
    </format>
    <format dxfId="2567">
      <pivotArea dataOnly="0" labelOnly="1" fieldPosition="0">
        <references count="5">
          <reference field="2" count="1" selected="0">
            <x v="21"/>
          </reference>
          <reference field="4" count="1" selected="0">
            <x v="1"/>
          </reference>
          <reference field="5" count="1" selected="0">
            <x v="15"/>
          </reference>
          <reference field="6" count="1">
            <x v="106"/>
          </reference>
          <reference field="8" count="1" selected="0">
            <x v="4"/>
          </reference>
        </references>
      </pivotArea>
    </format>
    <format dxfId="2568">
      <pivotArea dataOnly="0" labelOnly="1" fieldPosition="0">
        <references count="5">
          <reference field="2" count="1" selected="0">
            <x v="21"/>
          </reference>
          <reference field="4" count="1" selected="0">
            <x v="1"/>
          </reference>
          <reference field="5" count="1" selected="0">
            <x v="16"/>
          </reference>
          <reference field="6" count="1">
            <x v="90"/>
          </reference>
          <reference field="8" count="1" selected="0">
            <x v="4"/>
          </reference>
        </references>
      </pivotArea>
    </format>
    <format dxfId="2569">
      <pivotArea dataOnly="0" labelOnly="1" fieldPosition="0">
        <references count="5">
          <reference field="2" count="1" selected="0">
            <x v="25"/>
          </reference>
          <reference field="4" count="1" selected="0">
            <x v="1"/>
          </reference>
          <reference field="5" count="1" selected="0">
            <x v="16"/>
          </reference>
          <reference field="6" count="1">
            <x v="149"/>
          </reference>
          <reference field="8" count="1" selected="0">
            <x v="4"/>
          </reference>
        </references>
      </pivotArea>
    </format>
    <format dxfId="2570">
      <pivotArea dataOnly="0" labelOnly="1" fieldPosition="0">
        <references count="5">
          <reference field="2" count="1" selected="0">
            <x v="0"/>
          </reference>
          <reference field="4" count="1" selected="0">
            <x v="1"/>
          </reference>
          <reference field="5" count="1" selected="0">
            <x v="16"/>
          </reference>
          <reference field="6" count="1">
            <x v="101"/>
          </reference>
          <reference field="8" count="1" selected="0">
            <x v="6"/>
          </reference>
        </references>
      </pivotArea>
    </format>
    <format dxfId="2571">
      <pivotArea dataOnly="0" labelOnly="1" fieldPosition="0">
        <references count="5">
          <reference field="2" count="1" selected="0">
            <x v="13"/>
          </reference>
          <reference field="4" count="1" selected="0">
            <x v="1"/>
          </reference>
          <reference field="5" count="1" selected="0">
            <x v="16"/>
          </reference>
          <reference field="6" count="1">
            <x v="23"/>
          </reference>
          <reference field="8" count="1" selected="0">
            <x v="6"/>
          </reference>
        </references>
      </pivotArea>
    </format>
    <format dxfId="2572">
      <pivotArea dataOnly="0" labelOnly="1" fieldPosition="0">
        <references count="5">
          <reference field="2" count="1" selected="0">
            <x v="4"/>
          </reference>
          <reference field="4" count="1" selected="0">
            <x v="1"/>
          </reference>
          <reference field="5" count="1" selected="0">
            <x v="15"/>
          </reference>
          <reference field="6" count="1">
            <x v="12"/>
          </reference>
          <reference field="8" count="1" selected="0">
            <x v="9"/>
          </reference>
        </references>
      </pivotArea>
    </format>
    <format dxfId="2573">
      <pivotArea dataOnly="0" labelOnly="1" fieldPosition="0">
        <references count="5">
          <reference field="2" count="1" selected="0">
            <x v="16"/>
          </reference>
          <reference field="4" count="1" selected="0">
            <x v="1"/>
          </reference>
          <reference field="5" count="1" selected="0">
            <x v="15"/>
          </reference>
          <reference field="6" count="1">
            <x v="32"/>
          </reference>
          <reference field="8" count="1" selected="0">
            <x v="9"/>
          </reference>
        </references>
      </pivotArea>
    </format>
    <format dxfId="2574">
      <pivotArea dataOnly="0" labelOnly="1" fieldPosition="0">
        <references count="5">
          <reference field="2" count="1" selected="0">
            <x v="19"/>
          </reference>
          <reference field="4" count="1" selected="0">
            <x v="1"/>
          </reference>
          <reference field="5" count="1" selected="0">
            <x v="15"/>
          </reference>
          <reference field="6" count="2">
            <x v="32"/>
            <x v="114"/>
          </reference>
          <reference field="8" count="1" selected="0">
            <x v="10"/>
          </reference>
        </references>
      </pivotArea>
    </format>
    <format dxfId="2575">
      <pivotArea dataOnly="0" labelOnly="1" fieldPosition="0">
        <references count="5">
          <reference field="2" count="1" selected="0">
            <x v="21"/>
          </reference>
          <reference field="4" count="1" selected="0">
            <x v="1"/>
          </reference>
          <reference field="5" count="1" selected="0">
            <x v="15"/>
          </reference>
          <reference field="6" count="1">
            <x v="109"/>
          </reference>
          <reference field="8" count="1" selected="0">
            <x v="10"/>
          </reference>
        </references>
      </pivotArea>
    </format>
    <format dxfId="2576">
      <pivotArea dataOnly="0" labelOnly="1" fieldPosition="0">
        <references count="5">
          <reference field="2" count="1" selected="0">
            <x v="0"/>
          </reference>
          <reference field="4" count="1" selected="0">
            <x v="1"/>
          </reference>
          <reference field="5" count="1" selected="0">
            <x v="16"/>
          </reference>
          <reference field="6" count="1">
            <x v="101"/>
          </reference>
          <reference field="8" count="1" selected="0">
            <x v="11"/>
          </reference>
        </references>
      </pivotArea>
    </format>
    <format dxfId="2577">
      <pivotArea dataOnly="0" labelOnly="1" fieldPosition="0">
        <references count="5">
          <reference field="2" count="1" selected="0">
            <x v="2"/>
          </reference>
          <reference field="4" count="1" selected="0">
            <x v="1"/>
          </reference>
          <reference field="5" count="1" selected="0">
            <x v="15"/>
          </reference>
          <reference field="6" count="1">
            <x v="7"/>
          </reference>
          <reference field="8" count="1" selected="0">
            <x v="11"/>
          </reference>
        </references>
      </pivotArea>
    </format>
    <format dxfId="2578">
      <pivotArea dataOnly="0" labelOnly="1" fieldPosition="0">
        <references count="5">
          <reference field="2" count="1" selected="0">
            <x v="4"/>
          </reference>
          <reference field="4" count="1" selected="0">
            <x v="1"/>
          </reference>
          <reference field="5" count="1" selected="0">
            <x v="15"/>
          </reference>
          <reference field="6" count="1">
            <x v="41"/>
          </reference>
          <reference field="8" count="1" selected="0">
            <x v="11"/>
          </reference>
        </references>
      </pivotArea>
    </format>
    <format dxfId="2579">
      <pivotArea dataOnly="0" labelOnly="1" fieldPosition="0">
        <references count="5">
          <reference field="2" count="1" selected="0">
            <x v="5"/>
          </reference>
          <reference field="4" count="1" selected="0">
            <x v="1"/>
          </reference>
          <reference field="5" count="1" selected="0">
            <x v="3"/>
          </reference>
          <reference field="6" count="1">
            <x v="27"/>
          </reference>
          <reference field="8" count="1" selected="0">
            <x v="11"/>
          </reference>
        </references>
      </pivotArea>
    </format>
    <format dxfId="2580">
      <pivotArea dataOnly="0" labelOnly="1" fieldPosition="0">
        <references count="5">
          <reference field="2" count="1" selected="0">
            <x v="7"/>
          </reference>
          <reference field="4" count="1" selected="0">
            <x v="1"/>
          </reference>
          <reference field="5" count="1" selected="0">
            <x v="14"/>
          </reference>
          <reference field="6" count="1">
            <x v="26"/>
          </reference>
          <reference field="8" count="1" selected="0">
            <x v="11"/>
          </reference>
        </references>
      </pivotArea>
    </format>
    <format dxfId="2581">
      <pivotArea dataOnly="0" labelOnly="1" fieldPosition="0">
        <references count="5">
          <reference field="2" count="1" selected="0">
            <x v="9"/>
          </reference>
          <reference field="4" count="1" selected="0">
            <x v="1"/>
          </reference>
          <reference field="5" count="1" selected="0">
            <x v="20"/>
          </reference>
          <reference field="6" count="1">
            <x v="44"/>
          </reference>
          <reference field="8" count="1" selected="0">
            <x v="11"/>
          </reference>
        </references>
      </pivotArea>
    </format>
    <format dxfId="2582">
      <pivotArea dataOnly="0" labelOnly="1" fieldPosition="0">
        <references count="5">
          <reference field="2" count="1" selected="0">
            <x v="10"/>
          </reference>
          <reference field="4" count="1" selected="0">
            <x v="1"/>
          </reference>
          <reference field="5" count="1" selected="0">
            <x v="12"/>
          </reference>
          <reference field="6" count="1">
            <x v="46"/>
          </reference>
          <reference field="8" count="1" selected="0">
            <x v="11"/>
          </reference>
        </references>
      </pivotArea>
    </format>
    <format dxfId="2583">
      <pivotArea dataOnly="0" labelOnly="1" fieldPosition="0">
        <references count="5">
          <reference field="2" count="1" selected="0">
            <x v="12"/>
          </reference>
          <reference field="4" count="1" selected="0">
            <x v="1"/>
          </reference>
          <reference field="5" count="1" selected="0">
            <x v="15"/>
          </reference>
          <reference field="6" count="1">
            <x v="43"/>
          </reference>
          <reference field="8" count="1" selected="0">
            <x v="11"/>
          </reference>
        </references>
      </pivotArea>
    </format>
    <format dxfId="2584">
      <pivotArea dataOnly="0" labelOnly="1" fieldPosition="0">
        <references count="5">
          <reference field="2" count="1" selected="0">
            <x v="13"/>
          </reference>
          <reference field="4" count="1" selected="0">
            <x v="1"/>
          </reference>
          <reference field="5" count="1" selected="0">
            <x v="16"/>
          </reference>
          <reference field="6" count="1">
            <x v="64"/>
          </reference>
          <reference field="8" count="1" selected="0">
            <x v="11"/>
          </reference>
        </references>
      </pivotArea>
    </format>
    <format dxfId="2585">
      <pivotArea dataOnly="0" labelOnly="1" fieldPosition="0">
        <references count="5">
          <reference field="2" count="1" selected="0">
            <x v="18"/>
          </reference>
          <reference field="4" count="1" selected="0">
            <x v="1"/>
          </reference>
          <reference field="5" count="1" selected="0">
            <x v="15"/>
          </reference>
          <reference field="6" count="1">
            <x v="107"/>
          </reference>
          <reference field="8" count="1" selected="0">
            <x v="11"/>
          </reference>
        </references>
      </pivotArea>
    </format>
    <format dxfId="2586">
      <pivotArea dataOnly="0" labelOnly="1" fieldPosition="0">
        <references count="5">
          <reference field="2" count="1" selected="0">
            <x v="20"/>
          </reference>
          <reference field="4" count="1" selected="0">
            <x v="1"/>
          </reference>
          <reference field="5" count="1" selected="0">
            <x v="12"/>
          </reference>
          <reference field="6" count="1">
            <x v="123"/>
          </reference>
          <reference field="8" count="1" selected="0">
            <x v="11"/>
          </reference>
        </references>
      </pivotArea>
    </format>
    <format dxfId="2587">
      <pivotArea dataOnly="0" labelOnly="1" fieldPosition="0">
        <references count="5">
          <reference field="2" count="1" selected="0">
            <x v="21"/>
          </reference>
          <reference field="4" count="1" selected="0">
            <x v="1"/>
          </reference>
          <reference field="5" count="1" selected="0">
            <x v="15"/>
          </reference>
          <reference field="6" count="1">
            <x v="105"/>
          </reference>
          <reference field="8" count="1" selected="0">
            <x v="11"/>
          </reference>
        </references>
      </pivotArea>
    </format>
    <format dxfId="2588">
      <pivotArea dataOnly="0" labelOnly="1" fieldPosition="0">
        <references count="5">
          <reference field="2" count="1" selected="0">
            <x v="21"/>
          </reference>
          <reference field="4" count="1" selected="0">
            <x v="1"/>
          </reference>
          <reference field="5" count="1" selected="0">
            <x v="16"/>
          </reference>
          <reference field="6" count="1">
            <x v="90"/>
          </reference>
          <reference field="8" count="1" selected="0">
            <x v="11"/>
          </reference>
        </references>
      </pivotArea>
    </format>
    <format dxfId="2589">
      <pivotArea dataOnly="0" labelOnly="1" fieldPosition="0">
        <references count="5">
          <reference field="2" count="1" selected="0">
            <x v="25"/>
          </reference>
          <reference field="4" count="1" selected="0">
            <x v="1"/>
          </reference>
          <reference field="5" count="1" selected="0">
            <x v="15"/>
          </reference>
          <reference field="6" count="1">
            <x v="148"/>
          </reference>
          <reference field="8" count="1" selected="0">
            <x v="11"/>
          </reference>
        </references>
      </pivotArea>
    </format>
    <format dxfId="2590">
      <pivotArea dataOnly="0" labelOnly="1" fieldPosition="0">
        <references count="5">
          <reference field="2" count="1" selected="0">
            <x v="12"/>
          </reference>
          <reference field="4" count="1" selected="0">
            <x v="1"/>
          </reference>
          <reference field="5" count="1" selected="0">
            <x v="15"/>
          </reference>
          <reference field="6" count="1">
            <x v="43"/>
          </reference>
          <reference field="8" count="1" selected="0">
            <x v="35"/>
          </reference>
        </references>
      </pivotArea>
    </format>
    <format dxfId="2591">
      <pivotArea dataOnly="0" labelOnly="1" fieldPosition="0">
        <references count="5">
          <reference field="2" count="1" selected="0">
            <x v="0"/>
          </reference>
          <reference field="4" count="1" selected="0">
            <x v="2"/>
          </reference>
          <reference field="5" count="1" selected="0">
            <x v="16"/>
          </reference>
          <reference field="6" count="1">
            <x v="101"/>
          </reference>
          <reference field="8" count="1" selected="0">
            <x v="3"/>
          </reference>
        </references>
      </pivotArea>
    </format>
    <format dxfId="2592">
      <pivotArea dataOnly="0" labelOnly="1" fieldPosition="0">
        <references count="5">
          <reference field="2" count="1" selected="0">
            <x v="3"/>
          </reference>
          <reference field="4" count="1" selected="0">
            <x v="2"/>
          </reference>
          <reference field="5" count="1" selected="0">
            <x v="12"/>
          </reference>
          <reference field="6" count="2">
            <x v="21"/>
            <x v="119"/>
          </reference>
          <reference field="8" count="1" selected="0">
            <x v="3"/>
          </reference>
        </references>
      </pivotArea>
    </format>
    <format dxfId="2593">
      <pivotArea dataOnly="0" labelOnly="1" fieldPosition="0">
        <references count="5">
          <reference field="2" count="1" selected="0">
            <x v="25"/>
          </reference>
          <reference field="4" count="1" selected="0">
            <x v="2"/>
          </reference>
          <reference field="5" count="1" selected="0">
            <x v="16"/>
          </reference>
          <reference field="6" count="1">
            <x v="149"/>
          </reference>
          <reference field="8" count="1" selected="0">
            <x v="3"/>
          </reference>
        </references>
      </pivotArea>
    </format>
    <format dxfId="2594">
      <pivotArea dataOnly="0" labelOnly="1" fieldPosition="0">
        <references count="5">
          <reference field="2" count="1" selected="0">
            <x v="0"/>
          </reference>
          <reference field="4" count="1" selected="0">
            <x v="2"/>
          </reference>
          <reference field="5" count="1" selected="0">
            <x v="16"/>
          </reference>
          <reference field="6" count="1">
            <x v="101"/>
          </reference>
          <reference field="8" count="1" selected="0">
            <x v="4"/>
          </reference>
        </references>
      </pivotArea>
    </format>
    <format dxfId="2595">
      <pivotArea dataOnly="0" labelOnly="1" fieldPosition="0">
        <references count="5">
          <reference field="2" count="1" selected="0">
            <x v="3"/>
          </reference>
          <reference field="4" count="1" selected="0">
            <x v="2"/>
          </reference>
          <reference field="5" count="1" selected="0">
            <x v="12"/>
          </reference>
          <reference field="6" count="2">
            <x v="21"/>
            <x v="119"/>
          </reference>
          <reference field="8" count="1" selected="0">
            <x v="4"/>
          </reference>
        </references>
      </pivotArea>
    </format>
    <format dxfId="2596">
      <pivotArea dataOnly="0" labelOnly="1" fieldPosition="0">
        <references count="5">
          <reference field="2" count="1" selected="0">
            <x v="7"/>
          </reference>
          <reference field="4" count="1" selected="0">
            <x v="2"/>
          </reference>
          <reference field="5" count="1" selected="0">
            <x v="16"/>
          </reference>
          <reference field="6" count="1">
            <x v="26"/>
          </reference>
          <reference field="8" count="1" selected="0">
            <x v="4"/>
          </reference>
        </references>
      </pivotArea>
    </format>
    <format dxfId="2597">
      <pivotArea dataOnly="0" labelOnly="1" fieldPosition="0">
        <references count="5">
          <reference field="2" count="1" selected="0">
            <x v="12"/>
          </reference>
          <reference field="4" count="1" selected="0">
            <x v="2"/>
          </reference>
          <reference field="5" count="1" selected="0">
            <x v="9"/>
          </reference>
          <reference field="6" count="1">
            <x v="84"/>
          </reference>
          <reference field="8" count="1" selected="0">
            <x v="4"/>
          </reference>
        </references>
      </pivotArea>
    </format>
    <format dxfId="2598">
      <pivotArea dataOnly="0" labelOnly="1" fieldPosition="0">
        <references count="5">
          <reference field="2" count="1" selected="0">
            <x v="20"/>
          </reference>
          <reference field="4" count="1" selected="0">
            <x v="2"/>
          </reference>
          <reference field="5" count="1" selected="0">
            <x v="12"/>
          </reference>
          <reference field="6" count="1">
            <x v="124"/>
          </reference>
          <reference field="8" count="1" selected="0">
            <x v="4"/>
          </reference>
        </references>
      </pivotArea>
    </format>
    <format dxfId="2599">
      <pivotArea dataOnly="0" labelOnly="1" fieldPosition="0">
        <references count="5">
          <reference field="2" count="1" selected="0">
            <x v="21"/>
          </reference>
          <reference field="4" count="1" selected="0">
            <x v="2"/>
          </reference>
          <reference field="5" count="1" selected="0">
            <x v="14"/>
          </reference>
          <reference field="6" count="1">
            <x v="92"/>
          </reference>
          <reference field="8" count="1" selected="0">
            <x v="4"/>
          </reference>
        </references>
      </pivotArea>
    </format>
    <format dxfId="2600">
      <pivotArea dataOnly="0" labelOnly="1" fieldPosition="0">
        <references count="5">
          <reference field="2" count="1" selected="0">
            <x v="21"/>
          </reference>
          <reference field="4" count="1" selected="0">
            <x v="2"/>
          </reference>
          <reference field="5" count="1" selected="0">
            <x v="15"/>
          </reference>
          <reference field="6" count="1">
            <x v="106"/>
          </reference>
          <reference field="8" count="1" selected="0">
            <x v="4"/>
          </reference>
        </references>
      </pivotArea>
    </format>
    <format dxfId="2601">
      <pivotArea dataOnly="0" labelOnly="1" fieldPosition="0">
        <references count="5">
          <reference field="2" count="1" selected="0">
            <x v="21"/>
          </reference>
          <reference field="4" count="1" selected="0">
            <x v="2"/>
          </reference>
          <reference field="5" count="1" selected="0">
            <x v="16"/>
          </reference>
          <reference field="6" count="1">
            <x v="89"/>
          </reference>
          <reference field="8" count="1" selected="0">
            <x v="4"/>
          </reference>
        </references>
      </pivotArea>
    </format>
    <format dxfId="2602">
      <pivotArea dataOnly="0" labelOnly="1" fieldPosition="0">
        <references count="5">
          <reference field="2" count="1" selected="0">
            <x v="25"/>
          </reference>
          <reference field="4" count="1" selected="0">
            <x v="2"/>
          </reference>
          <reference field="5" count="1" selected="0">
            <x v="16"/>
          </reference>
          <reference field="6" count="1">
            <x v="149"/>
          </reference>
          <reference field="8" count="1" selected="0">
            <x v="4"/>
          </reference>
        </references>
      </pivotArea>
    </format>
    <format dxfId="2603">
      <pivotArea dataOnly="0" labelOnly="1" fieldPosition="0">
        <references count="5">
          <reference field="2" count="1" selected="0">
            <x v="0"/>
          </reference>
          <reference field="4" count="1" selected="0">
            <x v="2"/>
          </reference>
          <reference field="5" count="1" selected="0">
            <x v="16"/>
          </reference>
          <reference field="6" count="1">
            <x v="101"/>
          </reference>
          <reference field="8" count="1" selected="0">
            <x v="6"/>
          </reference>
        </references>
      </pivotArea>
    </format>
    <format dxfId="2604">
      <pivotArea dataOnly="0" labelOnly="1" fieldPosition="0">
        <references count="5">
          <reference field="2" count="1" selected="0">
            <x v="13"/>
          </reference>
          <reference field="4" count="1" selected="0">
            <x v="2"/>
          </reference>
          <reference field="5" count="1" selected="0">
            <x v="16"/>
          </reference>
          <reference field="6" count="1">
            <x v="23"/>
          </reference>
          <reference field="8" count="1" selected="0">
            <x v="6"/>
          </reference>
        </references>
      </pivotArea>
    </format>
    <format dxfId="2605">
      <pivotArea dataOnly="0" labelOnly="1" fieldPosition="0">
        <references count="5">
          <reference field="2" count="1" selected="0">
            <x v="4"/>
          </reference>
          <reference field="4" count="1" selected="0">
            <x v="2"/>
          </reference>
          <reference field="5" count="1" selected="0">
            <x v="15"/>
          </reference>
          <reference field="6" count="1">
            <x v="12"/>
          </reference>
          <reference field="8" count="1" selected="0">
            <x v="9"/>
          </reference>
        </references>
      </pivotArea>
    </format>
    <format dxfId="2606">
      <pivotArea dataOnly="0" labelOnly="1" fieldPosition="0">
        <references count="5">
          <reference field="2" count="1" selected="0">
            <x v="16"/>
          </reference>
          <reference field="4" count="1" selected="0">
            <x v="2"/>
          </reference>
          <reference field="5" count="1" selected="0">
            <x v="15"/>
          </reference>
          <reference field="6" count="1">
            <x v="32"/>
          </reference>
          <reference field="8" count="1" selected="0">
            <x v="9"/>
          </reference>
        </references>
      </pivotArea>
    </format>
    <format dxfId="2607">
      <pivotArea dataOnly="0" labelOnly="1" fieldPosition="0">
        <references count="5">
          <reference field="2" count="1" selected="0">
            <x v="19"/>
          </reference>
          <reference field="4" count="1" selected="0">
            <x v="2"/>
          </reference>
          <reference field="5" count="1" selected="0">
            <x v="15"/>
          </reference>
          <reference field="6" count="2">
            <x v="32"/>
            <x v="114"/>
          </reference>
          <reference field="8" count="1" selected="0">
            <x v="10"/>
          </reference>
        </references>
      </pivotArea>
    </format>
    <format dxfId="2608">
      <pivotArea dataOnly="0" labelOnly="1" fieldPosition="0">
        <references count="5">
          <reference field="2" count="1" selected="0">
            <x v="21"/>
          </reference>
          <reference field="4" count="1" selected="0">
            <x v="2"/>
          </reference>
          <reference field="5" count="1" selected="0">
            <x v="15"/>
          </reference>
          <reference field="6" count="1">
            <x v="109"/>
          </reference>
          <reference field="8" count="1" selected="0">
            <x v="10"/>
          </reference>
        </references>
      </pivotArea>
    </format>
    <format dxfId="2609">
      <pivotArea dataOnly="0" labelOnly="1" fieldPosition="0">
        <references count="5">
          <reference field="2" count="1" selected="0">
            <x v="0"/>
          </reference>
          <reference field="4" count="1" selected="0">
            <x v="2"/>
          </reference>
          <reference field="5" count="1" selected="0">
            <x v="16"/>
          </reference>
          <reference field="6" count="1">
            <x v="101"/>
          </reference>
          <reference field="8" count="1" selected="0">
            <x v="11"/>
          </reference>
        </references>
      </pivotArea>
    </format>
    <format dxfId="2610">
      <pivotArea dataOnly="0" labelOnly="1" fieldPosition="0">
        <references count="5">
          <reference field="2" count="1" selected="0">
            <x v="2"/>
          </reference>
          <reference field="4" count="1" selected="0">
            <x v="2"/>
          </reference>
          <reference field="5" count="1" selected="0">
            <x v="15"/>
          </reference>
          <reference field="6" count="1">
            <x v="7"/>
          </reference>
          <reference field="8" count="1" selected="0">
            <x v="11"/>
          </reference>
        </references>
      </pivotArea>
    </format>
    <format dxfId="2611">
      <pivotArea dataOnly="0" labelOnly="1" fieldPosition="0">
        <references count="5">
          <reference field="2" count="1" selected="0">
            <x v="4"/>
          </reference>
          <reference field="4" count="1" selected="0">
            <x v="2"/>
          </reference>
          <reference field="5" count="1" selected="0">
            <x v="15"/>
          </reference>
          <reference field="6" count="1">
            <x v="41"/>
          </reference>
          <reference field="8" count="1" selected="0">
            <x v="11"/>
          </reference>
        </references>
      </pivotArea>
    </format>
    <format dxfId="2612">
      <pivotArea dataOnly="0" labelOnly="1" fieldPosition="0">
        <references count="5">
          <reference field="2" count="1" selected="0">
            <x v="5"/>
          </reference>
          <reference field="4" count="1" selected="0">
            <x v="2"/>
          </reference>
          <reference field="5" count="1" selected="0">
            <x v="3"/>
          </reference>
          <reference field="6" count="1">
            <x v="27"/>
          </reference>
          <reference field="8" count="1" selected="0">
            <x v="11"/>
          </reference>
        </references>
      </pivotArea>
    </format>
    <format dxfId="2613">
      <pivotArea dataOnly="0" labelOnly="1" fieldPosition="0">
        <references count="5">
          <reference field="2" count="1" selected="0">
            <x v="7"/>
          </reference>
          <reference field="4" count="1" selected="0">
            <x v="2"/>
          </reference>
          <reference field="5" count="1" selected="0">
            <x v="14"/>
          </reference>
          <reference field="6" count="1">
            <x v="26"/>
          </reference>
          <reference field="8" count="1" selected="0">
            <x v="11"/>
          </reference>
        </references>
      </pivotArea>
    </format>
    <format dxfId="2614">
      <pivotArea dataOnly="0" labelOnly="1" fieldPosition="0">
        <references count="5">
          <reference field="2" count="1" selected="0">
            <x v="9"/>
          </reference>
          <reference field="4" count="1" selected="0">
            <x v="2"/>
          </reference>
          <reference field="5" count="1" selected="0">
            <x v="20"/>
          </reference>
          <reference field="6" count="1">
            <x v="44"/>
          </reference>
          <reference field="8" count="1" selected="0">
            <x v="11"/>
          </reference>
        </references>
      </pivotArea>
    </format>
    <format dxfId="2615">
      <pivotArea dataOnly="0" labelOnly="1" fieldPosition="0">
        <references count="5">
          <reference field="2" count="1" selected="0">
            <x v="10"/>
          </reference>
          <reference field="4" count="1" selected="0">
            <x v="2"/>
          </reference>
          <reference field="5" count="1" selected="0">
            <x v="12"/>
          </reference>
          <reference field="6" count="1">
            <x v="46"/>
          </reference>
          <reference field="8" count="1" selected="0">
            <x v="11"/>
          </reference>
        </references>
      </pivotArea>
    </format>
    <format dxfId="2616">
      <pivotArea dataOnly="0" labelOnly="1" fieldPosition="0">
        <references count="5">
          <reference field="2" count="1" selected="0">
            <x v="12"/>
          </reference>
          <reference field="4" count="1" selected="0">
            <x v="2"/>
          </reference>
          <reference field="5" count="1" selected="0">
            <x v="15"/>
          </reference>
          <reference field="6" count="1">
            <x v="43"/>
          </reference>
          <reference field="8" count="1" selected="0">
            <x v="11"/>
          </reference>
        </references>
      </pivotArea>
    </format>
    <format dxfId="2617">
      <pivotArea dataOnly="0" labelOnly="1" fieldPosition="0">
        <references count="5">
          <reference field="2" count="1" selected="0">
            <x v="18"/>
          </reference>
          <reference field="4" count="1" selected="0">
            <x v="2"/>
          </reference>
          <reference field="5" count="1" selected="0">
            <x v="15"/>
          </reference>
          <reference field="6" count="1">
            <x v="107"/>
          </reference>
          <reference field="8" count="1" selected="0">
            <x v="11"/>
          </reference>
        </references>
      </pivotArea>
    </format>
    <format dxfId="2618">
      <pivotArea dataOnly="0" labelOnly="1" fieldPosition="0">
        <references count="5">
          <reference field="2" count="1" selected="0">
            <x v="20"/>
          </reference>
          <reference field="4" count="1" selected="0">
            <x v="2"/>
          </reference>
          <reference field="5" count="1" selected="0">
            <x v="12"/>
          </reference>
          <reference field="6" count="1">
            <x v="123"/>
          </reference>
          <reference field="8" count="1" selected="0">
            <x v="11"/>
          </reference>
        </references>
      </pivotArea>
    </format>
    <format dxfId="2619">
      <pivotArea dataOnly="0" labelOnly="1" fieldPosition="0">
        <references count="5">
          <reference field="2" count="1" selected="0">
            <x v="21"/>
          </reference>
          <reference field="4" count="1" selected="0">
            <x v="2"/>
          </reference>
          <reference field="5" count="1" selected="0">
            <x v="15"/>
          </reference>
          <reference field="6" count="1">
            <x v="105"/>
          </reference>
          <reference field="8" count="1" selected="0">
            <x v="11"/>
          </reference>
        </references>
      </pivotArea>
    </format>
    <format dxfId="2620">
      <pivotArea dataOnly="0" labelOnly="1" fieldPosition="0">
        <references count="5">
          <reference field="2" count="1" selected="0">
            <x v="21"/>
          </reference>
          <reference field="4" count="1" selected="0">
            <x v="2"/>
          </reference>
          <reference field="5" count="1" selected="0">
            <x v="16"/>
          </reference>
          <reference field="6" count="1">
            <x v="89"/>
          </reference>
          <reference field="8" count="1" selected="0">
            <x v="11"/>
          </reference>
        </references>
      </pivotArea>
    </format>
    <format dxfId="2621">
      <pivotArea dataOnly="0" labelOnly="1" fieldPosition="0">
        <references count="5">
          <reference field="2" count="1" selected="0">
            <x v="25"/>
          </reference>
          <reference field="4" count="1" selected="0">
            <x v="2"/>
          </reference>
          <reference field="5" count="1" selected="0">
            <x v="15"/>
          </reference>
          <reference field="6" count="1">
            <x v="148"/>
          </reference>
          <reference field="8" count="1" selected="0">
            <x v="11"/>
          </reference>
        </references>
      </pivotArea>
    </format>
    <format dxfId="2622">
      <pivotArea dataOnly="0" labelOnly="1" fieldPosition="0">
        <references count="5">
          <reference field="2" count="1" selected="0">
            <x v="12"/>
          </reference>
          <reference field="4" count="1" selected="0">
            <x v="2"/>
          </reference>
          <reference field="5" count="1" selected="0">
            <x v="15"/>
          </reference>
          <reference field="6" count="1">
            <x v="43"/>
          </reference>
          <reference field="8" count="1" selected="0">
            <x v="35"/>
          </reference>
        </references>
      </pivotArea>
    </format>
    <format dxfId="2623">
      <pivotArea dataOnly="0" labelOnly="1" fieldPosition="0">
        <references count="5">
          <reference field="2" count="1" selected="0">
            <x v="0"/>
          </reference>
          <reference field="4" count="1" selected="0">
            <x v="3"/>
          </reference>
          <reference field="5" count="1" selected="0">
            <x v="16"/>
          </reference>
          <reference field="6" count="1">
            <x v="101"/>
          </reference>
          <reference field="8" count="1" selected="0">
            <x v="3"/>
          </reference>
        </references>
      </pivotArea>
    </format>
    <format dxfId="2624">
      <pivotArea dataOnly="0" labelOnly="1" fieldPosition="0">
        <references count="5">
          <reference field="2" count="1" selected="0">
            <x v="3"/>
          </reference>
          <reference field="4" count="1" selected="0">
            <x v="3"/>
          </reference>
          <reference field="5" count="1" selected="0">
            <x v="12"/>
          </reference>
          <reference field="6" count="2">
            <x v="21"/>
            <x v="119"/>
          </reference>
          <reference field="8" count="1" selected="0">
            <x v="3"/>
          </reference>
        </references>
      </pivotArea>
    </format>
    <format dxfId="2625">
      <pivotArea dataOnly="0" labelOnly="1" fieldPosition="0">
        <references count="5">
          <reference field="2" count="1" selected="0">
            <x v="25"/>
          </reference>
          <reference field="4" count="1" selected="0">
            <x v="3"/>
          </reference>
          <reference field="5" count="1" selected="0">
            <x v="16"/>
          </reference>
          <reference field="6" count="1">
            <x v="149"/>
          </reference>
          <reference field="8" count="1" selected="0">
            <x v="3"/>
          </reference>
        </references>
      </pivotArea>
    </format>
    <format dxfId="2626">
      <pivotArea dataOnly="0" labelOnly="1" fieldPosition="0">
        <references count="5">
          <reference field="2" count="1" selected="0">
            <x v="0"/>
          </reference>
          <reference field="4" count="1" selected="0">
            <x v="3"/>
          </reference>
          <reference field="5" count="1" selected="0">
            <x v="16"/>
          </reference>
          <reference field="6" count="1">
            <x v="101"/>
          </reference>
          <reference field="8" count="1" selected="0">
            <x v="4"/>
          </reference>
        </references>
      </pivotArea>
    </format>
    <format dxfId="2627">
      <pivotArea dataOnly="0" labelOnly="1" fieldPosition="0">
        <references count="5">
          <reference field="2" count="1" selected="0">
            <x v="3"/>
          </reference>
          <reference field="4" count="1" selected="0">
            <x v="3"/>
          </reference>
          <reference field="5" count="1" selected="0">
            <x v="12"/>
          </reference>
          <reference field="6" count="2">
            <x v="21"/>
            <x v="119"/>
          </reference>
          <reference field="8" count="1" selected="0">
            <x v="4"/>
          </reference>
        </references>
      </pivotArea>
    </format>
    <format dxfId="2628">
      <pivotArea dataOnly="0" labelOnly="1" fieldPosition="0">
        <references count="5">
          <reference field="2" count="1" selected="0">
            <x v="7"/>
          </reference>
          <reference field="4" count="1" selected="0">
            <x v="3"/>
          </reference>
          <reference field="5" count="1" selected="0">
            <x v="16"/>
          </reference>
          <reference field="6" count="1">
            <x v="26"/>
          </reference>
          <reference field="8" count="1" selected="0">
            <x v="4"/>
          </reference>
        </references>
      </pivotArea>
    </format>
    <format dxfId="2629">
      <pivotArea dataOnly="0" labelOnly="1" fieldPosition="0">
        <references count="5">
          <reference field="2" count="1" selected="0">
            <x v="12"/>
          </reference>
          <reference field="4" count="1" selected="0">
            <x v="3"/>
          </reference>
          <reference field="5" count="1" selected="0">
            <x v="9"/>
          </reference>
          <reference field="6" count="1">
            <x v="84"/>
          </reference>
          <reference field="8" count="1" selected="0">
            <x v="4"/>
          </reference>
        </references>
      </pivotArea>
    </format>
    <format dxfId="2630">
      <pivotArea dataOnly="0" labelOnly="1" fieldPosition="0">
        <references count="5">
          <reference field="2" count="1" selected="0">
            <x v="20"/>
          </reference>
          <reference field="4" count="1" selected="0">
            <x v="3"/>
          </reference>
          <reference field="5" count="1" selected="0">
            <x v="12"/>
          </reference>
          <reference field="6" count="1">
            <x v="124"/>
          </reference>
          <reference field="8" count="1" selected="0">
            <x v="4"/>
          </reference>
        </references>
      </pivotArea>
    </format>
    <format dxfId="2631">
      <pivotArea dataOnly="0" labelOnly="1" fieldPosition="0">
        <references count="5">
          <reference field="2" count="1" selected="0">
            <x v="21"/>
          </reference>
          <reference field="4" count="1" selected="0">
            <x v="3"/>
          </reference>
          <reference field="5" count="1" selected="0">
            <x v="14"/>
          </reference>
          <reference field="6" count="1">
            <x v="92"/>
          </reference>
          <reference field="8" count="1" selected="0">
            <x v="4"/>
          </reference>
        </references>
      </pivotArea>
    </format>
    <format dxfId="2632">
      <pivotArea dataOnly="0" labelOnly="1" fieldPosition="0">
        <references count="5">
          <reference field="2" count="1" selected="0">
            <x v="21"/>
          </reference>
          <reference field="4" count="1" selected="0">
            <x v="3"/>
          </reference>
          <reference field="5" count="1" selected="0">
            <x v="15"/>
          </reference>
          <reference field="6" count="1">
            <x v="106"/>
          </reference>
          <reference field="8" count="1" selected="0">
            <x v="4"/>
          </reference>
        </references>
      </pivotArea>
    </format>
    <format dxfId="2633">
      <pivotArea dataOnly="0" labelOnly="1" fieldPosition="0">
        <references count="5">
          <reference field="2" count="1" selected="0">
            <x v="21"/>
          </reference>
          <reference field="4" count="1" selected="0">
            <x v="3"/>
          </reference>
          <reference field="5" count="1" selected="0">
            <x v="16"/>
          </reference>
          <reference field="6" count="1">
            <x v="89"/>
          </reference>
          <reference field="8" count="1" selected="0">
            <x v="4"/>
          </reference>
        </references>
      </pivotArea>
    </format>
    <format dxfId="2634">
      <pivotArea dataOnly="0" labelOnly="1" fieldPosition="0">
        <references count="5">
          <reference field="2" count="1" selected="0">
            <x v="25"/>
          </reference>
          <reference field="4" count="1" selected="0">
            <x v="3"/>
          </reference>
          <reference field="5" count="1" selected="0">
            <x v="16"/>
          </reference>
          <reference field="6" count="1">
            <x v="149"/>
          </reference>
          <reference field="8" count="1" selected="0">
            <x v="4"/>
          </reference>
        </references>
      </pivotArea>
    </format>
    <format dxfId="2635">
      <pivotArea dataOnly="0" labelOnly="1" fieldPosition="0">
        <references count="5">
          <reference field="2" count="1" selected="0">
            <x v="0"/>
          </reference>
          <reference field="4" count="1" selected="0">
            <x v="3"/>
          </reference>
          <reference field="5" count="1" selected="0">
            <x v="16"/>
          </reference>
          <reference field="6" count="1">
            <x v="101"/>
          </reference>
          <reference field="8" count="1" selected="0">
            <x v="6"/>
          </reference>
        </references>
      </pivotArea>
    </format>
    <format dxfId="2636">
      <pivotArea dataOnly="0" labelOnly="1" fieldPosition="0">
        <references count="5">
          <reference field="2" count="1" selected="0">
            <x v="13"/>
          </reference>
          <reference field="4" count="1" selected="0">
            <x v="3"/>
          </reference>
          <reference field="5" count="1" selected="0">
            <x v="16"/>
          </reference>
          <reference field="6" count="1">
            <x v="23"/>
          </reference>
          <reference field="8" count="1" selected="0">
            <x v="6"/>
          </reference>
        </references>
      </pivotArea>
    </format>
    <format dxfId="2637">
      <pivotArea dataOnly="0" labelOnly="1" fieldPosition="0">
        <references count="5">
          <reference field="2" count="1" selected="0">
            <x v="4"/>
          </reference>
          <reference field="4" count="1" selected="0">
            <x v="3"/>
          </reference>
          <reference field="5" count="1" selected="0">
            <x v="15"/>
          </reference>
          <reference field="6" count="1">
            <x v="12"/>
          </reference>
          <reference field="8" count="1" selected="0">
            <x v="9"/>
          </reference>
        </references>
      </pivotArea>
    </format>
    <format dxfId="2638">
      <pivotArea dataOnly="0" labelOnly="1" fieldPosition="0">
        <references count="5">
          <reference field="2" count="1" selected="0">
            <x v="16"/>
          </reference>
          <reference field="4" count="1" selected="0">
            <x v="3"/>
          </reference>
          <reference field="5" count="1" selected="0">
            <x v="15"/>
          </reference>
          <reference field="6" count="1">
            <x v="32"/>
          </reference>
          <reference field="8" count="1" selected="0">
            <x v="9"/>
          </reference>
        </references>
      </pivotArea>
    </format>
    <format dxfId="2639">
      <pivotArea dataOnly="0" labelOnly="1" fieldPosition="0">
        <references count="5">
          <reference field="2" count="1" selected="0">
            <x v="19"/>
          </reference>
          <reference field="4" count="1" selected="0">
            <x v="3"/>
          </reference>
          <reference field="5" count="1" selected="0">
            <x v="15"/>
          </reference>
          <reference field="6" count="2">
            <x v="32"/>
            <x v="114"/>
          </reference>
          <reference field="8" count="1" selected="0">
            <x v="10"/>
          </reference>
        </references>
      </pivotArea>
    </format>
    <format dxfId="2640">
      <pivotArea dataOnly="0" labelOnly="1" fieldPosition="0">
        <references count="5">
          <reference field="2" count="1" selected="0">
            <x v="21"/>
          </reference>
          <reference field="4" count="1" selected="0">
            <x v="3"/>
          </reference>
          <reference field="5" count="1" selected="0">
            <x v="15"/>
          </reference>
          <reference field="6" count="1">
            <x v="109"/>
          </reference>
          <reference field="8" count="1" selected="0">
            <x v="10"/>
          </reference>
        </references>
      </pivotArea>
    </format>
    <format dxfId="2641">
      <pivotArea dataOnly="0" labelOnly="1" fieldPosition="0">
        <references count="5">
          <reference field="2" count="1" selected="0">
            <x v="0"/>
          </reference>
          <reference field="4" count="1" selected="0">
            <x v="3"/>
          </reference>
          <reference field="5" count="1" selected="0">
            <x v="16"/>
          </reference>
          <reference field="6" count="1">
            <x v="101"/>
          </reference>
          <reference field="8" count="1" selected="0">
            <x v="11"/>
          </reference>
        </references>
      </pivotArea>
    </format>
    <format dxfId="2642">
      <pivotArea dataOnly="0" labelOnly="1" fieldPosition="0">
        <references count="5">
          <reference field="2" count="1" selected="0">
            <x v="2"/>
          </reference>
          <reference field="4" count="1" selected="0">
            <x v="3"/>
          </reference>
          <reference field="5" count="1" selected="0">
            <x v="15"/>
          </reference>
          <reference field="6" count="1">
            <x v="7"/>
          </reference>
          <reference field="8" count="1" selected="0">
            <x v="11"/>
          </reference>
        </references>
      </pivotArea>
    </format>
    <format dxfId="2643">
      <pivotArea dataOnly="0" labelOnly="1" fieldPosition="0">
        <references count="5">
          <reference field="2" count="1" selected="0">
            <x v="4"/>
          </reference>
          <reference field="4" count="1" selected="0">
            <x v="3"/>
          </reference>
          <reference field="5" count="1" selected="0">
            <x v="15"/>
          </reference>
          <reference field="6" count="1">
            <x v="41"/>
          </reference>
          <reference field="8" count="1" selected="0">
            <x v="11"/>
          </reference>
        </references>
      </pivotArea>
    </format>
    <format dxfId="2644">
      <pivotArea dataOnly="0" labelOnly="1" fieldPosition="0">
        <references count="5">
          <reference field="2" count="1" selected="0">
            <x v="5"/>
          </reference>
          <reference field="4" count="1" selected="0">
            <x v="3"/>
          </reference>
          <reference field="5" count="1" selected="0">
            <x v="3"/>
          </reference>
          <reference field="6" count="1">
            <x v="27"/>
          </reference>
          <reference field="8" count="1" selected="0">
            <x v="11"/>
          </reference>
        </references>
      </pivotArea>
    </format>
    <format dxfId="2645">
      <pivotArea dataOnly="0" labelOnly="1" fieldPosition="0">
        <references count="5">
          <reference field="2" count="1" selected="0">
            <x v="7"/>
          </reference>
          <reference field="4" count="1" selected="0">
            <x v="3"/>
          </reference>
          <reference field="5" count="1" selected="0">
            <x v="14"/>
          </reference>
          <reference field="6" count="1">
            <x v="26"/>
          </reference>
          <reference field="8" count="1" selected="0">
            <x v="11"/>
          </reference>
        </references>
      </pivotArea>
    </format>
    <format dxfId="2646">
      <pivotArea dataOnly="0" labelOnly="1" fieldPosition="0">
        <references count="5">
          <reference field="2" count="1" selected="0">
            <x v="9"/>
          </reference>
          <reference field="4" count="1" selected="0">
            <x v="3"/>
          </reference>
          <reference field="5" count="1" selected="0">
            <x v="20"/>
          </reference>
          <reference field="6" count="1">
            <x v="44"/>
          </reference>
          <reference field="8" count="1" selected="0">
            <x v="11"/>
          </reference>
        </references>
      </pivotArea>
    </format>
    <format dxfId="2647">
      <pivotArea dataOnly="0" labelOnly="1" fieldPosition="0">
        <references count="5">
          <reference field="2" count="1" selected="0">
            <x v="10"/>
          </reference>
          <reference field="4" count="1" selected="0">
            <x v="3"/>
          </reference>
          <reference field="5" count="1" selected="0">
            <x v="12"/>
          </reference>
          <reference field="6" count="1">
            <x v="46"/>
          </reference>
          <reference field="8" count="1" selected="0">
            <x v="11"/>
          </reference>
        </references>
      </pivotArea>
    </format>
    <format dxfId="2648">
      <pivotArea dataOnly="0" labelOnly="1" fieldPosition="0">
        <references count="5">
          <reference field="2" count="1" selected="0">
            <x v="12"/>
          </reference>
          <reference field="4" count="1" selected="0">
            <x v="3"/>
          </reference>
          <reference field="5" count="1" selected="0">
            <x v="15"/>
          </reference>
          <reference field="6" count="1">
            <x v="43"/>
          </reference>
          <reference field="8" count="1" selected="0">
            <x v="11"/>
          </reference>
        </references>
      </pivotArea>
    </format>
    <format dxfId="2649">
      <pivotArea dataOnly="0" labelOnly="1" fieldPosition="0">
        <references count="5">
          <reference field="2" count="1" selected="0">
            <x v="18"/>
          </reference>
          <reference field="4" count="1" selected="0">
            <x v="3"/>
          </reference>
          <reference field="5" count="1" selected="0">
            <x v="15"/>
          </reference>
          <reference field="6" count="1">
            <x v="107"/>
          </reference>
          <reference field="8" count="1" selected="0">
            <x v="11"/>
          </reference>
        </references>
      </pivotArea>
    </format>
    <format dxfId="2650">
      <pivotArea dataOnly="0" labelOnly="1" fieldPosition="0">
        <references count="5">
          <reference field="2" count="1" selected="0">
            <x v="20"/>
          </reference>
          <reference field="4" count="1" selected="0">
            <x v="3"/>
          </reference>
          <reference field="5" count="1" selected="0">
            <x v="12"/>
          </reference>
          <reference field="6" count="1">
            <x v="123"/>
          </reference>
          <reference field="8" count="1" selected="0">
            <x v="11"/>
          </reference>
        </references>
      </pivotArea>
    </format>
    <format dxfId="2651">
      <pivotArea dataOnly="0" labelOnly="1" fieldPosition="0">
        <references count="5">
          <reference field="2" count="1" selected="0">
            <x v="21"/>
          </reference>
          <reference field="4" count="1" selected="0">
            <x v="3"/>
          </reference>
          <reference field="5" count="1" selected="0">
            <x v="15"/>
          </reference>
          <reference field="6" count="1">
            <x v="105"/>
          </reference>
          <reference field="8" count="1" selected="0">
            <x v="11"/>
          </reference>
        </references>
      </pivotArea>
    </format>
    <format dxfId="2652">
      <pivotArea dataOnly="0" labelOnly="1" fieldPosition="0">
        <references count="5">
          <reference field="2" count="1" selected="0">
            <x v="21"/>
          </reference>
          <reference field="4" count="1" selected="0">
            <x v="3"/>
          </reference>
          <reference field="5" count="1" selected="0">
            <x v="16"/>
          </reference>
          <reference field="6" count="1">
            <x v="89"/>
          </reference>
          <reference field="8" count="1" selected="0">
            <x v="11"/>
          </reference>
        </references>
      </pivotArea>
    </format>
    <format dxfId="2653">
      <pivotArea dataOnly="0" labelOnly="1" fieldPosition="0">
        <references count="5">
          <reference field="2" count="1" selected="0">
            <x v="25"/>
          </reference>
          <reference field="4" count="1" selected="0">
            <x v="3"/>
          </reference>
          <reference field="5" count="1" selected="0">
            <x v="15"/>
          </reference>
          <reference field="6" count="1">
            <x v="148"/>
          </reference>
          <reference field="8" count="1" selected="0">
            <x v="11"/>
          </reference>
        </references>
      </pivotArea>
    </format>
    <format dxfId="2654">
      <pivotArea dataOnly="0" labelOnly="1" fieldPosition="0">
        <references count="5">
          <reference field="2" count="1" selected="0">
            <x v="12"/>
          </reference>
          <reference field="4" count="1" selected="0">
            <x v="3"/>
          </reference>
          <reference field="5" count="1" selected="0">
            <x v="15"/>
          </reference>
          <reference field="6" count="1">
            <x v="43"/>
          </reference>
          <reference field="8" count="1" selected="0">
            <x v="35"/>
          </reference>
        </references>
      </pivotArea>
    </format>
    <format dxfId="2655">
      <pivotArea dataOnly="0" labelOnly="1" fieldPosition="0">
        <references count="5">
          <reference field="2" count="1" selected="0">
            <x v="0"/>
          </reference>
          <reference field="4" count="1" selected="0">
            <x v="4"/>
          </reference>
          <reference field="5" count="1" selected="0">
            <x v="16"/>
          </reference>
          <reference field="6" count="1">
            <x v="101"/>
          </reference>
          <reference field="8" count="1" selected="0">
            <x v="3"/>
          </reference>
        </references>
      </pivotArea>
    </format>
    <format dxfId="2656">
      <pivotArea dataOnly="0" labelOnly="1" fieldPosition="0">
        <references count="5">
          <reference field="2" count="1" selected="0">
            <x v="3"/>
          </reference>
          <reference field="4" count="1" selected="0">
            <x v="4"/>
          </reference>
          <reference field="5" count="1" selected="0">
            <x v="12"/>
          </reference>
          <reference field="6" count="2">
            <x v="21"/>
            <x v="119"/>
          </reference>
          <reference field="8" count="1" selected="0">
            <x v="3"/>
          </reference>
        </references>
      </pivotArea>
    </format>
    <format dxfId="2657">
      <pivotArea dataOnly="0" labelOnly="1" fieldPosition="0">
        <references count="5">
          <reference field="2" count="1" selected="0">
            <x v="20"/>
          </reference>
          <reference field="4" count="1" selected="0">
            <x v="4"/>
          </reference>
          <reference field="5" count="1" selected="0">
            <x v="26"/>
          </reference>
          <reference field="6" count="1">
            <x v="97"/>
          </reference>
          <reference field="8" count="1" selected="0">
            <x v="3"/>
          </reference>
        </references>
      </pivotArea>
    </format>
    <format dxfId="2658">
      <pivotArea dataOnly="0" labelOnly="1" fieldPosition="0">
        <references count="5">
          <reference field="2" count="1" selected="0">
            <x v="25"/>
          </reference>
          <reference field="4" count="1" selected="0">
            <x v="4"/>
          </reference>
          <reference field="5" count="1" selected="0">
            <x v="16"/>
          </reference>
          <reference field="6" count="1">
            <x v="149"/>
          </reference>
          <reference field="8" count="1" selected="0">
            <x v="3"/>
          </reference>
        </references>
      </pivotArea>
    </format>
    <format dxfId="2659">
      <pivotArea dataOnly="0" labelOnly="1" fieldPosition="0">
        <references count="5">
          <reference field="2" count="1" selected="0">
            <x v="0"/>
          </reference>
          <reference field="4" count="1" selected="0">
            <x v="4"/>
          </reference>
          <reference field="5" count="1" selected="0">
            <x v="16"/>
          </reference>
          <reference field="6" count="1">
            <x v="101"/>
          </reference>
          <reference field="8" count="1" selected="0">
            <x v="4"/>
          </reference>
        </references>
      </pivotArea>
    </format>
    <format dxfId="2660">
      <pivotArea dataOnly="0" labelOnly="1" fieldPosition="0">
        <references count="5">
          <reference field="2" count="1" selected="0">
            <x v="3"/>
          </reference>
          <reference field="4" count="1" selected="0">
            <x v="4"/>
          </reference>
          <reference field="5" count="1" selected="0">
            <x v="12"/>
          </reference>
          <reference field="6" count="2">
            <x v="21"/>
            <x v="119"/>
          </reference>
          <reference field="8" count="1" selected="0">
            <x v="4"/>
          </reference>
        </references>
      </pivotArea>
    </format>
    <format dxfId="2661">
      <pivotArea dataOnly="0" labelOnly="1" fieldPosition="0">
        <references count="5">
          <reference field="2" count="1" selected="0">
            <x v="7"/>
          </reference>
          <reference field="4" count="1" selected="0">
            <x v="4"/>
          </reference>
          <reference field="5" count="1" selected="0">
            <x v="16"/>
          </reference>
          <reference field="6" count="1">
            <x v="26"/>
          </reference>
          <reference field="8" count="1" selected="0">
            <x v="4"/>
          </reference>
        </references>
      </pivotArea>
    </format>
    <format dxfId="2662">
      <pivotArea dataOnly="0" labelOnly="1" fieldPosition="0">
        <references count="5">
          <reference field="2" count="1" selected="0">
            <x v="12"/>
          </reference>
          <reference field="4" count="1" selected="0">
            <x v="4"/>
          </reference>
          <reference field="5" count="1" selected="0">
            <x v="9"/>
          </reference>
          <reference field="6" count="1">
            <x v="84"/>
          </reference>
          <reference field="8" count="1" selected="0">
            <x v="4"/>
          </reference>
        </references>
      </pivotArea>
    </format>
    <format dxfId="2663">
      <pivotArea dataOnly="0" labelOnly="1" fieldPosition="0">
        <references count="5">
          <reference field="2" count="1" selected="0">
            <x v="20"/>
          </reference>
          <reference field="4" count="1" selected="0">
            <x v="4"/>
          </reference>
          <reference field="5" count="1" selected="0">
            <x v="12"/>
          </reference>
          <reference field="6" count="1">
            <x v="124"/>
          </reference>
          <reference field="8" count="1" selected="0">
            <x v="4"/>
          </reference>
        </references>
      </pivotArea>
    </format>
    <format dxfId="2664">
      <pivotArea dataOnly="0" labelOnly="1" fieldPosition="0">
        <references count="5">
          <reference field="2" count="1" selected="0">
            <x v="20"/>
          </reference>
          <reference field="4" count="1" selected="0">
            <x v="4"/>
          </reference>
          <reference field="5" count="1" selected="0">
            <x v="26"/>
          </reference>
          <reference field="6" count="1">
            <x v="95"/>
          </reference>
          <reference field="8" count="1" selected="0">
            <x v="4"/>
          </reference>
        </references>
      </pivotArea>
    </format>
    <format dxfId="2665">
      <pivotArea dataOnly="0" labelOnly="1" fieldPosition="0">
        <references count="5">
          <reference field="2" count="1" selected="0">
            <x v="21"/>
          </reference>
          <reference field="4" count="1" selected="0">
            <x v="4"/>
          </reference>
          <reference field="5" count="1" selected="0">
            <x v="14"/>
          </reference>
          <reference field="6" count="1">
            <x v="93"/>
          </reference>
          <reference field="8" count="1" selected="0">
            <x v="4"/>
          </reference>
        </references>
      </pivotArea>
    </format>
    <format dxfId="2666">
      <pivotArea dataOnly="0" labelOnly="1" fieldPosition="0">
        <references count="5">
          <reference field="2" count="1" selected="0">
            <x v="21"/>
          </reference>
          <reference field="4" count="1" selected="0">
            <x v="4"/>
          </reference>
          <reference field="5" count="1" selected="0">
            <x v="15"/>
          </reference>
          <reference field="6" count="1">
            <x v="106"/>
          </reference>
          <reference field="8" count="1" selected="0">
            <x v="4"/>
          </reference>
        </references>
      </pivotArea>
    </format>
    <format dxfId="2667">
      <pivotArea dataOnly="0" labelOnly="1" fieldPosition="0">
        <references count="5">
          <reference field="2" count="1" selected="0">
            <x v="21"/>
          </reference>
          <reference field="4" count="1" selected="0">
            <x v="4"/>
          </reference>
          <reference field="5" count="1" selected="0">
            <x v="16"/>
          </reference>
          <reference field="6" count="1">
            <x v="90"/>
          </reference>
          <reference field="8" count="1" selected="0">
            <x v="4"/>
          </reference>
        </references>
      </pivotArea>
    </format>
    <format dxfId="2668">
      <pivotArea dataOnly="0" labelOnly="1" fieldPosition="0">
        <references count="5">
          <reference field="2" count="1" selected="0">
            <x v="25"/>
          </reference>
          <reference field="4" count="1" selected="0">
            <x v="4"/>
          </reference>
          <reference field="5" count="1" selected="0">
            <x v="16"/>
          </reference>
          <reference field="6" count="1">
            <x v="149"/>
          </reference>
          <reference field="8" count="1" selected="0">
            <x v="4"/>
          </reference>
        </references>
      </pivotArea>
    </format>
    <format dxfId="2669">
      <pivotArea dataOnly="0" labelOnly="1" fieldPosition="0">
        <references count="5">
          <reference field="2" count="1" selected="0">
            <x v="20"/>
          </reference>
          <reference field="4" count="1" selected="0">
            <x v="4"/>
          </reference>
          <reference field="5" count="1" selected="0">
            <x v="26"/>
          </reference>
          <reference field="6" count="1">
            <x v="97"/>
          </reference>
          <reference field="8" count="1" selected="0">
            <x v="5"/>
          </reference>
        </references>
      </pivotArea>
    </format>
    <format dxfId="2670">
      <pivotArea dataOnly="0" labelOnly="1" fieldPosition="0">
        <references count="5">
          <reference field="2" count="1" selected="0">
            <x v="0"/>
          </reference>
          <reference field="4" count="1" selected="0">
            <x v="4"/>
          </reference>
          <reference field="5" count="1" selected="0">
            <x v="16"/>
          </reference>
          <reference field="6" count="1">
            <x v="101"/>
          </reference>
          <reference field="8" count="1" selected="0">
            <x v="6"/>
          </reference>
        </references>
      </pivotArea>
    </format>
    <format dxfId="2671">
      <pivotArea dataOnly="0" labelOnly="1" fieldPosition="0">
        <references count="5">
          <reference field="2" count="1" selected="0">
            <x v="13"/>
          </reference>
          <reference field="4" count="1" selected="0">
            <x v="4"/>
          </reference>
          <reference field="5" count="1" selected="0">
            <x v="16"/>
          </reference>
          <reference field="6" count="1">
            <x v="23"/>
          </reference>
          <reference field="8" count="1" selected="0">
            <x v="6"/>
          </reference>
        </references>
      </pivotArea>
    </format>
    <format dxfId="2672">
      <pivotArea dataOnly="0" labelOnly="1" fieldPosition="0">
        <references count="5">
          <reference field="2" count="1" selected="0">
            <x v="4"/>
          </reference>
          <reference field="4" count="1" selected="0">
            <x v="4"/>
          </reference>
          <reference field="5" count="1" selected="0">
            <x v="15"/>
          </reference>
          <reference field="6" count="1">
            <x v="12"/>
          </reference>
          <reference field="8" count="1" selected="0">
            <x v="9"/>
          </reference>
        </references>
      </pivotArea>
    </format>
    <format dxfId="2673">
      <pivotArea dataOnly="0" labelOnly="1" fieldPosition="0">
        <references count="5">
          <reference field="2" count="1" selected="0">
            <x v="16"/>
          </reference>
          <reference field="4" count="1" selected="0">
            <x v="4"/>
          </reference>
          <reference field="5" count="1" selected="0">
            <x v="15"/>
          </reference>
          <reference field="6" count="1">
            <x v="32"/>
          </reference>
          <reference field="8" count="1" selected="0">
            <x v="9"/>
          </reference>
        </references>
      </pivotArea>
    </format>
    <format dxfId="2674">
      <pivotArea dataOnly="0" labelOnly="1" fieldPosition="0">
        <references count="5">
          <reference field="2" count="1" selected="0">
            <x v="20"/>
          </reference>
          <reference field="4" count="1" selected="0">
            <x v="4"/>
          </reference>
          <reference field="5" count="1" selected="0">
            <x v="26"/>
          </reference>
          <reference field="6" count="1">
            <x v="97"/>
          </reference>
          <reference field="8" count="1" selected="0">
            <x v="9"/>
          </reference>
        </references>
      </pivotArea>
    </format>
    <format dxfId="2675">
      <pivotArea dataOnly="0" labelOnly="1" fieldPosition="0">
        <references count="5">
          <reference field="2" count="1" selected="0">
            <x v="19"/>
          </reference>
          <reference field="4" count="1" selected="0">
            <x v="4"/>
          </reference>
          <reference field="5" count="1" selected="0">
            <x v="15"/>
          </reference>
          <reference field="6" count="2">
            <x v="32"/>
            <x v="114"/>
          </reference>
          <reference field="8" count="1" selected="0">
            <x v="10"/>
          </reference>
        </references>
      </pivotArea>
    </format>
    <format dxfId="2676">
      <pivotArea dataOnly="0" labelOnly="1" fieldPosition="0">
        <references count="5">
          <reference field="2" count="1" selected="0">
            <x v="21"/>
          </reference>
          <reference field="4" count="1" selected="0">
            <x v="4"/>
          </reference>
          <reference field="5" count="1" selected="0">
            <x v="15"/>
          </reference>
          <reference field="6" count="1">
            <x v="109"/>
          </reference>
          <reference field="8" count="1" selected="0">
            <x v="10"/>
          </reference>
        </references>
      </pivotArea>
    </format>
    <format dxfId="2677">
      <pivotArea dataOnly="0" labelOnly="1" fieldPosition="0">
        <references count="5">
          <reference field="2" count="1" selected="0">
            <x v="0"/>
          </reference>
          <reference field="4" count="1" selected="0">
            <x v="4"/>
          </reference>
          <reference field="5" count="1" selected="0">
            <x v="16"/>
          </reference>
          <reference field="6" count="1">
            <x v="101"/>
          </reference>
          <reference field="8" count="1" selected="0">
            <x v="11"/>
          </reference>
        </references>
      </pivotArea>
    </format>
    <format dxfId="2678">
      <pivotArea dataOnly="0" labelOnly="1" fieldPosition="0">
        <references count="5">
          <reference field="2" count="1" selected="0">
            <x v="2"/>
          </reference>
          <reference field="4" count="1" selected="0">
            <x v="4"/>
          </reference>
          <reference field="5" count="1" selected="0">
            <x v="15"/>
          </reference>
          <reference field="6" count="1">
            <x v="7"/>
          </reference>
          <reference field="8" count="1" selected="0">
            <x v="11"/>
          </reference>
        </references>
      </pivotArea>
    </format>
    <format dxfId="2679">
      <pivotArea dataOnly="0" labelOnly="1" fieldPosition="0">
        <references count="5">
          <reference field="2" count="1" selected="0">
            <x v="4"/>
          </reference>
          <reference field="4" count="1" selected="0">
            <x v="4"/>
          </reference>
          <reference field="5" count="1" selected="0">
            <x v="15"/>
          </reference>
          <reference field="6" count="1">
            <x v="41"/>
          </reference>
          <reference field="8" count="1" selected="0">
            <x v="11"/>
          </reference>
        </references>
      </pivotArea>
    </format>
    <format dxfId="2680">
      <pivotArea dataOnly="0" labelOnly="1" fieldPosition="0">
        <references count="5">
          <reference field="2" count="1" selected="0">
            <x v="5"/>
          </reference>
          <reference field="4" count="1" selected="0">
            <x v="4"/>
          </reference>
          <reference field="5" count="1" selected="0">
            <x v="3"/>
          </reference>
          <reference field="6" count="1">
            <x v="27"/>
          </reference>
          <reference field="8" count="1" selected="0">
            <x v="11"/>
          </reference>
        </references>
      </pivotArea>
    </format>
    <format dxfId="2681">
      <pivotArea dataOnly="0" labelOnly="1" fieldPosition="0">
        <references count="5">
          <reference field="2" count="1" selected="0">
            <x v="7"/>
          </reference>
          <reference field="4" count="1" selected="0">
            <x v="4"/>
          </reference>
          <reference field="5" count="1" selected="0">
            <x v="14"/>
          </reference>
          <reference field="6" count="1">
            <x v="26"/>
          </reference>
          <reference field="8" count="1" selected="0">
            <x v="11"/>
          </reference>
        </references>
      </pivotArea>
    </format>
    <format dxfId="2682">
      <pivotArea dataOnly="0" labelOnly="1" fieldPosition="0">
        <references count="5">
          <reference field="2" count="1" selected="0">
            <x v="9"/>
          </reference>
          <reference field="4" count="1" selected="0">
            <x v="4"/>
          </reference>
          <reference field="5" count="1" selected="0">
            <x v="20"/>
          </reference>
          <reference field="6" count="1">
            <x v="44"/>
          </reference>
          <reference field="8" count="1" selected="0">
            <x v="11"/>
          </reference>
        </references>
      </pivotArea>
    </format>
    <format dxfId="2683">
      <pivotArea dataOnly="0" labelOnly="1" fieldPosition="0">
        <references count="5">
          <reference field="2" count="1" selected="0">
            <x v="10"/>
          </reference>
          <reference field="4" count="1" selected="0">
            <x v="4"/>
          </reference>
          <reference field="5" count="1" selected="0">
            <x v="12"/>
          </reference>
          <reference field="6" count="1">
            <x v="46"/>
          </reference>
          <reference field="8" count="1" selected="0">
            <x v="11"/>
          </reference>
        </references>
      </pivotArea>
    </format>
    <format dxfId="2684">
      <pivotArea dataOnly="0" labelOnly="1" fieldPosition="0">
        <references count="5">
          <reference field="2" count="1" selected="0">
            <x v="12"/>
          </reference>
          <reference field="4" count="1" selected="0">
            <x v="4"/>
          </reference>
          <reference field="5" count="1" selected="0">
            <x v="15"/>
          </reference>
          <reference field="6" count="1">
            <x v="43"/>
          </reference>
          <reference field="8" count="1" selected="0">
            <x v="11"/>
          </reference>
        </references>
      </pivotArea>
    </format>
    <format dxfId="2685">
      <pivotArea dataOnly="0" labelOnly="1" fieldPosition="0">
        <references count="5">
          <reference field="2" count="1" selected="0">
            <x v="18"/>
          </reference>
          <reference field="4" count="1" selected="0">
            <x v="4"/>
          </reference>
          <reference field="5" count="1" selected="0">
            <x v="15"/>
          </reference>
          <reference field="6" count="1">
            <x v="107"/>
          </reference>
          <reference field="8" count="1" selected="0">
            <x v="11"/>
          </reference>
        </references>
      </pivotArea>
    </format>
    <format dxfId="2686">
      <pivotArea dataOnly="0" labelOnly="1" fieldPosition="0">
        <references count="5">
          <reference field="2" count="1" selected="0">
            <x v="20"/>
          </reference>
          <reference field="4" count="1" selected="0">
            <x v="4"/>
          </reference>
          <reference field="5" count="1" selected="0">
            <x v="12"/>
          </reference>
          <reference field="6" count="1">
            <x v="123"/>
          </reference>
          <reference field="8" count="1" selected="0">
            <x v="11"/>
          </reference>
        </references>
      </pivotArea>
    </format>
    <format dxfId="2687">
      <pivotArea dataOnly="0" labelOnly="1" fieldPosition="0">
        <references count="5">
          <reference field="2" count="1" selected="0">
            <x v="21"/>
          </reference>
          <reference field="4" count="1" selected="0">
            <x v="4"/>
          </reference>
          <reference field="5" count="1" selected="0">
            <x v="15"/>
          </reference>
          <reference field="6" count="1">
            <x v="105"/>
          </reference>
          <reference field="8" count="1" selected="0">
            <x v="11"/>
          </reference>
        </references>
      </pivotArea>
    </format>
    <format dxfId="2688">
      <pivotArea dataOnly="0" labelOnly="1" fieldPosition="0">
        <references count="5">
          <reference field="2" count="1" selected="0">
            <x v="21"/>
          </reference>
          <reference field="4" count="1" selected="0">
            <x v="4"/>
          </reference>
          <reference field="5" count="1" selected="0">
            <x v="16"/>
          </reference>
          <reference field="6" count="1">
            <x v="90"/>
          </reference>
          <reference field="8" count="1" selected="0">
            <x v="11"/>
          </reference>
        </references>
      </pivotArea>
    </format>
    <format dxfId="2689">
      <pivotArea dataOnly="0" labelOnly="1" fieldPosition="0">
        <references count="5">
          <reference field="2" count="1" selected="0">
            <x v="25"/>
          </reference>
          <reference field="4" count="1" selected="0">
            <x v="4"/>
          </reference>
          <reference field="5" count="1" selected="0">
            <x v="15"/>
          </reference>
          <reference field="6" count="1">
            <x v="148"/>
          </reference>
          <reference field="8" count="1" selected="0">
            <x v="11"/>
          </reference>
        </references>
      </pivotArea>
    </format>
    <format dxfId="2690">
      <pivotArea dataOnly="0" labelOnly="1" fieldPosition="0">
        <references count="5">
          <reference field="2" count="1" selected="0">
            <x v="12"/>
          </reference>
          <reference field="4" count="1" selected="0">
            <x v="4"/>
          </reference>
          <reference field="5" count="1" selected="0">
            <x v="15"/>
          </reference>
          <reference field="6" count="1">
            <x v="43"/>
          </reference>
          <reference field="8" count="1" selected="0">
            <x v="35"/>
          </reference>
        </references>
      </pivotArea>
    </format>
    <format dxfId="2691">
      <pivotArea dataOnly="0" labelOnly="1" fieldPosition="0">
        <references count="5">
          <reference field="2" count="1" selected="0">
            <x v="0"/>
          </reference>
          <reference field="4" count="1" selected="0">
            <x v="5"/>
          </reference>
          <reference field="5" count="1" selected="0">
            <x v="21"/>
          </reference>
          <reference field="6" count="1">
            <x v="134"/>
          </reference>
          <reference field="8" count="1" selected="0">
            <x v="3"/>
          </reference>
        </references>
      </pivotArea>
    </format>
    <format dxfId="2692">
      <pivotArea dataOnly="0" labelOnly="1" fieldPosition="0">
        <references count="5">
          <reference field="2" count="1" selected="0">
            <x v="3"/>
          </reference>
          <reference field="4" count="1" selected="0">
            <x v="5"/>
          </reference>
          <reference field="5" count="1" selected="0">
            <x v="1"/>
          </reference>
          <reference field="6" count="1">
            <x v="127"/>
          </reference>
          <reference field="8" count="1" selected="0">
            <x v="3"/>
          </reference>
        </references>
      </pivotArea>
    </format>
    <format dxfId="2693">
      <pivotArea dataOnly="0" labelOnly="1" fieldPosition="0">
        <references count="5">
          <reference field="2" count="1" selected="0">
            <x v="3"/>
          </reference>
          <reference field="4" count="1" selected="0">
            <x v="5"/>
          </reference>
          <reference field="5" count="1" selected="0">
            <x v="21"/>
          </reference>
          <reference field="6" count="1">
            <x v="119"/>
          </reference>
          <reference field="8" count="1" selected="0">
            <x v="3"/>
          </reference>
        </references>
      </pivotArea>
    </format>
    <format dxfId="2694">
      <pivotArea dataOnly="0" labelOnly="1" fieldPosition="0">
        <references count="5">
          <reference field="2" count="1" selected="0">
            <x v="13"/>
          </reference>
          <reference field="4" count="1" selected="0">
            <x v="5"/>
          </reference>
          <reference field="5" count="1" selected="0">
            <x v="1"/>
          </reference>
          <reference field="6" count="1">
            <x v="145"/>
          </reference>
          <reference field="8" count="1" selected="0">
            <x v="3"/>
          </reference>
        </references>
      </pivotArea>
    </format>
    <format dxfId="2695">
      <pivotArea dataOnly="0" labelOnly="1" fieldPosition="0">
        <references count="5">
          <reference field="2" count="1" selected="0">
            <x v="20"/>
          </reference>
          <reference field="4" count="1" selected="0">
            <x v="5"/>
          </reference>
          <reference field="5" count="1" selected="0">
            <x v="21"/>
          </reference>
          <reference field="6" count="1">
            <x v="99"/>
          </reference>
          <reference field="8" count="1" selected="0">
            <x v="3"/>
          </reference>
        </references>
      </pivotArea>
    </format>
    <format dxfId="2696">
      <pivotArea dataOnly="0" labelOnly="1" fieldPosition="0">
        <references count="5">
          <reference field="2" count="1" selected="0">
            <x v="0"/>
          </reference>
          <reference field="4" count="1" selected="0">
            <x v="5"/>
          </reference>
          <reference field="5" count="1" selected="0">
            <x v="21"/>
          </reference>
          <reference field="6" count="1">
            <x v="134"/>
          </reference>
          <reference field="8" count="1" selected="0">
            <x v="4"/>
          </reference>
        </references>
      </pivotArea>
    </format>
    <format dxfId="2697">
      <pivotArea dataOnly="0" labelOnly="1" fieldPosition="0">
        <references count="5">
          <reference field="2" count="1" selected="0">
            <x v="3"/>
          </reference>
          <reference field="4" count="1" selected="0">
            <x v="5"/>
          </reference>
          <reference field="5" count="1" selected="0">
            <x v="1"/>
          </reference>
          <reference field="6" count="1">
            <x v="127"/>
          </reference>
          <reference field="8" count="1" selected="0">
            <x v="4"/>
          </reference>
        </references>
      </pivotArea>
    </format>
    <format dxfId="2698">
      <pivotArea dataOnly="0" labelOnly="1" fieldPosition="0">
        <references count="5">
          <reference field="2" count="1" selected="0">
            <x v="3"/>
          </reference>
          <reference field="4" count="1" selected="0">
            <x v="5"/>
          </reference>
          <reference field="5" count="1" selected="0">
            <x v="21"/>
          </reference>
          <reference field="6" count="1">
            <x v="119"/>
          </reference>
          <reference field="8" count="1" selected="0">
            <x v="4"/>
          </reference>
        </references>
      </pivotArea>
    </format>
    <format dxfId="2699">
      <pivotArea dataOnly="0" labelOnly="1" fieldPosition="0">
        <references count="5">
          <reference field="2" count="1" selected="0">
            <x v="10"/>
          </reference>
          <reference field="4" count="1" selected="0">
            <x v="5"/>
          </reference>
          <reference field="5" count="1" selected="0">
            <x v="13"/>
          </reference>
          <reference field="6" count="1">
            <x v="47"/>
          </reference>
          <reference field="8" count="1" selected="0">
            <x v="4"/>
          </reference>
        </references>
      </pivotArea>
    </format>
    <format dxfId="2700">
      <pivotArea dataOnly="0" labelOnly="1" fieldPosition="0">
        <references count="5">
          <reference field="2" count="1" selected="0">
            <x v="12"/>
          </reference>
          <reference field="4" count="1" selected="0">
            <x v="5"/>
          </reference>
          <reference field="5" count="1" selected="0">
            <x v="22"/>
          </reference>
          <reference field="6" count="1">
            <x v="55"/>
          </reference>
          <reference field="8" count="1" selected="0">
            <x v="4"/>
          </reference>
        </references>
      </pivotArea>
    </format>
    <format dxfId="2701">
      <pivotArea dataOnly="0" labelOnly="1" fieldPosition="0">
        <references count="5">
          <reference field="2" count="1" selected="0">
            <x v="13"/>
          </reference>
          <reference field="4" count="1" selected="0">
            <x v="5"/>
          </reference>
          <reference field="5" count="1" selected="0">
            <x v="1"/>
          </reference>
          <reference field="6" count="1">
            <x v="145"/>
          </reference>
          <reference field="8" count="1" selected="0">
            <x v="4"/>
          </reference>
        </references>
      </pivotArea>
    </format>
    <format dxfId="2702">
      <pivotArea dataOnly="0" labelOnly="1" fieldPosition="0">
        <references count="5">
          <reference field="2" count="1" selected="0">
            <x v="15"/>
          </reference>
          <reference field="4" count="1" selected="0">
            <x v="5"/>
          </reference>
          <reference field="5" count="1" selected="0">
            <x v="1"/>
          </reference>
          <reference field="6" count="1">
            <x v="65"/>
          </reference>
          <reference field="8" count="1" selected="0">
            <x v="4"/>
          </reference>
        </references>
      </pivotArea>
    </format>
    <format dxfId="2703">
      <pivotArea dataOnly="0" labelOnly="1" fieldPosition="0">
        <references count="5">
          <reference field="2" count="1" selected="0">
            <x v="17"/>
          </reference>
          <reference field="4" count="1" selected="0">
            <x v="5"/>
          </reference>
          <reference field="5" count="1" selected="0">
            <x v="1"/>
          </reference>
          <reference field="6" count="1">
            <x v="65"/>
          </reference>
          <reference field="8" count="1" selected="0">
            <x v="4"/>
          </reference>
        </references>
      </pivotArea>
    </format>
    <format dxfId="2704">
      <pivotArea dataOnly="0" labelOnly="1" fieldPosition="0">
        <references count="5">
          <reference field="2" count="1" selected="0">
            <x v="20"/>
          </reference>
          <reference field="4" count="1" selected="0">
            <x v="5"/>
          </reference>
          <reference field="5" count="1" selected="0">
            <x v="21"/>
          </reference>
          <reference field="6" count="3">
            <x v="99"/>
            <x v="113"/>
            <x v="120"/>
          </reference>
          <reference field="8" count="1" selected="0">
            <x v="4"/>
          </reference>
        </references>
      </pivotArea>
    </format>
    <format dxfId="2705">
      <pivotArea dataOnly="0" labelOnly="1" fieldPosition="0">
        <references count="5">
          <reference field="2" count="1" selected="0">
            <x v="20"/>
          </reference>
          <reference field="4" count="1" selected="0">
            <x v="5"/>
          </reference>
          <reference field="5" count="1" selected="0">
            <x v="22"/>
          </reference>
          <reference field="6" count="1">
            <x v="121"/>
          </reference>
          <reference field="8" count="1" selected="0">
            <x v="4"/>
          </reference>
        </references>
      </pivotArea>
    </format>
    <format dxfId="2706">
      <pivotArea dataOnly="0" labelOnly="1" fieldPosition="0">
        <references count="5">
          <reference field="2" count="1" selected="0">
            <x v="21"/>
          </reference>
          <reference field="4" count="1" selected="0">
            <x v="5"/>
          </reference>
          <reference field="5" count="1" selected="0">
            <x v="1"/>
          </reference>
          <reference field="6" count="1">
            <x v="52"/>
          </reference>
          <reference field="8" count="1" selected="0">
            <x v="4"/>
          </reference>
        </references>
      </pivotArea>
    </format>
    <format dxfId="2707">
      <pivotArea dataOnly="0" labelOnly="1" fieldPosition="0">
        <references count="5">
          <reference field="2" count="1" selected="0">
            <x v="13"/>
          </reference>
          <reference field="4" count="1" selected="0">
            <x v="5"/>
          </reference>
          <reference field="5" count="1" selected="0">
            <x v="1"/>
          </reference>
          <reference field="6" count="1">
            <x v="145"/>
          </reference>
          <reference field="8" count="1" selected="0">
            <x v="5"/>
          </reference>
        </references>
      </pivotArea>
    </format>
    <format dxfId="2708">
      <pivotArea dataOnly="0" labelOnly="1" fieldPosition="0">
        <references count="5">
          <reference field="2" count="1" selected="0">
            <x v="15"/>
          </reference>
          <reference field="4" count="1" selected="0">
            <x v="5"/>
          </reference>
          <reference field="5" count="1" selected="0">
            <x v="1"/>
          </reference>
          <reference field="6" count="1">
            <x v="65"/>
          </reference>
          <reference field="8" count="1" selected="0">
            <x v="5"/>
          </reference>
        </references>
      </pivotArea>
    </format>
    <format dxfId="2709">
      <pivotArea dataOnly="0" labelOnly="1" fieldPosition="0">
        <references count="5">
          <reference field="2" count="1" selected="0">
            <x v="20"/>
          </reference>
          <reference field="4" count="1" selected="0">
            <x v="5"/>
          </reference>
          <reference field="5" count="1" selected="0">
            <x v="21"/>
          </reference>
          <reference field="6" count="2">
            <x v="99"/>
            <x v="113"/>
          </reference>
          <reference field="8" count="1" selected="0">
            <x v="5"/>
          </reference>
        </references>
      </pivotArea>
    </format>
    <format dxfId="2710">
      <pivotArea dataOnly="0" labelOnly="1" fieldPosition="0">
        <references count="5">
          <reference field="2" count="1" selected="0">
            <x v="6"/>
          </reference>
          <reference field="4" count="1" selected="0">
            <x v="5"/>
          </reference>
          <reference field="5" count="1" selected="0">
            <x v="1"/>
          </reference>
          <reference field="6" count="1">
            <x v="65"/>
          </reference>
          <reference field="8" count="1" selected="0">
            <x v="9"/>
          </reference>
        </references>
      </pivotArea>
    </format>
    <format dxfId="2711">
      <pivotArea dataOnly="0" labelOnly="1" fieldPosition="0">
        <references count="5">
          <reference field="2" count="1" selected="0">
            <x v="6"/>
          </reference>
          <reference field="4" count="1" selected="0">
            <x v="5"/>
          </reference>
          <reference field="5" count="1" selected="0">
            <x v="22"/>
          </reference>
          <reference field="6" count="1">
            <x v="48"/>
          </reference>
          <reference field="8" count="1" selected="0">
            <x v="9"/>
          </reference>
        </references>
      </pivotArea>
    </format>
    <format dxfId="2712">
      <pivotArea dataOnly="0" labelOnly="1" fieldPosition="0">
        <references count="5">
          <reference field="2" count="1" selected="0">
            <x v="10"/>
          </reference>
          <reference field="4" count="1" selected="0">
            <x v="5"/>
          </reference>
          <reference field="5" count="1" selected="0">
            <x v="1"/>
          </reference>
          <reference field="6" count="1">
            <x v="42"/>
          </reference>
          <reference field="8" count="1" selected="0">
            <x v="9"/>
          </reference>
        </references>
      </pivotArea>
    </format>
    <format dxfId="2713">
      <pivotArea dataOnly="0" labelOnly="1" fieldPosition="0">
        <references count="5">
          <reference field="2" count="1" selected="0">
            <x v="13"/>
          </reference>
          <reference field="4" count="1" selected="0">
            <x v="5"/>
          </reference>
          <reference field="5" count="1" selected="0">
            <x v="1"/>
          </reference>
          <reference field="6" count="1">
            <x v="132"/>
          </reference>
          <reference field="8" count="1" selected="0">
            <x v="9"/>
          </reference>
        </references>
      </pivotArea>
    </format>
    <format dxfId="2714">
      <pivotArea dataOnly="0" labelOnly="1" fieldPosition="0">
        <references count="5">
          <reference field="2" count="1" selected="0">
            <x v="17"/>
          </reference>
          <reference field="4" count="1" selected="0">
            <x v="5"/>
          </reference>
          <reference field="5" count="1" selected="0">
            <x v="1"/>
          </reference>
          <reference field="6" count="1">
            <x v="65"/>
          </reference>
          <reference field="8" count="1" selected="0">
            <x v="9"/>
          </reference>
        </references>
      </pivotArea>
    </format>
    <format dxfId="2715">
      <pivotArea dataOnly="0" labelOnly="1" fieldPosition="0">
        <references count="5">
          <reference field="2" count="1" selected="0">
            <x v="19"/>
          </reference>
          <reference field="4" count="1" selected="0">
            <x v="5"/>
          </reference>
          <reference field="5" count="1" selected="0">
            <x v="1"/>
          </reference>
          <reference field="6" count="1">
            <x v="65"/>
          </reference>
          <reference field="8" count="1" selected="0">
            <x v="9"/>
          </reference>
        </references>
      </pivotArea>
    </format>
    <format dxfId="2716">
      <pivotArea dataOnly="0" labelOnly="1" fieldPosition="0">
        <references count="5">
          <reference field="2" count="1" selected="0">
            <x v="0"/>
          </reference>
          <reference field="4" count="1" selected="0">
            <x v="5"/>
          </reference>
          <reference field="5" count="1" selected="0">
            <x v="21"/>
          </reference>
          <reference field="6" count="1">
            <x v="135"/>
          </reference>
          <reference field="8" count="1" selected="0">
            <x v="10"/>
          </reference>
        </references>
      </pivotArea>
    </format>
    <format dxfId="2717">
      <pivotArea dataOnly="0" labelOnly="1" fieldPosition="0">
        <references count="5">
          <reference field="2" count="1" selected="0">
            <x v="12"/>
          </reference>
          <reference field="4" count="1" selected="0">
            <x v="5"/>
          </reference>
          <reference field="5" count="1" selected="0">
            <x v="22"/>
          </reference>
          <reference field="6" count="1">
            <x v="61"/>
          </reference>
          <reference field="8" count="1" selected="0">
            <x v="10"/>
          </reference>
        </references>
      </pivotArea>
    </format>
    <format dxfId="2718">
      <pivotArea dataOnly="0" labelOnly="1" fieldPosition="0">
        <references count="5">
          <reference field="2" count="1" selected="0">
            <x v="15"/>
          </reference>
          <reference field="4" count="1" selected="0">
            <x v="5"/>
          </reference>
          <reference field="5" count="1" selected="0">
            <x v="1"/>
          </reference>
          <reference field="6" count="1">
            <x v="65"/>
          </reference>
          <reference field="8" count="1" selected="0">
            <x v="10"/>
          </reference>
        </references>
      </pivotArea>
    </format>
    <format dxfId="2719">
      <pivotArea dataOnly="0" labelOnly="1" fieldPosition="0">
        <references count="5">
          <reference field="2" count="1" selected="0">
            <x v="19"/>
          </reference>
          <reference field="4" count="1" selected="0">
            <x v="5"/>
          </reference>
          <reference field="5" count="1" selected="0">
            <x v="21"/>
          </reference>
          <reference field="6" count="1">
            <x v="114"/>
          </reference>
          <reference field="8" count="1" selected="0">
            <x v="10"/>
          </reference>
        </references>
      </pivotArea>
    </format>
    <format dxfId="2720">
      <pivotArea dataOnly="0" labelOnly="1" fieldPosition="0">
        <references count="5">
          <reference field="2" count="1" selected="0">
            <x v="19"/>
          </reference>
          <reference field="4" count="1" selected="0">
            <x v="5"/>
          </reference>
          <reference field="5" count="1" selected="0">
            <x v="22"/>
          </reference>
          <reference field="6" count="1">
            <x v="32"/>
          </reference>
          <reference field="8" count="1" selected="0">
            <x v="10"/>
          </reference>
        </references>
      </pivotArea>
    </format>
    <format dxfId="2721">
      <pivotArea dataOnly="0" labelOnly="1" fieldPosition="0">
        <references count="5">
          <reference field="2" count="1" selected="0">
            <x v="20"/>
          </reference>
          <reference field="4" count="1" selected="0">
            <x v="5"/>
          </reference>
          <reference field="5" count="1" selected="0">
            <x v="21"/>
          </reference>
          <reference field="6" count="1">
            <x v="113"/>
          </reference>
          <reference field="8" count="1" selected="0">
            <x v="10"/>
          </reference>
        </references>
      </pivotArea>
    </format>
    <format dxfId="2722">
      <pivotArea dataOnly="0" labelOnly="1" fieldPosition="0">
        <references count="5">
          <reference field="2" count="1" selected="0">
            <x v="21"/>
          </reference>
          <reference field="4" count="1" selected="0">
            <x v="5"/>
          </reference>
          <reference field="5" count="1" selected="0">
            <x v="1"/>
          </reference>
          <reference field="6" count="1">
            <x v="52"/>
          </reference>
          <reference field="8" count="1" selected="0">
            <x v="10"/>
          </reference>
        </references>
      </pivotArea>
    </format>
    <format dxfId="2723">
      <pivotArea dataOnly="0" labelOnly="1" fieldPosition="0">
        <references count="5">
          <reference field="2" count="1" selected="0">
            <x v="0"/>
          </reference>
          <reference field="4" count="1" selected="0">
            <x v="5"/>
          </reference>
          <reference field="5" count="1" selected="0">
            <x v="21"/>
          </reference>
          <reference field="6" count="2">
            <x v="134"/>
            <x v="147"/>
          </reference>
          <reference field="8" count="1" selected="0">
            <x v="11"/>
          </reference>
        </references>
      </pivotArea>
    </format>
    <format dxfId="2724">
      <pivotArea dataOnly="0" labelOnly="1" fieldPosition="0">
        <references count="5">
          <reference field="2" count="1" selected="0">
            <x v="10"/>
          </reference>
          <reference field="4" count="1" selected="0">
            <x v="5"/>
          </reference>
          <reference field="5" count="1" selected="0">
            <x v="13"/>
          </reference>
          <reference field="6" count="1">
            <x v="47"/>
          </reference>
          <reference field="8" count="1" selected="0">
            <x v="11"/>
          </reference>
        </references>
      </pivotArea>
    </format>
    <format dxfId="2725">
      <pivotArea dataOnly="0" labelOnly="1" fieldPosition="0">
        <references count="5">
          <reference field="2" count="1" selected="0">
            <x v="13"/>
          </reference>
          <reference field="4" count="1" selected="0">
            <x v="5"/>
          </reference>
          <reference field="5" count="1" selected="0">
            <x v="1"/>
          </reference>
          <reference field="6" count="1">
            <x v="145"/>
          </reference>
          <reference field="8" count="1" selected="0">
            <x v="11"/>
          </reference>
        </references>
      </pivotArea>
    </format>
    <format dxfId="2726">
      <pivotArea dataOnly="0" labelOnly="1" fieldPosition="0">
        <references count="5">
          <reference field="2" count="1" selected="0">
            <x v="15"/>
          </reference>
          <reference field="4" count="1" selected="0">
            <x v="5"/>
          </reference>
          <reference field="5" count="1" selected="0">
            <x v="1"/>
          </reference>
          <reference field="6" count="1">
            <x v="65"/>
          </reference>
          <reference field="8" count="1" selected="0">
            <x v="11"/>
          </reference>
        </references>
      </pivotArea>
    </format>
    <format dxfId="2727">
      <pivotArea dataOnly="0" labelOnly="1" fieldPosition="0">
        <references count="5">
          <reference field="2" count="1" selected="0">
            <x v="20"/>
          </reference>
          <reference field="4" count="1" selected="0">
            <x v="5"/>
          </reference>
          <reference field="5" count="1" selected="0">
            <x v="21"/>
          </reference>
          <reference field="6" count="1">
            <x v="99"/>
          </reference>
          <reference field="8" count="1" selected="0">
            <x v="11"/>
          </reference>
        </references>
      </pivotArea>
    </format>
    <format dxfId="2728">
      <pivotArea dataOnly="0" labelOnly="1" fieldPosition="0">
        <references count="5">
          <reference field="2" count="1" selected="0">
            <x v="21"/>
          </reference>
          <reference field="4" count="1" selected="0">
            <x v="5"/>
          </reference>
          <reference field="5" count="1" selected="0">
            <x v="1"/>
          </reference>
          <reference field="6" count="1">
            <x v="52"/>
          </reference>
          <reference field="8" count="1" selected="0">
            <x v="11"/>
          </reference>
        </references>
      </pivotArea>
    </format>
    <format dxfId="2729">
      <pivotArea dataOnly="0" labelOnly="1" fieldPosition="0">
        <references count="5">
          <reference field="2" count="1" selected="0">
            <x v="22"/>
          </reference>
          <reference field="4" count="1" selected="0">
            <x v="5"/>
          </reference>
          <reference field="5" count="1" selected="0">
            <x v="21"/>
          </reference>
          <reference field="6" count="1">
            <x v="143"/>
          </reference>
          <reference field="8" count="1" selected="0">
            <x v="11"/>
          </reference>
        </references>
      </pivotArea>
    </format>
    <format dxfId="2730">
      <pivotArea dataOnly="0" labelOnly="1" fieldPosition="0">
        <references count="5">
          <reference field="2" count="1" selected="0">
            <x v="24"/>
          </reference>
          <reference field="4" count="1" selected="0">
            <x v="5"/>
          </reference>
          <reference field="5" count="1" selected="0">
            <x v="23"/>
          </reference>
          <reference field="6" count="1">
            <x v="142"/>
          </reference>
          <reference field="8" count="1" selected="0">
            <x v="11"/>
          </reference>
        </references>
      </pivotArea>
    </format>
    <format dxfId="2731">
      <pivotArea dataOnly="0" labelOnly="1" fieldPosition="0">
        <references count="5">
          <reference field="2" count="1" selected="0">
            <x v="0"/>
          </reference>
          <reference field="4" count="1" selected="0">
            <x v="5"/>
          </reference>
          <reference field="5" count="1" selected="0">
            <x v="21"/>
          </reference>
          <reference field="6" count="1">
            <x v="134"/>
          </reference>
          <reference field="8" count="1" selected="0">
            <x v="28"/>
          </reference>
        </references>
      </pivotArea>
    </format>
    <format dxfId="2732">
      <pivotArea dataOnly="0" labelOnly="1" fieldPosition="0">
        <references count="5">
          <reference field="2" count="1" selected="0">
            <x v="20"/>
          </reference>
          <reference field="4" count="1" selected="0">
            <x v="5"/>
          </reference>
          <reference field="5" count="1" selected="0">
            <x v="21"/>
          </reference>
          <reference field="6" count="1">
            <x v="113"/>
          </reference>
          <reference field="8" count="1" selected="0">
            <x v="28"/>
          </reference>
        </references>
      </pivotArea>
    </format>
    <format dxfId="2733">
      <pivotArea dataOnly="0" labelOnly="1" fieldPosition="0">
        <references count="5">
          <reference field="2" count="1" selected="0">
            <x v="0"/>
          </reference>
          <reference field="4" count="1" selected="0">
            <x v="5"/>
          </reference>
          <reference field="5" count="1" selected="0">
            <x v="21"/>
          </reference>
          <reference field="6" count="1">
            <x v="134"/>
          </reference>
          <reference field="8" count="1" selected="0">
            <x v="29"/>
          </reference>
        </references>
      </pivotArea>
    </format>
    <format dxfId="2734">
      <pivotArea dataOnly="0" labelOnly="1" fieldPosition="0">
        <references count="5">
          <reference field="2" count="1" selected="0">
            <x v="0"/>
          </reference>
          <reference field="4" count="1" selected="0">
            <x v="6"/>
          </reference>
          <reference field="5" count="1" selected="0">
            <x v="16"/>
          </reference>
          <reference field="6" count="1">
            <x v="101"/>
          </reference>
          <reference field="8" count="1" selected="0">
            <x v="3"/>
          </reference>
        </references>
      </pivotArea>
    </format>
    <format dxfId="2735">
      <pivotArea dataOnly="0" labelOnly="1" fieldPosition="0">
        <references count="5">
          <reference field="2" count="1" selected="0">
            <x v="3"/>
          </reference>
          <reference field="4" count="1" selected="0">
            <x v="6"/>
          </reference>
          <reference field="5" count="1" selected="0">
            <x v="12"/>
          </reference>
          <reference field="6" count="2">
            <x v="21"/>
            <x v="119"/>
          </reference>
          <reference field="8" count="1" selected="0">
            <x v="3"/>
          </reference>
        </references>
      </pivotArea>
    </format>
    <format dxfId="2736">
      <pivotArea dataOnly="0" labelOnly="1" fieldPosition="0">
        <references count="5">
          <reference field="2" count="1" selected="0">
            <x v="25"/>
          </reference>
          <reference field="4" count="1" selected="0">
            <x v="6"/>
          </reference>
          <reference field="5" count="1" selected="0">
            <x v="16"/>
          </reference>
          <reference field="6" count="1">
            <x v="149"/>
          </reference>
          <reference field="8" count="1" selected="0">
            <x v="3"/>
          </reference>
        </references>
      </pivotArea>
    </format>
    <format dxfId="2737">
      <pivotArea dataOnly="0" labelOnly="1" fieldPosition="0">
        <references count="5">
          <reference field="2" count="1" selected="0">
            <x v="0"/>
          </reference>
          <reference field="4" count="1" selected="0">
            <x v="6"/>
          </reference>
          <reference field="5" count="1" selected="0">
            <x v="16"/>
          </reference>
          <reference field="6" count="1">
            <x v="101"/>
          </reference>
          <reference field="8" count="1" selected="0">
            <x v="4"/>
          </reference>
        </references>
      </pivotArea>
    </format>
    <format dxfId="2738">
      <pivotArea dataOnly="0" labelOnly="1" fieldPosition="0">
        <references count="5">
          <reference field="2" count="1" selected="0">
            <x v="3"/>
          </reference>
          <reference field="4" count="1" selected="0">
            <x v="6"/>
          </reference>
          <reference field="5" count="1" selected="0">
            <x v="12"/>
          </reference>
          <reference field="6" count="2">
            <x v="21"/>
            <x v="119"/>
          </reference>
          <reference field="8" count="1" selected="0">
            <x v="4"/>
          </reference>
        </references>
      </pivotArea>
    </format>
    <format dxfId="2739">
      <pivotArea dataOnly="0" labelOnly="1" fieldPosition="0">
        <references count="5">
          <reference field="2" count="1" selected="0">
            <x v="7"/>
          </reference>
          <reference field="4" count="1" selected="0">
            <x v="6"/>
          </reference>
          <reference field="5" count="1" selected="0">
            <x v="16"/>
          </reference>
          <reference field="6" count="1">
            <x v="26"/>
          </reference>
          <reference field="8" count="1" selected="0">
            <x v="4"/>
          </reference>
        </references>
      </pivotArea>
    </format>
    <format dxfId="2740">
      <pivotArea dataOnly="0" labelOnly="1" fieldPosition="0">
        <references count="5">
          <reference field="2" count="1" selected="0">
            <x v="12"/>
          </reference>
          <reference field="4" count="1" selected="0">
            <x v="6"/>
          </reference>
          <reference field="5" count="1" selected="0">
            <x v="9"/>
          </reference>
          <reference field="6" count="1">
            <x v="84"/>
          </reference>
          <reference field="8" count="1" selected="0">
            <x v="4"/>
          </reference>
        </references>
      </pivotArea>
    </format>
    <format dxfId="2741">
      <pivotArea dataOnly="0" labelOnly="1" fieldPosition="0">
        <references count="5">
          <reference field="2" count="1" selected="0">
            <x v="20"/>
          </reference>
          <reference field="4" count="1" selected="0">
            <x v="6"/>
          </reference>
          <reference field="5" count="1" selected="0">
            <x v="12"/>
          </reference>
          <reference field="6" count="1">
            <x v="124"/>
          </reference>
          <reference field="8" count="1" selected="0">
            <x v="4"/>
          </reference>
        </references>
      </pivotArea>
    </format>
    <format dxfId="2742">
      <pivotArea dataOnly="0" labelOnly="1" fieldPosition="0">
        <references count="5">
          <reference field="2" count="1" selected="0">
            <x v="21"/>
          </reference>
          <reference field="4" count="1" selected="0">
            <x v="6"/>
          </reference>
          <reference field="5" count="1" selected="0">
            <x v="14"/>
          </reference>
          <reference field="6" count="1">
            <x v="92"/>
          </reference>
          <reference field="8" count="1" selected="0">
            <x v="4"/>
          </reference>
        </references>
      </pivotArea>
    </format>
    <format dxfId="2743">
      <pivotArea dataOnly="0" labelOnly="1" fieldPosition="0">
        <references count="5">
          <reference field="2" count="1" selected="0">
            <x v="21"/>
          </reference>
          <reference field="4" count="1" selected="0">
            <x v="6"/>
          </reference>
          <reference field="5" count="1" selected="0">
            <x v="15"/>
          </reference>
          <reference field="6" count="1">
            <x v="106"/>
          </reference>
          <reference field="8" count="1" selected="0">
            <x v="4"/>
          </reference>
        </references>
      </pivotArea>
    </format>
    <format dxfId="2744">
      <pivotArea dataOnly="0" labelOnly="1" fieldPosition="0">
        <references count="5">
          <reference field="2" count="1" selected="0">
            <x v="21"/>
          </reference>
          <reference field="4" count="1" selected="0">
            <x v="6"/>
          </reference>
          <reference field="5" count="1" selected="0">
            <x v="16"/>
          </reference>
          <reference field="6" count="1">
            <x v="89"/>
          </reference>
          <reference field="8" count="1" selected="0">
            <x v="4"/>
          </reference>
        </references>
      </pivotArea>
    </format>
    <format dxfId="2745">
      <pivotArea dataOnly="0" labelOnly="1" fieldPosition="0">
        <references count="5">
          <reference field="2" count="1" selected="0">
            <x v="25"/>
          </reference>
          <reference field="4" count="1" selected="0">
            <x v="6"/>
          </reference>
          <reference field="5" count="1" selected="0">
            <x v="16"/>
          </reference>
          <reference field="6" count="1">
            <x v="149"/>
          </reference>
          <reference field="8" count="1" selected="0">
            <x v="4"/>
          </reference>
        </references>
      </pivotArea>
    </format>
    <format dxfId="2746">
      <pivotArea dataOnly="0" labelOnly="1" fieldPosition="0">
        <references count="5">
          <reference field="2" count="1" selected="0">
            <x v="0"/>
          </reference>
          <reference field="4" count="1" selected="0">
            <x v="6"/>
          </reference>
          <reference field="5" count="1" selected="0">
            <x v="16"/>
          </reference>
          <reference field="6" count="1">
            <x v="101"/>
          </reference>
          <reference field="8" count="1" selected="0">
            <x v="6"/>
          </reference>
        </references>
      </pivotArea>
    </format>
    <format dxfId="2747">
      <pivotArea dataOnly="0" labelOnly="1" fieldPosition="0">
        <references count="5">
          <reference field="2" count="1" selected="0">
            <x v="13"/>
          </reference>
          <reference field="4" count="1" selected="0">
            <x v="6"/>
          </reference>
          <reference field="5" count="1" selected="0">
            <x v="16"/>
          </reference>
          <reference field="6" count="1">
            <x v="23"/>
          </reference>
          <reference field="8" count="1" selected="0">
            <x v="6"/>
          </reference>
        </references>
      </pivotArea>
    </format>
    <format dxfId="2748">
      <pivotArea dataOnly="0" labelOnly="1" fieldPosition="0">
        <references count="5">
          <reference field="2" count="1" selected="0">
            <x v="4"/>
          </reference>
          <reference field="4" count="1" selected="0">
            <x v="6"/>
          </reference>
          <reference field="5" count="1" selected="0">
            <x v="15"/>
          </reference>
          <reference field="6" count="1">
            <x v="12"/>
          </reference>
          <reference field="8" count="1" selected="0">
            <x v="9"/>
          </reference>
        </references>
      </pivotArea>
    </format>
    <format dxfId="2749">
      <pivotArea dataOnly="0" labelOnly="1" fieldPosition="0">
        <references count="5">
          <reference field="2" count="1" selected="0">
            <x v="16"/>
          </reference>
          <reference field="4" count="1" selected="0">
            <x v="6"/>
          </reference>
          <reference field="5" count="1" selected="0">
            <x v="15"/>
          </reference>
          <reference field="6" count="1">
            <x v="32"/>
          </reference>
          <reference field="8" count="1" selected="0">
            <x v="9"/>
          </reference>
        </references>
      </pivotArea>
    </format>
    <format dxfId="2750">
      <pivotArea dataOnly="0" labelOnly="1" fieldPosition="0">
        <references count="5">
          <reference field="2" count="1" selected="0">
            <x v="19"/>
          </reference>
          <reference field="4" count="1" selected="0">
            <x v="6"/>
          </reference>
          <reference field="5" count="1" selected="0">
            <x v="15"/>
          </reference>
          <reference field="6" count="2">
            <x v="32"/>
            <x v="114"/>
          </reference>
          <reference field="8" count="1" selected="0">
            <x v="10"/>
          </reference>
        </references>
      </pivotArea>
    </format>
    <format dxfId="2751">
      <pivotArea dataOnly="0" labelOnly="1" fieldPosition="0">
        <references count="5">
          <reference field="2" count="1" selected="0">
            <x v="21"/>
          </reference>
          <reference field="4" count="1" selected="0">
            <x v="6"/>
          </reference>
          <reference field="5" count="1" selected="0">
            <x v="15"/>
          </reference>
          <reference field="6" count="1">
            <x v="109"/>
          </reference>
          <reference field="8" count="1" selected="0">
            <x v="10"/>
          </reference>
        </references>
      </pivotArea>
    </format>
    <format dxfId="2752">
      <pivotArea dataOnly="0" labelOnly="1" fieldPosition="0">
        <references count="5">
          <reference field="2" count="1" selected="0">
            <x v="0"/>
          </reference>
          <reference field="4" count="1" selected="0">
            <x v="6"/>
          </reference>
          <reference field="5" count="1" selected="0">
            <x v="16"/>
          </reference>
          <reference field="6" count="1">
            <x v="101"/>
          </reference>
          <reference field="8" count="1" selected="0">
            <x v="11"/>
          </reference>
        </references>
      </pivotArea>
    </format>
    <format dxfId="2753">
      <pivotArea dataOnly="0" labelOnly="1" fieldPosition="0">
        <references count="5">
          <reference field="2" count="1" selected="0">
            <x v="2"/>
          </reference>
          <reference field="4" count="1" selected="0">
            <x v="6"/>
          </reference>
          <reference field="5" count="1" selected="0">
            <x v="15"/>
          </reference>
          <reference field="6" count="1">
            <x v="7"/>
          </reference>
          <reference field="8" count="1" selected="0">
            <x v="11"/>
          </reference>
        </references>
      </pivotArea>
    </format>
    <format dxfId="2754">
      <pivotArea dataOnly="0" labelOnly="1" fieldPosition="0">
        <references count="5">
          <reference field="2" count="1" selected="0">
            <x v="4"/>
          </reference>
          <reference field="4" count="1" selected="0">
            <x v="6"/>
          </reference>
          <reference field="5" count="1" selected="0">
            <x v="15"/>
          </reference>
          <reference field="6" count="1">
            <x v="41"/>
          </reference>
          <reference field="8" count="1" selected="0">
            <x v="11"/>
          </reference>
        </references>
      </pivotArea>
    </format>
    <format dxfId="2755">
      <pivotArea dataOnly="0" labelOnly="1" fieldPosition="0">
        <references count="5">
          <reference field="2" count="1" selected="0">
            <x v="5"/>
          </reference>
          <reference field="4" count="1" selected="0">
            <x v="6"/>
          </reference>
          <reference field="5" count="1" selected="0">
            <x v="3"/>
          </reference>
          <reference field="6" count="1">
            <x v="27"/>
          </reference>
          <reference field="8" count="1" selected="0">
            <x v="11"/>
          </reference>
        </references>
      </pivotArea>
    </format>
    <format dxfId="2756">
      <pivotArea dataOnly="0" labelOnly="1" fieldPosition="0">
        <references count="5">
          <reference field="2" count="1" selected="0">
            <x v="7"/>
          </reference>
          <reference field="4" count="1" selected="0">
            <x v="6"/>
          </reference>
          <reference field="5" count="1" selected="0">
            <x v="14"/>
          </reference>
          <reference field="6" count="1">
            <x v="26"/>
          </reference>
          <reference field="8" count="1" selected="0">
            <x v="11"/>
          </reference>
        </references>
      </pivotArea>
    </format>
    <format dxfId="2757">
      <pivotArea dataOnly="0" labelOnly="1" fieldPosition="0">
        <references count="5">
          <reference field="2" count="1" selected="0">
            <x v="9"/>
          </reference>
          <reference field="4" count="1" selected="0">
            <x v="6"/>
          </reference>
          <reference field="5" count="1" selected="0">
            <x v="20"/>
          </reference>
          <reference field="6" count="1">
            <x v="44"/>
          </reference>
          <reference field="8" count="1" selected="0">
            <x v="11"/>
          </reference>
        </references>
      </pivotArea>
    </format>
    <format dxfId="2758">
      <pivotArea dataOnly="0" labelOnly="1" fieldPosition="0">
        <references count="5">
          <reference field="2" count="1" selected="0">
            <x v="10"/>
          </reference>
          <reference field="4" count="1" selected="0">
            <x v="6"/>
          </reference>
          <reference field="5" count="1" selected="0">
            <x v="15"/>
          </reference>
          <reference field="6" count="1">
            <x v="46"/>
          </reference>
          <reference field="8" count="1" selected="0">
            <x v="11"/>
          </reference>
        </references>
      </pivotArea>
    </format>
    <format dxfId="2759">
      <pivotArea dataOnly="0" labelOnly="1" fieldPosition="0">
        <references count="5">
          <reference field="2" count="1" selected="0">
            <x v="12"/>
          </reference>
          <reference field="4" count="1" selected="0">
            <x v="6"/>
          </reference>
          <reference field="5" count="1" selected="0">
            <x v="15"/>
          </reference>
          <reference field="6" count="1">
            <x v="45"/>
          </reference>
          <reference field="8" count="1" selected="0">
            <x v="11"/>
          </reference>
        </references>
      </pivotArea>
    </format>
    <format dxfId="2760">
      <pivotArea dataOnly="0" labelOnly="1" fieldPosition="0">
        <references count="5">
          <reference field="2" count="1" selected="0">
            <x v="18"/>
          </reference>
          <reference field="4" count="1" selected="0">
            <x v="6"/>
          </reference>
          <reference field="5" count="1" selected="0">
            <x v="15"/>
          </reference>
          <reference field="6" count="1">
            <x v="107"/>
          </reference>
          <reference field="8" count="1" selected="0">
            <x v="11"/>
          </reference>
        </references>
      </pivotArea>
    </format>
    <format dxfId="2761">
      <pivotArea dataOnly="0" labelOnly="1" fieldPosition="0">
        <references count="5">
          <reference field="2" count="1" selected="0">
            <x v="20"/>
          </reference>
          <reference field="4" count="1" selected="0">
            <x v="6"/>
          </reference>
          <reference field="5" count="1" selected="0">
            <x v="12"/>
          </reference>
          <reference field="6" count="1">
            <x v="123"/>
          </reference>
          <reference field="8" count="1" selected="0">
            <x v="11"/>
          </reference>
        </references>
      </pivotArea>
    </format>
    <format dxfId="2762">
      <pivotArea dataOnly="0" labelOnly="1" fieldPosition="0">
        <references count="5">
          <reference field="2" count="1" selected="0">
            <x v="21"/>
          </reference>
          <reference field="4" count="1" selected="0">
            <x v="6"/>
          </reference>
          <reference field="5" count="1" selected="0">
            <x v="15"/>
          </reference>
          <reference field="6" count="1">
            <x v="105"/>
          </reference>
          <reference field="8" count="1" selected="0">
            <x v="11"/>
          </reference>
        </references>
      </pivotArea>
    </format>
    <format dxfId="2763">
      <pivotArea dataOnly="0" labelOnly="1" fieldPosition="0">
        <references count="5">
          <reference field="2" count="1" selected="0">
            <x v="21"/>
          </reference>
          <reference field="4" count="1" selected="0">
            <x v="6"/>
          </reference>
          <reference field="5" count="1" selected="0">
            <x v="16"/>
          </reference>
          <reference field="6" count="1">
            <x v="89"/>
          </reference>
          <reference field="8" count="1" selected="0">
            <x v="11"/>
          </reference>
        </references>
      </pivotArea>
    </format>
    <format dxfId="2764">
      <pivotArea dataOnly="0" labelOnly="1" fieldPosition="0">
        <references count="5">
          <reference field="2" count="1" selected="0">
            <x v="25"/>
          </reference>
          <reference field="4" count="1" selected="0">
            <x v="6"/>
          </reference>
          <reference field="5" count="1" selected="0">
            <x v="15"/>
          </reference>
          <reference field="6" count="1">
            <x v="148"/>
          </reference>
          <reference field="8" count="1" selected="0">
            <x v="11"/>
          </reference>
        </references>
      </pivotArea>
    </format>
    <format dxfId="2765">
      <pivotArea dataOnly="0" labelOnly="1" fieldPosition="0">
        <references count="5">
          <reference field="2" count="1" selected="0">
            <x v="12"/>
          </reference>
          <reference field="4" count="1" selected="0">
            <x v="6"/>
          </reference>
          <reference field="5" count="1" selected="0">
            <x v="15"/>
          </reference>
          <reference field="6" count="1">
            <x v="45"/>
          </reference>
          <reference field="8" count="1" selected="0">
            <x v="35"/>
          </reference>
        </references>
      </pivotArea>
    </format>
    <format dxfId="2766">
      <pivotArea field="4" type="button" dataOnly="0" labelOnly="1" outline="0" axis="axisRow" fieldPosition="1"/>
    </format>
    <format dxfId="2767">
      <pivotArea dataOnly="0" labelOnly="1" fieldPosition="0">
        <references count="1">
          <reference field="4" count="0"/>
        </references>
      </pivotArea>
    </format>
    <format dxfId="2768">
      <pivotArea dataOnly="0" labelOnly="1" fieldPosition="0">
        <references count="3">
          <reference field="2" count="3">
            <x v="19"/>
            <x v="21"/>
            <x v="24"/>
          </reference>
          <reference field="4" count="1" selected="0">
            <x v="5"/>
          </reference>
          <reference field="8" count="1" selected="0">
            <x v="5"/>
          </reference>
        </references>
      </pivotArea>
    </format>
    <format dxfId="2769">
      <pivotArea dataOnly="0" labelOnly="1" fieldPosition="0">
        <references count="4">
          <reference field="2" count="1" selected="0">
            <x v="19"/>
          </reference>
          <reference field="4" count="1" selected="0">
            <x v="5"/>
          </reference>
          <reference field="5" count="1">
            <x v="21"/>
          </reference>
          <reference field="8" count="1" selected="0">
            <x v="5"/>
          </reference>
        </references>
      </pivotArea>
    </format>
    <format dxfId="2770">
      <pivotArea dataOnly="0" labelOnly="1" fieldPosition="0">
        <references count="4">
          <reference field="2" count="1" selected="0">
            <x v="21"/>
          </reference>
          <reference field="4" count="1" selected="0">
            <x v="5"/>
          </reference>
          <reference field="5" count="1">
            <x v="1"/>
          </reference>
          <reference field="8" count="1" selected="0">
            <x v="5"/>
          </reference>
        </references>
      </pivotArea>
    </format>
    <format dxfId="2771">
      <pivotArea dataOnly="0" labelOnly="1" fieldPosition="0">
        <references count="4">
          <reference field="2" count="1" selected="0">
            <x v="24"/>
          </reference>
          <reference field="4" count="1" selected="0">
            <x v="5"/>
          </reference>
          <reference field="5" count="1">
            <x v="23"/>
          </reference>
          <reference field="8" count="1" selected="0">
            <x v="5"/>
          </reference>
        </references>
      </pivotArea>
    </format>
    <format dxfId="2772">
      <pivotArea dataOnly="0" labelOnly="1" fieldPosition="0">
        <references count="5">
          <reference field="2" count="1" selected="0">
            <x v="19"/>
          </reference>
          <reference field="4" count="1" selected="0">
            <x v="5"/>
          </reference>
          <reference field="5" count="1" selected="0">
            <x v="21"/>
          </reference>
          <reference field="6" count="1">
            <x v="114"/>
          </reference>
          <reference field="8" count="1" selected="0">
            <x v="5"/>
          </reference>
        </references>
      </pivotArea>
    </format>
    <format dxfId="2773">
      <pivotArea dataOnly="0" labelOnly="1" fieldPosition="0">
        <references count="5">
          <reference field="2" count="1" selected="0">
            <x v="21"/>
          </reference>
          <reference field="4" count="1" selected="0">
            <x v="5"/>
          </reference>
          <reference field="5" count="1" selected="0">
            <x v="1"/>
          </reference>
          <reference field="6" count="1">
            <x v="52"/>
          </reference>
          <reference field="8" count="1" selected="0">
            <x v="5"/>
          </reference>
        </references>
      </pivotArea>
    </format>
    <format dxfId="2774">
      <pivotArea dataOnly="0" labelOnly="1" fieldPosition="0">
        <references count="5">
          <reference field="2" count="1" selected="0">
            <x v="24"/>
          </reference>
          <reference field="4" count="1" selected="0">
            <x v="5"/>
          </reference>
          <reference field="5" count="1" selected="0">
            <x v="23"/>
          </reference>
          <reference field="6" count="1">
            <x v="142"/>
          </reference>
          <reference field="8" count="1" selected="0">
            <x v="5"/>
          </reference>
        </references>
      </pivotArea>
    </format>
    <format dxfId="2775">
      <pivotArea field="8" type="button" dataOnly="0" labelOnly="1" outline="0" axis="axisRow" fieldPosition="0"/>
    </format>
    <format dxfId="2776">
      <pivotArea dataOnly="0" labelOnly="1" fieldPosition="0">
        <references count="1">
          <reference field="8" count="8">
            <x v="3"/>
            <x v="4"/>
            <x v="5"/>
            <x v="6"/>
            <x v="9"/>
            <x v="10"/>
            <x v="11"/>
            <x v="35"/>
          </reference>
        </references>
      </pivotArea>
    </format>
    <format dxfId="2777">
      <pivotArea dataOnly="0" labelOnly="1" grandRow="1" outline="0" fieldPosition="0"/>
    </format>
    <format dxfId="2778">
      <pivotArea dataOnly="0" labelOnly="1" fieldPosition="0">
        <references count="2">
          <reference field="2" count="8">
            <x v="0"/>
            <x v="3"/>
            <x v="7"/>
            <x v="10"/>
            <x v="12"/>
            <x v="20"/>
            <x v="21"/>
            <x v="25"/>
          </reference>
          <reference field="8" count="1" selected="0">
            <x v="4"/>
          </reference>
        </references>
      </pivotArea>
    </format>
    <format dxfId="2779">
      <pivotArea dataOnly="0" labelOnly="1" fieldPosition="0">
        <references count="3">
          <reference field="2" count="1" selected="0">
            <x v="0"/>
          </reference>
          <reference field="4" count="6">
            <x v="0"/>
            <x v="1"/>
            <x v="2"/>
            <x v="3"/>
            <x v="4"/>
            <x v="6"/>
          </reference>
          <reference field="8" count="1" selected="0">
            <x v="4"/>
          </reference>
        </references>
      </pivotArea>
    </format>
    <format dxfId="2780">
      <pivotArea dataOnly="0" labelOnly="1" fieldPosition="0">
        <references count="3">
          <reference field="2" count="1" selected="0">
            <x v="3"/>
          </reference>
          <reference field="4" count="6">
            <x v="0"/>
            <x v="1"/>
            <x v="2"/>
            <x v="3"/>
            <x v="4"/>
            <x v="6"/>
          </reference>
          <reference field="8" count="1" selected="0">
            <x v="4"/>
          </reference>
        </references>
      </pivotArea>
    </format>
    <format dxfId="2781">
      <pivotArea dataOnly="0" labelOnly="1" fieldPosition="0">
        <references count="3">
          <reference field="2" count="1" selected="0">
            <x v="7"/>
          </reference>
          <reference field="4" count="6">
            <x v="0"/>
            <x v="1"/>
            <x v="2"/>
            <x v="3"/>
            <x v="4"/>
            <x v="6"/>
          </reference>
          <reference field="8" count="1" selected="0">
            <x v="4"/>
          </reference>
        </references>
      </pivotArea>
    </format>
    <format dxfId="2782">
      <pivotArea dataOnly="0" labelOnly="1" fieldPosition="0">
        <references count="3">
          <reference field="2" count="1" selected="0">
            <x v="10"/>
          </reference>
          <reference field="4" count="1">
            <x v="5"/>
          </reference>
          <reference field="8" count="1" selected="0">
            <x v="4"/>
          </reference>
        </references>
      </pivotArea>
    </format>
    <format dxfId="2783">
      <pivotArea dataOnly="0" labelOnly="1" fieldPosition="0">
        <references count="3">
          <reference field="2" count="1" selected="0">
            <x v="21"/>
          </reference>
          <reference field="4" count="6">
            <x v="0"/>
            <x v="1"/>
            <x v="2"/>
            <x v="3"/>
            <x v="4"/>
            <x v="6"/>
          </reference>
          <reference field="8" count="1" selected="0">
            <x v="4"/>
          </reference>
        </references>
      </pivotArea>
    </format>
    <format dxfId="2784">
      <pivotArea dataOnly="0" labelOnly="1" fieldPosition="0">
        <references count="3">
          <reference field="2" count="1" selected="0">
            <x v="25"/>
          </reference>
          <reference field="4" count="6">
            <x v="0"/>
            <x v="1"/>
            <x v="2"/>
            <x v="3"/>
            <x v="4"/>
            <x v="6"/>
          </reference>
          <reference field="8" count="1" selected="0">
            <x v="4"/>
          </reference>
        </references>
      </pivotArea>
    </format>
    <format dxfId="2785">
      <pivotArea field="8" type="button" dataOnly="0" labelOnly="1" outline="0" axis="axisRow" fieldPosition="0"/>
    </format>
    <format dxfId="2786">
      <pivotArea dataOnly="0" labelOnly="1" fieldPosition="0">
        <references count="1">
          <reference field="8" count="8">
            <x v="3"/>
            <x v="4"/>
            <x v="5"/>
            <x v="6"/>
            <x v="9"/>
            <x v="10"/>
            <x v="11"/>
            <x v="35"/>
          </reference>
        </references>
      </pivotArea>
    </format>
    <format dxfId="2787">
      <pivotArea dataOnly="0" labelOnly="1" grandRow="1" outline="0" fieldPosition="0"/>
    </format>
    <format dxfId="2788">
      <pivotArea dataOnly="0" labelOnly="1" fieldPosition="0">
        <references count="2">
          <reference field="2" count="8">
            <x v="0"/>
            <x v="3"/>
            <x v="7"/>
            <x v="10"/>
            <x v="12"/>
            <x v="20"/>
            <x v="21"/>
            <x v="25"/>
          </reference>
          <reference field="8" count="1" selected="0">
            <x v="4"/>
          </reference>
        </references>
      </pivotArea>
    </format>
    <format dxfId="2789">
      <pivotArea dataOnly="0" labelOnly="1" fieldPosition="0">
        <references count="3">
          <reference field="2" count="1" selected="0">
            <x v="0"/>
          </reference>
          <reference field="4" count="6">
            <x v="0"/>
            <x v="1"/>
            <x v="2"/>
            <x v="3"/>
            <x v="4"/>
            <x v="6"/>
          </reference>
          <reference field="8" count="1" selected="0">
            <x v="4"/>
          </reference>
        </references>
      </pivotArea>
    </format>
    <format dxfId="2790">
      <pivotArea dataOnly="0" labelOnly="1" fieldPosition="0">
        <references count="3">
          <reference field="2" count="1" selected="0">
            <x v="3"/>
          </reference>
          <reference field="4" count="6">
            <x v="0"/>
            <x v="1"/>
            <x v="2"/>
            <x v="3"/>
            <x v="4"/>
            <x v="6"/>
          </reference>
          <reference field="8" count="1" selected="0">
            <x v="4"/>
          </reference>
        </references>
      </pivotArea>
    </format>
    <format dxfId="2791">
      <pivotArea dataOnly="0" labelOnly="1" fieldPosition="0">
        <references count="3">
          <reference field="2" count="1" selected="0">
            <x v="7"/>
          </reference>
          <reference field="4" count="6">
            <x v="0"/>
            <x v="1"/>
            <x v="2"/>
            <x v="3"/>
            <x v="4"/>
            <x v="6"/>
          </reference>
          <reference field="8" count="1" selected="0">
            <x v="4"/>
          </reference>
        </references>
      </pivotArea>
    </format>
    <format dxfId="2792">
      <pivotArea dataOnly="0" labelOnly="1" fieldPosition="0">
        <references count="3">
          <reference field="2" count="1" selected="0">
            <x v="10"/>
          </reference>
          <reference field="4" count="1">
            <x v="5"/>
          </reference>
          <reference field="8" count="1" selected="0">
            <x v="4"/>
          </reference>
        </references>
      </pivotArea>
    </format>
    <format dxfId="2793">
      <pivotArea dataOnly="0" labelOnly="1" fieldPosition="0">
        <references count="3">
          <reference field="2" count="1" selected="0">
            <x v="21"/>
          </reference>
          <reference field="4" count="6">
            <x v="0"/>
            <x v="1"/>
            <x v="2"/>
            <x v="3"/>
            <x v="4"/>
            <x v="6"/>
          </reference>
          <reference field="8" count="1" selected="0">
            <x v="4"/>
          </reference>
        </references>
      </pivotArea>
    </format>
    <format dxfId="2794">
      <pivotArea dataOnly="0" labelOnly="1" fieldPosition="0">
        <references count="3">
          <reference field="2" count="1" selected="0">
            <x v="25"/>
          </reference>
          <reference field="4" count="6">
            <x v="0"/>
            <x v="1"/>
            <x v="2"/>
            <x v="3"/>
            <x v="4"/>
            <x v="6"/>
          </reference>
          <reference field="8" count="1" selected="0">
            <x v="4"/>
          </reference>
        </references>
      </pivotArea>
    </format>
    <format dxfId="2795">
      <pivotArea dataOnly="0" labelOnly="1" fieldPosition="0">
        <references count="2">
          <reference field="2" count="8">
            <x v="0"/>
            <x v="3"/>
            <x v="7"/>
            <x v="10"/>
            <x v="12"/>
            <x v="20"/>
            <x v="21"/>
            <x v="25"/>
          </reference>
          <reference field="8" count="1" selected="0">
            <x v="4"/>
          </reference>
        </references>
      </pivotArea>
    </format>
    <format dxfId="2796">
      <pivotArea dataOnly="0" labelOnly="1" fieldPosition="0">
        <references count="3">
          <reference field="2" count="1" selected="0">
            <x v="0"/>
          </reference>
          <reference field="4" count="6">
            <x v="0"/>
            <x v="1"/>
            <x v="2"/>
            <x v="3"/>
            <x v="4"/>
            <x v="6"/>
          </reference>
          <reference field="8" count="1" selected="0">
            <x v="4"/>
          </reference>
        </references>
      </pivotArea>
    </format>
    <format dxfId="2797">
      <pivotArea dataOnly="0" labelOnly="1" fieldPosition="0">
        <references count="3">
          <reference field="2" count="1" selected="0">
            <x v="0"/>
          </reference>
          <reference field="4" count="6">
            <x v="0"/>
            <x v="1"/>
            <x v="2"/>
            <x v="3"/>
            <x v="4"/>
            <x v="6"/>
          </reference>
          <reference field="8" count="1" selected="0">
            <x v="4"/>
          </reference>
        </references>
      </pivotArea>
    </format>
    <format dxfId="2798">
      <pivotArea dataOnly="0" labelOnly="1" fieldPosition="0">
        <references count="3">
          <reference field="2" count="1" selected="0">
            <x v="3"/>
          </reference>
          <reference field="4" count="6">
            <x v="0"/>
            <x v="1"/>
            <x v="2"/>
            <x v="3"/>
            <x v="4"/>
            <x v="6"/>
          </reference>
          <reference field="8" count="1" selected="0">
            <x v="4"/>
          </reference>
        </references>
      </pivotArea>
    </format>
    <format dxfId="2799">
      <pivotArea dataOnly="0" labelOnly="1" fieldPosition="0">
        <references count="3">
          <reference field="2" count="1" selected="0">
            <x v="3"/>
          </reference>
          <reference field="4" count="6">
            <x v="0"/>
            <x v="1"/>
            <x v="2"/>
            <x v="3"/>
            <x v="4"/>
            <x v="6"/>
          </reference>
          <reference field="8" count="1" selected="0">
            <x v="4"/>
          </reference>
        </references>
      </pivotArea>
    </format>
    <format dxfId="2800">
      <pivotArea dataOnly="0" labelOnly="1" fieldPosition="0">
        <references count="3">
          <reference field="2" count="1" selected="0">
            <x v="7"/>
          </reference>
          <reference field="4" count="6">
            <x v="0"/>
            <x v="1"/>
            <x v="2"/>
            <x v="3"/>
            <x v="4"/>
            <x v="6"/>
          </reference>
          <reference field="8" count="0" selected="0"/>
        </references>
      </pivotArea>
    </format>
    <format dxfId="2801">
      <pivotArea dataOnly="0" labelOnly="1" fieldPosition="0">
        <references count="3">
          <reference field="2" count="1" selected="0">
            <x v="7"/>
          </reference>
          <reference field="4" count="6">
            <x v="0"/>
            <x v="1"/>
            <x v="2"/>
            <x v="3"/>
            <x v="4"/>
            <x v="6"/>
          </reference>
          <reference field="8" count="0" selected="0"/>
        </references>
      </pivotArea>
    </format>
    <format dxfId="2802">
      <pivotArea dataOnly="0" labelOnly="1" fieldPosition="0">
        <references count="3">
          <reference field="2" count="1" selected="0">
            <x v="10"/>
          </reference>
          <reference field="4" count="1">
            <x v="5"/>
          </reference>
          <reference field="8" count="0" selected="0"/>
        </references>
      </pivotArea>
    </format>
    <format dxfId="2803">
      <pivotArea dataOnly="0" labelOnly="1" fieldPosition="0">
        <references count="3">
          <reference field="2" count="1" selected="0">
            <x v="10"/>
          </reference>
          <reference field="4" count="1">
            <x v="5"/>
          </reference>
          <reference field="8" count="0" selected="0"/>
        </references>
      </pivotArea>
    </format>
    <format dxfId="2804">
      <pivotArea dataOnly="0" labelOnly="1" fieldPosition="0">
        <references count="3">
          <reference field="2" count="1" selected="0">
            <x v="12"/>
          </reference>
          <reference field="4" count="0"/>
          <reference field="8" count="0" selected="0"/>
        </references>
      </pivotArea>
    </format>
    <format dxfId="2805">
      <pivotArea dataOnly="0" labelOnly="1" fieldPosition="0">
        <references count="3">
          <reference field="2" count="1" selected="0">
            <x v="12"/>
          </reference>
          <reference field="4" count="0"/>
          <reference field="8" count="0" selected="0"/>
        </references>
      </pivotArea>
    </format>
    <format dxfId="2806">
      <pivotArea dataOnly="0" labelOnly="1" fieldPosition="0">
        <references count="3">
          <reference field="2" count="1" selected="0">
            <x v="20"/>
          </reference>
          <reference field="4" count="0"/>
          <reference field="8" count="0" selected="0"/>
        </references>
      </pivotArea>
    </format>
    <format dxfId="2807">
      <pivotArea dataOnly="0" labelOnly="1" fieldPosition="0">
        <references count="3">
          <reference field="2" count="1" selected="0">
            <x v="20"/>
          </reference>
          <reference field="4" count="0"/>
          <reference field="8" count="0" selected="0"/>
        </references>
      </pivotArea>
    </format>
    <format dxfId="2808">
      <pivotArea dataOnly="0" labelOnly="1" fieldPosition="0">
        <references count="3">
          <reference field="2" count="1" selected="0">
            <x v="21"/>
          </reference>
          <reference field="4" count="6">
            <x v="0"/>
            <x v="1"/>
            <x v="2"/>
            <x v="3"/>
            <x v="4"/>
            <x v="6"/>
          </reference>
          <reference field="8" count="0" selected="0"/>
        </references>
      </pivotArea>
    </format>
    <format dxfId="2809">
      <pivotArea dataOnly="0" labelOnly="1" fieldPosition="0">
        <references count="3">
          <reference field="2" count="1" selected="0">
            <x v="21"/>
          </reference>
          <reference field="4" count="6">
            <x v="0"/>
            <x v="1"/>
            <x v="2"/>
            <x v="3"/>
            <x v="4"/>
            <x v="6"/>
          </reference>
          <reference field="8" count="0" selected="0"/>
        </references>
      </pivotArea>
    </format>
    <format dxfId="2810">
      <pivotArea dataOnly="0" labelOnly="1" fieldPosition="0">
        <references count="3">
          <reference field="2" count="1" selected="0">
            <x v="25"/>
          </reference>
          <reference field="4" count="6">
            <x v="0"/>
            <x v="1"/>
            <x v="2"/>
            <x v="3"/>
            <x v="4"/>
            <x v="6"/>
          </reference>
          <reference field="8" count="0" selected="0"/>
        </references>
      </pivotArea>
    </format>
    <format dxfId="2811">
      <pivotArea dataOnly="0" labelOnly="1" fieldPosition="0">
        <references count="3">
          <reference field="2" count="1" selected="0">
            <x v="25"/>
          </reference>
          <reference field="4" count="6">
            <x v="0"/>
            <x v="1"/>
            <x v="2"/>
            <x v="3"/>
            <x v="4"/>
            <x v="6"/>
          </reference>
          <reference field="8" count="0" selected="0"/>
        </references>
      </pivotArea>
    </format>
    <format dxfId="2812">
      <pivotArea dataOnly="0" labelOnly="1" fieldPosition="0">
        <references count="2">
          <reference field="4" count="0"/>
          <reference field="8" count="1" selected="0">
            <x v="10"/>
          </reference>
        </references>
      </pivotArea>
    </format>
    <format dxfId="2813">
      <pivotArea dataOnly="0" labelOnly="1" fieldPosition="0">
        <references count="2">
          <reference field="4" count="6">
            <x v="0"/>
            <x v="1"/>
            <x v="2"/>
            <x v="3"/>
            <x v="4"/>
            <x v="6"/>
          </reference>
          <reference field="8" count="1" selected="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CB45AE-21CB-4DC4-8204-40AF56A22D8D}" name="PivotTable1" cacheId="2337" applyNumberFormats="0" applyBorderFormats="0" applyFontFormats="0" applyPatternFormats="0" applyAlignmentFormats="0" applyWidthHeightFormats="1" dataCaption="Values" updatedVersion="8" minRefreshableVersion="3" itemPrintTitles="1" createdVersion="8" indent="0" multipleFieldFilters="0" rowHeaderCaption="FA -&gt; Service">
  <location ref="A6:B14" firstHeaderRow="1" firstDataRow="1"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axis="axisPage" multipleItemSelectionAllowed="1" showAll="0">
      <items count="31">
        <item x="13"/>
        <item x="16"/>
        <item x="24"/>
        <item x="8"/>
        <item x="2"/>
        <item x="5"/>
        <item x="15"/>
        <item x="6"/>
        <item x="18"/>
        <item x="14"/>
        <item x="0"/>
        <item x="17"/>
        <item x="26"/>
        <item x="22"/>
        <item x="3"/>
        <item x="21"/>
        <item x="12"/>
        <item x="9"/>
        <item x="19"/>
        <item x="4"/>
        <item x="7"/>
        <item x="25"/>
        <item x="10"/>
        <item x="23"/>
        <item x="20"/>
        <item x="1"/>
        <item x="11"/>
        <item m="1" x="29"/>
        <item x="27"/>
        <item x="28"/>
        <item t="default"/>
      </items>
    </pivotField>
    <pivotField axis="axisRow" multipleItemSelectionAllowed="1" showAll="0">
      <items count="8">
        <item x="3"/>
        <item h="1" sd="0" x="1"/>
        <item h="1" x="4"/>
        <item h="1" x="5"/>
        <item h="1" x="0"/>
        <item h="1" x="6"/>
        <item h="1" x="2"/>
        <item t="default"/>
      </items>
    </pivotField>
    <pivotField axis="axisRow" showAll="0" defaultSubtotal="0">
      <items count="31">
        <item m="1" x="27"/>
        <item x="1"/>
        <item x="6"/>
        <item sd="0" x="7"/>
        <item x="8"/>
        <item m="1" x="22"/>
        <item m="1" x="28"/>
        <item m="1" x="30"/>
        <item m="1" x="25"/>
        <item x="10"/>
        <item x="9"/>
        <item m="1" x="26"/>
        <item x="3"/>
        <item x="11"/>
        <item x="0"/>
        <item x="2"/>
        <item x="4"/>
        <item x="14"/>
        <item m="1" x="24"/>
        <item m="1" x="29"/>
        <item x="13"/>
        <item x="15"/>
        <item x="5"/>
        <item x="16"/>
        <item x="17"/>
        <item m="1" x="23"/>
        <item x="12"/>
        <item m="1" x="21"/>
        <item x="18"/>
        <item x="19"/>
        <item x="20"/>
      </items>
    </pivotField>
    <pivotField axis="axisRow" showAll="0" defaultSubtotal="0">
      <items count="186">
        <item x="71"/>
        <item x="59"/>
        <item x="44"/>
        <item x="47"/>
        <item x="73"/>
        <item x="74"/>
        <item x="72"/>
        <item x="23"/>
        <item x="105"/>
        <item m="1" x="185"/>
        <item sd="0"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sd="0" x="67"/>
        <item x="94"/>
        <item x="100"/>
        <item x="85"/>
        <item x="86"/>
        <item x="95"/>
        <item x="102"/>
        <item x="104"/>
        <item x="96"/>
        <item x="88"/>
        <item x="79"/>
        <item x="80"/>
        <item x="1"/>
        <item sd="0"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sd="0" x="42"/>
        <item x="114"/>
        <item sd="0" x="115"/>
        <item x="41"/>
        <item x="45"/>
        <item sd="0"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items count="56">
        <item sd="0" x="19"/>
        <item sd="0" x="27"/>
        <item sd="0" x="5"/>
        <item x="4"/>
        <item x="3"/>
        <item x="17"/>
        <item x="26"/>
        <item x="11"/>
        <item x="6"/>
        <item x="2"/>
        <item x="9"/>
        <item x="7"/>
        <item m="1" x="49"/>
        <item m="1" x="50"/>
        <item m="1" x="48"/>
        <item x="10"/>
        <item sd="0" x="8"/>
        <item sd="0" x="14"/>
        <item m="1" x="52"/>
        <item m="1" x="53"/>
        <item x="25"/>
        <item x="1"/>
        <item x="18"/>
        <item x="22"/>
        <item m="1" x="54"/>
        <item x="16"/>
        <item sd="0" m="1" x="40"/>
        <item x="32"/>
        <item m="1" x="47"/>
        <item x="31"/>
        <item m="1" x="51"/>
        <item sd="0" x="15"/>
        <item x="20"/>
        <item m="1" x="43"/>
        <item sd="0" x="23"/>
        <item x="28"/>
        <item x="21"/>
        <item x="33"/>
        <item x="34"/>
        <item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m="1" x="67"/>
        <item m="1" x="62"/>
        <item m="1" x="69"/>
        <item m="1" x="63"/>
        <item m="1" x="66"/>
        <item x="34"/>
        <item x="35"/>
        <item m="1" x="68"/>
        <item m="1" x="70"/>
        <item x="45"/>
        <item x="27"/>
        <item m="1" x="61"/>
        <item x="41"/>
        <item x="28"/>
        <item x="36"/>
        <item x="43"/>
        <item x="44"/>
        <item x="46"/>
        <item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5">
    <field x="4"/>
    <field x="8"/>
    <field x="5"/>
    <field x="6"/>
    <field x="2"/>
  </rowFields>
  <rowItems count="8">
    <i>
      <x/>
    </i>
    <i r="1">
      <x/>
    </i>
    <i r="1">
      <x v="2"/>
    </i>
    <i r="1">
      <x v="16"/>
    </i>
    <i r="1">
      <x v="17"/>
    </i>
    <i r="1">
      <x v="31"/>
    </i>
    <i r="1">
      <x v="34"/>
    </i>
    <i t="grand">
      <x/>
    </i>
  </rowItems>
  <colItems count="1">
    <i/>
  </colItems>
  <pageFields count="3">
    <pageField fld="1" item="0" hier="-1"/>
    <pageField fld="11" hier="-1"/>
    <pageField fld="3" hier="-1"/>
  </pageFields>
  <dataFields count="1">
    <dataField name="QTY" fld="11" baseField="0" baseItem="0"/>
  </dataFields>
  <formats count="361">
    <format dxfId="1094">
      <pivotArea type="origin" dataOnly="0" labelOnly="1" outline="0" fieldPosition="0"/>
    </format>
    <format dxfId="1095">
      <pivotArea field="8" type="button" dataOnly="0" labelOnly="1" outline="0" axis="axisRow" fieldPosition="1"/>
    </format>
    <format dxfId="1096">
      <pivotArea dataOnly="0" labelOnly="1" fieldPosition="0">
        <references count="1">
          <reference field="8" count="0"/>
        </references>
      </pivotArea>
    </format>
    <format dxfId="1097">
      <pivotArea dataOnly="0" labelOnly="1" grandRow="1" outline="0" fieldPosition="0"/>
    </format>
    <format dxfId="1098">
      <pivotArea dataOnly="0" labelOnly="1" grandCol="1" outline="0" fieldPosition="0"/>
    </format>
    <format dxfId="1099">
      <pivotArea grandCol="1" outline="0" collapsedLevelsAreSubtotals="1" fieldPosition="0"/>
    </format>
    <format dxfId="1100">
      <pivotArea outline="0" collapsedLevelsAreSubtotals="1" fieldPosition="0"/>
    </format>
    <format dxfId="1101">
      <pivotArea dataOnly="0" labelOnly="1" outline="0" fieldPosition="0">
        <references count="1">
          <reference field="4" count="0"/>
        </references>
      </pivotArea>
    </format>
    <format dxfId="1102">
      <pivotArea type="topRight" dataOnly="0" labelOnly="1" outline="0" fieldPosition="0"/>
    </format>
    <format dxfId="1103">
      <pivotArea dataOnly="0" labelOnly="1" grandCol="1" outline="0" fieldPosition="0"/>
    </format>
    <format dxfId="1104">
      <pivotArea dataOnly="0" labelOnly="1" outline="0" fieldPosition="0">
        <references count="1">
          <reference field="4" count="0"/>
        </references>
      </pivotArea>
    </format>
    <format dxfId="1105">
      <pivotArea outline="0" collapsedLevelsAreSubtotals="1" fieldPosition="0"/>
    </format>
    <format dxfId="1106">
      <pivotArea field="2" type="button" dataOnly="0" labelOnly="1" outline="0" axis="axisRow" fieldPosition="4"/>
    </format>
    <format dxfId="1107">
      <pivotArea type="topRight" dataOnly="0" labelOnly="1" outline="0" fieldPosition="0"/>
    </format>
    <format dxfId="1108">
      <pivotArea dataOnly="0" labelOnly="1" grandCol="1" outline="0" fieldPosition="0"/>
    </format>
    <format dxfId="1109">
      <pivotArea field="5" type="button" dataOnly="0" labelOnly="1" outline="0" axis="axisRow" fieldPosition="2"/>
    </format>
    <format dxfId="1110">
      <pivotArea dataOnly="0" labelOnly="1" fieldPosition="0">
        <references count="1">
          <reference field="5" count="0"/>
        </references>
      </pivotArea>
    </format>
    <format dxfId="1111">
      <pivotArea outline="0" collapsedLevelsAreSubtotals="1" fieldPosition="0">
        <references count="1">
          <reference field="4294967294" count="1" selected="0">
            <x v="0"/>
          </reference>
        </references>
      </pivotArea>
    </format>
    <format dxfId="1112">
      <pivotArea dataOnly="0" labelOnly="1" outline="0" fieldPosition="0">
        <references count="1">
          <reference field="4294967294" count="1">
            <x v="0"/>
          </reference>
        </references>
      </pivotArea>
    </format>
    <format dxfId="1113">
      <pivotArea type="origin" dataOnly="0" labelOnly="1" outline="0" fieldPosition="0"/>
    </format>
    <format dxfId="1114">
      <pivotArea dataOnly="0" labelOnly="1" fieldPosition="0">
        <references count="1">
          <reference field="8" count="0"/>
        </references>
      </pivotArea>
    </format>
    <format dxfId="1115">
      <pivotArea field="8" type="button" dataOnly="0" labelOnly="1" outline="0" axis="axisRow" fieldPosition="1"/>
    </format>
    <format dxfId="1116">
      <pivotArea dataOnly="0" labelOnly="1" fieldPosition="0">
        <references count="1">
          <reference field="8" count="8">
            <x v="0"/>
            <x v="1"/>
            <x v="2"/>
            <x v="16"/>
            <x v="17"/>
            <x v="26"/>
            <x v="31"/>
            <x v="34"/>
          </reference>
        </references>
      </pivotArea>
    </format>
    <format dxfId="1117">
      <pivotArea dataOnly="0" labelOnly="1" fieldPosition="0">
        <references count="2">
          <reference field="4" count="1" selected="0">
            <x v="0"/>
          </reference>
          <reference field="8" count="8">
            <x v="0"/>
            <x v="1"/>
            <x v="2"/>
            <x v="16"/>
            <x v="17"/>
            <x v="26"/>
            <x v="31"/>
            <x v="34"/>
          </reference>
        </references>
      </pivotArea>
    </format>
    <format dxfId="1118">
      <pivotArea dataOnly="0" labelOnly="1" fieldPosition="0">
        <references count="2">
          <reference field="4" count="1" selected="0">
            <x v="1"/>
          </reference>
          <reference field="8" count="8">
            <x v="0"/>
            <x v="1"/>
            <x v="2"/>
            <x v="16"/>
            <x v="17"/>
            <x v="26"/>
            <x v="31"/>
            <x v="34"/>
          </reference>
        </references>
      </pivotArea>
    </format>
    <format dxfId="1119">
      <pivotArea dataOnly="0" labelOnly="1" fieldPosition="0">
        <references count="2">
          <reference field="4" count="1" selected="0">
            <x v="2"/>
          </reference>
          <reference field="8" count="8">
            <x v="0"/>
            <x v="1"/>
            <x v="2"/>
            <x v="16"/>
            <x v="17"/>
            <x v="26"/>
            <x v="31"/>
            <x v="34"/>
          </reference>
        </references>
      </pivotArea>
    </format>
    <format dxfId="1120">
      <pivotArea dataOnly="0" labelOnly="1" fieldPosition="0">
        <references count="2">
          <reference field="4" count="1" selected="0">
            <x v="3"/>
          </reference>
          <reference field="8" count="8">
            <x v="0"/>
            <x v="1"/>
            <x v="2"/>
            <x v="16"/>
            <x v="17"/>
            <x v="26"/>
            <x v="31"/>
            <x v="34"/>
          </reference>
        </references>
      </pivotArea>
    </format>
    <format dxfId="1121">
      <pivotArea dataOnly="0" labelOnly="1" fieldPosition="0">
        <references count="2">
          <reference field="4" count="1" selected="0">
            <x v="4"/>
          </reference>
          <reference field="8" count="8">
            <x v="0"/>
            <x v="1"/>
            <x v="2"/>
            <x v="16"/>
            <x v="17"/>
            <x v="26"/>
            <x v="31"/>
            <x v="34"/>
          </reference>
        </references>
      </pivotArea>
    </format>
    <format dxfId="1122">
      <pivotArea dataOnly="0" labelOnly="1" fieldPosition="0">
        <references count="2">
          <reference field="4" count="1" selected="0">
            <x v="6"/>
          </reference>
          <reference field="8" count="8">
            <x v="0"/>
            <x v="1"/>
            <x v="2"/>
            <x v="16"/>
            <x v="17"/>
            <x v="26"/>
            <x v="31"/>
            <x v="34"/>
          </reference>
        </references>
      </pivotArea>
    </format>
    <format dxfId="1123">
      <pivotArea dataOnly="0" labelOnly="1" fieldPosition="0">
        <references count="3">
          <reference field="4" count="1" selected="0">
            <x v="0"/>
          </reference>
          <reference field="5" count="1">
            <x v="9"/>
          </reference>
          <reference field="8" count="1" selected="0">
            <x v="1"/>
          </reference>
        </references>
      </pivotArea>
    </format>
    <format dxfId="1124">
      <pivotArea dataOnly="0" labelOnly="1" fieldPosition="0">
        <references count="3">
          <reference field="4" count="1" selected="0">
            <x v="0"/>
          </reference>
          <reference field="5" count="6">
            <x v="3"/>
            <x v="9"/>
            <x v="12"/>
            <x v="15"/>
            <x v="16"/>
            <x v="24"/>
          </reference>
          <reference field="8" count="1" selected="0">
            <x v="2"/>
          </reference>
        </references>
      </pivotArea>
    </format>
    <format dxfId="1125">
      <pivotArea dataOnly="0" labelOnly="1" fieldPosition="0">
        <references count="3">
          <reference field="4" count="1" selected="0">
            <x v="0"/>
          </reference>
          <reference field="5" count="1">
            <x v="10"/>
          </reference>
          <reference field="8" count="1" selected="0">
            <x v="17"/>
          </reference>
        </references>
      </pivotArea>
    </format>
    <format dxfId="1126">
      <pivotArea dataOnly="0" labelOnly="1" fieldPosition="0">
        <references count="3">
          <reference field="4" count="1" selected="0">
            <x v="0"/>
          </reference>
          <reference field="5" count="1">
            <x v="10"/>
          </reference>
          <reference field="8" count="1" selected="0">
            <x v="26"/>
          </reference>
        </references>
      </pivotArea>
    </format>
    <format dxfId="1127">
      <pivotArea dataOnly="0" labelOnly="1" fieldPosition="0">
        <references count="3">
          <reference field="4" count="1" selected="0">
            <x v="0"/>
          </reference>
          <reference field="5" count="1">
            <x v="9"/>
          </reference>
          <reference field="8" count="1" selected="0">
            <x v="31"/>
          </reference>
        </references>
      </pivotArea>
    </format>
    <format dxfId="1128">
      <pivotArea dataOnly="0" labelOnly="1" fieldPosition="0">
        <references count="3">
          <reference field="4" count="1" selected="0">
            <x v="0"/>
          </reference>
          <reference field="5" count="1">
            <x v="20"/>
          </reference>
          <reference field="8" count="1" selected="0">
            <x v="34"/>
          </reference>
        </references>
      </pivotArea>
    </format>
    <format dxfId="1129">
      <pivotArea dataOnly="0" labelOnly="1" fieldPosition="0">
        <references count="3">
          <reference field="4" count="1" selected="0">
            <x v="1"/>
          </reference>
          <reference field="5" count="1">
            <x v="9"/>
          </reference>
          <reference field="8" count="1" selected="0">
            <x v="1"/>
          </reference>
        </references>
      </pivotArea>
    </format>
    <format dxfId="1130">
      <pivotArea dataOnly="0" labelOnly="1" fieldPosition="0">
        <references count="3">
          <reference field="4" count="1" selected="0">
            <x v="1"/>
          </reference>
          <reference field="5" count="6">
            <x v="3"/>
            <x v="9"/>
            <x v="12"/>
            <x v="15"/>
            <x v="16"/>
            <x v="24"/>
          </reference>
          <reference field="8" count="1" selected="0">
            <x v="2"/>
          </reference>
        </references>
      </pivotArea>
    </format>
    <format dxfId="1131">
      <pivotArea dataOnly="0" labelOnly="1" fieldPosition="0">
        <references count="3">
          <reference field="4" count="1" selected="0">
            <x v="1"/>
          </reference>
          <reference field="5" count="1">
            <x v="10"/>
          </reference>
          <reference field="8" count="1" selected="0">
            <x v="17"/>
          </reference>
        </references>
      </pivotArea>
    </format>
    <format dxfId="1132">
      <pivotArea dataOnly="0" labelOnly="1" fieldPosition="0">
        <references count="3">
          <reference field="4" count="1" selected="0">
            <x v="1"/>
          </reference>
          <reference field="5" count="1">
            <x v="10"/>
          </reference>
          <reference field="8" count="1" selected="0">
            <x v="26"/>
          </reference>
        </references>
      </pivotArea>
    </format>
    <format dxfId="1133">
      <pivotArea dataOnly="0" labelOnly="1" fieldPosition="0">
        <references count="3">
          <reference field="4" count="1" selected="0">
            <x v="1"/>
          </reference>
          <reference field="5" count="1">
            <x v="9"/>
          </reference>
          <reference field="8" count="1" selected="0">
            <x v="31"/>
          </reference>
        </references>
      </pivotArea>
    </format>
    <format dxfId="1134">
      <pivotArea dataOnly="0" labelOnly="1" fieldPosition="0">
        <references count="3">
          <reference field="4" count="1" selected="0">
            <x v="1"/>
          </reference>
          <reference field="5" count="1">
            <x v="20"/>
          </reference>
          <reference field="8" count="1" selected="0">
            <x v="34"/>
          </reference>
        </references>
      </pivotArea>
    </format>
    <format dxfId="1135">
      <pivotArea dataOnly="0" labelOnly="1" fieldPosition="0">
        <references count="3">
          <reference field="4" count="1" selected="0">
            <x v="2"/>
          </reference>
          <reference field="5" count="1">
            <x v="9"/>
          </reference>
          <reference field="8" count="1" selected="0">
            <x v="1"/>
          </reference>
        </references>
      </pivotArea>
    </format>
    <format dxfId="1136">
      <pivotArea dataOnly="0" labelOnly="1" fieldPosition="0">
        <references count="3">
          <reference field="4" count="1" selected="0">
            <x v="2"/>
          </reference>
          <reference field="5" count="6">
            <x v="3"/>
            <x v="9"/>
            <x v="12"/>
            <x v="15"/>
            <x v="16"/>
            <x v="24"/>
          </reference>
          <reference field="8" count="1" selected="0">
            <x v="2"/>
          </reference>
        </references>
      </pivotArea>
    </format>
    <format dxfId="1137">
      <pivotArea dataOnly="0" labelOnly="1" fieldPosition="0">
        <references count="3">
          <reference field="4" count="1" selected="0">
            <x v="2"/>
          </reference>
          <reference field="5" count="1">
            <x v="10"/>
          </reference>
          <reference field="8" count="1" selected="0">
            <x v="17"/>
          </reference>
        </references>
      </pivotArea>
    </format>
    <format dxfId="1138">
      <pivotArea dataOnly="0" labelOnly="1" fieldPosition="0">
        <references count="3">
          <reference field="4" count="1" selected="0">
            <x v="2"/>
          </reference>
          <reference field="5" count="1">
            <x v="10"/>
          </reference>
          <reference field="8" count="1" selected="0">
            <x v="26"/>
          </reference>
        </references>
      </pivotArea>
    </format>
    <format dxfId="1139">
      <pivotArea dataOnly="0" labelOnly="1" fieldPosition="0">
        <references count="3">
          <reference field="4" count="1" selected="0">
            <x v="2"/>
          </reference>
          <reference field="5" count="1">
            <x v="9"/>
          </reference>
          <reference field="8" count="1" selected="0">
            <x v="31"/>
          </reference>
        </references>
      </pivotArea>
    </format>
    <format dxfId="1140">
      <pivotArea dataOnly="0" labelOnly="1" fieldPosition="0">
        <references count="3">
          <reference field="4" count="1" selected="0">
            <x v="2"/>
          </reference>
          <reference field="5" count="1">
            <x v="20"/>
          </reference>
          <reference field="8" count="1" selected="0">
            <x v="34"/>
          </reference>
        </references>
      </pivotArea>
    </format>
    <format dxfId="1141">
      <pivotArea dataOnly="0" labelOnly="1" fieldPosition="0">
        <references count="3">
          <reference field="4" count="1" selected="0">
            <x v="3"/>
          </reference>
          <reference field="5" count="1">
            <x v="9"/>
          </reference>
          <reference field="8" count="1" selected="0">
            <x v="1"/>
          </reference>
        </references>
      </pivotArea>
    </format>
    <format dxfId="1142">
      <pivotArea dataOnly="0" labelOnly="1" fieldPosition="0">
        <references count="3">
          <reference field="4" count="1" selected="0">
            <x v="3"/>
          </reference>
          <reference field="5" count="6">
            <x v="3"/>
            <x v="9"/>
            <x v="12"/>
            <x v="15"/>
            <x v="16"/>
            <x v="24"/>
          </reference>
          <reference field="8" count="1" selected="0">
            <x v="2"/>
          </reference>
        </references>
      </pivotArea>
    </format>
    <format dxfId="1143">
      <pivotArea dataOnly="0" labelOnly="1" fieldPosition="0">
        <references count="3">
          <reference field="4" count="1" selected="0">
            <x v="3"/>
          </reference>
          <reference field="5" count="1">
            <x v="10"/>
          </reference>
          <reference field="8" count="1" selected="0">
            <x v="17"/>
          </reference>
        </references>
      </pivotArea>
    </format>
    <format dxfId="1144">
      <pivotArea dataOnly="0" labelOnly="1" fieldPosition="0">
        <references count="3">
          <reference field="4" count="1" selected="0">
            <x v="3"/>
          </reference>
          <reference field="5" count="1">
            <x v="10"/>
          </reference>
          <reference field="8" count="1" selected="0">
            <x v="26"/>
          </reference>
        </references>
      </pivotArea>
    </format>
    <format dxfId="1145">
      <pivotArea dataOnly="0" labelOnly="1" fieldPosition="0">
        <references count="3">
          <reference field="4" count="1" selected="0">
            <x v="3"/>
          </reference>
          <reference field="5" count="1">
            <x v="9"/>
          </reference>
          <reference field="8" count="1" selected="0">
            <x v="31"/>
          </reference>
        </references>
      </pivotArea>
    </format>
    <format dxfId="1146">
      <pivotArea dataOnly="0" labelOnly="1" fieldPosition="0">
        <references count="3">
          <reference field="4" count="1" selected="0">
            <x v="3"/>
          </reference>
          <reference field="5" count="1">
            <x v="20"/>
          </reference>
          <reference field="8" count="1" selected="0">
            <x v="34"/>
          </reference>
        </references>
      </pivotArea>
    </format>
    <format dxfId="1147">
      <pivotArea dataOnly="0" labelOnly="1" fieldPosition="0">
        <references count="3">
          <reference field="4" count="1" selected="0">
            <x v="4"/>
          </reference>
          <reference field="5" count="2">
            <x v="12"/>
            <x v="26"/>
          </reference>
          <reference field="8" count="1" selected="0">
            <x v="0"/>
          </reference>
        </references>
      </pivotArea>
    </format>
    <format dxfId="1148">
      <pivotArea dataOnly="0" labelOnly="1" fieldPosition="0">
        <references count="3">
          <reference field="4" count="1" selected="0">
            <x v="4"/>
          </reference>
          <reference field="5" count="1">
            <x v="9"/>
          </reference>
          <reference field="8" count="1" selected="0">
            <x v="1"/>
          </reference>
        </references>
      </pivotArea>
    </format>
    <format dxfId="1149">
      <pivotArea dataOnly="0" labelOnly="1" fieldPosition="0">
        <references count="3">
          <reference field="4" count="1" selected="0">
            <x v="4"/>
          </reference>
          <reference field="5" count="7">
            <x v="3"/>
            <x v="9"/>
            <x v="12"/>
            <x v="15"/>
            <x v="16"/>
            <x v="24"/>
            <x v="26"/>
          </reference>
          <reference field="8" count="1" selected="0">
            <x v="2"/>
          </reference>
        </references>
      </pivotArea>
    </format>
    <format dxfId="1150">
      <pivotArea dataOnly="0" labelOnly="1" fieldPosition="0">
        <references count="3">
          <reference field="4" count="1" selected="0">
            <x v="4"/>
          </reference>
          <reference field="5" count="1">
            <x v="10"/>
          </reference>
          <reference field="8" count="1" selected="0">
            <x v="17"/>
          </reference>
        </references>
      </pivotArea>
    </format>
    <format dxfId="1151">
      <pivotArea dataOnly="0" labelOnly="1" fieldPosition="0">
        <references count="3">
          <reference field="4" count="1" selected="0">
            <x v="4"/>
          </reference>
          <reference field="5" count="1">
            <x v="10"/>
          </reference>
          <reference field="8" count="1" selected="0">
            <x v="26"/>
          </reference>
        </references>
      </pivotArea>
    </format>
    <format dxfId="1152">
      <pivotArea dataOnly="0" labelOnly="1" fieldPosition="0">
        <references count="3">
          <reference field="4" count="1" selected="0">
            <x v="4"/>
          </reference>
          <reference field="5" count="1">
            <x v="9"/>
          </reference>
          <reference field="8" count="1" selected="0">
            <x v="31"/>
          </reference>
        </references>
      </pivotArea>
    </format>
    <format dxfId="1153">
      <pivotArea dataOnly="0" labelOnly="1" fieldPosition="0">
        <references count="3">
          <reference field="4" count="1" selected="0">
            <x v="4"/>
          </reference>
          <reference field="5" count="1">
            <x v="20"/>
          </reference>
          <reference field="8" count="1" selected="0">
            <x v="34"/>
          </reference>
        </references>
      </pivotArea>
    </format>
    <format dxfId="1154">
      <pivotArea dataOnly="0" labelOnly="1" fieldPosition="0">
        <references count="3">
          <reference field="4" count="1" selected="0">
            <x v="5"/>
          </reference>
          <reference field="5" count="2">
            <x v="21"/>
            <x v="22"/>
          </reference>
          <reference field="8" count="1" selected="0">
            <x v="0"/>
          </reference>
        </references>
      </pivotArea>
    </format>
    <format dxfId="1155">
      <pivotArea dataOnly="0" labelOnly="1" fieldPosition="0">
        <references count="3">
          <reference field="4" count="1" selected="0">
            <x v="5"/>
          </reference>
          <reference field="5" count="3">
            <x v="1"/>
            <x v="21"/>
            <x v="22"/>
          </reference>
          <reference field="8" count="1" selected="0">
            <x v="1"/>
          </reference>
        </references>
      </pivotArea>
    </format>
    <format dxfId="1156">
      <pivotArea dataOnly="0" labelOnly="1" fieldPosition="0">
        <references count="3">
          <reference field="4" count="1" selected="0">
            <x v="6"/>
          </reference>
          <reference field="5" count="1">
            <x v="9"/>
          </reference>
          <reference field="8" count="1" selected="0">
            <x v="1"/>
          </reference>
        </references>
      </pivotArea>
    </format>
    <format dxfId="1157">
      <pivotArea dataOnly="0" labelOnly="1" fieldPosition="0">
        <references count="3">
          <reference field="4" count="1" selected="0">
            <x v="6"/>
          </reference>
          <reference field="5" count="6">
            <x v="3"/>
            <x v="9"/>
            <x v="12"/>
            <x v="15"/>
            <x v="16"/>
            <x v="24"/>
          </reference>
          <reference field="8" count="1" selected="0">
            <x v="2"/>
          </reference>
        </references>
      </pivotArea>
    </format>
    <format dxfId="1158">
      <pivotArea dataOnly="0" labelOnly="1" fieldPosition="0">
        <references count="3">
          <reference field="4" count="1" selected="0">
            <x v="6"/>
          </reference>
          <reference field="5" count="1">
            <x v="10"/>
          </reference>
          <reference field="8" count="1" selected="0">
            <x v="17"/>
          </reference>
        </references>
      </pivotArea>
    </format>
    <format dxfId="1159">
      <pivotArea dataOnly="0" labelOnly="1" fieldPosition="0">
        <references count="3">
          <reference field="4" count="1" selected="0">
            <x v="6"/>
          </reference>
          <reference field="5" count="1">
            <x v="10"/>
          </reference>
          <reference field="8" count="1" selected="0">
            <x v="26"/>
          </reference>
        </references>
      </pivotArea>
    </format>
    <format dxfId="1160">
      <pivotArea dataOnly="0" labelOnly="1" fieldPosition="0">
        <references count="3">
          <reference field="4" count="1" selected="0">
            <x v="6"/>
          </reference>
          <reference field="5" count="1">
            <x v="9"/>
          </reference>
          <reference field="8" count="1" selected="0">
            <x v="31"/>
          </reference>
        </references>
      </pivotArea>
    </format>
    <format dxfId="1161">
      <pivotArea dataOnly="0" labelOnly="1" fieldPosition="0">
        <references count="3">
          <reference field="4" count="1" selected="0">
            <x v="6"/>
          </reference>
          <reference field="5" count="1">
            <x v="20"/>
          </reference>
          <reference field="8" count="1" selected="0">
            <x v="34"/>
          </reference>
        </references>
      </pivotArea>
    </format>
    <format dxfId="1162">
      <pivotArea dataOnly="0" labelOnly="1" fieldPosition="0">
        <references count="4">
          <reference field="4" count="1" selected="0">
            <x v="0"/>
          </reference>
          <reference field="5" count="1" selected="0">
            <x v="9"/>
          </reference>
          <reference field="6" count="1">
            <x v="81"/>
          </reference>
          <reference field="8" count="1" selected="0">
            <x v="1"/>
          </reference>
        </references>
      </pivotArea>
    </format>
    <format dxfId="1163">
      <pivotArea dataOnly="0" labelOnly="1" fieldPosition="0">
        <references count="4">
          <reference field="4" count="1" selected="0">
            <x v="0"/>
          </reference>
          <reference field="5" count="1" selected="0">
            <x v="9"/>
          </reference>
          <reference field="6" count="1">
            <x v="62"/>
          </reference>
          <reference field="8" count="1" selected="0">
            <x v="2"/>
          </reference>
        </references>
      </pivotArea>
    </format>
    <format dxfId="1164">
      <pivotArea dataOnly="0" labelOnly="1" fieldPosition="0">
        <references count="4">
          <reference field="4" count="1" selected="0">
            <x v="0"/>
          </reference>
          <reference field="5" count="1" selected="0">
            <x v="24"/>
          </reference>
          <reference field="6" count="1">
            <x v="150"/>
          </reference>
          <reference field="8" count="1" selected="0">
            <x v="2"/>
          </reference>
        </references>
      </pivotArea>
    </format>
    <format dxfId="1165">
      <pivotArea dataOnly="0" labelOnly="1" fieldPosition="0">
        <references count="4">
          <reference field="4" count="1" selected="0">
            <x v="0"/>
          </reference>
          <reference field="5" count="1" selected="0">
            <x v="10"/>
          </reference>
          <reference field="6" count="2">
            <x v="5"/>
            <x v="15"/>
          </reference>
          <reference field="8" count="1" selected="0">
            <x v="17"/>
          </reference>
        </references>
      </pivotArea>
    </format>
    <format dxfId="1166">
      <pivotArea dataOnly="0" labelOnly="1" fieldPosition="0">
        <references count="4">
          <reference field="4" count="1" selected="0">
            <x v="0"/>
          </reference>
          <reference field="5" count="1" selected="0">
            <x v="10"/>
          </reference>
          <reference field="6" count="1">
            <x v="56"/>
          </reference>
          <reference field="8" count="1" selected="0">
            <x v="26"/>
          </reference>
        </references>
      </pivotArea>
    </format>
    <format dxfId="1167">
      <pivotArea dataOnly="0" labelOnly="1" fieldPosition="0">
        <references count="4">
          <reference field="4" count="1" selected="0">
            <x v="0"/>
          </reference>
          <reference field="5" count="1" selected="0">
            <x v="9"/>
          </reference>
          <reference field="6" count="1">
            <x v="81"/>
          </reference>
          <reference field="8" count="1" selected="0">
            <x v="31"/>
          </reference>
        </references>
      </pivotArea>
    </format>
    <format dxfId="1168">
      <pivotArea dataOnly="0" labelOnly="1" fieldPosition="0">
        <references count="4">
          <reference field="4" count="1" selected="0">
            <x v="0"/>
          </reference>
          <reference field="5" count="1" selected="0">
            <x v="20"/>
          </reference>
          <reference field="6" count="1">
            <x v="116"/>
          </reference>
          <reference field="8" count="1" selected="0">
            <x v="34"/>
          </reference>
        </references>
      </pivotArea>
    </format>
    <format dxfId="1169">
      <pivotArea dataOnly="0" labelOnly="1" fieldPosition="0">
        <references count="4">
          <reference field="4" count="1" selected="0">
            <x v="1"/>
          </reference>
          <reference field="5" count="1" selected="0">
            <x v="9"/>
          </reference>
          <reference field="6" count="1">
            <x v="81"/>
          </reference>
          <reference field="8" count="1" selected="0">
            <x v="1"/>
          </reference>
        </references>
      </pivotArea>
    </format>
    <format dxfId="1170">
      <pivotArea dataOnly="0" labelOnly="1" fieldPosition="0">
        <references count="4">
          <reference field="4" count="1" selected="0">
            <x v="1"/>
          </reference>
          <reference field="5" count="1" selected="0">
            <x v="9"/>
          </reference>
          <reference field="6" count="1">
            <x v="62"/>
          </reference>
          <reference field="8" count="1" selected="0">
            <x v="2"/>
          </reference>
        </references>
      </pivotArea>
    </format>
    <format dxfId="1171">
      <pivotArea dataOnly="0" labelOnly="1" fieldPosition="0">
        <references count="4">
          <reference field="4" count="1" selected="0">
            <x v="1"/>
          </reference>
          <reference field="5" count="1" selected="0">
            <x v="24"/>
          </reference>
          <reference field="6" count="1">
            <x v="150"/>
          </reference>
          <reference field="8" count="1" selected="0">
            <x v="2"/>
          </reference>
        </references>
      </pivotArea>
    </format>
    <format dxfId="1172">
      <pivotArea dataOnly="0" labelOnly="1" fieldPosition="0">
        <references count="4">
          <reference field="4" count="1" selected="0">
            <x v="1"/>
          </reference>
          <reference field="5" count="1" selected="0">
            <x v="10"/>
          </reference>
          <reference field="6" count="2">
            <x v="5"/>
            <x v="15"/>
          </reference>
          <reference field="8" count="1" selected="0">
            <x v="17"/>
          </reference>
        </references>
      </pivotArea>
    </format>
    <format dxfId="1173">
      <pivotArea dataOnly="0" labelOnly="1" fieldPosition="0">
        <references count="4">
          <reference field="4" count="1" selected="0">
            <x v="1"/>
          </reference>
          <reference field="5" count="1" selected="0">
            <x v="10"/>
          </reference>
          <reference field="6" count="1">
            <x v="56"/>
          </reference>
          <reference field="8" count="1" selected="0">
            <x v="26"/>
          </reference>
        </references>
      </pivotArea>
    </format>
    <format dxfId="1174">
      <pivotArea dataOnly="0" labelOnly="1" fieldPosition="0">
        <references count="4">
          <reference field="4" count="1" selected="0">
            <x v="1"/>
          </reference>
          <reference field="5" count="1" selected="0">
            <x v="9"/>
          </reference>
          <reference field="6" count="1">
            <x v="81"/>
          </reference>
          <reference field="8" count="1" selected="0">
            <x v="31"/>
          </reference>
        </references>
      </pivotArea>
    </format>
    <format dxfId="1175">
      <pivotArea dataOnly="0" labelOnly="1" fieldPosition="0">
        <references count="4">
          <reference field="4" count="1" selected="0">
            <x v="1"/>
          </reference>
          <reference field="5" count="1" selected="0">
            <x v="20"/>
          </reference>
          <reference field="6" count="1">
            <x v="116"/>
          </reference>
          <reference field="8" count="1" selected="0">
            <x v="34"/>
          </reference>
        </references>
      </pivotArea>
    </format>
    <format dxfId="1176">
      <pivotArea dataOnly="0" labelOnly="1" fieldPosition="0">
        <references count="4">
          <reference field="4" count="1" selected="0">
            <x v="2"/>
          </reference>
          <reference field="5" count="1" selected="0">
            <x v="9"/>
          </reference>
          <reference field="6" count="1">
            <x v="81"/>
          </reference>
          <reference field="8" count="1" selected="0">
            <x v="1"/>
          </reference>
        </references>
      </pivotArea>
    </format>
    <format dxfId="1177">
      <pivotArea dataOnly="0" labelOnly="1" fieldPosition="0">
        <references count="4">
          <reference field="4" count="1" selected="0">
            <x v="2"/>
          </reference>
          <reference field="5" count="1" selected="0">
            <x v="9"/>
          </reference>
          <reference field="6" count="1">
            <x v="62"/>
          </reference>
          <reference field="8" count="1" selected="0">
            <x v="2"/>
          </reference>
        </references>
      </pivotArea>
    </format>
    <format dxfId="1178">
      <pivotArea dataOnly="0" labelOnly="1" fieldPosition="0">
        <references count="4">
          <reference field="4" count="1" selected="0">
            <x v="2"/>
          </reference>
          <reference field="5" count="1" selected="0">
            <x v="24"/>
          </reference>
          <reference field="6" count="1">
            <x v="150"/>
          </reference>
          <reference field="8" count="1" selected="0">
            <x v="2"/>
          </reference>
        </references>
      </pivotArea>
    </format>
    <format dxfId="1179">
      <pivotArea dataOnly="0" labelOnly="1" fieldPosition="0">
        <references count="4">
          <reference field="4" count="1" selected="0">
            <x v="2"/>
          </reference>
          <reference field="5" count="1" selected="0">
            <x v="10"/>
          </reference>
          <reference field="6" count="2">
            <x v="5"/>
            <x v="15"/>
          </reference>
          <reference field="8" count="1" selected="0">
            <x v="17"/>
          </reference>
        </references>
      </pivotArea>
    </format>
    <format dxfId="1180">
      <pivotArea dataOnly="0" labelOnly="1" fieldPosition="0">
        <references count="4">
          <reference field="4" count="1" selected="0">
            <x v="2"/>
          </reference>
          <reference field="5" count="1" selected="0">
            <x v="10"/>
          </reference>
          <reference field="6" count="1">
            <x v="56"/>
          </reference>
          <reference field="8" count="1" selected="0">
            <x v="26"/>
          </reference>
        </references>
      </pivotArea>
    </format>
    <format dxfId="1181">
      <pivotArea dataOnly="0" labelOnly="1" fieldPosition="0">
        <references count="4">
          <reference field="4" count="1" selected="0">
            <x v="2"/>
          </reference>
          <reference field="5" count="1" selected="0">
            <x v="9"/>
          </reference>
          <reference field="6" count="1">
            <x v="81"/>
          </reference>
          <reference field="8" count="1" selected="0">
            <x v="31"/>
          </reference>
        </references>
      </pivotArea>
    </format>
    <format dxfId="1182">
      <pivotArea dataOnly="0" labelOnly="1" fieldPosition="0">
        <references count="4">
          <reference field="4" count="1" selected="0">
            <x v="2"/>
          </reference>
          <reference field="5" count="1" selected="0">
            <x v="20"/>
          </reference>
          <reference field="6" count="1">
            <x v="116"/>
          </reference>
          <reference field="8" count="1" selected="0">
            <x v="34"/>
          </reference>
        </references>
      </pivotArea>
    </format>
    <format dxfId="1183">
      <pivotArea dataOnly="0" labelOnly="1" fieldPosition="0">
        <references count="4">
          <reference field="4" count="1" selected="0">
            <x v="3"/>
          </reference>
          <reference field="5" count="1" selected="0">
            <x v="9"/>
          </reference>
          <reference field="6" count="1">
            <x v="81"/>
          </reference>
          <reference field="8" count="1" selected="0">
            <x v="1"/>
          </reference>
        </references>
      </pivotArea>
    </format>
    <format dxfId="1184">
      <pivotArea dataOnly="0" labelOnly="1" fieldPosition="0">
        <references count="4">
          <reference field="4" count="1" selected="0">
            <x v="3"/>
          </reference>
          <reference field="5" count="1" selected="0">
            <x v="9"/>
          </reference>
          <reference field="6" count="1">
            <x v="62"/>
          </reference>
          <reference field="8" count="1" selected="0">
            <x v="2"/>
          </reference>
        </references>
      </pivotArea>
    </format>
    <format dxfId="1185">
      <pivotArea dataOnly="0" labelOnly="1" fieldPosition="0">
        <references count="4">
          <reference field="4" count="1" selected="0">
            <x v="3"/>
          </reference>
          <reference field="5" count="1" selected="0">
            <x v="24"/>
          </reference>
          <reference field="6" count="1">
            <x v="150"/>
          </reference>
          <reference field="8" count="1" selected="0">
            <x v="2"/>
          </reference>
        </references>
      </pivotArea>
    </format>
    <format dxfId="1186">
      <pivotArea dataOnly="0" labelOnly="1" fieldPosition="0">
        <references count="4">
          <reference field="4" count="1" selected="0">
            <x v="3"/>
          </reference>
          <reference field="5" count="1" selected="0">
            <x v="10"/>
          </reference>
          <reference field="6" count="2">
            <x v="5"/>
            <x v="15"/>
          </reference>
          <reference field="8" count="1" selected="0">
            <x v="17"/>
          </reference>
        </references>
      </pivotArea>
    </format>
    <format dxfId="1187">
      <pivotArea dataOnly="0" labelOnly="1" fieldPosition="0">
        <references count="4">
          <reference field="4" count="1" selected="0">
            <x v="3"/>
          </reference>
          <reference field="5" count="1" selected="0">
            <x v="10"/>
          </reference>
          <reference field="6" count="1">
            <x v="56"/>
          </reference>
          <reference field="8" count="1" selected="0">
            <x v="26"/>
          </reference>
        </references>
      </pivotArea>
    </format>
    <format dxfId="1188">
      <pivotArea dataOnly="0" labelOnly="1" fieldPosition="0">
        <references count="4">
          <reference field="4" count="1" selected="0">
            <x v="3"/>
          </reference>
          <reference field="5" count="1" selected="0">
            <x v="9"/>
          </reference>
          <reference field="6" count="1">
            <x v="81"/>
          </reference>
          <reference field="8" count="1" selected="0">
            <x v="31"/>
          </reference>
        </references>
      </pivotArea>
    </format>
    <format dxfId="1189">
      <pivotArea dataOnly="0" labelOnly="1" fieldPosition="0">
        <references count="4">
          <reference field="4" count="1" selected="0">
            <x v="3"/>
          </reference>
          <reference field="5" count="1" selected="0">
            <x v="20"/>
          </reference>
          <reference field="6" count="1">
            <x v="116"/>
          </reference>
          <reference field="8" count="1" selected="0">
            <x v="34"/>
          </reference>
        </references>
      </pivotArea>
    </format>
    <format dxfId="1190">
      <pivotArea dataOnly="0" labelOnly="1" fieldPosition="0">
        <references count="4">
          <reference field="4" count="1" selected="0">
            <x v="4"/>
          </reference>
          <reference field="5" count="1" selected="0">
            <x v="26"/>
          </reference>
          <reference field="6" count="1">
            <x v="118"/>
          </reference>
          <reference field="8" count="1" selected="0">
            <x v="0"/>
          </reference>
        </references>
      </pivotArea>
    </format>
    <format dxfId="1191">
      <pivotArea dataOnly="0" labelOnly="1" fieldPosition="0">
        <references count="4">
          <reference field="4" count="1" selected="0">
            <x v="4"/>
          </reference>
          <reference field="5" count="1" selected="0">
            <x v="9"/>
          </reference>
          <reference field="6" count="1">
            <x v="81"/>
          </reference>
          <reference field="8" count="1" selected="0">
            <x v="1"/>
          </reference>
        </references>
      </pivotArea>
    </format>
    <format dxfId="1192">
      <pivotArea dataOnly="0" labelOnly="1" fieldPosition="0">
        <references count="4">
          <reference field="4" count="1" selected="0">
            <x v="4"/>
          </reference>
          <reference field="5" count="1" selected="0">
            <x v="9"/>
          </reference>
          <reference field="6" count="1">
            <x v="62"/>
          </reference>
          <reference field="8" count="1" selected="0">
            <x v="2"/>
          </reference>
        </references>
      </pivotArea>
    </format>
    <format dxfId="1193">
      <pivotArea dataOnly="0" labelOnly="1" fieldPosition="0">
        <references count="4">
          <reference field="4" count="1" selected="0">
            <x v="4"/>
          </reference>
          <reference field="5" count="1" selected="0">
            <x v="24"/>
          </reference>
          <reference field="6" count="1">
            <x v="150"/>
          </reference>
          <reference field="8" count="1" selected="0">
            <x v="2"/>
          </reference>
        </references>
      </pivotArea>
    </format>
    <format dxfId="1194">
      <pivotArea dataOnly="0" labelOnly="1" fieldPosition="0">
        <references count="4">
          <reference field="4" count="1" selected="0">
            <x v="4"/>
          </reference>
          <reference field="5" count="1" selected="0">
            <x v="10"/>
          </reference>
          <reference field="6" count="2">
            <x v="5"/>
            <x v="15"/>
          </reference>
          <reference field="8" count="1" selected="0">
            <x v="17"/>
          </reference>
        </references>
      </pivotArea>
    </format>
    <format dxfId="1195">
      <pivotArea dataOnly="0" labelOnly="1" fieldPosition="0">
        <references count="4">
          <reference field="4" count="1" selected="0">
            <x v="4"/>
          </reference>
          <reference field="5" count="1" selected="0">
            <x v="10"/>
          </reference>
          <reference field="6" count="1">
            <x v="56"/>
          </reference>
          <reference field="8" count="1" selected="0">
            <x v="26"/>
          </reference>
        </references>
      </pivotArea>
    </format>
    <format dxfId="1196">
      <pivotArea dataOnly="0" labelOnly="1" fieldPosition="0">
        <references count="4">
          <reference field="4" count="1" selected="0">
            <x v="4"/>
          </reference>
          <reference field="5" count="1" selected="0">
            <x v="9"/>
          </reference>
          <reference field="6" count="1">
            <x v="81"/>
          </reference>
          <reference field="8" count="1" selected="0">
            <x v="31"/>
          </reference>
        </references>
      </pivotArea>
    </format>
    <format dxfId="1197">
      <pivotArea dataOnly="0" labelOnly="1" fieldPosition="0">
        <references count="4">
          <reference field="4" count="1" selected="0">
            <x v="4"/>
          </reference>
          <reference field="5" count="1" selected="0">
            <x v="20"/>
          </reference>
          <reference field="6" count="1">
            <x v="116"/>
          </reference>
          <reference field="8" count="1" selected="0">
            <x v="34"/>
          </reference>
        </references>
      </pivotArea>
    </format>
    <format dxfId="1198">
      <pivotArea dataOnly="0" labelOnly="1" fieldPosition="0">
        <references count="4">
          <reference field="4" count="1" selected="0">
            <x v="5"/>
          </reference>
          <reference field="5" count="1" selected="0">
            <x v="21"/>
          </reference>
          <reference field="6" count="1">
            <x v="120"/>
          </reference>
          <reference field="8" count="1" selected="0">
            <x v="0"/>
          </reference>
        </references>
      </pivotArea>
    </format>
    <format dxfId="1199">
      <pivotArea dataOnly="0" labelOnly="1" fieldPosition="0">
        <references count="4">
          <reference field="4" count="1" selected="0">
            <x v="5"/>
          </reference>
          <reference field="5" count="1" selected="0">
            <x v="22"/>
          </reference>
          <reference field="6" count="1">
            <x v="121"/>
          </reference>
          <reference field="8" count="1" selected="0">
            <x v="0"/>
          </reference>
        </references>
      </pivotArea>
    </format>
    <format dxfId="1200">
      <pivotArea dataOnly="0" labelOnly="1" fieldPosition="0">
        <references count="4">
          <reference field="4" count="1" selected="0">
            <x v="5"/>
          </reference>
          <reference field="5" count="1" selected="0">
            <x v="1"/>
          </reference>
          <reference field="6" count="2">
            <x v="52"/>
            <x v="65"/>
          </reference>
          <reference field="8" count="1" selected="0">
            <x v="1"/>
          </reference>
        </references>
      </pivotArea>
    </format>
    <format dxfId="1201">
      <pivotArea dataOnly="0" labelOnly="1" fieldPosition="0">
        <references count="4">
          <reference field="4" count="1" selected="0">
            <x v="5"/>
          </reference>
          <reference field="5" count="1" selected="0">
            <x v="21"/>
          </reference>
          <reference field="6" count="1">
            <x v="113"/>
          </reference>
          <reference field="8" count="1" selected="0">
            <x v="1"/>
          </reference>
        </references>
      </pivotArea>
    </format>
    <format dxfId="1202">
      <pivotArea dataOnly="0" labelOnly="1" fieldPosition="0">
        <references count="4">
          <reference field="4" count="1" selected="0">
            <x v="5"/>
          </reference>
          <reference field="5" count="1" selected="0">
            <x v="22"/>
          </reference>
          <reference field="6" count="3">
            <x v="59"/>
            <x v="81"/>
            <x v="130"/>
          </reference>
          <reference field="8" count="1" selected="0">
            <x v="1"/>
          </reference>
        </references>
      </pivotArea>
    </format>
    <format dxfId="1203">
      <pivotArea dataOnly="0" labelOnly="1" fieldPosition="0">
        <references count="4">
          <reference field="4" count="1" selected="0">
            <x v="6"/>
          </reference>
          <reference field="5" count="1" selected="0">
            <x v="9"/>
          </reference>
          <reference field="6" count="1">
            <x v="81"/>
          </reference>
          <reference field="8" count="1" selected="0">
            <x v="1"/>
          </reference>
        </references>
      </pivotArea>
    </format>
    <format dxfId="1204">
      <pivotArea dataOnly="0" labelOnly="1" fieldPosition="0">
        <references count="4">
          <reference field="4" count="1" selected="0">
            <x v="6"/>
          </reference>
          <reference field="5" count="1" selected="0">
            <x v="9"/>
          </reference>
          <reference field="6" count="1">
            <x v="62"/>
          </reference>
          <reference field="8" count="1" selected="0">
            <x v="2"/>
          </reference>
        </references>
      </pivotArea>
    </format>
    <format dxfId="1205">
      <pivotArea dataOnly="0" labelOnly="1" fieldPosition="0">
        <references count="4">
          <reference field="4" count="1" selected="0">
            <x v="6"/>
          </reference>
          <reference field="5" count="1" selected="0">
            <x v="24"/>
          </reference>
          <reference field="6" count="1">
            <x v="150"/>
          </reference>
          <reference field="8" count="1" selected="0">
            <x v="2"/>
          </reference>
        </references>
      </pivotArea>
    </format>
    <format dxfId="1206">
      <pivotArea dataOnly="0" labelOnly="1" fieldPosition="0">
        <references count="4">
          <reference field="4" count="1" selected="0">
            <x v="6"/>
          </reference>
          <reference field="5" count="1" selected="0">
            <x v="10"/>
          </reference>
          <reference field="6" count="2">
            <x v="5"/>
            <x v="15"/>
          </reference>
          <reference field="8" count="1" selected="0">
            <x v="17"/>
          </reference>
        </references>
      </pivotArea>
    </format>
    <format dxfId="1207">
      <pivotArea dataOnly="0" labelOnly="1" fieldPosition="0">
        <references count="4">
          <reference field="4" count="1" selected="0">
            <x v="6"/>
          </reference>
          <reference field="5" count="1" selected="0">
            <x v="10"/>
          </reference>
          <reference field="6" count="1">
            <x v="56"/>
          </reference>
          <reference field="8" count="1" selected="0">
            <x v="26"/>
          </reference>
        </references>
      </pivotArea>
    </format>
    <format dxfId="1208">
      <pivotArea dataOnly="0" labelOnly="1" fieldPosition="0">
        <references count="4">
          <reference field="4" count="1" selected="0">
            <x v="6"/>
          </reference>
          <reference field="5" count="1" selected="0">
            <x v="9"/>
          </reference>
          <reference field="6" count="1">
            <x v="81"/>
          </reference>
          <reference field="8" count="1" selected="0">
            <x v="31"/>
          </reference>
        </references>
      </pivotArea>
    </format>
    <format dxfId="1209">
      <pivotArea dataOnly="0" labelOnly="1" fieldPosition="0">
        <references count="4">
          <reference field="4" count="1" selected="0">
            <x v="6"/>
          </reference>
          <reference field="5" count="1" selected="0">
            <x v="20"/>
          </reference>
          <reference field="6" count="1">
            <x v="116"/>
          </reference>
          <reference field="8" count="1" selected="0">
            <x v="34"/>
          </reference>
        </references>
      </pivotArea>
    </format>
    <format dxfId="1210">
      <pivotArea dataOnly="0" labelOnly="1" fieldPosition="0">
        <references count="2">
          <reference field="4" count="1" selected="0">
            <x v="0"/>
          </reference>
          <reference field="8" count="7">
            <x v="0"/>
            <x v="1"/>
            <x v="2"/>
            <x v="16"/>
            <x v="17"/>
            <x v="31"/>
            <x v="34"/>
          </reference>
        </references>
      </pivotArea>
    </format>
    <format dxfId="1211">
      <pivotArea dataOnly="0" labelOnly="1" fieldPosition="0">
        <references count="2">
          <reference field="4" count="1" selected="0">
            <x v="1"/>
          </reference>
          <reference field="8" count="7">
            <x v="0"/>
            <x v="1"/>
            <x v="2"/>
            <x v="16"/>
            <x v="17"/>
            <x v="31"/>
            <x v="34"/>
          </reference>
        </references>
      </pivotArea>
    </format>
    <format dxfId="1212">
      <pivotArea dataOnly="0" labelOnly="1" fieldPosition="0">
        <references count="2">
          <reference field="4" count="1" selected="0">
            <x v="2"/>
          </reference>
          <reference field="8" count="7">
            <x v="0"/>
            <x v="1"/>
            <x v="2"/>
            <x v="16"/>
            <x v="17"/>
            <x v="31"/>
            <x v="34"/>
          </reference>
        </references>
      </pivotArea>
    </format>
    <format dxfId="1213">
      <pivotArea dataOnly="0" labelOnly="1" fieldPosition="0">
        <references count="2">
          <reference field="4" count="1" selected="0">
            <x v="3"/>
          </reference>
          <reference field="8" count="7">
            <x v="0"/>
            <x v="1"/>
            <x v="2"/>
            <x v="16"/>
            <x v="17"/>
            <x v="31"/>
            <x v="34"/>
          </reference>
        </references>
      </pivotArea>
    </format>
    <format dxfId="1214">
      <pivotArea dataOnly="0" labelOnly="1" fieldPosition="0">
        <references count="2">
          <reference field="4" count="1" selected="0">
            <x v="4"/>
          </reference>
          <reference field="8" count="7">
            <x v="0"/>
            <x v="1"/>
            <x v="2"/>
            <x v="16"/>
            <x v="17"/>
            <x v="31"/>
            <x v="34"/>
          </reference>
        </references>
      </pivotArea>
    </format>
    <format dxfId="1215">
      <pivotArea dataOnly="0" labelOnly="1" fieldPosition="0">
        <references count="2">
          <reference field="4" count="1" selected="0">
            <x v="5"/>
          </reference>
          <reference field="8" count="4">
            <x v="0"/>
            <x v="1"/>
            <x v="2"/>
            <x v="16"/>
          </reference>
        </references>
      </pivotArea>
    </format>
    <format dxfId="1216">
      <pivotArea dataOnly="0" labelOnly="1" fieldPosition="0">
        <references count="2">
          <reference field="4" count="1" selected="0">
            <x v="6"/>
          </reference>
          <reference field="8" count="7">
            <x v="0"/>
            <x v="1"/>
            <x v="2"/>
            <x v="16"/>
            <x v="17"/>
            <x v="31"/>
            <x v="34"/>
          </reference>
        </references>
      </pivotArea>
    </format>
    <format dxfId="1217">
      <pivotArea dataOnly="0" labelOnly="1" fieldPosition="0">
        <references count="3">
          <reference field="4" count="1" selected="0">
            <x v="0"/>
          </reference>
          <reference field="5" count="4">
            <x v="3"/>
            <x v="12"/>
            <x v="15"/>
            <x v="16"/>
          </reference>
          <reference field="8" count="1" selected="0">
            <x v="2"/>
          </reference>
        </references>
      </pivotArea>
    </format>
    <format dxfId="1218">
      <pivotArea dataOnly="0" labelOnly="1" fieldPosition="0">
        <references count="3">
          <reference field="4" count="1" selected="0">
            <x v="1"/>
          </reference>
          <reference field="5" count="4">
            <x v="3"/>
            <x v="12"/>
            <x v="15"/>
            <x v="16"/>
          </reference>
          <reference field="8" count="1" selected="0">
            <x v="2"/>
          </reference>
        </references>
      </pivotArea>
    </format>
    <format dxfId="1219">
      <pivotArea dataOnly="0" labelOnly="1" fieldPosition="0">
        <references count="3">
          <reference field="4" count="1" selected="0">
            <x v="2"/>
          </reference>
          <reference field="5" count="4">
            <x v="3"/>
            <x v="12"/>
            <x v="15"/>
            <x v="16"/>
          </reference>
          <reference field="8" count="1" selected="0">
            <x v="2"/>
          </reference>
        </references>
      </pivotArea>
    </format>
    <format dxfId="1220">
      <pivotArea dataOnly="0" labelOnly="1" fieldPosition="0">
        <references count="3">
          <reference field="4" count="1" selected="0">
            <x v="3"/>
          </reference>
          <reference field="5" count="4">
            <x v="3"/>
            <x v="12"/>
            <x v="15"/>
            <x v="16"/>
          </reference>
          <reference field="8" count="1" selected="0">
            <x v="2"/>
          </reference>
        </references>
      </pivotArea>
    </format>
    <format dxfId="1221">
      <pivotArea dataOnly="0" labelOnly="1" fieldPosition="0">
        <references count="3">
          <reference field="4" count="1" selected="0">
            <x v="4"/>
          </reference>
          <reference field="5" count="5">
            <x v="3"/>
            <x v="12"/>
            <x v="15"/>
            <x v="16"/>
            <x v="26"/>
          </reference>
          <reference field="8" count="1" selected="0">
            <x v="2"/>
          </reference>
        </references>
      </pivotArea>
    </format>
    <format dxfId="1222">
      <pivotArea dataOnly="0" labelOnly="1" fieldPosition="0">
        <references count="3">
          <reference field="4" count="1" selected="0">
            <x v="5"/>
          </reference>
          <reference field="5" count="2">
            <x v="1"/>
            <x v="21"/>
          </reference>
          <reference field="8" count="1" selected="0">
            <x v="2"/>
          </reference>
        </references>
      </pivotArea>
    </format>
    <format dxfId="1223">
      <pivotArea dataOnly="0" labelOnly="1" fieldPosition="0">
        <references count="3">
          <reference field="4" count="1" selected="0">
            <x v="5"/>
          </reference>
          <reference field="5" count="3">
            <x v="1"/>
            <x v="21"/>
            <x v="22"/>
          </reference>
          <reference field="8" count="1" selected="0">
            <x v="16"/>
          </reference>
        </references>
      </pivotArea>
    </format>
    <format dxfId="1224">
      <pivotArea dataOnly="0" labelOnly="1" fieldPosition="0">
        <references count="3">
          <reference field="4" count="1" selected="0">
            <x v="6"/>
          </reference>
          <reference field="5" count="4">
            <x v="3"/>
            <x v="12"/>
            <x v="15"/>
            <x v="16"/>
          </reference>
          <reference field="8" count="1" selected="0">
            <x v="2"/>
          </reference>
        </references>
      </pivotArea>
    </format>
    <format dxfId="1225">
      <pivotArea dataOnly="0" labelOnly="1" fieldPosition="0">
        <references count="4">
          <reference field="4" count="1" selected="0">
            <x v="0"/>
          </reference>
          <reference field="5" count="1" selected="0">
            <x v="16"/>
          </reference>
          <reference field="6" count="1">
            <x v="26"/>
          </reference>
          <reference field="8" count="1" selected="0">
            <x v="2"/>
          </reference>
        </references>
      </pivotArea>
    </format>
    <format dxfId="1226">
      <pivotArea dataOnly="0" labelOnly="1" fieldPosition="0">
        <references count="4">
          <reference field="4" count="1" selected="0">
            <x v="0"/>
          </reference>
          <reference field="5" count="1" selected="0">
            <x v="9"/>
          </reference>
          <reference field="6" count="3">
            <x v="62"/>
            <x v="74"/>
            <x v="85"/>
          </reference>
          <reference field="8" count="1" selected="0">
            <x v="16"/>
          </reference>
        </references>
      </pivotArea>
    </format>
    <format dxfId="1227">
      <pivotArea dataOnly="0" labelOnly="1" fieldPosition="0">
        <references count="4">
          <reference field="4" count="1" selected="0">
            <x v="1"/>
          </reference>
          <reference field="5" count="1" selected="0">
            <x v="16"/>
          </reference>
          <reference field="6" count="1">
            <x v="26"/>
          </reference>
          <reference field="8" count="1" selected="0">
            <x v="2"/>
          </reference>
        </references>
      </pivotArea>
    </format>
    <format dxfId="1228">
      <pivotArea dataOnly="0" labelOnly="1" fieldPosition="0">
        <references count="4">
          <reference field="4" count="1" selected="0">
            <x v="1"/>
          </reference>
          <reference field="5" count="1" selected="0">
            <x v="9"/>
          </reference>
          <reference field="6" count="3">
            <x v="62"/>
            <x v="74"/>
            <x v="85"/>
          </reference>
          <reference field="8" count="1" selected="0">
            <x v="16"/>
          </reference>
        </references>
      </pivotArea>
    </format>
    <format dxfId="1229">
      <pivotArea dataOnly="0" labelOnly="1" fieldPosition="0">
        <references count="4">
          <reference field="4" count="1" selected="0">
            <x v="1"/>
          </reference>
          <reference field="5" count="1" selected="0">
            <x v="15"/>
          </reference>
          <reference field="6" count="5">
            <x v="7"/>
            <x v="12"/>
            <x v="28"/>
            <x v="43"/>
            <x v="66"/>
          </reference>
          <reference field="8" count="1" selected="0">
            <x v="16"/>
          </reference>
        </references>
      </pivotArea>
    </format>
    <format dxfId="1230">
      <pivotArea dataOnly="0" labelOnly="1" fieldPosition="0">
        <references count="4">
          <reference field="4" count="1" selected="0">
            <x v="2"/>
          </reference>
          <reference field="5" count="1" selected="0">
            <x v="16"/>
          </reference>
          <reference field="6" count="1">
            <x v="26"/>
          </reference>
          <reference field="8" count="1" selected="0">
            <x v="2"/>
          </reference>
        </references>
      </pivotArea>
    </format>
    <format dxfId="1231">
      <pivotArea dataOnly="0" labelOnly="1" fieldPosition="0">
        <references count="4">
          <reference field="4" count="1" selected="0">
            <x v="2"/>
          </reference>
          <reference field="5" count="1" selected="0">
            <x v="9"/>
          </reference>
          <reference field="6" count="3">
            <x v="62"/>
            <x v="74"/>
            <x v="85"/>
          </reference>
          <reference field="8" count="1" selected="0">
            <x v="16"/>
          </reference>
        </references>
      </pivotArea>
    </format>
    <format dxfId="1232">
      <pivotArea dataOnly="0" labelOnly="1" fieldPosition="0">
        <references count="4">
          <reference field="4" count="1" selected="0">
            <x v="2"/>
          </reference>
          <reference field="5" count="1" selected="0">
            <x v="15"/>
          </reference>
          <reference field="6" count="4">
            <x v="7"/>
            <x v="28"/>
            <x v="43"/>
            <x v="66"/>
          </reference>
          <reference field="8" count="1" selected="0">
            <x v="16"/>
          </reference>
        </references>
      </pivotArea>
    </format>
    <format dxfId="1233">
      <pivotArea dataOnly="0" labelOnly="1" fieldPosition="0">
        <references count="4">
          <reference field="4" count="1" selected="0">
            <x v="3"/>
          </reference>
          <reference field="5" count="1" selected="0">
            <x v="16"/>
          </reference>
          <reference field="6" count="1">
            <x v="26"/>
          </reference>
          <reference field="8" count="1" selected="0">
            <x v="2"/>
          </reference>
        </references>
      </pivotArea>
    </format>
    <format dxfId="1234">
      <pivotArea dataOnly="0" labelOnly="1" fieldPosition="0">
        <references count="4">
          <reference field="4" count="1" selected="0">
            <x v="3"/>
          </reference>
          <reference field="5" count="1" selected="0">
            <x v="9"/>
          </reference>
          <reference field="6" count="3">
            <x v="62"/>
            <x v="74"/>
            <x v="85"/>
          </reference>
          <reference field="8" count="1" selected="0">
            <x v="16"/>
          </reference>
        </references>
      </pivotArea>
    </format>
    <format dxfId="1235">
      <pivotArea dataOnly="0" labelOnly="1" fieldPosition="0">
        <references count="4">
          <reference field="4" count="1" selected="0">
            <x v="3"/>
          </reference>
          <reference field="5" count="1" selected="0">
            <x v="15"/>
          </reference>
          <reference field="6" count="4">
            <x v="7"/>
            <x v="28"/>
            <x v="43"/>
            <x v="66"/>
          </reference>
          <reference field="8" count="1" selected="0">
            <x v="16"/>
          </reference>
        </references>
      </pivotArea>
    </format>
    <format dxfId="1236">
      <pivotArea dataOnly="0" labelOnly="1" fieldPosition="0">
        <references count="4">
          <reference field="4" count="1" selected="0">
            <x v="4"/>
          </reference>
          <reference field="5" count="1" selected="0">
            <x v="16"/>
          </reference>
          <reference field="6" count="1">
            <x v="26"/>
          </reference>
          <reference field="8" count="1" selected="0">
            <x v="2"/>
          </reference>
        </references>
      </pivotArea>
    </format>
    <format dxfId="1237">
      <pivotArea dataOnly="0" labelOnly="1" fieldPosition="0">
        <references count="4">
          <reference field="4" count="1" selected="0">
            <x v="4"/>
          </reference>
          <reference field="5" count="1" selected="0">
            <x v="26"/>
          </reference>
          <reference field="6" count="2">
            <x v="96"/>
            <x v="118"/>
          </reference>
          <reference field="8" count="1" selected="0">
            <x v="2"/>
          </reference>
        </references>
      </pivotArea>
    </format>
    <format dxfId="1238">
      <pivotArea dataOnly="0" labelOnly="1" fieldPosition="0">
        <references count="4">
          <reference field="4" count="1" selected="0">
            <x v="4"/>
          </reference>
          <reference field="5" count="1" selected="0">
            <x v="9"/>
          </reference>
          <reference field="6" count="3">
            <x v="62"/>
            <x v="74"/>
            <x v="85"/>
          </reference>
          <reference field="8" count="1" selected="0">
            <x v="16"/>
          </reference>
        </references>
      </pivotArea>
    </format>
    <format dxfId="1239">
      <pivotArea dataOnly="0" labelOnly="1" fieldPosition="0">
        <references count="4">
          <reference field="4" count="1" selected="0">
            <x v="4"/>
          </reference>
          <reference field="5" count="1" selected="0">
            <x v="15"/>
          </reference>
          <reference field="6" count="5">
            <x v="7"/>
            <x v="12"/>
            <x v="43"/>
            <x v="61"/>
            <x v="66"/>
          </reference>
          <reference field="8" count="1" selected="0">
            <x v="16"/>
          </reference>
        </references>
      </pivotArea>
    </format>
    <format dxfId="1240">
      <pivotArea dataOnly="0" labelOnly="1" fieldPosition="0">
        <references count="4">
          <reference field="4" count="1" selected="0">
            <x v="5"/>
          </reference>
          <reference field="5" count="1" selected="0">
            <x v="1"/>
          </reference>
          <reference field="6" count="4">
            <x v="42"/>
            <x v="52"/>
            <x v="65"/>
            <x v="132"/>
          </reference>
          <reference field="8" count="1" selected="0">
            <x v="2"/>
          </reference>
        </references>
      </pivotArea>
    </format>
    <format dxfId="1241">
      <pivotArea dataOnly="0" labelOnly="1" fieldPosition="0">
        <references count="4">
          <reference field="4" count="1" selected="0">
            <x v="5"/>
          </reference>
          <reference field="5" count="1" selected="0">
            <x v="21"/>
          </reference>
          <reference field="6" count="3">
            <x v="99"/>
            <x v="113"/>
            <x v="114"/>
          </reference>
          <reference field="8" count="1" selected="0">
            <x v="2"/>
          </reference>
        </references>
      </pivotArea>
    </format>
    <format dxfId="1242">
      <pivotArea dataOnly="0" labelOnly="1" fieldPosition="0">
        <references count="4">
          <reference field="4" count="1" selected="0">
            <x v="5"/>
          </reference>
          <reference field="5" count="1" selected="0">
            <x v="1"/>
          </reference>
          <reference field="6" count="2">
            <x v="65"/>
            <x v="132"/>
          </reference>
          <reference field="8" count="1" selected="0">
            <x v="16"/>
          </reference>
        </references>
      </pivotArea>
    </format>
    <format dxfId="1243">
      <pivotArea dataOnly="0" labelOnly="1" fieldPosition="0">
        <references count="4">
          <reference field="4" count="1" selected="0">
            <x v="5"/>
          </reference>
          <reference field="5" count="1" selected="0">
            <x v="21"/>
          </reference>
          <reference field="6" count="3">
            <x v="113"/>
            <x v="120"/>
            <x v="137"/>
          </reference>
          <reference field="8" count="1" selected="0">
            <x v="16"/>
          </reference>
        </references>
      </pivotArea>
    </format>
    <format dxfId="1244">
      <pivotArea dataOnly="0" labelOnly="1" fieldPosition="0">
        <references count="4">
          <reference field="4" count="1" selected="0">
            <x v="5"/>
          </reference>
          <reference field="5" count="1" selected="0">
            <x v="22"/>
          </reference>
          <reference field="6" count="8">
            <x v="32"/>
            <x v="54"/>
            <x v="55"/>
            <x v="59"/>
            <x v="61"/>
            <x v="121"/>
            <x v="126"/>
            <x v="129"/>
          </reference>
          <reference field="8" count="1" selected="0">
            <x v="16"/>
          </reference>
        </references>
      </pivotArea>
    </format>
    <format dxfId="1245">
      <pivotArea dataOnly="0" labelOnly="1" fieldPosition="0">
        <references count="4">
          <reference field="4" count="1" selected="0">
            <x v="6"/>
          </reference>
          <reference field="5" count="1" selected="0">
            <x v="16"/>
          </reference>
          <reference field="6" count="1">
            <x v="26"/>
          </reference>
          <reference field="8" count="1" selected="0">
            <x v="2"/>
          </reference>
        </references>
      </pivotArea>
    </format>
    <format dxfId="1246">
      <pivotArea dataOnly="0" labelOnly="1" fieldPosition="0">
        <references count="5">
          <reference field="2" count="1">
            <x v="5"/>
          </reference>
          <reference field="4" count="1" selected="0">
            <x v="0"/>
          </reference>
          <reference field="5" count="1" selected="0">
            <x v="3"/>
          </reference>
          <reference field="6" count="1" selected="0">
            <x v="53"/>
          </reference>
          <reference field="8" count="1" selected="0">
            <x v="2"/>
          </reference>
        </references>
      </pivotArea>
    </format>
    <format dxfId="1247">
      <pivotArea dataOnly="0" labelOnly="1" fieldPosition="0">
        <references count="5">
          <reference field="2" count="1">
            <x v="2"/>
          </reference>
          <reference field="4" count="1" selected="0">
            <x v="0"/>
          </reference>
          <reference field="5" count="1" selected="0">
            <x v="12"/>
          </reference>
          <reference field="6" count="1" selected="0">
            <x v="10"/>
          </reference>
          <reference field="8" count="1" selected="0">
            <x v="2"/>
          </reference>
        </references>
      </pivotArea>
    </format>
    <format dxfId="1248">
      <pivotArea dataOnly="0" labelOnly="1" fieldPosition="0">
        <references count="5">
          <reference field="2" count="1">
            <x v="14"/>
          </reference>
          <reference field="4" count="1" selected="0">
            <x v="0"/>
          </reference>
          <reference field="5" count="1" selected="0">
            <x v="15"/>
          </reference>
          <reference field="6" count="1" selected="0">
            <x v="66"/>
          </reference>
          <reference field="8" count="1" selected="0">
            <x v="2"/>
          </reference>
        </references>
      </pivotArea>
    </format>
    <format dxfId="1249">
      <pivotArea dataOnly="0" labelOnly="1" fieldPosition="0">
        <references count="5">
          <reference field="2" count="1">
            <x v="18"/>
          </reference>
          <reference field="4" count="1" selected="0">
            <x v="0"/>
          </reference>
          <reference field="5" count="1" selected="0">
            <x v="15"/>
          </reference>
          <reference field="6" count="1" selected="0">
            <x v="104"/>
          </reference>
          <reference field="8" count="1" selected="0">
            <x v="2"/>
          </reference>
        </references>
      </pivotArea>
    </format>
    <format dxfId="1250">
      <pivotArea dataOnly="0" labelOnly="1" fieldPosition="0">
        <references count="5">
          <reference field="2" count="1">
            <x v="21"/>
          </reference>
          <reference field="4" count="1" selected="0">
            <x v="0"/>
          </reference>
          <reference field="5" count="1" selected="0">
            <x v="15"/>
          </reference>
          <reference field="6" count="1" selected="0">
            <x v="106"/>
          </reference>
          <reference field="8" count="1" selected="0">
            <x v="2"/>
          </reference>
        </references>
      </pivotArea>
    </format>
    <format dxfId="1251">
      <pivotArea dataOnly="0" labelOnly="1" fieldPosition="0">
        <references count="5">
          <reference field="2" count="1">
            <x v="21"/>
          </reference>
          <reference field="4" count="1" selected="0">
            <x v="0"/>
          </reference>
          <reference field="5" count="1" selected="0">
            <x v="15"/>
          </reference>
          <reference field="6" count="1" selected="0">
            <x v="109"/>
          </reference>
          <reference field="8" count="1" selected="0">
            <x v="2"/>
          </reference>
        </references>
      </pivotArea>
    </format>
    <format dxfId="1252">
      <pivotArea dataOnly="0" labelOnly="1" fieldPosition="0">
        <references count="5">
          <reference field="2" count="1">
            <x v="7"/>
          </reference>
          <reference field="4" count="1" selected="0">
            <x v="0"/>
          </reference>
          <reference field="5" count="1" selected="0">
            <x v="16"/>
          </reference>
          <reference field="6" count="1" selected="0">
            <x v="26"/>
          </reference>
          <reference field="8" count="1" selected="0">
            <x v="2"/>
          </reference>
        </references>
      </pivotArea>
    </format>
    <format dxfId="1253">
      <pivotArea dataOnly="0" labelOnly="1" fieldPosition="0">
        <references count="5">
          <reference field="2" count="1">
            <x v="12"/>
          </reference>
          <reference field="4" count="1" selected="0">
            <x v="0"/>
          </reference>
          <reference field="5" count="1" selected="0">
            <x v="9"/>
          </reference>
          <reference field="6" count="1" selected="0">
            <x v="74"/>
          </reference>
          <reference field="8" count="1" selected="0">
            <x v="16"/>
          </reference>
        </references>
      </pivotArea>
    </format>
    <format dxfId="1254">
      <pivotArea dataOnly="0" labelOnly="1" fieldPosition="0">
        <references count="5">
          <reference field="2" count="1">
            <x v="14"/>
          </reference>
          <reference field="4" count="1" selected="0">
            <x v="0"/>
          </reference>
          <reference field="5" count="1" selected="0">
            <x v="15"/>
          </reference>
          <reference field="6" count="1" selected="0">
            <x v="66"/>
          </reference>
          <reference field="8" count="1" selected="0">
            <x v="16"/>
          </reference>
        </references>
      </pivotArea>
    </format>
    <format dxfId="1255">
      <pivotArea dataOnly="0" labelOnly="1" fieldPosition="0">
        <references count="5">
          <reference field="2" count="1">
            <x v="5"/>
          </reference>
          <reference field="4" count="1" selected="0">
            <x v="1"/>
          </reference>
          <reference field="5" count="1" selected="0">
            <x v="3"/>
          </reference>
          <reference field="6" count="1" selected="0">
            <x v="53"/>
          </reference>
          <reference field="8" count="1" selected="0">
            <x v="2"/>
          </reference>
        </references>
      </pivotArea>
    </format>
    <format dxfId="1256">
      <pivotArea dataOnly="0" labelOnly="1" fieldPosition="0">
        <references count="5">
          <reference field="2" count="1">
            <x v="2"/>
          </reference>
          <reference field="4" count="1" selected="0">
            <x v="1"/>
          </reference>
          <reference field="5" count="1" selected="0">
            <x v="12"/>
          </reference>
          <reference field="6" count="1" selected="0">
            <x v="10"/>
          </reference>
          <reference field="8" count="1" selected="0">
            <x v="2"/>
          </reference>
        </references>
      </pivotArea>
    </format>
    <format dxfId="1257">
      <pivotArea dataOnly="0" labelOnly="1" fieldPosition="0">
        <references count="5">
          <reference field="2" count="1">
            <x v="14"/>
          </reference>
          <reference field="4" count="1" selected="0">
            <x v="1"/>
          </reference>
          <reference field="5" count="1" selected="0">
            <x v="15"/>
          </reference>
          <reference field="6" count="1" selected="0">
            <x v="66"/>
          </reference>
          <reference field="8" count="1" selected="0">
            <x v="2"/>
          </reference>
        </references>
      </pivotArea>
    </format>
    <format dxfId="1258">
      <pivotArea dataOnly="0" labelOnly="1" fieldPosition="0">
        <references count="5">
          <reference field="2" count="1">
            <x v="18"/>
          </reference>
          <reference field="4" count="1" selected="0">
            <x v="1"/>
          </reference>
          <reference field="5" count="1" selected="0">
            <x v="15"/>
          </reference>
          <reference field="6" count="1" selected="0">
            <x v="104"/>
          </reference>
          <reference field="8" count="1" selected="0">
            <x v="2"/>
          </reference>
        </references>
      </pivotArea>
    </format>
    <format dxfId="1259">
      <pivotArea dataOnly="0" labelOnly="1" fieldPosition="0">
        <references count="5">
          <reference field="2" count="1">
            <x v="21"/>
          </reference>
          <reference field="4" count="1" selected="0">
            <x v="1"/>
          </reference>
          <reference field="5" count="1" selected="0">
            <x v="15"/>
          </reference>
          <reference field="6" count="1" selected="0">
            <x v="106"/>
          </reference>
          <reference field="8" count="1" selected="0">
            <x v="2"/>
          </reference>
        </references>
      </pivotArea>
    </format>
    <format dxfId="1260">
      <pivotArea dataOnly="0" labelOnly="1" fieldPosition="0">
        <references count="5">
          <reference field="2" count="1">
            <x v="21"/>
          </reference>
          <reference field="4" count="1" selected="0">
            <x v="1"/>
          </reference>
          <reference field="5" count="1" selected="0">
            <x v="15"/>
          </reference>
          <reference field="6" count="1" selected="0">
            <x v="109"/>
          </reference>
          <reference field="8" count="1" selected="0">
            <x v="2"/>
          </reference>
        </references>
      </pivotArea>
    </format>
    <format dxfId="1261">
      <pivotArea dataOnly="0" labelOnly="1" fieldPosition="0">
        <references count="5">
          <reference field="2" count="1">
            <x v="7"/>
          </reference>
          <reference field="4" count="1" selected="0">
            <x v="1"/>
          </reference>
          <reference field="5" count="1" selected="0">
            <x v="16"/>
          </reference>
          <reference field="6" count="1" selected="0">
            <x v="26"/>
          </reference>
          <reference field="8" count="1" selected="0">
            <x v="2"/>
          </reference>
        </references>
      </pivotArea>
    </format>
    <format dxfId="1262">
      <pivotArea dataOnly="0" labelOnly="1" fieldPosition="0">
        <references count="5">
          <reference field="2" count="1">
            <x v="12"/>
          </reference>
          <reference field="4" count="1" selected="0">
            <x v="1"/>
          </reference>
          <reference field="5" count="1" selected="0">
            <x v="9"/>
          </reference>
          <reference field="6" count="1" selected="0">
            <x v="74"/>
          </reference>
          <reference field="8" count="1" selected="0">
            <x v="16"/>
          </reference>
        </references>
      </pivotArea>
    </format>
    <format dxfId="1263">
      <pivotArea dataOnly="0" labelOnly="1" fieldPosition="0">
        <references count="5">
          <reference field="2" count="1">
            <x v="4"/>
          </reference>
          <reference field="4" count="1" selected="0">
            <x v="1"/>
          </reference>
          <reference field="5" count="1" selected="0">
            <x v="15"/>
          </reference>
          <reference field="6" count="1" selected="0">
            <x v="12"/>
          </reference>
          <reference field="8" count="1" selected="0">
            <x v="16"/>
          </reference>
        </references>
      </pivotArea>
    </format>
    <format dxfId="1264">
      <pivotArea dataOnly="0" labelOnly="1" fieldPosition="0">
        <references count="5">
          <reference field="2" count="1">
            <x v="12"/>
          </reference>
          <reference field="4" count="1" selected="0">
            <x v="1"/>
          </reference>
          <reference field="5" count="1" selected="0">
            <x v="15"/>
          </reference>
          <reference field="6" count="1" selected="0">
            <x v="28"/>
          </reference>
          <reference field="8" count="1" selected="0">
            <x v="16"/>
          </reference>
        </references>
      </pivotArea>
    </format>
    <format dxfId="1265">
      <pivotArea dataOnly="0" labelOnly="1" fieldPosition="0">
        <references count="5">
          <reference field="2" count="1">
            <x v="12"/>
          </reference>
          <reference field="4" count="1" selected="0">
            <x v="1"/>
          </reference>
          <reference field="5" count="1" selected="0">
            <x v="15"/>
          </reference>
          <reference field="6" count="1" selected="0">
            <x v="43"/>
          </reference>
          <reference field="8" count="1" selected="0">
            <x v="16"/>
          </reference>
        </references>
      </pivotArea>
    </format>
    <format dxfId="1266">
      <pivotArea dataOnly="0" labelOnly="1" fieldPosition="0">
        <references count="5">
          <reference field="2" count="1">
            <x v="14"/>
          </reference>
          <reference field="4" count="1" selected="0">
            <x v="1"/>
          </reference>
          <reference field="5" count="1" selected="0">
            <x v="15"/>
          </reference>
          <reference field="6" count="1" selected="0">
            <x v="66"/>
          </reference>
          <reference field="8" count="1" selected="0">
            <x v="16"/>
          </reference>
        </references>
      </pivotArea>
    </format>
    <format dxfId="1267">
      <pivotArea dataOnly="0" labelOnly="1" fieldPosition="0">
        <references count="5">
          <reference field="2" count="1">
            <x v="5"/>
          </reference>
          <reference field="4" count="1" selected="0">
            <x v="2"/>
          </reference>
          <reference field="5" count="1" selected="0">
            <x v="3"/>
          </reference>
          <reference field="6" count="1" selected="0">
            <x v="53"/>
          </reference>
          <reference field="8" count="1" selected="0">
            <x v="2"/>
          </reference>
        </references>
      </pivotArea>
    </format>
    <format dxfId="1268">
      <pivotArea dataOnly="0" labelOnly="1" fieldPosition="0">
        <references count="5">
          <reference field="2" count="1">
            <x v="2"/>
          </reference>
          <reference field="4" count="1" selected="0">
            <x v="2"/>
          </reference>
          <reference field="5" count="1" selected="0">
            <x v="12"/>
          </reference>
          <reference field="6" count="1" selected="0">
            <x v="10"/>
          </reference>
          <reference field="8" count="1" selected="0">
            <x v="2"/>
          </reference>
        </references>
      </pivotArea>
    </format>
    <format dxfId="1269">
      <pivotArea dataOnly="0" labelOnly="1" fieldPosition="0">
        <references count="5">
          <reference field="2" count="1">
            <x v="14"/>
          </reference>
          <reference field="4" count="1" selected="0">
            <x v="2"/>
          </reference>
          <reference field="5" count="1" selected="0">
            <x v="15"/>
          </reference>
          <reference field="6" count="1" selected="0">
            <x v="66"/>
          </reference>
          <reference field="8" count="1" selected="0">
            <x v="2"/>
          </reference>
        </references>
      </pivotArea>
    </format>
    <format dxfId="1270">
      <pivotArea dataOnly="0" labelOnly="1" fieldPosition="0">
        <references count="5">
          <reference field="2" count="1">
            <x v="18"/>
          </reference>
          <reference field="4" count="1" selected="0">
            <x v="2"/>
          </reference>
          <reference field="5" count="1" selected="0">
            <x v="15"/>
          </reference>
          <reference field="6" count="1" selected="0">
            <x v="104"/>
          </reference>
          <reference field="8" count="1" selected="0">
            <x v="2"/>
          </reference>
        </references>
      </pivotArea>
    </format>
    <format dxfId="1271">
      <pivotArea dataOnly="0" labelOnly="1" fieldPosition="0">
        <references count="5">
          <reference field="2" count="1">
            <x v="21"/>
          </reference>
          <reference field="4" count="1" selected="0">
            <x v="2"/>
          </reference>
          <reference field="5" count="1" selected="0">
            <x v="15"/>
          </reference>
          <reference field="6" count="1" selected="0">
            <x v="106"/>
          </reference>
          <reference field="8" count="1" selected="0">
            <x v="2"/>
          </reference>
        </references>
      </pivotArea>
    </format>
    <format dxfId="1272">
      <pivotArea dataOnly="0" labelOnly="1" fieldPosition="0">
        <references count="5">
          <reference field="2" count="1">
            <x v="21"/>
          </reference>
          <reference field="4" count="1" selected="0">
            <x v="2"/>
          </reference>
          <reference field="5" count="1" selected="0">
            <x v="15"/>
          </reference>
          <reference field="6" count="1" selected="0">
            <x v="109"/>
          </reference>
          <reference field="8" count="1" selected="0">
            <x v="2"/>
          </reference>
        </references>
      </pivotArea>
    </format>
    <format dxfId="1273">
      <pivotArea dataOnly="0" labelOnly="1" fieldPosition="0">
        <references count="5">
          <reference field="2" count="1">
            <x v="7"/>
          </reference>
          <reference field="4" count="1" selected="0">
            <x v="2"/>
          </reference>
          <reference field="5" count="1" selected="0">
            <x v="16"/>
          </reference>
          <reference field="6" count="1" selected="0">
            <x v="26"/>
          </reference>
          <reference field="8" count="1" selected="0">
            <x v="2"/>
          </reference>
        </references>
      </pivotArea>
    </format>
    <format dxfId="1274">
      <pivotArea dataOnly="0" labelOnly="1" fieldPosition="0">
        <references count="5">
          <reference field="2" count="1">
            <x v="12"/>
          </reference>
          <reference field="4" count="1" selected="0">
            <x v="2"/>
          </reference>
          <reference field="5" count="1" selected="0">
            <x v="9"/>
          </reference>
          <reference field="6" count="1" selected="0">
            <x v="74"/>
          </reference>
          <reference field="8" count="1" selected="0">
            <x v="16"/>
          </reference>
        </references>
      </pivotArea>
    </format>
    <format dxfId="1275">
      <pivotArea dataOnly="0" labelOnly="1" fieldPosition="0">
        <references count="5">
          <reference field="2" count="1">
            <x v="12"/>
          </reference>
          <reference field="4" count="1" selected="0">
            <x v="2"/>
          </reference>
          <reference field="5" count="1" selected="0">
            <x v="15"/>
          </reference>
          <reference field="6" count="1" selected="0">
            <x v="28"/>
          </reference>
          <reference field="8" count="1" selected="0">
            <x v="16"/>
          </reference>
        </references>
      </pivotArea>
    </format>
    <format dxfId="1276">
      <pivotArea dataOnly="0" labelOnly="1" fieldPosition="0">
        <references count="5">
          <reference field="2" count="1">
            <x v="12"/>
          </reference>
          <reference field="4" count="1" selected="0">
            <x v="2"/>
          </reference>
          <reference field="5" count="1" selected="0">
            <x v="15"/>
          </reference>
          <reference field="6" count="1" selected="0">
            <x v="43"/>
          </reference>
          <reference field="8" count="1" selected="0">
            <x v="16"/>
          </reference>
        </references>
      </pivotArea>
    </format>
    <format dxfId="1277">
      <pivotArea dataOnly="0" labelOnly="1" fieldPosition="0">
        <references count="5">
          <reference field="2" count="1">
            <x v="14"/>
          </reference>
          <reference field="4" count="1" selected="0">
            <x v="2"/>
          </reference>
          <reference field="5" count="1" selected="0">
            <x v="15"/>
          </reference>
          <reference field="6" count="1" selected="0">
            <x v="66"/>
          </reference>
          <reference field="8" count="1" selected="0">
            <x v="16"/>
          </reference>
        </references>
      </pivotArea>
    </format>
    <format dxfId="1278">
      <pivotArea dataOnly="0" labelOnly="1" fieldPosition="0">
        <references count="5">
          <reference field="2" count="1">
            <x v="5"/>
          </reference>
          <reference field="4" count="1" selected="0">
            <x v="3"/>
          </reference>
          <reference field="5" count="1" selected="0">
            <x v="3"/>
          </reference>
          <reference field="6" count="1" selected="0">
            <x v="53"/>
          </reference>
          <reference field="8" count="1" selected="0">
            <x v="2"/>
          </reference>
        </references>
      </pivotArea>
    </format>
    <format dxfId="1279">
      <pivotArea dataOnly="0" labelOnly="1" fieldPosition="0">
        <references count="5">
          <reference field="2" count="1">
            <x v="2"/>
          </reference>
          <reference field="4" count="1" selected="0">
            <x v="3"/>
          </reference>
          <reference field="5" count="1" selected="0">
            <x v="12"/>
          </reference>
          <reference field="6" count="1" selected="0">
            <x v="10"/>
          </reference>
          <reference field="8" count="1" selected="0">
            <x v="2"/>
          </reference>
        </references>
      </pivotArea>
    </format>
    <format dxfId="1280">
      <pivotArea dataOnly="0" labelOnly="1" fieldPosition="0">
        <references count="5">
          <reference field="2" count="1">
            <x v="14"/>
          </reference>
          <reference field="4" count="1" selected="0">
            <x v="3"/>
          </reference>
          <reference field="5" count="1" selected="0">
            <x v="15"/>
          </reference>
          <reference field="6" count="1" selected="0">
            <x v="66"/>
          </reference>
          <reference field="8" count="1" selected="0">
            <x v="2"/>
          </reference>
        </references>
      </pivotArea>
    </format>
    <format dxfId="1281">
      <pivotArea dataOnly="0" labelOnly="1" fieldPosition="0">
        <references count="5">
          <reference field="2" count="1">
            <x v="18"/>
          </reference>
          <reference field="4" count="1" selected="0">
            <x v="3"/>
          </reference>
          <reference field="5" count="1" selected="0">
            <x v="15"/>
          </reference>
          <reference field="6" count="1" selected="0">
            <x v="104"/>
          </reference>
          <reference field="8" count="1" selected="0">
            <x v="2"/>
          </reference>
        </references>
      </pivotArea>
    </format>
    <format dxfId="1282">
      <pivotArea dataOnly="0" labelOnly="1" fieldPosition="0">
        <references count="5">
          <reference field="2" count="1">
            <x v="21"/>
          </reference>
          <reference field="4" count="1" selected="0">
            <x v="3"/>
          </reference>
          <reference field="5" count="1" selected="0">
            <x v="15"/>
          </reference>
          <reference field="6" count="1" selected="0">
            <x v="106"/>
          </reference>
          <reference field="8" count="1" selected="0">
            <x v="2"/>
          </reference>
        </references>
      </pivotArea>
    </format>
    <format dxfId="1283">
      <pivotArea dataOnly="0" labelOnly="1" fieldPosition="0">
        <references count="5">
          <reference field="2" count="1">
            <x v="21"/>
          </reference>
          <reference field="4" count="1" selected="0">
            <x v="3"/>
          </reference>
          <reference field="5" count="1" selected="0">
            <x v="15"/>
          </reference>
          <reference field="6" count="1" selected="0">
            <x v="109"/>
          </reference>
          <reference field="8" count="1" selected="0">
            <x v="2"/>
          </reference>
        </references>
      </pivotArea>
    </format>
    <format dxfId="1284">
      <pivotArea dataOnly="0" labelOnly="1" fieldPosition="0">
        <references count="5">
          <reference field="2" count="1">
            <x v="7"/>
          </reference>
          <reference field="4" count="1" selected="0">
            <x v="3"/>
          </reference>
          <reference field="5" count="1" selected="0">
            <x v="16"/>
          </reference>
          <reference field="6" count="1" selected="0">
            <x v="26"/>
          </reference>
          <reference field="8" count="1" selected="0">
            <x v="2"/>
          </reference>
        </references>
      </pivotArea>
    </format>
    <format dxfId="1285">
      <pivotArea dataOnly="0" labelOnly="1" fieldPosition="0">
        <references count="5">
          <reference field="2" count="1">
            <x v="12"/>
          </reference>
          <reference field="4" count="1" selected="0">
            <x v="3"/>
          </reference>
          <reference field="5" count="1" selected="0">
            <x v="9"/>
          </reference>
          <reference field="6" count="1" selected="0">
            <x v="74"/>
          </reference>
          <reference field="8" count="1" selected="0">
            <x v="16"/>
          </reference>
        </references>
      </pivotArea>
    </format>
    <format dxfId="1286">
      <pivotArea dataOnly="0" labelOnly="1" fieldPosition="0">
        <references count="5">
          <reference field="2" count="1">
            <x v="12"/>
          </reference>
          <reference field="4" count="1" selected="0">
            <x v="3"/>
          </reference>
          <reference field="5" count="1" selected="0">
            <x v="15"/>
          </reference>
          <reference field="6" count="1" selected="0">
            <x v="28"/>
          </reference>
          <reference field="8" count="1" selected="0">
            <x v="16"/>
          </reference>
        </references>
      </pivotArea>
    </format>
    <format dxfId="1287">
      <pivotArea dataOnly="0" labelOnly="1" fieldPosition="0">
        <references count="5">
          <reference field="2" count="1">
            <x v="12"/>
          </reference>
          <reference field="4" count="1" selected="0">
            <x v="3"/>
          </reference>
          <reference field="5" count="1" selected="0">
            <x v="15"/>
          </reference>
          <reference field="6" count="1" selected="0">
            <x v="43"/>
          </reference>
          <reference field="8" count="1" selected="0">
            <x v="16"/>
          </reference>
        </references>
      </pivotArea>
    </format>
    <format dxfId="1288">
      <pivotArea dataOnly="0" labelOnly="1" fieldPosition="0">
        <references count="5">
          <reference field="2" count="1">
            <x v="14"/>
          </reference>
          <reference field="4" count="1" selected="0">
            <x v="3"/>
          </reference>
          <reference field="5" count="1" selected="0">
            <x v="15"/>
          </reference>
          <reference field="6" count="1" selected="0">
            <x v="66"/>
          </reference>
          <reference field="8" count="1" selected="0">
            <x v="16"/>
          </reference>
        </references>
      </pivotArea>
    </format>
    <format dxfId="1289">
      <pivotArea dataOnly="0" labelOnly="1" fieldPosition="0">
        <references count="5">
          <reference field="2" count="1">
            <x v="5"/>
          </reference>
          <reference field="4" count="1" selected="0">
            <x v="4"/>
          </reference>
          <reference field="5" count="1" selected="0">
            <x v="3"/>
          </reference>
          <reference field="6" count="1" selected="0">
            <x v="53"/>
          </reference>
          <reference field="8" count="1" selected="0">
            <x v="2"/>
          </reference>
        </references>
      </pivotArea>
    </format>
    <format dxfId="1290">
      <pivotArea dataOnly="0" labelOnly="1" fieldPosition="0">
        <references count="5">
          <reference field="2" count="1">
            <x v="2"/>
          </reference>
          <reference field="4" count="1" selected="0">
            <x v="4"/>
          </reference>
          <reference field="5" count="1" selected="0">
            <x v="12"/>
          </reference>
          <reference field="6" count="1" selected="0">
            <x v="10"/>
          </reference>
          <reference field="8" count="1" selected="0">
            <x v="2"/>
          </reference>
        </references>
      </pivotArea>
    </format>
    <format dxfId="1291">
      <pivotArea dataOnly="0" labelOnly="1" fieldPosition="0">
        <references count="5">
          <reference field="2" count="1">
            <x v="14"/>
          </reference>
          <reference field="4" count="1" selected="0">
            <x v="4"/>
          </reference>
          <reference field="5" count="1" selected="0">
            <x v="15"/>
          </reference>
          <reference field="6" count="1" selected="0">
            <x v="66"/>
          </reference>
          <reference field="8" count="1" selected="0">
            <x v="2"/>
          </reference>
        </references>
      </pivotArea>
    </format>
    <format dxfId="1292">
      <pivotArea dataOnly="0" labelOnly="1" fieldPosition="0">
        <references count="5">
          <reference field="2" count="1">
            <x v="18"/>
          </reference>
          <reference field="4" count="1" selected="0">
            <x v="4"/>
          </reference>
          <reference field="5" count="1" selected="0">
            <x v="15"/>
          </reference>
          <reference field="6" count="1" selected="0">
            <x v="104"/>
          </reference>
          <reference field="8" count="1" selected="0">
            <x v="2"/>
          </reference>
        </references>
      </pivotArea>
    </format>
    <format dxfId="1293">
      <pivotArea dataOnly="0" labelOnly="1" fieldPosition="0">
        <references count="5">
          <reference field="2" count="1">
            <x v="21"/>
          </reference>
          <reference field="4" count="1" selected="0">
            <x v="4"/>
          </reference>
          <reference field="5" count="1" selected="0">
            <x v="15"/>
          </reference>
          <reference field="6" count="1" selected="0">
            <x v="106"/>
          </reference>
          <reference field="8" count="1" selected="0">
            <x v="2"/>
          </reference>
        </references>
      </pivotArea>
    </format>
    <format dxfId="1294">
      <pivotArea dataOnly="0" labelOnly="1" fieldPosition="0">
        <references count="5">
          <reference field="2" count="1">
            <x v="21"/>
          </reference>
          <reference field="4" count="1" selected="0">
            <x v="4"/>
          </reference>
          <reference field="5" count="1" selected="0">
            <x v="15"/>
          </reference>
          <reference field="6" count="1" selected="0">
            <x v="109"/>
          </reference>
          <reference field="8" count="1" selected="0">
            <x v="2"/>
          </reference>
        </references>
      </pivotArea>
    </format>
    <format dxfId="1295">
      <pivotArea dataOnly="0" labelOnly="1" fieldPosition="0">
        <references count="5">
          <reference field="2" count="1">
            <x v="7"/>
          </reference>
          <reference field="4" count="1" selected="0">
            <x v="4"/>
          </reference>
          <reference field="5" count="1" selected="0">
            <x v="16"/>
          </reference>
          <reference field="6" count="1" selected="0">
            <x v="26"/>
          </reference>
          <reference field="8" count="1" selected="0">
            <x v="2"/>
          </reference>
        </references>
      </pivotArea>
    </format>
    <format dxfId="1296">
      <pivotArea dataOnly="0" labelOnly="1" fieldPosition="0">
        <references count="5">
          <reference field="2" count="1">
            <x v="20"/>
          </reference>
          <reference field="4" count="1" selected="0">
            <x v="4"/>
          </reference>
          <reference field="5" count="1" selected="0">
            <x v="26"/>
          </reference>
          <reference field="6" count="1" selected="0">
            <x v="96"/>
          </reference>
          <reference field="8" count="1" selected="0">
            <x v="2"/>
          </reference>
        </references>
      </pivotArea>
    </format>
    <format dxfId="1297">
      <pivotArea dataOnly="0" labelOnly="1" fieldPosition="0">
        <references count="5">
          <reference field="2" count="1">
            <x v="20"/>
          </reference>
          <reference field="4" count="1" selected="0">
            <x v="4"/>
          </reference>
          <reference field="5" count="1" selected="0">
            <x v="26"/>
          </reference>
          <reference field="6" count="1" selected="0">
            <x v="118"/>
          </reference>
          <reference field="8" count="1" selected="0">
            <x v="2"/>
          </reference>
        </references>
      </pivotArea>
    </format>
    <format dxfId="1298">
      <pivotArea dataOnly="0" labelOnly="1" fieldPosition="0">
        <references count="5">
          <reference field="2" count="1">
            <x v="12"/>
          </reference>
          <reference field="4" count="1" selected="0">
            <x v="4"/>
          </reference>
          <reference field="5" count="1" selected="0">
            <x v="9"/>
          </reference>
          <reference field="6" count="1" selected="0">
            <x v="74"/>
          </reference>
          <reference field="8" count="1" selected="0">
            <x v="16"/>
          </reference>
        </references>
      </pivotArea>
    </format>
    <format dxfId="1299">
      <pivotArea dataOnly="0" labelOnly="1" fieldPosition="0">
        <references count="5">
          <reference field="2" count="1">
            <x v="4"/>
          </reference>
          <reference field="4" count="1" selected="0">
            <x v="4"/>
          </reference>
          <reference field="5" count="1" selected="0">
            <x v="15"/>
          </reference>
          <reference field="6" count="1" selected="0">
            <x v="12"/>
          </reference>
          <reference field="8" count="1" selected="0">
            <x v="16"/>
          </reference>
        </references>
      </pivotArea>
    </format>
    <format dxfId="1300">
      <pivotArea dataOnly="0" labelOnly="1" fieldPosition="0">
        <references count="5">
          <reference field="2" count="1">
            <x v="12"/>
          </reference>
          <reference field="4" count="1" selected="0">
            <x v="4"/>
          </reference>
          <reference field="5" count="1" selected="0">
            <x v="15"/>
          </reference>
          <reference field="6" count="1" selected="0">
            <x v="43"/>
          </reference>
          <reference field="8" count="1" selected="0">
            <x v="16"/>
          </reference>
        </references>
      </pivotArea>
    </format>
    <format dxfId="1301">
      <pivotArea dataOnly="0" labelOnly="1" fieldPosition="0">
        <references count="5">
          <reference field="2" count="1">
            <x v="12"/>
          </reference>
          <reference field="4" count="1" selected="0">
            <x v="4"/>
          </reference>
          <reference field="5" count="1" selected="0">
            <x v="15"/>
          </reference>
          <reference field="6" count="1" selected="0">
            <x v="61"/>
          </reference>
          <reference field="8" count="1" selected="0">
            <x v="16"/>
          </reference>
        </references>
      </pivotArea>
    </format>
    <format dxfId="1302">
      <pivotArea dataOnly="0" labelOnly="1" fieldPosition="0">
        <references count="5">
          <reference field="2" count="1">
            <x v="14"/>
          </reference>
          <reference field="4" count="1" selected="0">
            <x v="4"/>
          </reference>
          <reference field="5" count="1" selected="0">
            <x v="15"/>
          </reference>
          <reference field="6" count="1" selected="0">
            <x v="66"/>
          </reference>
          <reference field="8" count="1" selected="0">
            <x v="16"/>
          </reference>
        </references>
      </pivotArea>
    </format>
    <format dxfId="1303">
      <pivotArea dataOnly="0" labelOnly="1" fieldPosition="0">
        <references count="5">
          <reference field="2" count="1">
            <x v="10"/>
          </reference>
          <reference field="4" count="1" selected="0">
            <x v="5"/>
          </reference>
          <reference field="5" count="1" selected="0">
            <x v="1"/>
          </reference>
          <reference field="6" count="1" selected="0">
            <x v="42"/>
          </reference>
          <reference field="8" count="1" selected="0">
            <x v="2"/>
          </reference>
        </references>
      </pivotArea>
    </format>
    <format dxfId="1304">
      <pivotArea dataOnly="0" labelOnly="1" fieldPosition="0">
        <references count="5">
          <reference field="2" count="1">
            <x v="21"/>
          </reference>
          <reference field="4" count="1" selected="0">
            <x v="5"/>
          </reference>
          <reference field="5" count="1" selected="0">
            <x v="1"/>
          </reference>
          <reference field="6" count="1" selected="0">
            <x v="52"/>
          </reference>
          <reference field="8" count="1" selected="0">
            <x v="2"/>
          </reference>
        </references>
      </pivotArea>
    </format>
    <format dxfId="1305">
      <pivotArea dataOnly="0" labelOnly="1" fieldPosition="0">
        <references count="5">
          <reference field="2" count="1">
            <x v="15"/>
          </reference>
          <reference field="4" count="1" selected="0">
            <x v="5"/>
          </reference>
          <reference field="5" count="1" selected="0">
            <x v="1"/>
          </reference>
          <reference field="6" count="1" selected="0">
            <x v="65"/>
          </reference>
          <reference field="8" count="1" selected="0">
            <x v="2"/>
          </reference>
        </references>
      </pivotArea>
    </format>
    <format dxfId="1306">
      <pivotArea dataOnly="0" labelOnly="1" fieldPosition="0">
        <references count="5">
          <reference field="2" count="1">
            <x v="13"/>
          </reference>
          <reference field="4" count="1" selected="0">
            <x v="5"/>
          </reference>
          <reference field="5" count="1" selected="0">
            <x v="1"/>
          </reference>
          <reference field="6" count="1" selected="0">
            <x v="132"/>
          </reference>
          <reference field="8" count="1" selected="0">
            <x v="2"/>
          </reference>
        </references>
      </pivotArea>
    </format>
    <format dxfId="1307">
      <pivotArea dataOnly="0" labelOnly="1" fieldPosition="0">
        <references count="5">
          <reference field="2" count="1">
            <x v="20"/>
          </reference>
          <reference field="4" count="1" selected="0">
            <x v="5"/>
          </reference>
          <reference field="5" count="1" selected="0">
            <x v="21"/>
          </reference>
          <reference field="6" count="1" selected="0">
            <x v="99"/>
          </reference>
          <reference field="8" count="1" selected="0">
            <x v="2"/>
          </reference>
        </references>
      </pivotArea>
    </format>
    <format dxfId="1308">
      <pivotArea dataOnly="0" labelOnly="1" fieldPosition="0">
        <references count="5">
          <reference field="2" count="1">
            <x v="20"/>
          </reference>
          <reference field="4" count="1" selected="0">
            <x v="5"/>
          </reference>
          <reference field="5" count="1" selected="0">
            <x v="21"/>
          </reference>
          <reference field="6" count="1" selected="0">
            <x v="113"/>
          </reference>
          <reference field="8" count="1" selected="0">
            <x v="2"/>
          </reference>
        </references>
      </pivotArea>
    </format>
    <format dxfId="1309">
      <pivotArea dataOnly="0" labelOnly="1" fieldPosition="0">
        <references count="5">
          <reference field="2" count="1">
            <x v="19"/>
          </reference>
          <reference field="4" count="1" selected="0">
            <x v="5"/>
          </reference>
          <reference field="5" count="1" selected="0">
            <x v="21"/>
          </reference>
          <reference field="6" count="1" selected="0">
            <x v="114"/>
          </reference>
          <reference field="8" count="1" selected="0">
            <x v="2"/>
          </reference>
        </references>
      </pivotArea>
    </format>
    <format dxfId="1310">
      <pivotArea dataOnly="0" labelOnly="1" fieldPosition="0">
        <references count="5">
          <reference field="2" count="1">
            <x v="15"/>
          </reference>
          <reference field="4" count="1" selected="0">
            <x v="5"/>
          </reference>
          <reference field="5" count="1" selected="0">
            <x v="1"/>
          </reference>
          <reference field="6" count="1" selected="0">
            <x v="65"/>
          </reference>
          <reference field="8" count="1" selected="0">
            <x v="16"/>
          </reference>
        </references>
      </pivotArea>
    </format>
    <format dxfId="1311">
      <pivotArea dataOnly="0" labelOnly="1" fieldPosition="0">
        <references count="5">
          <reference field="2" count="1">
            <x v="13"/>
          </reference>
          <reference field="4" count="1" selected="0">
            <x v="5"/>
          </reference>
          <reference field="5" count="1" selected="0">
            <x v="1"/>
          </reference>
          <reference field="6" count="1" selected="0">
            <x v="132"/>
          </reference>
          <reference field="8" count="1" selected="0">
            <x v="16"/>
          </reference>
        </references>
      </pivotArea>
    </format>
    <format dxfId="1312">
      <pivotArea dataOnly="0" labelOnly="1" fieldPosition="0">
        <references count="5">
          <reference field="2" count="1">
            <x v="20"/>
          </reference>
          <reference field="4" count="1" selected="0">
            <x v="5"/>
          </reference>
          <reference field="5" count="1" selected="0">
            <x v="21"/>
          </reference>
          <reference field="6" count="1" selected="0">
            <x v="113"/>
          </reference>
          <reference field="8" count="1" selected="0">
            <x v="16"/>
          </reference>
        </references>
      </pivotArea>
    </format>
    <format dxfId="1313">
      <pivotArea dataOnly="0" labelOnly="1" fieldPosition="0">
        <references count="5">
          <reference field="2" count="1">
            <x v="20"/>
          </reference>
          <reference field="4" count="1" selected="0">
            <x v="5"/>
          </reference>
          <reference field="5" count="1" selected="0">
            <x v="21"/>
          </reference>
          <reference field="6" count="1" selected="0">
            <x v="120"/>
          </reference>
          <reference field="8" count="1" selected="0">
            <x v="16"/>
          </reference>
        </references>
      </pivotArea>
    </format>
    <format dxfId="1314">
      <pivotArea dataOnly="0" labelOnly="1" fieldPosition="0">
        <references count="5">
          <reference field="2" count="1">
            <x v="0"/>
          </reference>
          <reference field="4" count="1" selected="0">
            <x v="5"/>
          </reference>
          <reference field="5" count="1" selected="0">
            <x v="21"/>
          </reference>
          <reference field="6" count="1" selected="0">
            <x v="137"/>
          </reference>
          <reference field="8" count="1" selected="0">
            <x v="16"/>
          </reference>
        </references>
      </pivotArea>
    </format>
    <format dxfId="1315">
      <pivotArea dataOnly="0" labelOnly="1" fieldPosition="0">
        <references count="5">
          <reference field="2" count="1">
            <x v="19"/>
          </reference>
          <reference field="4" count="1" selected="0">
            <x v="5"/>
          </reference>
          <reference field="5" count="1" selected="0">
            <x v="22"/>
          </reference>
          <reference field="6" count="1" selected="0">
            <x v="32"/>
          </reference>
          <reference field="8" count="1" selected="0">
            <x v="16"/>
          </reference>
        </references>
      </pivotArea>
    </format>
    <format dxfId="1316">
      <pivotArea dataOnly="0" labelOnly="1" fieldPosition="0">
        <references count="5">
          <reference field="2" count="1">
            <x v="12"/>
          </reference>
          <reference field="4" count="1" selected="0">
            <x v="5"/>
          </reference>
          <reference field="5" count="1" selected="0">
            <x v="22"/>
          </reference>
          <reference field="6" count="1" selected="0">
            <x v="54"/>
          </reference>
          <reference field="8" count="1" selected="0">
            <x v="16"/>
          </reference>
        </references>
      </pivotArea>
    </format>
    <format dxfId="1317">
      <pivotArea dataOnly="0" labelOnly="1" fieldPosition="0">
        <references count="5">
          <reference field="2" count="1">
            <x v="12"/>
          </reference>
          <reference field="4" count="1" selected="0">
            <x v="5"/>
          </reference>
          <reference field="5" count="1" selected="0">
            <x v="22"/>
          </reference>
          <reference field="6" count="1" selected="0">
            <x v="55"/>
          </reference>
          <reference field="8" count="1" selected="0">
            <x v="16"/>
          </reference>
        </references>
      </pivotArea>
    </format>
    <format dxfId="1318">
      <pivotArea dataOnly="0" labelOnly="1" fieldPosition="0">
        <references count="5">
          <reference field="2" count="1">
            <x v="12"/>
          </reference>
          <reference field="4" count="1" selected="0">
            <x v="5"/>
          </reference>
          <reference field="5" count="1" selected="0">
            <x v="22"/>
          </reference>
          <reference field="6" count="1" selected="0">
            <x v="59"/>
          </reference>
          <reference field="8" count="1" selected="0">
            <x v="16"/>
          </reference>
        </references>
      </pivotArea>
    </format>
    <format dxfId="1319">
      <pivotArea dataOnly="0" labelOnly="1" fieldPosition="0">
        <references count="5">
          <reference field="2" count="1">
            <x v="12"/>
          </reference>
          <reference field="4" count="1" selected="0">
            <x v="5"/>
          </reference>
          <reference field="5" count="1" selected="0">
            <x v="22"/>
          </reference>
          <reference field="6" count="1" selected="0">
            <x v="61"/>
          </reference>
          <reference field="8" count="1" selected="0">
            <x v="16"/>
          </reference>
        </references>
      </pivotArea>
    </format>
    <format dxfId="1320">
      <pivotArea dataOnly="0" labelOnly="1" fieldPosition="0">
        <references count="5">
          <reference field="2" count="1">
            <x v="20"/>
          </reference>
          <reference field="4" count="1" selected="0">
            <x v="5"/>
          </reference>
          <reference field="5" count="1" selected="0">
            <x v="22"/>
          </reference>
          <reference field="6" count="1" selected="0">
            <x v="121"/>
          </reference>
          <reference field="8" count="1" selected="0">
            <x v="16"/>
          </reference>
        </references>
      </pivotArea>
    </format>
    <format dxfId="1321">
      <pivotArea dataOnly="0" labelOnly="1" fieldPosition="0">
        <references count="5">
          <reference field="2" count="1">
            <x v="19"/>
          </reference>
          <reference field="4" count="1" selected="0">
            <x v="5"/>
          </reference>
          <reference field="5" count="1" selected="0">
            <x v="22"/>
          </reference>
          <reference field="6" count="1" selected="0">
            <x v="126"/>
          </reference>
          <reference field="8" count="1" selected="0">
            <x v="16"/>
          </reference>
        </references>
      </pivotArea>
    </format>
    <format dxfId="1322">
      <pivotArea dataOnly="0" labelOnly="1" fieldPosition="0">
        <references count="5">
          <reference field="2" count="1">
            <x v="2"/>
          </reference>
          <reference field="4" count="1" selected="0">
            <x v="5"/>
          </reference>
          <reference field="5" count="1" selected="0">
            <x v="22"/>
          </reference>
          <reference field="6" count="1" selected="0">
            <x v="129"/>
          </reference>
          <reference field="8" count="1" selected="0">
            <x v="16"/>
          </reference>
        </references>
      </pivotArea>
    </format>
    <format dxfId="1323">
      <pivotArea dataOnly="0" labelOnly="1" fieldPosition="0">
        <references count="5">
          <reference field="2" count="1">
            <x v="5"/>
          </reference>
          <reference field="4" count="1" selected="0">
            <x v="6"/>
          </reference>
          <reference field="5" count="1" selected="0">
            <x v="3"/>
          </reference>
          <reference field="6" count="1" selected="0">
            <x v="53"/>
          </reference>
          <reference field="8" count="1" selected="0">
            <x v="2"/>
          </reference>
        </references>
      </pivotArea>
    </format>
    <format dxfId="1324">
      <pivotArea dataOnly="0" labelOnly="1" fieldPosition="0">
        <references count="5">
          <reference field="2" count="1">
            <x v="2"/>
          </reference>
          <reference field="4" count="1" selected="0">
            <x v="6"/>
          </reference>
          <reference field="5" count="1" selected="0">
            <x v="12"/>
          </reference>
          <reference field="6" count="1" selected="0">
            <x v="10"/>
          </reference>
          <reference field="8" count="1" selected="0">
            <x v="2"/>
          </reference>
        </references>
      </pivotArea>
    </format>
    <format dxfId="1325">
      <pivotArea dataOnly="0" labelOnly="1" fieldPosition="0">
        <references count="5">
          <reference field="2" count="1">
            <x v="14"/>
          </reference>
          <reference field="4" count="1" selected="0">
            <x v="6"/>
          </reference>
          <reference field="5" count="1" selected="0">
            <x v="15"/>
          </reference>
          <reference field="6" count="1" selected="0">
            <x v="66"/>
          </reference>
          <reference field="8" count="1" selected="0">
            <x v="2"/>
          </reference>
        </references>
      </pivotArea>
    </format>
    <format dxfId="1326">
      <pivotArea dataOnly="0" labelOnly="1" fieldPosition="0">
        <references count="5">
          <reference field="2" count="1">
            <x v="18"/>
          </reference>
          <reference field="4" count="1" selected="0">
            <x v="6"/>
          </reference>
          <reference field="5" count="1" selected="0">
            <x v="15"/>
          </reference>
          <reference field="6" count="1" selected="0">
            <x v="104"/>
          </reference>
          <reference field="8" count="1" selected="0">
            <x v="2"/>
          </reference>
        </references>
      </pivotArea>
    </format>
    <format dxfId="1327">
      <pivotArea dataOnly="0" labelOnly="1" fieldPosition="0">
        <references count="5">
          <reference field="2" count="1">
            <x v="21"/>
          </reference>
          <reference field="4" count="1" selected="0">
            <x v="6"/>
          </reference>
          <reference field="5" count="1" selected="0">
            <x v="15"/>
          </reference>
          <reference field="6" count="1" selected="0">
            <x v="106"/>
          </reference>
          <reference field="8" count="1" selected="0">
            <x v="2"/>
          </reference>
        </references>
      </pivotArea>
    </format>
    <format dxfId="1328">
      <pivotArea dataOnly="0" labelOnly="1" fieldPosition="0">
        <references count="5">
          <reference field="2" count="1">
            <x v="21"/>
          </reference>
          <reference field="4" count="1" selected="0">
            <x v="6"/>
          </reference>
          <reference field="5" count="1" selected="0">
            <x v="15"/>
          </reference>
          <reference field="6" count="1" selected="0">
            <x v="109"/>
          </reference>
          <reference field="8" count="1" selected="0">
            <x v="2"/>
          </reference>
        </references>
      </pivotArea>
    </format>
    <format dxfId="1329">
      <pivotArea dataOnly="0" labelOnly="1" fieldPosition="0">
        <references count="5">
          <reference field="2" count="1">
            <x v="7"/>
          </reference>
          <reference field="4" count="1" selected="0">
            <x v="6"/>
          </reference>
          <reference field="5" count="1" selected="0">
            <x v="16"/>
          </reference>
          <reference field="6" count="1" selected="0">
            <x v="26"/>
          </reference>
          <reference field="8" count="1" selected="0">
            <x v="2"/>
          </reference>
        </references>
      </pivotArea>
    </format>
    <format dxfId="1330">
      <pivotArea dataOnly="0" labelOnly="1" fieldPosition="0">
        <references count="5">
          <reference field="2" count="1">
            <x v="14"/>
          </reference>
          <reference field="4" count="1" selected="0">
            <x v="6"/>
          </reference>
          <reference field="5" count="1" selected="0">
            <x v="15"/>
          </reference>
          <reference field="6" count="1" selected="0">
            <x v="66"/>
          </reference>
          <reference field="8" count="1" selected="0">
            <x v="16"/>
          </reference>
        </references>
      </pivotArea>
    </format>
    <format dxfId="1331">
      <pivotArea field="4" type="button" dataOnly="0" labelOnly="1" outline="0" axis="axisRow" fieldPosition="0"/>
    </format>
    <format dxfId="1332">
      <pivotArea dataOnly="0" labelOnly="1" fieldPosition="0">
        <references count="1">
          <reference field="4" count="0"/>
        </references>
      </pivotArea>
    </format>
    <format dxfId="1333">
      <pivotArea dataOnly="0" labelOnly="1" grandRow="1" outline="0" fieldPosition="0"/>
    </format>
    <format dxfId="1334">
      <pivotArea dataOnly="0" labelOnly="1" fieldPosition="0">
        <references count="3">
          <reference field="4" count="0" selected="0"/>
          <reference field="5" count="1">
            <x v="12"/>
          </reference>
          <reference field="8" count="1" selected="0">
            <x v="0"/>
          </reference>
        </references>
      </pivotArea>
    </format>
    <format dxfId="1335">
      <pivotArea dataOnly="0" labelOnly="1" fieldPosition="0">
        <references count="3">
          <reference field="4" count="0" selected="0"/>
          <reference field="5" count="3">
            <x v="3"/>
            <x v="12"/>
            <x v="15"/>
          </reference>
          <reference field="8" count="1" selected="0">
            <x v="2"/>
          </reference>
        </references>
      </pivotArea>
    </format>
    <format dxfId="1336">
      <pivotArea dataOnly="0" labelOnly="1" fieldPosition="0">
        <references count="3">
          <reference field="4" count="0" selected="0"/>
          <reference field="5" count="7">
            <x v="3"/>
            <x v="9"/>
            <x v="12"/>
            <x v="15"/>
            <x v="16"/>
            <x v="20"/>
            <x v="24"/>
          </reference>
          <reference field="8" count="1" selected="0">
            <x v="16"/>
          </reference>
        </references>
      </pivotArea>
    </format>
    <format dxfId="1337">
      <pivotArea dataOnly="0" labelOnly="1" fieldPosition="0">
        <references count="4">
          <reference field="4" count="0" selected="0"/>
          <reference field="5" count="1" selected="0">
            <x v="12"/>
          </reference>
          <reference field="6" count="1">
            <x v="121"/>
          </reference>
          <reference field="8" count="1" selected="0">
            <x v="0"/>
          </reference>
        </references>
      </pivotArea>
    </format>
    <format dxfId="1338">
      <pivotArea dataOnly="0" labelOnly="1" fieldPosition="0">
        <references count="4">
          <reference field="4" count="0" selected="0"/>
          <reference field="5" count="1" selected="0">
            <x v="3"/>
          </reference>
          <reference field="6" count="1">
            <x v="53"/>
          </reference>
          <reference field="8" count="1" selected="0">
            <x v="2"/>
          </reference>
        </references>
      </pivotArea>
    </format>
    <format dxfId="1339">
      <pivotArea dataOnly="0" labelOnly="1" fieldPosition="0">
        <references count="4">
          <reference field="4" count="0" selected="0"/>
          <reference field="5" count="1" selected="0">
            <x v="12"/>
          </reference>
          <reference field="6" count="2">
            <x v="10"/>
            <x v="81"/>
          </reference>
          <reference field="8" count="1" selected="0">
            <x v="2"/>
          </reference>
        </references>
      </pivotArea>
    </format>
    <format dxfId="1340">
      <pivotArea dataOnly="0" labelOnly="1" fieldPosition="0">
        <references count="4">
          <reference field="4" count="0" selected="0"/>
          <reference field="5" count="1" selected="0">
            <x v="15"/>
          </reference>
          <reference field="6" count="4">
            <x v="66"/>
            <x v="104"/>
            <x v="106"/>
            <x v="109"/>
          </reference>
          <reference field="8" count="1" selected="0">
            <x v="2"/>
          </reference>
        </references>
      </pivotArea>
    </format>
    <format dxfId="1341">
      <pivotArea dataOnly="0" labelOnly="1" fieldPosition="0">
        <references count="4">
          <reference field="4" count="0" selected="0"/>
          <reference field="5" count="1" selected="0">
            <x v="3"/>
          </reference>
          <reference field="6" count="2">
            <x v="27"/>
            <x v="79"/>
          </reference>
          <reference field="8" count="1" selected="0">
            <x v="16"/>
          </reference>
        </references>
      </pivotArea>
    </format>
    <format dxfId="1342">
      <pivotArea dataOnly="0" labelOnly="1" fieldPosition="0">
        <references count="4">
          <reference field="4" count="0" selected="0"/>
          <reference field="5" count="1" selected="0">
            <x v="9"/>
          </reference>
          <reference field="6" count="2">
            <x v="62"/>
            <x v="85"/>
          </reference>
          <reference field="8" count="1" selected="0">
            <x v="16"/>
          </reference>
        </references>
      </pivotArea>
    </format>
    <format dxfId="1343">
      <pivotArea dataOnly="0" labelOnly="1" fieldPosition="0">
        <references count="4">
          <reference field="4" count="0" selected="0"/>
          <reference field="5" count="1" selected="0">
            <x v="12"/>
          </reference>
          <reference field="6" count="2">
            <x v="112"/>
            <x v="121"/>
          </reference>
          <reference field="8" count="1" selected="0">
            <x v="16"/>
          </reference>
        </references>
      </pivotArea>
    </format>
    <format dxfId="1344">
      <pivotArea dataOnly="0" labelOnly="1" fieldPosition="0">
        <references count="4">
          <reference field="4" count="0" selected="0"/>
          <reference field="5" count="1" selected="0">
            <x v="15"/>
          </reference>
          <reference field="6" count="3">
            <x v="7"/>
            <x v="45"/>
            <x v="66"/>
          </reference>
          <reference field="8" count="1" selected="0">
            <x v="16"/>
          </reference>
        </references>
      </pivotArea>
    </format>
    <format dxfId="1345">
      <pivotArea dataOnly="0" labelOnly="1" fieldPosition="0">
        <references count="4">
          <reference field="4" count="0" selected="0"/>
          <reference field="5" count="1" selected="0">
            <x v="16"/>
          </reference>
          <reference field="6" count="1">
            <x v="26"/>
          </reference>
          <reference field="8" count="1" selected="0">
            <x v="16"/>
          </reference>
        </references>
      </pivotArea>
    </format>
    <format dxfId="1346">
      <pivotArea dataOnly="0" labelOnly="1" fieldPosition="0">
        <references count="4">
          <reference field="4" count="0" selected="0"/>
          <reference field="5" count="1" selected="0">
            <x v="20"/>
          </reference>
          <reference field="6" count="1">
            <x v="116"/>
          </reference>
          <reference field="8" count="1" selected="0">
            <x v="16"/>
          </reference>
        </references>
      </pivotArea>
    </format>
    <format dxfId="1347">
      <pivotArea dataOnly="0" labelOnly="1" fieldPosition="0">
        <references count="4">
          <reference field="4" count="0" selected="0"/>
          <reference field="5" count="1" selected="0">
            <x v="24"/>
          </reference>
          <reference field="6" count="1">
            <x v="150"/>
          </reference>
          <reference field="8" count="1" selected="0">
            <x v="16"/>
          </reference>
        </references>
      </pivotArea>
    </format>
    <format dxfId="1348">
      <pivotArea dataOnly="0" labelOnly="1" fieldPosition="0">
        <references count="5">
          <reference field="2" count="1">
            <x v="20"/>
          </reference>
          <reference field="4" count="0" selected="0"/>
          <reference field="5" count="1" selected="0">
            <x v="12"/>
          </reference>
          <reference field="6" count="1" selected="0">
            <x v="121"/>
          </reference>
          <reference field="8" count="1" selected="0">
            <x v="0"/>
          </reference>
        </references>
      </pivotArea>
    </format>
    <format dxfId="1349">
      <pivotArea dataOnly="0" labelOnly="1" fieldPosition="0">
        <references count="5">
          <reference field="2" count="1">
            <x v="19"/>
          </reference>
          <reference field="4" count="0" selected="0"/>
          <reference field="5" count="1" selected="0">
            <x v="12"/>
          </reference>
          <reference field="6" count="1" selected="0">
            <x v="81"/>
          </reference>
          <reference field="8" count="1" selected="0">
            <x v="2"/>
          </reference>
        </references>
      </pivotArea>
    </format>
    <format dxfId="1350">
      <pivotArea dataOnly="0" labelOnly="1" fieldPosition="0">
        <references count="5">
          <reference field="2" count="1">
            <x v="5"/>
          </reference>
          <reference field="4" count="0" selected="0"/>
          <reference field="5" count="1" selected="0">
            <x v="3"/>
          </reference>
          <reference field="6" count="1" selected="0">
            <x v="27"/>
          </reference>
          <reference field="8" count="1" selected="0">
            <x v="16"/>
          </reference>
        </references>
      </pivotArea>
    </format>
    <format dxfId="1351">
      <pivotArea dataOnly="0" labelOnly="1" fieldPosition="0">
        <references count="5">
          <reference field="2" count="1">
            <x v="11"/>
          </reference>
          <reference field="4" count="0" selected="0"/>
          <reference field="5" count="1" selected="0">
            <x v="3"/>
          </reference>
          <reference field="6" count="1" selected="0">
            <x v="79"/>
          </reference>
          <reference field="8" count="1" selected="0">
            <x v="16"/>
          </reference>
        </references>
      </pivotArea>
    </format>
    <format dxfId="1352">
      <pivotArea dataOnly="0" labelOnly="1" fieldPosition="0">
        <references count="5">
          <reference field="2" count="1">
            <x v="12"/>
          </reference>
          <reference field="4" count="0" selected="0"/>
          <reference field="5" count="1" selected="0">
            <x v="9"/>
          </reference>
          <reference field="6" count="1" selected="0">
            <x v="62"/>
          </reference>
          <reference field="8" count="1" selected="0">
            <x v="16"/>
          </reference>
        </references>
      </pivotArea>
    </format>
    <format dxfId="1353">
      <pivotArea dataOnly="0" labelOnly="1" fieldPosition="0">
        <references count="5">
          <reference field="2" count="1">
            <x v="12"/>
          </reference>
          <reference field="4" count="0" selected="0"/>
          <reference field="5" count="1" selected="0">
            <x v="9"/>
          </reference>
          <reference field="6" count="1" selected="0">
            <x v="85"/>
          </reference>
          <reference field="8" count="1" selected="0">
            <x v="16"/>
          </reference>
        </references>
      </pivotArea>
    </format>
    <format dxfId="1354">
      <pivotArea dataOnly="0" labelOnly="1" fieldPosition="0">
        <references count="5">
          <reference field="2" count="1">
            <x v="19"/>
          </reference>
          <reference field="4" count="0" selected="0"/>
          <reference field="5" count="1" selected="0">
            <x v="12"/>
          </reference>
          <reference field="6" count="1" selected="0">
            <x v="112"/>
          </reference>
          <reference field="8" count="1" selected="0">
            <x v="16"/>
          </reference>
        </references>
      </pivotArea>
    </format>
    <format dxfId="1355">
      <pivotArea dataOnly="0" labelOnly="1" fieldPosition="0">
        <references count="5">
          <reference field="2" count="1">
            <x v="20"/>
          </reference>
          <reference field="4" count="0" selected="0"/>
          <reference field="5" count="1" selected="0">
            <x v="12"/>
          </reference>
          <reference field="6" count="1" selected="0">
            <x v="121"/>
          </reference>
          <reference field="8" count="1" selected="0">
            <x v="16"/>
          </reference>
        </references>
      </pivotArea>
    </format>
    <format dxfId="1356">
      <pivotArea dataOnly="0" labelOnly="1" fieldPosition="0">
        <references count="5">
          <reference field="2" count="1">
            <x v="2"/>
          </reference>
          <reference field="4" count="0" selected="0"/>
          <reference field="5" count="1" selected="0">
            <x v="15"/>
          </reference>
          <reference field="6" count="1" selected="0">
            <x v="7"/>
          </reference>
          <reference field="8" count="1" selected="0">
            <x v="16"/>
          </reference>
        </references>
      </pivotArea>
    </format>
    <format dxfId="1357">
      <pivotArea dataOnly="0" labelOnly="1" fieldPosition="0">
        <references count="5">
          <reference field="2" count="1">
            <x v="12"/>
          </reference>
          <reference field="4" count="0" selected="0"/>
          <reference field="5" count="1" selected="0">
            <x v="15"/>
          </reference>
          <reference field="6" count="1" selected="0">
            <x v="45"/>
          </reference>
          <reference field="8" count="1" selected="0">
            <x v="16"/>
          </reference>
        </references>
      </pivotArea>
    </format>
    <format dxfId="1358">
      <pivotArea dataOnly="0" labelOnly="1" fieldPosition="0">
        <references count="5">
          <reference field="2" count="1">
            <x v="9"/>
          </reference>
          <reference field="4" count="0" selected="0"/>
          <reference field="5" count="1" selected="0">
            <x v="20"/>
          </reference>
          <reference field="6" count="1" selected="0">
            <x v="116"/>
          </reference>
          <reference field="8" count="1" selected="0">
            <x v="16"/>
          </reference>
        </references>
      </pivotArea>
    </format>
    <format dxfId="1359">
      <pivotArea field="4" type="button" dataOnly="0" labelOnly="1" outline="0" axis="axisRow" fieldPosition="0"/>
    </format>
    <format dxfId="1360">
      <pivotArea dataOnly="0" labelOnly="1" fieldPosition="0">
        <references count="1">
          <reference field="4" count="0"/>
        </references>
      </pivotArea>
    </format>
    <format dxfId="1361">
      <pivotArea dataOnly="0" labelOnly="1" grandRow="1" outline="0" fieldPosition="0"/>
    </format>
    <format dxfId="1362">
      <pivotArea dataOnly="0" labelOnly="1" fieldPosition="0">
        <references count="2">
          <reference field="4" count="0" selected="0"/>
          <reference field="8" count="6">
            <x v="0"/>
            <x v="2"/>
            <x v="16"/>
            <x v="17"/>
            <x v="31"/>
            <x v="34"/>
          </reference>
        </references>
      </pivotArea>
    </format>
    <format dxfId="1363">
      <pivotArea dataOnly="0" labelOnly="1" fieldPosition="0">
        <references count="3">
          <reference field="4" count="0" selected="0"/>
          <reference field="5" count="1">
            <x v="12"/>
          </reference>
          <reference field="8" count="1" selected="0">
            <x v="0"/>
          </reference>
        </references>
      </pivotArea>
    </format>
    <format dxfId="1364">
      <pivotArea dataOnly="0" labelOnly="1" fieldPosition="0">
        <references count="3">
          <reference field="4" count="0" selected="0"/>
          <reference field="5" count="3">
            <x v="3"/>
            <x v="12"/>
            <x v="15"/>
          </reference>
          <reference field="8" count="1" selected="0">
            <x v="2"/>
          </reference>
        </references>
      </pivotArea>
    </format>
    <format dxfId="1365">
      <pivotArea dataOnly="0" labelOnly="1" fieldPosition="0">
        <references count="3">
          <reference field="4" count="0" selected="0"/>
          <reference field="5" count="7">
            <x v="3"/>
            <x v="9"/>
            <x v="12"/>
            <x v="15"/>
            <x v="16"/>
            <x v="20"/>
            <x v="24"/>
          </reference>
          <reference field="8" count="1" selected="0">
            <x v="16"/>
          </reference>
        </references>
      </pivotArea>
    </format>
    <format dxfId="1366">
      <pivotArea dataOnly="0" labelOnly="1" fieldPosition="0">
        <references count="4">
          <reference field="4" count="0" selected="0"/>
          <reference field="5" count="1" selected="0">
            <x v="12"/>
          </reference>
          <reference field="6" count="1">
            <x v="121"/>
          </reference>
          <reference field="8" count="1" selected="0">
            <x v="0"/>
          </reference>
        </references>
      </pivotArea>
    </format>
    <format dxfId="1367">
      <pivotArea dataOnly="0" labelOnly="1" fieldPosition="0">
        <references count="4">
          <reference field="4" count="0" selected="0"/>
          <reference field="5" count="1" selected="0">
            <x v="3"/>
          </reference>
          <reference field="6" count="1">
            <x v="53"/>
          </reference>
          <reference field="8" count="1" selected="0">
            <x v="2"/>
          </reference>
        </references>
      </pivotArea>
    </format>
    <format dxfId="1368">
      <pivotArea dataOnly="0" labelOnly="1" fieldPosition="0">
        <references count="4">
          <reference field="4" count="0" selected="0"/>
          <reference field="5" count="1" selected="0">
            <x v="12"/>
          </reference>
          <reference field="6" count="2">
            <x v="10"/>
            <x v="81"/>
          </reference>
          <reference field="8" count="1" selected="0">
            <x v="2"/>
          </reference>
        </references>
      </pivotArea>
    </format>
    <format dxfId="1369">
      <pivotArea dataOnly="0" labelOnly="1" fieldPosition="0">
        <references count="4">
          <reference field="4" count="0" selected="0"/>
          <reference field="5" count="1" selected="0">
            <x v="15"/>
          </reference>
          <reference field="6" count="4">
            <x v="66"/>
            <x v="104"/>
            <x v="106"/>
            <x v="109"/>
          </reference>
          <reference field="8" count="1" selected="0">
            <x v="2"/>
          </reference>
        </references>
      </pivotArea>
    </format>
    <format dxfId="1370">
      <pivotArea dataOnly="0" labelOnly="1" fieldPosition="0">
        <references count="4">
          <reference field="4" count="0" selected="0"/>
          <reference field="5" count="1" selected="0">
            <x v="3"/>
          </reference>
          <reference field="6" count="2">
            <x v="27"/>
            <x v="79"/>
          </reference>
          <reference field="8" count="1" selected="0">
            <x v="16"/>
          </reference>
        </references>
      </pivotArea>
    </format>
    <format dxfId="1371">
      <pivotArea dataOnly="0" labelOnly="1" fieldPosition="0">
        <references count="4">
          <reference field="4" count="0" selected="0"/>
          <reference field="5" count="1" selected="0">
            <x v="9"/>
          </reference>
          <reference field="6" count="2">
            <x v="62"/>
            <x v="85"/>
          </reference>
          <reference field="8" count="1" selected="0">
            <x v="16"/>
          </reference>
        </references>
      </pivotArea>
    </format>
    <format dxfId="1372">
      <pivotArea dataOnly="0" labelOnly="1" fieldPosition="0">
        <references count="4">
          <reference field="4" count="0" selected="0"/>
          <reference field="5" count="1" selected="0">
            <x v="12"/>
          </reference>
          <reference field="6" count="2">
            <x v="112"/>
            <x v="121"/>
          </reference>
          <reference field="8" count="1" selected="0">
            <x v="16"/>
          </reference>
        </references>
      </pivotArea>
    </format>
    <format dxfId="1373">
      <pivotArea dataOnly="0" labelOnly="1" fieldPosition="0">
        <references count="4">
          <reference field="4" count="0" selected="0"/>
          <reference field="5" count="1" selected="0">
            <x v="15"/>
          </reference>
          <reference field="6" count="3">
            <x v="7"/>
            <x v="45"/>
            <x v="66"/>
          </reference>
          <reference field="8" count="1" selected="0">
            <x v="16"/>
          </reference>
        </references>
      </pivotArea>
    </format>
    <format dxfId="1374">
      <pivotArea dataOnly="0" labelOnly="1" fieldPosition="0">
        <references count="4">
          <reference field="4" count="0" selected="0"/>
          <reference field="5" count="1" selected="0">
            <x v="16"/>
          </reference>
          <reference field="6" count="1">
            <x v="26"/>
          </reference>
          <reference field="8" count="1" selected="0">
            <x v="16"/>
          </reference>
        </references>
      </pivotArea>
    </format>
    <format dxfId="1375">
      <pivotArea dataOnly="0" labelOnly="1" fieldPosition="0">
        <references count="4">
          <reference field="4" count="0" selected="0"/>
          <reference field="5" count="1" selected="0">
            <x v="20"/>
          </reference>
          <reference field="6" count="1">
            <x v="116"/>
          </reference>
          <reference field="8" count="1" selected="0">
            <x v="16"/>
          </reference>
        </references>
      </pivotArea>
    </format>
    <format dxfId="1376">
      <pivotArea dataOnly="0" labelOnly="1" fieldPosition="0">
        <references count="4">
          <reference field="4" count="0" selected="0"/>
          <reference field="5" count="1" selected="0">
            <x v="24"/>
          </reference>
          <reference field="6" count="1">
            <x v="150"/>
          </reference>
          <reference field="8" count="1" selected="0">
            <x v="16"/>
          </reference>
        </references>
      </pivotArea>
    </format>
    <format dxfId="1377">
      <pivotArea dataOnly="0" labelOnly="1" fieldPosition="0">
        <references count="5">
          <reference field="2" count="1">
            <x v="20"/>
          </reference>
          <reference field="4" count="0" selected="0"/>
          <reference field="5" count="1" selected="0">
            <x v="12"/>
          </reference>
          <reference field="6" count="1" selected="0">
            <x v="121"/>
          </reference>
          <reference field="8" count="1" selected="0">
            <x v="0"/>
          </reference>
        </references>
      </pivotArea>
    </format>
    <format dxfId="1378">
      <pivotArea dataOnly="0" labelOnly="1" fieldPosition="0">
        <references count="5">
          <reference field="2" count="1">
            <x v="19"/>
          </reference>
          <reference field="4" count="0" selected="0"/>
          <reference field="5" count="1" selected="0">
            <x v="12"/>
          </reference>
          <reference field="6" count="1" selected="0">
            <x v="81"/>
          </reference>
          <reference field="8" count="1" selected="0">
            <x v="2"/>
          </reference>
        </references>
      </pivotArea>
    </format>
    <format dxfId="1379">
      <pivotArea dataOnly="0" labelOnly="1" fieldPosition="0">
        <references count="5">
          <reference field="2" count="1">
            <x v="5"/>
          </reference>
          <reference field="4" count="0" selected="0"/>
          <reference field="5" count="1" selected="0">
            <x v="3"/>
          </reference>
          <reference field="6" count="1" selected="0">
            <x v="27"/>
          </reference>
          <reference field="8" count="1" selected="0">
            <x v="16"/>
          </reference>
        </references>
      </pivotArea>
    </format>
    <format dxfId="1380">
      <pivotArea dataOnly="0" labelOnly="1" fieldPosition="0">
        <references count="5">
          <reference field="2" count="1">
            <x v="11"/>
          </reference>
          <reference field="4" count="0" selected="0"/>
          <reference field="5" count="1" selected="0">
            <x v="3"/>
          </reference>
          <reference field="6" count="1" selected="0">
            <x v="79"/>
          </reference>
          <reference field="8" count="1" selected="0">
            <x v="16"/>
          </reference>
        </references>
      </pivotArea>
    </format>
    <format dxfId="1381">
      <pivotArea dataOnly="0" labelOnly="1" fieldPosition="0">
        <references count="5">
          <reference field="2" count="1">
            <x v="12"/>
          </reference>
          <reference field="4" count="0" selected="0"/>
          <reference field="5" count="1" selected="0">
            <x v="9"/>
          </reference>
          <reference field="6" count="1" selected="0">
            <x v="62"/>
          </reference>
          <reference field="8" count="1" selected="0">
            <x v="16"/>
          </reference>
        </references>
      </pivotArea>
    </format>
    <format dxfId="1382">
      <pivotArea dataOnly="0" labelOnly="1" fieldPosition="0">
        <references count="5">
          <reference field="2" count="1">
            <x v="12"/>
          </reference>
          <reference field="4" count="0" selected="0"/>
          <reference field="5" count="1" selected="0">
            <x v="9"/>
          </reference>
          <reference field="6" count="1" selected="0">
            <x v="85"/>
          </reference>
          <reference field="8" count="1" selected="0">
            <x v="16"/>
          </reference>
        </references>
      </pivotArea>
    </format>
    <format dxfId="1383">
      <pivotArea dataOnly="0" labelOnly="1" fieldPosition="0">
        <references count="5">
          <reference field="2" count="1">
            <x v="19"/>
          </reference>
          <reference field="4" count="0" selected="0"/>
          <reference field="5" count="1" selected="0">
            <x v="12"/>
          </reference>
          <reference field="6" count="1" selected="0">
            <x v="112"/>
          </reference>
          <reference field="8" count="1" selected="0">
            <x v="16"/>
          </reference>
        </references>
      </pivotArea>
    </format>
    <format dxfId="1384">
      <pivotArea dataOnly="0" labelOnly="1" fieldPosition="0">
        <references count="5">
          <reference field="2" count="1">
            <x v="20"/>
          </reference>
          <reference field="4" count="0" selected="0"/>
          <reference field="5" count="1" selected="0">
            <x v="12"/>
          </reference>
          <reference field="6" count="1" selected="0">
            <x v="121"/>
          </reference>
          <reference field="8" count="1" selected="0">
            <x v="16"/>
          </reference>
        </references>
      </pivotArea>
    </format>
    <format dxfId="1385">
      <pivotArea dataOnly="0" labelOnly="1" fieldPosition="0">
        <references count="5">
          <reference field="2" count="1">
            <x v="2"/>
          </reference>
          <reference field="4" count="0" selected="0"/>
          <reference field="5" count="1" selected="0">
            <x v="15"/>
          </reference>
          <reference field="6" count="1" selected="0">
            <x v="7"/>
          </reference>
          <reference field="8" count="1" selected="0">
            <x v="16"/>
          </reference>
        </references>
      </pivotArea>
    </format>
    <format dxfId="1386">
      <pivotArea dataOnly="0" labelOnly="1" fieldPosition="0">
        <references count="5">
          <reference field="2" count="1">
            <x v="12"/>
          </reference>
          <reference field="4" count="0" selected="0"/>
          <reference field="5" count="1" selected="0">
            <x v="15"/>
          </reference>
          <reference field="6" count="1" selected="0">
            <x v="45"/>
          </reference>
          <reference field="8" count="1" selected="0">
            <x v="16"/>
          </reference>
        </references>
      </pivotArea>
    </format>
    <format dxfId="1387">
      <pivotArea dataOnly="0" labelOnly="1" fieldPosition="0">
        <references count="5">
          <reference field="2" count="1">
            <x v="7"/>
          </reference>
          <reference field="4" count="0" selected="0"/>
          <reference field="5" count="1" selected="0">
            <x v="16"/>
          </reference>
          <reference field="6" count="1" selected="0">
            <x v="26"/>
          </reference>
          <reference field="8" count="1" selected="0">
            <x v="16"/>
          </reference>
        </references>
      </pivotArea>
    </format>
    <format dxfId="1388">
      <pivotArea dataOnly="0" labelOnly="1" fieldPosition="0">
        <references count="5">
          <reference field="2" count="1">
            <x v="9"/>
          </reference>
          <reference field="4" count="0" selected="0"/>
          <reference field="5" count="1" selected="0">
            <x v="20"/>
          </reference>
          <reference field="6" count="1" selected="0">
            <x v="116"/>
          </reference>
          <reference field="8" count="1" selected="0">
            <x v="16"/>
          </reference>
        </references>
      </pivotArea>
    </format>
    <format dxfId="1389">
      <pivotArea dataOnly="0" labelOnly="1" fieldPosition="0">
        <references count="5">
          <reference field="2" count="1">
            <x v="26"/>
          </reference>
          <reference field="4" count="0" selected="0"/>
          <reference field="5" count="1" selected="0">
            <x v="24"/>
          </reference>
          <reference field="6" count="1" selected="0">
            <x v="150"/>
          </reference>
          <reference field="8" count="1" selected="0">
            <x v="16"/>
          </reference>
        </references>
      </pivotArea>
    </format>
    <format dxfId="1390">
      <pivotArea field="4" type="button" dataOnly="0" labelOnly="1" outline="0" axis="axisRow" fieldPosition="0"/>
    </format>
    <format dxfId="1391">
      <pivotArea dataOnly="0" labelOnly="1" fieldPosition="0">
        <references count="1">
          <reference field="4" count="0"/>
        </references>
      </pivotArea>
    </format>
    <format dxfId="1392">
      <pivotArea dataOnly="0" labelOnly="1" grandRow="1" outline="0" fieldPosition="0"/>
    </format>
    <format dxfId="1393">
      <pivotArea dataOnly="0" labelOnly="1" fieldPosition="0">
        <references count="2">
          <reference field="4" count="0" selected="0"/>
          <reference field="8" count="6">
            <x v="0"/>
            <x v="2"/>
            <x v="16"/>
            <x v="17"/>
            <x v="31"/>
            <x v="34"/>
          </reference>
        </references>
      </pivotArea>
    </format>
    <format dxfId="1394">
      <pivotArea dataOnly="0" labelOnly="1" fieldPosition="0">
        <references count="3">
          <reference field="4" count="0" selected="0"/>
          <reference field="5" count="1">
            <x v="12"/>
          </reference>
          <reference field="8" count="1" selected="0">
            <x v="0"/>
          </reference>
        </references>
      </pivotArea>
    </format>
    <format dxfId="1395">
      <pivotArea dataOnly="0" labelOnly="1" fieldPosition="0">
        <references count="3">
          <reference field="4" count="0" selected="0"/>
          <reference field="5" count="3">
            <x v="3"/>
            <x v="12"/>
            <x v="15"/>
          </reference>
          <reference field="8" count="1" selected="0">
            <x v="2"/>
          </reference>
        </references>
      </pivotArea>
    </format>
    <format dxfId="1396">
      <pivotArea dataOnly="0" labelOnly="1" fieldPosition="0">
        <references count="3">
          <reference field="4" count="0" selected="0"/>
          <reference field="5" count="7">
            <x v="3"/>
            <x v="9"/>
            <x v="12"/>
            <x v="15"/>
            <x v="16"/>
            <x v="20"/>
            <x v="24"/>
          </reference>
          <reference field="8" count="1" selected="0">
            <x v="16"/>
          </reference>
        </references>
      </pivotArea>
    </format>
    <format dxfId="1397">
      <pivotArea dataOnly="0" labelOnly="1" fieldPosition="0">
        <references count="4">
          <reference field="4" count="0" selected="0"/>
          <reference field="5" count="1" selected="0">
            <x v="12"/>
          </reference>
          <reference field="6" count="1">
            <x v="121"/>
          </reference>
          <reference field="8" count="1" selected="0">
            <x v="0"/>
          </reference>
        </references>
      </pivotArea>
    </format>
    <format dxfId="1398">
      <pivotArea dataOnly="0" labelOnly="1" fieldPosition="0">
        <references count="4">
          <reference field="4" count="0" selected="0"/>
          <reference field="5" count="1" selected="0">
            <x v="3"/>
          </reference>
          <reference field="6" count="1">
            <x v="53"/>
          </reference>
          <reference field="8" count="1" selected="0">
            <x v="2"/>
          </reference>
        </references>
      </pivotArea>
    </format>
    <format dxfId="1399">
      <pivotArea dataOnly="0" labelOnly="1" fieldPosition="0">
        <references count="4">
          <reference field="4" count="0" selected="0"/>
          <reference field="5" count="1" selected="0">
            <x v="12"/>
          </reference>
          <reference field="6" count="2">
            <x v="10"/>
            <x v="81"/>
          </reference>
          <reference field="8" count="1" selected="0">
            <x v="2"/>
          </reference>
        </references>
      </pivotArea>
    </format>
    <format dxfId="1400">
      <pivotArea dataOnly="0" labelOnly="1" fieldPosition="0">
        <references count="4">
          <reference field="4" count="0" selected="0"/>
          <reference field="5" count="1" selected="0">
            <x v="15"/>
          </reference>
          <reference field="6" count="4">
            <x v="66"/>
            <x v="104"/>
            <x v="106"/>
            <x v="109"/>
          </reference>
          <reference field="8" count="1" selected="0">
            <x v="2"/>
          </reference>
        </references>
      </pivotArea>
    </format>
    <format dxfId="1401">
      <pivotArea dataOnly="0" labelOnly="1" fieldPosition="0">
        <references count="4">
          <reference field="4" count="0" selected="0"/>
          <reference field="5" count="1" selected="0">
            <x v="3"/>
          </reference>
          <reference field="6" count="2">
            <x v="27"/>
            <x v="79"/>
          </reference>
          <reference field="8" count="1" selected="0">
            <x v="16"/>
          </reference>
        </references>
      </pivotArea>
    </format>
    <format dxfId="1402">
      <pivotArea dataOnly="0" labelOnly="1" fieldPosition="0">
        <references count="4">
          <reference field="4" count="0" selected="0"/>
          <reference field="5" count="1" selected="0">
            <x v="9"/>
          </reference>
          <reference field="6" count="2">
            <x v="62"/>
            <x v="85"/>
          </reference>
          <reference field="8" count="1" selected="0">
            <x v="16"/>
          </reference>
        </references>
      </pivotArea>
    </format>
    <format dxfId="1403">
      <pivotArea dataOnly="0" labelOnly="1" fieldPosition="0">
        <references count="4">
          <reference field="4" count="0" selected="0"/>
          <reference field="5" count="1" selected="0">
            <x v="12"/>
          </reference>
          <reference field="6" count="2">
            <x v="112"/>
            <x v="121"/>
          </reference>
          <reference field="8" count="1" selected="0">
            <x v="16"/>
          </reference>
        </references>
      </pivotArea>
    </format>
    <format dxfId="1404">
      <pivotArea dataOnly="0" labelOnly="1" fieldPosition="0">
        <references count="4">
          <reference field="4" count="0" selected="0"/>
          <reference field="5" count="1" selected="0">
            <x v="15"/>
          </reference>
          <reference field="6" count="3">
            <x v="7"/>
            <x v="45"/>
            <x v="66"/>
          </reference>
          <reference field="8" count="1" selected="0">
            <x v="16"/>
          </reference>
        </references>
      </pivotArea>
    </format>
    <format dxfId="1405">
      <pivotArea dataOnly="0" labelOnly="1" fieldPosition="0">
        <references count="4">
          <reference field="4" count="0" selected="0"/>
          <reference field="5" count="1" selected="0">
            <x v="16"/>
          </reference>
          <reference field="6" count="1">
            <x v="26"/>
          </reference>
          <reference field="8" count="1" selected="0">
            <x v="16"/>
          </reference>
        </references>
      </pivotArea>
    </format>
    <format dxfId="1406">
      <pivotArea dataOnly="0" labelOnly="1" fieldPosition="0">
        <references count="4">
          <reference field="4" count="0" selected="0"/>
          <reference field="5" count="1" selected="0">
            <x v="20"/>
          </reference>
          <reference field="6" count="1">
            <x v="116"/>
          </reference>
          <reference field="8" count="1" selected="0">
            <x v="16"/>
          </reference>
        </references>
      </pivotArea>
    </format>
    <format dxfId="1407">
      <pivotArea dataOnly="0" labelOnly="1" fieldPosition="0">
        <references count="4">
          <reference field="4" count="0" selected="0"/>
          <reference field="5" count="1" selected="0">
            <x v="24"/>
          </reference>
          <reference field="6" count="1">
            <x v="150"/>
          </reference>
          <reference field="8" count="1" selected="0">
            <x v="16"/>
          </reference>
        </references>
      </pivotArea>
    </format>
    <format dxfId="1408">
      <pivotArea dataOnly="0" labelOnly="1" fieldPosition="0">
        <references count="5">
          <reference field="2" count="1">
            <x v="20"/>
          </reference>
          <reference field="4" count="0" selected="0"/>
          <reference field="5" count="1" selected="0">
            <x v="12"/>
          </reference>
          <reference field="6" count="1" selected="0">
            <x v="121"/>
          </reference>
          <reference field="8" count="1" selected="0">
            <x v="0"/>
          </reference>
        </references>
      </pivotArea>
    </format>
    <format dxfId="1409">
      <pivotArea dataOnly="0" labelOnly="1" fieldPosition="0">
        <references count="5">
          <reference field="2" count="1">
            <x v="19"/>
          </reference>
          <reference field="4" count="0" selected="0"/>
          <reference field="5" count="1" selected="0">
            <x v="12"/>
          </reference>
          <reference field="6" count="1" selected="0">
            <x v="81"/>
          </reference>
          <reference field="8" count="1" selected="0">
            <x v="2"/>
          </reference>
        </references>
      </pivotArea>
    </format>
    <format dxfId="1410">
      <pivotArea dataOnly="0" labelOnly="1" fieldPosition="0">
        <references count="5">
          <reference field="2" count="1">
            <x v="5"/>
          </reference>
          <reference field="4" count="0" selected="0"/>
          <reference field="5" count="1" selected="0">
            <x v="3"/>
          </reference>
          <reference field="6" count="1" selected="0">
            <x v="27"/>
          </reference>
          <reference field="8" count="1" selected="0">
            <x v="16"/>
          </reference>
        </references>
      </pivotArea>
    </format>
    <format dxfId="1411">
      <pivotArea dataOnly="0" labelOnly="1" fieldPosition="0">
        <references count="5">
          <reference field="2" count="1">
            <x v="11"/>
          </reference>
          <reference field="4" count="0" selected="0"/>
          <reference field="5" count="1" selected="0">
            <x v="3"/>
          </reference>
          <reference field="6" count="1" selected="0">
            <x v="79"/>
          </reference>
          <reference field="8" count="1" selected="0">
            <x v="16"/>
          </reference>
        </references>
      </pivotArea>
    </format>
    <format dxfId="1412">
      <pivotArea dataOnly="0" labelOnly="1" fieldPosition="0">
        <references count="5">
          <reference field="2" count="1">
            <x v="12"/>
          </reference>
          <reference field="4" count="0" selected="0"/>
          <reference field="5" count="1" selected="0">
            <x v="9"/>
          </reference>
          <reference field="6" count="1" selected="0">
            <x v="62"/>
          </reference>
          <reference field="8" count="1" selected="0">
            <x v="16"/>
          </reference>
        </references>
      </pivotArea>
    </format>
    <format dxfId="1413">
      <pivotArea dataOnly="0" labelOnly="1" fieldPosition="0">
        <references count="5">
          <reference field="2" count="1">
            <x v="12"/>
          </reference>
          <reference field="4" count="0" selected="0"/>
          <reference field="5" count="1" selected="0">
            <x v="9"/>
          </reference>
          <reference field="6" count="1" selected="0">
            <x v="85"/>
          </reference>
          <reference field="8" count="1" selected="0">
            <x v="16"/>
          </reference>
        </references>
      </pivotArea>
    </format>
    <format dxfId="1414">
      <pivotArea dataOnly="0" labelOnly="1" fieldPosition="0">
        <references count="5">
          <reference field="2" count="1">
            <x v="19"/>
          </reference>
          <reference field="4" count="0" selected="0"/>
          <reference field="5" count="1" selected="0">
            <x v="12"/>
          </reference>
          <reference field="6" count="1" selected="0">
            <x v="112"/>
          </reference>
          <reference field="8" count="1" selected="0">
            <x v="16"/>
          </reference>
        </references>
      </pivotArea>
    </format>
    <format dxfId="1415">
      <pivotArea dataOnly="0" labelOnly="1" fieldPosition="0">
        <references count="5">
          <reference field="2" count="1">
            <x v="20"/>
          </reference>
          <reference field="4" count="0" selected="0"/>
          <reference field="5" count="1" selected="0">
            <x v="12"/>
          </reference>
          <reference field="6" count="1" selected="0">
            <x v="121"/>
          </reference>
          <reference field="8" count="1" selected="0">
            <x v="16"/>
          </reference>
        </references>
      </pivotArea>
    </format>
    <format dxfId="1416">
      <pivotArea dataOnly="0" labelOnly="1" fieldPosition="0">
        <references count="5">
          <reference field="2" count="1">
            <x v="2"/>
          </reference>
          <reference field="4" count="0" selected="0"/>
          <reference field="5" count="1" selected="0">
            <x v="15"/>
          </reference>
          <reference field="6" count="1" selected="0">
            <x v="7"/>
          </reference>
          <reference field="8" count="1" selected="0">
            <x v="16"/>
          </reference>
        </references>
      </pivotArea>
    </format>
    <format dxfId="1417">
      <pivotArea dataOnly="0" labelOnly="1" fieldPosition="0">
        <references count="5">
          <reference field="2" count="1">
            <x v="12"/>
          </reference>
          <reference field="4" count="0" selected="0"/>
          <reference field="5" count="1" selected="0">
            <x v="15"/>
          </reference>
          <reference field="6" count="1" selected="0">
            <x v="45"/>
          </reference>
          <reference field="8" count="1" selected="0">
            <x v="16"/>
          </reference>
        </references>
      </pivotArea>
    </format>
    <format dxfId="1418">
      <pivotArea dataOnly="0" labelOnly="1" fieldPosition="0">
        <references count="5">
          <reference field="2" count="1">
            <x v="7"/>
          </reference>
          <reference field="4" count="0" selected="0"/>
          <reference field="5" count="1" selected="0">
            <x v="16"/>
          </reference>
          <reference field="6" count="1" selected="0">
            <x v="26"/>
          </reference>
          <reference field="8" count="1" selected="0">
            <x v="16"/>
          </reference>
        </references>
      </pivotArea>
    </format>
    <format dxfId="1419">
      <pivotArea dataOnly="0" labelOnly="1" fieldPosition="0">
        <references count="5">
          <reference field="2" count="1">
            <x v="9"/>
          </reference>
          <reference field="4" count="0" selected="0"/>
          <reference field="5" count="1" selected="0">
            <x v="20"/>
          </reference>
          <reference field="6" count="1" selected="0">
            <x v="116"/>
          </reference>
          <reference field="8" count="1" selected="0">
            <x v="16"/>
          </reference>
        </references>
      </pivotArea>
    </format>
    <format dxfId="1420">
      <pivotArea dataOnly="0" labelOnly="1" fieldPosition="0">
        <references count="5">
          <reference field="2" count="1">
            <x v="26"/>
          </reference>
          <reference field="4" count="0" selected="0"/>
          <reference field="5" count="1" selected="0">
            <x v="24"/>
          </reference>
          <reference field="6" count="1" selected="0">
            <x v="150"/>
          </reference>
          <reference field="8" count="1" selected="0">
            <x v="16"/>
          </reference>
        </references>
      </pivotArea>
    </format>
    <format dxfId="1421">
      <pivotArea field="4" type="button" dataOnly="0" labelOnly="1" outline="0" axis="axisRow" fieldPosition="0"/>
    </format>
    <format dxfId="1422">
      <pivotArea dataOnly="0" labelOnly="1" fieldPosition="0">
        <references count="1">
          <reference field="4" count="0"/>
        </references>
      </pivotArea>
    </format>
    <format dxfId="1423">
      <pivotArea dataOnly="0" labelOnly="1" grandRow="1" outline="0" fieldPosition="0"/>
    </format>
    <format dxfId="1424">
      <pivotArea dataOnly="0" labelOnly="1" fieldPosition="0">
        <references count="3">
          <reference field="4" count="0" selected="0"/>
          <reference field="5" count="1">
            <x v="12"/>
          </reference>
          <reference field="8" count="1" selected="0">
            <x v="0"/>
          </reference>
        </references>
      </pivotArea>
    </format>
    <format dxfId="1425">
      <pivotArea dataOnly="0" labelOnly="1" fieldPosition="0">
        <references count="3">
          <reference field="4" count="0" selected="0"/>
          <reference field="5" count="3">
            <x v="3"/>
            <x v="12"/>
            <x v="15"/>
          </reference>
          <reference field="8" count="1" selected="0">
            <x v="2"/>
          </reference>
        </references>
      </pivotArea>
    </format>
    <format dxfId="1426">
      <pivotArea dataOnly="0" labelOnly="1" fieldPosition="0">
        <references count="3">
          <reference field="4" count="0" selected="0"/>
          <reference field="5" count="7">
            <x v="3"/>
            <x v="9"/>
            <x v="12"/>
            <x v="15"/>
            <x v="16"/>
            <x v="20"/>
            <x v="24"/>
          </reference>
          <reference field="8" count="1" selected="0">
            <x v="16"/>
          </reference>
        </references>
      </pivotArea>
    </format>
    <format dxfId="1427">
      <pivotArea dataOnly="0" labelOnly="1" fieldPosition="0">
        <references count="4">
          <reference field="4" count="0" selected="0"/>
          <reference field="5" count="1" selected="0">
            <x v="12"/>
          </reference>
          <reference field="6" count="1">
            <x v="121"/>
          </reference>
          <reference field="8" count="1" selected="0">
            <x v="0"/>
          </reference>
        </references>
      </pivotArea>
    </format>
    <format dxfId="1428">
      <pivotArea dataOnly="0" labelOnly="1" fieldPosition="0">
        <references count="4">
          <reference field="4" count="0" selected="0"/>
          <reference field="5" count="1" selected="0">
            <x v="3"/>
          </reference>
          <reference field="6" count="1">
            <x v="53"/>
          </reference>
          <reference field="8" count="1" selected="0">
            <x v="2"/>
          </reference>
        </references>
      </pivotArea>
    </format>
    <format dxfId="1429">
      <pivotArea dataOnly="0" labelOnly="1" fieldPosition="0">
        <references count="4">
          <reference field="4" count="0" selected="0"/>
          <reference field="5" count="1" selected="0">
            <x v="12"/>
          </reference>
          <reference field="6" count="2">
            <x v="10"/>
            <x v="81"/>
          </reference>
          <reference field="8" count="1" selected="0">
            <x v="2"/>
          </reference>
        </references>
      </pivotArea>
    </format>
    <format dxfId="1430">
      <pivotArea dataOnly="0" labelOnly="1" fieldPosition="0">
        <references count="4">
          <reference field="4" count="0" selected="0"/>
          <reference field="5" count="1" selected="0">
            <x v="15"/>
          </reference>
          <reference field="6" count="4">
            <x v="66"/>
            <x v="104"/>
            <x v="106"/>
            <x v="109"/>
          </reference>
          <reference field="8" count="1" selected="0">
            <x v="2"/>
          </reference>
        </references>
      </pivotArea>
    </format>
    <format dxfId="1431">
      <pivotArea dataOnly="0" labelOnly="1" fieldPosition="0">
        <references count="4">
          <reference field="4" count="0" selected="0"/>
          <reference field="5" count="1" selected="0">
            <x v="3"/>
          </reference>
          <reference field="6" count="2">
            <x v="27"/>
            <x v="79"/>
          </reference>
          <reference field="8" count="1" selected="0">
            <x v="16"/>
          </reference>
        </references>
      </pivotArea>
    </format>
    <format dxfId="1432">
      <pivotArea dataOnly="0" labelOnly="1" fieldPosition="0">
        <references count="4">
          <reference field="4" count="0" selected="0"/>
          <reference field="5" count="1" selected="0">
            <x v="9"/>
          </reference>
          <reference field="6" count="2">
            <x v="62"/>
            <x v="85"/>
          </reference>
          <reference field="8" count="1" selected="0">
            <x v="16"/>
          </reference>
        </references>
      </pivotArea>
    </format>
    <format dxfId="1433">
      <pivotArea dataOnly="0" labelOnly="1" fieldPosition="0">
        <references count="4">
          <reference field="4" count="0" selected="0"/>
          <reference field="5" count="1" selected="0">
            <x v="12"/>
          </reference>
          <reference field="6" count="2">
            <x v="112"/>
            <x v="121"/>
          </reference>
          <reference field="8" count="1" selected="0">
            <x v="16"/>
          </reference>
        </references>
      </pivotArea>
    </format>
    <format dxfId="1434">
      <pivotArea dataOnly="0" labelOnly="1" fieldPosition="0">
        <references count="4">
          <reference field="4" count="0" selected="0"/>
          <reference field="5" count="1" selected="0">
            <x v="15"/>
          </reference>
          <reference field="6" count="3">
            <x v="7"/>
            <x v="45"/>
            <x v="66"/>
          </reference>
          <reference field="8" count="1" selected="0">
            <x v="16"/>
          </reference>
        </references>
      </pivotArea>
    </format>
    <format dxfId="1435">
      <pivotArea dataOnly="0" labelOnly="1" fieldPosition="0">
        <references count="4">
          <reference field="4" count="0" selected="0"/>
          <reference field="5" count="1" selected="0">
            <x v="16"/>
          </reference>
          <reference field="6" count="1">
            <x v="26"/>
          </reference>
          <reference field="8" count="1" selected="0">
            <x v="16"/>
          </reference>
        </references>
      </pivotArea>
    </format>
    <format dxfId="1436">
      <pivotArea dataOnly="0" labelOnly="1" fieldPosition="0">
        <references count="4">
          <reference field="4" count="0" selected="0"/>
          <reference field="5" count="1" selected="0">
            <x v="20"/>
          </reference>
          <reference field="6" count="1">
            <x v="116"/>
          </reference>
          <reference field="8" count="1" selected="0">
            <x v="16"/>
          </reference>
        </references>
      </pivotArea>
    </format>
    <format dxfId="1437">
      <pivotArea dataOnly="0" labelOnly="1" fieldPosition="0">
        <references count="4">
          <reference field="4" count="0" selected="0"/>
          <reference field="5" count="1" selected="0">
            <x v="24"/>
          </reference>
          <reference field="6" count="1">
            <x v="150"/>
          </reference>
          <reference field="8" count="1" selected="0">
            <x v="16"/>
          </reference>
        </references>
      </pivotArea>
    </format>
    <format dxfId="1438">
      <pivotArea dataOnly="0" labelOnly="1" fieldPosition="0">
        <references count="5">
          <reference field="2" count="1">
            <x v="20"/>
          </reference>
          <reference field="4" count="0" selected="0"/>
          <reference field="5" count="1" selected="0">
            <x v="12"/>
          </reference>
          <reference field="6" count="1" selected="0">
            <x v="121"/>
          </reference>
          <reference field="8" count="1" selected="0">
            <x v="0"/>
          </reference>
        </references>
      </pivotArea>
    </format>
    <format dxfId="1439">
      <pivotArea dataOnly="0" labelOnly="1" fieldPosition="0">
        <references count="5">
          <reference field="2" count="1">
            <x v="19"/>
          </reference>
          <reference field="4" count="0" selected="0"/>
          <reference field="5" count="1" selected="0">
            <x v="12"/>
          </reference>
          <reference field="6" count="1" selected="0">
            <x v="81"/>
          </reference>
          <reference field="8" count="1" selected="0">
            <x v="2"/>
          </reference>
        </references>
      </pivotArea>
    </format>
    <format dxfId="1440">
      <pivotArea dataOnly="0" labelOnly="1" fieldPosition="0">
        <references count="5">
          <reference field="2" count="1">
            <x v="5"/>
          </reference>
          <reference field="4" count="0" selected="0"/>
          <reference field="5" count="1" selected="0">
            <x v="3"/>
          </reference>
          <reference field="6" count="1" selected="0">
            <x v="27"/>
          </reference>
          <reference field="8" count="1" selected="0">
            <x v="16"/>
          </reference>
        </references>
      </pivotArea>
    </format>
    <format dxfId="1441">
      <pivotArea dataOnly="0" labelOnly="1" fieldPosition="0">
        <references count="5">
          <reference field="2" count="1">
            <x v="11"/>
          </reference>
          <reference field="4" count="0" selected="0"/>
          <reference field="5" count="1" selected="0">
            <x v="3"/>
          </reference>
          <reference field="6" count="1" selected="0">
            <x v="79"/>
          </reference>
          <reference field="8" count="1" selected="0">
            <x v="16"/>
          </reference>
        </references>
      </pivotArea>
    </format>
    <format dxfId="1442">
      <pivotArea dataOnly="0" labelOnly="1" fieldPosition="0">
        <references count="5">
          <reference field="2" count="1">
            <x v="12"/>
          </reference>
          <reference field="4" count="0" selected="0"/>
          <reference field="5" count="1" selected="0">
            <x v="9"/>
          </reference>
          <reference field="6" count="1" selected="0">
            <x v="62"/>
          </reference>
          <reference field="8" count="1" selected="0">
            <x v="16"/>
          </reference>
        </references>
      </pivotArea>
    </format>
    <format dxfId="1443">
      <pivotArea dataOnly="0" labelOnly="1" fieldPosition="0">
        <references count="5">
          <reference field="2" count="1">
            <x v="12"/>
          </reference>
          <reference field="4" count="0" selected="0"/>
          <reference field="5" count="1" selected="0">
            <x v="9"/>
          </reference>
          <reference field="6" count="1" selected="0">
            <x v="85"/>
          </reference>
          <reference field="8" count="1" selected="0">
            <x v="16"/>
          </reference>
        </references>
      </pivotArea>
    </format>
    <format dxfId="1444">
      <pivotArea dataOnly="0" labelOnly="1" fieldPosition="0">
        <references count="5">
          <reference field="2" count="1">
            <x v="19"/>
          </reference>
          <reference field="4" count="0" selected="0"/>
          <reference field="5" count="1" selected="0">
            <x v="12"/>
          </reference>
          <reference field="6" count="1" selected="0">
            <x v="112"/>
          </reference>
          <reference field="8" count="1" selected="0">
            <x v="16"/>
          </reference>
        </references>
      </pivotArea>
    </format>
    <format dxfId="1445">
      <pivotArea dataOnly="0" labelOnly="1" fieldPosition="0">
        <references count="5">
          <reference field="2" count="1">
            <x v="20"/>
          </reference>
          <reference field="4" count="0" selected="0"/>
          <reference field="5" count="1" selected="0">
            <x v="12"/>
          </reference>
          <reference field="6" count="1" selected="0">
            <x v="121"/>
          </reference>
          <reference field="8" count="1" selected="0">
            <x v="16"/>
          </reference>
        </references>
      </pivotArea>
    </format>
    <format dxfId="1446">
      <pivotArea dataOnly="0" labelOnly="1" fieldPosition="0">
        <references count="5">
          <reference field="2" count="1">
            <x v="2"/>
          </reference>
          <reference field="4" count="0" selected="0"/>
          <reference field="5" count="1" selected="0">
            <x v="15"/>
          </reference>
          <reference field="6" count="1" selected="0">
            <x v="7"/>
          </reference>
          <reference field="8" count="1" selected="0">
            <x v="16"/>
          </reference>
        </references>
      </pivotArea>
    </format>
    <format dxfId="1447">
      <pivotArea dataOnly="0" labelOnly="1" fieldPosition="0">
        <references count="5">
          <reference field="2" count="1">
            <x v="12"/>
          </reference>
          <reference field="4" count="0" selected="0"/>
          <reference field="5" count="1" selected="0">
            <x v="15"/>
          </reference>
          <reference field="6" count="1" selected="0">
            <x v="45"/>
          </reference>
          <reference field="8" count="1" selected="0">
            <x v="16"/>
          </reference>
        </references>
      </pivotArea>
    </format>
    <format dxfId="1448">
      <pivotArea dataOnly="0" fieldPosition="0">
        <references count="5">
          <reference field="1" count="1" selected="0">
            <x v="0"/>
          </reference>
          <reference field="4" count="0" selected="0"/>
          <reference field="5" count="1" selected="0">
            <x v="16"/>
          </reference>
          <reference field="6" count="1">
            <x v="26"/>
          </reference>
          <reference field="8" count="1" selected="0">
            <x v="16"/>
          </reference>
        </references>
      </pivotArea>
    </format>
    <format dxfId="1449">
      <pivotArea dataOnly="0" labelOnly="1" fieldPosition="0">
        <references count="5">
          <reference field="2" count="1">
            <x v="7"/>
          </reference>
          <reference field="4" count="0" selected="0"/>
          <reference field="5" count="1" selected="0">
            <x v="16"/>
          </reference>
          <reference field="6" count="1" selected="0">
            <x v="26"/>
          </reference>
          <reference field="8" count="1" selected="0">
            <x v="16"/>
          </reference>
        </references>
      </pivotArea>
    </format>
    <format dxfId="1450">
      <pivotArea dataOnly="0" labelOnly="1" fieldPosition="0">
        <references count="2">
          <reference field="4" count="0" selected="0"/>
          <reference field="8" count="6">
            <x v="0"/>
            <x v="2"/>
            <x v="16"/>
            <x v="17"/>
            <x v="31"/>
            <x v="34"/>
          </reference>
        </references>
      </pivotArea>
    </format>
    <format dxfId="1451">
      <pivotArea dataOnly="0" labelOnly="1" fieldPosition="0">
        <references count="2">
          <reference field="4" count="0" selected="0"/>
          <reference field="8" count="6">
            <x v="0"/>
            <x v="2"/>
            <x v="16"/>
            <x v="17"/>
            <x v="31"/>
            <x v="34"/>
          </reference>
        </references>
      </pivotArea>
    </format>
    <format dxfId="1452">
      <pivotArea dataOnly="0" labelOnly="1" fieldPosition="0">
        <references count="2">
          <reference field="4" count="0" selected="0"/>
          <reference field="8" count="6">
            <x v="0"/>
            <x v="2"/>
            <x v="16"/>
            <x v="17"/>
            <x v="31"/>
            <x v="34"/>
          </reference>
        </references>
      </pivotArea>
    </format>
    <format dxfId="1453">
      <pivotArea dataOnly="0" labelOnly="1" fieldPosition="0">
        <references count="2">
          <reference field="4" count="0" selected="0"/>
          <reference field="8" count="6">
            <x v="0"/>
            <x v="2"/>
            <x v="16"/>
            <x v="17"/>
            <x v="31"/>
            <x v="34"/>
          </reference>
        </references>
      </pivotArea>
    </format>
    <format dxfId="1454">
      <pivotArea dataOnly="0" labelOnly="1" fieldPosition="0">
        <references count="2">
          <reference field="4" count="0" selected="0"/>
          <reference field="8" count="6">
            <x v="0"/>
            <x v="2"/>
            <x v="16"/>
            <x v="17"/>
            <x v="31"/>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968ED2-CBA4-4782-B34E-893B1F39CE42}" name="PivotTable1" cacheId="2337" applyNumberFormats="0" applyBorderFormats="0" applyFontFormats="0" applyPatternFormats="0" applyAlignmentFormats="0" applyWidthHeightFormats="1" dataCaption="Values" updatedVersion="8" minRefreshableVersion="3" itemPrintTitles="1" createdVersion="8" indent="0" multipleFieldFilters="0" rowHeaderCaption="FA -&gt; Service">
  <location ref="A6:H17" firstHeaderRow="1" firstDataRow="2"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axis="axisPage" multipleItemSelectionAllowed="1" showAll="0">
      <items count="31">
        <item h="1" x="13"/>
        <item h="1" x="16"/>
        <item h="1" x="24"/>
        <item h="1" x="8"/>
        <item h="1" x="2"/>
        <item h="1" x="5"/>
        <item h="1" x="15"/>
        <item h="1" x="6"/>
        <item h="1" x="18"/>
        <item x="14"/>
        <item h="1" x="0"/>
        <item h="1" x="17"/>
        <item h="1" x="26"/>
        <item h="1" x="22"/>
        <item h="1" x="3"/>
        <item h="1" x="21"/>
        <item h="1" x="12"/>
        <item h="1" x="9"/>
        <item h="1" x="19"/>
        <item h="1" x="4"/>
        <item h="1" x="7"/>
        <item h="1" x="25"/>
        <item h="1" x="10"/>
        <item h="1" x="23"/>
        <item h="1" x="20"/>
        <item h="1" x="1"/>
        <item h="1" x="11"/>
        <item h="1" m="1" x="29"/>
        <item h="1" x="27"/>
        <item h="1" x="28"/>
        <item t="default"/>
      </items>
    </pivotField>
    <pivotField axis="axisCol" multipleItemSelectionAllowed="1" showAll="0">
      <items count="8">
        <item x="3"/>
        <item x="1"/>
        <item x="4"/>
        <item x="5"/>
        <item x="0"/>
        <item x="6"/>
        <item x="2"/>
        <item t="default"/>
      </items>
    </pivotField>
    <pivotField axis="axisRow" showAll="0" defaultSubtotal="0">
      <items count="31">
        <item m="1" x="27"/>
        <item x="1"/>
        <item x="6"/>
        <item x="7"/>
        <item x="8"/>
        <item m="1" x="22"/>
        <item m="1" x="28"/>
        <item m="1" x="30"/>
        <item m="1" x="25"/>
        <item x="10"/>
        <item x="9"/>
        <item m="1" x="26"/>
        <item x="3"/>
        <item x="11"/>
        <item x="0"/>
        <item x="2"/>
        <item x="4"/>
        <item x="14"/>
        <item m="1" x="24"/>
        <item m="1" x="29"/>
        <item x="13"/>
        <item x="15"/>
        <item x="5"/>
        <item x="16"/>
        <item x="17"/>
        <item m="1" x="23"/>
        <item x="12"/>
        <item m="1" x="21"/>
        <item x="18"/>
        <item x="19"/>
        <item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showAll="0"/>
    <pivotField axis="axisPage" dataFiel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m="1" x="67"/>
        <item m="1" x="62"/>
        <item m="1" x="69"/>
        <item m="1" x="63"/>
        <item m="1" x="66"/>
        <item x="34"/>
        <item x="35"/>
        <item m="1" x="68"/>
        <item m="1" x="70"/>
        <item x="45"/>
        <item x="27"/>
        <item m="1" x="61"/>
        <item x="41"/>
        <item x="28"/>
        <item x="36"/>
        <item x="43"/>
        <item x="44"/>
        <item x="46"/>
        <item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2"/>
    <field x="5"/>
    <field x="6"/>
    <field x="8"/>
  </rowFields>
  <rowItems count="10">
    <i>
      <x v="7"/>
    </i>
    <i r="1">
      <x v="14"/>
    </i>
    <i r="2">
      <x v="26"/>
    </i>
    <i r="3">
      <x v="11"/>
    </i>
    <i r="1">
      <x v="16"/>
    </i>
    <i r="2">
      <x v="26"/>
    </i>
    <i r="3">
      <x v="4"/>
    </i>
    <i r="3">
      <x v="16"/>
    </i>
    <i r="3">
      <x v="21"/>
    </i>
    <i t="grand">
      <x/>
    </i>
  </rowItems>
  <colFields count="1">
    <field x="4"/>
  </colFields>
  <colItems count="7">
    <i>
      <x/>
    </i>
    <i>
      <x v="1"/>
    </i>
    <i>
      <x v="2"/>
    </i>
    <i>
      <x v="3"/>
    </i>
    <i>
      <x v="4"/>
    </i>
    <i>
      <x v="6"/>
    </i>
    <i t="grand">
      <x/>
    </i>
  </colItems>
  <pageFields count="3">
    <pageField fld="1" hier="-1"/>
    <pageField fld="11" hier="-1"/>
    <pageField fld="3" hier="-1"/>
  </pageFields>
  <dataFields count="1">
    <dataField name="QTY" fld="11" baseField="0" baseItem="0"/>
  </dataFields>
  <formats count="80">
    <format dxfId="1014">
      <pivotArea type="origin" dataOnly="0" labelOnly="1" outline="0" fieldPosition="0"/>
    </format>
    <format dxfId="1015">
      <pivotArea field="8" type="button" dataOnly="0" labelOnly="1" outline="0" axis="axisRow" fieldPosition="3"/>
    </format>
    <format dxfId="1016">
      <pivotArea dataOnly="0" labelOnly="1" fieldPosition="0">
        <references count="1">
          <reference field="8" count="0"/>
        </references>
      </pivotArea>
    </format>
    <format dxfId="1017">
      <pivotArea dataOnly="0" labelOnly="1" grandRow="1" outline="0" fieldPosition="0"/>
    </format>
    <format dxfId="1018">
      <pivotArea dataOnly="0" labelOnly="1" grandCol="1" outline="0" fieldPosition="0"/>
    </format>
    <format dxfId="1019">
      <pivotArea grandCol="1" outline="0" collapsedLevelsAreSubtotals="1" fieldPosition="0"/>
    </format>
    <format dxfId="1020">
      <pivotArea outline="0" collapsedLevelsAreSubtotals="1" fieldPosition="0"/>
    </format>
    <format dxfId="1021">
      <pivotArea dataOnly="0" labelOnly="1" outline="0" fieldPosition="0">
        <references count="1">
          <reference field="4" count="0"/>
        </references>
      </pivotArea>
    </format>
    <format dxfId="1022">
      <pivotArea type="topRight" dataOnly="0" labelOnly="1" outline="0" fieldPosition="0"/>
    </format>
    <format dxfId="1023">
      <pivotArea dataOnly="0" labelOnly="1" grandCol="1" outline="0" fieldPosition="0"/>
    </format>
    <format dxfId="1024">
      <pivotArea dataOnly="0" labelOnly="1" outline="0" fieldPosition="0">
        <references count="1">
          <reference field="4" count="0"/>
        </references>
      </pivotArea>
    </format>
    <format dxfId="1025">
      <pivotArea dataOnly="0" labelOnly="1" fieldPosition="0">
        <references count="1">
          <reference field="2" count="0"/>
        </references>
      </pivotArea>
    </format>
    <format dxfId="1026">
      <pivotArea dataOnly="0" labelOnly="1" fieldPosition="0">
        <references count="2">
          <reference field="2" count="0" selected="0"/>
          <reference field="4" count="0"/>
        </references>
      </pivotArea>
    </format>
    <format dxfId="1027">
      <pivotArea dataOnly="0" labelOnly="1" fieldPosition="0">
        <references count="3">
          <reference field="1" count="4">
            <x v="0"/>
            <x v="1"/>
            <x v="2"/>
            <x v="3"/>
          </reference>
          <reference field="2" count="0" selected="0"/>
          <reference field="4" count="1" selected="0">
            <x v="0"/>
          </reference>
        </references>
      </pivotArea>
    </format>
    <format dxfId="1028">
      <pivotArea dataOnly="0" labelOnly="1" fieldPosition="0">
        <references count="3">
          <reference field="1" count="4">
            <x v="0"/>
            <x v="1"/>
            <x v="2"/>
            <x v="3"/>
          </reference>
          <reference field="2" count="0" selected="0"/>
          <reference field="4" count="1" selected="0">
            <x v="1"/>
          </reference>
        </references>
      </pivotArea>
    </format>
    <format dxfId="1029">
      <pivotArea dataOnly="0" labelOnly="1" fieldPosition="0">
        <references count="3">
          <reference field="1" count="4">
            <x v="0"/>
            <x v="1"/>
            <x v="2"/>
            <x v="3"/>
          </reference>
          <reference field="2" count="0" selected="0"/>
          <reference field="4" count="1" selected="0">
            <x v="2"/>
          </reference>
        </references>
      </pivotArea>
    </format>
    <format dxfId="1030">
      <pivotArea dataOnly="0" labelOnly="1" fieldPosition="0">
        <references count="3">
          <reference field="1" count="4">
            <x v="0"/>
            <x v="1"/>
            <x v="2"/>
            <x v="3"/>
          </reference>
          <reference field="2" count="0" selected="0"/>
          <reference field="4" count="1" selected="0">
            <x v="3"/>
          </reference>
        </references>
      </pivotArea>
    </format>
    <format dxfId="1031">
      <pivotArea dataOnly="0" labelOnly="1" fieldPosition="0">
        <references count="3">
          <reference field="1" count="4">
            <x v="0"/>
            <x v="1"/>
            <x v="2"/>
            <x v="3"/>
          </reference>
          <reference field="2" count="0" selected="0"/>
          <reference field="4" count="1" selected="0">
            <x v="4"/>
          </reference>
        </references>
      </pivotArea>
    </format>
    <format dxfId="1032">
      <pivotArea dataOnly="0" labelOnly="1" fieldPosition="0">
        <references count="3">
          <reference field="1" count="0"/>
          <reference field="2" count="0" selected="0"/>
          <reference field="4" count="1" selected="0">
            <x v="5"/>
          </reference>
        </references>
      </pivotArea>
    </format>
    <format dxfId="1033">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1034">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1035">
      <pivotArea dataOnly="0" labelOnly="1" fieldPosition="0">
        <references count="4">
          <reference field="1" count="1" selected="0">
            <x v="2"/>
          </reference>
          <reference field="2" count="0" selected="0"/>
          <reference field="4" count="1" selected="0">
            <x v="0"/>
          </reference>
          <reference field="8" count="1">
            <x v="21"/>
          </reference>
        </references>
      </pivotArea>
    </format>
    <format dxfId="1036">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1037">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1038">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1039">
      <pivotArea dataOnly="0" labelOnly="1" fieldPosition="0">
        <references count="4">
          <reference field="1" count="1" selected="0">
            <x v="2"/>
          </reference>
          <reference field="2" count="0" selected="0"/>
          <reference field="4" count="1" selected="0">
            <x v="1"/>
          </reference>
          <reference field="8" count="1">
            <x v="21"/>
          </reference>
        </references>
      </pivotArea>
    </format>
    <format dxfId="1040">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1041">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1042">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1043">
      <pivotArea dataOnly="0" labelOnly="1" fieldPosition="0">
        <references count="4">
          <reference field="1" count="1" selected="0">
            <x v="2"/>
          </reference>
          <reference field="2" count="0" selected="0"/>
          <reference field="4" count="1" selected="0">
            <x v="2"/>
          </reference>
          <reference field="8" count="1">
            <x v="21"/>
          </reference>
        </references>
      </pivotArea>
    </format>
    <format dxfId="1044">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1045">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1046">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1047">
      <pivotArea dataOnly="0" labelOnly="1" fieldPosition="0">
        <references count="4">
          <reference field="1" count="1" selected="0">
            <x v="2"/>
          </reference>
          <reference field="2" count="0" selected="0"/>
          <reference field="4" count="1" selected="0">
            <x v="3"/>
          </reference>
          <reference field="8" count="1">
            <x v="21"/>
          </reference>
        </references>
      </pivotArea>
    </format>
    <format dxfId="1048">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1049">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1050">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1051">
      <pivotArea dataOnly="0" labelOnly="1" fieldPosition="0">
        <references count="4">
          <reference field="1" count="1" selected="0">
            <x v="2"/>
          </reference>
          <reference field="2" count="0" selected="0"/>
          <reference field="4" count="1" selected="0">
            <x v="4"/>
          </reference>
          <reference field="8" count="1">
            <x v="21"/>
          </reference>
        </references>
      </pivotArea>
    </format>
    <format dxfId="1052">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1053">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1054">
      <pivotArea dataOnly="0" labelOnly="1" fieldPosition="0">
        <references count="4">
          <reference field="1" count="1" selected="0">
            <x v="1"/>
          </reference>
          <reference field="2" count="0" selected="0"/>
          <reference field="4" count="1" selected="0">
            <x v="5"/>
          </reference>
          <reference field="8" count="1">
            <x v="4"/>
          </reference>
        </references>
      </pivotArea>
    </format>
    <format dxfId="1055">
      <pivotArea dataOnly="0" labelOnly="1" fieldPosition="0">
        <references count="4">
          <reference field="1" count="1" selected="0">
            <x v="2"/>
          </reference>
          <reference field="2" count="0" selected="0"/>
          <reference field="4" count="1" selected="0">
            <x v="5"/>
          </reference>
          <reference field="8" count="1">
            <x v="21"/>
          </reference>
        </references>
      </pivotArea>
    </format>
    <format dxfId="1056">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1057">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1058">
      <pivotArea outline="0" collapsedLevelsAreSubtotals="1" fieldPosition="0"/>
    </format>
    <format dxfId="1059">
      <pivotArea field="2" type="button" dataOnly="0" labelOnly="1" outline="0" axis="axisRow" fieldPosition="0"/>
    </format>
    <format dxfId="1060">
      <pivotArea type="topRight" dataOnly="0" labelOnly="1" outline="0" fieldPosition="0"/>
    </format>
    <format dxfId="1061">
      <pivotArea dataOnly="0" labelOnly="1" fieldPosition="0">
        <references count="1">
          <reference field="2" count="5">
            <x v="0"/>
            <x v="3"/>
            <x v="19"/>
            <x v="20"/>
            <x v="22"/>
          </reference>
        </references>
      </pivotArea>
    </format>
    <format dxfId="1062">
      <pivotArea dataOnly="0" labelOnly="1" grandCol="1" outline="0" fieldPosition="0"/>
    </format>
    <format dxfId="1063">
      <pivotArea field="5" type="button" dataOnly="0" labelOnly="1" outline="0" axis="axisRow" fieldPosition="1"/>
    </format>
    <format dxfId="1064">
      <pivotArea dataOnly="0" labelOnly="1" fieldPosition="0">
        <references count="1">
          <reference field="5" count="0"/>
        </references>
      </pivotArea>
    </format>
    <format dxfId="1065">
      <pivotArea dataOnly="0" labelOnly="1" fieldPosition="0">
        <references count="2">
          <reference field="2" count="5">
            <x v="0"/>
            <x v="3"/>
            <x v="19"/>
            <x v="20"/>
            <x v="22"/>
          </reference>
          <reference field="5" count="0" selected="0"/>
        </references>
      </pivotArea>
    </format>
    <format dxfId="1066">
      <pivotArea dataOnly="0" labelOnly="1" fieldPosition="0">
        <references count="3">
          <reference field="2" count="1" selected="0">
            <x v="0"/>
          </reference>
          <reference field="5" count="0" selected="0"/>
          <reference field="6" count="4">
            <x v="134"/>
            <x v="135"/>
            <x v="136"/>
            <x v="137"/>
          </reference>
        </references>
      </pivotArea>
    </format>
    <format dxfId="1067">
      <pivotArea dataOnly="0" labelOnly="1" fieldPosition="0">
        <references count="3">
          <reference field="2" count="1" selected="0">
            <x v="3"/>
          </reference>
          <reference field="5" count="0" selected="0"/>
          <reference field="6" count="1">
            <x v="119"/>
          </reference>
        </references>
      </pivotArea>
    </format>
    <format dxfId="1068">
      <pivotArea dataOnly="0" labelOnly="1" fieldPosition="0">
        <references count="3">
          <reference field="2" count="1" selected="0">
            <x v="19"/>
          </reference>
          <reference field="5" count="0" selected="0"/>
          <reference field="6" count="1">
            <x v="114"/>
          </reference>
        </references>
      </pivotArea>
    </format>
    <format dxfId="1069">
      <pivotArea dataOnly="0" labelOnly="1" fieldPosition="0">
        <references count="3">
          <reference field="2" count="1" selected="0">
            <x v="20"/>
          </reference>
          <reference field="5" count="0" selected="0"/>
          <reference field="6" count="3">
            <x v="99"/>
            <x v="113"/>
            <x v="120"/>
          </reference>
        </references>
      </pivotArea>
    </format>
    <format dxfId="1070">
      <pivotArea dataOnly="0" labelOnly="1" fieldPosition="0">
        <references count="3">
          <reference field="2" count="1" selected="0">
            <x v="22"/>
          </reference>
          <reference field="5" count="0" selected="0"/>
          <reference field="6" count="1">
            <x v="143"/>
          </reference>
        </references>
      </pivotArea>
    </format>
    <format dxfId="1071">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1072">
      <pivotArea dataOnly="0" labelOnly="1" fieldPosition="0">
        <references count="4">
          <reference field="2" count="1" selected="0">
            <x v="0"/>
          </reference>
          <reference field="5" count="0" selected="0"/>
          <reference field="6" count="1" selected="0">
            <x v="135"/>
          </reference>
          <reference field="8" count="1">
            <x v="10"/>
          </reference>
        </references>
      </pivotArea>
    </format>
    <format dxfId="1073">
      <pivotArea dataOnly="0" labelOnly="1" fieldPosition="0">
        <references count="4">
          <reference field="2" count="1" selected="0">
            <x v="0"/>
          </reference>
          <reference field="5" count="0" selected="0"/>
          <reference field="6" count="1" selected="0">
            <x v="136"/>
          </reference>
          <reference field="8" count="1">
            <x v="21"/>
          </reference>
        </references>
      </pivotArea>
    </format>
    <format dxfId="1074">
      <pivotArea dataOnly="0" labelOnly="1" fieldPosition="0">
        <references count="4">
          <reference field="2" count="1" selected="0">
            <x v="0"/>
          </reference>
          <reference field="5" count="0" selected="0"/>
          <reference field="6" count="1" selected="0">
            <x v="137"/>
          </reference>
          <reference field="8" count="1">
            <x v="16"/>
          </reference>
        </references>
      </pivotArea>
    </format>
    <format dxfId="1075">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1076">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1077">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1078">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1079">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1080">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1081">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1082">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1083">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1084">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1085">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1086">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1087">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1088">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1089">
      <pivotArea collapsedLevelsAreSubtotals="1" fieldPosition="0">
        <references count="3">
          <reference field="4294967294" count="1" selected="0">
            <x v="0"/>
          </reference>
          <reference field="2" count="1">
            <x v="22"/>
          </reference>
          <reference field="5" count="0" selected="0"/>
        </references>
      </pivotArea>
    </format>
    <format dxfId="1090">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1091">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1092">
      <pivotArea outline="0" collapsedLevelsAreSubtotals="1" fieldPosition="0">
        <references count="1">
          <reference field="4294967294" count="1" selected="0">
            <x v="0"/>
          </reference>
        </references>
      </pivotArea>
    </format>
    <format dxfId="109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C7CCD8-3511-4083-BEE6-DBE7E4422ADE}" name="PivotTable1" cacheId="2337" applyNumberFormats="0" applyBorderFormats="0" applyFontFormats="0" applyPatternFormats="0" applyAlignmentFormats="0" applyWidthHeightFormats="1" dataCaption="Values" updatedVersion="8" minRefreshableVersion="3" itemPrintTitles="1" createdVersion="8" indent="0" multipleFieldFilters="0" rowHeaderCaption="FA -&gt; Service">
  <location ref="A6:H44" firstHeaderRow="1" firstDataRow="2"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axis="axisPage" multipleItemSelectionAllowed="1" showAll="0">
      <items count="31">
        <item h="1" x="13"/>
        <item h="1" x="16"/>
        <item h="1" x="24"/>
        <item h="1" x="8"/>
        <item h="1" x="2"/>
        <item h="1" x="5"/>
        <item h="1" x="15"/>
        <item h="1" x="6"/>
        <item x="18"/>
        <item h="1" x="14"/>
        <item h="1" x="0"/>
        <item h="1" x="17"/>
        <item h="1" x="26"/>
        <item h="1" x="22"/>
        <item h="1" x="3"/>
        <item h="1" x="21"/>
        <item h="1" x="12"/>
        <item h="1" x="9"/>
        <item h="1" x="19"/>
        <item h="1" x="4"/>
        <item h="1" x="7"/>
        <item h="1" x="25"/>
        <item h="1" x="10"/>
        <item h="1" x="23"/>
        <item h="1" x="20"/>
        <item h="1" x="1"/>
        <item h="1" x="11"/>
        <item h="1" m="1" x="29"/>
        <item h="1" x="27"/>
        <item h="1" x="28"/>
        <item t="default"/>
      </items>
    </pivotField>
    <pivotField axis="axisCol" multipleItemSelectionAllowed="1" showAll="0">
      <items count="8">
        <item x="3"/>
        <item x="1"/>
        <item x="4"/>
        <item x="5"/>
        <item x="0"/>
        <item x="6"/>
        <item x="2"/>
        <item t="default"/>
      </items>
    </pivotField>
    <pivotField axis="axisRow" showAll="0" defaultSubtotal="0">
      <items count="31">
        <item m="1" x="27"/>
        <item x="1"/>
        <item x="6"/>
        <item x="7"/>
        <item x="8"/>
        <item m="1" x="22"/>
        <item m="1" x="28"/>
        <item m="1" x="30"/>
        <item m="1" x="25"/>
        <item x="10"/>
        <item x="9"/>
        <item m="1" x="26"/>
        <item x="3"/>
        <item x="11"/>
        <item x="0"/>
        <item x="2"/>
        <item x="4"/>
        <item x="14"/>
        <item m="1" x="24"/>
        <item m="1" x="29"/>
        <item x="13"/>
        <item x="15"/>
        <item x="5"/>
        <item x="16"/>
        <item x="17"/>
        <item m="1" x="23"/>
        <item x="12"/>
        <item m="1" x="21"/>
        <item x="18"/>
        <item x="19"/>
        <item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showAll="0"/>
    <pivotField axis="axisPage" dataFiel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m="1" x="67"/>
        <item m="1" x="62"/>
        <item m="1" x="69"/>
        <item m="1" x="63"/>
        <item m="1" x="66"/>
        <item x="34"/>
        <item x="35"/>
        <item m="1" x="68"/>
        <item m="1" x="70"/>
        <item x="45"/>
        <item x="27"/>
        <item m="1" x="61"/>
        <item x="41"/>
        <item x="28"/>
        <item x="36"/>
        <item x="43"/>
        <item x="44"/>
        <item x="46"/>
        <item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2"/>
    <field x="8"/>
    <field x="5"/>
    <field x="6"/>
  </rowFields>
  <rowItems count="37">
    <i>
      <x v="5"/>
    </i>
    <i r="1">
      <x v="2"/>
    </i>
    <i r="2">
      <x v="3"/>
    </i>
    <i r="3">
      <x v="53"/>
    </i>
    <i r="1">
      <x v="7"/>
    </i>
    <i r="2">
      <x v="2"/>
    </i>
    <i r="3">
      <x v="98"/>
    </i>
    <i r="1">
      <x v="8"/>
    </i>
    <i r="2">
      <x v="4"/>
    </i>
    <i r="3">
      <x/>
    </i>
    <i r="3">
      <x v="171"/>
    </i>
    <i r="2">
      <x v="10"/>
    </i>
    <i r="3">
      <x v="98"/>
    </i>
    <i r="1">
      <x v="11"/>
    </i>
    <i r="2">
      <x v="3"/>
    </i>
    <i r="3">
      <x v="27"/>
    </i>
    <i r="1">
      <x v="16"/>
    </i>
    <i r="2">
      <x v="3"/>
    </i>
    <i r="3">
      <x v="27"/>
    </i>
    <i r="2">
      <x v="30"/>
    </i>
    <i r="3">
      <x v="185"/>
    </i>
    <i r="1">
      <x v="17"/>
    </i>
    <i r="2">
      <x v="10"/>
    </i>
    <i r="3">
      <x v="5"/>
    </i>
    <i r="1">
      <x v="20"/>
    </i>
    <i r="2">
      <x v="3"/>
    </i>
    <i r="3">
      <x v="18"/>
    </i>
    <i r="1">
      <x v="49"/>
    </i>
    <i r="2">
      <x v="10"/>
    </i>
    <i r="3">
      <x v="4"/>
    </i>
    <i r="3">
      <x v="6"/>
    </i>
    <i r="3">
      <x v="152"/>
    </i>
    <i r="1">
      <x v="51"/>
    </i>
    <i r="2">
      <x v="2"/>
    </i>
    <i r="3">
      <x v="30"/>
    </i>
    <i r="3">
      <x v="31"/>
    </i>
    <i t="grand">
      <x/>
    </i>
  </rowItems>
  <colFields count="1">
    <field x="4"/>
  </colFields>
  <colItems count="7">
    <i>
      <x/>
    </i>
    <i>
      <x v="1"/>
    </i>
    <i>
      <x v="2"/>
    </i>
    <i>
      <x v="3"/>
    </i>
    <i>
      <x v="4"/>
    </i>
    <i>
      <x v="6"/>
    </i>
    <i t="grand">
      <x/>
    </i>
  </colItems>
  <pageFields count="3">
    <pageField fld="1" hier="-1"/>
    <pageField fld="11" hier="-1"/>
    <pageField fld="3" hier="-1"/>
  </pageFields>
  <dataFields count="1">
    <dataField name="QTY" fld="11" baseField="0" baseItem="0"/>
  </dataFields>
  <formats count="80">
    <format dxfId="934">
      <pivotArea type="origin" dataOnly="0" labelOnly="1" outline="0" fieldPosition="0"/>
    </format>
    <format dxfId="935">
      <pivotArea field="8" type="button" dataOnly="0" labelOnly="1" outline="0" axis="axisRow" fieldPosition="1"/>
    </format>
    <format dxfId="936">
      <pivotArea dataOnly="0" labelOnly="1" fieldPosition="0">
        <references count="1">
          <reference field="8" count="0"/>
        </references>
      </pivotArea>
    </format>
    <format dxfId="937">
      <pivotArea dataOnly="0" labelOnly="1" grandRow="1" outline="0" fieldPosition="0"/>
    </format>
    <format dxfId="938">
      <pivotArea dataOnly="0" labelOnly="1" grandCol="1" outline="0" fieldPosition="0"/>
    </format>
    <format dxfId="939">
      <pivotArea grandCol="1" outline="0" collapsedLevelsAreSubtotals="1" fieldPosition="0"/>
    </format>
    <format dxfId="940">
      <pivotArea outline="0" collapsedLevelsAreSubtotals="1" fieldPosition="0"/>
    </format>
    <format dxfId="941">
      <pivotArea dataOnly="0" labelOnly="1" outline="0" fieldPosition="0">
        <references count="1">
          <reference field="4" count="0"/>
        </references>
      </pivotArea>
    </format>
    <format dxfId="942">
      <pivotArea type="topRight" dataOnly="0" labelOnly="1" outline="0" fieldPosition="0"/>
    </format>
    <format dxfId="943">
      <pivotArea dataOnly="0" labelOnly="1" grandCol="1" outline="0" fieldPosition="0"/>
    </format>
    <format dxfId="944">
      <pivotArea dataOnly="0" labelOnly="1" outline="0" fieldPosition="0">
        <references count="1">
          <reference field="4" count="0"/>
        </references>
      </pivotArea>
    </format>
    <format dxfId="945">
      <pivotArea dataOnly="0" labelOnly="1" fieldPosition="0">
        <references count="1">
          <reference field="2" count="0"/>
        </references>
      </pivotArea>
    </format>
    <format dxfId="946">
      <pivotArea dataOnly="0" labelOnly="1" fieldPosition="0">
        <references count="2">
          <reference field="2" count="0" selected="0"/>
          <reference field="4" count="0"/>
        </references>
      </pivotArea>
    </format>
    <format dxfId="947">
      <pivotArea dataOnly="0" labelOnly="1" fieldPosition="0">
        <references count="3">
          <reference field="1" count="4">
            <x v="0"/>
            <x v="1"/>
            <x v="2"/>
            <x v="3"/>
          </reference>
          <reference field="2" count="0" selected="0"/>
          <reference field="4" count="1" selected="0">
            <x v="0"/>
          </reference>
        </references>
      </pivotArea>
    </format>
    <format dxfId="948">
      <pivotArea dataOnly="0" labelOnly="1" fieldPosition="0">
        <references count="3">
          <reference field="1" count="4">
            <x v="0"/>
            <x v="1"/>
            <x v="2"/>
            <x v="3"/>
          </reference>
          <reference field="2" count="0" selected="0"/>
          <reference field="4" count="1" selected="0">
            <x v="1"/>
          </reference>
        </references>
      </pivotArea>
    </format>
    <format dxfId="949">
      <pivotArea dataOnly="0" labelOnly="1" fieldPosition="0">
        <references count="3">
          <reference field="1" count="4">
            <x v="0"/>
            <x v="1"/>
            <x v="2"/>
            <x v="3"/>
          </reference>
          <reference field="2" count="0" selected="0"/>
          <reference field="4" count="1" selected="0">
            <x v="2"/>
          </reference>
        </references>
      </pivotArea>
    </format>
    <format dxfId="950">
      <pivotArea dataOnly="0" labelOnly="1" fieldPosition="0">
        <references count="3">
          <reference field="1" count="4">
            <x v="0"/>
            <x v="1"/>
            <x v="2"/>
            <x v="3"/>
          </reference>
          <reference field="2" count="0" selected="0"/>
          <reference field="4" count="1" selected="0">
            <x v="3"/>
          </reference>
        </references>
      </pivotArea>
    </format>
    <format dxfId="951">
      <pivotArea dataOnly="0" labelOnly="1" fieldPosition="0">
        <references count="3">
          <reference field="1" count="4">
            <x v="0"/>
            <x v="1"/>
            <x v="2"/>
            <x v="3"/>
          </reference>
          <reference field="2" count="0" selected="0"/>
          <reference field="4" count="1" selected="0">
            <x v="4"/>
          </reference>
        </references>
      </pivotArea>
    </format>
    <format dxfId="952">
      <pivotArea dataOnly="0" labelOnly="1" fieldPosition="0">
        <references count="3">
          <reference field="1" count="0"/>
          <reference field="2" count="0" selected="0"/>
          <reference field="4" count="1" selected="0">
            <x v="5"/>
          </reference>
        </references>
      </pivotArea>
    </format>
    <format dxfId="953">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954">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955">
      <pivotArea dataOnly="0" labelOnly="1" fieldPosition="0">
        <references count="4">
          <reference field="1" count="1" selected="0">
            <x v="2"/>
          </reference>
          <reference field="2" count="0" selected="0"/>
          <reference field="4" count="1" selected="0">
            <x v="0"/>
          </reference>
          <reference field="8" count="1">
            <x v="21"/>
          </reference>
        </references>
      </pivotArea>
    </format>
    <format dxfId="956">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957">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958">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959">
      <pivotArea dataOnly="0" labelOnly="1" fieldPosition="0">
        <references count="4">
          <reference field="1" count="1" selected="0">
            <x v="2"/>
          </reference>
          <reference field="2" count="0" selected="0"/>
          <reference field="4" count="1" selected="0">
            <x v="1"/>
          </reference>
          <reference field="8" count="1">
            <x v="21"/>
          </reference>
        </references>
      </pivotArea>
    </format>
    <format dxfId="960">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961">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962">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963">
      <pivotArea dataOnly="0" labelOnly="1" fieldPosition="0">
        <references count="4">
          <reference field="1" count="1" selected="0">
            <x v="2"/>
          </reference>
          <reference field="2" count="0" selected="0"/>
          <reference field="4" count="1" selected="0">
            <x v="2"/>
          </reference>
          <reference field="8" count="1">
            <x v="21"/>
          </reference>
        </references>
      </pivotArea>
    </format>
    <format dxfId="964">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965">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966">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967">
      <pivotArea dataOnly="0" labelOnly="1" fieldPosition="0">
        <references count="4">
          <reference field="1" count="1" selected="0">
            <x v="2"/>
          </reference>
          <reference field="2" count="0" selected="0"/>
          <reference field="4" count="1" selected="0">
            <x v="3"/>
          </reference>
          <reference field="8" count="1">
            <x v="21"/>
          </reference>
        </references>
      </pivotArea>
    </format>
    <format dxfId="968">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969">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970">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971">
      <pivotArea dataOnly="0" labelOnly="1" fieldPosition="0">
        <references count="4">
          <reference field="1" count="1" selected="0">
            <x v="2"/>
          </reference>
          <reference field="2" count="0" selected="0"/>
          <reference field="4" count="1" selected="0">
            <x v="4"/>
          </reference>
          <reference field="8" count="1">
            <x v="21"/>
          </reference>
        </references>
      </pivotArea>
    </format>
    <format dxfId="972">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973">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974">
      <pivotArea dataOnly="0" labelOnly="1" fieldPosition="0">
        <references count="4">
          <reference field="1" count="1" selected="0">
            <x v="1"/>
          </reference>
          <reference field="2" count="0" selected="0"/>
          <reference field="4" count="1" selected="0">
            <x v="5"/>
          </reference>
          <reference field="8" count="1">
            <x v="4"/>
          </reference>
        </references>
      </pivotArea>
    </format>
    <format dxfId="975">
      <pivotArea dataOnly="0" labelOnly="1" fieldPosition="0">
        <references count="4">
          <reference field="1" count="1" selected="0">
            <x v="2"/>
          </reference>
          <reference field="2" count="0" selected="0"/>
          <reference field="4" count="1" selected="0">
            <x v="5"/>
          </reference>
          <reference field="8" count="1">
            <x v="21"/>
          </reference>
        </references>
      </pivotArea>
    </format>
    <format dxfId="976">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977">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978">
      <pivotArea outline="0" collapsedLevelsAreSubtotals="1" fieldPosition="0"/>
    </format>
    <format dxfId="979">
      <pivotArea field="2" type="button" dataOnly="0" labelOnly="1" outline="0" axis="axisRow" fieldPosition="0"/>
    </format>
    <format dxfId="980">
      <pivotArea type="topRight" dataOnly="0" labelOnly="1" outline="0" fieldPosition="0"/>
    </format>
    <format dxfId="981">
      <pivotArea dataOnly="0" labelOnly="1" fieldPosition="0">
        <references count="1">
          <reference field="2" count="5">
            <x v="0"/>
            <x v="3"/>
            <x v="19"/>
            <x v="20"/>
            <x v="22"/>
          </reference>
        </references>
      </pivotArea>
    </format>
    <format dxfId="982">
      <pivotArea dataOnly="0" labelOnly="1" grandCol="1" outline="0" fieldPosition="0"/>
    </format>
    <format dxfId="983">
      <pivotArea field="5" type="button" dataOnly="0" labelOnly="1" outline="0" axis="axisRow" fieldPosition="2"/>
    </format>
    <format dxfId="984">
      <pivotArea dataOnly="0" labelOnly="1" fieldPosition="0">
        <references count="1">
          <reference field="5" count="0"/>
        </references>
      </pivotArea>
    </format>
    <format dxfId="985">
      <pivotArea dataOnly="0" labelOnly="1" fieldPosition="0">
        <references count="2">
          <reference field="2" count="5">
            <x v="0"/>
            <x v="3"/>
            <x v="19"/>
            <x v="20"/>
            <x v="22"/>
          </reference>
          <reference field="5" count="0" selected="0"/>
        </references>
      </pivotArea>
    </format>
    <format dxfId="986">
      <pivotArea dataOnly="0" labelOnly="1" fieldPosition="0">
        <references count="3">
          <reference field="2" count="1" selected="0">
            <x v="0"/>
          </reference>
          <reference field="5" count="0" selected="0"/>
          <reference field="6" count="4">
            <x v="134"/>
            <x v="135"/>
            <x v="136"/>
            <x v="137"/>
          </reference>
        </references>
      </pivotArea>
    </format>
    <format dxfId="987">
      <pivotArea dataOnly="0" labelOnly="1" fieldPosition="0">
        <references count="3">
          <reference field="2" count="1" selected="0">
            <x v="3"/>
          </reference>
          <reference field="5" count="0" selected="0"/>
          <reference field="6" count="1">
            <x v="119"/>
          </reference>
        </references>
      </pivotArea>
    </format>
    <format dxfId="988">
      <pivotArea dataOnly="0" labelOnly="1" fieldPosition="0">
        <references count="3">
          <reference field="2" count="1" selected="0">
            <x v="19"/>
          </reference>
          <reference field="5" count="0" selected="0"/>
          <reference field="6" count="1">
            <x v="114"/>
          </reference>
        </references>
      </pivotArea>
    </format>
    <format dxfId="989">
      <pivotArea dataOnly="0" labelOnly="1" fieldPosition="0">
        <references count="3">
          <reference field="2" count="1" selected="0">
            <x v="20"/>
          </reference>
          <reference field="5" count="0" selected="0"/>
          <reference field="6" count="3">
            <x v="99"/>
            <x v="113"/>
            <x v="120"/>
          </reference>
        </references>
      </pivotArea>
    </format>
    <format dxfId="990">
      <pivotArea dataOnly="0" labelOnly="1" fieldPosition="0">
        <references count="3">
          <reference field="2" count="1" selected="0">
            <x v="22"/>
          </reference>
          <reference field="5" count="0" selected="0"/>
          <reference field="6" count="1">
            <x v="143"/>
          </reference>
        </references>
      </pivotArea>
    </format>
    <format dxfId="991">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992">
      <pivotArea dataOnly="0" labelOnly="1" fieldPosition="0">
        <references count="4">
          <reference field="2" count="1" selected="0">
            <x v="0"/>
          </reference>
          <reference field="5" count="0" selected="0"/>
          <reference field="6" count="1" selected="0">
            <x v="135"/>
          </reference>
          <reference field="8" count="1">
            <x v="10"/>
          </reference>
        </references>
      </pivotArea>
    </format>
    <format dxfId="993">
      <pivotArea dataOnly="0" labelOnly="1" fieldPosition="0">
        <references count="4">
          <reference field="2" count="1" selected="0">
            <x v="0"/>
          </reference>
          <reference field="5" count="0" selected="0"/>
          <reference field="6" count="1" selected="0">
            <x v="136"/>
          </reference>
          <reference field="8" count="1">
            <x v="21"/>
          </reference>
        </references>
      </pivotArea>
    </format>
    <format dxfId="994">
      <pivotArea dataOnly="0" labelOnly="1" fieldPosition="0">
        <references count="4">
          <reference field="2" count="1" selected="0">
            <x v="0"/>
          </reference>
          <reference field="5" count="0" selected="0"/>
          <reference field="6" count="1" selected="0">
            <x v="137"/>
          </reference>
          <reference field="8" count="1">
            <x v="16"/>
          </reference>
        </references>
      </pivotArea>
    </format>
    <format dxfId="995">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996">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997">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998">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999">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1000">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1001">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1002">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1003">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1004">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1005">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1006">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1007">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1008">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1009">
      <pivotArea collapsedLevelsAreSubtotals="1" fieldPosition="0">
        <references count="3">
          <reference field="4294967294" count="1" selected="0">
            <x v="0"/>
          </reference>
          <reference field="2" count="1">
            <x v="22"/>
          </reference>
          <reference field="5" count="0" selected="0"/>
        </references>
      </pivotArea>
    </format>
    <format dxfId="1010">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1011">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1012">
      <pivotArea outline="0" collapsedLevelsAreSubtotals="1" fieldPosition="0">
        <references count="1">
          <reference field="4294967294" count="1" selected="0">
            <x v="0"/>
          </reference>
        </references>
      </pivotArea>
    </format>
    <format dxfId="101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FE7717-BF87-3E42-B8F7-699B483CDD3C}" name="PivotTable1" cacheId="2337" applyNumberFormats="0" applyBorderFormats="0" applyFontFormats="0" applyPatternFormats="0" applyAlignmentFormats="0" applyWidthHeightFormats="1" dataCaption="Values" updatedVersion="8" minRefreshableVersion="3" itemPrintTitles="1" createdVersion="8" indent="0" multipleFieldFilters="0" rowHeaderCaption="FA -&gt; Service">
  <location ref="A6:I75" firstHeaderRow="1" firstDataRow="2"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axis="axisPage" multipleItemSelectionAllowed="1" showAll="0">
      <items count="31">
        <item h="1" x="13"/>
        <item h="1" x="16"/>
        <item h="1" x="24"/>
        <item x="8"/>
        <item h="1" x="2"/>
        <item h="1" x="5"/>
        <item h="1" x="15"/>
        <item h="1" x="6"/>
        <item h="1" x="18"/>
        <item h="1" x="14"/>
        <item h="1" x="0"/>
        <item h="1" x="17"/>
        <item h="1" x="26"/>
        <item h="1" x="22"/>
        <item h="1" x="3"/>
        <item h="1" x="21"/>
        <item h="1" x="12"/>
        <item h="1" x="9"/>
        <item h="1" x="19"/>
        <item h="1" x="4"/>
        <item h="1" x="7"/>
        <item h="1" x="25"/>
        <item h="1" x="10"/>
        <item h="1" x="23"/>
        <item h="1" x="20"/>
        <item h="1" x="1"/>
        <item h="1" x="11"/>
        <item h="1" m="1" x="29"/>
        <item h="1" x="27"/>
        <item h="1" x="28"/>
        <item t="default"/>
      </items>
    </pivotField>
    <pivotField axis="axisCol" multipleItemSelectionAllowed="1" showAll="0">
      <items count="8">
        <item x="3"/>
        <item x="1"/>
        <item x="4"/>
        <item x="5"/>
        <item x="0"/>
        <item x="6"/>
        <item x="2"/>
        <item t="default"/>
      </items>
    </pivotField>
    <pivotField axis="axisRow" showAll="0" defaultSubtotal="0">
      <items count="31">
        <item m="1" x="27"/>
        <item x="1"/>
        <item x="6"/>
        <item x="7"/>
        <item x="8"/>
        <item m="1" x="22"/>
        <item m="1" x="28"/>
        <item m="1" x="30"/>
        <item m="1" x="25"/>
        <item x="10"/>
        <item x="9"/>
        <item m="1" x="26"/>
        <item x="3"/>
        <item x="11"/>
        <item x="0"/>
        <item x="2"/>
        <item x="4"/>
        <item x="14"/>
        <item m="1" x="24"/>
        <item m="1" x="29"/>
        <item x="13"/>
        <item x="15"/>
        <item x="5"/>
        <item x="16"/>
        <item x="17"/>
        <item m="1" x="23"/>
        <item x="12"/>
        <item m="1" x="21"/>
        <item x="18"/>
        <item x="19"/>
        <item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showAll="0"/>
    <pivotField axis="axisPage" dataFiel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m="1" x="67"/>
        <item m="1" x="62"/>
        <item m="1" x="69"/>
        <item m="1" x="63"/>
        <item m="1" x="66"/>
        <item x="34"/>
        <item x="35"/>
        <item m="1" x="68"/>
        <item m="1" x="70"/>
        <item x="45"/>
        <item x="27"/>
        <item m="1" x="61"/>
        <item x="41"/>
        <item x="28"/>
        <item x="36"/>
        <item x="43"/>
        <item x="44"/>
        <item x="46"/>
        <item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2"/>
    <field x="8"/>
    <field x="5"/>
    <field x="6"/>
  </rowFields>
  <rowItems count="68">
    <i>
      <x v="2"/>
    </i>
    <i r="1">
      <x v="2"/>
    </i>
    <i r="2">
      <x v="12"/>
    </i>
    <i r="3">
      <x v="10"/>
    </i>
    <i r="1">
      <x v="7"/>
    </i>
    <i r="2">
      <x v="2"/>
    </i>
    <i r="3">
      <x v="35"/>
    </i>
    <i r="3">
      <x v="40"/>
    </i>
    <i r="3">
      <x v="94"/>
    </i>
    <i r="2">
      <x v="12"/>
    </i>
    <i r="3">
      <x v="10"/>
    </i>
    <i r="2">
      <x v="15"/>
    </i>
    <i r="3">
      <x v="7"/>
    </i>
    <i r="3">
      <x v="36"/>
    </i>
    <i r="1">
      <x v="8"/>
    </i>
    <i r="2">
      <x v="2"/>
    </i>
    <i r="3">
      <x v="19"/>
    </i>
    <i r="3">
      <x v="20"/>
    </i>
    <i r="3">
      <x v="35"/>
    </i>
    <i r="3">
      <x v="38"/>
    </i>
    <i r="3">
      <x v="40"/>
    </i>
    <i r="3">
      <x v="146"/>
    </i>
    <i r="2">
      <x v="9"/>
    </i>
    <i r="3">
      <x v="81"/>
    </i>
    <i r="2">
      <x v="12"/>
    </i>
    <i r="3">
      <x v="10"/>
    </i>
    <i r="2">
      <x v="15"/>
    </i>
    <i r="3">
      <x v="7"/>
    </i>
    <i r="3">
      <x v="19"/>
    </i>
    <i r="3">
      <x v="20"/>
    </i>
    <i r="3">
      <x v="36"/>
    </i>
    <i r="3">
      <x v="41"/>
    </i>
    <i r="3">
      <x v="151"/>
    </i>
    <i r="2">
      <x v="22"/>
    </i>
    <i r="3">
      <x v="128"/>
    </i>
    <i r="1">
      <x v="11"/>
    </i>
    <i r="2">
      <x v="15"/>
    </i>
    <i r="3">
      <x v="7"/>
    </i>
    <i r="1">
      <x v="16"/>
    </i>
    <i r="2">
      <x v="15"/>
    </i>
    <i r="3">
      <x v="7"/>
    </i>
    <i r="2">
      <x v="22"/>
    </i>
    <i r="3">
      <x v="129"/>
    </i>
    <i r="1">
      <x v="17"/>
    </i>
    <i r="2">
      <x v="10"/>
    </i>
    <i r="3">
      <x v="15"/>
    </i>
    <i r="1">
      <x v="21"/>
    </i>
    <i r="2">
      <x v="2"/>
    </i>
    <i r="3">
      <x v="172"/>
    </i>
    <i r="1">
      <x v="22"/>
    </i>
    <i r="2">
      <x v="2"/>
    </i>
    <i r="3">
      <x v="172"/>
    </i>
    <i r="1">
      <x v="31"/>
    </i>
    <i r="2">
      <x v="9"/>
    </i>
    <i r="3">
      <x v="81"/>
    </i>
    <i r="2">
      <x v="22"/>
    </i>
    <i r="3">
      <x v="81"/>
    </i>
    <i r="1">
      <x v="48"/>
    </i>
    <i r="2">
      <x v="3"/>
    </i>
    <i r="3">
      <x v="29"/>
    </i>
    <i r="2">
      <x v="4"/>
    </i>
    <i r="3">
      <x v="77"/>
    </i>
    <i r="3">
      <x v="80"/>
    </i>
    <i r="3">
      <x v="154"/>
    </i>
    <i r="1">
      <x v="49"/>
    </i>
    <i r="2">
      <x v="10"/>
    </i>
    <i r="3">
      <x v="15"/>
    </i>
    <i t="grand">
      <x/>
    </i>
  </rowItems>
  <colFields count="1">
    <field x="4"/>
  </colFields>
  <colItems count="8">
    <i>
      <x/>
    </i>
    <i>
      <x v="1"/>
    </i>
    <i>
      <x v="2"/>
    </i>
    <i>
      <x v="3"/>
    </i>
    <i>
      <x v="4"/>
    </i>
    <i>
      <x v="5"/>
    </i>
    <i>
      <x v="6"/>
    </i>
    <i t="grand">
      <x/>
    </i>
  </colItems>
  <pageFields count="3">
    <pageField fld="1" hier="-1"/>
    <pageField fld="11" hier="-1"/>
    <pageField fld="3" hier="-1"/>
  </pageFields>
  <dataFields count="1">
    <dataField name="QTY" fld="11" baseField="0" baseItem="0"/>
  </dataFields>
  <formats count="80">
    <format dxfId="854">
      <pivotArea type="origin" dataOnly="0" labelOnly="1" outline="0" fieldPosition="0"/>
    </format>
    <format dxfId="855">
      <pivotArea field="8" type="button" dataOnly="0" labelOnly="1" outline="0" axis="axisRow" fieldPosition="1"/>
    </format>
    <format dxfId="856">
      <pivotArea dataOnly="0" labelOnly="1" fieldPosition="0">
        <references count="1">
          <reference field="8" count="0"/>
        </references>
      </pivotArea>
    </format>
    <format dxfId="857">
      <pivotArea dataOnly="0" labelOnly="1" grandRow="1" outline="0" fieldPosition="0"/>
    </format>
    <format dxfId="858">
      <pivotArea dataOnly="0" labelOnly="1" grandCol="1" outline="0" fieldPosition="0"/>
    </format>
    <format dxfId="859">
      <pivotArea grandCol="1" outline="0" collapsedLevelsAreSubtotals="1" fieldPosition="0"/>
    </format>
    <format dxfId="860">
      <pivotArea outline="0" collapsedLevelsAreSubtotals="1" fieldPosition="0"/>
    </format>
    <format dxfId="861">
      <pivotArea dataOnly="0" labelOnly="1" outline="0" fieldPosition="0">
        <references count="1">
          <reference field="4" count="0"/>
        </references>
      </pivotArea>
    </format>
    <format dxfId="862">
      <pivotArea type="topRight" dataOnly="0" labelOnly="1" outline="0" fieldPosition="0"/>
    </format>
    <format dxfId="863">
      <pivotArea dataOnly="0" labelOnly="1" grandCol="1" outline="0" fieldPosition="0"/>
    </format>
    <format dxfId="864">
      <pivotArea dataOnly="0" labelOnly="1" outline="0" fieldPosition="0">
        <references count="1">
          <reference field="4" count="0"/>
        </references>
      </pivotArea>
    </format>
    <format dxfId="865">
      <pivotArea dataOnly="0" labelOnly="1" fieldPosition="0">
        <references count="1">
          <reference field="2" count="0"/>
        </references>
      </pivotArea>
    </format>
    <format dxfId="866">
      <pivotArea dataOnly="0" labelOnly="1" fieldPosition="0">
        <references count="2">
          <reference field="2" count="0" selected="0"/>
          <reference field="4" count="0"/>
        </references>
      </pivotArea>
    </format>
    <format dxfId="867">
      <pivotArea dataOnly="0" labelOnly="1" fieldPosition="0">
        <references count="3">
          <reference field="1" count="4">
            <x v="0"/>
            <x v="1"/>
            <x v="2"/>
            <x v="3"/>
          </reference>
          <reference field="2" count="0" selected="0"/>
          <reference field="4" count="1" selected="0">
            <x v="0"/>
          </reference>
        </references>
      </pivotArea>
    </format>
    <format dxfId="868">
      <pivotArea dataOnly="0" labelOnly="1" fieldPosition="0">
        <references count="3">
          <reference field="1" count="4">
            <x v="0"/>
            <x v="1"/>
            <x v="2"/>
            <x v="3"/>
          </reference>
          <reference field="2" count="0" selected="0"/>
          <reference field="4" count="1" selected="0">
            <x v="1"/>
          </reference>
        </references>
      </pivotArea>
    </format>
    <format dxfId="869">
      <pivotArea dataOnly="0" labelOnly="1" fieldPosition="0">
        <references count="3">
          <reference field="1" count="4">
            <x v="0"/>
            <x v="1"/>
            <x v="2"/>
            <x v="3"/>
          </reference>
          <reference field="2" count="0" selected="0"/>
          <reference field="4" count="1" selected="0">
            <x v="2"/>
          </reference>
        </references>
      </pivotArea>
    </format>
    <format dxfId="870">
      <pivotArea dataOnly="0" labelOnly="1" fieldPosition="0">
        <references count="3">
          <reference field="1" count="4">
            <x v="0"/>
            <x v="1"/>
            <x v="2"/>
            <x v="3"/>
          </reference>
          <reference field="2" count="0" selected="0"/>
          <reference field="4" count="1" selected="0">
            <x v="3"/>
          </reference>
        </references>
      </pivotArea>
    </format>
    <format dxfId="871">
      <pivotArea dataOnly="0" labelOnly="1" fieldPosition="0">
        <references count="3">
          <reference field="1" count="4">
            <x v="0"/>
            <x v="1"/>
            <x v="2"/>
            <x v="3"/>
          </reference>
          <reference field="2" count="0" selected="0"/>
          <reference field="4" count="1" selected="0">
            <x v="4"/>
          </reference>
        </references>
      </pivotArea>
    </format>
    <format dxfId="872">
      <pivotArea dataOnly="0" labelOnly="1" fieldPosition="0">
        <references count="3">
          <reference field="1" count="0"/>
          <reference field="2" count="0" selected="0"/>
          <reference field="4" count="1" selected="0">
            <x v="5"/>
          </reference>
        </references>
      </pivotArea>
    </format>
    <format dxfId="873">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874">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875">
      <pivotArea dataOnly="0" labelOnly="1" fieldPosition="0">
        <references count="4">
          <reference field="1" count="1" selected="0">
            <x v="2"/>
          </reference>
          <reference field="2" count="0" selected="0"/>
          <reference field="4" count="1" selected="0">
            <x v="0"/>
          </reference>
          <reference field="8" count="1">
            <x v="21"/>
          </reference>
        </references>
      </pivotArea>
    </format>
    <format dxfId="876">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877">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878">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879">
      <pivotArea dataOnly="0" labelOnly="1" fieldPosition="0">
        <references count="4">
          <reference field="1" count="1" selected="0">
            <x v="2"/>
          </reference>
          <reference field="2" count="0" selected="0"/>
          <reference field="4" count="1" selected="0">
            <x v="1"/>
          </reference>
          <reference field="8" count="1">
            <x v="21"/>
          </reference>
        </references>
      </pivotArea>
    </format>
    <format dxfId="880">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881">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882">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883">
      <pivotArea dataOnly="0" labelOnly="1" fieldPosition="0">
        <references count="4">
          <reference field="1" count="1" selected="0">
            <x v="2"/>
          </reference>
          <reference field="2" count="0" selected="0"/>
          <reference field="4" count="1" selected="0">
            <x v="2"/>
          </reference>
          <reference field="8" count="1">
            <x v="21"/>
          </reference>
        </references>
      </pivotArea>
    </format>
    <format dxfId="884">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885">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886">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887">
      <pivotArea dataOnly="0" labelOnly="1" fieldPosition="0">
        <references count="4">
          <reference field="1" count="1" selected="0">
            <x v="2"/>
          </reference>
          <reference field="2" count="0" selected="0"/>
          <reference field="4" count="1" selected="0">
            <x v="3"/>
          </reference>
          <reference field="8" count="1">
            <x v="21"/>
          </reference>
        </references>
      </pivotArea>
    </format>
    <format dxfId="888">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889">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890">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891">
      <pivotArea dataOnly="0" labelOnly="1" fieldPosition="0">
        <references count="4">
          <reference field="1" count="1" selected="0">
            <x v="2"/>
          </reference>
          <reference field="2" count="0" selected="0"/>
          <reference field="4" count="1" selected="0">
            <x v="4"/>
          </reference>
          <reference field="8" count="1">
            <x v="21"/>
          </reference>
        </references>
      </pivotArea>
    </format>
    <format dxfId="892">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893">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894">
      <pivotArea dataOnly="0" labelOnly="1" fieldPosition="0">
        <references count="4">
          <reference field="1" count="1" selected="0">
            <x v="1"/>
          </reference>
          <reference field="2" count="0" selected="0"/>
          <reference field="4" count="1" selected="0">
            <x v="5"/>
          </reference>
          <reference field="8" count="1">
            <x v="4"/>
          </reference>
        </references>
      </pivotArea>
    </format>
    <format dxfId="895">
      <pivotArea dataOnly="0" labelOnly="1" fieldPosition="0">
        <references count="4">
          <reference field="1" count="1" selected="0">
            <x v="2"/>
          </reference>
          <reference field="2" count="0" selected="0"/>
          <reference field="4" count="1" selected="0">
            <x v="5"/>
          </reference>
          <reference field="8" count="1">
            <x v="21"/>
          </reference>
        </references>
      </pivotArea>
    </format>
    <format dxfId="896">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897">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898">
      <pivotArea outline="0" collapsedLevelsAreSubtotals="1" fieldPosition="0"/>
    </format>
    <format dxfId="899">
      <pivotArea field="2" type="button" dataOnly="0" labelOnly="1" outline="0" axis="axisRow" fieldPosition="0"/>
    </format>
    <format dxfId="900">
      <pivotArea type="topRight" dataOnly="0" labelOnly="1" outline="0" fieldPosition="0"/>
    </format>
    <format dxfId="901">
      <pivotArea dataOnly="0" labelOnly="1" fieldPosition="0">
        <references count="1">
          <reference field="2" count="5">
            <x v="0"/>
            <x v="3"/>
            <x v="19"/>
            <x v="20"/>
            <x v="22"/>
          </reference>
        </references>
      </pivotArea>
    </format>
    <format dxfId="902">
      <pivotArea dataOnly="0" labelOnly="1" grandCol="1" outline="0" fieldPosition="0"/>
    </format>
    <format dxfId="903">
      <pivotArea field="5" type="button" dataOnly="0" labelOnly="1" outline="0" axis="axisRow" fieldPosition="2"/>
    </format>
    <format dxfId="904">
      <pivotArea dataOnly="0" labelOnly="1" fieldPosition="0">
        <references count="1">
          <reference field="5" count="0"/>
        </references>
      </pivotArea>
    </format>
    <format dxfId="905">
      <pivotArea dataOnly="0" labelOnly="1" fieldPosition="0">
        <references count="2">
          <reference field="2" count="5">
            <x v="0"/>
            <x v="3"/>
            <x v="19"/>
            <x v="20"/>
            <x v="22"/>
          </reference>
          <reference field="5" count="0" selected="0"/>
        </references>
      </pivotArea>
    </format>
    <format dxfId="906">
      <pivotArea dataOnly="0" labelOnly="1" fieldPosition="0">
        <references count="3">
          <reference field="2" count="1" selected="0">
            <x v="0"/>
          </reference>
          <reference field="5" count="0" selected="0"/>
          <reference field="6" count="4">
            <x v="134"/>
            <x v="135"/>
            <x v="136"/>
            <x v="137"/>
          </reference>
        </references>
      </pivotArea>
    </format>
    <format dxfId="907">
      <pivotArea dataOnly="0" labelOnly="1" fieldPosition="0">
        <references count="3">
          <reference field="2" count="1" selected="0">
            <x v="3"/>
          </reference>
          <reference field="5" count="0" selected="0"/>
          <reference field="6" count="1">
            <x v="119"/>
          </reference>
        </references>
      </pivotArea>
    </format>
    <format dxfId="908">
      <pivotArea dataOnly="0" labelOnly="1" fieldPosition="0">
        <references count="3">
          <reference field="2" count="1" selected="0">
            <x v="19"/>
          </reference>
          <reference field="5" count="0" selected="0"/>
          <reference field="6" count="1">
            <x v="114"/>
          </reference>
        </references>
      </pivotArea>
    </format>
    <format dxfId="909">
      <pivotArea dataOnly="0" labelOnly="1" fieldPosition="0">
        <references count="3">
          <reference field="2" count="1" selected="0">
            <x v="20"/>
          </reference>
          <reference field="5" count="0" selected="0"/>
          <reference field="6" count="3">
            <x v="99"/>
            <x v="113"/>
            <x v="120"/>
          </reference>
        </references>
      </pivotArea>
    </format>
    <format dxfId="910">
      <pivotArea dataOnly="0" labelOnly="1" fieldPosition="0">
        <references count="3">
          <reference field="2" count="1" selected="0">
            <x v="22"/>
          </reference>
          <reference field="5" count="0" selected="0"/>
          <reference field="6" count="1">
            <x v="143"/>
          </reference>
        </references>
      </pivotArea>
    </format>
    <format dxfId="911">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912">
      <pivotArea dataOnly="0" labelOnly="1" fieldPosition="0">
        <references count="4">
          <reference field="2" count="1" selected="0">
            <x v="0"/>
          </reference>
          <reference field="5" count="0" selected="0"/>
          <reference field="6" count="1" selected="0">
            <x v="135"/>
          </reference>
          <reference field="8" count="1">
            <x v="10"/>
          </reference>
        </references>
      </pivotArea>
    </format>
    <format dxfId="913">
      <pivotArea dataOnly="0" labelOnly="1" fieldPosition="0">
        <references count="4">
          <reference field="2" count="1" selected="0">
            <x v="0"/>
          </reference>
          <reference field="5" count="0" selected="0"/>
          <reference field="6" count="1" selected="0">
            <x v="136"/>
          </reference>
          <reference field="8" count="1">
            <x v="21"/>
          </reference>
        </references>
      </pivotArea>
    </format>
    <format dxfId="914">
      <pivotArea dataOnly="0" labelOnly="1" fieldPosition="0">
        <references count="4">
          <reference field="2" count="1" selected="0">
            <x v="0"/>
          </reference>
          <reference field="5" count="0" selected="0"/>
          <reference field="6" count="1" selected="0">
            <x v="137"/>
          </reference>
          <reference field="8" count="1">
            <x v="16"/>
          </reference>
        </references>
      </pivotArea>
    </format>
    <format dxfId="915">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916">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917">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918">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919">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920">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921">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922">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923">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924">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925">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926">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927">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928">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929">
      <pivotArea collapsedLevelsAreSubtotals="1" fieldPosition="0">
        <references count="3">
          <reference field="4294967294" count="1" selected="0">
            <x v="0"/>
          </reference>
          <reference field="2" count="1">
            <x v="22"/>
          </reference>
          <reference field="5" count="0" selected="0"/>
        </references>
      </pivotArea>
    </format>
    <format dxfId="930">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931">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932">
      <pivotArea outline="0" collapsedLevelsAreSubtotals="1" fieldPosition="0">
        <references count="1">
          <reference field="4294967294" count="1" selected="0">
            <x v="0"/>
          </reference>
        </references>
      </pivotArea>
    </format>
    <format dxfId="93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54DC03-719F-471F-8CCF-3E16F99C870A}"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C34" firstHeaderRow="1" firstDataRow="2" firstDataCol="1" rowPageCount="2" colPageCount="1"/>
  <pivotFields count="20">
    <pivotField showAll="0"/>
    <pivotField axis="axisRow" showAll="0" defaultSubtotal="0">
      <items count="7">
        <item h="1" x="2"/>
        <item x="1"/>
        <item h="1" x="0"/>
        <item h="1" x="3"/>
        <item h="1" m="1" x="6"/>
        <item m="1" x="4"/>
        <item m="1" x="5"/>
      </items>
    </pivotField>
    <pivotField axis="axisPage"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Col" multipleItemSelectionAllowed="1" showAll="0">
      <items count="8">
        <item h="1" x="3"/>
        <item x="1"/>
        <item h="1" x="4"/>
        <item h="1" x="5"/>
        <item h="1" x="0"/>
        <item h="1" x="6"/>
        <item h="1" x="2"/>
        <item t="default"/>
      </items>
    </pivotField>
    <pivotField axis="axisRow" showAll="0">
      <items count="32">
        <item m="1" x="27"/>
        <item x="1"/>
        <item sd="0" x="6"/>
        <item x="7"/>
        <item sd="0" x="8"/>
        <item m="1" x="22"/>
        <item m="1" x="28"/>
        <item m="1" x="30"/>
        <item m="1" x="25"/>
        <item x="10"/>
        <item sd="0" x="9"/>
        <item m="1" x="26"/>
        <item x="3"/>
        <item x="11"/>
        <item x="0"/>
        <item x="2"/>
        <item x="4"/>
        <item x="14"/>
        <item sd="0" m="1" x="24"/>
        <item m="1" x="29"/>
        <item x="13"/>
        <item x="15"/>
        <item x="5"/>
        <item x="16"/>
        <item x="17"/>
        <item m="1" x="23"/>
        <item x="12"/>
        <item m="1" x="21"/>
        <item x="18"/>
        <item x="19"/>
        <item x="20"/>
        <item t="default"/>
      </items>
    </pivotField>
    <pivotField axis="axisRow" showAll="0" defaultSubtotal="0">
      <items count="186">
        <item x="71"/>
        <item x="59"/>
        <item x="44"/>
        <item x="47"/>
        <item sd="0" x="73"/>
        <item x="74"/>
        <item sd="0" x="72"/>
        <item sd="0" x="23"/>
        <item x="105"/>
        <item m="1" x="185"/>
        <item x="37"/>
        <item x="8"/>
        <item x="6"/>
        <item x="9"/>
        <item x="10"/>
        <item sd="0" x="28"/>
        <item x="103"/>
        <item m="1" x="165"/>
        <item sd="0" x="75"/>
        <item sd="0" x="29"/>
        <item sd="0" x="30"/>
        <item x="19"/>
        <item x="112"/>
        <item x="81"/>
        <item x="15"/>
        <item x="0"/>
        <item x="60"/>
        <item x="66"/>
        <item x="93"/>
        <item sd="0" x="25"/>
        <item x="69"/>
        <item x="70"/>
        <item x="4"/>
        <item m="1" x="178"/>
        <item x="12"/>
        <item x="31"/>
        <item sd="0" x="22"/>
        <item x="7"/>
        <item x="21"/>
        <item x="106"/>
        <item x="33"/>
        <item sd="0" x="5"/>
        <item x="3"/>
        <item x="92"/>
        <item x="63"/>
        <item x="97"/>
        <item x="38"/>
        <item x="39"/>
        <item x="46"/>
        <item m="1" x="181"/>
        <item m="1" x="182"/>
        <item m="1" x="180"/>
        <item x="82"/>
        <item x="67"/>
        <item x="94"/>
        <item x="100"/>
        <item sd="0" x="85"/>
        <item sd="0" x="86"/>
        <item x="95"/>
        <item x="102"/>
        <item x="104"/>
        <item x="96"/>
        <item x="88"/>
        <item x="79"/>
        <item x="80"/>
        <item x="1"/>
        <item x="61"/>
        <item x="119"/>
        <item x="121"/>
        <item x="122"/>
        <item x="110"/>
        <item x="89"/>
        <item x="91"/>
        <item x="90"/>
        <item x="87"/>
        <item x="101"/>
        <item x="107"/>
        <item x="26"/>
        <item sd="0" m="1" x="169"/>
        <item x="55"/>
        <item x="27"/>
        <item sd="0" x="14"/>
        <item m="1" x="171"/>
        <item m="1" x="170"/>
        <item x="83"/>
        <item sd="0" x="84"/>
        <item sd="0" x="98"/>
        <item sd="0" x="99"/>
        <item x="58"/>
        <item sd="0" x="109"/>
        <item sd="0" x="118"/>
        <item m="1" x="166"/>
        <item sd="0" x="111"/>
        <item sd="0" x="120"/>
        <item x="36"/>
        <item x="48"/>
        <item x="51"/>
        <item x="49"/>
        <item x="68"/>
        <item x="126"/>
        <item m="1" x="184"/>
        <item sd="0" x="62"/>
        <item m="1" x="179"/>
        <item x="43"/>
        <item x="42"/>
        <item x="114"/>
        <item sd="0"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h="1" x="19"/>
        <item h="1" x="27"/>
        <item h="1" x="5"/>
        <item h="1" x="4"/>
        <item h="1" x="3"/>
        <item h="1" x="17"/>
        <item h="1" x="26"/>
        <item h="1" x="11"/>
        <item h="1" x="6"/>
        <item x="2"/>
        <item x="9"/>
        <item x="7"/>
        <item h="1" m="1" x="49"/>
        <item h="1" m="1" x="50"/>
        <item h="1" m="1" x="48"/>
        <item h="1" x="10"/>
        <item h="1" x="8"/>
        <item h="1" x="14"/>
        <item h="1" m="1" x="52"/>
        <item h="1" m="1" x="53"/>
        <item h="1" x="25"/>
        <item h="1" x="1"/>
        <item h="1" x="18"/>
        <item h="1" x="22"/>
        <item h="1" m="1" x="54"/>
        <item h="1" x="16"/>
        <item h="1" m="1" x="40"/>
        <item h="1" x="32"/>
        <item h="1" m="1" x="47"/>
        <item h="1" x="31"/>
        <item h="1" m="1" x="51"/>
        <item h="1" x="15"/>
        <item h="1" x="20"/>
        <item h="1" m="1" x="43"/>
        <item h="1" x="23"/>
        <item h="1" x="28"/>
        <item h="1" x="21"/>
        <item h="1" x="33"/>
        <item h="1" x="34"/>
        <item h="1" x="35"/>
        <item h="1" x="36"/>
        <item h="1" m="1" x="44"/>
        <item h="1" x="37"/>
        <item h="1" m="1" x="45"/>
        <item h="1" m="1" x="46"/>
        <item h="1" x="38"/>
        <item h="1" x="0"/>
        <item h="1" m="1" x="41"/>
        <item h="1" x="12"/>
        <item h="1" x="13"/>
        <item h="1" m="1" x="42"/>
        <item h="1" x="24"/>
        <item h="1" x="30"/>
        <item h="1" x="29"/>
        <item h="1" x="39"/>
      </items>
    </pivotField>
    <pivotField showAll="0"/>
    <pivotField showAll="0"/>
    <pivotField axis="axisPage" dataField="1" multipleItemSelectionAllowed="1" showAll="0">
      <items count="81">
        <item h="1"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1"/>
    <field x="8"/>
    <field x="5"/>
    <field x="6"/>
  </rowFields>
  <rowItems count="27">
    <i>
      <x v="1"/>
    </i>
    <i r="1">
      <x v="9"/>
    </i>
    <i r="2">
      <x v="15"/>
    </i>
    <i r="3">
      <x v="12"/>
    </i>
    <i r="3">
      <x v="32"/>
    </i>
    <i r="1">
      <x v="10"/>
    </i>
    <i r="2">
      <x v="15"/>
    </i>
    <i r="3">
      <x v="32"/>
    </i>
    <i r="3">
      <x v="43"/>
    </i>
    <i r="3">
      <x v="114"/>
    </i>
    <i r="1">
      <x v="11"/>
    </i>
    <i r="2">
      <x v="3"/>
    </i>
    <i r="3">
      <x v="27"/>
    </i>
    <i r="2">
      <x v="12"/>
    </i>
    <i r="3">
      <x v="46"/>
    </i>
    <i r="3">
      <x v="123"/>
    </i>
    <i r="3">
      <x v="156"/>
    </i>
    <i r="2">
      <x v="15"/>
    </i>
    <i r="3">
      <x v="7"/>
    </i>
    <i r="3">
      <x v="107"/>
    </i>
    <i r="3">
      <x v="148"/>
    </i>
    <i r="2">
      <x v="16"/>
    </i>
    <i r="3">
      <x v="64"/>
    </i>
    <i r="3">
      <x v="90"/>
    </i>
    <i r="3">
      <x v="101"/>
    </i>
    <i r="2">
      <x v="20"/>
    </i>
    <i r="3">
      <x v="44"/>
    </i>
  </rowItems>
  <colFields count="1">
    <field x="4"/>
  </colFields>
  <colItems count="2">
    <i>
      <x v="1"/>
    </i>
    <i t="grand">
      <x/>
    </i>
  </colItems>
  <pageFields count="2">
    <pageField fld="11" hier="-1"/>
    <pageField fld="2" hier="-1"/>
  </pageFields>
  <dataFields count="1">
    <dataField name="QTY" fld="11" baseField="0" baseItem="0"/>
  </dataFields>
  <formats count="82">
    <format dxfId="772">
      <pivotArea type="origin" dataOnly="0" labelOnly="1" outline="0" fieldPosition="0"/>
    </format>
    <format dxfId="773">
      <pivotArea field="8" type="button" dataOnly="0" labelOnly="1" outline="0" axis="axisRow" fieldPosition="1"/>
    </format>
    <format dxfId="774">
      <pivotArea dataOnly="0" labelOnly="1" fieldPosition="0">
        <references count="1">
          <reference field="8" count="0"/>
        </references>
      </pivotArea>
    </format>
    <format dxfId="775">
      <pivotArea dataOnly="0" labelOnly="1" grandRow="1" outline="0" fieldPosition="0"/>
    </format>
    <format dxfId="776">
      <pivotArea dataOnly="0" labelOnly="1" grandCol="1" outline="0" fieldPosition="0"/>
    </format>
    <format dxfId="777">
      <pivotArea grandCol="1" outline="0" collapsedLevelsAreSubtotals="1" fieldPosition="0"/>
    </format>
    <format dxfId="778">
      <pivotArea outline="0" collapsedLevelsAreSubtotals="1" fieldPosition="0"/>
    </format>
    <format dxfId="779">
      <pivotArea dataOnly="0" labelOnly="1" outline="0" fieldPosition="0">
        <references count="1">
          <reference field="4" count="0"/>
        </references>
      </pivotArea>
    </format>
    <format dxfId="780">
      <pivotArea type="topRight" dataOnly="0" labelOnly="1" outline="0" fieldPosition="0"/>
    </format>
    <format dxfId="781">
      <pivotArea dataOnly="0" labelOnly="1" grandCol="1" outline="0" fieldPosition="0"/>
    </format>
    <format dxfId="782">
      <pivotArea dataOnly="0" labelOnly="1" outline="0" fieldPosition="0">
        <references count="1">
          <reference field="4" count="0"/>
        </references>
      </pivotArea>
    </format>
    <format dxfId="783">
      <pivotArea dataOnly="0" labelOnly="1" fieldPosition="0">
        <references count="1">
          <reference field="2" count="0"/>
        </references>
      </pivotArea>
    </format>
    <format dxfId="784">
      <pivotArea dataOnly="0" labelOnly="1" fieldPosition="0">
        <references count="2">
          <reference field="2" count="0" selected="0"/>
          <reference field="4" count="0"/>
        </references>
      </pivotArea>
    </format>
    <format dxfId="785">
      <pivotArea dataOnly="0" labelOnly="1" fieldPosition="0">
        <references count="3">
          <reference field="1" count="4">
            <x v="0"/>
            <x v="1"/>
            <x v="2"/>
            <x v="3"/>
          </reference>
          <reference field="2" count="0" selected="0"/>
          <reference field="4" count="1" selected="0">
            <x v="0"/>
          </reference>
        </references>
      </pivotArea>
    </format>
    <format dxfId="786">
      <pivotArea dataOnly="0" labelOnly="1" fieldPosition="0">
        <references count="3">
          <reference field="1" count="4">
            <x v="0"/>
            <x v="1"/>
            <x v="2"/>
            <x v="3"/>
          </reference>
          <reference field="2" count="0" selected="0"/>
          <reference field="4" count="1" selected="0">
            <x v="1"/>
          </reference>
        </references>
      </pivotArea>
    </format>
    <format dxfId="787">
      <pivotArea dataOnly="0" labelOnly="1" fieldPosition="0">
        <references count="3">
          <reference field="1" count="4">
            <x v="0"/>
            <x v="1"/>
            <x v="2"/>
            <x v="3"/>
          </reference>
          <reference field="2" count="0" selected="0"/>
          <reference field="4" count="1" selected="0">
            <x v="2"/>
          </reference>
        </references>
      </pivotArea>
    </format>
    <format dxfId="788">
      <pivotArea dataOnly="0" labelOnly="1" fieldPosition="0">
        <references count="3">
          <reference field="1" count="4">
            <x v="0"/>
            <x v="1"/>
            <x v="2"/>
            <x v="3"/>
          </reference>
          <reference field="2" count="0" selected="0"/>
          <reference field="4" count="1" selected="0">
            <x v="3"/>
          </reference>
        </references>
      </pivotArea>
    </format>
    <format dxfId="789">
      <pivotArea dataOnly="0" labelOnly="1" fieldPosition="0">
        <references count="3">
          <reference field="1" count="4">
            <x v="0"/>
            <x v="1"/>
            <x v="2"/>
            <x v="3"/>
          </reference>
          <reference field="2" count="0" selected="0"/>
          <reference field="4" count="1" selected="0">
            <x v="4"/>
          </reference>
        </references>
      </pivotArea>
    </format>
    <format dxfId="790">
      <pivotArea dataOnly="0" labelOnly="1" fieldPosition="0">
        <references count="3">
          <reference field="1" count="0"/>
          <reference field="2" count="0" selected="0"/>
          <reference field="4" count="1" selected="0">
            <x v="5"/>
          </reference>
        </references>
      </pivotArea>
    </format>
    <format dxfId="791">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792">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793">
      <pivotArea dataOnly="0" labelOnly="1" fieldPosition="0">
        <references count="4">
          <reference field="1" count="1" selected="0">
            <x v="2"/>
          </reference>
          <reference field="2" count="0" selected="0"/>
          <reference field="4" count="1" selected="0">
            <x v="0"/>
          </reference>
          <reference field="8" count="1">
            <x v="21"/>
          </reference>
        </references>
      </pivotArea>
    </format>
    <format dxfId="794">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795">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796">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797">
      <pivotArea dataOnly="0" labelOnly="1" fieldPosition="0">
        <references count="4">
          <reference field="1" count="1" selected="0">
            <x v="2"/>
          </reference>
          <reference field="2" count="0" selected="0"/>
          <reference field="4" count="1" selected="0">
            <x v="1"/>
          </reference>
          <reference field="8" count="1">
            <x v="21"/>
          </reference>
        </references>
      </pivotArea>
    </format>
    <format dxfId="798">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799">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800">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801">
      <pivotArea dataOnly="0" labelOnly="1" fieldPosition="0">
        <references count="4">
          <reference field="1" count="1" selected="0">
            <x v="2"/>
          </reference>
          <reference field="2" count="0" selected="0"/>
          <reference field="4" count="1" selected="0">
            <x v="2"/>
          </reference>
          <reference field="8" count="1">
            <x v="21"/>
          </reference>
        </references>
      </pivotArea>
    </format>
    <format dxfId="802">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803">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804">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805">
      <pivotArea dataOnly="0" labelOnly="1" fieldPosition="0">
        <references count="4">
          <reference field="1" count="1" selected="0">
            <x v="2"/>
          </reference>
          <reference field="2" count="0" selected="0"/>
          <reference field="4" count="1" selected="0">
            <x v="3"/>
          </reference>
          <reference field="8" count="1">
            <x v="21"/>
          </reference>
        </references>
      </pivotArea>
    </format>
    <format dxfId="806">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807">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808">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809">
      <pivotArea dataOnly="0" labelOnly="1" fieldPosition="0">
        <references count="4">
          <reference field="1" count="1" selected="0">
            <x v="2"/>
          </reference>
          <reference field="2" count="0" selected="0"/>
          <reference field="4" count="1" selected="0">
            <x v="4"/>
          </reference>
          <reference field="8" count="1">
            <x v="21"/>
          </reference>
        </references>
      </pivotArea>
    </format>
    <format dxfId="810">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811">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812">
      <pivotArea dataOnly="0" labelOnly="1" fieldPosition="0">
        <references count="4">
          <reference field="1" count="1" selected="0">
            <x v="1"/>
          </reference>
          <reference field="2" count="0" selected="0"/>
          <reference field="4" count="1" selected="0">
            <x v="5"/>
          </reference>
          <reference field="8" count="1">
            <x v="4"/>
          </reference>
        </references>
      </pivotArea>
    </format>
    <format dxfId="813">
      <pivotArea dataOnly="0" labelOnly="1" fieldPosition="0">
        <references count="4">
          <reference field="1" count="1" selected="0">
            <x v="2"/>
          </reference>
          <reference field="2" count="0" selected="0"/>
          <reference field="4" count="1" selected="0">
            <x v="5"/>
          </reference>
          <reference field="8" count="1">
            <x v="21"/>
          </reference>
        </references>
      </pivotArea>
    </format>
    <format dxfId="814">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815">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816">
      <pivotArea outline="0" collapsedLevelsAreSubtotals="1" fieldPosition="0"/>
    </format>
    <format dxfId="817">
      <pivotArea field="2" type="button" dataOnly="0" labelOnly="1" outline="0" axis="axisPage" fieldPosition="1"/>
    </format>
    <format dxfId="818">
      <pivotArea type="topRight" dataOnly="0" labelOnly="1" outline="0" fieldPosition="0"/>
    </format>
    <format dxfId="819">
      <pivotArea dataOnly="0" labelOnly="1" fieldPosition="0">
        <references count="1">
          <reference field="2" count="5">
            <x v="0"/>
            <x v="3"/>
            <x v="19"/>
            <x v="20"/>
            <x v="22"/>
          </reference>
        </references>
      </pivotArea>
    </format>
    <format dxfId="820">
      <pivotArea dataOnly="0" labelOnly="1" grandCol="1" outline="0" fieldPosition="0"/>
    </format>
    <format dxfId="821">
      <pivotArea field="5" type="button" dataOnly="0" labelOnly="1" outline="0" axis="axisRow" fieldPosition="2"/>
    </format>
    <format dxfId="822">
      <pivotArea dataOnly="0" labelOnly="1" fieldPosition="0">
        <references count="1">
          <reference field="5" count="0"/>
        </references>
      </pivotArea>
    </format>
    <format dxfId="823">
      <pivotArea dataOnly="0" labelOnly="1" fieldPosition="0">
        <references count="2">
          <reference field="2" count="5">
            <x v="0"/>
            <x v="3"/>
            <x v="19"/>
            <x v="20"/>
            <x v="22"/>
          </reference>
          <reference field="5" count="0" selected="0"/>
        </references>
      </pivotArea>
    </format>
    <format dxfId="824">
      <pivotArea dataOnly="0" labelOnly="1" fieldPosition="0">
        <references count="3">
          <reference field="2" count="1" selected="0">
            <x v="0"/>
          </reference>
          <reference field="5" count="0" selected="0"/>
          <reference field="6" count="4">
            <x v="134"/>
            <x v="135"/>
            <x v="136"/>
            <x v="137"/>
          </reference>
        </references>
      </pivotArea>
    </format>
    <format dxfId="825">
      <pivotArea dataOnly="0" labelOnly="1" fieldPosition="0">
        <references count="3">
          <reference field="2" count="1" selected="0">
            <x v="3"/>
          </reference>
          <reference field="5" count="0" selected="0"/>
          <reference field="6" count="1">
            <x v="119"/>
          </reference>
        </references>
      </pivotArea>
    </format>
    <format dxfId="826">
      <pivotArea dataOnly="0" labelOnly="1" fieldPosition="0">
        <references count="3">
          <reference field="2" count="1" selected="0">
            <x v="19"/>
          </reference>
          <reference field="5" count="0" selected="0"/>
          <reference field="6" count="1">
            <x v="114"/>
          </reference>
        </references>
      </pivotArea>
    </format>
    <format dxfId="827">
      <pivotArea dataOnly="0" labelOnly="1" fieldPosition="0">
        <references count="3">
          <reference field="2" count="1" selected="0">
            <x v="20"/>
          </reference>
          <reference field="5" count="0" selected="0"/>
          <reference field="6" count="3">
            <x v="99"/>
            <x v="113"/>
            <x v="120"/>
          </reference>
        </references>
      </pivotArea>
    </format>
    <format dxfId="828">
      <pivotArea dataOnly="0" labelOnly="1" fieldPosition="0">
        <references count="3">
          <reference field="2" count="1" selected="0">
            <x v="22"/>
          </reference>
          <reference field="5" count="0" selected="0"/>
          <reference field="6" count="1">
            <x v="143"/>
          </reference>
        </references>
      </pivotArea>
    </format>
    <format dxfId="829">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830">
      <pivotArea dataOnly="0" labelOnly="1" fieldPosition="0">
        <references count="4">
          <reference field="2" count="1" selected="0">
            <x v="0"/>
          </reference>
          <reference field="5" count="0" selected="0"/>
          <reference field="6" count="1" selected="0">
            <x v="135"/>
          </reference>
          <reference field="8" count="1">
            <x v="10"/>
          </reference>
        </references>
      </pivotArea>
    </format>
    <format dxfId="831">
      <pivotArea dataOnly="0" labelOnly="1" fieldPosition="0">
        <references count="4">
          <reference field="2" count="1" selected="0">
            <x v="0"/>
          </reference>
          <reference field="5" count="0" selected="0"/>
          <reference field="6" count="1" selected="0">
            <x v="136"/>
          </reference>
          <reference field="8" count="1">
            <x v="21"/>
          </reference>
        </references>
      </pivotArea>
    </format>
    <format dxfId="832">
      <pivotArea dataOnly="0" labelOnly="1" fieldPosition="0">
        <references count="4">
          <reference field="2" count="1" selected="0">
            <x v="0"/>
          </reference>
          <reference field="5" count="0" selected="0"/>
          <reference field="6" count="1" selected="0">
            <x v="137"/>
          </reference>
          <reference field="8" count="1">
            <x v="16"/>
          </reference>
        </references>
      </pivotArea>
    </format>
    <format dxfId="833">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834">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835">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836">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837">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838">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839">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840">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841">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842">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843">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844">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845">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846">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847">
      <pivotArea collapsedLevelsAreSubtotals="1" fieldPosition="0">
        <references count="3">
          <reference field="4294967294" count="1" selected="0">
            <x v="0"/>
          </reference>
          <reference field="2" count="1">
            <x v="22"/>
          </reference>
          <reference field="5" count="0" selected="0"/>
        </references>
      </pivotArea>
    </format>
    <format dxfId="848">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849">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850">
      <pivotArea dataOnly="0" labelOnly="1" fieldPosition="0">
        <references count="2">
          <reference field="1" count="1" selected="0">
            <x v="2"/>
          </reference>
          <reference field="5" count="1">
            <x v="2"/>
          </reference>
        </references>
      </pivotArea>
    </format>
    <format dxfId="851">
      <pivotArea dataOnly="0" labelOnly="1" fieldPosition="0">
        <references count="2">
          <reference field="1" count="1" selected="0">
            <x v="2"/>
          </reference>
          <reference field="5" count="1">
            <x v="4"/>
          </reference>
        </references>
      </pivotArea>
    </format>
    <format dxfId="852">
      <pivotArea dataOnly="0" labelOnly="1" fieldPosition="0">
        <references count="2">
          <reference field="1" count="1" selected="0">
            <x v="2"/>
          </reference>
          <reference field="5" count="1">
            <x v="16"/>
          </reference>
        </references>
      </pivotArea>
    </format>
    <format dxfId="853">
      <pivotArea dataOnly="0" labelOnly="1" fieldPosition="0">
        <references count="2">
          <reference field="1" count="1" selected="0">
            <x v="2"/>
          </reference>
          <reference field="5"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2A0FF3-504B-4EFF-97B3-B140DC7485CE}"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C76" firstHeaderRow="0" firstDataRow="1" firstDataCol="1" rowPageCount="3" colPageCount="1"/>
  <pivotFields count="20">
    <pivotField showAll="0"/>
    <pivotField axis="axisRow" showAll="0" defaultSubtotal="0">
      <items count="7">
        <item x="2"/>
        <item x="1"/>
        <item x="0"/>
        <item x="3"/>
        <item m="1" x="6"/>
        <item m="1" x="4"/>
        <item m="1" x="5"/>
      </items>
    </pivotField>
    <pivotField axis="axisPage"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Page" multipleItemSelectionAllowed="1" showAll="0">
      <items count="8">
        <item x="3"/>
        <item x="1"/>
        <item x="4"/>
        <item x="5"/>
        <item x="0"/>
        <item x="6"/>
        <item x="2"/>
        <item t="default"/>
      </items>
    </pivotField>
    <pivotField axis="axisRow" showAll="0" defaultSubtotal="0">
      <items count="31">
        <item h="1" m="1" x="27"/>
        <item h="1" x="1"/>
        <item h="1" x="6"/>
        <item h="1" x="7"/>
        <item h="1" x="8"/>
        <item h="1" m="1" x="22"/>
        <item h="1" m="1" x="28"/>
        <item h="1" m="1" x="30"/>
        <item h="1" m="1" x="25"/>
        <item h="1" x="10"/>
        <item h="1" x="9"/>
        <item h="1" m="1" x="26"/>
        <item h="1" x="3"/>
        <item h="1" x="11"/>
        <item h="1" x="0"/>
        <item h="1" x="2"/>
        <item h="1" x="4"/>
        <item h="1" x="14"/>
        <item h="1" m="1" x="24"/>
        <item h="1" m="1" x="29"/>
        <item h="1" x="13"/>
        <item x="15"/>
        <item h="1" x="5"/>
        <item h="1" x="16"/>
        <item h="1" x="17"/>
        <item h="1" m="1" x="23"/>
        <item h="1" x="12"/>
        <item h="1" m="1" x="21"/>
        <item h="1" x="18"/>
        <item h="1" x="19"/>
        <item h="1"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dataField="1"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h="1" x="38"/>
        <item h="1" x="13"/>
        <item h="1" x="12"/>
        <item h="1"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1"/>
    <field x="8"/>
    <field x="5"/>
    <field x="6"/>
  </rowFields>
  <rowItems count="70">
    <i>
      <x/>
    </i>
    <i r="1">
      <x/>
    </i>
    <i r="2">
      <x v="21"/>
    </i>
    <i r="3">
      <x v="120"/>
    </i>
    <i r="1">
      <x v="1"/>
    </i>
    <i r="2">
      <x v="21"/>
    </i>
    <i r="3">
      <x v="113"/>
    </i>
    <i r="1">
      <x v="2"/>
    </i>
    <i r="2">
      <x v="21"/>
    </i>
    <i r="3">
      <x v="99"/>
    </i>
    <i r="3">
      <x v="113"/>
    </i>
    <i r="3">
      <x v="114"/>
    </i>
    <i r="1">
      <x v="16"/>
    </i>
    <i r="2">
      <x v="21"/>
    </i>
    <i r="3">
      <x v="113"/>
    </i>
    <i r="3">
      <x v="120"/>
    </i>
    <i r="3">
      <x v="137"/>
    </i>
    <i>
      <x v="1"/>
    </i>
    <i r="1">
      <x v="3"/>
    </i>
    <i r="2">
      <x v="21"/>
    </i>
    <i r="3">
      <x v="99"/>
    </i>
    <i r="3">
      <x v="119"/>
    </i>
    <i r="3">
      <x v="134"/>
    </i>
    <i r="1">
      <x v="4"/>
    </i>
    <i r="2">
      <x v="21"/>
    </i>
    <i r="3">
      <x v="99"/>
    </i>
    <i r="3">
      <x v="113"/>
    </i>
    <i r="3">
      <x v="119"/>
    </i>
    <i r="3">
      <x v="120"/>
    </i>
    <i r="3">
      <x v="134"/>
    </i>
    <i r="1">
      <x v="5"/>
    </i>
    <i r="2">
      <x v="21"/>
    </i>
    <i r="3">
      <x v="99"/>
    </i>
    <i r="3">
      <x v="113"/>
    </i>
    <i r="3">
      <x v="114"/>
    </i>
    <i r="1">
      <x v="10"/>
    </i>
    <i r="2">
      <x v="21"/>
    </i>
    <i r="3">
      <x v="113"/>
    </i>
    <i r="3">
      <x v="114"/>
    </i>
    <i r="3">
      <x v="135"/>
    </i>
    <i r="1">
      <x v="11"/>
    </i>
    <i r="2">
      <x v="21"/>
    </i>
    <i r="3">
      <x v="99"/>
    </i>
    <i r="3">
      <x v="134"/>
    </i>
    <i r="3">
      <x v="143"/>
    </i>
    <i r="3">
      <x v="147"/>
    </i>
    <i r="1">
      <x v="29"/>
    </i>
    <i r="2">
      <x v="21"/>
    </i>
    <i r="3">
      <x v="134"/>
    </i>
    <i r="1">
      <x v="36"/>
    </i>
    <i r="2">
      <x v="21"/>
    </i>
    <i r="3">
      <x v="113"/>
    </i>
    <i r="3">
      <x v="134"/>
    </i>
    <i>
      <x v="2"/>
    </i>
    <i r="1">
      <x v="8"/>
    </i>
    <i r="2">
      <x v="21"/>
    </i>
    <i r="3">
      <x v="113"/>
    </i>
    <i r="1">
      <x v="21"/>
    </i>
    <i r="2">
      <x v="21"/>
    </i>
    <i r="3">
      <x v="99"/>
    </i>
    <i r="3">
      <x v="113"/>
    </i>
    <i r="3">
      <x v="114"/>
    </i>
    <i r="3">
      <x v="119"/>
    </i>
    <i r="3">
      <x v="120"/>
    </i>
    <i r="3">
      <x v="136"/>
    </i>
    <i>
      <x v="3"/>
    </i>
    <i r="1">
      <x v="32"/>
    </i>
    <i r="2">
      <x v="21"/>
    </i>
    <i r="3">
      <x v="113"/>
    </i>
    <i r="3">
      <x v="120"/>
    </i>
  </rowItems>
  <colFields count="1">
    <field x="-2"/>
  </colFields>
  <colItems count="2">
    <i>
      <x/>
    </i>
    <i i="1">
      <x v="1"/>
    </i>
  </colItems>
  <pageFields count="3">
    <pageField fld="4" hier="-1"/>
    <pageField fld="11" hier="-1"/>
    <pageField fld="2" hier="-1"/>
  </pageFields>
  <dataFields count="2">
    <dataField name="QTY" fld="11" baseField="0" baseItem="0"/>
    <dataField name="Not available" fld="10" baseField="0" baseItem="0"/>
  </dataFields>
  <formats count="79">
    <format dxfId="693">
      <pivotArea type="origin" dataOnly="0" labelOnly="1" outline="0" fieldPosition="0"/>
    </format>
    <format dxfId="694">
      <pivotArea field="8" type="button" dataOnly="0" labelOnly="1" outline="0" axis="axisRow" fieldPosition="1"/>
    </format>
    <format dxfId="695">
      <pivotArea dataOnly="0" labelOnly="1" fieldPosition="0">
        <references count="1">
          <reference field="8" count="0"/>
        </references>
      </pivotArea>
    </format>
    <format dxfId="696">
      <pivotArea dataOnly="0" labelOnly="1" grandRow="1" outline="0" fieldPosition="0"/>
    </format>
    <format dxfId="697">
      <pivotArea dataOnly="0" labelOnly="1" grandCol="1" outline="0" fieldPosition="0"/>
    </format>
    <format dxfId="698">
      <pivotArea grandCol="1" outline="0" collapsedLevelsAreSubtotals="1" fieldPosition="0"/>
    </format>
    <format dxfId="699">
      <pivotArea outline="0" collapsedLevelsAreSubtotals="1" fieldPosition="0"/>
    </format>
    <format dxfId="700">
      <pivotArea dataOnly="0" labelOnly="1" outline="0" fieldPosition="0">
        <references count="1">
          <reference field="4" count="0"/>
        </references>
      </pivotArea>
    </format>
    <format dxfId="701">
      <pivotArea type="topRight" dataOnly="0" labelOnly="1" outline="0" fieldPosition="0"/>
    </format>
    <format dxfId="702">
      <pivotArea dataOnly="0" labelOnly="1" grandCol="1" outline="0" fieldPosition="0"/>
    </format>
    <format dxfId="703">
      <pivotArea dataOnly="0" labelOnly="1" outline="0" fieldPosition="0">
        <references count="1">
          <reference field="4" count="0"/>
        </references>
      </pivotArea>
    </format>
    <format dxfId="704">
      <pivotArea dataOnly="0" labelOnly="1" fieldPosition="0">
        <references count="1">
          <reference field="2" count="0"/>
        </references>
      </pivotArea>
    </format>
    <format dxfId="705">
      <pivotArea dataOnly="0" labelOnly="1" fieldPosition="0">
        <references count="2">
          <reference field="2" count="0" selected="0"/>
          <reference field="4" count="0"/>
        </references>
      </pivotArea>
    </format>
    <format dxfId="706">
      <pivotArea dataOnly="0" labelOnly="1" fieldPosition="0">
        <references count="3">
          <reference field="1" count="4">
            <x v="0"/>
            <x v="1"/>
            <x v="2"/>
            <x v="3"/>
          </reference>
          <reference field="2" count="0" selected="0"/>
          <reference field="4" count="1" selected="0">
            <x v="0"/>
          </reference>
        </references>
      </pivotArea>
    </format>
    <format dxfId="707">
      <pivotArea dataOnly="0" labelOnly="1" fieldPosition="0">
        <references count="3">
          <reference field="1" count="4">
            <x v="0"/>
            <x v="1"/>
            <x v="2"/>
            <x v="3"/>
          </reference>
          <reference field="2" count="0" selected="0"/>
          <reference field="4" count="1" selected="0">
            <x v="1"/>
          </reference>
        </references>
      </pivotArea>
    </format>
    <format dxfId="708">
      <pivotArea dataOnly="0" labelOnly="1" fieldPosition="0">
        <references count="3">
          <reference field="1" count="4">
            <x v="0"/>
            <x v="1"/>
            <x v="2"/>
            <x v="3"/>
          </reference>
          <reference field="2" count="0" selected="0"/>
          <reference field="4" count="1" selected="0">
            <x v="2"/>
          </reference>
        </references>
      </pivotArea>
    </format>
    <format dxfId="709">
      <pivotArea dataOnly="0" labelOnly="1" fieldPosition="0">
        <references count="3">
          <reference field="1" count="4">
            <x v="0"/>
            <x v="1"/>
            <x v="2"/>
            <x v="3"/>
          </reference>
          <reference field="2" count="0" selected="0"/>
          <reference field="4" count="1" selected="0">
            <x v="3"/>
          </reference>
        </references>
      </pivotArea>
    </format>
    <format dxfId="710">
      <pivotArea dataOnly="0" labelOnly="1" fieldPosition="0">
        <references count="3">
          <reference field="1" count="4">
            <x v="0"/>
            <x v="1"/>
            <x v="2"/>
            <x v="3"/>
          </reference>
          <reference field="2" count="0" selected="0"/>
          <reference field="4" count="1" selected="0">
            <x v="4"/>
          </reference>
        </references>
      </pivotArea>
    </format>
    <format dxfId="711">
      <pivotArea dataOnly="0" labelOnly="1" fieldPosition="0">
        <references count="3">
          <reference field="1" count="0"/>
          <reference field="2" count="0" selected="0"/>
          <reference field="4" count="1" selected="0">
            <x v="5"/>
          </reference>
        </references>
      </pivotArea>
    </format>
    <format dxfId="712">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713">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714">
      <pivotArea dataOnly="0" labelOnly="1" fieldPosition="0">
        <references count="4">
          <reference field="1" count="1" selected="0">
            <x v="2"/>
          </reference>
          <reference field="2" count="0" selected="0"/>
          <reference field="4" count="1" selected="0">
            <x v="0"/>
          </reference>
          <reference field="8" count="1">
            <x v="21"/>
          </reference>
        </references>
      </pivotArea>
    </format>
    <format dxfId="715">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716">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717">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718">
      <pivotArea dataOnly="0" labelOnly="1" fieldPosition="0">
        <references count="4">
          <reference field="1" count="1" selected="0">
            <x v="2"/>
          </reference>
          <reference field="2" count="0" selected="0"/>
          <reference field="4" count="1" selected="0">
            <x v="1"/>
          </reference>
          <reference field="8" count="1">
            <x v="21"/>
          </reference>
        </references>
      </pivotArea>
    </format>
    <format dxfId="719">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720">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721">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722">
      <pivotArea dataOnly="0" labelOnly="1" fieldPosition="0">
        <references count="4">
          <reference field="1" count="1" selected="0">
            <x v="2"/>
          </reference>
          <reference field="2" count="0" selected="0"/>
          <reference field="4" count="1" selected="0">
            <x v="2"/>
          </reference>
          <reference field="8" count="1">
            <x v="21"/>
          </reference>
        </references>
      </pivotArea>
    </format>
    <format dxfId="723">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724">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725">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726">
      <pivotArea dataOnly="0" labelOnly="1" fieldPosition="0">
        <references count="4">
          <reference field="1" count="1" selected="0">
            <x v="2"/>
          </reference>
          <reference field="2" count="0" selected="0"/>
          <reference field="4" count="1" selected="0">
            <x v="3"/>
          </reference>
          <reference field="8" count="1">
            <x v="21"/>
          </reference>
        </references>
      </pivotArea>
    </format>
    <format dxfId="727">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728">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729">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730">
      <pivotArea dataOnly="0" labelOnly="1" fieldPosition="0">
        <references count="4">
          <reference field="1" count="1" selected="0">
            <x v="2"/>
          </reference>
          <reference field="2" count="0" selected="0"/>
          <reference field="4" count="1" selected="0">
            <x v="4"/>
          </reference>
          <reference field="8" count="1">
            <x v="21"/>
          </reference>
        </references>
      </pivotArea>
    </format>
    <format dxfId="731">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732">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733">
      <pivotArea dataOnly="0" labelOnly="1" fieldPosition="0">
        <references count="4">
          <reference field="1" count="1" selected="0">
            <x v="1"/>
          </reference>
          <reference field="2" count="0" selected="0"/>
          <reference field="4" count="1" selected="0">
            <x v="5"/>
          </reference>
          <reference field="8" count="1">
            <x v="4"/>
          </reference>
        </references>
      </pivotArea>
    </format>
    <format dxfId="734">
      <pivotArea dataOnly="0" labelOnly="1" fieldPosition="0">
        <references count="4">
          <reference field="1" count="1" selected="0">
            <x v="2"/>
          </reference>
          <reference field="2" count="0" selected="0"/>
          <reference field="4" count="1" selected="0">
            <x v="5"/>
          </reference>
          <reference field="8" count="1">
            <x v="21"/>
          </reference>
        </references>
      </pivotArea>
    </format>
    <format dxfId="735">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736">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737">
      <pivotArea outline="0" collapsedLevelsAreSubtotals="1" fieldPosition="0"/>
    </format>
    <format dxfId="738">
      <pivotArea field="2" type="button" dataOnly="0" labelOnly="1" outline="0" axis="axisPage" fieldPosition="2"/>
    </format>
    <format dxfId="739">
      <pivotArea type="topRight" dataOnly="0" labelOnly="1" outline="0" fieldPosition="0"/>
    </format>
    <format dxfId="740">
      <pivotArea dataOnly="0" labelOnly="1" fieldPosition="0">
        <references count="1">
          <reference field="2" count="5">
            <x v="0"/>
            <x v="3"/>
            <x v="19"/>
            <x v="20"/>
            <x v="22"/>
          </reference>
        </references>
      </pivotArea>
    </format>
    <format dxfId="741">
      <pivotArea dataOnly="0" labelOnly="1" grandCol="1" outline="0" fieldPosition="0"/>
    </format>
    <format dxfId="742">
      <pivotArea field="5" type="button" dataOnly="0" labelOnly="1" outline="0" axis="axisRow" fieldPosition="2"/>
    </format>
    <format dxfId="743">
      <pivotArea dataOnly="0" labelOnly="1" fieldPosition="0">
        <references count="1">
          <reference field="5" count="0"/>
        </references>
      </pivotArea>
    </format>
    <format dxfId="744">
      <pivotArea dataOnly="0" labelOnly="1" fieldPosition="0">
        <references count="2">
          <reference field="2" count="5">
            <x v="0"/>
            <x v="3"/>
            <x v="19"/>
            <x v="20"/>
            <x v="22"/>
          </reference>
          <reference field="5" count="0" selected="0"/>
        </references>
      </pivotArea>
    </format>
    <format dxfId="745">
      <pivotArea dataOnly="0" labelOnly="1" fieldPosition="0">
        <references count="3">
          <reference field="2" count="1" selected="0">
            <x v="0"/>
          </reference>
          <reference field="5" count="0" selected="0"/>
          <reference field="6" count="4">
            <x v="134"/>
            <x v="135"/>
            <x v="136"/>
            <x v="137"/>
          </reference>
        </references>
      </pivotArea>
    </format>
    <format dxfId="746">
      <pivotArea dataOnly="0" labelOnly="1" fieldPosition="0">
        <references count="3">
          <reference field="2" count="1" selected="0">
            <x v="3"/>
          </reference>
          <reference field="5" count="0" selected="0"/>
          <reference field="6" count="1">
            <x v="119"/>
          </reference>
        </references>
      </pivotArea>
    </format>
    <format dxfId="747">
      <pivotArea dataOnly="0" labelOnly="1" fieldPosition="0">
        <references count="3">
          <reference field="2" count="1" selected="0">
            <x v="19"/>
          </reference>
          <reference field="5" count="0" selected="0"/>
          <reference field="6" count="1">
            <x v="114"/>
          </reference>
        </references>
      </pivotArea>
    </format>
    <format dxfId="748">
      <pivotArea dataOnly="0" labelOnly="1" fieldPosition="0">
        <references count="3">
          <reference field="2" count="1" selected="0">
            <x v="20"/>
          </reference>
          <reference field="5" count="0" selected="0"/>
          <reference field="6" count="3">
            <x v="99"/>
            <x v="113"/>
            <x v="120"/>
          </reference>
        </references>
      </pivotArea>
    </format>
    <format dxfId="749">
      <pivotArea dataOnly="0" labelOnly="1" fieldPosition="0">
        <references count="3">
          <reference field="2" count="1" selected="0">
            <x v="22"/>
          </reference>
          <reference field="5" count="0" selected="0"/>
          <reference field="6" count="1">
            <x v="143"/>
          </reference>
        </references>
      </pivotArea>
    </format>
    <format dxfId="750">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751">
      <pivotArea dataOnly="0" labelOnly="1" fieldPosition="0">
        <references count="4">
          <reference field="2" count="1" selected="0">
            <x v="0"/>
          </reference>
          <reference field="5" count="0" selected="0"/>
          <reference field="6" count="1" selected="0">
            <x v="135"/>
          </reference>
          <reference field="8" count="1">
            <x v="10"/>
          </reference>
        </references>
      </pivotArea>
    </format>
    <format dxfId="752">
      <pivotArea dataOnly="0" labelOnly="1" fieldPosition="0">
        <references count="4">
          <reference field="2" count="1" selected="0">
            <x v="0"/>
          </reference>
          <reference field="5" count="0" selected="0"/>
          <reference field="6" count="1" selected="0">
            <x v="136"/>
          </reference>
          <reference field="8" count="1">
            <x v="21"/>
          </reference>
        </references>
      </pivotArea>
    </format>
    <format dxfId="753">
      <pivotArea dataOnly="0" labelOnly="1" fieldPosition="0">
        <references count="4">
          <reference field="2" count="1" selected="0">
            <x v="0"/>
          </reference>
          <reference field="5" count="0" selected="0"/>
          <reference field="6" count="1" selected="0">
            <x v="137"/>
          </reference>
          <reference field="8" count="1">
            <x v="16"/>
          </reference>
        </references>
      </pivotArea>
    </format>
    <format dxfId="754">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755">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756">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757">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758">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759">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760">
      <pivotArea dataOnly="0" labelOnly="1" outline="0" fieldPosition="0">
        <references count="1">
          <reference field="4294967294" count="1">
            <x v="1"/>
          </reference>
        </references>
      </pivotArea>
    </format>
    <format dxfId="761">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762">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763">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764">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765">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766">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767">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768">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769">
      <pivotArea collapsedLevelsAreSubtotals="1" fieldPosition="0">
        <references count="3">
          <reference field="4294967294" count="1" selected="0">
            <x v="0"/>
          </reference>
          <reference field="2" count="1">
            <x v="22"/>
          </reference>
          <reference field="5" count="0" selected="0"/>
        </references>
      </pivotArea>
    </format>
    <format dxfId="770">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771">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6B61B1-1F4E-4113-A8A9-598ABB1DE733}"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Q28" firstHeaderRow="1" firstDataRow="3" firstDataCol="1" rowPageCount="3" colPageCount="1"/>
  <pivotFields count="20">
    <pivotField showAll="0"/>
    <pivotField axis="axisRow" showAll="0" defaultSubtotal="0">
      <items count="7">
        <item h="1" x="2"/>
        <item h="1" x="1"/>
        <item h="1" sd="0" x="0"/>
        <item x="3"/>
        <item h="1" m="1" x="6"/>
        <item h="1" m="1" x="4"/>
        <item h="1" m="1" x="5"/>
      </items>
    </pivotField>
    <pivotField axis="axisPage"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Page" multipleItemSelectionAllowed="1" showAll="0">
      <items count="8">
        <item x="3"/>
        <item x="1"/>
        <item x="4"/>
        <item x="5"/>
        <item x="0"/>
        <item x="6"/>
        <item x="2"/>
        <item t="default"/>
      </items>
    </pivotField>
    <pivotField axis="axisRow" showAll="0" defaultSubtotal="0">
      <items count="31">
        <item m="1" x="27"/>
        <item x="1"/>
        <item x="6"/>
        <item x="7"/>
        <item x="8"/>
        <item m="1" x="22"/>
        <item m="1" x="28"/>
        <item m="1" x="30"/>
        <item m="1" x="25"/>
        <item x="10"/>
        <item x="9"/>
        <item m="1" x="26"/>
        <item x="3"/>
        <item x="11"/>
        <item x="0"/>
        <item x="2"/>
        <item x="4"/>
        <item x="14"/>
        <item m="1" x="24"/>
        <item m="1" x="29"/>
        <item x="13"/>
        <item x="15"/>
        <item x="5"/>
        <item x="16"/>
        <item x="17"/>
        <item m="1" x="23"/>
        <item x="12"/>
        <item m="1" x="21"/>
        <item x="18"/>
        <item x="19"/>
        <item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items count="56">
        <item x="19"/>
        <item x="27"/>
        <item x="5"/>
        <item x="4"/>
        <item x="3"/>
        <item x="17"/>
        <item x="26"/>
        <item sd="0" x="11"/>
        <item x="6"/>
        <item x="2"/>
        <item x="9"/>
        <item x="7"/>
        <item m="1" x="49"/>
        <item m="1" x="50"/>
        <item m="1" x="48"/>
        <item sd="0" x="10"/>
        <item x="8"/>
        <item x="14"/>
        <item m="1" x="52"/>
        <item m="1" x="53"/>
        <item sd="0" x="25"/>
        <item x="1"/>
        <item x="18"/>
        <item x="22"/>
        <item m="1" x="54"/>
        <item sd="0" x="16"/>
        <item m="1" x="40"/>
        <item sd="0" x="32"/>
        <item m="1" x="47"/>
        <item x="31"/>
        <item m="1" x="51"/>
        <item x="15"/>
        <item x="20"/>
        <item m="1" x="43"/>
        <item x="23"/>
        <item x="28"/>
        <item x="21"/>
        <item x="33"/>
        <item x="34"/>
        <item x="35"/>
        <item x="36"/>
        <item m="1" x="44"/>
        <item x="37"/>
        <item m="1" x="45"/>
        <item m="1" x="46"/>
        <item x="38"/>
        <item x="0"/>
        <item m="1" x="41"/>
        <item x="12"/>
        <item x="13"/>
        <item m="1" x="42"/>
        <item x="24"/>
        <item x="30"/>
        <item x="29"/>
        <item x="39"/>
        <item t="default"/>
      </items>
    </pivotField>
    <pivotField showAll="0"/>
    <pivotField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h="1" x="13"/>
        <item h="1" x="12"/>
        <item h="1"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axis="axisCol"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showAll="0">
      <items count="15">
        <item sd="0" x="0"/>
        <item sd="0" x="1"/>
        <item sd="0" x="2"/>
        <item sd="0" x="3"/>
        <item sd="0" x="4"/>
        <item sd="0" x="5"/>
        <item sd="0" x="6"/>
        <item sd="0" x="7"/>
        <item sd="0" x="8"/>
        <item sd="0" x="9"/>
        <item x="10"/>
        <item x="11"/>
        <item sd="0" x="12"/>
        <item sd="0" x="13"/>
        <item t="default"/>
      </items>
    </pivotField>
  </pivotFields>
  <rowFields count="4">
    <field x="1"/>
    <field x="8"/>
    <field x="5"/>
    <field x="6"/>
  </rowFields>
  <rowItems count="20">
    <i>
      <x v="3"/>
    </i>
    <i r="1">
      <x v="15"/>
    </i>
    <i r="1">
      <x v="25"/>
    </i>
    <i r="1">
      <x v="27"/>
    </i>
    <i r="1">
      <x v="32"/>
    </i>
    <i r="2">
      <x v="1"/>
    </i>
    <i r="3">
      <x v="65"/>
    </i>
    <i r="3">
      <x v="132"/>
    </i>
    <i r="2">
      <x v="12"/>
    </i>
    <i r="3">
      <x v="123"/>
    </i>
    <i r="2">
      <x v="16"/>
    </i>
    <i r="3">
      <x v="149"/>
    </i>
    <i r="2">
      <x v="21"/>
    </i>
    <i r="3">
      <x v="113"/>
    </i>
    <i r="3">
      <x v="120"/>
    </i>
    <i r="2">
      <x v="22"/>
    </i>
    <i r="3">
      <x v="121"/>
    </i>
    <i r="1">
      <x v="38"/>
    </i>
    <i r="2">
      <x v="28"/>
    </i>
    <i r="3">
      <x v="159"/>
    </i>
  </rowItems>
  <colFields count="2">
    <field x="19"/>
    <field x="18"/>
  </colFields>
  <colItems count="16">
    <i>
      <x/>
    </i>
    <i>
      <x v="9"/>
    </i>
    <i>
      <x v="10"/>
      <x v="195"/>
    </i>
    <i r="1">
      <x v="197"/>
    </i>
    <i r="1">
      <x v="203"/>
    </i>
    <i r="1">
      <x v="340"/>
    </i>
    <i t="default">
      <x v="10"/>
    </i>
    <i>
      <x v="11"/>
      <x v="220"/>
    </i>
    <i r="1">
      <x v="221"/>
    </i>
    <i r="1">
      <x v="225"/>
    </i>
    <i r="1">
      <x v="227"/>
    </i>
    <i r="1">
      <x v="349"/>
    </i>
    <i r="1">
      <x v="357"/>
    </i>
    <i t="default">
      <x v="11"/>
    </i>
    <i>
      <x v="12"/>
    </i>
    <i t="grand">
      <x/>
    </i>
  </colItems>
  <pageFields count="3">
    <pageField fld="4" hier="-1"/>
    <pageField fld="11" hier="-1"/>
    <pageField fld="2" hier="-1"/>
  </pageFields>
  <dataFields count="1">
    <dataField name="QTY" fld="11" baseField="0" baseItem="0"/>
  </dataFields>
  <formats count="78">
    <format dxfId="615">
      <pivotArea type="origin" dataOnly="0" labelOnly="1" outline="0" fieldPosition="0"/>
    </format>
    <format dxfId="616">
      <pivotArea field="8" type="button" dataOnly="0" labelOnly="1" outline="0" axis="axisRow" fieldPosition="1"/>
    </format>
    <format dxfId="617">
      <pivotArea dataOnly="0" labelOnly="1" fieldPosition="0">
        <references count="1">
          <reference field="8" count="0"/>
        </references>
      </pivotArea>
    </format>
    <format dxfId="618">
      <pivotArea dataOnly="0" labelOnly="1" grandRow="1" outline="0" fieldPosition="0"/>
    </format>
    <format dxfId="619">
      <pivotArea dataOnly="0" labelOnly="1" grandCol="1" outline="0" fieldPosition="0"/>
    </format>
    <format dxfId="620">
      <pivotArea grandCol="1" outline="0" collapsedLevelsAreSubtotals="1" fieldPosition="0"/>
    </format>
    <format dxfId="621">
      <pivotArea outline="0" collapsedLevelsAreSubtotals="1" fieldPosition="0"/>
    </format>
    <format dxfId="622">
      <pivotArea dataOnly="0" labelOnly="1" outline="0" fieldPosition="0">
        <references count="1">
          <reference field="4" count="0"/>
        </references>
      </pivotArea>
    </format>
    <format dxfId="623">
      <pivotArea type="topRight" dataOnly="0" labelOnly="1" outline="0" fieldPosition="0"/>
    </format>
    <format dxfId="624">
      <pivotArea dataOnly="0" labelOnly="1" grandCol="1" outline="0" fieldPosition="0"/>
    </format>
    <format dxfId="625">
      <pivotArea dataOnly="0" labelOnly="1" outline="0" fieldPosition="0">
        <references count="1">
          <reference field="4" count="0"/>
        </references>
      </pivotArea>
    </format>
    <format dxfId="626">
      <pivotArea dataOnly="0" labelOnly="1" fieldPosition="0">
        <references count="1">
          <reference field="2" count="0"/>
        </references>
      </pivotArea>
    </format>
    <format dxfId="627">
      <pivotArea dataOnly="0" labelOnly="1" fieldPosition="0">
        <references count="2">
          <reference field="2" count="0" selected="0"/>
          <reference field="4" count="0"/>
        </references>
      </pivotArea>
    </format>
    <format dxfId="628">
      <pivotArea dataOnly="0" labelOnly="1" fieldPosition="0">
        <references count="3">
          <reference field="1" count="4">
            <x v="0"/>
            <x v="1"/>
            <x v="2"/>
            <x v="3"/>
          </reference>
          <reference field="2" count="0" selected="0"/>
          <reference field="4" count="1" selected="0">
            <x v="0"/>
          </reference>
        </references>
      </pivotArea>
    </format>
    <format dxfId="629">
      <pivotArea dataOnly="0" labelOnly="1" fieldPosition="0">
        <references count="3">
          <reference field="1" count="4">
            <x v="0"/>
            <x v="1"/>
            <x v="2"/>
            <x v="3"/>
          </reference>
          <reference field="2" count="0" selected="0"/>
          <reference field="4" count="1" selected="0">
            <x v="1"/>
          </reference>
        </references>
      </pivotArea>
    </format>
    <format dxfId="630">
      <pivotArea dataOnly="0" labelOnly="1" fieldPosition="0">
        <references count="3">
          <reference field="1" count="4">
            <x v="0"/>
            <x v="1"/>
            <x v="2"/>
            <x v="3"/>
          </reference>
          <reference field="2" count="0" selected="0"/>
          <reference field="4" count="1" selected="0">
            <x v="2"/>
          </reference>
        </references>
      </pivotArea>
    </format>
    <format dxfId="631">
      <pivotArea dataOnly="0" labelOnly="1" fieldPosition="0">
        <references count="3">
          <reference field="1" count="4">
            <x v="0"/>
            <x v="1"/>
            <x v="2"/>
            <x v="3"/>
          </reference>
          <reference field="2" count="0" selected="0"/>
          <reference field="4" count="1" selected="0">
            <x v="3"/>
          </reference>
        </references>
      </pivotArea>
    </format>
    <format dxfId="632">
      <pivotArea dataOnly="0" labelOnly="1" fieldPosition="0">
        <references count="3">
          <reference field="1" count="4">
            <x v="0"/>
            <x v="1"/>
            <x v="2"/>
            <x v="3"/>
          </reference>
          <reference field="2" count="0" selected="0"/>
          <reference field="4" count="1" selected="0">
            <x v="4"/>
          </reference>
        </references>
      </pivotArea>
    </format>
    <format dxfId="633">
      <pivotArea dataOnly="0" labelOnly="1" fieldPosition="0">
        <references count="3">
          <reference field="1" count="0"/>
          <reference field="2" count="0" selected="0"/>
          <reference field="4" count="1" selected="0">
            <x v="5"/>
          </reference>
        </references>
      </pivotArea>
    </format>
    <format dxfId="634">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635">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636">
      <pivotArea dataOnly="0" labelOnly="1" fieldPosition="0">
        <references count="4">
          <reference field="1" count="1" selected="0">
            <x v="2"/>
          </reference>
          <reference field="2" count="0" selected="0"/>
          <reference field="4" count="1" selected="0">
            <x v="0"/>
          </reference>
          <reference field="8" count="1">
            <x v="21"/>
          </reference>
        </references>
      </pivotArea>
    </format>
    <format dxfId="637">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638">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639">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640">
      <pivotArea dataOnly="0" labelOnly="1" fieldPosition="0">
        <references count="4">
          <reference field="1" count="1" selected="0">
            <x v="2"/>
          </reference>
          <reference field="2" count="0" selected="0"/>
          <reference field="4" count="1" selected="0">
            <x v="1"/>
          </reference>
          <reference field="8" count="1">
            <x v="21"/>
          </reference>
        </references>
      </pivotArea>
    </format>
    <format dxfId="641">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642">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643">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644">
      <pivotArea dataOnly="0" labelOnly="1" fieldPosition="0">
        <references count="4">
          <reference field="1" count="1" selected="0">
            <x v="2"/>
          </reference>
          <reference field="2" count="0" selected="0"/>
          <reference field="4" count="1" selected="0">
            <x v="2"/>
          </reference>
          <reference field="8" count="1">
            <x v="21"/>
          </reference>
        </references>
      </pivotArea>
    </format>
    <format dxfId="645">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646">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647">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648">
      <pivotArea dataOnly="0" labelOnly="1" fieldPosition="0">
        <references count="4">
          <reference field="1" count="1" selected="0">
            <x v="2"/>
          </reference>
          <reference field="2" count="0" selected="0"/>
          <reference field="4" count="1" selected="0">
            <x v="3"/>
          </reference>
          <reference field="8" count="1">
            <x v="21"/>
          </reference>
        </references>
      </pivotArea>
    </format>
    <format dxfId="649">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650">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651">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652">
      <pivotArea dataOnly="0" labelOnly="1" fieldPosition="0">
        <references count="4">
          <reference field="1" count="1" selected="0">
            <x v="2"/>
          </reference>
          <reference field="2" count="0" selected="0"/>
          <reference field="4" count="1" selected="0">
            <x v="4"/>
          </reference>
          <reference field="8" count="1">
            <x v="21"/>
          </reference>
        </references>
      </pivotArea>
    </format>
    <format dxfId="653">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654">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655">
      <pivotArea dataOnly="0" labelOnly="1" fieldPosition="0">
        <references count="4">
          <reference field="1" count="1" selected="0">
            <x v="1"/>
          </reference>
          <reference field="2" count="0" selected="0"/>
          <reference field="4" count="1" selected="0">
            <x v="5"/>
          </reference>
          <reference field="8" count="1">
            <x v="4"/>
          </reference>
        </references>
      </pivotArea>
    </format>
    <format dxfId="656">
      <pivotArea dataOnly="0" labelOnly="1" fieldPosition="0">
        <references count="4">
          <reference field="1" count="1" selected="0">
            <x v="2"/>
          </reference>
          <reference field="2" count="0" selected="0"/>
          <reference field="4" count="1" selected="0">
            <x v="5"/>
          </reference>
          <reference field="8" count="1">
            <x v="21"/>
          </reference>
        </references>
      </pivotArea>
    </format>
    <format dxfId="657">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658">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659">
      <pivotArea outline="0" collapsedLevelsAreSubtotals="1" fieldPosition="0"/>
    </format>
    <format dxfId="660">
      <pivotArea field="2" type="button" dataOnly="0" labelOnly="1" outline="0" axis="axisPage" fieldPosition="2"/>
    </format>
    <format dxfId="661">
      <pivotArea type="topRight" dataOnly="0" labelOnly="1" outline="0" fieldPosition="0"/>
    </format>
    <format dxfId="662">
      <pivotArea dataOnly="0" labelOnly="1" fieldPosition="0">
        <references count="1">
          <reference field="2" count="5">
            <x v="0"/>
            <x v="3"/>
            <x v="19"/>
            <x v="20"/>
            <x v="22"/>
          </reference>
        </references>
      </pivotArea>
    </format>
    <format dxfId="663">
      <pivotArea dataOnly="0" labelOnly="1" grandCol="1" outline="0" fieldPosition="0"/>
    </format>
    <format dxfId="664">
      <pivotArea field="5" type="button" dataOnly="0" labelOnly="1" outline="0" axis="axisRow" fieldPosition="2"/>
    </format>
    <format dxfId="665">
      <pivotArea dataOnly="0" labelOnly="1" fieldPosition="0">
        <references count="1">
          <reference field="5" count="0"/>
        </references>
      </pivotArea>
    </format>
    <format dxfId="666">
      <pivotArea dataOnly="0" labelOnly="1" fieldPosition="0">
        <references count="2">
          <reference field="2" count="5">
            <x v="0"/>
            <x v="3"/>
            <x v="19"/>
            <x v="20"/>
            <x v="22"/>
          </reference>
          <reference field="5" count="0" selected="0"/>
        </references>
      </pivotArea>
    </format>
    <format dxfId="667">
      <pivotArea dataOnly="0" labelOnly="1" fieldPosition="0">
        <references count="3">
          <reference field="2" count="1" selected="0">
            <x v="0"/>
          </reference>
          <reference field="5" count="0" selected="0"/>
          <reference field="6" count="4">
            <x v="134"/>
            <x v="135"/>
            <x v="136"/>
            <x v="137"/>
          </reference>
        </references>
      </pivotArea>
    </format>
    <format dxfId="668">
      <pivotArea dataOnly="0" labelOnly="1" fieldPosition="0">
        <references count="3">
          <reference field="2" count="1" selected="0">
            <x v="3"/>
          </reference>
          <reference field="5" count="0" selected="0"/>
          <reference field="6" count="1">
            <x v="119"/>
          </reference>
        </references>
      </pivotArea>
    </format>
    <format dxfId="669">
      <pivotArea dataOnly="0" labelOnly="1" fieldPosition="0">
        <references count="3">
          <reference field="2" count="1" selected="0">
            <x v="19"/>
          </reference>
          <reference field="5" count="0" selected="0"/>
          <reference field="6" count="1">
            <x v="114"/>
          </reference>
        </references>
      </pivotArea>
    </format>
    <format dxfId="670">
      <pivotArea dataOnly="0" labelOnly="1" fieldPosition="0">
        <references count="3">
          <reference field="2" count="1" selected="0">
            <x v="20"/>
          </reference>
          <reference field="5" count="0" selected="0"/>
          <reference field="6" count="3">
            <x v="99"/>
            <x v="113"/>
            <x v="120"/>
          </reference>
        </references>
      </pivotArea>
    </format>
    <format dxfId="671">
      <pivotArea dataOnly="0" labelOnly="1" fieldPosition="0">
        <references count="3">
          <reference field="2" count="1" selected="0">
            <x v="22"/>
          </reference>
          <reference field="5" count="0" selected="0"/>
          <reference field="6" count="1">
            <x v="143"/>
          </reference>
        </references>
      </pivotArea>
    </format>
    <format dxfId="672">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673">
      <pivotArea dataOnly="0" labelOnly="1" fieldPosition="0">
        <references count="4">
          <reference field="2" count="1" selected="0">
            <x v="0"/>
          </reference>
          <reference field="5" count="0" selected="0"/>
          <reference field="6" count="1" selected="0">
            <x v="135"/>
          </reference>
          <reference field="8" count="1">
            <x v="10"/>
          </reference>
        </references>
      </pivotArea>
    </format>
    <format dxfId="674">
      <pivotArea dataOnly="0" labelOnly="1" fieldPosition="0">
        <references count="4">
          <reference field="2" count="1" selected="0">
            <x v="0"/>
          </reference>
          <reference field="5" count="0" selected="0"/>
          <reference field="6" count="1" selected="0">
            <x v="136"/>
          </reference>
          <reference field="8" count="1">
            <x v="21"/>
          </reference>
        </references>
      </pivotArea>
    </format>
    <format dxfId="675">
      <pivotArea dataOnly="0" labelOnly="1" fieldPosition="0">
        <references count="4">
          <reference field="2" count="1" selected="0">
            <x v="0"/>
          </reference>
          <reference field="5" count="0" selected="0"/>
          <reference field="6" count="1" selected="0">
            <x v="137"/>
          </reference>
          <reference field="8" count="1">
            <x v="16"/>
          </reference>
        </references>
      </pivotArea>
    </format>
    <format dxfId="676">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677">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678">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679">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680">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681">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682">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683">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684">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685">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686">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687">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688">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689">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690">
      <pivotArea collapsedLevelsAreSubtotals="1" fieldPosition="0">
        <references count="3">
          <reference field="4294967294" count="1" selected="0">
            <x v="0"/>
          </reference>
          <reference field="2" count="1">
            <x v="22"/>
          </reference>
          <reference field="5" count="0" selected="0"/>
        </references>
      </pivotArea>
    </format>
    <format dxfId="691">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692">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A2750DC-AF08-0D49-B867-3DDC21BCB75B}" name="PivotTable1" cacheId="2337" applyNumberFormats="0" applyBorderFormats="0" applyFontFormats="0" applyPatternFormats="0" applyAlignmentFormats="0" applyWidthHeightFormats="1" dataCaption="Values" updatedVersion="8" minRefreshableVersion="3" itemPrintTitles="1" createdVersion="8" indent="0" multipleFieldFilters="0" rowHeaderCaption="FA -&gt; Service">
  <location ref="A6:I114" firstHeaderRow="1" firstDataRow="2"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axis="axisPage" multipleItemSelectionAllowed="1" showAll="0">
      <items count="31">
        <item h="1" x="13"/>
        <item h="1" x="16"/>
        <item h="1" x="24"/>
        <item h="1" x="8"/>
        <item h="1" x="2"/>
        <item h="1" x="5"/>
        <item h="1" x="15"/>
        <item h="1" x="6"/>
        <item h="1" x="18"/>
        <item h="1" x="14"/>
        <item h="1" x="0"/>
        <item h="1" x="17"/>
        <item h="1" x="26"/>
        <item h="1" x="22"/>
        <item h="1" x="3"/>
        <item x="21"/>
        <item h="1" x="12"/>
        <item h="1" x="9"/>
        <item h="1" x="19"/>
        <item h="1" x="4"/>
        <item h="1" x="7"/>
        <item h="1" x="25"/>
        <item h="1" x="10"/>
        <item h="1" x="23"/>
        <item h="1" x="20"/>
        <item h="1" x="1"/>
        <item h="1" x="11"/>
        <item h="1" m="1" x="29"/>
        <item h="1" x="27"/>
        <item h="1" x="28"/>
        <item t="default"/>
      </items>
    </pivotField>
    <pivotField axis="axisCol" multipleItemSelectionAllowed="1" showAll="0">
      <items count="8">
        <item x="3"/>
        <item x="1"/>
        <item x="4"/>
        <item x="5"/>
        <item x="0"/>
        <item x="6"/>
        <item x="2"/>
        <item t="default"/>
      </items>
    </pivotField>
    <pivotField axis="axisRow" showAll="0" defaultSubtotal="0">
      <items count="31">
        <item m="1" x="27"/>
        <item x="1"/>
        <item x="6"/>
        <item x="7"/>
        <item x="8"/>
        <item m="1" x="22"/>
        <item m="1" x="28"/>
        <item m="1" x="30"/>
        <item m="1" x="25"/>
        <item x="10"/>
        <item x="9"/>
        <item m="1" x="26"/>
        <item x="3"/>
        <item x="11"/>
        <item x="0"/>
        <item x="2"/>
        <item x="4"/>
        <item x="14"/>
        <item m="1" x="24"/>
        <item m="1" x="29"/>
        <item x="13"/>
        <item x="15"/>
        <item x="5"/>
        <item x="16"/>
        <item x="17"/>
        <item m="1" x="23"/>
        <item x="12"/>
        <item m="1" x="21"/>
        <item x="18"/>
        <item x="19"/>
        <item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showAll="0"/>
    <pivotField axis="axisPage" dataFiel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m="1" x="67"/>
        <item m="1" x="62"/>
        <item m="1" x="69"/>
        <item m="1" x="63"/>
        <item m="1" x="66"/>
        <item x="34"/>
        <item x="35"/>
        <item m="1" x="68"/>
        <item m="1" x="70"/>
        <item x="45"/>
        <item x="27"/>
        <item m="1" x="61"/>
        <item x="41"/>
        <item x="28"/>
        <item x="36"/>
        <item x="43"/>
        <item x="44"/>
        <item x="46"/>
        <item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2"/>
    <field x="5"/>
    <field x="6"/>
    <field x="8"/>
  </rowFields>
  <rowItems count="107">
    <i>
      <x v="12"/>
    </i>
    <i r="1">
      <x v="4"/>
    </i>
    <i r="2">
      <x v="71"/>
    </i>
    <i r="3">
      <x v="8"/>
    </i>
    <i r="3">
      <x v="22"/>
    </i>
    <i r="3">
      <x v="48"/>
    </i>
    <i r="2">
      <x v="72"/>
    </i>
    <i r="3">
      <x v="8"/>
    </i>
    <i r="3">
      <x v="48"/>
    </i>
    <i r="2">
      <x v="73"/>
    </i>
    <i r="3">
      <x v="8"/>
    </i>
    <i r="3">
      <x v="48"/>
    </i>
    <i r="2">
      <x v="155"/>
    </i>
    <i r="3">
      <x v="8"/>
    </i>
    <i r="3">
      <x v="48"/>
    </i>
    <i r="1">
      <x v="9"/>
    </i>
    <i r="2">
      <x v="54"/>
    </i>
    <i r="3">
      <x v="22"/>
    </i>
    <i r="2">
      <x v="58"/>
    </i>
    <i r="3">
      <x v="22"/>
    </i>
    <i r="2">
      <x v="62"/>
    </i>
    <i r="3">
      <x v="16"/>
    </i>
    <i r="3">
      <x v="22"/>
    </i>
    <i r="2">
      <x v="74"/>
    </i>
    <i r="3">
      <x v="8"/>
    </i>
    <i r="3">
      <x v="16"/>
    </i>
    <i r="3">
      <x v="22"/>
    </i>
    <i r="3">
      <x v="48"/>
    </i>
    <i r="2">
      <x v="81"/>
    </i>
    <i r="3">
      <x v="22"/>
    </i>
    <i r="3">
      <x v="31"/>
    </i>
    <i r="2">
      <x v="84"/>
    </i>
    <i r="3">
      <x v="4"/>
    </i>
    <i r="3">
      <x v="22"/>
    </i>
    <i r="2">
      <x v="85"/>
    </i>
    <i r="3">
      <x v="8"/>
    </i>
    <i r="3">
      <x v="16"/>
    </i>
    <i r="3">
      <x v="22"/>
    </i>
    <i r="3">
      <x v="34"/>
    </i>
    <i r="3">
      <x v="49"/>
    </i>
    <i r="2">
      <x v="86"/>
    </i>
    <i r="3">
      <x v="8"/>
    </i>
    <i r="2">
      <x v="87"/>
    </i>
    <i r="3">
      <x v="8"/>
    </i>
    <i r="1">
      <x v="10"/>
    </i>
    <i r="2">
      <x v="56"/>
    </i>
    <i r="3">
      <x v="8"/>
    </i>
    <i r="3">
      <x v="17"/>
    </i>
    <i r="3">
      <x v="22"/>
    </i>
    <i r="3">
      <x v="49"/>
    </i>
    <i r="2">
      <x v="57"/>
    </i>
    <i r="3">
      <x v="8"/>
    </i>
    <i r="3">
      <x v="48"/>
    </i>
    <i r="1">
      <x v="15"/>
    </i>
    <i r="2">
      <x v="28"/>
    </i>
    <i r="3">
      <x v="16"/>
    </i>
    <i r="3">
      <x v="22"/>
    </i>
    <i r="2">
      <x v="43"/>
    </i>
    <i r="3">
      <x v="10"/>
    </i>
    <i r="3">
      <x v="16"/>
    </i>
    <i r="3">
      <x v="22"/>
    </i>
    <i r="3">
      <x v="35"/>
    </i>
    <i r="2">
      <x v="45"/>
    </i>
    <i r="3">
      <x v="11"/>
    </i>
    <i r="3">
      <x v="16"/>
    </i>
    <i r="3">
      <x v="22"/>
    </i>
    <i r="3">
      <x v="35"/>
    </i>
    <i r="2">
      <x v="61"/>
    </i>
    <i r="3">
      <x v="16"/>
    </i>
    <i r="3">
      <x v="22"/>
    </i>
    <i r="1">
      <x v="17"/>
    </i>
    <i r="2">
      <x v="76"/>
    </i>
    <i r="3">
      <x v="25"/>
    </i>
    <i r="1">
      <x v="22"/>
    </i>
    <i r="2">
      <x v="8"/>
    </i>
    <i r="3">
      <x v="22"/>
    </i>
    <i r="2">
      <x v="16"/>
    </i>
    <i r="3">
      <x v="22"/>
    </i>
    <i r="2">
      <x v="39"/>
    </i>
    <i r="3">
      <x v="22"/>
    </i>
    <i r="2">
      <x v="54"/>
    </i>
    <i r="3">
      <x v="16"/>
    </i>
    <i r="3">
      <x v="22"/>
    </i>
    <i r="2">
      <x v="55"/>
    </i>
    <i r="3">
      <x v="4"/>
    </i>
    <i r="3">
      <x v="8"/>
    </i>
    <i r="3">
      <x v="16"/>
    </i>
    <i r="3">
      <x v="22"/>
    </i>
    <i r="2">
      <x v="59"/>
    </i>
    <i r="3">
      <x v="8"/>
    </i>
    <i r="3">
      <x v="16"/>
    </i>
    <i r="3">
      <x v="22"/>
    </i>
    <i r="3">
      <x v="53"/>
    </i>
    <i r="2">
      <x v="60"/>
    </i>
    <i r="3">
      <x v="22"/>
    </i>
    <i r="2">
      <x v="61"/>
    </i>
    <i r="3">
      <x v="8"/>
    </i>
    <i r="3">
      <x v="10"/>
    </i>
    <i r="3">
      <x v="16"/>
    </i>
    <i r="3">
      <x v="22"/>
    </i>
    <i r="2">
      <x v="75"/>
    </i>
    <i r="3">
      <x v="8"/>
    </i>
    <i r="3">
      <x v="22"/>
    </i>
    <i r="2">
      <x v="81"/>
    </i>
    <i r="3">
      <x v="22"/>
    </i>
    <i r="3">
      <x v="31"/>
    </i>
    <i t="grand">
      <x/>
    </i>
  </rowItems>
  <colFields count="1">
    <field x="4"/>
  </colFields>
  <colItems count="8">
    <i>
      <x/>
    </i>
    <i>
      <x v="1"/>
    </i>
    <i>
      <x v="2"/>
    </i>
    <i>
      <x v="3"/>
    </i>
    <i>
      <x v="4"/>
    </i>
    <i>
      <x v="5"/>
    </i>
    <i>
      <x v="6"/>
    </i>
    <i t="grand">
      <x/>
    </i>
  </colItems>
  <pageFields count="3">
    <pageField fld="1" hier="-1"/>
    <pageField fld="11" hier="-1"/>
    <pageField fld="3" hier="-1"/>
  </pageFields>
  <dataFields count="1">
    <dataField name="QTY" fld="11" baseField="0" baseItem="0"/>
  </dataFields>
  <formats count="82">
    <format dxfId="533">
      <pivotArea type="origin" dataOnly="0" labelOnly="1" outline="0" fieldPosition="0"/>
    </format>
    <format dxfId="534">
      <pivotArea field="8" type="button" dataOnly="0" labelOnly="1" outline="0" axis="axisRow" fieldPosition="3"/>
    </format>
    <format dxfId="535">
      <pivotArea dataOnly="0" labelOnly="1" fieldPosition="0">
        <references count="1">
          <reference field="8" count="0"/>
        </references>
      </pivotArea>
    </format>
    <format dxfId="536">
      <pivotArea dataOnly="0" labelOnly="1" grandRow="1" outline="0" fieldPosition="0"/>
    </format>
    <format dxfId="537">
      <pivotArea dataOnly="0" labelOnly="1" grandCol="1" outline="0" fieldPosition="0"/>
    </format>
    <format dxfId="538">
      <pivotArea grandCol="1" outline="0" collapsedLevelsAreSubtotals="1" fieldPosition="0"/>
    </format>
    <format dxfId="539">
      <pivotArea outline="0" collapsedLevelsAreSubtotals="1" fieldPosition="0"/>
    </format>
    <format dxfId="540">
      <pivotArea dataOnly="0" labelOnly="1" outline="0" fieldPosition="0">
        <references count="1">
          <reference field="4" count="0"/>
        </references>
      </pivotArea>
    </format>
    <format dxfId="541">
      <pivotArea type="topRight" dataOnly="0" labelOnly="1" outline="0" fieldPosition="0"/>
    </format>
    <format dxfId="542">
      <pivotArea dataOnly="0" labelOnly="1" grandCol="1" outline="0" fieldPosition="0"/>
    </format>
    <format dxfId="543">
      <pivotArea dataOnly="0" labelOnly="1" outline="0" fieldPosition="0">
        <references count="1">
          <reference field="4" count="0"/>
        </references>
      </pivotArea>
    </format>
    <format dxfId="544">
      <pivotArea dataOnly="0" labelOnly="1" fieldPosition="0">
        <references count="1">
          <reference field="2" count="0"/>
        </references>
      </pivotArea>
    </format>
    <format dxfId="545">
      <pivotArea dataOnly="0" labelOnly="1" fieldPosition="0">
        <references count="2">
          <reference field="2" count="0" selected="0"/>
          <reference field="4" count="0"/>
        </references>
      </pivotArea>
    </format>
    <format dxfId="546">
      <pivotArea dataOnly="0" labelOnly="1" fieldPosition="0">
        <references count="3">
          <reference field="1" count="4">
            <x v="0"/>
            <x v="1"/>
            <x v="2"/>
            <x v="3"/>
          </reference>
          <reference field="2" count="0" selected="0"/>
          <reference field="4" count="1" selected="0">
            <x v="0"/>
          </reference>
        </references>
      </pivotArea>
    </format>
    <format dxfId="547">
      <pivotArea dataOnly="0" labelOnly="1" fieldPosition="0">
        <references count="3">
          <reference field="1" count="4">
            <x v="0"/>
            <x v="1"/>
            <x v="2"/>
            <x v="3"/>
          </reference>
          <reference field="2" count="0" selected="0"/>
          <reference field="4" count="1" selected="0">
            <x v="1"/>
          </reference>
        </references>
      </pivotArea>
    </format>
    <format dxfId="548">
      <pivotArea dataOnly="0" labelOnly="1" fieldPosition="0">
        <references count="3">
          <reference field="1" count="4">
            <x v="0"/>
            <x v="1"/>
            <x v="2"/>
            <x v="3"/>
          </reference>
          <reference field="2" count="0" selected="0"/>
          <reference field="4" count="1" selected="0">
            <x v="2"/>
          </reference>
        </references>
      </pivotArea>
    </format>
    <format dxfId="549">
      <pivotArea dataOnly="0" labelOnly="1" fieldPosition="0">
        <references count="3">
          <reference field="1" count="4">
            <x v="0"/>
            <x v="1"/>
            <x v="2"/>
            <x v="3"/>
          </reference>
          <reference field="2" count="0" selected="0"/>
          <reference field="4" count="1" selected="0">
            <x v="3"/>
          </reference>
        </references>
      </pivotArea>
    </format>
    <format dxfId="550">
      <pivotArea dataOnly="0" labelOnly="1" fieldPosition="0">
        <references count="3">
          <reference field="1" count="4">
            <x v="0"/>
            <x v="1"/>
            <x v="2"/>
            <x v="3"/>
          </reference>
          <reference field="2" count="0" selected="0"/>
          <reference field="4" count="1" selected="0">
            <x v="4"/>
          </reference>
        </references>
      </pivotArea>
    </format>
    <format dxfId="551">
      <pivotArea dataOnly="0" labelOnly="1" fieldPosition="0">
        <references count="3">
          <reference field="1" count="0"/>
          <reference field="2" count="0" selected="0"/>
          <reference field="4" count="1" selected="0">
            <x v="5"/>
          </reference>
        </references>
      </pivotArea>
    </format>
    <format dxfId="552">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553">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554">
      <pivotArea dataOnly="0" labelOnly="1" fieldPosition="0">
        <references count="4">
          <reference field="1" count="1" selected="0">
            <x v="2"/>
          </reference>
          <reference field="2" count="0" selected="0"/>
          <reference field="4" count="1" selected="0">
            <x v="0"/>
          </reference>
          <reference field="8" count="1">
            <x v="21"/>
          </reference>
        </references>
      </pivotArea>
    </format>
    <format dxfId="555">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556">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557">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558">
      <pivotArea dataOnly="0" labelOnly="1" fieldPosition="0">
        <references count="4">
          <reference field="1" count="1" selected="0">
            <x v="2"/>
          </reference>
          <reference field="2" count="0" selected="0"/>
          <reference field="4" count="1" selected="0">
            <x v="1"/>
          </reference>
          <reference field="8" count="1">
            <x v="21"/>
          </reference>
        </references>
      </pivotArea>
    </format>
    <format dxfId="559">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560">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561">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562">
      <pivotArea dataOnly="0" labelOnly="1" fieldPosition="0">
        <references count="4">
          <reference field="1" count="1" selected="0">
            <x v="2"/>
          </reference>
          <reference field="2" count="0" selected="0"/>
          <reference field="4" count="1" selected="0">
            <x v="2"/>
          </reference>
          <reference field="8" count="1">
            <x v="21"/>
          </reference>
        </references>
      </pivotArea>
    </format>
    <format dxfId="563">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564">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565">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566">
      <pivotArea dataOnly="0" labelOnly="1" fieldPosition="0">
        <references count="4">
          <reference field="1" count="1" selected="0">
            <x v="2"/>
          </reference>
          <reference field="2" count="0" selected="0"/>
          <reference field="4" count="1" selected="0">
            <x v="3"/>
          </reference>
          <reference field="8" count="1">
            <x v="21"/>
          </reference>
        </references>
      </pivotArea>
    </format>
    <format dxfId="567">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568">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569">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570">
      <pivotArea dataOnly="0" labelOnly="1" fieldPosition="0">
        <references count="4">
          <reference field="1" count="1" selected="0">
            <x v="2"/>
          </reference>
          <reference field="2" count="0" selected="0"/>
          <reference field="4" count="1" selected="0">
            <x v="4"/>
          </reference>
          <reference field="8" count="1">
            <x v="21"/>
          </reference>
        </references>
      </pivotArea>
    </format>
    <format dxfId="571">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572">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573">
      <pivotArea dataOnly="0" labelOnly="1" fieldPosition="0">
        <references count="4">
          <reference field="1" count="1" selected="0">
            <x v="1"/>
          </reference>
          <reference field="2" count="0" selected="0"/>
          <reference field="4" count="1" selected="0">
            <x v="5"/>
          </reference>
          <reference field="8" count="1">
            <x v="4"/>
          </reference>
        </references>
      </pivotArea>
    </format>
    <format dxfId="574">
      <pivotArea dataOnly="0" labelOnly="1" fieldPosition="0">
        <references count="4">
          <reference field="1" count="1" selected="0">
            <x v="2"/>
          </reference>
          <reference field="2" count="0" selected="0"/>
          <reference field="4" count="1" selected="0">
            <x v="5"/>
          </reference>
          <reference field="8" count="1">
            <x v="21"/>
          </reference>
        </references>
      </pivotArea>
    </format>
    <format dxfId="575">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576">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577">
      <pivotArea field="2" type="button" dataOnly="0" labelOnly="1" outline="0" axis="axisRow" fieldPosition="0"/>
    </format>
    <format dxfId="578">
      <pivotArea dataOnly="0" labelOnly="1" fieldPosition="0">
        <references count="1">
          <reference field="2" count="5">
            <x v="0"/>
            <x v="3"/>
            <x v="19"/>
            <x v="20"/>
            <x v="22"/>
          </reference>
        </references>
      </pivotArea>
    </format>
    <format dxfId="579">
      <pivotArea field="5" type="button" dataOnly="0" labelOnly="1" outline="0" axis="axisRow" fieldPosition="1"/>
    </format>
    <format dxfId="580">
      <pivotArea dataOnly="0" labelOnly="1" fieldPosition="0">
        <references count="1">
          <reference field="5" count="0"/>
        </references>
      </pivotArea>
    </format>
    <format dxfId="581">
      <pivotArea dataOnly="0" labelOnly="1" fieldPosition="0">
        <references count="2">
          <reference field="2" count="5">
            <x v="0"/>
            <x v="3"/>
            <x v="19"/>
            <x v="20"/>
            <x v="22"/>
          </reference>
          <reference field="5" count="0" selected="0"/>
        </references>
      </pivotArea>
    </format>
    <format dxfId="582">
      <pivotArea dataOnly="0" labelOnly="1" fieldPosition="0">
        <references count="3">
          <reference field="2" count="1" selected="0">
            <x v="0"/>
          </reference>
          <reference field="5" count="0" selected="0"/>
          <reference field="6" count="4">
            <x v="134"/>
            <x v="135"/>
            <x v="136"/>
            <x v="137"/>
          </reference>
        </references>
      </pivotArea>
    </format>
    <format dxfId="583">
      <pivotArea dataOnly="0" labelOnly="1" fieldPosition="0">
        <references count="3">
          <reference field="2" count="1" selected="0">
            <x v="3"/>
          </reference>
          <reference field="5" count="0" selected="0"/>
          <reference field="6" count="1">
            <x v="119"/>
          </reference>
        </references>
      </pivotArea>
    </format>
    <format dxfId="584">
      <pivotArea dataOnly="0" labelOnly="1" fieldPosition="0">
        <references count="3">
          <reference field="2" count="1" selected="0">
            <x v="19"/>
          </reference>
          <reference field="5" count="0" selected="0"/>
          <reference field="6" count="1">
            <x v="114"/>
          </reference>
        </references>
      </pivotArea>
    </format>
    <format dxfId="585">
      <pivotArea dataOnly="0" labelOnly="1" fieldPosition="0">
        <references count="3">
          <reference field="2" count="1" selected="0">
            <x v="20"/>
          </reference>
          <reference field="5" count="0" selected="0"/>
          <reference field="6" count="3">
            <x v="99"/>
            <x v="113"/>
            <x v="120"/>
          </reference>
        </references>
      </pivotArea>
    </format>
    <format dxfId="586">
      <pivotArea dataOnly="0" labelOnly="1" fieldPosition="0">
        <references count="3">
          <reference field="2" count="1" selected="0">
            <x v="22"/>
          </reference>
          <reference field="5" count="0" selected="0"/>
          <reference field="6" count="1">
            <x v="143"/>
          </reference>
        </references>
      </pivotArea>
    </format>
    <format dxfId="587">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588">
      <pivotArea dataOnly="0" labelOnly="1" fieldPosition="0">
        <references count="4">
          <reference field="2" count="1" selected="0">
            <x v="0"/>
          </reference>
          <reference field="5" count="0" selected="0"/>
          <reference field="6" count="1" selected="0">
            <x v="135"/>
          </reference>
          <reference field="8" count="1">
            <x v="10"/>
          </reference>
        </references>
      </pivotArea>
    </format>
    <format dxfId="589">
      <pivotArea dataOnly="0" labelOnly="1" fieldPosition="0">
        <references count="4">
          <reference field="2" count="1" selected="0">
            <x v="0"/>
          </reference>
          <reference field="5" count="0" selected="0"/>
          <reference field="6" count="1" selected="0">
            <x v="136"/>
          </reference>
          <reference field="8" count="1">
            <x v="21"/>
          </reference>
        </references>
      </pivotArea>
    </format>
    <format dxfId="590">
      <pivotArea dataOnly="0" labelOnly="1" fieldPosition="0">
        <references count="4">
          <reference field="2" count="1" selected="0">
            <x v="0"/>
          </reference>
          <reference field="5" count="0" selected="0"/>
          <reference field="6" count="1" selected="0">
            <x v="137"/>
          </reference>
          <reference field="8" count="1">
            <x v="16"/>
          </reference>
        </references>
      </pivotArea>
    </format>
    <format dxfId="591">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592">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593">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594">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595">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596">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597">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598">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599">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600">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601">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602">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603">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604">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605">
      <pivotArea collapsedLevelsAreSubtotals="1" fieldPosition="0">
        <references count="3">
          <reference field="4294967294" count="1" selected="0">
            <x v="0"/>
          </reference>
          <reference field="2" count="1">
            <x v="22"/>
          </reference>
          <reference field="5" count="0" selected="0"/>
        </references>
      </pivotArea>
    </format>
    <format dxfId="606">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607">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608">
      <pivotArea outline="0" collapsedLevelsAreSubtotals="1" fieldPosition="0">
        <references count="1">
          <reference field="4294967294" count="1" selected="0">
            <x v="0"/>
          </reference>
        </references>
      </pivotArea>
    </format>
    <format dxfId="609">
      <pivotArea dataOnly="0" labelOnly="1" outline="0" fieldPosition="0">
        <references count="1">
          <reference field="4294967294" count="1">
            <x v="0"/>
          </reference>
        </references>
      </pivotArea>
    </format>
    <format dxfId="610">
      <pivotArea outline="0" collapsedLevelsAreSubtotals="1" fieldPosition="0"/>
    </format>
    <format dxfId="611">
      <pivotArea field="4" type="button" dataOnly="0" labelOnly="1" outline="0" axis="axisCol" fieldPosition="0"/>
    </format>
    <format dxfId="612">
      <pivotArea type="topRight" dataOnly="0" labelOnly="1" outline="0" fieldPosition="0"/>
    </format>
    <format dxfId="613">
      <pivotArea dataOnly="0" labelOnly="1" fieldPosition="0">
        <references count="1">
          <reference field="4" count="7">
            <x v="0"/>
            <x v="1"/>
            <x v="2"/>
            <x v="3"/>
            <x v="4"/>
            <x v="5"/>
            <x v="6"/>
          </reference>
        </references>
      </pivotArea>
    </format>
    <format dxfId="6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34C2F2-41E4-4F00-A85C-23DD06D8AF84}"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C18" firstHeaderRow="0" firstDataRow="1"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Page" multipleItemSelectionAllowed="1" showAll="0">
      <items count="8">
        <item x="3"/>
        <item x="1"/>
        <item x="4"/>
        <item x="5"/>
        <item x="0"/>
        <item x="6"/>
        <item x="2"/>
        <item t="default"/>
      </items>
    </pivotField>
    <pivotField axis="axisRow" showAll="0" defaultSubtotal="0">
      <items count="31">
        <item h="1" m="1" x="27"/>
        <item x="1"/>
        <item h="1" x="6"/>
        <item h="1" x="7"/>
        <item h="1" x="8"/>
        <item h="1" m="1" x="22"/>
        <item h="1" m="1" x="28"/>
        <item h="1" m="1" x="30"/>
        <item h="1" m="1" x="25"/>
        <item h="1" x="10"/>
        <item h="1" x="9"/>
        <item h="1" m="1" x="26"/>
        <item h="1" x="3"/>
        <item h="1" x="11"/>
        <item h="1" x="0"/>
        <item h="1" x="2"/>
        <item h="1" x="4"/>
        <item h="1" x="14"/>
        <item h="1" m="1" x="24"/>
        <item h="1" m="1" x="29"/>
        <item h="1" x="13"/>
        <item h="1" x="15"/>
        <item h="1" x="5"/>
        <item h="1" x="16"/>
        <item h="1" x="17"/>
        <item h="1" m="1" x="23"/>
        <item h="1" x="12"/>
        <item h="1" m="1" x="21"/>
        <item h="1" x="18"/>
        <item h="1" x="19"/>
        <item h="1"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h="1" x="19"/>
        <item h="1" x="27"/>
        <item h="1" x="5"/>
        <item h="1" x="4"/>
        <item h="1" x="3"/>
        <item h="1" x="17"/>
        <item h="1" x="26"/>
        <item h="1" x="11"/>
        <item h="1" x="6"/>
        <item h="1" x="2"/>
        <item x="9"/>
        <item x="7"/>
        <item h="1" m="1" x="49"/>
        <item h="1" m="1" x="50"/>
        <item h="1" m="1" x="48"/>
        <item h="1" x="10"/>
        <item h="1" x="8"/>
        <item h="1" x="14"/>
        <item h="1" m="1" x="52"/>
        <item h="1" m="1" x="53"/>
        <item h="1" x="25"/>
        <item h="1" x="1"/>
        <item h="1" x="18"/>
        <item h="1" x="22"/>
        <item h="1" m="1" x="54"/>
        <item h="1" x="16"/>
        <item h="1" m="1" x="40"/>
        <item h="1" x="32"/>
        <item h="1" m="1" x="47"/>
        <item h="1" x="31"/>
        <item h="1" m="1" x="51"/>
        <item h="1" x="15"/>
        <item h="1" x="20"/>
        <item h="1" m="1" x="43"/>
        <item h="1" x="23"/>
        <item h="1" x="28"/>
        <item h="1" x="21"/>
        <item h="1" x="33"/>
        <item h="1" x="34"/>
        <item h="1" x="35"/>
        <item h="1" x="36"/>
        <item h="1" m="1" x="44"/>
        <item h="1" x="37"/>
        <item h="1" m="1" x="45"/>
        <item h="1" m="1" x="46"/>
        <item h="1" x="38"/>
        <item h="1" x="0"/>
        <item h="1" m="1" x="41"/>
        <item h="1" x="12"/>
        <item h="1" x="13"/>
        <item h="1" m="1" x="42"/>
        <item h="1" x="24"/>
        <item h="1" x="30"/>
        <item h="1" x="29"/>
        <item h="1" x="39"/>
      </items>
    </pivotField>
    <pivotField showAll="0"/>
    <pivotField dataField="1"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h="1" x="38"/>
        <item h="1" x="13"/>
        <item h="1" x="12"/>
        <item h="1"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5"/>
    <field x="6"/>
    <field x="2"/>
    <field x="8"/>
  </rowFields>
  <rowItems count="12">
    <i>
      <x v="1"/>
    </i>
    <i r="1">
      <x v="52"/>
    </i>
    <i r="2">
      <x v="21"/>
    </i>
    <i r="3">
      <x v="10"/>
    </i>
    <i r="3">
      <x v="11"/>
    </i>
    <i r="1">
      <x v="65"/>
    </i>
    <i r="2">
      <x v="15"/>
    </i>
    <i r="3">
      <x v="10"/>
    </i>
    <i r="3">
      <x v="11"/>
    </i>
    <i r="1">
      <x v="145"/>
    </i>
    <i r="2">
      <x v="13"/>
    </i>
    <i r="3">
      <x v="11"/>
    </i>
  </rowItems>
  <colFields count="1">
    <field x="-2"/>
  </colFields>
  <colItems count="2">
    <i>
      <x/>
    </i>
    <i i="1">
      <x v="1"/>
    </i>
  </colItems>
  <pageFields count="3">
    <pageField fld="4" hier="-1"/>
    <pageField fld="1" hier="-1"/>
    <pageField fld="11" hier="-1"/>
  </pageFields>
  <dataFields count="2">
    <dataField name="QTY" fld="11" baseField="0" baseItem="0"/>
    <dataField name="Not available" fld="10" baseField="0" baseItem="0"/>
  </dataFields>
  <formats count="79">
    <format dxfId="454">
      <pivotArea type="origin" dataOnly="0" labelOnly="1" outline="0" fieldPosition="0"/>
    </format>
    <format dxfId="455">
      <pivotArea field="8" type="button" dataOnly="0" labelOnly="1" outline="0" axis="axisRow" fieldPosition="3"/>
    </format>
    <format dxfId="456">
      <pivotArea dataOnly="0" labelOnly="1" fieldPosition="0">
        <references count="1">
          <reference field="8" count="0"/>
        </references>
      </pivotArea>
    </format>
    <format dxfId="457">
      <pivotArea dataOnly="0" labelOnly="1" grandRow="1" outline="0" fieldPosition="0"/>
    </format>
    <format dxfId="458">
      <pivotArea dataOnly="0" labelOnly="1" grandCol="1" outline="0" fieldPosition="0"/>
    </format>
    <format dxfId="459">
      <pivotArea grandCol="1" outline="0" collapsedLevelsAreSubtotals="1" fieldPosition="0"/>
    </format>
    <format dxfId="460">
      <pivotArea outline="0" collapsedLevelsAreSubtotals="1" fieldPosition="0"/>
    </format>
    <format dxfId="461">
      <pivotArea dataOnly="0" labelOnly="1" outline="0" fieldPosition="0">
        <references count="1">
          <reference field="4" count="0"/>
        </references>
      </pivotArea>
    </format>
    <format dxfId="462">
      <pivotArea type="topRight" dataOnly="0" labelOnly="1" outline="0" fieldPosition="0"/>
    </format>
    <format dxfId="463">
      <pivotArea dataOnly="0" labelOnly="1" grandCol="1" outline="0" fieldPosition="0"/>
    </format>
    <format dxfId="464">
      <pivotArea dataOnly="0" labelOnly="1" outline="0" fieldPosition="0">
        <references count="1">
          <reference field="4" count="0"/>
        </references>
      </pivotArea>
    </format>
    <format dxfId="465">
      <pivotArea dataOnly="0" labelOnly="1" fieldPosition="0">
        <references count="1">
          <reference field="2" count="0"/>
        </references>
      </pivotArea>
    </format>
    <format dxfId="466">
      <pivotArea dataOnly="0" labelOnly="1" fieldPosition="0">
        <references count="2">
          <reference field="2" count="0" selected="0"/>
          <reference field="4" count="0"/>
        </references>
      </pivotArea>
    </format>
    <format dxfId="467">
      <pivotArea dataOnly="0" labelOnly="1" fieldPosition="0">
        <references count="3">
          <reference field="1" count="4">
            <x v="0"/>
            <x v="1"/>
            <x v="2"/>
            <x v="3"/>
          </reference>
          <reference field="2" count="0" selected="0"/>
          <reference field="4" count="1" selected="0">
            <x v="0"/>
          </reference>
        </references>
      </pivotArea>
    </format>
    <format dxfId="468">
      <pivotArea dataOnly="0" labelOnly="1" fieldPosition="0">
        <references count="3">
          <reference field="1" count="4">
            <x v="0"/>
            <x v="1"/>
            <x v="2"/>
            <x v="3"/>
          </reference>
          <reference field="2" count="0" selected="0"/>
          <reference field="4" count="1" selected="0">
            <x v="1"/>
          </reference>
        </references>
      </pivotArea>
    </format>
    <format dxfId="469">
      <pivotArea dataOnly="0" labelOnly="1" fieldPosition="0">
        <references count="3">
          <reference field="1" count="4">
            <x v="0"/>
            <x v="1"/>
            <x v="2"/>
            <x v="3"/>
          </reference>
          <reference field="2" count="0" selected="0"/>
          <reference field="4" count="1" selected="0">
            <x v="2"/>
          </reference>
        </references>
      </pivotArea>
    </format>
    <format dxfId="470">
      <pivotArea dataOnly="0" labelOnly="1" fieldPosition="0">
        <references count="3">
          <reference field="1" count="4">
            <x v="0"/>
            <x v="1"/>
            <x v="2"/>
            <x v="3"/>
          </reference>
          <reference field="2" count="0" selected="0"/>
          <reference field="4" count="1" selected="0">
            <x v="3"/>
          </reference>
        </references>
      </pivotArea>
    </format>
    <format dxfId="471">
      <pivotArea dataOnly="0" labelOnly="1" fieldPosition="0">
        <references count="3">
          <reference field="1" count="4">
            <x v="0"/>
            <x v="1"/>
            <x v="2"/>
            <x v="3"/>
          </reference>
          <reference field="2" count="0" selected="0"/>
          <reference field="4" count="1" selected="0">
            <x v="4"/>
          </reference>
        </references>
      </pivotArea>
    </format>
    <format dxfId="472">
      <pivotArea dataOnly="0" labelOnly="1" fieldPosition="0">
        <references count="3">
          <reference field="1" count="0"/>
          <reference field="2" count="0" selected="0"/>
          <reference field="4" count="1" selected="0">
            <x v="5"/>
          </reference>
        </references>
      </pivotArea>
    </format>
    <format dxfId="473">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474">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475">
      <pivotArea dataOnly="0" labelOnly="1" fieldPosition="0">
        <references count="4">
          <reference field="1" count="1" selected="0">
            <x v="2"/>
          </reference>
          <reference field="2" count="0" selected="0"/>
          <reference field="4" count="1" selected="0">
            <x v="0"/>
          </reference>
          <reference field="8" count="1">
            <x v="21"/>
          </reference>
        </references>
      </pivotArea>
    </format>
    <format dxfId="476">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477">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478">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479">
      <pivotArea dataOnly="0" labelOnly="1" fieldPosition="0">
        <references count="4">
          <reference field="1" count="1" selected="0">
            <x v="2"/>
          </reference>
          <reference field="2" count="0" selected="0"/>
          <reference field="4" count="1" selected="0">
            <x v="1"/>
          </reference>
          <reference field="8" count="1">
            <x v="21"/>
          </reference>
        </references>
      </pivotArea>
    </format>
    <format dxfId="480">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481">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482">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483">
      <pivotArea dataOnly="0" labelOnly="1" fieldPosition="0">
        <references count="4">
          <reference field="1" count="1" selected="0">
            <x v="2"/>
          </reference>
          <reference field="2" count="0" selected="0"/>
          <reference field="4" count="1" selected="0">
            <x v="2"/>
          </reference>
          <reference field="8" count="1">
            <x v="21"/>
          </reference>
        </references>
      </pivotArea>
    </format>
    <format dxfId="484">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485">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486">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487">
      <pivotArea dataOnly="0" labelOnly="1" fieldPosition="0">
        <references count="4">
          <reference field="1" count="1" selected="0">
            <x v="2"/>
          </reference>
          <reference field="2" count="0" selected="0"/>
          <reference field="4" count="1" selected="0">
            <x v="3"/>
          </reference>
          <reference field="8" count="1">
            <x v="21"/>
          </reference>
        </references>
      </pivotArea>
    </format>
    <format dxfId="488">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489">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490">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491">
      <pivotArea dataOnly="0" labelOnly="1" fieldPosition="0">
        <references count="4">
          <reference field="1" count="1" selected="0">
            <x v="2"/>
          </reference>
          <reference field="2" count="0" selected="0"/>
          <reference field="4" count="1" selected="0">
            <x v="4"/>
          </reference>
          <reference field="8" count="1">
            <x v="21"/>
          </reference>
        </references>
      </pivotArea>
    </format>
    <format dxfId="492">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493">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494">
      <pivotArea dataOnly="0" labelOnly="1" fieldPosition="0">
        <references count="4">
          <reference field="1" count="1" selected="0">
            <x v="1"/>
          </reference>
          <reference field="2" count="0" selected="0"/>
          <reference field="4" count="1" selected="0">
            <x v="5"/>
          </reference>
          <reference field="8" count="1">
            <x v="4"/>
          </reference>
        </references>
      </pivotArea>
    </format>
    <format dxfId="495">
      <pivotArea dataOnly="0" labelOnly="1" fieldPosition="0">
        <references count="4">
          <reference field="1" count="1" selected="0">
            <x v="2"/>
          </reference>
          <reference field="2" count="0" selected="0"/>
          <reference field="4" count="1" selected="0">
            <x v="5"/>
          </reference>
          <reference field="8" count="1">
            <x v="21"/>
          </reference>
        </references>
      </pivotArea>
    </format>
    <format dxfId="496">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497">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498">
      <pivotArea outline="0" collapsedLevelsAreSubtotals="1" fieldPosition="0"/>
    </format>
    <format dxfId="499">
      <pivotArea field="2" type="button" dataOnly="0" labelOnly="1" outline="0" axis="axisRow" fieldPosition="2"/>
    </format>
    <format dxfId="500">
      <pivotArea type="topRight" dataOnly="0" labelOnly="1" outline="0" fieldPosition="0"/>
    </format>
    <format dxfId="501">
      <pivotArea dataOnly="0" labelOnly="1" fieldPosition="0">
        <references count="1">
          <reference field="2" count="5">
            <x v="0"/>
            <x v="3"/>
            <x v="19"/>
            <x v="20"/>
            <x v="22"/>
          </reference>
        </references>
      </pivotArea>
    </format>
    <format dxfId="502">
      <pivotArea dataOnly="0" labelOnly="1" grandCol="1" outline="0" fieldPosition="0"/>
    </format>
    <format dxfId="503">
      <pivotArea field="5" type="button" dataOnly="0" labelOnly="1" outline="0" axis="axisRow" fieldPosition="0"/>
    </format>
    <format dxfId="504">
      <pivotArea dataOnly="0" labelOnly="1" fieldPosition="0">
        <references count="1">
          <reference field="5" count="0"/>
        </references>
      </pivotArea>
    </format>
    <format dxfId="505">
      <pivotArea dataOnly="0" labelOnly="1" fieldPosition="0">
        <references count="2">
          <reference field="2" count="5">
            <x v="0"/>
            <x v="3"/>
            <x v="19"/>
            <x v="20"/>
            <x v="22"/>
          </reference>
          <reference field="5" count="0" selected="0"/>
        </references>
      </pivotArea>
    </format>
    <format dxfId="506">
      <pivotArea dataOnly="0" labelOnly="1" fieldPosition="0">
        <references count="3">
          <reference field="2" count="1" selected="0">
            <x v="0"/>
          </reference>
          <reference field="5" count="0" selected="0"/>
          <reference field="6" count="4">
            <x v="134"/>
            <x v="135"/>
            <x v="136"/>
            <x v="137"/>
          </reference>
        </references>
      </pivotArea>
    </format>
    <format dxfId="507">
      <pivotArea dataOnly="0" labelOnly="1" fieldPosition="0">
        <references count="3">
          <reference field="2" count="1" selected="0">
            <x v="3"/>
          </reference>
          <reference field="5" count="0" selected="0"/>
          <reference field="6" count="1">
            <x v="119"/>
          </reference>
        </references>
      </pivotArea>
    </format>
    <format dxfId="508">
      <pivotArea dataOnly="0" labelOnly="1" fieldPosition="0">
        <references count="3">
          <reference field="2" count="1" selected="0">
            <x v="19"/>
          </reference>
          <reference field="5" count="0" selected="0"/>
          <reference field="6" count="1">
            <x v="114"/>
          </reference>
        </references>
      </pivotArea>
    </format>
    <format dxfId="509">
      <pivotArea dataOnly="0" labelOnly="1" fieldPosition="0">
        <references count="3">
          <reference field="2" count="1" selected="0">
            <x v="20"/>
          </reference>
          <reference field="5" count="0" selected="0"/>
          <reference field="6" count="3">
            <x v="99"/>
            <x v="113"/>
            <x v="120"/>
          </reference>
        </references>
      </pivotArea>
    </format>
    <format dxfId="510">
      <pivotArea dataOnly="0" labelOnly="1" fieldPosition="0">
        <references count="3">
          <reference field="2" count="1" selected="0">
            <x v="22"/>
          </reference>
          <reference field="5" count="0" selected="0"/>
          <reference field="6" count="1">
            <x v="143"/>
          </reference>
        </references>
      </pivotArea>
    </format>
    <format dxfId="511">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512">
      <pivotArea dataOnly="0" labelOnly="1" fieldPosition="0">
        <references count="4">
          <reference field="2" count="1" selected="0">
            <x v="0"/>
          </reference>
          <reference field="5" count="0" selected="0"/>
          <reference field="6" count="1" selected="0">
            <x v="135"/>
          </reference>
          <reference field="8" count="1">
            <x v="10"/>
          </reference>
        </references>
      </pivotArea>
    </format>
    <format dxfId="513">
      <pivotArea dataOnly="0" labelOnly="1" fieldPosition="0">
        <references count="4">
          <reference field="2" count="1" selected="0">
            <x v="0"/>
          </reference>
          <reference field="5" count="0" selected="0"/>
          <reference field="6" count="1" selected="0">
            <x v="136"/>
          </reference>
          <reference field="8" count="1">
            <x v="21"/>
          </reference>
        </references>
      </pivotArea>
    </format>
    <format dxfId="514">
      <pivotArea dataOnly="0" labelOnly="1" fieldPosition="0">
        <references count="4">
          <reference field="2" count="1" selected="0">
            <x v="0"/>
          </reference>
          <reference field="5" count="0" selected="0"/>
          <reference field="6" count="1" selected="0">
            <x v="137"/>
          </reference>
          <reference field="8" count="1">
            <x v="16"/>
          </reference>
        </references>
      </pivotArea>
    </format>
    <format dxfId="515">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516">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517">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518">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519">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520">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521">
      <pivotArea dataOnly="0" labelOnly="1" outline="0" fieldPosition="0">
        <references count="1">
          <reference field="4294967294" count="1">
            <x v="1"/>
          </reference>
        </references>
      </pivotArea>
    </format>
    <format dxfId="522">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523">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524">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525">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526">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527">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528">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529">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530">
      <pivotArea collapsedLevelsAreSubtotals="1" fieldPosition="0">
        <references count="3">
          <reference field="4294967294" count="1" selected="0">
            <x v="0"/>
          </reference>
          <reference field="2" count="1">
            <x v="22"/>
          </reference>
          <reference field="5" count="0" selected="0"/>
        </references>
      </pivotArea>
    </format>
    <format dxfId="531">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532">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A0548C8-5D2A-4EE4-B757-91D317DFC29D}"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C104" firstHeaderRow="0" firstDataRow="1" firstDataCol="1" rowPageCount="3" colPageCount="1"/>
  <pivotFields count="20">
    <pivotField showAll="0"/>
    <pivotField axis="axisPage" showAll="0" defaultSubtotal="0">
      <items count="7">
        <item h="1" x="2"/>
        <item x="1"/>
        <item h="1" x="0"/>
        <item h="1" x="3"/>
        <item m="1" x="6"/>
        <item m="1" x="4"/>
        <item h="1"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Page" multipleItemSelectionAllowed="1" showAll="0">
      <items count="8">
        <item h="1" x="3"/>
        <item h="1" x="1"/>
        <item x="4"/>
        <item h="1" x="5"/>
        <item h="1" x="0"/>
        <item h="1" x="6"/>
        <item h="1" x="2"/>
        <item t="default"/>
      </items>
    </pivotField>
    <pivotField axis="axisRow" showAll="0">
      <items count="32">
        <item m="1" x="27"/>
        <item x="1"/>
        <item x="6"/>
        <item x="7"/>
        <item x="8"/>
        <item m="1" x="22"/>
        <item m="1" x="28"/>
        <item m="1" x="30"/>
        <item m="1" x="25"/>
        <item x="10"/>
        <item x="9"/>
        <item m="1" x="26"/>
        <item x="3"/>
        <item x="11"/>
        <item x="0"/>
        <item x="2"/>
        <item x="4"/>
        <item x="14"/>
        <item m="1" x="24"/>
        <item m="1" x="29"/>
        <item x="13"/>
        <item x="15"/>
        <item x="5"/>
        <item x="16"/>
        <item x="17"/>
        <item m="1" x="23"/>
        <item x="12"/>
        <item m="1" x="21"/>
        <item x="18"/>
        <item x="19"/>
        <item x="20"/>
        <item t="default"/>
      </items>
    </pivotField>
    <pivotField axis="axisRow" showAll="0">
      <items count="187">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 t="default"/>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dataField="1"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h="1" x="13"/>
        <item h="1" x="12"/>
        <item h="1"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5"/>
    <field x="6"/>
    <field x="2"/>
    <field x="8"/>
  </rowFields>
  <rowItems count="98">
    <i>
      <x v="3"/>
    </i>
    <i r="1">
      <x v="27"/>
    </i>
    <i r="2">
      <x v="5"/>
    </i>
    <i r="3">
      <x v="11"/>
    </i>
    <i>
      <x v="9"/>
    </i>
    <i r="1">
      <x v="84"/>
    </i>
    <i r="2">
      <x v="12"/>
    </i>
    <i r="3">
      <x v="4"/>
    </i>
    <i>
      <x v="12"/>
    </i>
    <i r="1">
      <x v="21"/>
    </i>
    <i r="2">
      <x v="3"/>
    </i>
    <i r="3">
      <x v="3"/>
    </i>
    <i r="3">
      <x v="4"/>
    </i>
    <i r="1">
      <x v="46"/>
    </i>
    <i r="2">
      <x v="10"/>
    </i>
    <i r="3">
      <x v="11"/>
    </i>
    <i r="1">
      <x v="119"/>
    </i>
    <i r="2">
      <x v="3"/>
    </i>
    <i r="3">
      <x v="3"/>
    </i>
    <i r="3">
      <x v="4"/>
    </i>
    <i r="1">
      <x v="123"/>
    </i>
    <i r="2">
      <x v="20"/>
    </i>
    <i r="3">
      <x v="11"/>
    </i>
    <i r="1">
      <x v="124"/>
    </i>
    <i r="2">
      <x v="20"/>
    </i>
    <i r="3">
      <x v="4"/>
    </i>
    <i r="1">
      <x v="156"/>
    </i>
    <i r="2">
      <x v="22"/>
    </i>
    <i r="3">
      <x v="11"/>
    </i>
    <i>
      <x v="14"/>
    </i>
    <i r="1">
      <x v="26"/>
    </i>
    <i r="2">
      <x v="7"/>
    </i>
    <i r="3">
      <x v="11"/>
    </i>
    <i r="1">
      <x v="92"/>
    </i>
    <i r="2">
      <x v="21"/>
    </i>
    <i r="3">
      <x v="4"/>
    </i>
    <i>
      <x v="15"/>
    </i>
    <i r="1">
      <x v="7"/>
    </i>
    <i r="2">
      <x v="2"/>
    </i>
    <i r="3">
      <x v="11"/>
    </i>
    <i r="1">
      <x v="12"/>
    </i>
    <i r="2">
      <x v="4"/>
    </i>
    <i r="3">
      <x v="9"/>
    </i>
    <i r="1">
      <x v="32"/>
    </i>
    <i r="2">
      <x v="16"/>
    </i>
    <i r="3">
      <x v="9"/>
    </i>
    <i r="2">
      <x v="19"/>
    </i>
    <i r="3">
      <x v="10"/>
    </i>
    <i r="1">
      <x v="41"/>
    </i>
    <i r="2">
      <x v="4"/>
    </i>
    <i r="3">
      <x v="11"/>
    </i>
    <i r="1">
      <x v="43"/>
    </i>
    <i r="2">
      <x v="12"/>
    </i>
    <i r="3">
      <x v="10"/>
    </i>
    <i r="3">
      <x v="35"/>
    </i>
    <i r="1">
      <x v="105"/>
    </i>
    <i r="2">
      <x v="21"/>
    </i>
    <i r="3">
      <x v="11"/>
    </i>
    <i r="1">
      <x v="106"/>
    </i>
    <i r="2">
      <x v="21"/>
    </i>
    <i r="3">
      <x v="4"/>
    </i>
    <i r="1">
      <x v="107"/>
    </i>
    <i r="2">
      <x v="18"/>
    </i>
    <i r="3">
      <x v="11"/>
    </i>
    <i r="1">
      <x v="109"/>
    </i>
    <i r="2">
      <x v="21"/>
    </i>
    <i r="3">
      <x v="10"/>
    </i>
    <i r="1">
      <x v="114"/>
    </i>
    <i r="2">
      <x v="19"/>
    </i>
    <i r="3">
      <x v="10"/>
    </i>
    <i r="1">
      <x v="148"/>
    </i>
    <i r="2">
      <x v="25"/>
    </i>
    <i r="3">
      <x v="11"/>
    </i>
    <i>
      <x v="16"/>
    </i>
    <i r="1">
      <x v="23"/>
    </i>
    <i r="2">
      <x v="13"/>
    </i>
    <i r="3">
      <x v="6"/>
    </i>
    <i r="1">
      <x v="26"/>
    </i>
    <i r="2">
      <x v="7"/>
    </i>
    <i r="3">
      <x v="4"/>
    </i>
    <i r="1">
      <x v="89"/>
    </i>
    <i r="2">
      <x v="21"/>
    </i>
    <i r="3">
      <x v="4"/>
    </i>
    <i r="3">
      <x v="11"/>
    </i>
    <i r="1">
      <x v="101"/>
    </i>
    <i r="2">
      <x/>
    </i>
    <i r="3">
      <x v="3"/>
    </i>
    <i r="3">
      <x v="4"/>
    </i>
    <i r="3">
      <x v="11"/>
    </i>
    <i r="3">
      <x v="36"/>
    </i>
    <i r="1">
      <x v="149"/>
    </i>
    <i r="2">
      <x v="25"/>
    </i>
    <i r="3">
      <x v="3"/>
    </i>
    <i r="3">
      <x v="4"/>
    </i>
    <i>
      <x v="20"/>
    </i>
    <i r="1">
      <x v="44"/>
    </i>
    <i r="2">
      <x v="9"/>
    </i>
    <i r="3">
      <x v="11"/>
    </i>
  </rowItems>
  <colFields count="1">
    <field x="-2"/>
  </colFields>
  <colItems count="2">
    <i>
      <x/>
    </i>
    <i i="1">
      <x v="1"/>
    </i>
  </colItems>
  <pageFields count="3">
    <pageField fld="4" hier="-1"/>
    <pageField fld="1" item="1" hier="-1"/>
    <pageField fld="11" hier="-1"/>
  </pageFields>
  <dataFields count="2">
    <dataField name="QTY" fld="11" baseField="0" baseItem="0"/>
    <dataField name="Not available" fld="10" baseField="0" baseItem="0"/>
  </dataFields>
  <formats count="79">
    <format dxfId="375">
      <pivotArea type="origin" dataOnly="0" labelOnly="1" outline="0" fieldPosition="0"/>
    </format>
    <format dxfId="376">
      <pivotArea field="8" type="button" dataOnly="0" labelOnly="1" outline="0" axis="axisRow" fieldPosition="3"/>
    </format>
    <format dxfId="377">
      <pivotArea dataOnly="0" labelOnly="1" fieldPosition="0">
        <references count="1">
          <reference field="8" count="0"/>
        </references>
      </pivotArea>
    </format>
    <format dxfId="378">
      <pivotArea dataOnly="0" labelOnly="1" grandRow="1" outline="0" fieldPosition="0"/>
    </format>
    <format dxfId="379">
      <pivotArea dataOnly="0" labelOnly="1" grandCol="1" outline="0" fieldPosition="0"/>
    </format>
    <format dxfId="380">
      <pivotArea grandCol="1" outline="0" collapsedLevelsAreSubtotals="1" fieldPosition="0"/>
    </format>
    <format dxfId="381">
      <pivotArea outline="0" collapsedLevelsAreSubtotals="1" fieldPosition="0"/>
    </format>
    <format dxfId="382">
      <pivotArea dataOnly="0" labelOnly="1" outline="0" fieldPosition="0">
        <references count="1">
          <reference field="4" count="0"/>
        </references>
      </pivotArea>
    </format>
    <format dxfId="383">
      <pivotArea type="topRight" dataOnly="0" labelOnly="1" outline="0" fieldPosition="0"/>
    </format>
    <format dxfId="384">
      <pivotArea dataOnly="0" labelOnly="1" grandCol="1" outline="0" fieldPosition="0"/>
    </format>
    <format dxfId="385">
      <pivotArea dataOnly="0" labelOnly="1" outline="0" fieldPosition="0">
        <references count="1">
          <reference field="4" count="0"/>
        </references>
      </pivotArea>
    </format>
    <format dxfId="386">
      <pivotArea dataOnly="0" labelOnly="1" fieldPosition="0">
        <references count="1">
          <reference field="2" count="0"/>
        </references>
      </pivotArea>
    </format>
    <format dxfId="387">
      <pivotArea dataOnly="0" labelOnly="1" fieldPosition="0">
        <references count="2">
          <reference field="2" count="0" selected="0"/>
          <reference field="4" count="0"/>
        </references>
      </pivotArea>
    </format>
    <format dxfId="388">
      <pivotArea dataOnly="0" labelOnly="1" fieldPosition="0">
        <references count="3">
          <reference field="1" count="4">
            <x v="0"/>
            <x v="1"/>
            <x v="2"/>
            <x v="3"/>
          </reference>
          <reference field="2" count="0" selected="0"/>
          <reference field="4" count="1" selected="0">
            <x v="0"/>
          </reference>
        </references>
      </pivotArea>
    </format>
    <format dxfId="389">
      <pivotArea dataOnly="0" labelOnly="1" fieldPosition="0">
        <references count="3">
          <reference field="1" count="4">
            <x v="0"/>
            <x v="1"/>
            <x v="2"/>
            <x v="3"/>
          </reference>
          <reference field="2" count="0" selected="0"/>
          <reference field="4" count="1" selected="0">
            <x v="1"/>
          </reference>
        </references>
      </pivotArea>
    </format>
    <format dxfId="390">
      <pivotArea dataOnly="0" labelOnly="1" fieldPosition="0">
        <references count="3">
          <reference field="1" count="4">
            <x v="0"/>
            <x v="1"/>
            <x v="2"/>
            <x v="3"/>
          </reference>
          <reference field="2" count="0" selected="0"/>
          <reference field="4" count="1" selected="0">
            <x v="2"/>
          </reference>
        </references>
      </pivotArea>
    </format>
    <format dxfId="391">
      <pivotArea dataOnly="0" labelOnly="1" fieldPosition="0">
        <references count="3">
          <reference field="1" count="4">
            <x v="0"/>
            <x v="1"/>
            <x v="2"/>
            <x v="3"/>
          </reference>
          <reference field="2" count="0" selected="0"/>
          <reference field="4" count="1" selected="0">
            <x v="3"/>
          </reference>
        </references>
      </pivotArea>
    </format>
    <format dxfId="392">
      <pivotArea dataOnly="0" labelOnly="1" fieldPosition="0">
        <references count="3">
          <reference field="1" count="4">
            <x v="0"/>
            <x v="1"/>
            <x v="2"/>
            <x v="3"/>
          </reference>
          <reference field="2" count="0" selected="0"/>
          <reference field="4" count="1" selected="0">
            <x v="4"/>
          </reference>
        </references>
      </pivotArea>
    </format>
    <format dxfId="393">
      <pivotArea dataOnly="0" labelOnly="1" fieldPosition="0">
        <references count="3">
          <reference field="1" count="0"/>
          <reference field="2" count="0" selected="0"/>
          <reference field="4" count="1" selected="0">
            <x v="5"/>
          </reference>
        </references>
      </pivotArea>
    </format>
    <format dxfId="394">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395">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396">
      <pivotArea dataOnly="0" labelOnly="1" fieldPosition="0">
        <references count="4">
          <reference field="1" count="1" selected="0">
            <x v="2"/>
          </reference>
          <reference field="2" count="0" selected="0"/>
          <reference field="4" count="1" selected="0">
            <x v="0"/>
          </reference>
          <reference field="8" count="1">
            <x v="21"/>
          </reference>
        </references>
      </pivotArea>
    </format>
    <format dxfId="397">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398">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399">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400">
      <pivotArea dataOnly="0" labelOnly="1" fieldPosition="0">
        <references count="4">
          <reference field="1" count="1" selected="0">
            <x v="2"/>
          </reference>
          <reference field="2" count="0" selected="0"/>
          <reference field="4" count="1" selected="0">
            <x v="1"/>
          </reference>
          <reference field="8" count="1">
            <x v="21"/>
          </reference>
        </references>
      </pivotArea>
    </format>
    <format dxfId="401">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402">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403">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404">
      <pivotArea dataOnly="0" labelOnly="1" fieldPosition="0">
        <references count="4">
          <reference field="1" count="1" selected="0">
            <x v="2"/>
          </reference>
          <reference field="2" count="0" selected="0"/>
          <reference field="4" count="1" selected="0">
            <x v="2"/>
          </reference>
          <reference field="8" count="1">
            <x v="21"/>
          </reference>
        </references>
      </pivotArea>
    </format>
    <format dxfId="405">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406">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407">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408">
      <pivotArea dataOnly="0" labelOnly="1" fieldPosition="0">
        <references count="4">
          <reference field="1" count="1" selected="0">
            <x v="2"/>
          </reference>
          <reference field="2" count="0" selected="0"/>
          <reference field="4" count="1" selected="0">
            <x v="3"/>
          </reference>
          <reference field="8" count="1">
            <x v="21"/>
          </reference>
        </references>
      </pivotArea>
    </format>
    <format dxfId="409">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410">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411">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412">
      <pivotArea dataOnly="0" labelOnly="1" fieldPosition="0">
        <references count="4">
          <reference field="1" count="1" selected="0">
            <x v="2"/>
          </reference>
          <reference field="2" count="0" selected="0"/>
          <reference field="4" count="1" selected="0">
            <x v="4"/>
          </reference>
          <reference field="8" count="1">
            <x v="21"/>
          </reference>
        </references>
      </pivotArea>
    </format>
    <format dxfId="413">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414">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415">
      <pivotArea dataOnly="0" labelOnly="1" fieldPosition="0">
        <references count="4">
          <reference field="1" count="1" selected="0">
            <x v="1"/>
          </reference>
          <reference field="2" count="0" selected="0"/>
          <reference field="4" count="1" selected="0">
            <x v="5"/>
          </reference>
          <reference field="8" count="1">
            <x v="4"/>
          </reference>
        </references>
      </pivotArea>
    </format>
    <format dxfId="416">
      <pivotArea dataOnly="0" labelOnly="1" fieldPosition="0">
        <references count="4">
          <reference field="1" count="1" selected="0">
            <x v="2"/>
          </reference>
          <reference field="2" count="0" selected="0"/>
          <reference field="4" count="1" selected="0">
            <x v="5"/>
          </reference>
          <reference field="8" count="1">
            <x v="21"/>
          </reference>
        </references>
      </pivotArea>
    </format>
    <format dxfId="417">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418">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419">
      <pivotArea outline="0" collapsedLevelsAreSubtotals="1" fieldPosition="0"/>
    </format>
    <format dxfId="420">
      <pivotArea field="2" type="button" dataOnly="0" labelOnly="1" outline="0" axis="axisRow" fieldPosition="2"/>
    </format>
    <format dxfId="421">
      <pivotArea type="topRight" dataOnly="0" labelOnly="1" outline="0" fieldPosition="0"/>
    </format>
    <format dxfId="422">
      <pivotArea dataOnly="0" labelOnly="1" fieldPosition="0">
        <references count="1">
          <reference field="2" count="5">
            <x v="0"/>
            <x v="3"/>
            <x v="19"/>
            <x v="20"/>
            <x v="22"/>
          </reference>
        </references>
      </pivotArea>
    </format>
    <format dxfId="423">
      <pivotArea dataOnly="0" labelOnly="1" grandCol="1" outline="0" fieldPosition="0"/>
    </format>
    <format dxfId="424">
      <pivotArea field="5" type="button" dataOnly="0" labelOnly="1" outline="0" axis="axisRow" fieldPosition="0"/>
    </format>
    <format dxfId="425">
      <pivotArea dataOnly="0" labelOnly="1" fieldPosition="0">
        <references count="1">
          <reference field="5" count="0"/>
        </references>
      </pivotArea>
    </format>
    <format dxfId="426">
      <pivotArea dataOnly="0" labelOnly="1" fieldPosition="0">
        <references count="2">
          <reference field="2" count="5">
            <x v="0"/>
            <x v="3"/>
            <x v="19"/>
            <x v="20"/>
            <x v="22"/>
          </reference>
          <reference field="5" count="0" selected="0"/>
        </references>
      </pivotArea>
    </format>
    <format dxfId="427">
      <pivotArea dataOnly="0" labelOnly="1" fieldPosition="0">
        <references count="3">
          <reference field="2" count="1" selected="0">
            <x v="0"/>
          </reference>
          <reference field="5" count="0" selected="0"/>
          <reference field="6" count="4">
            <x v="134"/>
            <x v="135"/>
            <x v="136"/>
            <x v="137"/>
          </reference>
        </references>
      </pivotArea>
    </format>
    <format dxfId="428">
      <pivotArea dataOnly="0" labelOnly="1" fieldPosition="0">
        <references count="3">
          <reference field="2" count="1" selected="0">
            <x v="3"/>
          </reference>
          <reference field="5" count="0" selected="0"/>
          <reference field="6" count="1">
            <x v="119"/>
          </reference>
        </references>
      </pivotArea>
    </format>
    <format dxfId="429">
      <pivotArea dataOnly="0" labelOnly="1" fieldPosition="0">
        <references count="3">
          <reference field="2" count="1" selected="0">
            <x v="19"/>
          </reference>
          <reference field="5" count="0" selected="0"/>
          <reference field="6" count="1">
            <x v="114"/>
          </reference>
        </references>
      </pivotArea>
    </format>
    <format dxfId="430">
      <pivotArea dataOnly="0" labelOnly="1" fieldPosition="0">
        <references count="3">
          <reference field="2" count="1" selected="0">
            <x v="20"/>
          </reference>
          <reference field="5" count="0" selected="0"/>
          <reference field="6" count="3">
            <x v="99"/>
            <x v="113"/>
            <x v="120"/>
          </reference>
        </references>
      </pivotArea>
    </format>
    <format dxfId="431">
      <pivotArea dataOnly="0" labelOnly="1" fieldPosition="0">
        <references count="3">
          <reference field="2" count="1" selected="0">
            <x v="22"/>
          </reference>
          <reference field="5" count="0" selected="0"/>
          <reference field="6" count="1">
            <x v="143"/>
          </reference>
        </references>
      </pivotArea>
    </format>
    <format dxfId="432">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433">
      <pivotArea dataOnly="0" labelOnly="1" fieldPosition="0">
        <references count="4">
          <reference field="2" count="1" selected="0">
            <x v="0"/>
          </reference>
          <reference field="5" count="0" selected="0"/>
          <reference field="6" count="1" selected="0">
            <x v="135"/>
          </reference>
          <reference field="8" count="1">
            <x v="10"/>
          </reference>
        </references>
      </pivotArea>
    </format>
    <format dxfId="434">
      <pivotArea dataOnly="0" labelOnly="1" fieldPosition="0">
        <references count="4">
          <reference field="2" count="1" selected="0">
            <x v="0"/>
          </reference>
          <reference field="5" count="0" selected="0"/>
          <reference field="6" count="1" selected="0">
            <x v="136"/>
          </reference>
          <reference field="8" count="1">
            <x v="21"/>
          </reference>
        </references>
      </pivotArea>
    </format>
    <format dxfId="435">
      <pivotArea dataOnly="0" labelOnly="1" fieldPosition="0">
        <references count="4">
          <reference field="2" count="1" selected="0">
            <x v="0"/>
          </reference>
          <reference field="5" count="0" selected="0"/>
          <reference field="6" count="1" selected="0">
            <x v="137"/>
          </reference>
          <reference field="8" count="1">
            <x v="16"/>
          </reference>
        </references>
      </pivotArea>
    </format>
    <format dxfId="436">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437">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438">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439">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440">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441">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442">
      <pivotArea dataOnly="0" labelOnly="1" outline="0" fieldPosition="0">
        <references count="1">
          <reference field="4294967294" count="1">
            <x v="1"/>
          </reference>
        </references>
      </pivotArea>
    </format>
    <format dxfId="443">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444">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445">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446">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447">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448">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449">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450">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451">
      <pivotArea collapsedLevelsAreSubtotals="1" fieldPosition="0">
        <references count="3">
          <reference field="4294967294" count="1" selected="0">
            <x v="0"/>
          </reference>
          <reference field="2" count="1">
            <x v="22"/>
          </reference>
          <reference field="5" count="0" selected="0"/>
        </references>
      </pivotArea>
    </format>
    <format dxfId="452">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453">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B357263-CAAF-4C38-A9FC-6452EFEEF3DE}"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G59" firstHeaderRow="1" firstDataRow="2" firstDataCol="1" rowPageCount="2" colPageCount="1"/>
  <pivotFields count="20">
    <pivotField showAll="0"/>
    <pivotField axis="axisRow" showAll="0" defaultSubtotal="0">
      <items count="7">
        <item h="1" x="2"/>
        <item h="1" x="1"/>
        <item x="0"/>
        <item h="1" x="3"/>
        <item h="1" m="1" x="6"/>
        <item m="1" x="4"/>
        <item m="1" x="5"/>
      </items>
    </pivotField>
    <pivotField axis="axisPage"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Col" multipleItemSelectionAllowed="1" showAll="0">
      <items count="8">
        <item x="3"/>
        <item x="1"/>
        <item x="4"/>
        <item x="5"/>
        <item x="0"/>
        <item h="1" x="6"/>
        <item h="1" x="2"/>
        <item t="default"/>
      </items>
    </pivotField>
    <pivotField axis="axisRow" showAll="0">
      <items count="32">
        <item sd="0" m="1" x="27"/>
        <item sd="0" x="1"/>
        <item x="6"/>
        <item x="7"/>
        <item x="8"/>
        <item sd="0" m="1" x="22"/>
        <item sd="0" m="1" x="28"/>
        <item sd="0" m="1" x="30"/>
        <item sd="0" m="1" x="25"/>
        <item x="10"/>
        <item x="9"/>
        <item sd="0" m="1" x="26"/>
        <item sd="0" x="3"/>
        <item sd="0" x="11"/>
        <item x="0"/>
        <item x="2"/>
        <item x="4"/>
        <item sd="0" x="14"/>
        <item sd="0" m="1" x="24"/>
        <item sd="0" m="1" x="29"/>
        <item sd="0" x="13"/>
        <item sd="0" x="15"/>
        <item sd="0" x="5"/>
        <item sd="0" x="16"/>
        <item sd="0" x="17"/>
        <item sd="0" m="1" x="23"/>
        <item sd="0" x="12"/>
        <item sd="0" m="1" x="21"/>
        <item sd="0" x="18"/>
        <item sd="0" x="19"/>
        <item x="20"/>
        <item t="default" sd="0"/>
      </items>
    </pivotField>
    <pivotField axis="axisRow" showAll="0" defaultSubtotal="0">
      <items count="186">
        <item x="71"/>
        <item x="59"/>
        <item x="44"/>
        <item x="47"/>
        <item sd="0" x="73"/>
        <item x="74"/>
        <item sd="0" x="72"/>
        <item x="23"/>
        <item x="105"/>
        <item m="1" x="185"/>
        <item x="37"/>
        <item x="8"/>
        <item x="6"/>
        <item x="9"/>
        <item x="10"/>
        <item sd="0" x="28"/>
        <item x="103"/>
        <item m="1" x="165"/>
        <item sd="0" x="75"/>
        <item x="29"/>
        <item x="30"/>
        <item x="19"/>
        <item x="112"/>
        <item x="81"/>
        <item x="15"/>
        <item x="0"/>
        <item x="60"/>
        <item x="66"/>
        <item x="93"/>
        <item sd="0" x="25"/>
        <item x="69"/>
        <item x="70"/>
        <item x="4"/>
        <item m="1" x="178"/>
        <item x="12"/>
        <item x="31"/>
        <item sd="0" x="22"/>
        <item x="7"/>
        <item x="21"/>
        <item x="106"/>
        <item x="33"/>
        <item sd="0" x="5"/>
        <item x="3"/>
        <item x="92"/>
        <item x="63"/>
        <item x="97"/>
        <item x="38"/>
        <item x="39"/>
        <item x="46"/>
        <item m="1" x="181"/>
        <item m="1" x="182"/>
        <item m="1" x="180"/>
        <item x="82"/>
        <item x="67"/>
        <item x="94"/>
        <item x="100"/>
        <item x="85"/>
        <item sd="0" x="86"/>
        <item x="95"/>
        <item x="102"/>
        <item x="104"/>
        <item x="96"/>
        <item x="88"/>
        <item x="79"/>
        <item x="80"/>
        <item x="1"/>
        <item x="61"/>
        <item x="119"/>
        <item x="121"/>
        <item x="122"/>
        <item x="110"/>
        <item x="89"/>
        <item x="91"/>
        <item x="90"/>
        <item x="87"/>
        <item x="101"/>
        <item x="107"/>
        <item x="26"/>
        <item sd="0" m="1" x="169"/>
        <item x="55"/>
        <item x="27"/>
        <item sd="0" x="14"/>
        <item m="1" x="171"/>
        <item m="1" x="170"/>
        <item x="83"/>
        <item x="84"/>
        <item sd="0" x="98"/>
        <item sd="0" x="99"/>
        <item x="58"/>
        <item sd="0" x="109"/>
        <item sd="0" x="118"/>
        <item m="1" x="166"/>
        <item sd="0" x="111"/>
        <item sd="0" x="120"/>
        <item x="36"/>
        <item x="48"/>
        <item x="51"/>
        <item x="49"/>
        <item x="68"/>
        <item x="126"/>
        <item m="1" x="184"/>
        <item x="62"/>
        <item m="1" x="179"/>
        <item x="43"/>
        <item x="42"/>
        <item x="114"/>
        <item sd="0"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h="1" x="19"/>
        <item h="1" x="27"/>
        <item h="1" x="5"/>
        <item h="1" x="4"/>
        <item h="1" x="3"/>
        <item h="1" x="17"/>
        <item h="1" x="26"/>
        <item x="11"/>
        <item x="6"/>
        <item h="1" x="2"/>
        <item h="1" x="9"/>
        <item h="1" x="7"/>
        <item h="1" m="1" x="49"/>
        <item h="1" m="1" x="50"/>
        <item h="1" m="1" x="48"/>
        <item h="1" x="10"/>
        <item h="1" x="8"/>
        <item h="1" x="14"/>
        <item h="1" m="1" x="52"/>
        <item h="1" m="1" x="53"/>
        <item h="1" x="25"/>
        <item h="1" x="1"/>
        <item h="1" x="18"/>
        <item h="1" x="22"/>
        <item h="1" m="1" x="54"/>
        <item h="1" x="16"/>
        <item h="1" m="1" x="40"/>
        <item h="1" x="32"/>
        <item h="1" m="1" x="47"/>
        <item h="1" x="31"/>
        <item h="1" m="1" x="51"/>
        <item h="1" x="15"/>
        <item h="1" x="20"/>
        <item h="1" m="1" x="43"/>
        <item h="1" x="23"/>
        <item h="1" x="28"/>
        <item h="1" x="21"/>
        <item h="1" x="33"/>
        <item h="1" x="34"/>
        <item h="1" x="35"/>
        <item h="1" x="36"/>
        <item h="1" m="1" x="44"/>
        <item h="1" x="37"/>
        <item h="1" m="1" x="45"/>
        <item h="1" m="1" x="46"/>
        <item h="1" x="38"/>
        <item h="1" x="0"/>
        <item h="1" m="1" x="41"/>
        <item h="1" x="12"/>
        <item h="1" x="13"/>
        <item h="1" m="1" x="42"/>
        <item h="1" x="24"/>
        <item h="1" x="30"/>
        <item h="1" x="29"/>
        <item h="1" x="39"/>
      </items>
    </pivotField>
    <pivotField showAll="0"/>
    <pivotField showAll="0"/>
    <pivotField axis="axisPage" dataField="1" multipleItemSelectionAllowed="1" showAll="0">
      <items count="81">
        <item h="1"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1"/>
    <field x="5"/>
    <field x="6"/>
    <field x="8"/>
  </rowFields>
  <rowItems count="52">
    <i>
      <x v="2"/>
    </i>
    <i r="1">
      <x v="2"/>
    </i>
    <i r="2">
      <x v="19"/>
    </i>
    <i r="3">
      <x v="8"/>
    </i>
    <i r="2">
      <x v="20"/>
    </i>
    <i r="3">
      <x v="8"/>
    </i>
    <i r="2">
      <x v="35"/>
    </i>
    <i r="3">
      <x v="8"/>
    </i>
    <i r="2">
      <x v="38"/>
    </i>
    <i r="3">
      <x v="8"/>
    </i>
    <i r="2">
      <x v="146"/>
    </i>
    <i r="3">
      <x v="8"/>
    </i>
    <i r="1">
      <x v="4"/>
    </i>
    <i r="2">
      <x/>
    </i>
    <i r="3">
      <x v="8"/>
    </i>
    <i r="2">
      <x v="71"/>
    </i>
    <i r="3">
      <x v="8"/>
    </i>
    <i r="2">
      <x v="72"/>
    </i>
    <i r="3">
      <x v="8"/>
    </i>
    <i r="2">
      <x v="73"/>
    </i>
    <i r="3">
      <x v="8"/>
    </i>
    <i r="2">
      <x v="155"/>
    </i>
    <i r="3">
      <x v="8"/>
    </i>
    <i r="2">
      <x v="171"/>
    </i>
    <i r="3">
      <x v="8"/>
    </i>
    <i r="1">
      <x v="9"/>
    </i>
    <i r="2">
      <x v="74"/>
    </i>
    <i r="3">
      <x v="8"/>
    </i>
    <i r="2">
      <x v="85"/>
    </i>
    <i r="3">
      <x v="8"/>
    </i>
    <i r="1">
      <x v="10"/>
    </i>
    <i r="2">
      <x v="56"/>
    </i>
    <i r="3">
      <x v="8"/>
    </i>
    <i r="2">
      <x v="57"/>
    </i>
    <i r="1">
      <x v="14"/>
    </i>
    <i r="2">
      <x v="92"/>
    </i>
    <i r="2">
      <x v="93"/>
    </i>
    <i r="1">
      <x v="15"/>
    </i>
    <i r="2">
      <x v="7"/>
    </i>
    <i r="3">
      <x v="8"/>
    </i>
    <i r="2">
      <x v="19"/>
    </i>
    <i r="3">
      <x v="8"/>
    </i>
    <i r="2">
      <x v="20"/>
    </i>
    <i r="3">
      <x v="8"/>
    </i>
    <i r="2">
      <x v="36"/>
    </i>
    <i r="2">
      <x v="41"/>
    </i>
    <i r="2">
      <x v="106"/>
    </i>
    <i r="2">
      <x v="151"/>
    </i>
    <i r="3">
      <x v="8"/>
    </i>
    <i r="1">
      <x v="16"/>
    </i>
    <i r="2">
      <x v="101"/>
    </i>
    <i r="3">
      <x v="8"/>
    </i>
  </rowItems>
  <colFields count="1">
    <field x="4"/>
  </colFields>
  <colItems count="6">
    <i>
      <x/>
    </i>
    <i>
      <x v="1"/>
    </i>
    <i>
      <x v="2"/>
    </i>
    <i>
      <x v="3"/>
    </i>
    <i>
      <x v="4"/>
    </i>
    <i t="grand">
      <x/>
    </i>
  </colItems>
  <pageFields count="2">
    <pageField fld="11" hier="-1"/>
    <pageField fld="2" hier="-1"/>
  </pageFields>
  <dataFields count="1">
    <dataField name="QTY" fld="11" baseField="0" baseItem="0"/>
  </dataFields>
  <formats count="82">
    <format dxfId="293">
      <pivotArea type="origin" dataOnly="0" labelOnly="1" outline="0" fieldPosition="0"/>
    </format>
    <format dxfId="294">
      <pivotArea field="8" type="button" dataOnly="0" labelOnly="1" outline="0" axis="axisRow" fieldPosition="3"/>
    </format>
    <format dxfId="295">
      <pivotArea dataOnly="0" labelOnly="1" fieldPosition="0">
        <references count="1">
          <reference field="8" count="0"/>
        </references>
      </pivotArea>
    </format>
    <format dxfId="296">
      <pivotArea dataOnly="0" labelOnly="1" grandRow="1" outline="0" fieldPosition="0"/>
    </format>
    <format dxfId="297">
      <pivotArea dataOnly="0" labelOnly="1" grandCol="1" outline="0" fieldPosition="0"/>
    </format>
    <format dxfId="298">
      <pivotArea grandCol="1" outline="0" collapsedLevelsAreSubtotals="1" fieldPosition="0"/>
    </format>
    <format dxfId="299">
      <pivotArea outline="0" collapsedLevelsAreSubtotals="1" fieldPosition="0"/>
    </format>
    <format dxfId="300">
      <pivotArea dataOnly="0" labelOnly="1" outline="0" fieldPosition="0">
        <references count="1">
          <reference field="4" count="0"/>
        </references>
      </pivotArea>
    </format>
    <format dxfId="301">
      <pivotArea type="topRight" dataOnly="0" labelOnly="1" outline="0" fieldPosition="0"/>
    </format>
    <format dxfId="302">
      <pivotArea dataOnly="0" labelOnly="1" grandCol="1" outline="0" fieldPosition="0"/>
    </format>
    <format dxfId="303">
      <pivotArea dataOnly="0" labelOnly="1" outline="0" fieldPosition="0">
        <references count="1">
          <reference field="4" count="0"/>
        </references>
      </pivotArea>
    </format>
    <format dxfId="304">
      <pivotArea dataOnly="0" labelOnly="1" fieldPosition="0">
        <references count="1">
          <reference field="2" count="0"/>
        </references>
      </pivotArea>
    </format>
    <format dxfId="305">
      <pivotArea dataOnly="0" labelOnly="1" fieldPosition="0">
        <references count="2">
          <reference field="2" count="0" selected="0"/>
          <reference field="4" count="0"/>
        </references>
      </pivotArea>
    </format>
    <format dxfId="306">
      <pivotArea dataOnly="0" labelOnly="1" fieldPosition="0">
        <references count="3">
          <reference field="1" count="4">
            <x v="0"/>
            <x v="1"/>
            <x v="2"/>
            <x v="3"/>
          </reference>
          <reference field="2" count="0" selected="0"/>
          <reference field="4" count="1" selected="0">
            <x v="0"/>
          </reference>
        </references>
      </pivotArea>
    </format>
    <format dxfId="307">
      <pivotArea dataOnly="0" labelOnly="1" fieldPosition="0">
        <references count="3">
          <reference field="1" count="4">
            <x v="0"/>
            <x v="1"/>
            <x v="2"/>
            <x v="3"/>
          </reference>
          <reference field="2" count="0" selected="0"/>
          <reference field="4" count="1" selected="0">
            <x v="1"/>
          </reference>
        </references>
      </pivotArea>
    </format>
    <format dxfId="308">
      <pivotArea dataOnly="0" labelOnly="1" fieldPosition="0">
        <references count="3">
          <reference field="1" count="4">
            <x v="0"/>
            <x v="1"/>
            <x v="2"/>
            <x v="3"/>
          </reference>
          <reference field="2" count="0" selected="0"/>
          <reference field="4" count="1" selected="0">
            <x v="2"/>
          </reference>
        </references>
      </pivotArea>
    </format>
    <format dxfId="309">
      <pivotArea dataOnly="0" labelOnly="1" fieldPosition="0">
        <references count="3">
          <reference field="1" count="4">
            <x v="0"/>
            <x v="1"/>
            <x v="2"/>
            <x v="3"/>
          </reference>
          <reference field="2" count="0" selected="0"/>
          <reference field="4" count="1" selected="0">
            <x v="3"/>
          </reference>
        </references>
      </pivotArea>
    </format>
    <format dxfId="310">
      <pivotArea dataOnly="0" labelOnly="1" fieldPosition="0">
        <references count="3">
          <reference field="1" count="4">
            <x v="0"/>
            <x v="1"/>
            <x v="2"/>
            <x v="3"/>
          </reference>
          <reference field="2" count="0" selected="0"/>
          <reference field="4" count="1" selected="0">
            <x v="4"/>
          </reference>
        </references>
      </pivotArea>
    </format>
    <format dxfId="311">
      <pivotArea dataOnly="0" labelOnly="1" fieldPosition="0">
        <references count="3">
          <reference field="1" count="0"/>
          <reference field="2" count="0" selected="0"/>
          <reference field="4" count="1" selected="0">
            <x v="5"/>
          </reference>
        </references>
      </pivotArea>
    </format>
    <format dxfId="312">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313">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314">
      <pivotArea dataOnly="0" labelOnly="1" fieldPosition="0">
        <references count="4">
          <reference field="1" count="1" selected="0">
            <x v="2"/>
          </reference>
          <reference field="2" count="0" selected="0"/>
          <reference field="4" count="1" selected="0">
            <x v="0"/>
          </reference>
          <reference field="8" count="1">
            <x v="21"/>
          </reference>
        </references>
      </pivotArea>
    </format>
    <format dxfId="315">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316">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317">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318">
      <pivotArea dataOnly="0" labelOnly="1" fieldPosition="0">
        <references count="4">
          <reference field="1" count="1" selected="0">
            <x v="2"/>
          </reference>
          <reference field="2" count="0" selected="0"/>
          <reference field="4" count="1" selected="0">
            <x v="1"/>
          </reference>
          <reference field="8" count="1">
            <x v="21"/>
          </reference>
        </references>
      </pivotArea>
    </format>
    <format dxfId="319">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320">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321">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322">
      <pivotArea dataOnly="0" labelOnly="1" fieldPosition="0">
        <references count="4">
          <reference field="1" count="1" selected="0">
            <x v="2"/>
          </reference>
          <reference field="2" count="0" selected="0"/>
          <reference field="4" count="1" selected="0">
            <x v="2"/>
          </reference>
          <reference field="8" count="1">
            <x v="21"/>
          </reference>
        </references>
      </pivotArea>
    </format>
    <format dxfId="323">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324">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325">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326">
      <pivotArea dataOnly="0" labelOnly="1" fieldPosition="0">
        <references count="4">
          <reference field="1" count="1" selected="0">
            <x v="2"/>
          </reference>
          <reference field="2" count="0" selected="0"/>
          <reference field="4" count="1" selected="0">
            <x v="3"/>
          </reference>
          <reference field="8" count="1">
            <x v="21"/>
          </reference>
        </references>
      </pivotArea>
    </format>
    <format dxfId="327">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328">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329">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330">
      <pivotArea dataOnly="0" labelOnly="1" fieldPosition="0">
        <references count="4">
          <reference field="1" count="1" selected="0">
            <x v="2"/>
          </reference>
          <reference field="2" count="0" selected="0"/>
          <reference field="4" count="1" selected="0">
            <x v="4"/>
          </reference>
          <reference field="8" count="1">
            <x v="21"/>
          </reference>
        </references>
      </pivotArea>
    </format>
    <format dxfId="331">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332">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333">
      <pivotArea dataOnly="0" labelOnly="1" fieldPosition="0">
        <references count="4">
          <reference field="1" count="1" selected="0">
            <x v="1"/>
          </reference>
          <reference field="2" count="0" selected="0"/>
          <reference field="4" count="1" selected="0">
            <x v="5"/>
          </reference>
          <reference field="8" count="1">
            <x v="4"/>
          </reference>
        </references>
      </pivotArea>
    </format>
    <format dxfId="334">
      <pivotArea dataOnly="0" labelOnly="1" fieldPosition="0">
        <references count="4">
          <reference field="1" count="1" selected="0">
            <x v="2"/>
          </reference>
          <reference field="2" count="0" selected="0"/>
          <reference field="4" count="1" selected="0">
            <x v="5"/>
          </reference>
          <reference field="8" count="1">
            <x v="21"/>
          </reference>
        </references>
      </pivotArea>
    </format>
    <format dxfId="335">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336">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337">
      <pivotArea outline="0" collapsedLevelsAreSubtotals="1" fieldPosition="0"/>
    </format>
    <format dxfId="338">
      <pivotArea field="2" type="button" dataOnly="0" labelOnly="1" outline="0" axis="axisPage" fieldPosition="1"/>
    </format>
    <format dxfId="339">
      <pivotArea type="topRight" dataOnly="0" labelOnly="1" outline="0" fieldPosition="0"/>
    </format>
    <format dxfId="340">
      <pivotArea dataOnly="0" labelOnly="1" fieldPosition="0">
        <references count="1">
          <reference field="2" count="5">
            <x v="0"/>
            <x v="3"/>
            <x v="19"/>
            <x v="20"/>
            <x v="22"/>
          </reference>
        </references>
      </pivotArea>
    </format>
    <format dxfId="341">
      <pivotArea dataOnly="0" labelOnly="1" grandCol="1" outline="0" fieldPosition="0"/>
    </format>
    <format dxfId="342">
      <pivotArea field="5" type="button" dataOnly="0" labelOnly="1" outline="0" axis="axisRow" fieldPosition="1"/>
    </format>
    <format dxfId="343">
      <pivotArea dataOnly="0" labelOnly="1" fieldPosition="0">
        <references count="1">
          <reference field="5" count="0"/>
        </references>
      </pivotArea>
    </format>
    <format dxfId="344">
      <pivotArea dataOnly="0" labelOnly="1" fieldPosition="0">
        <references count="2">
          <reference field="2" count="5">
            <x v="0"/>
            <x v="3"/>
            <x v="19"/>
            <x v="20"/>
            <x v="22"/>
          </reference>
          <reference field="5" count="0" selected="0"/>
        </references>
      </pivotArea>
    </format>
    <format dxfId="345">
      <pivotArea dataOnly="0" labelOnly="1" fieldPosition="0">
        <references count="3">
          <reference field="2" count="1" selected="0">
            <x v="0"/>
          </reference>
          <reference field="5" count="0" selected="0"/>
          <reference field="6" count="4">
            <x v="134"/>
            <x v="135"/>
            <x v="136"/>
            <x v="137"/>
          </reference>
        </references>
      </pivotArea>
    </format>
    <format dxfId="346">
      <pivotArea dataOnly="0" labelOnly="1" fieldPosition="0">
        <references count="3">
          <reference field="2" count="1" selected="0">
            <x v="3"/>
          </reference>
          <reference field="5" count="0" selected="0"/>
          <reference field="6" count="1">
            <x v="119"/>
          </reference>
        </references>
      </pivotArea>
    </format>
    <format dxfId="347">
      <pivotArea dataOnly="0" labelOnly="1" fieldPosition="0">
        <references count="3">
          <reference field="2" count="1" selected="0">
            <x v="19"/>
          </reference>
          <reference field="5" count="0" selected="0"/>
          <reference field="6" count="1">
            <x v="114"/>
          </reference>
        </references>
      </pivotArea>
    </format>
    <format dxfId="348">
      <pivotArea dataOnly="0" labelOnly="1" fieldPosition="0">
        <references count="3">
          <reference field="2" count="1" selected="0">
            <x v="20"/>
          </reference>
          <reference field="5" count="0" selected="0"/>
          <reference field="6" count="3">
            <x v="99"/>
            <x v="113"/>
            <x v="120"/>
          </reference>
        </references>
      </pivotArea>
    </format>
    <format dxfId="349">
      <pivotArea dataOnly="0" labelOnly="1" fieldPosition="0">
        <references count="3">
          <reference field="2" count="1" selected="0">
            <x v="22"/>
          </reference>
          <reference field="5" count="0" selected="0"/>
          <reference field="6" count="1">
            <x v="143"/>
          </reference>
        </references>
      </pivotArea>
    </format>
    <format dxfId="350">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351">
      <pivotArea dataOnly="0" labelOnly="1" fieldPosition="0">
        <references count="4">
          <reference field="2" count="1" selected="0">
            <x v="0"/>
          </reference>
          <reference field="5" count="0" selected="0"/>
          <reference field="6" count="1" selected="0">
            <x v="135"/>
          </reference>
          <reference field="8" count="1">
            <x v="10"/>
          </reference>
        </references>
      </pivotArea>
    </format>
    <format dxfId="352">
      <pivotArea dataOnly="0" labelOnly="1" fieldPosition="0">
        <references count="4">
          <reference field="2" count="1" selected="0">
            <x v="0"/>
          </reference>
          <reference field="5" count="0" selected="0"/>
          <reference field="6" count="1" selected="0">
            <x v="136"/>
          </reference>
          <reference field="8" count="1">
            <x v="21"/>
          </reference>
        </references>
      </pivotArea>
    </format>
    <format dxfId="353">
      <pivotArea dataOnly="0" labelOnly="1" fieldPosition="0">
        <references count="4">
          <reference field="2" count="1" selected="0">
            <x v="0"/>
          </reference>
          <reference field="5" count="0" selected="0"/>
          <reference field="6" count="1" selected="0">
            <x v="137"/>
          </reference>
          <reference field="8" count="1">
            <x v="16"/>
          </reference>
        </references>
      </pivotArea>
    </format>
    <format dxfId="354">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355">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356">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357">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358">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359">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360">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361">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362">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363">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364">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365">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366">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367">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368">
      <pivotArea collapsedLevelsAreSubtotals="1" fieldPosition="0">
        <references count="3">
          <reference field="4294967294" count="1" selected="0">
            <x v="0"/>
          </reference>
          <reference field="2" count="1">
            <x v="22"/>
          </reference>
          <reference field="5" count="0" selected="0"/>
        </references>
      </pivotArea>
    </format>
    <format dxfId="369">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370">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371">
      <pivotArea dataOnly="0" labelOnly="1" fieldPosition="0">
        <references count="2">
          <reference field="1" count="1" selected="0">
            <x v="2"/>
          </reference>
          <reference field="5" count="1">
            <x v="2"/>
          </reference>
        </references>
      </pivotArea>
    </format>
    <format dxfId="372">
      <pivotArea dataOnly="0" labelOnly="1" fieldPosition="0">
        <references count="2">
          <reference field="1" count="1" selected="0">
            <x v="2"/>
          </reference>
          <reference field="5" count="1">
            <x v="4"/>
          </reference>
        </references>
      </pivotArea>
    </format>
    <format dxfId="373">
      <pivotArea dataOnly="0" labelOnly="1" fieldPosition="0">
        <references count="2">
          <reference field="1" count="1" selected="0">
            <x v="2"/>
          </reference>
          <reference field="5" count="1">
            <x v="16"/>
          </reference>
        </references>
      </pivotArea>
    </format>
    <format dxfId="374">
      <pivotArea dataOnly="0" labelOnly="1" fieldPosition="0">
        <references count="2">
          <reference field="1" count="1" selected="0">
            <x v="2"/>
          </reference>
          <reference field="5"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682504D-0B6D-4522-8F1E-059BB1FC46E0}"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H18" firstHeaderRow="1" firstDataRow="2" firstDataCol="1" rowPageCount="2" colPageCount="1"/>
  <pivotFields count="20">
    <pivotField showAll="0"/>
    <pivotField axis="axisPage" showAll="0" defaultSubtotal="0">
      <items count="7">
        <item x="2"/>
        <item x="1"/>
        <item x="0"/>
        <item x="3"/>
        <item m="1" x="6"/>
        <item m="1" x="4"/>
        <item m="1" x="5"/>
      </items>
    </pivotField>
    <pivotField axis="axisRow" showAll="0" defaultSubtotal="0">
      <items count="30">
        <item h="1" x="16"/>
        <item h="1" x="13"/>
        <item h="1" x="8"/>
        <item h="1" x="2"/>
        <item h="1" x="5"/>
        <item h="1" x="18"/>
        <item h="1" x="6"/>
        <item h="1" x="14"/>
        <item h="1" x="0"/>
        <item h="1" x="17"/>
        <item h="1" x="3"/>
        <item h="1" x="12"/>
        <item h="1" x="21"/>
        <item h="1" x="9"/>
        <item h="1" x="15"/>
        <item h="1" x="19"/>
        <item h="1" x="4"/>
        <item h="1" x="7"/>
        <item h="1" x="10"/>
        <item h="1" x="1"/>
        <item x="11"/>
        <item h="1" x="20"/>
        <item h="1" x="22"/>
        <item h="1" x="23"/>
        <item h="1" x="24"/>
        <item h="1" x="25"/>
        <item h="1" x="26"/>
        <item h="1" m="1" x="29"/>
        <item h="1" x="27"/>
        <item h="1" x="28"/>
      </items>
    </pivotField>
    <pivotField showAll="0"/>
    <pivotField axis="axisCol" multipleItemSelectionAllowed="1" showAll="0">
      <items count="8">
        <item x="3"/>
        <item x="1"/>
        <item x="4"/>
        <item x="5"/>
        <item x="0"/>
        <item h="1" x="6"/>
        <item x="2"/>
        <item t="default"/>
      </items>
    </pivotField>
    <pivotField axis="axisRow" showAll="0" defaultSubtotal="0">
      <items count="31">
        <item m="1" x="27"/>
        <item x="1"/>
        <item x="6"/>
        <item x="7"/>
        <item x="8"/>
        <item h="1" m="1" x="22"/>
        <item m="1" x="28"/>
        <item m="1" x="30"/>
        <item m="1" x="25"/>
        <item x="10"/>
        <item x="9"/>
        <item m="1" x="26"/>
        <item x="3"/>
        <item x="11"/>
        <item x="0"/>
        <item x="2"/>
        <item x="4"/>
        <item x="14"/>
        <item m="1" x="24"/>
        <item m="1" x="29"/>
        <item x="13"/>
        <item x="15"/>
        <item x="5"/>
        <item x="16"/>
        <item x="17"/>
        <item m="1" x="23"/>
        <item h="1" x="12"/>
        <item h="1" m="1" x="21"/>
        <item h="1" x="18"/>
        <item h="1" x="19"/>
        <item h="1"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showAll="0"/>
    <pivotField axis="axisPage" dataField="1" multipleItemSelectionAllowed="1" showAll="0">
      <items count="81">
        <item h="1"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x="38"/>
        <item x="13"/>
        <item x="12"/>
        <item x="49"/>
        <item x="56"/>
        <item x="58"/>
        <item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5"/>
    <field x="2"/>
    <field x="6"/>
    <field x="8"/>
  </rowFields>
  <rowItems count="11">
    <i>
      <x v="12"/>
    </i>
    <i r="1">
      <x v="20"/>
    </i>
    <i r="2">
      <x v="121"/>
    </i>
    <i r="3">
      <x/>
    </i>
    <i r="3">
      <x v="16"/>
    </i>
    <i r="2">
      <x v="123"/>
    </i>
    <i r="3">
      <x v="11"/>
    </i>
    <i r="3">
      <x v="21"/>
    </i>
    <i r="3">
      <x v="32"/>
    </i>
    <i r="2">
      <x v="124"/>
    </i>
    <i r="3">
      <x v="4"/>
    </i>
  </rowItems>
  <colFields count="1">
    <field x="4"/>
  </colFields>
  <colItems count="7">
    <i>
      <x/>
    </i>
    <i>
      <x v="1"/>
    </i>
    <i>
      <x v="2"/>
    </i>
    <i>
      <x v="3"/>
    </i>
    <i>
      <x v="4"/>
    </i>
    <i>
      <x v="6"/>
    </i>
    <i t="grand">
      <x/>
    </i>
  </colItems>
  <pageFields count="2">
    <pageField fld="1" hier="-1"/>
    <pageField fld="11" hier="-1"/>
  </pageFields>
  <dataFields count="1">
    <dataField name="QTY" fld="11" baseField="0" baseItem="0"/>
  </dataFields>
  <formats count="80">
    <format dxfId="213">
      <pivotArea type="origin" dataOnly="0" labelOnly="1" outline="0" fieldPosition="0"/>
    </format>
    <format dxfId="214">
      <pivotArea field="8" type="button" dataOnly="0" labelOnly="1" outline="0" axis="axisRow" fieldPosition="3"/>
    </format>
    <format dxfId="215">
      <pivotArea dataOnly="0" labelOnly="1" fieldPosition="0">
        <references count="1">
          <reference field="8" count="0"/>
        </references>
      </pivotArea>
    </format>
    <format dxfId="216">
      <pivotArea dataOnly="0" labelOnly="1" grandRow="1" outline="0" fieldPosition="0"/>
    </format>
    <format dxfId="217">
      <pivotArea dataOnly="0" labelOnly="1" grandCol="1" outline="0" fieldPosition="0"/>
    </format>
    <format dxfId="218">
      <pivotArea grandCol="1" outline="0" collapsedLevelsAreSubtotals="1" fieldPosition="0"/>
    </format>
    <format dxfId="219">
      <pivotArea outline="0" collapsedLevelsAreSubtotals="1" fieldPosition="0"/>
    </format>
    <format dxfId="220">
      <pivotArea dataOnly="0" labelOnly="1" outline="0" fieldPosition="0">
        <references count="1">
          <reference field="4" count="0"/>
        </references>
      </pivotArea>
    </format>
    <format dxfId="221">
      <pivotArea type="topRight" dataOnly="0" labelOnly="1" outline="0" fieldPosition="0"/>
    </format>
    <format dxfId="222">
      <pivotArea dataOnly="0" labelOnly="1" grandCol="1" outline="0" fieldPosition="0"/>
    </format>
    <format dxfId="223">
      <pivotArea dataOnly="0" labelOnly="1" outline="0" fieldPosition="0">
        <references count="1">
          <reference field="4" count="0"/>
        </references>
      </pivotArea>
    </format>
    <format dxfId="224">
      <pivotArea dataOnly="0" labelOnly="1" fieldPosition="0">
        <references count="1">
          <reference field="2" count="0"/>
        </references>
      </pivotArea>
    </format>
    <format dxfId="225">
      <pivotArea dataOnly="0" labelOnly="1" fieldPosition="0">
        <references count="2">
          <reference field="2" count="0" selected="0"/>
          <reference field="4" count="0"/>
        </references>
      </pivotArea>
    </format>
    <format dxfId="226">
      <pivotArea dataOnly="0" labelOnly="1" fieldPosition="0">
        <references count="3">
          <reference field="1" count="4">
            <x v="0"/>
            <x v="1"/>
            <x v="2"/>
            <x v="3"/>
          </reference>
          <reference field="2" count="0" selected="0"/>
          <reference field="4" count="1" selected="0">
            <x v="0"/>
          </reference>
        </references>
      </pivotArea>
    </format>
    <format dxfId="227">
      <pivotArea dataOnly="0" labelOnly="1" fieldPosition="0">
        <references count="3">
          <reference field="1" count="4">
            <x v="0"/>
            <x v="1"/>
            <x v="2"/>
            <x v="3"/>
          </reference>
          <reference field="2" count="0" selected="0"/>
          <reference field="4" count="1" selected="0">
            <x v="1"/>
          </reference>
        </references>
      </pivotArea>
    </format>
    <format dxfId="228">
      <pivotArea dataOnly="0" labelOnly="1" fieldPosition="0">
        <references count="3">
          <reference field="1" count="4">
            <x v="0"/>
            <x v="1"/>
            <x v="2"/>
            <x v="3"/>
          </reference>
          <reference field="2" count="0" selected="0"/>
          <reference field="4" count="1" selected="0">
            <x v="2"/>
          </reference>
        </references>
      </pivotArea>
    </format>
    <format dxfId="229">
      <pivotArea dataOnly="0" labelOnly="1" fieldPosition="0">
        <references count="3">
          <reference field="1" count="4">
            <x v="0"/>
            <x v="1"/>
            <x v="2"/>
            <x v="3"/>
          </reference>
          <reference field="2" count="0" selected="0"/>
          <reference field="4" count="1" selected="0">
            <x v="3"/>
          </reference>
        </references>
      </pivotArea>
    </format>
    <format dxfId="230">
      <pivotArea dataOnly="0" labelOnly="1" fieldPosition="0">
        <references count="3">
          <reference field="1" count="4">
            <x v="0"/>
            <x v="1"/>
            <x v="2"/>
            <x v="3"/>
          </reference>
          <reference field="2" count="0" selected="0"/>
          <reference field="4" count="1" selected="0">
            <x v="4"/>
          </reference>
        </references>
      </pivotArea>
    </format>
    <format dxfId="231">
      <pivotArea dataOnly="0" labelOnly="1" fieldPosition="0">
        <references count="3">
          <reference field="1" count="0"/>
          <reference field="2" count="0" selected="0"/>
          <reference field="4" count="1" selected="0">
            <x v="5"/>
          </reference>
        </references>
      </pivotArea>
    </format>
    <format dxfId="232">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233">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234">
      <pivotArea dataOnly="0" labelOnly="1" fieldPosition="0">
        <references count="4">
          <reference field="1" count="1" selected="0">
            <x v="2"/>
          </reference>
          <reference field="2" count="0" selected="0"/>
          <reference field="4" count="1" selected="0">
            <x v="0"/>
          </reference>
          <reference field="8" count="1">
            <x v="21"/>
          </reference>
        </references>
      </pivotArea>
    </format>
    <format dxfId="235">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236">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237">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238">
      <pivotArea dataOnly="0" labelOnly="1" fieldPosition="0">
        <references count="4">
          <reference field="1" count="1" selected="0">
            <x v="2"/>
          </reference>
          <reference field="2" count="0" selected="0"/>
          <reference field="4" count="1" selected="0">
            <x v="1"/>
          </reference>
          <reference field="8" count="1">
            <x v="21"/>
          </reference>
        </references>
      </pivotArea>
    </format>
    <format dxfId="239">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240">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241">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242">
      <pivotArea dataOnly="0" labelOnly="1" fieldPosition="0">
        <references count="4">
          <reference field="1" count="1" selected="0">
            <x v="2"/>
          </reference>
          <reference field="2" count="0" selected="0"/>
          <reference field="4" count="1" selected="0">
            <x v="2"/>
          </reference>
          <reference field="8" count="1">
            <x v="21"/>
          </reference>
        </references>
      </pivotArea>
    </format>
    <format dxfId="243">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244">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245">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246">
      <pivotArea dataOnly="0" labelOnly="1" fieldPosition="0">
        <references count="4">
          <reference field="1" count="1" selected="0">
            <x v="2"/>
          </reference>
          <reference field="2" count="0" selected="0"/>
          <reference field="4" count="1" selected="0">
            <x v="3"/>
          </reference>
          <reference field="8" count="1">
            <x v="21"/>
          </reference>
        </references>
      </pivotArea>
    </format>
    <format dxfId="247">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248">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249">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250">
      <pivotArea dataOnly="0" labelOnly="1" fieldPosition="0">
        <references count="4">
          <reference field="1" count="1" selected="0">
            <x v="2"/>
          </reference>
          <reference field="2" count="0" selected="0"/>
          <reference field="4" count="1" selected="0">
            <x v="4"/>
          </reference>
          <reference field="8" count="1">
            <x v="21"/>
          </reference>
        </references>
      </pivotArea>
    </format>
    <format dxfId="251">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252">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253">
      <pivotArea dataOnly="0" labelOnly="1" fieldPosition="0">
        <references count="4">
          <reference field="1" count="1" selected="0">
            <x v="1"/>
          </reference>
          <reference field="2" count="0" selected="0"/>
          <reference field="4" count="1" selected="0">
            <x v="5"/>
          </reference>
          <reference field="8" count="1">
            <x v="4"/>
          </reference>
        </references>
      </pivotArea>
    </format>
    <format dxfId="254">
      <pivotArea dataOnly="0" labelOnly="1" fieldPosition="0">
        <references count="4">
          <reference field="1" count="1" selected="0">
            <x v="2"/>
          </reference>
          <reference field="2" count="0" selected="0"/>
          <reference field="4" count="1" selected="0">
            <x v="5"/>
          </reference>
          <reference field="8" count="1">
            <x v="21"/>
          </reference>
        </references>
      </pivotArea>
    </format>
    <format dxfId="255">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256">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257">
      <pivotArea outline="0" collapsedLevelsAreSubtotals="1" fieldPosition="0"/>
    </format>
    <format dxfId="258">
      <pivotArea field="2" type="button" dataOnly="0" labelOnly="1" outline="0" axis="axisRow" fieldPosition="1"/>
    </format>
    <format dxfId="259">
      <pivotArea type="topRight" dataOnly="0" labelOnly="1" outline="0" fieldPosition="0"/>
    </format>
    <format dxfId="260">
      <pivotArea dataOnly="0" labelOnly="1" fieldPosition="0">
        <references count="1">
          <reference field="2" count="5">
            <x v="0"/>
            <x v="3"/>
            <x v="19"/>
            <x v="20"/>
            <x v="22"/>
          </reference>
        </references>
      </pivotArea>
    </format>
    <format dxfId="261">
      <pivotArea dataOnly="0" labelOnly="1" grandCol="1" outline="0" fieldPosition="0"/>
    </format>
    <format dxfId="262">
      <pivotArea field="5" type="button" dataOnly="0" labelOnly="1" outline="0" axis="axisRow" fieldPosition="0"/>
    </format>
    <format dxfId="263">
      <pivotArea dataOnly="0" labelOnly="1" fieldPosition="0">
        <references count="1">
          <reference field="5" count="0"/>
        </references>
      </pivotArea>
    </format>
    <format dxfId="264">
      <pivotArea dataOnly="0" labelOnly="1" fieldPosition="0">
        <references count="2">
          <reference field="2" count="5">
            <x v="0"/>
            <x v="3"/>
            <x v="19"/>
            <x v="20"/>
            <x v="22"/>
          </reference>
          <reference field="5" count="0" selected="0"/>
        </references>
      </pivotArea>
    </format>
    <format dxfId="265">
      <pivotArea dataOnly="0" labelOnly="1" fieldPosition="0">
        <references count="3">
          <reference field="2" count="1" selected="0">
            <x v="0"/>
          </reference>
          <reference field="5" count="0" selected="0"/>
          <reference field="6" count="4">
            <x v="134"/>
            <x v="135"/>
            <x v="136"/>
            <x v="137"/>
          </reference>
        </references>
      </pivotArea>
    </format>
    <format dxfId="266">
      <pivotArea dataOnly="0" labelOnly="1" fieldPosition="0">
        <references count="3">
          <reference field="2" count="1" selected="0">
            <x v="3"/>
          </reference>
          <reference field="5" count="0" selected="0"/>
          <reference field="6" count="1">
            <x v="119"/>
          </reference>
        </references>
      </pivotArea>
    </format>
    <format dxfId="267">
      <pivotArea dataOnly="0" labelOnly="1" fieldPosition="0">
        <references count="3">
          <reference field="2" count="1" selected="0">
            <x v="19"/>
          </reference>
          <reference field="5" count="0" selected="0"/>
          <reference field="6" count="1">
            <x v="114"/>
          </reference>
        </references>
      </pivotArea>
    </format>
    <format dxfId="268">
      <pivotArea dataOnly="0" labelOnly="1" fieldPosition="0">
        <references count="3">
          <reference field="2" count="1" selected="0">
            <x v="20"/>
          </reference>
          <reference field="5" count="0" selected="0"/>
          <reference field="6" count="3">
            <x v="99"/>
            <x v="113"/>
            <x v="120"/>
          </reference>
        </references>
      </pivotArea>
    </format>
    <format dxfId="269">
      <pivotArea dataOnly="0" labelOnly="1" fieldPosition="0">
        <references count="3">
          <reference field="2" count="1" selected="0">
            <x v="22"/>
          </reference>
          <reference field="5" count="0" selected="0"/>
          <reference field="6" count="1">
            <x v="143"/>
          </reference>
        </references>
      </pivotArea>
    </format>
    <format dxfId="270">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271">
      <pivotArea dataOnly="0" labelOnly="1" fieldPosition="0">
        <references count="4">
          <reference field="2" count="1" selected="0">
            <x v="0"/>
          </reference>
          <reference field="5" count="0" selected="0"/>
          <reference field="6" count="1" selected="0">
            <x v="135"/>
          </reference>
          <reference field="8" count="1">
            <x v="10"/>
          </reference>
        </references>
      </pivotArea>
    </format>
    <format dxfId="272">
      <pivotArea dataOnly="0" labelOnly="1" fieldPosition="0">
        <references count="4">
          <reference field="2" count="1" selected="0">
            <x v="0"/>
          </reference>
          <reference field="5" count="0" selected="0"/>
          <reference field="6" count="1" selected="0">
            <x v="136"/>
          </reference>
          <reference field="8" count="1">
            <x v="21"/>
          </reference>
        </references>
      </pivotArea>
    </format>
    <format dxfId="273">
      <pivotArea dataOnly="0" labelOnly="1" fieldPosition="0">
        <references count="4">
          <reference field="2" count="1" selected="0">
            <x v="0"/>
          </reference>
          <reference field="5" count="0" selected="0"/>
          <reference field="6" count="1" selected="0">
            <x v="137"/>
          </reference>
          <reference field="8" count="1">
            <x v="16"/>
          </reference>
        </references>
      </pivotArea>
    </format>
    <format dxfId="274">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275">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276">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277">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278">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279">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280">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281">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282">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283">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284">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285">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286">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287">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288">
      <pivotArea collapsedLevelsAreSubtotals="1" fieldPosition="0">
        <references count="3">
          <reference field="4294967294" count="1" selected="0">
            <x v="0"/>
          </reference>
          <reference field="2" count="1">
            <x v="22"/>
          </reference>
          <reference field="5" count="0" selected="0"/>
        </references>
      </pivotArea>
    </format>
    <format dxfId="289">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290">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 dxfId="291">
      <pivotArea outline="0" collapsedLevelsAreSubtotals="1" fieldPosition="0">
        <references count="1">
          <reference field="4294967294" count="1" selected="0">
            <x v="0"/>
          </reference>
        </references>
      </pivotArea>
    </format>
    <format dxfId="29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5B5A8D-F601-478E-9DE6-FF94CB373EED}" name="PivotTable1" cacheId="2337"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FA -&gt; Service">
  <location ref="A6:C61" firstHeaderRow="0" firstDataRow="1" firstDataCol="1" rowPageCount="3" colPageCount="1"/>
  <pivotFields count="20">
    <pivotField showAll="0"/>
    <pivotField axis="axisPage" showAll="0" defaultSubtotal="0">
      <items count="7">
        <item x="2"/>
        <item x="1"/>
        <item x="0"/>
        <item x="3"/>
        <item m="1" x="6"/>
        <item m="1" x="4"/>
        <item m="1" x="5"/>
      </items>
    </pivotField>
    <pivotField axis="axisRow" showAll="0" defaultSubtotal="0">
      <items count="30">
        <item x="16"/>
        <item x="13"/>
        <item x="8"/>
        <item x="2"/>
        <item x="5"/>
        <item x="18"/>
        <item x="6"/>
        <item x="14"/>
        <item x="0"/>
        <item x="17"/>
        <item x="3"/>
        <item x="12"/>
        <item x="21"/>
        <item x="9"/>
        <item x="15"/>
        <item x="19"/>
        <item x="4"/>
        <item x="7"/>
        <item x="10"/>
        <item x="1"/>
        <item x="11"/>
        <item x="20"/>
        <item x="22"/>
        <item x="23"/>
        <item x="24"/>
        <item x="25"/>
        <item x="26"/>
        <item m="1" x="29"/>
        <item x="27"/>
        <item x="28"/>
      </items>
    </pivotField>
    <pivotField showAll="0"/>
    <pivotField axis="axisPage" multipleItemSelectionAllowed="1" showAll="0">
      <items count="8">
        <item x="3"/>
        <item x="1"/>
        <item x="4"/>
        <item x="5"/>
        <item x="0"/>
        <item x="6"/>
        <item x="2"/>
        <item t="default"/>
      </items>
    </pivotField>
    <pivotField axis="axisRow" showAll="0" defaultSubtotal="0">
      <items count="31">
        <item h="1" m="1" x="27"/>
        <item h="1" x="1"/>
        <item h="1" x="6"/>
        <item h="1" x="7"/>
        <item h="1" x="8"/>
        <item h="1" m="1" x="22"/>
        <item h="1" m="1" x="28"/>
        <item h="1" m="1" x="30"/>
        <item h="1" m="1" x="25"/>
        <item h="1" x="10"/>
        <item h="1" x="9"/>
        <item h="1" m="1" x="26"/>
        <item h="1" x="3"/>
        <item h="1" x="11"/>
        <item h="1" x="0"/>
        <item h="1" x="2"/>
        <item h="1" x="4"/>
        <item h="1" x="14"/>
        <item h="1" m="1" x="24"/>
        <item h="1" m="1" x="29"/>
        <item h="1" x="13"/>
        <item x="15"/>
        <item h="1" x="5"/>
        <item h="1" x="16"/>
        <item h="1" x="17"/>
        <item h="1" m="1" x="23"/>
        <item h="1" x="12"/>
        <item h="1" m="1" x="21"/>
        <item h="1" x="18"/>
        <item h="1" x="19"/>
        <item h="1" x="20"/>
      </items>
    </pivotField>
    <pivotField axis="axisRow" showAll="0" defaultSubtotal="0">
      <items count="186">
        <item x="71"/>
        <item x="59"/>
        <item x="44"/>
        <item x="47"/>
        <item x="73"/>
        <item x="74"/>
        <item x="72"/>
        <item x="23"/>
        <item x="105"/>
        <item m="1" x="185"/>
        <item x="37"/>
        <item x="8"/>
        <item x="6"/>
        <item x="9"/>
        <item x="10"/>
        <item x="28"/>
        <item x="103"/>
        <item m="1" x="165"/>
        <item x="75"/>
        <item x="29"/>
        <item x="30"/>
        <item x="19"/>
        <item x="112"/>
        <item x="81"/>
        <item x="15"/>
        <item x="0"/>
        <item x="60"/>
        <item x="66"/>
        <item x="93"/>
        <item x="25"/>
        <item x="69"/>
        <item x="70"/>
        <item x="4"/>
        <item m="1" x="178"/>
        <item x="12"/>
        <item x="31"/>
        <item x="22"/>
        <item x="7"/>
        <item x="21"/>
        <item x="106"/>
        <item x="33"/>
        <item x="5"/>
        <item x="3"/>
        <item x="92"/>
        <item x="63"/>
        <item x="97"/>
        <item x="38"/>
        <item x="39"/>
        <item x="46"/>
        <item m="1" x="181"/>
        <item m="1" x="182"/>
        <item m="1" x="180"/>
        <item x="82"/>
        <item x="67"/>
        <item x="94"/>
        <item x="100"/>
        <item x="85"/>
        <item x="86"/>
        <item x="95"/>
        <item x="102"/>
        <item x="104"/>
        <item x="96"/>
        <item x="88"/>
        <item x="79"/>
        <item x="80"/>
        <item x="1"/>
        <item x="61"/>
        <item x="119"/>
        <item x="121"/>
        <item x="122"/>
        <item x="110"/>
        <item x="89"/>
        <item x="91"/>
        <item x="90"/>
        <item x="87"/>
        <item x="101"/>
        <item x="107"/>
        <item x="26"/>
        <item m="1" x="169"/>
        <item x="55"/>
        <item x="27"/>
        <item x="14"/>
        <item m="1" x="171"/>
        <item m="1" x="170"/>
        <item x="83"/>
        <item x="84"/>
        <item x="98"/>
        <item x="99"/>
        <item x="58"/>
        <item x="109"/>
        <item x="118"/>
        <item m="1" x="166"/>
        <item x="111"/>
        <item x="120"/>
        <item x="36"/>
        <item x="48"/>
        <item x="51"/>
        <item x="49"/>
        <item x="68"/>
        <item x="126"/>
        <item m="1" x="184"/>
        <item x="62"/>
        <item m="1" x="179"/>
        <item x="43"/>
        <item x="42"/>
        <item x="114"/>
        <item x="115"/>
        <item x="41"/>
        <item x="45"/>
        <item x="113"/>
        <item x="65"/>
        <item x="56"/>
        <item x="13"/>
        <item x="125"/>
        <item x="11"/>
        <item m="1" x="177"/>
        <item x="64"/>
        <item x="57"/>
        <item x="50"/>
        <item x="18"/>
        <item x="124"/>
        <item x="54"/>
        <item m="1" x="183"/>
        <item x="53"/>
        <item x="52"/>
        <item x="16"/>
        <item x="17"/>
        <item x="2"/>
        <item x="34"/>
        <item x="35"/>
        <item m="1" x="167"/>
        <item m="1" x="173"/>
        <item x="78"/>
        <item x="134"/>
        <item x="127"/>
        <item x="128"/>
        <item x="132"/>
        <item x="131"/>
        <item x="123"/>
        <item m="1" x="175"/>
        <item m="1" x="176"/>
        <item m="1" x="172"/>
        <item x="133"/>
        <item x="130"/>
        <item m="1" x="174"/>
        <item x="40"/>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showAll="0" defaultSubtotal="0"/>
    <pivotField axis="axisRow" showAll="0" defaultSubtotal="0">
      <items count="55">
        <item x="19"/>
        <item x="27"/>
        <item x="5"/>
        <item x="4"/>
        <item x="3"/>
        <item x="17"/>
        <item x="26"/>
        <item x="11"/>
        <item x="6"/>
        <item x="2"/>
        <item x="9"/>
        <item x="7"/>
        <item m="1" x="49"/>
        <item m="1" x="50"/>
        <item m="1" x="48"/>
        <item x="10"/>
        <item x="8"/>
        <item x="14"/>
        <item m="1" x="52"/>
        <item m="1" x="53"/>
        <item x="25"/>
        <item x="1"/>
        <item x="18"/>
        <item x="22"/>
        <item m="1" x="54"/>
        <item x="16"/>
        <item m="1" x="40"/>
        <item x="32"/>
        <item m="1" x="47"/>
        <item x="31"/>
        <item m="1" x="51"/>
        <item x="15"/>
        <item x="20"/>
        <item m="1" x="43"/>
        <item x="23"/>
        <item x="28"/>
        <item x="21"/>
        <item x="33"/>
        <item x="34"/>
        <item x="35"/>
        <item x="36"/>
        <item m="1" x="44"/>
        <item x="37"/>
        <item m="1" x="45"/>
        <item m="1" x="46"/>
        <item x="38"/>
        <item x="0"/>
        <item m="1" x="41"/>
        <item x="12"/>
        <item x="13"/>
        <item m="1" x="42"/>
        <item x="24"/>
        <item x="30"/>
        <item x="29"/>
        <item x="39"/>
      </items>
    </pivotField>
    <pivotField showAll="0"/>
    <pivotField dataField="1" showAll="0"/>
    <pivotField axis="axisPage" dataField="1" multipleItemSelectionAllowed="1" showAll="0">
      <items count="81">
        <item x="7"/>
        <item x="5"/>
        <item x="6"/>
        <item x="9"/>
        <item x="11"/>
        <item x="14"/>
        <item x="15"/>
        <item x="57"/>
        <item x="10"/>
        <item x="21"/>
        <item x="52"/>
        <item x="59"/>
        <item x="30"/>
        <item x="24"/>
        <item m="1" x="64"/>
        <item x="55"/>
        <item m="1" x="77"/>
        <item x="3"/>
        <item x="4"/>
        <item x="47"/>
        <item x="1"/>
        <item x="42"/>
        <item x="2"/>
        <item x="39"/>
        <item m="1" x="78"/>
        <item x="40"/>
        <item m="1" x="79"/>
        <item x="0"/>
        <item x="26"/>
        <item x="16"/>
        <item x="33"/>
        <item m="1" x="72"/>
        <item x="17"/>
        <item x="8"/>
        <item m="1" x="75"/>
        <item m="1" x="74"/>
        <item x="54"/>
        <item x="18"/>
        <item x="23"/>
        <item x="22"/>
        <item x="19"/>
        <item x="31"/>
        <item x="20"/>
        <item x="32"/>
        <item x="53"/>
        <item x="51"/>
        <item x="50"/>
        <item m="1" x="71"/>
        <item m="1" x="76"/>
        <item x="25"/>
        <item x="48"/>
        <item m="1" x="73"/>
        <item x="29"/>
        <item x="37"/>
        <item h="1" x="38"/>
        <item h="1" x="13"/>
        <item h="1" x="12"/>
        <item h="1" x="49"/>
        <item h="1" x="56"/>
        <item h="1" x="58"/>
        <item h="1" m="1" x="65"/>
        <item h="1" m="1" x="67"/>
        <item h="1" m="1" x="62"/>
        <item h="1" m="1" x="69"/>
        <item h="1" m="1" x="63"/>
        <item h="1" m="1" x="66"/>
        <item h="1" x="34"/>
        <item h="1" x="35"/>
        <item h="1" m="1" x="68"/>
        <item h="1" m="1" x="70"/>
        <item h="1" x="45"/>
        <item h="1" x="27"/>
        <item h="1" m="1" x="61"/>
        <item h="1" x="41"/>
        <item h="1" x="28"/>
        <item h="1" x="36"/>
        <item h="1" x="43"/>
        <item h="1" x="44"/>
        <item h="1" x="46"/>
        <item h="1" x="60"/>
        <item t="default"/>
      </items>
    </pivotField>
    <pivotField numFmtId="164"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numFmtId="164" showAll="0"/>
    <pivotField showAll="0"/>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4">
    <field x="5"/>
    <field x="2"/>
    <field x="6"/>
    <field x="8"/>
  </rowFields>
  <rowItems count="55">
    <i>
      <x v="21"/>
    </i>
    <i r="1">
      <x/>
    </i>
    <i r="2">
      <x v="134"/>
    </i>
    <i r="3">
      <x v="3"/>
    </i>
    <i r="3">
      <x v="4"/>
    </i>
    <i r="3">
      <x v="11"/>
    </i>
    <i r="3">
      <x v="29"/>
    </i>
    <i r="3">
      <x v="36"/>
    </i>
    <i r="2">
      <x v="135"/>
    </i>
    <i r="3">
      <x v="10"/>
    </i>
    <i r="2">
      <x v="136"/>
    </i>
    <i r="3">
      <x v="21"/>
    </i>
    <i r="2">
      <x v="137"/>
    </i>
    <i r="3">
      <x v="16"/>
    </i>
    <i r="2">
      <x v="147"/>
    </i>
    <i r="3">
      <x v="11"/>
    </i>
    <i r="1">
      <x v="3"/>
    </i>
    <i r="2">
      <x v="119"/>
    </i>
    <i r="3">
      <x v="3"/>
    </i>
    <i r="3">
      <x v="4"/>
    </i>
    <i r="3">
      <x v="21"/>
    </i>
    <i r="1">
      <x v="19"/>
    </i>
    <i r="2">
      <x v="114"/>
    </i>
    <i r="3">
      <x v="2"/>
    </i>
    <i r="3">
      <x v="5"/>
    </i>
    <i r="3">
      <x v="10"/>
    </i>
    <i r="3">
      <x v="21"/>
    </i>
    <i r="1">
      <x v="20"/>
    </i>
    <i r="2">
      <x v="99"/>
    </i>
    <i r="3">
      <x v="2"/>
    </i>
    <i r="3">
      <x v="3"/>
    </i>
    <i r="3">
      <x v="4"/>
    </i>
    <i r="3">
      <x v="5"/>
    </i>
    <i r="3">
      <x v="11"/>
    </i>
    <i r="3">
      <x v="21"/>
    </i>
    <i r="2">
      <x v="113"/>
    </i>
    <i r="3">
      <x v="1"/>
    </i>
    <i r="3">
      <x v="2"/>
    </i>
    <i r="3">
      <x v="4"/>
    </i>
    <i r="3">
      <x v="5"/>
    </i>
    <i r="3">
      <x v="8"/>
    </i>
    <i r="3">
      <x v="10"/>
    </i>
    <i r="3">
      <x v="16"/>
    </i>
    <i r="3">
      <x v="21"/>
    </i>
    <i r="3">
      <x v="32"/>
    </i>
    <i r="3">
      <x v="36"/>
    </i>
    <i r="2">
      <x v="120"/>
    </i>
    <i r="3">
      <x/>
    </i>
    <i r="3">
      <x v="4"/>
    </i>
    <i r="3">
      <x v="16"/>
    </i>
    <i r="3">
      <x v="21"/>
    </i>
    <i r="3">
      <x v="32"/>
    </i>
    <i r="1">
      <x v="22"/>
    </i>
    <i r="2">
      <x v="143"/>
    </i>
    <i r="3">
      <x v="11"/>
    </i>
  </rowItems>
  <colFields count="1">
    <field x="-2"/>
  </colFields>
  <colItems count="2">
    <i>
      <x/>
    </i>
    <i i="1">
      <x v="1"/>
    </i>
  </colItems>
  <pageFields count="3">
    <pageField fld="4" hier="-1"/>
    <pageField fld="1" hier="-1"/>
    <pageField fld="11" hier="-1"/>
  </pageFields>
  <dataFields count="2">
    <dataField name="QTY" fld="11" baseField="0" baseItem="0"/>
    <dataField name="Not available" fld="10" baseField="0" baseItem="0"/>
  </dataFields>
  <formats count="79">
    <format dxfId="134">
      <pivotArea type="origin" dataOnly="0" labelOnly="1" outline="0" fieldPosition="0"/>
    </format>
    <format dxfId="135">
      <pivotArea field="8" type="button" dataOnly="0" labelOnly="1" outline="0" axis="axisRow" fieldPosition="3"/>
    </format>
    <format dxfId="136">
      <pivotArea dataOnly="0" labelOnly="1" fieldPosition="0">
        <references count="1">
          <reference field="8" count="0"/>
        </references>
      </pivotArea>
    </format>
    <format dxfId="137">
      <pivotArea dataOnly="0" labelOnly="1" grandRow="1" outline="0" fieldPosition="0"/>
    </format>
    <format dxfId="138">
      <pivotArea dataOnly="0" labelOnly="1" grandCol="1" outline="0" fieldPosition="0"/>
    </format>
    <format dxfId="139">
      <pivotArea grandCol="1" outline="0" collapsedLevelsAreSubtotals="1" fieldPosition="0"/>
    </format>
    <format dxfId="140">
      <pivotArea outline="0" collapsedLevelsAreSubtotals="1" fieldPosition="0"/>
    </format>
    <format dxfId="141">
      <pivotArea dataOnly="0" labelOnly="1" outline="0" fieldPosition="0">
        <references count="1">
          <reference field="4" count="0"/>
        </references>
      </pivotArea>
    </format>
    <format dxfId="142">
      <pivotArea type="topRight" dataOnly="0" labelOnly="1" outline="0" fieldPosition="0"/>
    </format>
    <format dxfId="143">
      <pivotArea dataOnly="0" labelOnly="1" grandCol="1" outline="0" fieldPosition="0"/>
    </format>
    <format dxfId="144">
      <pivotArea dataOnly="0" labelOnly="1" outline="0" fieldPosition="0">
        <references count="1">
          <reference field="4" count="0"/>
        </references>
      </pivotArea>
    </format>
    <format dxfId="145">
      <pivotArea dataOnly="0" labelOnly="1" fieldPosition="0">
        <references count="1">
          <reference field="2" count="0"/>
        </references>
      </pivotArea>
    </format>
    <format dxfId="146">
      <pivotArea dataOnly="0" labelOnly="1" fieldPosition="0">
        <references count="2">
          <reference field="2" count="0" selected="0"/>
          <reference field="4" count="0"/>
        </references>
      </pivotArea>
    </format>
    <format dxfId="147">
      <pivotArea dataOnly="0" labelOnly="1" fieldPosition="0">
        <references count="3">
          <reference field="1" count="4">
            <x v="0"/>
            <x v="1"/>
            <x v="2"/>
            <x v="3"/>
          </reference>
          <reference field="2" count="0" selected="0"/>
          <reference field="4" count="1" selected="0">
            <x v="0"/>
          </reference>
        </references>
      </pivotArea>
    </format>
    <format dxfId="148">
      <pivotArea dataOnly="0" labelOnly="1" fieldPosition="0">
        <references count="3">
          <reference field="1" count="4">
            <x v="0"/>
            <x v="1"/>
            <x v="2"/>
            <x v="3"/>
          </reference>
          <reference field="2" count="0" selected="0"/>
          <reference field="4" count="1" selected="0">
            <x v="1"/>
          </reference>
        </references>
      </pivotArea>
    </format>
    <format dxfId="149">
      <pivotArea dataOnly="0" labelOnly="1" fieldPosition="0">
        <references count="3">
          <reference field="1" count="4">
            <x v="0"/>
            <x v="1"/>
            <x v="2"/>
            <x v="3"/>
          </reference>
          <reference field="2" count="0" selected="0"/>
          <reference field="4" count="1" selected="0">
            <x v="2"/>
          </reference>
        </references>
      </pivotArea>
    </format>
    <format dxfId="150">
      <pivotArea dataOnly="0" labelOnly="1" fieldPosition="0">
        <references count="3">
          <reference field="1" count="4">
            <x v="0"/>
            <x v="1"/>
            <x v="2"/>
            <x v="3"/>
          </reference>
          <reference field="2" count="0" selected="0"/>
          <reference field="4" count="1" selected="0">
            <x v="3"/>
          </reference>
        </references>
      </pivotArea>
    </format>
    <format dxfId="151">
      <pivotArea dataOnly="0" labelOnly="1" fieldPosition="0">
        <references count="3">
          <reference field="1" count="4">
            <x v="0"/>
            <x v="1"/>
            <x v="2"/>
            <x v="3"/>
          </reference>
          <reference field="2" count="0" selected="0"/>
          <reference field="4" count="1" selected="0">
            <x v="4"/>
          </reference>
        </references>
      </pivotArea>
    </format>
    <format dxfId="152">
      <pivotArea dataOnly="0" labelOnly="1" fieldPosition="0">
        <references count="3">
          <reference field="1" count="0"/>
          <reference field="2" count="0" selected="0"/>
          <reference field="4" count="1" selected="0">
            <x v="5"/>
          </reference>
        </references>
      </pivotArea>
    </format>
    <format dxfId="153">
      <pivotArea dataOnly="0" labelOnly="1" fieldPosition="0">
        <references count="4">
          <reference field="1" count="1" selected="0">
            <x v="0"/>
          </reference>
          <reference field="2" count="0" selected="0"/>
          <reference field="4" count="1" selected="0">
            <x v="0"/>
          </reference>
          <reference field="8" count="2">
            <x v="0"/>
            <x v="16"/>
          </reference>
        </references>
      </pivotArea>
    </format>
    <format dxfId="154">
      <pivotArea dataOnly="0" labelOnly="1" fieldPosition="0">
        <references count="4">
          <reference field="1" count="1" selected="0">
            <x v="1"/>
          </reference>
          <reference field="2" count="0" selected="0"/>
          <reference field="4" count="1" selected="0">
            <x v="0"/>
          </reference>
          <reference field="8" count="2">
            <x v="4"/>
            <x v="10"/>
          </reference>
        </references>
      </pivotArea>
    </format>
    <format dxfId="155">
      <pivotArea dataOnly="0" labelOnly="1" fieldPosition="0">
        <references count="4">
          <reference field="1" count="1" selected="0">
            <x v="2"/>
          </reference>
          <reference field="2" count="0" selected="0"/>
          <reference field="4" count="1" selected="0">
            <x v="0"/>
          </reference>
          <reference field="8" count="1">
            <x v="21"/>
          </reference>
        </references>
      </pivotArea>
    </format>
    <format dxfId="156">
      <pivotArea dataOnly="0" labelOnly="1" fieldPosition="0">
        <references count="4">
          <reference field="1" count="1" selected="0">
            <x v="3"/>
          </reference>
          <reference field="2" count="0" selected="0"/>
          <reference field="4" count="1" selected="0">
            <x v="0"/>
          </reference>
          <reference field="8" count="2">
            <x v="12"/>
            <x v="14"/>
          </reference>
        </references>
      </pivotArea>
    </format>
    <format dxfId="157">
      <pivotArea dataOnly="0" labelOnly="1" fieldPosition="0">
        <references count="4">
          <reference field="1" count="1" selected="0">
            <x v="0"/>
          </reference>
          <reference field="2" count="0" selected="0"/>
          <reference field="4" count="1" selected="0">
            <x v="1"/>
          </reference>
          <reference field="8" count="2">
            <x v="0"/>
            <x v="16"/>
          </reference>
        </references>
      </pivotArea>
    </format>
    <format dxfId="158">
      <pivotArea dataOnly="0" labelOnly="1" fieldPosition="0">
        <references count="4">
          <reference field="1" count="1" selected="0">
            <x v="1"/>
          </reference>
          <reference field="2" count="0" selected="0"/>
          <reference field="4" count="1" selected="0">
            <x v="1"/>
          </reference>
          <reference field="8" count="2">
            <x v="4"/>
            <x v="10"/>
          </reference>
        </references>
      </pivotArea>
    </format>
    <format dxfId="159">
      <pivotArea dataOnly="0" labelOnly="1" fieldPosition="0">
        <references count="4">
          <reference field="1" count="1" selected="0">
            <x v="2"/>
          </reference>
          <reference field="2" count="0" selected="0"/>
          <reference field="4" count="1" selected="0">
            <x v="1"/>
          </reference>
          <reference field="8" count="1">
            <x v="21"/>
          </reference>
        </references>
      </pivotArea>
    </format>
    <format dxfId="160">
      <pivotArea dataOnly="0" labelOnly="1" fieldPosition="0">
        <references count="4">
          <reference field="1" count="1" selected="0">
            <x v="3"/>
          </reference>
          <reference field="2" count="0" selected="0"/>
          <reference field="4" count="1" selected="0">
            <x v="1"/>
          </reference>
          <reference field="8" count="2">
            <x v="12"/>
            <x v="14"/>
          </reference>
        </references>
      </pivotArea>
    </format>
    <format dxfId="161">
      <pivotArea dataOnly="0" labelOnly="1" fieldPosition="0">
        <references count="4">
          <reference field="1" count="1" selected="0">
            <x v="0"/>
          </reference>
          <reference field="2" count="0" selected="0"/>
          <reference field="4" count="1" selected="0">
            <x v="2"/>
          </reference>
          <reference field="8" count="2">
            <x v="0"/>
            <x v="16"/>
          </reference>
        </references>
      </pivotArea>
    </format>
    <format dxfId="162">
      <pivotArea dataOnly="0" labelOnly="1" fieldPosition="0">
        <references count="4">
          <reference field="1" count="1" selected="0">
            <x v="1"/>
          </reference>
          <reference field="2" count="0" selected="0"/>
          <reference field="4" count="1" selected="0">
            <x v="2"/>
          </reference>
          <reference field="8" count="2">
            <x v="4"/>
            <x v="10"/>
          </reference>
        </references>
      </pivotArea>
    </format>
    <format dxfId="163">
      <pivotArea dataOnly="0" labelOnly="1" fieldPosition="0">
        <references count="4">
          <reference field="1" count="1" selected="0">
            <x v="2"/>
          </reference>
          <reference field="2" count="0" selected="0"/>
          <reference field="4" count="1" selected="0">
            <x v="2"/>
          </reference>
          <reference field="8" count="1">
            <x v="21"/>
          </reference>
        </references>
      </pivotArea>
    </format>
    <format dxfId="164">
      <pivotArea dataOnly="0" labelOnly="1" fieldPosition="0">
        <references count="4">
          <reference field="1" count="1" selected="0">
            <x v="3"/>
          </reference>
          <reference field="2" count="0" selected="0"/>
          <reference field="4" count="1" selected="0">
            <x v="2"/>
          </reference>
          <reference field="8" count="2">
            <x v="12"/>
            <x v="14"/>
          </reference>
        </references>
      </pivotArea>
    </format>
    <format dxfId="165">
      <pivotArea dataOnly="0" labelOnly="1" fieldPosition="0">
        <references count="4">
          <reference field="1" count="1" selected="0">
            <x v="0"/>
          </reference>
          <reference field="2" count="0" selected="0"/>
          <reference field="4" count="1" selected="0">
            <x v="3"/>
          </reference>
          <reference field="8" count="2">
            <x v="0"/>
            <x v="16"/>
          </reference>
        </references>
      </pivotArea>
    </format>
    <format dxfId="166">
      <pivotArea dataOnly="0" labelOnly="1" fieldPosition="0">
        <references count="4">
          <reference field="1" count="1" selected="0">
            <x v="1"/>
          </reference>
          <reference field="2" count="0" selected="0"/>
          <reference field="4" count="1" selected="0">
            <x v="3"/>
          </reference>
          <reference field="8" count="2">
            <x v="4"/>
            <x v="10"/>
          </reference>
        </references>
      </pivotArea>
    </format>
    <format dxfId="167">
      <pivotArea dataOnly="0" labelOnly="1" fieldPosition="0">
        <references count="4">
          <reference field="1" count="1" selected="0">
            <x v="2"/>
          </reference>
          <reference field="2" count="0" selected="0"/>
          <reference field="4" count="1" selected="0">
            <x v="3"/>
          </reference>
          <reference field="8" count="1">
            <x v="21"/>
          </reference>
        </references>
      </pivotArea>
    </format>
    <format dxfId="168">
      <pivotArea dataOnly="0" labelOnly="1" fieldPosition="0">
        <references count="4">
          <reference field="1" count="1" selected="0">
            <x v="3"/>
          </reference>
          <reference field="2" count="0" selected="0"/>
          <reference field="4" count="1" selected="0">
            <x v="3"/>
          </reference>
          <reference field="8" count="2">
            <x v="12"/>
            <x v="14"/>
          </reference>
        </references>
      </pivotArea>
    </format>
    <format dxfId="169">
      <pivotArea dataOnly="0" labelOnly="1" fieldPosition="0">
        <references count="4">
          <reference field="1" count="1" selected="0">
            <x v="0"/>
          </reference>
          <reference field="2" count="0" selected="0"/>
          <reference field="4" count="1" selected="0">
            <x v="4"/>
          </reference>
          <reference field="8" count="3">
            <x v="0"/>
            <x v="2"/>
            <x v="16"/>
          </reference>
        </references>
      </pivotArea>
    </format>
    <format dxfId="170">
      <pivotArea dataOnly="0" labelOnly="1" fieldPosition="0">
        <references count="4">
          <reference field="1" count="1" selected="0">
            <x v="1"/>
          </reference>
          <reference field="2" count="0" selected="0"/>
          <reference field="4" count="1" selected="0">
            <x v="4"/>
          </reference>
          <reference field="8" count="5">
            <x v="3"/>
            <x v="4"/>
            <x v="5"/>
            <x v="6"/>
            <x v="10"/>
          </reference>
        </references>
      </pivotArea>
    </format>
    <format dxfId="171">
      <pivotArea dataOnly="0" labelOnly="1" fieldPosition="0">
        <references count="4">
          <reference field="1" count="1" selected="0">
            <x v="2"/>
          </reference>
          <reference field="2" count="0" selected="0"/>
          <reference field="4" count="1" selected="0">
            <x v="4"/>
          </reference>
          <reference field="8" count="1">
            <x v="21"/>
          </reference>
        </references>
      </pivotArea>
    </format>
    <format dxfId="172">
      <pivotArea dataOnly="0" labelOnly="1" fieldPosition="0">
        <references count="4">
          <reference field="1" count="1" selected="0">
            <x v="3"/>
          </reference>
          <reference field="2" count="0" selected="0"/>
          <reference field="4" count="1" selected="0">
            <x v="4"/>
          </reference>
          <reference field="8" count="2">
            <x v="12"/>
            <x v="14"/>
          </reference>
        </references>
      </pivotArea>
    </format>
    <format dxfId="173">
      <pivotArea dataOnly="0" labelOnly="1" fieldPosition="0">
        <references count="4">
          <reference field="1" count="1" selected="0">
            <x v="0"/>
          </reference>
          <reference field="2" count="0" selected="0"/>
          <reference field="4" count="1" selected="0">
            <x v="5"/>
          </reference>
          <reference field="8" count="2">
            <x v="0"/>
            <x v="16"/>
          </reference>
        </references>
      </pivotArea>
    </format>
    <format dxfId="174">
      <pivotArea dataOnly="0" labelOnly="1" fieldPosition="0">
        <references count="4">
          <reference field="1" count="1" selected="0">
            <x v="1"/>
          </reference>
          <reference field="2" count="0" selected="0"/>
          <reference field="4" count="1" selected="0">
            <x v="5"/>
          </reference>
          <reference field="8" count="1">
            <x v="4"/>
          </reference>
        </references>
      </pivotArea>
    </format>
    <format dxfId="175">
      <pivotArea dataOnly="0" labelOnly="1" fieldPosition="0">
        <references count="4">
          <reference field="1" count="1" selected="0">
            <x v="2"/>
          </reference>
          <reference field="2" count="0" selected="0"/>
          <reference field="4" count="1" selected="0">
            <x v="5"/>
          </reference>
          <reference field="8" count="1">
            <x v="21"/>
          </reference>
        </references>
      </pivotArea>
    </format>
    <format dxfId="176">
      <pivotArea dataOnly="0" labelOnly="1" fieldPosition="0">
        <references count="4">
          <reference field="1" count="1" selected="0">
            <x v="3"/>
          </reference>
          <reference field="2" count="0" selected="0"/>
          <reference field="4" count="1" selected="0">
            <x v="5"/>
          </reference>
          <reference field="8" count="2">
            <x v="12"/>
            <x v="14"/>
          </reference>
        </references>
      </pivotArea>
    </format>
    <format dxfId="177">
      <pivotArea dataOnly="0" labelOnly="1" fieldPosition="0">
        <references count="4">
          <reference field="1" count="1" selected="0">
            <x v="4"/>
          </reference>
          <reference field="2" count="0" selected="0"/>
          <reference field="4" count="1" selected="0">
            <x v="5"/>
          </reference>
          <reference field="8" count="3">
            <x v="18"/>
            <x v="19"/>
            <x v="24"/>
          </reference>
        </references>
      </pivotArea>
    </format>
    <format dxfId="178">
      <pivotArea outline="0" collapsedLevelsAreSubtotals="1" fieldPosition="0"/>
    </format>
    <format dxfId="179">
      <pivotArea field="2" type="button" dataOnly="0" labelOnly="1" outline="0" axis="axisRow" fieldPosition="1"/>
    </format>
    <format dxfId="180">
      <pivotArea type="topRight" dataOnly="0" labelOnly="1" outline="0" fieldPosition="0"/>
    </format>
    <format dxfId="181">
      <pivotArea dataOnly="0" labelOnly="1" fieldPosition="0">
        <references count="1">
          <reference field="2" count="5">
            <x v="0"/>
            <x v="3"/>
            <x v="19"/>
            <x v="20"/>
            <x v="22"/>
          </reference>
        </references>
      </pivotArea>
    </format>
    <format dxfId="182">
      <pivotArea dataOnly="0" labelOnly="1" grandCol="1" outline="0" fieldPosition="0"/>
    </format>
    <format dxfId="183">
      <pivotArea field="5" type="button" dataOnly="0" labelOnly="1" outline="0" axis="axisRow" fieldPosition="0"/>
    </format>
    <format dxfId="184">
      <pivotArea dataOnly="0" labelOnly="1" fieldPosition="0">
        <references count="1">
          <reference field="5" count="0"/>
        </references>
      </pivotArea>
    </format>
    <format dxfId="185">
      <pivotArea dataOnly="0" labelOnly="1" fieldPosition="0">
        <references count="2">
          <reference field="2" count="5">
            <x v="0"/>
            <x v="3"/>
            <x v="19"/>
            <x v="20"/>
            <x v="22"/>
          </reference>
          <reference field="5" count="0" selected="0"/>
        </references>
      </pivotArea>
    </format>
    <format dxfId="186">
      <pivotArea dataOnly="0" labelOnly="1" fieldPosition="0">
        <references count="3">
          <reference field="2" count="1" selected="0">
            <x v="0"/>
          </reference>
          <reference field="5" count="0" selected="0"/>
          <reference field="6" count="4">
            <x v="134"/>
            <x v="135"/>
            <x v="136"/>
            <x v="137"/>
          </reference>
        </references>
      </pivotArea>
    </format>
    <format dxfId="187">
      <pivotArea dataOnly="0" labelOnly="1" fieldPosition="0">
        <references count="3">
          <reference field="2" count="1" selected="0">
            <x v="3"/>
          </reference>
          <reference field="5" count="0" selected="0"/>
          <reference field="6" count="1">
            <x v="119"/>
          </reference>
        </references>
      </pivotArea>
    </format>
    <format dxfId="188">
      <pivotArea dataOnly="0" labelOnly="1" fieldPosition="0">
        <references count="3">
          <reference field="2" count="1" selected="0">
            <x v="19"/>
          </reference>
          <reference field="5" count="0" selected="0"/>
          <reference field="6" count="1">
            <x v="114"/>
          </reference>
        </references>
      </pivotArea>
    </format>
    <format dxfId="189">
      <pivotArea dataOnly="0" labelOnly="1" fieldPosition="0">
        <references count="3">
          <reference field="2" count="1" selected="0">
            <x v="20"/>
          </reference>
          <reference field="5" count="0" selected="0"/>
          <reference field="6" count="3">
            <x v="99"/>
            <x v="113"/>
            <x v="120"/>
          </reference>
        </references>
      </pivotArea>
    </format>
    <format dxfId="190">
      <pivotArea dataOnly="0" labelOnly="1" fieldPosition="0">
        <references count="3">
          <reference field="2" count="1" selected="0">
            <x v="22"/>
          </reference>
          <reference field="5" count="0" selected="0"/>
          <reference field="6" count="1">
            <x v="143"/>
          </reference>
        </references>
      </pivotArea>
    </format>
    <format dxfId="191">
      <pivotArea dataOnly="0" labelOnly="1" fieldPosition="0">
        <references count="4">
          <reference field="2" count="1" selected="0">
            <x v="0"/>
          </reference>
          <reference field="5" count="0" selected="0"/>
          <reference field="6" count="1" selected="0">
            <x v="134"/>
          </reference>
          <reference field="8" count="4">
            <x v="3"/>
            <x v="4"/>
            <x v="6"/>
            <x v="11"/>
          </reference>
        </references>
      </pivotArea>
    </format>
    <format dxfId="192">
      <pivotArea dataOnly="0" labelOnly="1" fieldPosition="0">
        <references count="4">
          <reference field="2" count="1" selected="0">
            <x v="0"/>
          </reference>
          <reference field="5" count="0" selected="0"/>
          <reference field="6" count="1" selected="0">
            <x v="135"/>
          </reference>
          <reference field="8" count="1">
            <x v="10"/>
          </reference>
        </references>
      </pivotArea>
    </format>
    <format dxfId="193">
      <pivotArea dataOnly="0" labelOnly="1" fieldPosition="0">
        <references count="4">
          <reference field="2" count="1" selected="0">
            <x v="0"/>
          </reference>
          <reference field="5" count="0" selected="0"/>
          <reference field="6" count="1" selected="0">
            <x v="136"/>
          </reference>
          <reference field="8" count="1">
            <x v="21"/>
          </reference>
        </references>
      </pivotArea>
    </format>
    <format dxfId="194">
      <pivotArea dataOnly="0" labelOnly="1" fieldPosition="0">
        <references count="4">
          <reference field="2" count="1" selected="0">
            <x v="0"/>
          </reference>
          <reference field="5" count="0" selected="0"/>
          <reference field="6" count="1" selected="0">
            <x v="137"/>
          </reference>
          <reference field="8" count="1">
            <x v="16"/>
          </reference>
        </references>
      </pivotArea>
    </format>
    <format dxfId="195">
      <pivotArea dataOnly="0" labelOnly="1" fieldPosition="0">
        <references count="4">
          <reference field="2" count="1" selected="0">
            <x v="3"/>
          </reference>
          <reference field="5" count="0" selected="0"/>
          <reference field="6" count="1" selected="0">
            <x v="119"/>
          </reference>
          <reference field="8" count="3">
            <x v="3"/>
            <x v="4"/>
            <x v="21"/>
          </reference>
        </references>
      </pivotArea>
    </format>
    <format dxfId="196">
      <pivotArea dataOnly="0" labelOnly="1" fieldPosition="0">
        <references count="4">
          <reference field="2" count="1" selected="0">
            <x v="19"/>
          </reference>
          <reference field="5" count="0" selected="0"/>
          <reference field="6" count="1" selected="0">
            <x v="114"/>
          </reference>
          <reference field="8" count="3">
            <x v="2"/>
            <x v="10"/>
            <x v="21"/>
          </reference>
        </references>
      </pivotArea>
    </format>
    <format dxfId="197">
      <pivotArea dataOnly="0" labelOnly="1" fieldPosition="0">
        <references count="4">
          <reference field="2" count="1" selected="0">
            <x v="20"/>
          </reference>
          <reference field="5" count="0" selected="0"/>
          <reference field="6" count="1" selected="0">
            <x v="99"/>
          </reference>
          <reference field="8" count="6">
            <x v="2"/>
            <x v="3"/>
            <x v="4"/>
            <x v="5"/>
            <x v="11"/>
            <x v="21"/>
          </reference>
        </references>
      </pivotArea>
    </format>
    <format dxfId="198">
      <pivotArea dataOnly="0" labelOnly="1" fieldPosition="0">
        <references count="4">
          <reference field="2" count="1" selected="0">
            <x v="20"/>
          </reference>
          <reference field="5" count="0" selected="0"/>
          <reference field="6" count="1" selected="0">
            <x v="113"/>
          </reference>
          <reference field="8" count="9">
            <x v="2"/>
            <x v="4"/>
            <x v="5"/>
            <x v="6"/>
            <x v="8"/>
            <x v="10"/>
            <x v="12"/>
            <x v="16"/>
            <x v="21"/>
          </reference>
        </references>
      </pivotArea>
    </format>
    <format dxfId="199">
      <pivotArea dataOnly="0" labelOnly="1" fieldPosition="0">
        <references count="4">
          <reference field="2" count="1" selected="0">
            <x v="20"/>
          </reference>
          <reference field="5" count="0" selected="0"/>
          <reference field="6" count="1" selected="0">
            <x v="120"/>
          </reference>
          <reference field="8" count="5">
            <x v="0"/>
            <x v="4"/>
            <x v="12"/>
            <x v="16"/>
            <x v="21"/>
          </reference>
        </references>
      </pivotArea>
    </format>
    <format dxfId="200">
      <pivotArea dataOnly="0" labelOnly="1" fieldPosition="0">
        <references count="4">
          <reference field="2" count="1" selected="0">
            <x v="22"/>
          </reference>
          <reference field="5" count="0" selected="0"/>
          <reference field="6" count="1" selected="0">
            <x v="143"/>
          </reference>
          <reference field="8" count="1">
            <x v="11"/>
          </reference>
        </references>
      </pivotArea>
    </format>
    <format dxfId="201">
      <pivotArea dataOnly="0" labelOnly="1" outline="0" fieldPosition="0">
        <references count="1">
          <reference field="4294967294" count="1">
            <x v="1"/>
          </reference>
        </references>
      </pivotArea>
    </format>
    <format dxfId="202">
      <pivotArea collapsedLevelsAreSubtotals="1" fieldPosition="0">
        <references count="5">
          <reference field="4294967294" count="1" selected="0">
            <x v="0"/>
          </reference>
          <reference field="2" count="1" selected="0">
            <x v="20"/>
          </reference>
          <reference field="5" count="0" selected="0"/>
          <reference field="6" count="0" selected="0"/>
          <reference field="8" count="10">
            <x v="1"/>
            <x v="2"/>
            <x v="4"/>
            <x v="5"/>
            <x v="6"/>
            <x v="8"/>
            <x v="10"/>
            <x v="16"/>
            <x v="21"/>
            <x v="30"/>
          </reference>
        </references>
      </pivotArea>
    </format>
    <format dxfId="203">
      <pivotArea collapsedLevelsAreSubtotals="1" fieldPosition="0">
        <references count="5">
          <reference field="4294967294" count="1" selected="0">
            <x v="0"/>
          </reference>
          <reference field="2" count="1" selected="0">
            <x v="20"/>
          </reference>
          <reference field="5" count="0" selected="0"/>
          <reference field="6" count="0" selected="0"/>
          <reference field="8" count="5">
            <x v="0"/>
            <x v="4"/>
            <x v="12"/>
            <x v="16"/>
            <x v="21"/>
          </reference>
        </references>
      </pivotArea>
    </format>
    <format dxfId="204">
      <pivotArea collapsedLevelsAreSubtotals="1" fieldPosition="0">
        <references count="4">
          <reference field="4294967294" count="1" selected="0">
            <x v="0"/>
          </reference>
          <reference field="2" count="1" selected="0">
            <x v="20"/>
          </reference>
          <reference field="5" count="0" selected="0"/>
          <reference field="6" count="1">
            <x v="99"/>
          </reference>
        </references>
      </pivotArea>
    </format>
    <format dxfId="205">
      <pivotArea collapsedLevelsAreSubtotals="1" fieldPosition="0">
        <references count="5">
          <reference field="4294967294" count="1" selected="0">
            <x v="0"/>
          </reference>
          <reference field="2" count="1" selected="0">
            <x v="20"/>
          </reference>
          <reference field="5" count="0" selected="0"/>
          <reference field="6" count="1" selected="0">
            <x v="99"/>
          </reference>
          <reference field="8" count="6">
            <x v="2"/>
            <x v="3"/>
            <x v="4"/>
            <x v="5"/>
            <x v="11"/>
            <x v="21"/>
          </reference>
        </references>
      </pivotArea>
    </format>
    <format dxfId="206">
      <pivotArea collapsedLevelsAreSubtotals="1" fieldPosition="0">
        <references count="4">
          <reference field="4294967294" count="1" selected="0">
            <x v="0"/>
          </reference>
          <reference field="2" count="1" selected="0">
            <x v="20"/>
          </reference>
          <reference field="5" count="0" selected="0"/>
          <reference field="6" count="1">
            <x v="113"/>
          </reference>
        </references>
      </pivotArea>
    </format>
    <format dxfId="207">
      <pivotArea collapsedLevelsAreSubtotals="1" fieldPosition="0">
        <references count="5">
          <reference field="4294967294" count="1" selected="0">
            <x v="0"/>
          </reference>
          <reference field="2" count="1" selected="0">
            <x v="20"/>
          </reference>
          <reference field="5" count="0" selected="0"/>
          <reference field="6" count="1" selected="0">
            <x v="113"/>
          </reference>
          <reference field="8" count="10">
            <x v="1"/>
            <x v="2"/>
            <x v="4"/>
            <x v="5"/>
            <x v="8"/>
            <x v="10"/>
            <x v="16"/>
            <x v="21"/>
            <x v="28"/>
            <x v="30"/>
          </reference>
        </references>
      </pivotArea>
    </format>
    <format dxfId="208">
      <pivotArea collapsedLevelsAreSubtotals="1" fieldPosition="0">
        <references count="4">
          <reference field="4294967294" count="1" selected="0">
            <x v="0"/>
          </reference>
          <reference field="2" count="1" selected="0">
            <x v="20"/>
          </reference>
          <reference field="5" count="0" selected="0"/>
          <reference field="6" count="1">
            <x v="120"/>
          </reference>
        </references>
      </pivotArea>
    </format>
    <format dxfId="209">
      <pivotArea collapsedLevelsAreSubtotals="1" fieldPosition="0">
        <references count="5">
          <reference field="4294967294" count="1" selected="0">
            <x v="0"/>
          </reference>
          <reference field="2" count="1" selected="0">
            <x v="20"/>
          </reference>
          <reference field="5" count="0" selected="0"/>
          <reference field="6" count="1" selected="0">
            <x v="120"/>
          </reference>
          <reference field="8" count="5">
            <x v="0"/>
            <x v="4"/>
            <x v="16"/>
            <x v="21"/>
            <x v="30"/>
          </reference>
        </references>
      </pivotArea>
    </format>
    <format dxfId="210">
      <pivotArea collapsedLevelsAreSubtotals="1" fieldPosition="0">
        <references count="3">
          <reference field="4294967294" count="1" selected="0">
            <x v="0"/>
          </reference>
          <reference field="2" count="1">
            <x v="22"/>
          </reference>
          <reference field="5" count="0" selected="0"/>
        </references>
      </pivotArea>
    </format>
    <format dxfId="211">
      <pivotArea collapsedLevelsAreSubtotals="1" fieldPosition="0">
        <references count="4">
          <reference field="4294967294" count="1" selected="0">
            <x v="0"/>
          </reference>
          <reference field="2" count="1" selected="0">
            <x v="22"/>
          </reference>
          <reference field="5" count="0" selected="0"/>
          <reference field="6" count="1">
            <x v="143"/>
          </reference>
        </references>
      </pivotArea>
    </format>
    <format dxfId="212">
      <pivotArea collapsedLevelsAreSubtotals="1" fieldPosition="0">
        <references count="5">
          <reference field="4294967294" count="1" selected="0">
            <x v="0"/>
          </reference>
          <reference field="2" count="1" selected="0">
            <x v="22"/>
          </reference>
          <reference field="5" count="0" selected="0"/>
          <reference field="6" count="1" selected="0">
            <x v="143"/>
          </reference>
          <reference field="8"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35B4DF6-567D-4EF2-8018-F5CD0C249A69}" name="PivotTable3" cacheId="23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F14" firstHeaderRow="0" firstDataRow="1" firstDataCol="4" rowPageCount="2" colPageCount="1"/>
  <pivotFields count="20">
    <pivotField compact="0" outline="0" showAll="0"/>
    <pivotField axis="axisPage" compact="0" outline="0" showAll="0">
      <items count="8">
        <item x="2"/>
        <item x="1"/>
        <item x="0"/>
        <item x="3"/>
        <item m="1" x="6"/>
        <item m="1" x="4"/>
        <item m="1" x="5"/>
        <item t="default"/>
      </items>
    </pivotField>
    <pivotField axis="axisRow" compact="0" outline="0" showAll="0" defaultSubtotal="0">
      <items count="30">
        <item x="16"/>
        <item x="13"/>
        <item x="24"/>
        <item x="8"/>
        <item x="2"/>
        <item x="5"/>
        <item x="18"/>
        <item x="6"/>
        <item x="14"/>
        <item x="0"/>
        <item x="17"/>
        <item x="22"/>
        <item x="3"/>
        <item x="12"/>
        <item x="21"/>
        <item x="9"/>
        <item x="15"/>
        <item x="19"/>
        <item x="4"/>
        <item x="7"/>
        <item x="10"/>
        <item x="20"/>
        <item x="23"/>
        <item x="1"/>
        <item x="11"/>
        <item x="25"/>
        <item x="26"/>
        <item m="1" x="29"/>
        <item x="27"/>
        <item x="28"/>
      </items>
    </pivotField>
    <pivotField compact="0" outline="0" showAll="0"/>
    <pivotField axis="axisPage" compact="0" outline="0" multipleItemSelectionAllowed="1" showAll="0">
      <items count="8">
        <item h="1" x="3"/>
        <item h="1" x="1"/>
        <item h="1" x="4"/>
        <item h="1" x="5"/>
        <item h="1" x="0"/>
        <item x="6"/>
        <item h="1" x="2"/>
        <item t="default"/>
      </items>
    </pivotField>
    <pivotField axis="axisRow" compact="0" outline="0" showAll="0" defaultSubtotal="0">
      <items count="31">
        <item h="1" m="1" x="27"/>
        <item h="1" x="1"/>
        <item x="16"/>
        <item h="1" x="6"/>
        <item h="1" x="7"/>
        <item h="1" x="8"/>
        <item h="1" m="1" x="22"/>
        <item h="1" m="1" x="28"/>
        <item h="1" m="1" x="30"/>
        <item h="1" m="1" x="25"/>
        <item h="1" x="10"/>
        <item h="1" x="9"/>
        <item h="1" x="5"/>
        <item h="1" m="1" x="26"/>
        <item h="1" x="3"/>
        <item x="11"/>
        <item h="1" x="0"/>
        <item h="1" x="2"/>
        <item h="1" x="4"/>
        <item x="14"/>
        <item h="1" m="1" x="24"/>
        <item h="1" x="15"/>
        <item h="1" m="1" x="29"/>
        <item h="1" x="13"/>
        <item h="1" x="17"/>
        <item h="1" m="1" x="23"/>
        <item h="1" x="12"/>
        <item h="1" m="1" x="21"/>
        <item h="1" x="18"/>
        <item h="1" x="19"/>
        <item h="1" x="20"/>
      </items>
    </pivotField>
    <pivotField axis="axisRow" compact="0" outline="0" showAll="0" defaultSubtotal="0">
      <items count="186">
        <item x="71"/>
        <item x="59"/>
        <item x="44"/>
        <item x="133"/>
        <item x="47"/>
        <item x="73"/>
        <item x="74"/>
        <item x="72"/>
        <item x="23"/>
        <item x="105"/>
        <item x="35"/>
        <item m="1" x="185"/>
        <item m="1" x="176"/>
        <item x="37"/>
        <item x="8"/>
        <item x="6"/>
        <item x="9"/>
        <item x="10"/>
        <item x="28"/>
        <item x="103"/>
        <item m="1" x="165"/>
        <item x="75"/>
        <item x="29"/>
        <item x="30"/>
        <item x="19"/>
        <item x="112"/>
        <item x="81"/>
        <item x="15"/>
        <item x="0"/>
        <item x="60"/>
        <item x="66"/>
        <item x="93"/>
        <item x="25"/>
        <item x="69"/>
        <item x="70"/>
        <item x="4"/>
        <item m="1" x="178"/>
        <item x="12"/>
        <item x="31"/>
        <item x="22"/>
        <item x="7"/>
        <item x="40"/>
        <item x="21"/>
        <item x="106"/>
        <item x="33"/>
        <item x="5"/>
        <item x="3"/>
        <item x="92"/>
        <item x="63"/>
        <item x="97"/>
        <item x="38"/>
        <item x="39"/>
        <item x="132"/>
        <item x="128"/>
        <item x="131"/>
        <item x="127"/>
        <item x="46"/>
        <item m="1" x="181"/>
        <item m="1" x="182"/>
        <item m="1" x="180"/>
        <item x="82"/>
        <item x="67"/>
        <item x="94"/>
        <item x="100"/>
        <item x="85"/>
        <item x="86"/>
        <item x="95"/>
        <item x="102"/>
        <item x="104"/>
        <item x="96"/>
        <item x="88"/>
        <item x="79"/>
        <item x="80"/>
        <item x="1"/>
        <item x="78"/>
        <item m="1" x="174"/>
        <item m="1" x="173"/>
        <item x="2"/>
        <item x="61"/>
        <item x="119"/>
        <item x="121"/>
        <item x="122"/>
        <item x="110"/>
        <item x="89"/>
        <item x="91"/>
        <item x="90"/>
        <item x="87"/>
        <item x="101"/>
        <item x="107"/>
        <item x="26"/>
        <item m="1" x="169"/>
        <item x="55"/>
        <item x="27"/>
        <item x="14"/>
        <item m="1" x="167"/>
        <item m="1" x="171"/>
        <item x="130"/>
        <item m="1" x="170"/>
        <item x="83"/>
        <item x="84"/>
        <item x="98"/>
        <item x="99"/>
        <item x="58"/>
        <item x="109"/>
        <item x="118"/>
        <item x="134"/>
        <item m="1" x="166"/>
        <item m="1" x="172"/>
        <item x="111"/>
        <item x="120"/>
        <item x="36"/>
        <item x="48"/>
        <item x="51"/>
        <item x="49"/>
        <item x="68"/>
        <item x="34"/>
        <item x="126"/>
        <item m="1" x="175"/>
        <item m="1" x="184"/>
        <item x="62"/>
        <item x="17"/>
        <item m="1" x="179"/>
        <item x="43"/>
        <item x="42"/>
        <item x="114"/>
        <item x="115"/>
        <item x="41"/>
        <item x="45"/>
        <item x="113"/>
        <item x="65"/>
        <item x="56"/>
        <item x="13"/>
        <item x="125"/>
        <item x="11"/>
        <item x="16"/>
        <item m="1" x="177"/>
        <item x="64"/>
        <item x="57"/>
        <item x="50"/>
        <item x="123"/>
        <item x="18"/>
        <item x="124"/>
        <item x="54"/>
        <item m="1" x="183"/>
        <item x="53"/>
        <item x="52"/>
        <item x="20"/>
        <item x="129"/>
        <item x="135"/>
        <item x="136"/>
        <item x="137"/>
        <item x="24"/>
        <item x="77"/>
        <item m="1" x="168"/>
        <item x="32"/>
        <item x="138"/>
        <item x="116"/>
        <item x="139"/>
        <item x="140"/>
        <item x="141"/>
        <item x="142"/>
        <item x="143"/>
        <item x="144"/>
        <item x="145"/>
        <item x="146"/>
        <item x="147"/>
        <item x="148"/>
        <item x="149"/>
        <item x="150"/>
        <item x="151"/>
        <item x="152"/>
        <item x="76"/>
        <item x="153"/>
        <item x="108"/>
        <item x="117"/>
        <item x="154"/>
        <item x="155"/>
        <item x="156"/>
        <item x="157"/>
        <item x="158"/>
        <item x="159"/>
        <item x="160"/>
        <item x="161"/>
        <item x="162"/>
        <item x="163"/>
        <item x="164"/>
      </items>
    </pivotField>
    <pivotField compact="0" outline="0" showAll="0"/>
    <pivotField axis="axisRow" compact="0" outline="0" showAll="0" defaultSubtotal="0">
      <items count="55">
        <item x="19"/>
        <item x="15"/>
        <item x="27"/>
        <item x="5"/>
        <item x="4"/>
        <item x="3"/>
        <item x="17"/>
        <item x="31"/>
        <item m="1" x="47"/>
        <item x="26"/>
        <item x="32"/>
        <item x="11"/>
        <item x="6"/>
        <item x="2"/>
        <item x="9"/>
        <item x="7"/>
        <item m="1" x="51"/>
        <item m="1" x="49"/>
        <item x="16"/>
        <item m="1" x="50"/>
        <item m="1" x="48"/>
        <item x="10"/>
        <item x="8"/>
        <item x="14"/>
        <item m="1" x="52"/>
        <item m="1" x="53"/>
        <item x="25"/>
        <item x="1"/>
        <item x="18"/>
        <item x="22"/>
        <item m="1" x="54"/>
        <item m="1" x="40"/>
        <item x="20"/>
        <item m="1" x="43"/>
        <item x="23"/>
        <item x="28"/>
        <item x="21"/>
        <item x="33"/>
        <item x="34"/>
        <item x="35"/>
        <item x="36"/>
        <item m="1" x="44"/>
        <item x="37"/>
        <item m="1" x="45"/>
        <item m="1" x="46"/>
        <item x="38"/>
        <item x="0"/>
        <item m="1" x="41"/>
        <item x="12"/>
        <item x="13"/>
        <item m="1" x="42"/>
        <item x="24"/>
        <item x="30"/>
        <item x="29"/>
        <item x="39"/>
      </items>
    </pivotField>
    <pivotField compact="0" outline="0" showAll="0"/>
    <pivotField dataField="1" compact="0" outline="0" showAll="0"/>
    <pivotField dataField="1" compact="0" outline="0" showAll="0"/>
    <pivotField compact="0" outline="0" showAll="0">
      <items count="37">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 t="default"/>
      </items>
    </pivotField>
    <pivotField compact="0" outline="0" showAll="0"/>
    <pivotField compact="0" outline="0" showAll="0"/>
    <pivotField compact="0" outline="0" showAll="0"/>
    <pivotField compact="0" outline="0" showAll="0"/>
    <pivotField compact="0" outline="0" showAll="0"/>
    <pivotField compact="0" outline="0"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compact="0" outline="0" showAll="0">
      <items count="15">
        <item x="0"/>
        <item x="1"/>
        <item x="2"/>
        <item x="3"/>
        <item x="4"/>
        <item x="5"/>
        <item x="6"/>
        <item x="7"/>
        <item x="8"/>
        <item x="9"/>
        <item x="10"/>
        <item x="11"/>
        <item x="12"/>
        <item x="13"/>
        <item t="default"/>
      </items>
    </pivotField>
  </pivotFields>
  <rowFields count="4">
    <field x="5"/>
    <field x="2"/>
    <field x="6"/>
    <field x="8"/>
  </rowFields>
  <rowItems count="8">
    <i>
      <x v="2"/>
      <x v="2"/>
      <x v="3"/>
      <x v="6"/>
    </i>
    <i r="3">
      <x v="15"/>
    </i>
    <i r="3">
      <x v="21"/>
    </i>
    <i>
      <x v="15"/>
      <x v="12"/>
      <x v="51"/>
      <x v="5"/>
    </i>
    <i r="3">
      <x v="15"/>
    </i>
    <i r="3">
      <x v="18"/>
    </i>
    <i>
      <x v="19"/>
      <x v="14"/>
      <x v="88"/>
      <x v="18"/>
    </i>
    <i t="grand">
      <x/>
    </i>
  </rowItems>
  <colFields count="1">
    <field x="-2"/>
  </colFields>
  <colItems count="2">
    <i>
      <x/>
    </i>
    <i i="1">
      <x v="1"/>
    </i>
  </colItems>
  <pageFields count="2">
    <pageField fld="4" hier="-1"/>
    <pageField fld="1" hier="-1"/>
  </pageFields>
  <dataFields count="2">
    <dataField name="Quantity" fld="11" baseField="0" baseItem="0"/>
    <dataField name="Not Available" fld="10" baseField="0" baseItem="0"/>
  </dataFields>
  <formats count="18">
    <format dxfId="116">
      <pivotArea outline="0" fieldPosition="0">
        <references count="3">
          <reference field="2" count="1" selected="0">
            <x v="2"/>
          </reference>
          <reference field="5" count="1" selected="0">
            <x v="2"/>
          </reference>
          <reference field="6" count="1" selected="0" defaultSubtotal="1">
            <x v="3"/>
          </reference>
        </references>
      </pivotArea>
    </format>
    <format dxfId="117">
      <pivotArea dataOnly="0" labelOnly="1" outline="0" fieldPosition="0">
        <references count="1">
          <reference field="5" count="1">
            <x v="2"/>
          </reference>
        </references>
      </pivotArea>
    </format>
    <format dxfId="118">
      <pivotArea dataOnly="0" labelOnly="1" outline="0" fieldPosition="0">
        <references count="2">
          <reference field="2" count="1">
            <x v="2"/>
          </reference>
          <reference field="5" count="1" selected="0">
            <x v="2"/>
          </reference>
        </references>
      </pivotArea>
    </format>
    <format dxfId="119">
      <pivotArea dataOnly="0" labelOnly="1" outline="0" fieldPosition="0">
        <references count="3">
          <reference field="2" count="1" selected="0">
            <x v="2"/>
          </reference>
          <reference field="5" count="1" selected="0">
            <x v="2"/>
          </reference>
          <reference field="6" count="1">
            <x v="3"/>
          </reference>
        </references>
      </pivotArea>
    </format>
    <format dxfId="120">
      <pivotArea dataOnly="0" labelOnly="1" outline="0" fieldPosition="0">
        <references count="3">
          <reference field="2" count="1" selected="0">
            <x v="2"/>
          </reference>
          <reference field="5" count="1" selected="0">
            <x v="2"/>
          </reference>
          <reference field="6" count="1" defaultSubtotal="1">
            <x v="3"/>
          </reference>
        </references>
      </pivotArea>
    </format>
    <format dxfId="121">
      <pivotArea dataOnly="0" labelOnly="1" outline="0" fieldPosition="0">
        <references count="4">
          <reference field="2" count="1" selected="0">
            <x v="2"/>
          </reference>
          <reference field="5" count="1" selected="0">
            <x v="2"/>
          </reference>
          <reference field="6" count="1" selected="0">
            <x v="3"/>
          </reference>
          <reference field="8" count="3">
            <x v="6"/>
            <x v="15"/>
            <x v="21"/>
          </reference>
        </references>
      </pivotArea>
    </format>
    <format dxfId="122">
      <pivotArea outline="0" fieldPosition="0">
        <references count="3">
          <reference field="2" count="1" selected="0">
            <x v="12"/>
          </reference>
          <reference field="5" count="1" selected="0">
            <x v="15"/>
          </reference>
          <reference field="6" count="1" selected="0" defaultSubtotal="1">
            <x v="51"/>
          </reference>
        </references>
      </pivotArea>
    </format>
    <format dxfId="123">
      <pivotArea dataOnly="0" labelOnly="1" outline="0" fieldPosition="0">
        <references count="1">
          <reference field="5" count="1">
            <x v="15"/>
          </reference>
        </references>
      </pivotArea>
    </format>
    <format dxfId="124">
      <pivotArea dataOnly="0" labelOnly="1" outline="0" fieldPosition="0">
        <references count="2">
          <reference field="2" count="1">
            <x v="12"/>
          </reference>
          <reference field="5" count="1" selected="0">
            <x v="15"/>
          </reference>
        </references>
      </pivotArea>
    </format>
    <format dxfId="125">
      <pivotArea dataOnly="0" labelOnly="1" outline="0" fieldPosition="0">
        <references count="3">
          <reference field="2" count="1" selected="0">
            <x v="12"/>
          </reference>
          <reference field="5" count="1" selected="0">
            <x v="15"/>
          </reference>
          <reference field="6" count="1">
            <x v="51"/>
          </reference>
        </references>
      </pivotArea>
    </format>
    <format dxfId="126">
      <pivotArea dataOnly="0" labelOnly="1" outline="0" fieldPosition="0">
        <references count="3">
          <reference field="2" count="1" selected="0">
            <x v="12"/>
          </reference>
          <reference field="5" count="1" selected="0">
            <x v="15"/>
          </reference>
          <reference field="6" count="1" defaultSubtotal="1">
            <x v="51"/>
          </reference>
        </references>
      </pivotArea>
    </format>
    <format dxfId="127">
      <pivotArea dataOnly="0" labelOnly="1" outline="0" fieldPosition="0">
        <references count="4">
          <reference field="2" count="1" selected="0">
            <x v="12"/>
          </reference>
          <reference field="5" count="1" selected="0">
            <x v="15"/>
          </reference>
          <reference field="6" count="1" selected="0">
            <x v="51"/>
          </reference>
          <reference field="8" count="3">
            <x v="5"/>
            <x v="15"/>
            <x v="18"/>
          </reference>
        </references>
      </pivotArea>
    </format>
    <format dxfId="128">
      <pivotArea outline="0" fieldPosition="0">
        <references count="3">
          <reference field="2" count="1" selected="0">
            <x v="14"/>
          </reference>
          <reference field="5" count="1" selected="0">
            <x v="19"/>
          </reference>
          <reference field="6" count="1" selected="0" defaultSubtotal="1">
            <x v="88"/>
          </reference>
        </references>
      </pivotArea>
    </format>
    <format dxfId="129">
      <pivotArea dataOnly="0" labelOnly="1" outline="0" fieldPosition="0">
        <references count="1">
          <reference field="5" count="1">
            <x v="19"/>
          </reference>
        </references>
      </pivotArea>
    </format>
    <format dxfId="130">
      <pivotArea dataOnly="0" labelOnly="1" outline="0" fieldPosition="0">
        <references count="2">
          <reference field="2" count="1">
            <x v="14"/>
          </reference>
          <reference field="5" count="1" selected="0">
            <x v="19"/>
          </reference>
        </references>
      </pivotArea>
    </format>
    <format dxfId="131">
      <pivotArea dataOnly="0" labelOnly="1" outline="0" fieldPosition="0">
        <references count="3">
          <reference field="2" count="1" selected="0">
            <x v="14"/>
          </reference>
          <reference field="5" count="1" selected="0">
            <x v="19"/>
          </reference>
          <reference field="6" count="1">
            <x v="88"/>
          </reference>
        </references>
      </pivotArea>
    </format>
    <format dxfId="132">
      <pivotArea dataOnly="0" labelOnly="1" outline="0" fieldPosition="0">
        <references count="3">
          <reference field="2" count="1" selected="0">
            <x v="14"/>
          </reference>
          <reference field="5" count="1" selected="0">
            <x v="19"/>
          </reference>
          <reference field="6" count="1" defaultSubtotal="1">
            <x v="88"/>
          </reference>
        </references>
      </pivotArea>
    </format>
    <format dxfId="133">
      <pivotArea dataOnly="0" labelOnly="1" outline="0" fieldPosition="0">
        <references count="4">
          <reference field="2" count="1" selected="0">
            <x v="14"/>
          </reference>
          <reference field="5" count="1" selected="0">
            <x v="19"/>
          </reference>
          <reference field="6" count="1" selected="0">
            <x v="88"/>
          </reference>
          <reference field="8" count="1">
            <x v="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0521A48-D7B7-416B-8D9F-F3B39F53B0A2}" name="PivotTable2" cacheId="23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H31" firstHeaderRow="1" firstDataRow="4" firstDataCol="2" rowPageCount="1" colPageCount="1"/>
  <pivotFields count="2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
        <item x="3"/>
        <item x="1"/>
        <item x="4"/>
        <item x="5"/>
        <item x="0"/>
        <item x="6"/>
        <item x="2"/>
      </items>
    </pivotField>
    <pivotField compact="0" outline="0" showAll="0" defaultSubtotal="0"/>
    <pivotField axis="axisPage" compact="0" outline="0" showAll="0" defaultSubtotal="0">
      <items count="186">
        <item h="1" x="71"/>
        <item h="1" x="59"/>
        <item h="1" x="44"/>
        <item h="1" x="133"/>
        <item h="1" x="47"/>
        <item h="1" x="73"/>
        <item h="1" x="74"/>
        <item h="1" x="72"/>
        <item h="1" x="23"/>
        <item h="1" x="105"/>
        <item h="1" x="35"/>
        <item m="1" x="185"/>
        <item h="1" m="1" x="176"/>
        <item h="1" x="37"/>
        <item h="1" x="8"/>
        <item h="1" x="6"/>
        <item h="1" x="9"/>
        <item h="1" x="10"/>
        <item h="1" x="28"/>
        <item h="1" x="103"/>
        <item h="1" m="1" x="165"/>
        <item h="1" x="75"/>
        <item h="1" x="29"/>
        <item h="1" x="30"/>
        <item h="1" x="19"/>
        <item h="1" x="112"/>
        <item h="1" x="81"/>
        <item h="1" x="15"/>
        <item h="1" x="0"/>
        <item h="1" x="60"/>
        <item h="1" x="66"/>
        <item h="1" x="93"/>
        <item h="1" x="25"/>
        <item h="1" x="69"/>
        <item h="1" x="70"/>
        <item h="1" x="4"/>
        <item m="1" x="178"/>
        <item h="1" x="12"/>
        <item h="1" x="31"/>
        <item h="1" x="22"/>
        <item h="1" x="7"/>
        <item h="1" x="21"/>
        <item h="1" x="106"/>
        <item h="1" x="33"/>
        <item h="1" x="5"/>
        <item h="1" x="3"/>
        <item h="1" x="92"/>
        <item h="1" x="63"/>
        <item h="1" x="97"/>
        <item h="1" x="38"/>
        <item h="1" x="39"/>
        <item h="1" x="132"/>
        <item h="1" x="128"/>
        <item h="1" x="131"/>
        <item h="1" x="127"/>
        <item h="1" x="46"/>
        <item m="1" x="181"/>
        <item m="1" x="182"/>
        <item m="1" x="180"/>
        <item h="1" x="82"/>
        <item h="1" x="67"/>
        <item h="1" x="94"/>
        <item h="1" x="100"/>
        <item h="1" x="85"/>
        <item h="1" x="86"/>
        <item h="1" x="95"/>
        <item h="1" x="102"/>
        <item h="1" x="104"/>
        <item h="1" x="96"/>
        <item h="1" x="88"/>
        <item h="1" x="79"/>
        <item h="1" x="80"/>
        <item h="1" x="1"/>
        <item h="1" x="78"/>
        <item h="1" m="1" x="173"/>
        <item h="1" x="2"/>
        <item h="1" x="61"/>
        <item h="1" x="119"/>
        <item h="1" x="121"/>
        <item h="1" x="122"/>
        <item h="1" x="110"/>
        <item h="1" x="89"/>
        <item h="1" x="91"/>
        <item h="1" x="90"/>
        <item h="1" x="87"/>
        <item h="1" x="101"/>
        <item h="1" x="107"/>
        <item h="1" x="26"/>
        <item h="1" m="1" x="169"/>
        <item h="1" x="55"/>
        <item h="1" x="27"/>
        <item h="1" x="14"/>
        <item h="1" m="1" x="167"/>
        <item h="1" m="1" x="171"/>
        <item h="1" x="130"/>
        <item h="1" m="1" x="170"/>
        <item h="1" x="83"/>
        <item h="1" x="84"/>
        <item h="1" x="98"/>
        <item h="1" x="99"/>
        <item h="1" x="58"/>
        <item h="1" x="109"/>
        <item h="1" x="118"/>
        <item h="1" x="134"/>
        <item h="1" m="1" x="166"/>
        <item h="1" m="1" x="172"/>
        <item h="1" x="111"/>
        <item h="1" x="120"/>
        <item h="1" x="36"/>
        <item h="1" x="48"/>
        <item h="1" x="51"/>
        <item h="1" x="49"/>
        <item h="1" x="68"/>
        <item h="1" x="34"/>
        <item h="1" x="126"/>
        <item h="1" m="1" x="175"/>
        <item m="1" x="184"/>
        <item x="62"/>
        <item h="1" x="17"/>
        <item m="1" x="179"/>
        <item h="1" x="43"/>
        <item h="1" x="42"/>
        <item h="1" x="114"/>
        <item h="1" x="115"/>
        <item h="1" x="41"/>
        <item h="1" x="45"/>
        <item h="1" x="113"/>
        <item h="1" x="65"/>
        <item h="1" x="56"/>
        <item h="1" x="13"/>
        <item h="1" x="125"/>
        <item h="1" x="11"/>
        <item h="1" x="16"/>
        <item m="1" x="177"/>
        <item h="1" x="64"/>
        <item h="1" x="57"/>
        <item h="1" x="50"/>
        <item h="1" x="123"/>
        <item h="1" x="18"/>
        <item h="1" x="124"/>
        <item h="1" x="54"/>
        <item m="1" x="183"/>
        <item h="1" x="53"/>
        <item h="1" x="52"/>
        <item h="1" m="1" x="174"/>
        <item h="1" x="40"/>
        <item h="1" x="20"/>
        <item h="1" x="129"/>
        <item h="1" x="135"/>
        <item h="1" x="136"/>
        <item h="1" x="137"/>
        <item h="1" x="24"/>
        <item h="1" x="77"/>
        <item h="1" m="1" x="168"/>
        <item h="1" x="32"/>
        <item h="1" x="138"/>
        <item h="1" x="116"/>
        <item h="1" x="139"/>
        <item h="1" x="140"/>
        <item h="1" x="141"/>
        <item h="1" x="142"/>
        <item h="1" x="143"/>
        <item h="1" x="144"/>
        <item h="1" x="145"/>
        <item h="1" x="146"/>
        <item h="1" x="147"/>
        <item h="1" x="148"/>
        <item h="1" x="149"/>
        <item h="1" x="150"/>
        <item h="1" x="151"/>
        <item h="1" x="152"/>
        <item h="1" x="76"/>
        <item h="1" x="153"/>
        <item h="1" x="108"/>
        <item h="1" x="117"/>
        <item h="1" x="154"/>
        <item h="1" x="155"/>
        <item h="1" x="156"/>
        <item h="1" x="157"/>
        <item h="1" x="158"/>
        <item h="1" x="159"/>
        <item h="1" x="160"/>
        <item h="1" x="161"/>
        <item h="1" x="162"/>
        <item h="1" x="163"/>
        <item h="1" x="164"/>
      </items>
    </pivotField>
    <pivotField axis="axisRow" compact="0" outline="0" showAll="0" defaultSubtotal="0">
      <items count="9">
        <item x="3"/>
        <item x="5"/>
        <item x="2"/>
        <item x="4"/>
        <item x="1"/>
        <item x="6"/>
        <item m="1" x="8"/>
        <item x="0"/>
        <item m="1" x="7"/>
      </items>
    </pivotField>
    <pivotField compact="0" outline="0" showAll="0" defaultSubtotal="0"/>
    <pivotField compact="0" outline="0" showAll="0"/>
    <pivotField compact="0" outline="0" showAll="0" defaultSubtotal="0"/>
    <pivotField dataField="1" compact="0" outline="0" showAll="0" defaultSubtotal="0"/>
    <pivotField axis="axisCol" compact="0" outline="0" showAll="0" defaultSubtotal="0">
      <items count="36">
        <item x="7"/>
        <item x="29"/>
        <item x="26"/>
        <item x="31"/>
        <item x="32"/>
        <item x="1"/>
        <item x="2"/>
        <item x="30"/>
        <item x="24"/>
        <item x="10"/>
        <item x="16"/>
        <item x="4"/>
        <item x="15"/>
        <item x="21"/>
        <item x="13"/>
        <item x="14"/>
        <item x="3"/>
        <item x="28"/>
        <item x="9"/>
        <item x="27"/>
        <item x="17"/>
        <item x="0"/>
        <item x="23"/>
        <item x="19"/>
        <item x="8"/>
        <item x="11"/>
        <item x="12"/>
        <item x="22"/>
        <item x="20"/>
        <item x="18"/>
        <item x="5"/>
        <item x="6"/>
        <item x="33"/>
        <item x="25"/>
        <item x="34"/>
        <item x="3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compact="0" outline="0" showAll="0">
      <items count="15">
        <item x="0"/>
        <item x="1"/>
        <item x="2"/>
        <item x="3"/>
        <item x="4"/>
        <item x="5"/>
        <item x="6"/>
        <item x="7"/>
        <item x="8"/>
        <item x="9"/>
        <item x="10"/>
        <item x="11"/>
        <item x="12"/>
        <item x="13"/>
        <item t="default"/>
      </items>
    </pivotField>
  </pivotFields>
  <rowFields count="2">
    <field x="4"/>
    <field x="7"/>
  </rowFields>
  <rowItems count="25">
    <i>
      <x/>
      <x v="2"/>
    </i>
    <i r="1">
      <x v="3"/>
    </i>
    <i r="1">
      <x v="4"/>
    </i>
    <i r="1">
      <x v="7"/>
    </i>
    <i>
      <x v="1"/>
      <x v="2"/>
    </i>
    <i r="1">
      <x v="3"/>
    </i>
    <i r="1">
      <x v="4"/>
    </i>
    <i r="1">
      <x v="7"/>
    </i>
    <i>
      <x v="2"/>
      <x v="2"/>
    </i>
    <i r="1">
      <x v="3"/>
    </i>
    <i r="1">
      <x v="4"/>
    </i>
    <i r="1">
      <x v="7"/>
    </i>
    <i>
      <x v="3"/>
      <x v="2"/>
    </i>
    <i r="1">
      <x v="3"/>
    </i>
    <i r="1">
      <x v="4"/>
    </i>
    <i r="1">
      <x v="7"/>
    </i>
    <i>
      <x v="4"/>
      <x v="2"/>
    </i>
    <i r="1">
      <x v="3"/>
    </i>
    <i r="1">
      <x v="4"/>
    </i>
    <i r="1">
      <x v="7"/>
    </i>
    <i>
      <x v="6"/>
      <x v="2"/>
    </i>
    <i r="1">
      <x v="3"/>
    </i>
    <i r="1">
      <x v="4"/>
    </i>
    <i r="1">
      <x v="7"/>
    </i>
    <i t="grand">
      <x/>
    </i>
  </rowItems>
  <colFields count="3">
    <field x="19"/>
    <field x="18"/>
    <field x="12"/>
  </colFields>
  <colItems count="6">
    <i>
      <x v="11"/>
      <x v="235"/>
      <x v="30"/>
    </i>
    <i t="default" r="1">
      <x v="235"/>
    </i>
    <i r="1">
      <x v="350"/>
      <x v="12"/>
    </i>
    <i t="default" r="1">
      <x v="350"/>
    </i>
    <i t="default">
      <x v="11"/>
    </i>
    <i t="grand">
      <x/>
    </i>
  </colItems>
  <pageFields count="1">
    <pageField fld="6" item="117" hier="-1"/>
  </pageFields>
  <dataFields count="1">
    <dataField name="Sum of New Quantity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56023534-3C1F-4620-883D-57592EE3EF33}" sourceName="Owner">
  <extLst>
    <x:ext xmlns:x15="http://schemas.microsoft.com/office/spreadsheetml/2010/11/main" uri="{2F2917AC-EB37-4324-AD4E-5DD8C200BD13}">
      <x15:tableSlicerCache tableId="2" column="1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 xr10:uid="{C58B42BF-90DB-4D11-9269-6102B90ACB4C}" sourceName="FA">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DCAAEA37-A01F-435F-BBA0-674FE6C90F99}" sourceName="Venue">
  <extLst>
    <x:ext xmlns:x15="http://schemas.microsoft.com/office/spreadsheetml/2010/11/main" uri="{2F2917AC-EB37-4324-AD4E-5DD8C200BD13}">
      <x15:tableSlicerCache tableId="2"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ed" xr10:uid="{33A691F7-C6AD-406C-9FF0-D20932A846BB}" sourceName="Delivered">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TM_Status" xr10:uid="{B0107704-21B4-5E42-BC5F-A29B92B94DAE}" sourceName="VTM Status">
  <extLst>
    <x:ext xmlns:x15="http://schemas.microsoft.com/office/spreadsheetml/2010/11/main" uri="{2F2917AC-EB37-4324-AD4E-5DD8C200BD13}">
      <x15:tableSlicerCache tableId="2"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wner" xr10:uid="{793DE942-6842-4E2E-84D0-3F4E0428AED7}" cache="Slicer_Owner" caption="Owner" rowHeight="228600"/>
  <slicer name="FA" xr10:uid="{44F7FD42-61FA-40BB-8BF5-512B0798C9F9}" cache="Slicer_FA" caption="FA" columnCount="8" rowHeight="228600"/>
  <slicer name="Venue" xr10:uid="{9B5F52BB-C976-4334-BDAE-150C6845E0C1}" cache="Slicer_Venue" caption="Venue" columnCount="4" rowHeight="228600"/>
  <slicer name="Delivered" xr10:uid="{D1F8A838-20C5-48BC-A8CA-3054128EE8ED}" cache="Slicer_Delivered" caption="Delivered" rowHeight="241300"/>
  <slicer name="VTM Status" xr10:uid="{DE7A4C70-26DC-C942-BA83-0816C224DCFE}" cache="Slicer_VTM_Status" caption="VTM 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A607C0-DD49-4289-84C8-E7AD599B90B7}" name="t_requirements" displayName="t_requirements" ref="B3:R62" totalsRowShown="0" headerRowDxfId="109">
  <autoFilter ref="B3:R62" xr:uid="{110E090A-9B50-4750-BFDF-907DF26E1024}"/>
  <tableColumns count="17">
    <tableColumn id="1" xr3:uid="{6A70B772-61F2-4722-8D67-305E74178BFC}" name="FA" dataDxfId="108"/>
    <tableColumn id="13" xr3:uid="{7A6494B2-A496-46D9-8969-01ACB1E0B85C}" name="FA Name" dataDxfId="107">
      <calculatedColumnFormula array="1">_xlfn.SINGLE(_xlfn._xlws.FILTER(t_Contact[FA Name],t_Contact[FA]=t_requirements[[#This Row],[FA]],""))</calculatedColumnFormula>
    </tableColumn>
    <tableColumn id="2" xr3:uid="{226BB949-B58A-4AE3-8754-721587B5E767}" name="Venue"/>
    <tableColumn id="3" xr3:uid="{6317BA20-9A42-47F3-90BD-F4940C87F713}" name="Area"/>
    <tableColumn id="4" xr3:uid="{01A688E5-4A6D-4E83-A0F5-E8FF8C5AAB4F}" name="Space"/>
    <tableColumn id="5" xr3:uid="{79DF4A4F-EE5B-4B61-B9AD-994665142088}" name="Category"/>
    <tableColumn id="6" xr3:uid="{56BF1FEF-6076-41E4-84EF-76007803BA73}" name="Item"/>
    <tableColumn id="17" xr3:uid="{1C8A2C02-45CE-43F8-AA70-1E48FBCA733E}" name="Solution" dataDxfId="106"/>
    <tableColumn id="18" xr3:uid="{6209A2B6-B1B0-4CD3-B3C7-57EE966EABC3}" name="Status" dataDxfId="105"/>
    <tableColumn id="19" xr3:uid="{9D089B54-50B5-4331-83BE-1F5EBA53ABF3}" name="Old Quantity2" dataDxfId="104"/>
    <tableColumn id="7" xr3:uid="{A5C77875-3207-4A77-ABB3-07A77AE442EB}" name="New Quantity " dataDxfId="103"/>
    <tableColumn id="8" xr3:uid="{C80802FA-2042-40E0-B0BB-808CDA3266F1}" name="Start Date" dataDxfId="102"/>
    <tableColumn id="9" xr3:uid="{94BC478C-75BA-4D3D-A3F8-4066CF72E9CB}" name="End Date" dataDxfId="101"/>
    <tableColumn id="10" xr3:uid="{72914148-ED7E-4015-B4F9-5873A80FCB57}" name="Code"/>
    <tableColumn id="11" xr3:uid="{11AE49EA-A4FE-4DF6-B4CC-D0BFC34EE8F6}" name="ICT Comment"/>
    <tableColumn id="12" xr3:uid="{7B6A0615-3F6C-489A-94AE-807B9EBC2838}" name="Notes"/>
    <tableColumn id="16" xr3:uid="{3BF5F743-7ADF-4B62-8AF9-3344797FDADF}" name="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6380A7-120F-43AB-9DA5-4AE244CA6B0A}" name="Table9" displayName="Table9" ref="A3:S18" totalsRowShown="0">
  <autoFilter ref="A3:S18" xr:uid="{2E6380A7-120F-43AB-9DA5-4AE244CA6B0A}"/>
  <tableColumns count="19">
    <tableColumn id="1" xr3:uid="{442B04F8-6DEE-4CD8-BD92-EA4FBD16EBDD}" name="Delivered"/>
    <tableColumn id="2" xr3:uid="{D08AC149-C0A2-4D78-B8A3-ECF203A2230F}" name="Owner"/>
    <tableColumn id="3" xr3:uid="{54B358A8-F085-4E6B-AA8B-DE8EB58F5CBB}" name="FA"/>
    <tableColumn id="4" xr3:uid="{5E051079-2707-4B9E-AEF6-05A85066CE74}" name="FA Name"/>
    <tableColumn id="5" xr3:uid="{6F36C180-653F-4695-B87C-D6A497EF9297}" name="Venue"/>
    <tableColumn id="6" xr3:uid="{B5AF38B9-DD04-4E02-AFB7-E020B2E1E442}" name="Area"/>
    <tableColumn id="7" xr3:uid="{668013A2-C8CE-432E-96CB-1F5F39985D75}" name="Space"/>
    <tableColumn id="8" xr3:uid="{BEBD9355-C59F-445F-9EC9-C65A7402E55C}" name="Category"/>
    <tableColumn id="9" xr3:uid="{93AE3B73-E2AF-48CB-8B65-2B0FB8EBE4B1}" name="Item"/>
    <tableColumn id="10" xr3:uid="{34858068-C44C-4A1E-8BAD-3CAA15C101C1}" name="Solution"/>
    <tableColumn id="11" xr3:uid="{D9D94B1F-1648-43B3-9990-54325053E9D9}" name="VTM Status"/>
    <tableColumn id="12" xr3:uid="{995D66DC-F1F0-40EB-85A9-2C136787D5CD}" name="Old Quantity2"/>
    <tableColumn id="13" xr3:uid="{193A6CC0-2B6A-4676-B0B8-BD569DB1969D}" name="New Quantity "/>
    <tableColumn id="14" xr3:uid="{D4FB5618-21F2-4FC0-ABC5-9B26EC39735D}" name="Start Date" dataDxfId="100"/>
    <tableColumn id="15" xr3:uid="{DB5489AC-C2C0-4E9E-B39B-D44AE167DE0F}" name="End Date" dataDxfId="99"/>
    <tableColumn id="16" xr3:uid="{EFE3E16F-182A-479D-A8FA-7DFD2B672951}" name="Code"/>
    <tableColumn id="17" xr3:uid="{82A2E6F4-2ED7-4C18-9EA4-61EE9CDC2DCA}" name="ICT Comment"/>
    <tableColumn id="18" xr3:uid="{82A94C4B-544E-48C9-9EB9-48DFBAB5F1C4}" name="Notes"/>
    <tableColumn id="19" xr3:uid="{9B9237C7-E52D-4D56-A552-B840A3077E72}" name="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93455A6-7AB0-41EA-A15D-2C07DEE1DD14}" name="Table10" displayName="Table10" ref="A1:R2" totalsRowShown="0">
  <autoFilter ref="A1:R2" xr:uid="{793455A6-7AB0-41EA-A15D-2C07DEE1DD14}"/>
  <tableColumns count="18">
    <tableColumn id="1" xr3:uid="{461A54A2-9A62-4E77-82DB-BCF1514D0901}" name="Delivered"/>
    <tableColumn id="2" xr3:uid="{8565B745-23BA-4028-9BDC-04870FB71A81}" name="Owner"/>
    <tableColumn id="3" xr3:uid="{17E530DE-2212-4144-81D4-629D9FBB56F5}" name="FA"/>
    <tableColumn id="4" xr3:uid="{DA526449-19D8-461E-AC77-87A7467EF221}" name="FA Name"/>
    <tableColumn id="5" xr3:uid="{A5092EDF-2170-4858-9E14-355035319560}" name="Venue"/>
    <tableColumn id="6" xr3:uid="{8CBEE3F7-5A9D-4AC4-A253-CADB08E5AB56}" name="Area"/>
    <tableColumn id="7" xr3:uid="{3DDBBE55-4D5F-41D1-96EB-53B1FB7A1031}" name="Space"/>
    <tableColumn id="8" xr3:uid="{72967D74-9A58-46FC-865C-FD0C2AE5C2AB}" name="Category"/>
    <tableColumn id="9" xr3:uid="{A29C1381-762A-4644-BAB5-6130326A13B9}" name="Item"/>
    <tableColumn id="10" xr3:uid="{3C69AD34-E397-4F76-A842-115747F3805D}" name="VTM Status"/>
    <tableColumn id="11" xr3:uid="{62F495B3-2D1D-449B-BB3F-A97CF73BBB80}" name="Old Quantity2"/>
    <tableColumn id="12" xr3:uid="{F53E65FF-97F4-4A28-9E22-1E76D1B16943}" name="New Quantity "/>
    <tableColumn id="13" xr3:uid="{50C03ECE-BD75-445B-B00C-05D787119E7C}" name="Start Date" dataDxfId="98"/>
    <tableColumn id="14" xr3:uid="{7080FDD2-6382-456D-90DA-12610D3B3B61}" name="End Date" dataDxfId="97"/>
    <tableColumn id="15" xr3:uid="{5B345625-CD80-4E3F-BF0C-AB295E3500D1}" name="Code"/>
    <tableColumn id="16" xr3:uid="{1AED205E-9ADD-44D9-9260-061EBB40A631}" name="ICT Comment"/>
    <tableColumn id="17" xr3:uid="{0C96448D-C7F4-4DF8-B0C0-A373BE82A99B}" name="Notes"/>
    <tableColumn id="18" xr3:uid="{27BAA6F2-9A62-4CEB-AC5A-ADC8FA00B4D3}" name="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9B8CD5-B18F-47F1-A39D-3D2D6D6DDA89}" name="t_ServiceCatalogue" displayName="t_ServiceCatalogue" ref="F2:K43" totalsRowShown="0" headerRowDxfId="88" dataDxfId="87" tableBorderDxfId="86">
  <autoFilter ref="F2:K43" xr:uid="{3CD1E877-47E3-4991-BF72-0BF3625F7B5D}"/>
  <tableColumns count="6">
    <tableColumn id="1" xr3:uid="{415AA27C-BCC8-4ADF-B2BD-12D8E217C8D1}" name="Category" dataDxfId="85"/>
    <tableColumn id="2" xr3:uid="{019612FD-821C-4EB0-82DF-51A9C0FA76D6}" name="Item Name" dataDxfId="84"/>
    <tableColumn id="4" xr3:uid="{C36DB90B-179F-4268-AB05-D9B58F341312}" name="Code" dataDxfId="83"/>
    <tableColumn id="3" xr3:uid="{C937811E-5CB7-4108-A8FB-792936545FD7}" name="Description" dataDxfId="82"/>
    <tableColumn id="5" xr3:uid="{2A38E760-4201-48D0-AB4F-2D774D103B8A}" name="FIFA Representation Code" dataDxfId="81"/>
    <tableColumn id="6" xr3:uid="{31BA7DAA-EAED-4086-AA39-10F651A73606}" name="Onwer" dataDxfId="8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8DC904-E92B-45B1-B306-B29A67E8F40B}" name="t_ServiceOwner" displayName="t_ServiceOwner" ref="F50:G55" totalsRowShown="0">
  <autoFilter ref="F50:G55" xr:uid="{948DC904-E92B-45B1-B306-B29A67E8F40B}"/>
  <tableColumns count="2">
    <tableColumn id="1" xr3:uid="{B466F4FA-3E63-4C1A-AB9D-89EB8B6A3AD9}" name="Title"/>
    <tableColumn id="2" xr3:uid="{51B64FFE-A8E5-4847-B595-3FC77D2B84EE}" name="Servic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B7D0BC-AE9C-4D3A-A944-AF3B17B66A96}" name="t_fac25_requirements" displayName="t_fac25_requirements" ref="A3:R1236" totalsRowShown="0" headerRowDxfId="46">
  <autoFilter ref="A3:R1236" xr:uid="{73B7D0BC-AE9C-4D3A-A944-AF3B17B66A96}"/>
  <tableColumns count="18">
    <tableColumn id="19" xr3:uid="{E3581E93-DE84-48E8-84B6-6B272A25072B}" name="Delivered"/>
    <tableColumn id="15" xr3:uid="{A3A0C2F1-9637-4C37-9C23-72B72DF04553}" name="Owner"/>
    <tableColumn id="1" xr3:uid="{908A9144-EA17-4497-8D12-966FD5CCF7BB}" name="FA" dataDxfId="45"/>
    <tableColumn id="13" xr3:uid="{40459987-68B1-47FE-9699-3520E250A4A5}" name="FA Name" dataDxfId="44">
      <calculatedColumnFormula>_xlfn._xlws.FILTER(t_Contact[FA Name],t_Contact[FA]=t_fac25_requirements[[#This Row],[FA]],"")</calculatedColumnFormula>
    </tableColumn>
    <tableColumn id="2" xr3:uid="{B514E4D7-2E48-47A6-91BB-B60E5050DB1C}" name="Venue"/>
    <tableColumn id="3" xr3:uid="{DAB846D4-E1CB-4A84-8B0F-E25944EE4C09}" name="Area"/>
    <tableColumn id="4" xr3:uid="{03C4B9F3-7459-4FE8-A5E1-5C255727D9D2}" name="Space"/>
    <tableColumn id="5" xr3:uid="{D0E45EB2-EEDB-4EAA-BC8D-8FA10F8698A9}" name="Category"/>
    <tableColumn id="6" xr3:uid="{F92A94DC-DAA2-497E-AF4E-2E2151EB0BFB}" name="Item"/>
    <tableColumn id="14" xr3:uid="{187B2978-E04B-4930-9B85-D772C0855540}" name="VTM Status" dataDxfId="43"/>
    <tableColumn id="18" xr3:uid="{8BD6CAF4-48C3-4398-A2CE-4DB811549175}" name="Old Quantity2" dataDxfId="42"/>
    <tableColumn id="7" xr3:uid="{B90E443A-ED08-43C5-925C-6796E7A4E93F}" name="New Quantity " dataDxfId="41"/>
    <tableColumn id="8" xr3:uid="{DBB0C272-68B3-4975-A276-6A548A4EAE6A}" name="Start Date" dataDxfId="40"/>
    <tableColumn id="9" xr3:uid="{BD15A90A-506D-4852-A73C-BE269FEAA045}" name="End Date" dataDxfId="39"/>
    <tableColumn id="10" xr3:uid="{03CAC833-46D5-4082-A204-9FAA90FFD86B}" name="Code" dataDxfId="38"/>
    <tableColumn id="11" xr3:uid="{6429BC1D-6CD4-4E2E-9E1B-DDE6AA251779}" name="ICT Comment" dataDxfId="37"/>
    <tableColumn id="12" xr3:uid="{689ABD2A-01A4-49BE-B345-C30BD8CF7597}" name="Notes" dataDxfId="36"/>
    <tableColumn id="17" xr3:uid="{3672CFFB-C73A-4851-819E-A1D2B1EC7528}" name="ID"/>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624AF9-1D2E-4A20-871E-6D138FD58901}" name="t_Solutions" displayName="t_Solutions" ref="B2:Q39" totalsRowShown="0">
  <autoFilter ref="B2:Q39" xr:uid="{AB624AF9-1D2E-4A20-871E-6D138FD58901}"/>
  <tableColumns count="16">
    <tableColumn id="1" xr3:uid="{8410B3E6-D056-4784-AC8E-52326530D34F}" name="Owner" dataDxfId="25"/>
    <tableColumn id="2" xr3:uid="{BD522A89-D3CE-4DF3-9EA0-D618669A3CB3}" name="Category"/>
    <tableColumn id="3" xr3:uid="{07334962-CBC6-4A57-828C-B2A96E9503C8}" name="Item"/>
    <tableColumn id="4" xr3:uid="{75B07A39-24BE-4B81-A027-FE3CAFB5E401}" name="Solution"/>
    <tableColumn id="5" xr3:uid="{FF9FE77E-3A94-4DDE-A9CD-D869924EF24D}" name="Desciption"/>
    <tableColumn id="6" xr3:uid="{84414BAE-77B6-4EFD-8328-2AE46051B7DA}" name="AV"/>
    <tableColumn id="7" xr3:uid="{AC497BA6-273D-477A-9802-1DC8E36CEE0E}" name="Telco/SIM"/>
    <tableColumn id="8" xr3:uid="{1DEF67AF-E2AF-4B9E-866E-4D60C41892F3}" name="EU"/>
    <tableColumn id="9" xr3:uid="{918EA759-D76C-431E-B064-F73B3C433040}" name="NW"/>
    <tableColumn id="10" xr3:uid="{18428660-A877-4D31-9799-C4934DBC2816}" name="Executing Entity"/>
    <tableColumn id="13" xr3:uid="{A59878A3-93AD-4416-98DD-0090AB136CEC}" name="Applicable Venues"/>
    <tableColumn id="11" xr3:uid="{8D9A7867-6841-40D5-A156-E9179BA91B7B}" name="COST"/>
    <tableColumn id="16" xr3:uid="{5A1EA6AF-8E5C-4C1A-BB30-279AC5A8076B}" name="COST Per Month"/>
    <tableColumn id="12" xr3:uid="{7F0781E6-669B-402A-ABEE-801F7CE80E6E}" name="Activation COST"/>
    <tableColumn id="14" xr3:uid="{7070233F-D93D-4D13-AABF-A2003CB61EC2}" name="Limit"/>
    <tableColumn id="15" xr3:uid="{B4A3AD6C-2F47-4028-9E7A-2A26F3E4581D}" name="What is the dependenc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E09872-E9F5-468E-BB37-B611ABC3BAA1}" name="t_Contact" displayName="t_Contact" ref="A1:F57" totalsRowShown="0" headerRowDxfId="19" headerRowBorderDxfId="17" tableBorderDxfId="18" totalsRowBorderDxfId="16">
  <autoFilter ref="A1:F57" xr:uid="{45E09872-E9F5-468E-BB37-B611ABC3BAA1}"/>
  <tableColumns count="6">
    <tableColumn id="1" xr3:uid="{CA110F40-2FFD-480B-A10F-D409E253529A}" name="FA Name" dataDxfId="15"/>
    <tableColumn id="2" xr3:uid="{3915BCD9-13A5-4FE6-BB5C-38160CCA6812}" name="FA" dataDxfId="14"/>
    <tableColumn id="3" xr3:uid="{7B64EC7A-E458-4135-B585-9B37A7D542CC}" name="Position" dataDxfId="13"/>
    <tableColumn id="4" xr3:uid="{D26075D4-0727-4C38-ABCE-5E2166294F56}" name="Name" dataDxfId="12"/>
    <tableColumn id="5" xr3:uid="{26B4D433-5530-4E01-9D50-674C60E64602}" name="Phone" dataDxfId="11"/>
    <tableColumn id="6" xr3:uid="{9D94E7E1-D5CC-48EE-9C85-15E5C7FBB0AD}" name="Email" dataDxfId="10" dataCellStyle="Hyperlink"/>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B84A75-2FAA-4AA9-A092-2EB3BF2CDE06}" name="t_FA" displayName="t_FA" ref="I1:J31" totalsRowShown="0" headerRowDxfId="9" headerRowBorderDxfId="7" tableBorderDxfId="8" totalsRowBorderDxfId="6">
  <autoFilter ref="I1:J31" xr:uid="{3BB84A75-2FAA-4AA9-A092-2EB3BF2CDE06}"/>
  <sortState xmlns:xlrd2="http://schemas.microsoft.com/office/spreadsheetml/2017/richdata2" ref="I2:J28">
    <sortCondition ref="I1:I28"/>
  </sortState>
  <tableColumns count="2">
    <tableColumn id="1" xr3:uid="{EC435F5B-E0C5-4C88-AD08-81FA0390D4E8}" name="FA Name" dataDxfId="5"/>
    <tableColumn id="2" xr3:uid="{B64BA9FA-4FF4-4B33-A831-B3976B2B8011}" name="FA" dataDxfId="4"/>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F43A885-0747-4A27-8A8D-EC1C81A1A3FE}" name="Table8" displayName="Table8" ref="A2:T3" totalsRowShown="0">
  <autoFilter ref="A2:T3" xr:uid="{FF43A885-0747-4A27-8A8D-EC1C81A1A3FE}"/>
  <tableColumns count="20">
    <tableColumn id="1" xr3:uid="{A636C2AA-EBFE-4DBE-A32B-02F5934A4737}" name="FA"/>
    <tableColumn id="2" xr3:uid="{FA76F474-B41A-4373-8ED8-F3637349768E}" name="Venue"/>
    <tableColumn id="3" xr3:uid="{A0865D11-257C-4E82-BC9E-0512BAFDCCA2}" name="Area"/>
    <tableColumn id="4" xr3:uid="{74CD98E5-842C-4589-A5F6-8DFAB4C4C033}" name="Space"/>
    <tableColumn id="5" xr3:uid="{2D9DE835-5500-4035-BBD7-222287A6E08F}" name="Printer model"/>
    <tableColumn id="6" xr3:uid="{A3E88785-A9AF-4ABF-BAE2-AC2F2EC1CBC4}" name="Deployed" dataDxfId="3"/>
    <tableColumn id="7" xr3:uid="{DFA04394-36B9-4C7B-AA04-7D8F01D5AF1B}" name="Deployment date"/>
    <tableColumn id="8" xr3:uid="{8BCA9161-DB30-4CFE-AF95-30BA15479B67}" name="Dismantling Date"/>
    <tableColumn id="9" xr3:uid="{EC679498-8BB7-400E-9AE8-90B0B6775599}" name="IP"/>
    <tableColumn id="10" xr3:uid="{D8F93971-784F-46F5-B8B2-36B19169B881}" name="Mask"/>
    <tableColumn id="11" xr3:uid="{7AB6D47A-1DB6-4C0F-B9D7-D60DA921BD1F}" name="Gate"/>
    <tableColumn id="12" xr3:uid="{43F5B137-70A3-4E4D-948B-23DD1297D6E1}" name="BW A4"/>
    <tableColumn id="13" xr3:uid="{76CCCEF5-99A0-4BA1-8B0A-63BEB1A1B4B3}" name="Color A4"/>
    <tableColumn id="14" xr3:uid="{07026CB8-5E7B-4766-9A50-3E2C273592D6}" name="BW A3"/>
    <tableColumn id="15" xr3:uid="{86FC3A78-EB21-43EF-B33D-4AE0E38826D2}" name="Color A3"/>
    <tableColumn id="16" xr3:uid="{3045EFDE-28EB-4AB1-A14C-57FC84236814}" name="BW A43"/>
    <tableColumn id="17" xr3:uid="{1BA55EC5-3AC2-457B-B142-32914E075B83}" name="Color A43"/>
    <tableColumn id="18" xr3:uid="{F49C4DFF-E06F-42F0-87E2-6D9BB84BCA3A}" name="BW A32"/>
    <tableColumn id="19" xr3:uid="{9DB618F8-F36B-428B-8368-C83D1A5B8199}" name="Color A32"/>
    <tableColumn id="20" xr3:uid="{B9E8A664-5427-4DAA-91A7-D16CF01A2FB5}"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19/04/relationships/namedSheetView" Target="../namedSheetViews/namedSheetView3.xml"/><Relationship Id="rId2" Type="http://schemas.openxmlformats.org/officeDocument/2006/relationships/printerSettings" Target="../printerSettings/printerSettings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19/04/relationships/namedSheetView" Target="../namedSheetViews/namedSheetView4.xml"/><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microsoft.com/office/2019/04/relationships/namedSheetView" Target="../namedSheetViews/namedSheetView5.xml"/><Relationship Id="rId2" Type="http://schemas.openxmlformats.org/officeDocument/2006/relationships/printerSettings" Target="../printerSettings/printerSettings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microsoft.com/office/2019/04/relationships/namedSheetView" Target="../namedSheetViews/namedSheetView6.xml"/><Relationship Id="rId2" Type="http://schemas.openxmlformats.org/officeDocument/2006/relationships/printerSettings" Target="../printerSettings/printerSettings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3" Type="http://schemas.microsoft.com/office/2019/04/relationships/namedSheetView" Target="../namedSheetViews/namedSheetView7.xml"/><Relationship Id="rId2" Type="http://schemas.openxmlformats.org/officeDocument/2006/relationships/printerSettings" Target="../printerSettings/printerSettings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3" Type="http://schemas.microsoft.com/office/2019/04/relationships/namedSheetView" Target="../namedSheetViews/namedSheetView8.xml"/><Relationship Id="rId2" Type="http://schemas.openxmlformats.org/officeDocument/2006/relationships/printerSettings" Target="../printerSettings/printerSettings8.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microsoft.com/office/2019/04/relationships/namedSheetView" Target="../namedSheetViews/namedSheetView9.xml"/><Relationship Id="rId2" Type="http://schemas.openxmlformats.org/officeDocument/2006/relationships/printerSettings" Target="../printerSettings/printerSettings9.bin"/><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3" Type="http://schemas.microsoft.com/office/2019/04/relationships/namedSheetView" Target="../namedSheetViews/namedSheetView10.xml"/><Relationship Id="rId2" Type="http://schemas.openxmlformats.org/officeDocument/2006/relationships/printerSettings" Target="../printerSettings/printerSettings10.bin"/><Relationship Id="rId1" Type="http://schemas.openxmlformats.org/officeDocument/2006/relationships/pivotTable" Target="../pivotTables/pivotTable17.xml"/></Relationships>
</file>

<file path=xl/worksheets/_rels/sheet21.xml.rels><?xml version="1.0" encoding="UTF-8" standalone="yes"?>
<Relationships xmlns="http://schemas.openxmlformats.org/package/2006/relationships"><Relationship Id="rId3" Type="http://schemas.microsoft.com/office/2019/04/relationships/namedSheetView" Target="../namedSheetViews/namedSheetView11.xml"/><Relationship Id="rId2" Type="http://schemas.openxmlformats.org/officeDocument/2006/relationships/printerSettings" Target="../printerSettings/printerSettings11.bin"/><Relationship Id="rId1" Type="http://schemas.openxmlformats.org/officeDocument/2006/relationships/pivotTable" Target="../pivotTables/pivotTable18.xml"/></Relationships>
</file>

<file path=xl/worksheets/_rels/sheet22.xml.rels><?xml version="1.0" encoding="UTF-8" standalone="yes"?>
<Relationships xmlns="http://schemas.openxmlformats.org/package/2006/relationships"><Relationship Id="rId3" Type="http://schemas.microsoft.com/office/2019/04/relationships/namedSheetView" Target="../namedSheetViews/namedSheetView12.xml"/><Relationship Id="rId2" Type="http://schemas.openxmlformats.org/officeDocument/2006/relationships/printerSettings" Target="../printerSettings/printerSettings12.bin"/><Relationship Id="rId1" Type="http://schemas.openxmlformats.org/officeDocument/2006/relationships/pivotTable" Target="../pivotTables/pivotTable19.xml"/></Relationships>
</file>

<file path=xl/worksheets/_rels/sheet23.xml.rels><?xml version="1.0" encoding="UTF-8" standalone="yes"?>
<Relationships xmlns="http://schemas.openxmlformats.org/package/2006/relationships"><Relationship Id="rId3" Type="http://schemas.microsoft.com/office/2019/04/relationships/namedSheetView" Target="../namedSheetViews/namedSheetView13.xml"/><Relationship Id="rId2" Type="http://schemas.openxmlformats.org/officeDocument/2006/relationships/printerSettings" Target="../printerSettings/printerSettings13.bin"/><Relationship Id="rId1" Type="http://schemas.openxmlformats.org/officeDocument/2006/relationships/pivotTable" Target="../pivotTables/pivotTable20.xml"/></Relationships>
</file>

<file path=xl/worksheets/_rels/sheet24.xml.rels><?xml version="1.0" encoding="UTF-8" standalone="yes"?>
<Relationships xmlns="http://schemas.openxmlformats.org/package/2006/relationships"><Relationship Id="rId3" Type="http://schemas.microsoft.com/office/2019/04/relationships/namedSheetView" Target="../namedSheetViews/namedSheetView14.xml"/><Relationship Id="rId2" Type="http://schemas.openxmlformats.org/officeDocument/2006/relationships/printerSettings" Target="../printerSettings/printerSettings14.bin"/><Relationship Id="rId1" Type="http://schemas.openxmlformats.org/officeDocument/2006/relationships/pivotTable" Target="../pivotTables/pivotTable2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16.bin"/><Relationship Id="rId5" Type="http://schemas.microsoft.com/office/2019/04/relationships/namedSheetView" Target="../namedSheetViews/namedSheetView15.xml"/><Relationship Id="rId4" Type="http://schemas.microsoft.com/office/2007/relationships/slicer" Target="../slicers/slicer1.xml"/></Relationships>
</file>

<file path=xl/worksheets/_rels/sheet27.xml.rels><?xml version="1.0" encoding="UTF-8" standalone="yes"?>
<Relationships xmlns="http://schemas.openxmlformats.org/package/2006/relationships"><Relationship Id="rId3" Type="http://schemas.microsoft.com/office/2019/04/relationships/namedSheetView" Target="../namedSheetViews/namedSheetView16.xml"/><Relationship Id="rId2" Type="http://schemas.openxmlformats.org/officeDocument/2006/relationships/printerSettings" Target="../printerSettings/printerSettings17.bin"/><Relationship Id="rId1" Type="http://schemas.openxmlformats.org/officeDocument/2006/relationships/pivotTable" Target="../pivotTables/pivotTable22.xml"/></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printerSettings" Target="../printerSettings/printerSettings18.bin"/><Relationship Id="rId1" Type="http://schemas.openxmlformats.org/officeDocument/2006/relationships/pivotTable" Target="../pivotTables/pivotTable23.xml"/></Relationships>
</file>

<file path=xl/worksheets/_rels/sheet29.xml.rels><?xml version="1.0" encoding="UTF-8" standalone="yes"?>
<Relationships xmlns="http://schemas.openxmlformats.org/package/2006/relationships"><Relationship Id="rId2" Type="http://schemas.microsoft.com/office/2019/04/relationships/namedSheetView" Target="../namedSheetViews/namedSheetView18.xml"/><Relationship Id="rId1" Type="http://schemas.openxmlformats.org/officeDocument/2006/relationships/table" Target="../tables/table7.xml"/></Relationships>
</file>

<file path=xl/worksheets/_rels/sheet30.xml.rels><?xml version="1.0" encoding="UTF-8" standalone="yes"?>
<Relationships xmlns="http://schemas.openxmlformats.org/package/2006/relationships"><Relationship Id="rId8" Type="http://schemas.openxmlformats.org/officeDocument/2006/relationships/hyperlink" Target="mailto:b.challa@sc.qa" TargetMode="External"/><Relationship Id="rId13" Type="http://schemas.openxmlformats.org/officeDocument/2006/relationships/hyperlink" Target="mailto:s.koliushin@sc.qa" TargetMode="External"/><Relationship Id="rId18" Type="http://schemas.openxmlformats.org/officeDocument/2006/relationships/printerSettings" Target="../printerSettings/printerSettings19.bin"/><Relationship Id="rId3" Type="http://schemas.openxmlformats.org/officeDocument/2006/relationships/hyperlink" Target="mailto:damon.tilley@aspetar.com" TargetMode="External"/><Relationship Id="rId21" Type="http://schemas.microsoft.com/office/2019/04/relationships/namedSheetView" Target="../namedSheetViews/namedSheetView19.xml"/><Relationship Id="rId7" Type="http://schemas.openxmlformats.org/officeDocument/2006/relationships/hyperlink" Target="mailto:v.sales@sc.qa" TargetMode="External"/><Relationship Id="rId12" Type="http://schemas.openxmlformats.org/officeDocument/2006/relationships/hyperlink" Target="mailto:csboui@qsl.com.qa" TargetMode="External"/><Relationship Id="rId17" Type="http://schemas.openxmlformats.org/officeDocument/2006/relationships/hyperlink" Target="mailto:g.raqib@sc.qa" TargetMode="External"/><Relationship Id="rId2" Type="http://schemas.openxmlformats.org/officeDocument/2006/relationships/hyperlink" Target="mailto:IDik@ssoc.gov.qa" TargetMode="External"/><Relationship Id="rId16" Type="http://schemas.openxmlformats.org/officeDocument/2006/relationships/hyperlink" Target="mailto:s.thangal@sc.qa" TargetMode="External"/><Relationship Id="rId20" Type="http://schemas.openxmlformats.org/officeDocument/2006/relationships/table" Target="../tables/table9.xml"/><Relationship Id="rId1" Type="http://schemas.openxmlformats.org/officeDocument/2006/relationships/hyperlink" Target="mailto:g.nievas@loc.qa" TargetMode="External"/><Relationship Id="rId6" Type="http://schemas.openxmlformats.org/officeDocument/2006/relationships/hyperlink" Target="mailto:v.turuntseva@sc.qa" TargetMode="External"/><Relationship Id="rId11" Type="http://schemas.openxmlformats.org/officeDocument/2006/relationships/hyperlink" Target="mailto:nmalkuwari@qsl.com.qa" TargetMode="External"/><Relationship Id="rId5" Type="http://schemas.openxmlformats.org/officeDocument/2006/relationships/hyperlink" Target="mailto:a.glushkova@sc.qa" TargetMode="External"/><Relationship Id="rId15" Type="http://schemas.openxmlformats.org/officeDocument/2006/relationships/hyperlink" Target="mailto:k.johnston@sc.qa" TargetMode="External"/><Relationship Id="rId10" Type="http://schemas.openxmlformats.org/officeDocument/2006/relationships/hyperlink" Target="mailto:mabdulazeem@qfa.qa" TargetMode="External"/><Relationship Id="rId19" Type="http://schemas.openxmlformats.org/officeDocument/2006/relationships/table" Target="../tables/table8.xml"/><Relationship Id="rId4" Type="http://schemas.openxmlformats.org/officeDocument/2006/relationships/hyperlink" Target="mailto:selmi@qsl.com.qa" TargetMode="External"/><Relationship Id="rId9" Type="http://schemas.openxmlformats.org/officeDocument/2006/relationships/hyperlink" Target="mailto:a.jumayeva@sc.qa" TargetMode="External"/><Relationship Id="rId14" Type="http://schemas.openxmlformats.org/officeDocument/2006/relationships/hyperlink" Target="mailto:i.vermeulen@sc.qa" TargetMode="Externa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B45E2-7161-4105-A552-D1BC88F03614}">
  <sheetPr>
    <tabColor rgb="FF92D050"/>
  </sheetPr>
  <dimension ref="A1:R62"/>
  <sheetViews>
    <sheetView topLeftCell="B1" workbookViewId="0">
      <selection activeCell="B4" sqref="B4:R62"/>
    </sheetView>
  </sheetViews>
  <sheetFormatPr defaultColWidth="8.85546875" defaultRowHeight="14.45"/>
  <cols>
    <col min="2" max="2" width="10.42578125" customWidth="1"/>
    <col min="3" max="3" width="33.42578125" bestFit="1" customWidth="1"/>
    <col min="4" max="4" width="33.42578125" customWidth="1"/>
    <col min="5" max="5" width="29.42578125" bestFit="1" customWidth="1"/>
    <col min="6" max="7" width="34.42578125" bestFit="1" customWidth="1"/>
    <col min="8" max="9" width="35.42578125" bestFit="1" customWidth="1"/>
    <col min="10" max="10" width="12.42578125" customWidth="1"/>
    <col min="11" max="11" width="15.140625" bestFit="1" customWidth="1"/>
    <col min="12" max="12" width="13.140625" bestFit="1" customWidth="1"/>
    <col min="13" max="13" width="30.42578125" customWidth="1"/>
    <col min="14" max="14" width="60.42578125" bestFit="1" customWidth="1"/>
    <col min="15" max="15" width="124.8554687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3" spans="1:18" ht="15.6">
      <c r="A3" t="s">
        <v>0</v>
      </c>
      <c r="B3" t="s">
        <v>1</v>
      </c>
      <c r="C3" t="s">
        <v>2</v>
      </c>
      <c r="D3" s="85" t="s">
        <v>3</v>
      </c>
      <c r="E3" s="85" t="s">
        <v>4</v>
      </c>
      <c r="F3" s="86" t="s">
        <v>5</v>
      </c>
      <c r="G3" s="85" t="s">
        <v>6</v>
      </c>
      <c r="H3" s="85" t="s">
        <v>7</v>
      </c>
      <c r="I3" s="85" t="s">
        <v>8</v>
      </c>
      <c r="J3" s="85" t="s">
        <v>9</v>
      </c>
      <c r="K3" t="s">
        <v>10</v>
      </c>
      <c r="L3" s="86" t="s">
        <v>11</v>
      </c>
      <c r="M3" s="86" t="s">
        <v>12</v>
      </c>
      <c r="N3" s="86" t="s">
        <v>13</v>
      </c>
      <c r="O3" s="87" t="s">
        <v>14</v>
      </c>
      <c r="P3" s="88" t="s">
        <v>15</v>
      </c>
      <c r="Q3" s="86" t="s">
        <v>16</v>
      </c>
      <c r="R3" s="37" t="s">
        <v>17</v>
      </c>
    </row>
    <row r="4" spans="1:18">
      <c r="B4" t="s">
        <v>18</v>
      </c>
      <c r="C4" t="str" cm="1">
        <f t="array" ref="C4">_xlfn.SINGLE(_xlfn._xlws.FILTER(t_Contact[FA Name],t_Contact[FA]=t_requirements[[#This Row],[FA]],""))</f>
        <v>Accreditation</v>
      </c>
      <c r="D4" s="94" t="s">
        <v>19</v>
      </c>
      <c r="E4" s="89" t="s">
        <v>20</v>
      </c>
      <c r="F4" s="89" t="s">
        <v>21</v>
      </c>
      <c r="G4" s="89" t="s">
        <v>22</v>
      </c>
      <c r="H4" s="89" t="s">
        <v>23</v>
      </c>
      <c r="I4" s="89"/>
      <c r="J4" s="89"/>
      <c r="K4" s="89"/>
      <c r="L4" s="90">
        <v>24</v>
      </c>
      <c r="M4" s="91">
        <v>45923</v>
      </c>
      <c r="N4" s="91">
        <v>46010</v>
      </c>
      <c r="O4" s="92" t="s">
        <v>24</v>
      </c>
      <c r="P4" s="93"/>
      <c r="Q4" s="95" t="s">
        <v>25</v>
      </c>
      <c r="R4" t="s">
        <v>26</v>
      </c>
    </row>
    <row r="5" spans="1:18">
      <c r="B5" t="s">
        <v>18</v>
      </c>
      <c r="C5" t="str" cm="1">
        <f t="array" ref="C5">_xlfn.SINGLE(_xlfn._xlws.FILTER(t_Contact[FA Name],t_Contact[FA]=t_requirements[[#This Row],[FA]],""))</f>
        <v>Accreditation</v>
      </c>
      <c r="D5" s="94" t="s">
        <v>19</v>
      </c>
      <c r="E5" s="89" t="s">
        <v>20</v>
      </c>
      <c r="F5" s="89" t="s">
        <v>27</v>
      </c>
      <c r="G5" s="89" t="s">
        <v>22</v>
      </c>
      <c r="H5" s="89" t="s">
        <v>28</v>
      </c>
      <c r="I5" s="89"/>
      <c r="J5" s="89"/>
      <c r="K5" s="89"/>
      <c r="L5" s="90">
        <v>1</v>
      </c>
      <c r="M5" s="91">
        <v>45923</v>
      </c>
      <c r="N5" s="91">
        <v>46010</v>
      </c>
      <c r="O5" s="92" t="s">
        <v>29</v>
      </c>
      <c r="P5" s="93"/>
      <c r="Q5" s="95" t="s">
        <v>30</v>
      </c>
      <c r="R5" t="s">
        <v>31</v>
      </c>
    </row>
    <row r="6" spans="1:18">
      <c r="B6" t="s">
        <v>18</v>
      </c>
      <c r="C6" t="str" cm="1">
        <f t="array" ref="C6">_xlfn.SINGLE(_xlfn._xlws.FILTER(t_Contact[FA Name],t_Contact[FA]=t_requirements[[#This Row],[FA]],""))</f>
        <v>Accreditation</v>
      </c>
      <c r="D6" s="94" t="s">
        <v>19</v>
      </c>
      <c r="E6" s="89" t="s">
        <v>20</v>
      </c>
      <c r="F6" s="89" t="s">
        <v>21</v>
      </c>
      <c r="G6" s="89" t="s">
        <v>32</v>
      </c>
      <c r="H6" s="89" t="s">
        <v>33</v>
      </c>
      <c r="I6" s="89"/>
      <c r="J6" s="89"/>
      <c r="K6" s="89"/>
      <c r="L6" s="90">
        <v>32</v>
      </c>
      <c r="M6" s="91">
        <v>45923</v>
      </c>
      <c r="N6" s="91">
        <v>46010</v>
      </c>
      <c r="O6" s="92" t="s">
        <v>34</v>
      </c>
      <c r="P6" s="93"/>
      <c r="Q6" s="95" t="s">
        <v>35</v>
      </c>
      <c r="R6" t="s">
        <v>36</v>
      </c>
    </row>
    <row r="7" spans="1:18">
      <c r="B7" t="s">
        <v>18</v>
      </c>
      <c r="C7" t="str" cm="1">
        <f t="array" ref="C7">_xlfn.SINGLE(_xlfn._xlws.FILTER(t_Contact[FA Name],t_Contact[FA]=t_requirements[[#This Row],[FA]],""))</f>
        <v>Accreditation</v>
      </c>
      <c r="D7" s="94" t="s">
        <v>19</v>
      </c>
      <c r="E7" s="89" t="s">
        <v>20</v>
      </c>
      <c r="F7" s="89" t="s">
        <v>21</v>
      </c>
      <c r="G7" s="89" t="s">
        <v>32</v>
      </c>
      <c r="H7" s="89" t="s">
        <v>37</v>
      </c>
      <c r="I7" s="89"/>
      <c r="J7" s="89"/>
      <c r="K7" s="89"/>
      <c r="L7" s="90">
        <v>30</v>
      </c>
      <c r="M7" s="91">
        <v>45923</v>
      </c>
      <c r="N7" s="91">
        <v>46010</v>
      </c>
      <c r="O7" s="92" t="s">
        <v>38</v>
      </c>
      <c r="P7" s="93"/>
      <c r="Q7" s="95" t="s">
        <v>39</v>
      </c>
      <c r="R7" t="s">
        <v>40</v>
      </c>
    </row>
    <row r="8" spans="1:18">
      <c r="B8" t="s">
        <v>18</v>
      </c>
      <c r="C8" t="str" cm="1">
        <f t="array" ref="C8">_xlfn.SINGLE(_xlfn._xlws.FILTER(t_Contact[FA Name],t_Contact[FA]=t_requirements[[#This Row],[FA]],""))</f>
        <v>Accreditation</v>
      </c>
      <c r="D8" s="94" t="s">
        <v>19</v>
      </c>
      <c r="E8" s="89" t="s">
        <v>20</v>
      </c>
      <c r="F8" s="89" t="s">
        <v>21</v>
      </c>
      <c r="G8" s="89" t="s">
        <v>32</v>
      </c>
      <c r="H8" s="89" t="s">
        <v>41</v>
      </c>
      <c r="I8" s="89"/>
      <c r="J8" s="89"/>
      <c r="K8" s="89"/>
      <c r="L8" s="90">
        <v>32</v>
      </c>
      <c r="M8" s="91">
        <v>45923</v>
      </c>
      <c r="N8" s="91">
        <v>46010</v>
      </c>
      <c r="O8" s="92" t="s">
        <v>42</v>
      </c>
      <c r="P8" s="93" t="s">
        <v>43</v>
      </c>
      <c r="Q8" s="95" t="s">
        <v>44</v>
      </c>
      <c r="R8" t="s">
        <v>45</v>
      </c>
    </row>
    <row r="9" spans="1:18">
      <c r="B9" t="s">
        <v>18</v>
      </c>
      <c r="C9" t="str" cm="1">
        <f t="array" ref="C9">_xlfn.SINGLE(_xlfn._xlws.FILTER(t_Contact[FA Name],t_Contact[FA]=t_requirements[[#This Row],[FA]],""))</f>
        <v>Accreditation</v>
      </c>
      <c r="D9" s="94" t="s">
        <v>19</v>
      </c>
      <c r="E9" s="89" t="s">
        <v>20</v>
      </c>
      <c r="F9" s="89" t="s">
        <v>21</v>
      </c>
      <c r="G9" s="89" t="s">
        <v>46</v>
      </c>
      <c r="H9" s="89" t="s">
        <v>47</v>
      </c>
      <c r="I9" s="89"/>
      <c r="J9" s="89"/>
      <c r="K9" s="89"/>
      <c r="L9" s="90">
        <v>55</v>
      </c>
      <c r="M9" s="91">
        <v>45923</v>
      </c>
      <c r="N9" s="91">
        <v>46010</v>
      </c>
      <c r="O9" s="92" t="s">
        <v>48</v>
      </c>
      <c r="P9" s="93"/>
      <c r="Q9" s="95" t="s">
        <v>49</v>
      </c>
      <c r="R9" t="s">
        <v>50</v>
      </c>
    </row>
    <row r="10" spans="1:18">
      <c r="B10" t="s">
        <v>18</v>
      </c>
      <c r="C10" t="str" cm="1">
        <f t="array" ref="C10">_xlfn.SINGLE(_xlfn._xlws.FILTER(t_Contact[FA Name],t_Contact[FA]=t_requirements[[#This Row],[FA]],""))</f>
        <v>Accreditation</v>
      </c>
      <c r="D10" s="94" t="s">
        <v>19</v>
      </c>
      <c r="E10" s="89" t="s">
        <v>20</v>
      </c>
      <c r="F10" s="89" t="s">
        <v>51</v>
      </c>
      <c r="G10" s="89" t="s">
        <v>52</v>
      </c>
      <c r="H10" s="89" t="s">
        <v>53</v>
      </c>
      <c r="I10" s="89"/>
      <c r="J10" s="89"/>
      <c r="K10" s="89"/>
      <c r="L10" s="90">
        <v>1</v>
      </c>
      <c r="M10" s="91">
        <v>45923</v>
      </c>
      <c r="N10" s="91">
        <v>46010</v>
      </c>
      <c r="O10" s="92" t="s">
        <v>54</v>
      </c>
      <c r="P10" s="93"/>
      <c r="Q10" s="95" t="s">
        <v>55</v>
      </c>
      <c r="R10" t="s">
        <v>56</v>
      </c>
    </row>
    <row r="11" spans="1:18">
      <c r="B11" t="s">
        <v>18</v>
      </c>
      <c r="C11" t="str" cm="1">
        <f t="array" ref="C11">_xlfn.SINGLE(_xlfn._xlws.FILTER(t_Contact[FA Name],t_Contact[FA]=t_requirements[[#This Row],[FA]],""))</f>
        <v>Accreditation</v>
      </c>
      <c r="D11" s="94" t="s">
        <v>19</v>
      </c>
      <c r="E11" s="89" t="s">
        <v>20</v>
      </c>
      <c r="F11" s="89" t="s">
        <v>57</v>
      </c>
      <c r="G11" s="89" t="s">
        <v>58</v>
      </c>
      <c r="H11" s="89" t="s">
        <v>59</v>
      </c>
      <c r="I11" s="89"/>
      <c r="J11" s="89"/>
      <c r="K11" s="89"/>
      <c r="L11" s="90">
        <v>2</v>
      </c>
      <c r="M11" s="91">
        <v>45923</v>
      </c>
      <c r="N11" s="91">
        <v>46010</v>
      </c>
      <c r="O11" s="92" t="s">
        <v>60</v>
      </c>
      <c r="P11" s="93"/>
      <c r="Q11" s="95" t="s">
        <v>61</v>
      </c>
      <c r="R11" t="s">
        <v>62</v>
      </c>
    </row>
    <row r="12" spans="1:18">
      <c r="B12" t="s">
        <v>63</v>
      </c>
      <c r="C12" t="str" cm="1">
        <f t="array" ref="C12">_xlfn.SINGLE(_xlfn._xlws.FILTER(t_Contact[FA Name],t_Contact[FA]=t_requirements[[#This Row],[FA]],""))</f>
        <v>Logistics</v>
      </c>
      <c r="D12" t="s">
        <v>19</v>
      </c>
      <c r="E12" t="s">
        <v>64</v>
      </c>
      <c r="F12" t="s">
        <v>65</v>
      </c>
      <c r="G12" t="s">
        <v>32</v>
      </c>
      <c r="H12" t="s">
        <v>33</v>
      </c>
      <c r="L12" s="32">
        <v>1</v>
      </c>
      <c r="M12" s="96">
        <v>45962</v>
      </c>
      <c r="N12" s="91">
        <v>45988</v>
      </c>
      <c r="O12" s="92" t="s">
        <v>34</v>
      </c>
      <c r="P12" s="93"/>
      <c r="R12" t="s">
        <v>66</v>
      </c>
    </row>
    <row r="13" spans="1:18">
      <c r="B13" t="s">
        <v>63</v>
      </c>
      <c r="C13" t="str" cm="1">
        <f t="array" ref="C13">_xlfn.SINGLE(_xlfn._xlws.FILTER(t_Contact[FA Name],t_Contact[FA]=t_requirements[[#This Row],[FA]],""))</f>
        <v>Logistics</v>
      </c>
      <c r="D13" t="s">
        <v>19</v>
      </c>
      <c r="E13" t="s">
        <v>64</v>
      </c>
      <c r="F13" t="s">
        <v>65</v>
      </c>
      <c r="G13" t="s">
        <v>22</v>
      </c>
      <c r="H13" t="s">
        <v>23</v>
      </c>
      <c r="L13" s="32">
        <v>1</v>
      </c>
      <c r="M13" s="96">
        <v>45962</v>
      </c>
      <c r="N13" s="91">
        <v>45988</v>
      </c>
      <c r="O13" s="92" t="s">
        <v>24</v>
      </c>
      <c r="P13" s="93"/>
      <c r="Q13" t="s">
        <v>67</v>
      </c>
      <c r="R13" t="s">
        <v>68</v>
      </c>
    </row>
    <row r="14" spans="1:18">
      <c r="B14" t="s">
        <v>63</v>
      </c>
      <c r="C14" t="str" cm="1">
        <f t="array" ref="C14">_xlfn.SINGLE(_xlfn._xlws.FILTER(t_Contact[FA Name],t_Contact[FA]=t_requirements[[#This Row],[FA]],""))</f>
        <v>Logistics</v>
      </c>
      <c r="D14" t="s">
        <v>19</v>
      </c>
      <c r="E14" t="s">
        <v>64</v>
      </c>
      <c r="F14" t="s">
        <v>65</v>
      </c>
      <c r="G14" t="s">
        <v>52</v>
      </c>
      <c r="H14" t="s">
        <v>53</v>
      </c>
      <c r="L14" s="32">
        <v>4</v>
      </c>
      <c r="M14" s="96">
        <v>45962</v>
      </c>
      <c r="N14" s="91">
        <v>45988</v>
      </c>
      <c r="O14" s="92" t="s">
        <v>54</v>
      </c>
      <c r="P14" s="93"/>
      <c r="Q14" t="s">
        <v>69</v>
      </c>
      <c r="R14" t="s">
        <v>70</v>
      </c>
    </row>
    <row r="15" spans="1:18">
      <c r="B15" t="s">
        <v>63</v>
      </c>
      <c r="C15" t="str" cm="1">
        <f t="array" ref="C15">_xlfn.SINGLE(_xlfn._xlws.FILTER(t_Contact[FA Name],t_Contact[FA]=t_requirements[[#This Row],[FA]],""))</f>
        <v>Logistics</v>
      </c>
      <c r="D15" t="s">
        <v>19</v>
      </c>
      <c r="E15" t="s">
        <v>71</v>
      </c>
      <c r="F15" t="s">
        <v>72</v>
      </c>
      <c r="G15" t="s">
        <v>58</v>
      </c>
      <c r="H15" t="s">
        <v>59</v>
      </c>
      <c r="L15" s="32">
        <v>3</v>
      </c>
      <c r="M15" s="96">
        <v>45942</v>
      </c>
      <c r="N15" s="91">
        <v>46022</v>
      </c>
      <c r="O15" s="92" t="s">
        <v>60</v>
      </c>
      <c r="P15" s="93"/>
      <c r="Q15" t="s">
        <v>73</v>
      </c>
      <c r="R15" t="s">
        <v>74</v>
      </c>
    </row>
    <row r="16" spans="1:18">
      <c r="B16" t="s">
        <v>63</v>
      </c>
      <c r="C16" t="str" cm="1">
        <f t="array" ref="C16">_xlfn.SINGLE(_xlfn._xlws.FILTER(t_Contact[FA Name],t_Contact[FA]=t_requirements[[#This Row],[FA]],""))</f>
        <v>Logistics</v>
      </c>
      <c r="D16" t="s">
        <v>19</v>
      </c>
      <c r="E16" t="s">
        <v>71</v>
      </c>
      <c r="F16" t="s">
        <v>72</v>
      </c>
      <c r="G16" t="s">
        <v>46</v>
      </c>
      <c r="H16" t="s">
        <v>47</v>
      </c>
      <c r="L16" s="32">
        <v>1</v>
      </c>
      <c r="M16" s="96">
        <v>45942</v>
      </c>
      <c r="N16" s="91">
        <v>46022</v>
      </c>
      <c r="O16" s="92" t="s">
        <v>48</v>
      </c>
      <c r="P16" s="93"/>
      <c r="Q16" t="s">
        <v>75</v>
      </c>
      <c r="R16" t="s">
        <v>76</v>
      </c>
    </row>
    <row r="17" spans="2:18">
      <c r="B17" t="s">
        <v>63</v>
      </c>
      <c r="C17" t="str" cm="1">
        <f t="array" ref="C17">_xlfn.SINGLE(_xlfn._xlws.FILTER(t_Contact[FA Name],t_Contact[FA]=t_requirements[[#This Row],[FA]],""))</f>
        <v>Logistics</v>
      </c>
      <c r="D17" t="s">
        <v>19</v>
      </c>
      <c r="E17" t="s">
        <v>71</v>
      </c>
      <c r="F17" t="s">
        <v>72</v>
      </c>
      <c r="G17" t="s">
        <v>22</v>
      </c>
      <c r="H17" t="s">
        <v>77</v>
      </c>
      <c r="L17" s="32">
        <v>1</v>
      </c>
      <c r="M17" s="96">
        <v>45942</v>
      </c>
      <c r="N17" s="91">
        <v>46022</v>
      </c>
      <c r="O17" s="92" t="s">
        <v>78</v>
      </c>
      <c r="P17" s="93" t="s">
        <v>79</v>
      </c>
      <c r="Q17" t="s">
        <v>80</v>
      </c>
      <c r="R17" t="s">
        <v>81</v>
      </c>
    </row>
    <row r="18" spans="2:18">
      <c r="B18" t="s">
        <v>82</v>
      </c>
      <c r="C18" t="str" cm="1">
        <f t="array" ref="C18">_xlfn.SINGLE(_xlfn._xlws.FILTER(t_Contact[FA Name],t_Contact[FA]=t_requirements[[#This Row],[FA]],""))</f>
        <v>Team Services</v>
      </c>
      <c r="D18" t="s">
        <v>19</v>
      </c>
      <c r="E18" t="s">
        <v>71</v>
      </c>
      <c r="F18" t="s">
        <v>83</v>
      </c>
      <c r="G18" t="s">
        <v>84</v>
      </c>
      <c r="H18" s="89" t="s">
        <v>85</v>
      </c>
      <c r="I18" s="89"/>
      <c r="J18" s="89"/>
      <c r="K18" s="89"/>
      <c r="L18" s="90">
        <v>20</v>
      </c>
      <c r="M18" s="91">
        <v>45944</v>
      </c>
      <c r="N18" s="91">
        <v>45989</v>
      </c>
      <c r="O18" t="s">
        <v>86</v>
      </c>
      <c r="P18" t="s">
        <v>87</v>
      </c>
      <c r="Q18" t="s">
        <v>88</v>
      </c>
      <c r="R18" t="s">
        <v>89</v>
      </c>
    </row>
    <row r="19" spans="2:18">
      <c r="B19" t="s">
        <v>90</v>
      </c>
      <c r="C19" t="str" cm="1">
        <f t="array" ref="C19">_xlfn.SINGLE(_xlfn._xlws.FILTER(t_Contact[FA Name],t_Contact[FA]=t_requirements[[#This Row],[FA]],""))</f>
        <v>Workforce</v>
      </c>
      <c r="D19" t="s">
        <v>19</v>
      </c>
      <c r="E19" s="89" t="s">
        <v>20</v>
      </c>
      <c r="F19" t="s">
        <v>91</v>
      </c>
      <c r="G19" t="s">
        <v>32</v>
      </c>
      <c r="H19" s="89" t="s">
        <v>33</v>
      </c>
      <c r="I19" s="89"/>
      <c r="J19" s="89"/>
      <c r="K19" s="89"/>
      <c r="L19" s="90">
        <v>6</v>
      </c>
      <c r="M19" s="97">
        <v>45931</v>
      </c>
      <c r="N19" s="97">
        <v>46009</v>
      </c>
      <c r="O19" t="s">
        <v>34</v>
      </c>
      <c r="P19" s="93" t="s">
        <v>87</v>
      </c>
      <c r="Q19" t="s">
        <v>92</v>
      </c>
      <c r="R19" t="s">
        <v>93</v>
      </c>
    </row>
    <row r="20" spans="2:18">
      <c r="B20" t="s">
        <v>90</v>
      </c>
      <c r="C20" t="str" cm="1">
        <f t="array" ref="C20">_xlfn.SINGLE(_xlfn._xlws.FILTER(t_Contact[FA Name],t_Contact[FA]=t_requirements[[#This Row],[FA]],""))</f>
        <v>Workforce</v>
      </c>
      <c r="D20" t="s">
        <v>19</v>
      </c>
      <c r="E20" s="89" t="s">
        <v>20</v>
      </c>
      <c r="F20" t="s">
        <v>91</v>
      </c>
      <c r="G20" t="s">
        <v>32</v>
      </c>
      <c r="H20" s="89" t="s">
        <v>94</v>
      </c>
      <c r="I20" s="89"/>
      <c r="J20" s="89"/>
      <c r="K20" s="89"/>
      <c r="L20" s="90">
        <v>7</v>
      </c>
      <c r="M20" s="97">
        <v>45931</v>
      </c>
      <c r="N20" s="97">
        <v>46009</v>
      </c>
      <c r="O20" t="s">
        <v>95</v>
      </c>
      <c r="P20" s="93" t="s">
        <v>87</v>
      </c>
      <c r="Q20" t="s">
        <v>92</v>
      </c>
      <c r="R20" t="s">
        <v>96</v>
      </c>
    </row>
    <row r="21" spans="2:18">
      <c r="B21" t="s">
        <v>90</v>
      </c>
      <c r="C21" t="str" cm="1">
        <f t="array" ref="C21">_xlfn.SINGLE(_xlfn._xlws.FILTER(t_Contact[FA Name],t_Contact[FA]=t_requirements[[#This Row],[FA]],""))</f>
        <v>Workforce</v>
      </c>
      <c r="D21" t="s">
        <v>19</v>
      </c>
      <c r="E21" s="89" t="s">
        <v>20</v>
      </c>
      <c r="F21" t="s">
        <v>91</v>
      </c>
      <c r="G21" t="s">
        <v>58</v>
      </c>
      <c r="H21" s="89" t="s">
        <v>59</v>
      </c>
      <c r="I21" s="89"/>
      <c r="J21" s="89"/>
      <c r="K21" s="89"/>
      <c r="L21" s="90">
        <v>1</v>
      </c>
      <c r="M21" s="97">
        <v>45931</v>
      </c>
      <c r="N21" s="97">
        <v>46009</v>
      </c>
      <c r="O21" t="s">
        <v>60</v>
      </c>
      <c r="P21" s="93" t="s">
        <v>87</v>
      </c>
      <c r="Q21" t="s">
        <v>92</v>
      </c>
      <c r="R21" t="s">
        <v>97</v>
      </c>
    </row>
    <row r="22" spans="2:18">
      <c r="B22" t="s">
        <v>90</v>
      </c>
      <c r="C22" t="str" cm="1">
        <f t="array" ref="C22">_xlfn.SINGLE(_xlfn._xlws.FILTER(t_Contact[FA Name],t_Contact[FA]=t_requirements[[#This Row],[FA]],""))</f>
        <v>Workforce</v>
      </c>
      <c r="D22" t="s">
        <v>19</v>
      </c>
      <c r="E22" s="89" t="s">
        <v>20</v>
      </c>
      <c r="F22" t="s">
        <v>91</v>
      </c>
      <c r="G22" t="s">
        <v>46</v>
      </c>
      <c r="H22" s="89" t="s">
        <v>47</v>
      </c>
      <c r="I22" s="89"/>
      <c r="J22" s="89"/>
      <c r="K22" s="89"/>
      <c r="L22" s="90">
        <v>6</v>
      </c>
      <c r="M22" s="97">
        <v>45931</v>
      </c>
      <c r="N22" s="97">
        <v>46009</v>
      </c>
      <c r="O22" t="s">
        <v>48</v>
      </c>
      <c r="P22" s="93" t="s">
        <v>87</v>
      </c>
      <c r="Q22" t="s">
        <v>92</v>
      </c>
      <c r="R22" t="s">
        <v>98</v>
      </c>
    </row>
    <row r="23" spans="2:18">
      <c r="B23" t="s">
        <v>90</v>
      </c>
      <c r="C23" t="str" cm="1">
        <f t="array" ref="C23">_xlfn.SINGLE(_xlfn._xlws.FILTER(t_Contact[FA Name],t_Contact[FA]=t_requirements[[#This Row],[FA]],""))</f>
        <v>Workforce</v>
      </c>
      <c r="D23" t="s">
        <v>19</v>
      </c>
      <c r="E23" s="89" t="s">
        <v>20</v>
      </c>
      <c r="F23" t="s">
        <v>91</v>
      </c>
      <c r="G23" t="s">
        <v>22</v>
      </c>
      <c r="H23" s="89" t="s">
        <v>28</v>
      </c>
      <c r="I23" s="89"/>
      <c r="J23" s="89"/>
      <c r="K23" s="89"/>
      <c r="L23" s="90">
        <v>1</v>
      </c>
      <c r="M23" s="97">
        <v>45931</v>
      </c>
      <c r="N23" s="97">
        <v>46009</v>
      </c>
      <c r="O23" t="s">
        <v>29</v>
      </c>
      <c r="P23" s="93" t="s">
        <v>87</v>
      </c>
      <c r="Q23" t="s">
        <v>99</v>
      </c>
      <c r="R23" t="s">
        <v>100</v>
      </c>
    </row>
    <row r="24" spans="2:18">
      <c r="B24" t="s">
        <v>90</v>
      </c>
      <c r="C24" t="str" cm="1">
        <f t="array" ref="C24">_xlfn.SINGLE(_xlfn._xlws.FILTER(t_Contact[FA Name],t_Contact[FA]=t_requirements[[#This Row],[FA]],""))</f>
        <v>Workforce</v>
      </c>
      <c r="D24" t="s">
        <v>19</v>
      </c>
      <c r="E24" s="89" t="s">
        <v>20</v>
      </c>
      <c r="F24" t="s">
        <v>91</v>
      </c>
      <c r="G24" t="s">
        <v>84</v>
      </c>
      <c r="H24" s="89" t="s">
        <v>101</v>
      </c>
      <c r="I24" s="89"/>
      <c r="J24" s="89"/>
      <c r="K24" s="89"/>
      <c r="L24" s="90">
        <v>5</v>
      </c>
      <c r="M24" s="97">
        <v>45901</v>
      </c>
      <c r="N24" s="97">
        <v>46009</v>
      </c>
      <c r="O24" t="s">
        <v>102</v>
      </c>
      <c r="P24" s="93" t="s">
        <v>103</v>
      </c>
      <c r="Q24" t="s">
        <v>104</v>
      </c>
      <c r="R24" t="s">
        <v>105</v>
      </c>
    </row>
    <row r="25" spans="2:18">
      <c r="B25" t="s">
        <v>90</v>
      </c>
      <c r="C25" t="str" cm="1">
        <f t="array" ref="C25">_xlfn.SINGLE(_xlfn._xlws.FILTER(t_Contact[FA Name],t_Contact[FA]=t_requirements[[#This Row],[FA]],""))</f>
        <v>Workforce</v>
      </c>
      <c r="D25" t="s">
        <v>19</v>
      </c>
      <c r="E25" s="89" t="s">
        <v>20</v>
      </c>
      <c r="F25" t="s">
        <v>91</v>
      </c>
      <c r="G25" t="s">
        <v>52</v>
      </c>
      <c r="H25" s="89" t="s">
        <v>53</v>
      </c>
      <c r="I25" s="89"/>
      <c r="J25" s="89"/>
      <c r="K25" s="89"/>
      <c r="L25" s="90">
        <v>1</v>
      </c>
      <c r="M25" s="97">
        <v>45931</v>
      </c>
      <c r="N25" s="97">
        <v>46009</v>
      </c>
      <c r="O25" t="s">
        <v>54</v>
      </c>
      <c r="P25" s="93" t="s">
        <v>87</v>
      </c>
      <c r="Q25" t="s">
        <v>106</v>
      </c>
      <c r="R25" t="s">
        <v>107</v>
      </c>
    </row>
    <row r="26" spans="2:18">
      <c r="B26" t="s">
        <v>90</v>
      </c>
      <c r="C26" t="str" cm="1">
        <f t="array" ref="C26">_xlfn.SINGLE(_xlfn._xlws.FILTER(t_Contact[FA Name],t_Contact[FA]=t_requirements[[#This Row],[FA]],""))</f>
        <v>Workforce</v>
      </c>
      <c r="D26" t="s">
        <v>19</v>
      </c>
      <c r="E26" s="89" t="s">
        <v>20</v>
      </c>
      <c r="F26" t="s">
        <v>91</v>
      </c>
      <c r="G26" t="s">
        <v>32</v>
      </c>
      <c r="H26" s="89" t="s">
        <v>41</v>
      </c>
      <c r="I26" s="89"/>
      <c r="J26" s="89"/>
      <c r="K26" s="89"/>
      <c r="L26" s="90">
        <v>8</v>
      </c>
      <c r="M26" s="97">
        <v>45931</v>
      </c>
      <c r="N26" s="97">
        <v>46009</v>
      </c>
      <c r="O26" t="s">
        <v>42</v>
      </c>
      <c r="P26" s="93" t="s">
        <v>43</v>
      </c>
      <c r="Q26" t="s">
        <v>108</v>
      </c>
      <c r="R26" t="s">
        <v>109</v>
      </c>
    </row>
    <row r="27" spans="2:18">
      <c r="B27" t="s">
        <v>90</v>
      </c>
      <c r="C27" t="str" cm="1">
        <f t="array" ref="C27">_xlfn.SINGLE(_xlfn._xlws.FILTER(t_Contact[FA Name],t_Contact[FA]=t_requirements[[#This Row],[FA]],""))</f>
        <v>Workforce</v>
      </c>
      <c r="D27" t="s">
        <v>19</v>
      </c>
      <c r="E27" s="89" t="s">
        <v>20</v>
      </c>
      <c r="F27" t="s">
        <v>91</v>
      </c>
      <c r="G27" t="s">
        <v>110</v>
      </c>
      <c r="H27" s="89" t="s">
        <v>111</v>
      </c>
      <c r="I27" s="89"/>
      <c r="J27" s="89"/>
      <c r="K27" s="89"/>
      <c r="L27" s="90">
        <v>1</v>
      </c>
      <c r="M27" s="97">
        <v>45931</v>
      </c>
      <c r="N27" s="97">
        <v>46009</v>
      </c>
      <c r="O27" t="s">
        <v>112</v>
      </c>
      <c r="P27" s="93" t="s">
        <v>87</v>
      </c>
      <c r="Q27" t="s">
        <v>113</v>
      </c>
      <c r="R27" t="s">
        <v>114</v>
      </c>
    </row>
    <row r="28" spans="2:18">
      <c r="B28" t="s">
        <v>90</v>
      </c>
      <c r="C28" t="str" cm="1">
        <f t="array" ref="C28">_xlfn.SINGLE(_xlfn._xlws.FILTER(t_Contact[FA Name],t_Contact[FA]=t_requirements[[#This Row],[FA]],""))</f>
        <v>Workforce</v>
      </c>
      <c r="D28" t="s">
        <v>19</v>
      </c>
      <c r="E28" s="89" t="s">
        <v>20</v>
      </c>
      <c r="F28" t="s">
        <v>91</v>
      </c>
      <c r="G28" t="s">
        <v>110</v>
      </c>
      <c r="H28" s="89" t="s">
        <v>115</v>
      </c>
      <c r="I28" s="89"/>
      <c r="J28" s="89"/>
      <c r="K28" s="89"/>
      <c r="L28" s="90">
        <v>13</v>
      </c>
      <c r="M28" s="97">
        <v>45931</v>
      </c>
      <c r="N28" s="97">
        <v>46009</v>
      </c>
      <c r="O28" t="s">
        <v>116</v>
      </c>
      <c r="P28" s="93" t="s">
        <v>43</v>
      </c>
      <c r="Q28" t="s">
        <v>117</v>
      </c>
      <c r="R28" t="s">
        <v>118</v>
      </c>
    </row>
    <row r="29" spans="2:18">
      <c r="B29" t="s">
        <v>90</v>
      </c>
      <c r="C29" t="str" cm="1">
        <f t="array" ref="C29">_xlfn.SINGLE(_xlfn._xlws.FILTER(t_Contact[FA Name],t_Contact[FA]=t_requirements[[#This Row],[FA]],""))</f>
        <v>Workforce</v>
      </c>
      <c r="D29" t="s">
        <v>19</v>
      </c>
      <c r="E29" s="89" t="s">
        <v>20</v>
      </c>
      <c r="F29" t="s">
        <v>119</v>
      </c>
      <c r="G29" t="s">
        <v>52</v>
      </c>
      <c r="H29" s="89" t="s">
        <v>53</v>
      </c>
      <c r="I29" s="89"/>
      <c r="J29" s="89"/>
      <c r="K29" s="89"/>
      <c r="L29" s="90">
        <v>1</v>
      </c>
      <c r="M29" s="97">
        <v>45931</v>
      </c>
      <c r="N29" s="97">
        <v>46009</v>
      </c>
      <c r="O29" t="s">
        <v>54</v>
      </c>
      <c r="P29" s="93" t="s">
        <v>87</v>
      </c>
      <c r="Q29" t="s">
        <v>106</v>
      </c>
      <c r="R29" t="s">
        <v>120</v>
      </c>
    </row>
    <row r="30" spans="2:18">
      <c r="B30" t="s">
        <v>90</v>
      </c>
      <c r="C30" t="str" cm="1">
        <f t="array" ref="C30">_xlfn.SINGLE(_xlfn._xlws.FILTER(t_Contact[FA Name],t_Contact[FA]=t_requirements[[#This Row],[FA]],""))</f>
        <v>Workforce</v>
      </c>
      <c r="D30" t="s">
        <v>19</v>
      </c>
      <c r="E30" s="89" t="s">
        <v>20</v>
      </c>
      <c r="F30" t="s">
        <v>119</v>
      </c>
      <c r="G30" t="s">
        <v>22</v>
      </c>
      <c r="H30" s="89" t="s">
        <v>23</v>
      </c>
      <c r="I30" s="89"/>
      <c r="J30" s="89"/>
      <c r="K30" s="89"/>
      <c r="L30" s="90">
        <v>3</v>
      </c>
      <c r="M30" s="97">
        <v>45931</v>
      </c>
      <c r="N30" s="97">
        <v>46009</v>
      </c>
      <c r="O30" t="s">
        <v>24</v>
      </c>
      <c r="P30" s="93" t="s">
        <v>87</v>
      </c>
      <c r="Q30" t="s">
        <v>121</v>
      </c>
      <c r="R30" t="s">
        <v>122</v>
      </c>
    </row>
    <row r="31" spans="2:18">
      <c r="B31" t="s">
        <v>90</v>
      </c>
      <c r="C31" t="str" cm="1">
        <f t="array" ref="C31">_xlfn.SINGLE(_xlfn._xlws.FILTER(t_Contact[FA Name],t_Contact[FA]=t_requirements[[#This Row],[FA]],""))</f>
        <v>Workforce</v>
      </c>
      <c r="D31" t="s">
        <v>19</v>
      </c>
      <c r="E31" s="89" t="s">
        <v>20</v>
      </c>
      <c r="F31" t="s">
        <v>119</v>
      </c>
      <c r="G31" t="s">
        <v>32</v>
      </c>
      <c r="H31" s="89" t="s">
        <v>33</v>
      </c>
      <c r="I31" s="89"/>
      <c r="J31" s="89"/>
      <c r="K31" s="89"/>
      <c r="L31" s="90">
        <v>10</v>
      </c>
      <c r="M31" s="97">
        <v>45931</v>
      </c>
      <c r="N31" s="97">
        <v>46009</v>
      </c>
      <c r="O31" t="s">
        <v>34</v>
      </c>
      <c r="P31" s="93" t="s">
        <v>87</v>
      </c>
      <c r="Q31" t="s">
        <v>106</v>
      </c>
      <c r="R31" t="s">
        <v>123</v>
      </c>
    </row>
    <row r="32" spans="2:18">
      <c r="B32" t="s">
        <v>90</v>
      </c>
      <c r="C32" t="str" cm="1">
        <f t="array" ref="C32">_xlfn.SINGLE(_xlfn._xlws.FILTER(t_Contact[FA Name],t_Contact[FA]=t_requirements[[#This Row],[FA]],""))</f>
        <v>Workforce</v>
      </c>
      <c r="D32" t="s">
        <v>19</v>
      </c>
      <c r="E32" s="89" t="s">
        <v>20</v>
      </c>
      <c r="F32" t="s">
        <v>119</v>
      </c>
      <c r="G32" t="s">
        <v>32</v>
      </c>
      <c r="H32" s="89" t="s">
        <v>94</v>
      </c>
      <c r="I32" s="89"/>
      <c r="J32" s="89"/>
      <c r="K32" s="89"/>
      <c r="L32" s="90">
        <v>10</v>
      </c>
      <c r="M32" s="97">
        <v>45931</v>
      </c>
      <c r="N32" s="97">
        <v>46009</v>
      </c>
      <c r="O32" t="s">
        <v>95</v>
      </c>
      <c r="P32" s="93" t="s">
        <v>87</v>
      </c>
      <c r="Q32" t="s">
        <v>106</v>
      </c>
      <c r="R32" t="s">
        <v>124</v>
      </c>
    </row>
    <row r="33" spans="2:18">
      <c r="B33" t="s">
        <v>90</v>
      </c>
      <c r="C33" t="str" cm="1">
        <f t="array" ref="C33">_xlfn.SINGLE(_xlfn._xlws.FILTER(t_Contact[FA Name],t_Contact[FA]=t_requirements[[#This Row],[FA]],""))</f>
        <v>Workforce</v>
      </c>
      <c r="D33" t="s">
        <v>19</v>
      </c>
      <c r="E33" s="89" t="s">
        <v>20</v>
      </c>
      <c r="F33" t="s">
        <v>119</v>
      </c>
      <c r="G33" t="s">
        <v>32</v>
      </c>
      <c r="H33" s="89" t="s">
        <v>37</v>
      </c>
      <c r="I33" s="89"/>
      <c r="J33" s="89"/>
      <c r="K33" s="89"/>
      <c r="L33" s="90">
        <v>12</v>
      </c>
      <c r="M33" s="97">
        <v>45931</v>
      </c>
      <c r="N33" s="97">
        <v>46009</v>
      </c>
      <c r="O33" t="s">
        <v>38</v>
      </c>
      <c r="P33" s="93" t="s">
        <v>87</v>
      </c>
      <c r="Q33" t="s">
        <v>106</v>
      </c>
      <c r="R33" t="s">
        <v>125</v>
      </c>
    </row>
    <row r="34" spans="2:18">
      <c r="B34" t="s">
        <v>90</v>
      </c>
      <c r="C34" t="str" cm="1">
        <f t="array" ref="C34">_xlfn.SINGLE(_xlfn._xlws.FILTER(t_Contact[FA Name],t_Contact[FA]=t_requirements[[#This Row],[FA]],""))</f>
        <v>Workforce</v>
      </c>
      <c r="D34" t="s">
        <v>19</v>
      </c>
      <c r="E34" s="89" t="s">
        <v>20</v>
      </c>
      <c r="F34" t="s">
        <v>119</v>
      </c>
      <c r="G34" t="s">
        <v>110</v>
      </c>
      <c r="H34" s="89" t="s">
        <v>111</v>
      </c>
      <c r="I34" s="89"/>
      <c r="J34" s="89"/>
      <c r="K34" s="89"/>
      <c r="L34" s="90">
        <v>1</v>
      </c>
      <c r="M34" s="97">
        <v>45931</v>
      </c>
      <c r="N34" s="97">
        <v>46009</v>
      </c>
      <c r="O34" t="s">
        <v>112</v>
      </c>
      <c r="P34" s="93" t="s">
        <v>87</v>
      </c>
      <c r="Q34" t="s">
        <v>126</v>
      </c>
      <c r="R34" t="s">
        <v>127</v>
      </c>
    </row>
    <row r="35" spans="2:18">
      <c r="B35" t="s">
        <v>90</v>
      </c>
      <c r="C35" t="str" cm="1">
        <f t="array" ref="C35">_xlfn.SINGLE(_xlfn._xlws.FILTER(t_Contact[FA Name],t_Contact[FA]=t_requirements[[#This Row],[FA]],""))</f>
        <v>Workforce</v>
      </c>
      <c r="D35" t="s">
        <v>19</v>
      </c>
      <c r="E35" s="89" t="s">
        <v>20</v>
      </c>
      <c r="F35" t="s">
        <v>128</v>
      </c>
      <c r="G35" t="s">
        <v>32</v>
      </c>
      <c r="H35" s="89" t="s">
        <v>33</v>
      </c>
      <c r="I35" s="89"/>
      <c r="J35" s="89"/>
      <c r="K35" s="89"/>
      <c r="L35" s="90">
        <v>3</v>
      </c>
      <c r="M35" s="97">
        <v>45931</v>
      </c>
      <c r="N35" s="97">
        <v>46009</v>
      </c>
      <c r="O35" t="s">
        <v>34</v>
      </c>
      <c r="P35" s="93" t="s">
        <v>87</v>
      </c>
      <c r="Q35" t="s">
        <v>106</v>
      </c>
      <c r="R35" t="s">
        <v>129</v>
      </c>
    </row>
    <row r="36" spans="2:18">
      <c r="B36" t="s">
        <v>90</v>
      </c>
      <c r="C36" t="str" cm="1">
        <f t="array" ref="C36">_xlfn.SINGLE(_xlfn._xlws.FILTER(t_Contact[FA Name],t_Contact[FA]=t_requirements[[#This Row],[FA]],""))</f>
        <v>Workforce</v>
      </c>
      <c r="D36" t="s">
        <v>19</v>
      </c>
      <c r="E36" s="89" t="s">
        <v>20</v>
      </c>
      <c r="F36" t="s">
        <v>128</v>
      </c>
      <c r="G36" t="s">
        <v>52</v>
      </c>
      <c r="H36" s="89" t="s">
        <v>53</v>
      </c>
      <c r="I36" s="89"/>
      <c r="J36" s="89"/>
      <c r="K36" s="89"/>
      <c r="L36" s="90">
        <v>1</v>
      </c>
      <c r="M36" s="97">
        <v>45931</v>
      </c>
      <c r="N36" s="97">
        <v>46009</v>
      </c>
      <c r="O36" t="s">
        <v>54</v>
      </c>
      <c r="P36" s="93" t="s">
        <v>87</v>
      </c>
      <c r="Q36" t="s">
        <v>106</v>
      </c>
      <c r="R36" t="s">
        <v>130</v>
      </c>
    </row>
    <row r="37" spans="2:18">
      <c r="B37" t="s">
        <v>90</v>
      </c>
      <c r="C37" t="str" cm="1">
        <f t="array" ref="C37">_xlfn.SINGLE(_xlfn._xlws.FILTER(t_Contact[FA Name],t_Contact[FA]=t_requirements[[#This Row],[FA]],""))</f>
        <v>Workforce</v>
      </c>
      <c r="D37" t="s">
        <v>19</v>
      </c>
      <c r="E37" s="89" t="s">
        <v>20</v>
      </c>
      <c r="F37" t="s">
        <v>128</v>
      </c>
      <c r="G37" t="s">
        <v>84</v>
      </c>
      <c r="H37" s="89" t="s">
        <v>101</v>
      </c>
      <c r="I37" s="89"/>
      <c r="J37" s="89"/>
      <c r="K37" s="89"/>
      <c r="L37" s="90">
        <v>2</v>
      </c>
      <c r="M37" s="97">
        <v>45925</v>
      </c>
      <c r="N37" s="97">
        <v>46009</v>
      </c>
      <c r="O37" t="s">
        <v>102</v>
      </c>
      <c r="P37" s="93" t="s">
        <v>103</v>
      </c>
      <c r="Q37" t="s">
        <v>131</v>
      </c>
      <c r="R37" t="s">
        <v>132</v>
      </c>
    </row>
    <row r="38" spans="2:18">
      <c r="B38" t="s">
        <v>90</v>
      </c>
      <c r="C38" t="str" cm="1">
        <f t="array" ref="C38">_xlfn.SINGLE(_xlfn._xlws.FILTER(t_Contact[FA Name],t_Contact[FA]=t_requirements[[#This Row],[FA]],""))</f>
        <v>Workforce</v>
      </c>
      <c r="D38" t="s">
        <v>19</v>
      </c>
      <c r="E38" s="89" t="s">
        <v>20</v>
      </c>
      <c r="F38" t="s">
        <v>128</v>
      </c>
      <c r="G38" t="s">
        <v>58</v>
      </c>
      <c r="H38" s="89" t="s">
        <v>59</v>
      </c>
      <c r="I38" s="89"/>
      <c r="J38" s="89"/>
      <c r="K38" s="89"/>
      <c r="L38" s="90">
        <v>1</v>
      </c>
      <c r="M38" s="97">
        <v>45931</v>
      </c>
      <c r="N38" s="97">
        <v>46009</v>
      </c>
      <c r="O38" t="s">
        <v>60</v>
      </c>
      <c r="P38" s="93" t="s">
        <v>87</v>
      </c>
      <c r="Q38" t="s">
        <v>106</v>
      </c>
      <c r="R38" t="s">
        <v>133</v>
      </c>
    </row>
    <row r="39" spans="2:18">
      <c r="B39" t="s">
        <v>90</v>
      </c>
      <c r="C39" t="str" cm="1">
        <f t="array" ref="C39">_xlfn.SINGLE(_xlfn._xlws.FILTER(t_Contact[FA Name],t_Contact[FA]=t_requirements[[#This Row],[FA]],""))</f>
        <v>Workforce</v>
      </c>
      <c r="D39" t="s">
        <v>19</v>
      </c>
      <c r="E39" s="89" t="s">
        <v>20</v>
      </c>
      <c r="F39" t="s">
        <v>128</v>
      </c>
      <c r="G39" t="s">
        <v>110</v>
      </c>
      <c r="H39" s="89" t="s">
        <v>134</v>
      </c>
      <c r="I39" s="89"/>
      <c r="J39" s="89"/>
      <c r="K39" s="89"/>
      <c r="L39" s="90">
        <v>1</v>
      </c>
      <c r="M39" s="97">
        <v>45931</v>
      </c>
      <c r="N39" s="97">
        <v>46009</v>
      </c>
      <c r="O39" t="s">
        <v>135</v>
      </c>
      <c r="P39" s="93" t="s">
        <v>87</v>
      </c>
      <c r="Q39" t="s">
        <v>106</v>
      </c>
      <c r="R39" t="s">
        <v>136</v>
      </c>
    </row>
    <row r="40" spans="2:18">
      <c r="B40" t="s">
        <v>137</v>
      </c>
      <c r="C40" t="str" cm="1">
        <f t="array" ref="C40">_xlfn.SINGLE(_xlfn._xlws.FILTER(t_Contact[FA Name],t_Contact[FA]=t_requirements[[#This Row],[FA]],""))</f>
        <v>Mobility</v>
      </c>
      <c r="D40" t="s">
        <v>19</v>
      </c>
      <c r="E40" t="s">
        <v>138</v>
      </c>
      <c r="F40" t="s">
        <v>139</v>
      </c>
      <c r="G40" t="s">
        <v>22</v>
      </c>
      <c r="H40" s="89" t="s">
        <v>23</v>
      </c>
      <c r="I40" s="89"/>
      <c r="J40" s="89"/>
      <c r="K40" s="89"/>
      <c r="L40" s="90">
        <v>1</v>
      </c>
      <c r="M40" s="97">
        <v>45931</v>
      </c>
      <c r="N40" s="97">
        <v>45989</v>
      </c>
      <c r="O40" t="s">
        <v>24</v>
      </c>
      <c r="P40" s="93" t="s">
        <v>87</v>
      </c>
      <c r="R40" t="s">
        <v>140</v>
      </c>
    </row>
    <row r="41" spans="2:18">
      <c r="B41" t="s">
        <v>137</v>
      </c>
      <c r="C41" t="str" cm="1">
        <f t="array" ref="C41">_xlfn.SINGLE(_xlfn._xlws.FILTER(t_Contact[FA Name],t_Contact[FA]=t_requirements[[#This Row],[FA]],""))</f>
        <v>Mobility</v>
      </c>
      <c r="D41" t="s">
        <v>19</v>
      </c>
      <c r="E41" t="s">
        <v>138</v>
      </c>
      <c r="F41" t="s">
        <v>139</v>
      </c>
      <c r="G41" t="s">
        <v>32</v>
      </c>
      <c r="H41" s="89" t="s">
        <v>33</v>
      </c>
      <c r="I41" s="89"/>
      <c r="J41" s="89"/>
      <c r="K41" s="89"/>
      <c r="L41" s="90">
        <v>1</v>
      </c>
      <c r="M41" s="97">
        <v>45931</v>
      </c>
      <c r="N41" s="97">
        <v>45989</v>
      </c>
      <c r="O41" t="s">
        <v>34</v>
      </c>
      <c r="P41" s="93" t="s">
        <v>87</v>
      </c>
      <c r="R41" t="s">
        <v>141</v>
      </c>
    </row>
    <row r="42" spans="2:18">
      <c r="B42" t="s">
        <v>137</v>
      </c>
      <c r="C42" t="str" cm="1">
        <f t="array" ref="C42">_xlfn.SINGLE(_xlfn._xlws.FILTER(t_Contact[FA Name],t_Contact[FA]=t_requirements[[#This Row],[FA]],""))</f>
        <v>Mobility</v>
      </c>
      <c r="D42" t="s">
        <v>19</v>
      </c>
      <c r="E42" t="s">
        <v>138</v>
      </c>
      <c r="F42" t="s">
        <v>139</v>
      </c>
      <c r="G42" t="s">
        <v>32</v>
      </c>
      <c r="H42" s="89" t="s">
        <v>94</v>
      </c>
      <c r="I42" s="89"/>
      <c r="J42" s="89"/>
      <c r="K42" s="89"/>
      <c r="L42" s="90">
        <v>1</v>
      </c>
      <c r="M42" s="97">
        <v>45931</v>
      </c>
      <c r="N42" s="97">
        <v>45989</v>
      </c>
      <c r="O42" t="s">
        <v>95</v>
      </c>
      <c r="P42" s="93" t="s">
        <v>87</v>
      </c>
      <c r="R42" t="s">
        <v>142</v>
      </c>
    </row>
    <row r="43" spans="2:18">
      <c r="B43" t="s">
        <v>137</v>
      </c>
      <c r="C43" t="str" cm="1">
        <f t="array" ref="C43">_xlfn.SINGLE(_xlfn._xlws.FILTER(t_Contact[FA Name],t_Contact[FA]=t_requirements[[#This Row],[FA]],""))</f>
        <v>Mobility</v>
      </c>
      <c r="D43" t="s">
        <v>19</v>
      </c>
      <c r="E43" t="s">
        <v>138</v>
      </c>
      <c r="F43" t="s">
        <v>139</v>
      </c>
      <c r="G43" t="s">
        <v>52</v>
      </c>
      <c r="H43" s="89" t="s">
        <v>53</v>
      </c>
      <c r="I43" s="89"/>
      <c r="J43" s="89"/>
      <c r="K43" s="89"/>
      <c r="L43" s="90">
        <v>1</v>
      </c>
      <c r="M43" s="97">
        <v>45931</v>
      </c>
      <c r="N43" s="97">
        <v>45989</v>
      </c>
      <c r="O43" t="s">
        <v>54</v>
      </c>
      <c r="P43" s="93" t="s">
        <v>87</v>
      </c>
      <c r="R43" t="s">
        <v>143</v>
      </c>
    </row>
    <row r="44" spans="2:18">
      <c r="B44" t="s">
        <v>137</v>
      </c>
      <c r="C44" t="str" cm="1">
        <f t="array" ref="C44">_xlfn.SINGLE(_xlfn._xlws.FILTER(t_Contact[FA Name],t_Contact[FA]=t_requirements[[#This Row],[FA]],""))</f>
        <v>Mobility</v>
      </c>
      <c r="D44" t="s">
        <v>19</v>
      </c>
      <c r="E44" t="s">
        <v>138</v>
      </c>
      <c r="F44" t="s">
        <v>139</v>
      </c>
      <c r="G44" t="s">
        <v>32</v>
      </c>
      <c r="H44" s="89" t="s">
        <v>37</v>
      </c>
      <c r="I44" s="89"/>
      <c r="J44" s="89"/>
      <c r="K44" s="89"/>
      <c r="L44" s="90">
        <v>2</v>
      </c>
      <c r="M44" s="97">
        <v>45931</v>
      </c>
      <c r="N44" s="97">
        <v>45989</v>
      </c>
      <c r="O44" t="s">
        <v>38</v>
      </c>
      <c r="P44" s="93" t="s">
        <v>87</v>
      </c>
      <c r="R44" t="s">
        <v>144</v>
      </c>
    </row>
    <row r="45" spans="2:18">
      <c r="B45" t="s">
        <v>137</v>
      </c>
      <c r="C45" t="str" cm="1">
        <f t="array" ref="C45">_xlfn.SINGLE(_xlfn._xlws.FILTER(t_Contact[FA Name],t_Contact[FA]=t_requirements[[#This Row],[FA]],""))</f>
        <v>Mobility</v>
      </c>
      <c r="D45" t="s">
        <v>19</v>
      </c>
      <c r="E45" t="s">
        <v>138</v>
      </c>
      <c r="F45" t="s">
        <v>145</v>
      </c>
      <c r="G45" t="s">
        <v>58</v>
      </c>
      <c r="H45" s="89" t="s">
        <v>59</v>
      </c>
      <c r="I45" s="89"/>
      <c r="J45" s="89"/>
      <c r="K45" s="89"/>
      <c r="L45" s="90">
        <v>1</v>
      </c>
      <c r="M45" s="97">
        <v>45931</v>
      </c>
      <c r="N45" s="97">
        <v>45989</v>
      </c>
      <c r="O45" t="s">
        <v>60</v>
      </c>
      <c r="P45" s="93" t="s">
        <v>87</v>
      </c>
      <c r="R45" t="s">
        <v>146</v>
      </c>
    </row>
    <row r="46" spans="2:18">
      <c r="B46" t="s">
        <v>137</v>
      </c>
      <c r="C46" t="str" cm="1">
        <f t="array" ref="C46">_xlfn.SINGLE(_xlfn._xlws.FILTER(t_Contact[FA Name],t_Contact[FA]=t_requirements[[#This Row],[FA]],""))</f>
        <v>Mobility</v>
      </c>
      <c r="D46" t="s">
        <v>19</v>
      </c>
      <c r="E46" t="s">
        <v>138</v>
      </c>
      <c r="F46" t="s">
        <v>145</v>
      </c>
      <c r="G46" t="s">
        <v>110</v>
      </c>
      <c r="H46" s="89" t="s">
        <v>111</v>
      </c>
      <c r="I46" s="89"/>
      <c r="J46" s="89"/>
      <c r="K46" s="89"/>
      <c r="L46" s="90">
        <v>4</v>
      </c>
      <c r="M46" s="97">
        <v>45931</v>
      </c>
      <c r="N46" s="97">
        <v>45989</v>
      </c>
      <c r="O46" t="s">
        <v>112</v>
      </c>
      <c r="P46" s="93" t="s">
        <v>87</v>
      </c>
      <c r="R46" t="s">
        <v>147</v>
      </c>
    </row>
    <row r="47" spans="2:18">
      <c r="B47" t="s">
        <v>137</v>
      </c>
      <c r="C47" t="str" cm="1">
        <f t="array" ref="C47">_xlfn.SINGLE(_xlfn._xlws.FILTER(t_Contact[FA Name],t_Contact[FA]=t_requirements[[#This Row],[FA]],""))</f>
        <v>Mobility</v>
      </c>
      <c r="D47" t="s">
        <v>19</v>
      </c>
      <c r="E47" t="s">
        <v>138</v>
      </c>
      <c r="F47" t="s">
        <v>145</v>
      </c>
      <c r="G47" t="s">
        <v>46</v>
      </c>
      <c r="H47" s="89" t="s">
        <v>148</v>
      </c>
      <c r="I47" s="89"/>
      <c r="J47" s="89"/>
      <c r="K47" s="89"/>
      <c r="L47" s="90">
        <v>1</v>
      </c>
      <c r="M47" s="97">
        <v>45931</v>
      </c>
      <c r="N47" s="97">
        <v>45989</v>
      </c>
      <c r="O47" t="s">
        <v>149</v>
      </c>
      <c r="P47" s="93" t="s">
        <v>43</v>
      </c>
      <c r="Q47" t="s">
        <v>150</v>
      </c>
      <c r="R47" t="s">
        <v>151</v>
      </c>
    </row>
    <row r="48" spans="2:18">
      <c r="B48" t="s">
        <v>137</v>
      </c>
      <c r="C48" t="str" cm="1">
        <f t="array" ref="C48">_xlfn.SINGLE(_xlfn._xlws.FILTER(t_Contact[FA Name],t_Contact[FA]=t_requirements[[#This Row],[FA]],""))</f>
        <v>Mobility</v>
      </c>
      <c r="D48" t="s">
        <v>19</v>
      </c>
      <c r="E48" t="s">
        <v>138</v>
      </c>
      <c r="F48" t="s">
        <v>145</v>
      </c>
      <c r="G48" t="s">
        <v>22</v>
      </c>
      <c r="H48" s="89" t="s">
        <v>28</v>
      </c>
      <c r="I48" s="89"/>
      <c r="J48" s="89"/>
      <c r="K48" s="89"/>
      <c r="L48" s="90">
        <v>1</v>
      </c>
      <c r="M48" s="97">
        <v>45931</v>
      </c>
      <c r="N48" s="97">
        <v>45989</v>
      </c>
      <c r="O48" t="s">
        <v>29</v>
      </c>
      <c r="P48" s="93" t="s">
        <v>87</v>
      </c>
      <c r="Q48" t="s">
        <v>152</v>
      </c>
      <c r="R48" t="s">
        <v>153</v>
      </c>
    </row>
    <row r="49" spans="2:18">
      <c r="B49" t="s">
        <v>137</v>
      </c>
      <c r="C49" t="str" cm="1">
        <f t="array" ref="C49">_xlfn.SINGLE(_xlfn._xlws.FILTER(t_Contact[FA Name],t_Contact[FA]=t_requirements[[#This Row],[FA]],""))</f>
        <v>Mobility</v>
      </c>
      <c r="D49" t="s">
        <v>19</v>
      </c>
      <c r="E49" t="s">
        <v>138</v>
      </c>
      <c r="F49" t="s">
        <v>145</v>
      </c>
      <c r="G49" t="s">
        <v>84</v>
      </c>
      <c r="H49" s="89" t="s">
        <v>101</v>
      </c>
      <c r="I49" s="89"/>
      <c r="J49" s="89"/>
      <c r="K49" s="89"/>
      <c r="L49" s="90">
        <v>2</v>
      </c>
      <c r="M49" s="97">
        <v>45931</v>
      </c>
      <c r="N49" s="97">
        <v>45989</v>
      </c>
      <c r="O49" t="s">
        <v>102</v>
      </c>
      <c r="P49" s="93" t="s">
        <v>43</v>
      </c>
      <c r="Q49" t="s">
        <v>154</v>
      </c>
      <c r="R49" t="s">
        <v>155</v>
      </c>
    </row>
    <row r="50" spans="2:18">
      <c r="B50" t="s">
        <v>156</v>
      </c>
      <c r="C50" t="str" cm="1">
        <f t="array" ref="C50">_xlfn.SINGLE(_xlfn._xlws.FILTER(t_Contact[FA Name],t_Contact[FA]=t_requirements[[#This Row],[FA]],""))</f>
        <v>Ticketing</v>
      </c>
      <c r="D50" t="s">
        <v>19</v>
      </c>
      <c r="E50" t="s">
        <v>71</v>
      </c>
      <c r="F50" t="s">
        <v>157</v>
      </c>
      <c r="G50" t="s">
        <v>110</v>
      </c>
      <c r="H50" t="s">
        <v>111</v>
      </c>
      <c r="L50" s="32">
        <v>4</v>
      </c>
      <c r="M50" s="97">
        <v>45915</v>
      </c>
      <c r="N50" s="97">
        <v>45989</v>
      </c>
      <c r="O50" t="s">
        <v>112</v>
      </c>
      <c r="P50" t="s">
        <v>87</v>
      </c>
      <c r="Q50" t="s">
        <v>158</v>
      </c>
      <c r="R50" t="s">
        <v>159</v>
      </c>
    </row>
    <row r="51" spans="2:18">
      <c r="B51" t="s">
        <v>156</v>
      </c>
      <c r="C51" t="str" cm="1">
        <f t="array" ref="C51">_xlfn.SINGLE(_xlfn._xlws.FILTER(t_Contact[FA Name],t_Contact[FA]=t_requirements[[#This Row],[FA]],""))</f>
        <v>Ticketing</v>
      </c>
      <c r="D51" t="s">
        <v>19</v>
      </c>
      <c r="E51" t="s">
        <v>71</v>
      </c>
      <c r="F51" t="s">
        <v>157</v>
      </c>
      <c r="G51" t="s">
        <v>32</v>
      </c>
      <c r="H51" t="s">
        <v>33</v>
      </c>
      <c r="L51" s="32">
        <v>4</v>
      </c>
      <c r="M51" s="97">
        <v>45915</v>
      </c>
      <c r="N51" s="97">
        <v>45989</v>
      </c>
      <c r="O51" t="s">
        <v>34</v>
      </c>
      <c r="P51" t="s">
        <v>87</v>
      </c>
      <c r="Q51" t="s">
        <v>160</v>
      </c>
      <c r="R51" t="s">
        <v>161</v>
      </c>
    </row>
    <row r="52" spans="2:18">
      <c r="B52" t="s">
        <v>156</v>
      </c>
      <c r="C52" t="str" cm="1">
        <f t="array" ref="C52">_xlfn.SINGLE(_xlfn._xlws.FILTER(t_Contact[FA Name],t_Contact[FA]=t_requirements[[#This Row],[FA]],""))</f>
        <v>Ticketing</v>
      </c>
      <c r="D52" t="s">
        <v>19</v>
      </c>
      <c r="E52" t="s">
        <v>71</v>
      </c>
      <c r="F52" t="s">
        <v>157</v>
      </c>
      <c r="G52" t="s">
        <v>46</v>
      </c>
      <c r="H52" t="s">
        <v>47</v>
      </c>
      <c r="L52" s="32">
        <v>20</v>
      </c>
      <c r="M52" s="97">
        <v>45915</v>
      </c>
      <c r="N52" s="97">
        <v>45989</v>
      </c>
      <c r="O52" t="s">
        <v>48</v>
      </c>
      <c r="P52" t="s">
        <v>87</v>
      </c>
      <c r="R52" t="s">
        <v>162</v>
      </c>
    </row>
    <row r="53" spans="2:18">
      <c r="B53" t="s">
        <v>156</v>
      </c>
      <c r="C53" t="str" cm="1">
        <f t="array" ref="C53">_xlfn.SINGLE(_xlfn._xlws.FILTER(t_Contact[FA Name],t_Contact[FA]=t_requirements[[#This Row],[FA]],""))</f>
        <v>Ticketing</v>
      </c>
      <c r="D53" t="s">
        <v>19</v>
      </c>
      <c r="E53" t="s">
        <v>71</v>
      </c>
      <c r="F53" t="s">
        <v>157</v>
      </c>
      <c r="G53" t="s">
        <v>52</v>
      </c>
      <c r="H53" t="s">
        <v>53</v>
      </c>
      <c r="L53" s="32">
        <v>1</v>
      </c>
      <c r="M53" s="97">
        <v>45915</v>
      </c>
      <c r="N53" s="97">
        <v>45989</v>
      </c>
      <c r="O53" t="s">
        <v>54</v>
      </c>
      <c r="P53" t="s">
        <v>87</v>
      </c>
      <c r="Q53" t="s">
        <v>163</v>
      </c>
      <c r="R53" t="s">
        <v>164</v>
      </c>
    </row>
    <row r="54" spans="2:18">
      <c r="B54" t="s">
        <v>156</v>
      </c>
      <c r="C54" t="str" cm="1">
        <f t="array" ref="C54">_xlfn.SINGLE(_xlfn._xlws.FILTER(t_Contact[FA Name],t_Contact[FA]=t_requirements[[#This Row],[FA]],""))</f>
        <v>Ticketing</v>
      </c>
      <c r="D54" t="s">
        <v>19</v>
      </c>
      <c r="E54" t="s">
        <v>71</v>
      </c>
      <c r="F54" t="s">
        <v>157</v>
      </c>
      <c r="G54" t="s">
        <v>84</v>
      </c>
      <c r="H54" t="s">
        <v>165</v>
      </c>
      <c r="L54" s="32">
        <v>5</v>
      </c>
      <c r="M54" s="97">
        <v>45915</v>
      </c>
      <c r="N54" s="97">
        <v>45989</v>
      </c>
      <c r="O54" t="s">
        <v>166</v>
      </c>
      <c r="P54" t="s">
        <v>87</v>
      </c>
      <c r="Q54" t="s">
        <v>167</v>
      </c>
      <c r="R54" t="s">
        <v>168</v>
      </c>
    </row>
    <row r="55" spans="2:18">
      <c r="B55" t="s">
        <v>156</v>
      </c>
      <c r="C55" t="str" cm="1">
        <f t="array" ref="C55">_xlfn.SINGLE(_xlfn._xlws.FILTER(t_Contact[FA Name],t_Contact[FA]=t_requirements[[#This Row],[FA]],""))</f>
        <v>Ticketing</v>
      </c>
      <c r="D55" t="s">
        <v>19</v>
      </c>
      <c r="E55" t="s">
        <v>71</v>
      </c>
      <c r="F55" t="s">
        <v>157</v>
      </c>
      <c r="G55" t="s">
        <v>22</v>
      </c>
      <c r="H55" t="s">
        <v>28</v>
      </c>
      <c r="L55" s="32">
        <v>1</v>
      </c>
      <c r="M55" s="97">
        <v>45915</v>
      </c>
      <c r="N55" s="97">
        <v>45989</v>
      </c>
      <c r="O55" t="s">
        <v>29</v>
      </c>
      <c r="P55" t="s">
        <v>87</v>
      </c>
      <c r="Q55" t="s">
        <v>169</v>
      </c>
      <c r="R55" t="s">
        <v>170</v>
      </c>
    </row>
    <row r="56" spans="2:18">
      <c r="B56" t="s">
        <v>156</v>
      </c>
      <c r="C56" t="str" cm="1">
        <f t="array" ref="C56">_xlfn.SINGLE(_xlfn._xlws.FILTER(t_Contact[FA Name],t_Contact[FA]=t_requirements[[#This Row],[FA]],""))</f>
        <v>Ticketing</v>
      </c>
      <c r="D56" t="s">
        <v>19</v>
      </c>
      <c r="E56" t="s">
        <v>71</v>
      </c>
      <c r="F56" t="s">
        <v>157</v>
      </c>
      <c r="G56" t="s">
        <v>22</v>
      </c>
      <c r="H56" t="s">
        <v>23</v>
      </c>
      <c r="L56" s="32">
        <v>2</v>
      </c>
      <c r="M56" s="97">
        <v>45915</v>
      </c>
      <c r="N56" s="97">
        <v>45989</v>
      </c>
      <c r="O56" t="s">
        <v>24</v>
      </c>
      <c r="P56" t="s">
        <v>87</v>
      </c>
      <c r="Q56" t="s">
        <v>171</v>
      </c>
      <c r="R56" t="s">
        <v>172</v>
      </c>
    </row>
    <row r="57" spans="2:18">
      <c r="B57" t="s">
        <v>156</v>
      </c>
      <c r="C57" t="str" cm="1">
        <f t="array" ref="C57">_xlfn.SINGLE(_xlfn._xlws.FILTER(t_Contact[FA Name],t_Contact[FA]=t_requirements[[#This Row],[FA]],""))</f>
        <v>Ticketing</v>
      </c>
      <c r="D57" t="s">
        <v>19</v>
      </c>
      <c r="E57" t="s">
        <v>71</v>
      </c>
      <c r="F57" t="s">
        <v>157</v>
      </c>
      <c r="G57" t="s">
        <v>32</v>
      </c>
      <c r="H57" t="s">
        <v>94</v>
      </c>
      <c r="L57" s="32">
        <v>20</v>
      </c>
      <c r="M57" s="97">
        <v>45915</v>
      </c>
      <c r="N57" s="97">
        <v>45989</v>
      </c>
      <c r="O57" t="s">
        <v>95</v>
      </c>
      <c r="P57" t="s">
        <v>87</v>
      </c>
      <c r="Q57" t="s">
        <v>173</v>
      </c>
      <c r="R57" t="s">
        <v>174</v>
      </c>
    </row>
    <row r="58" spans="2:18">
      <c r="B58" t="s">
        <v>156</v>
      </c>
      <c r="C58" t="str" cm="1">
        <f t="array" ref="C58">_xlfn.SINGLE(_xlfn._xlws.FILTER(t_Contact[FA Name],t_Contact[FA]=t_requirements[[#This Row],[FA]],""))</f>
        <v>Ticketing</v>
      </c>
      <c r="D58" t="s">
        <v>19</v>
      </c>
      <c r="E58" t="s">
        <v>71</v>
      </c>
      <c r="F58" t="s">
        <v>157</v>
      </c>
      <c r="G58" t="s">
        <v>110</v>
      </c>
      <c r="H58" t="s">
        <v>115</v>
      </c>
      <c r="L58" s="32">
        <v>2</v>
      </c>
      <c r="M58" s="98">
        <v>45915</v>
      </c>
      <c r="N58" s="98">
        <v>45989</v>
      </c>
      <c r="O58" t="s">
        <v>116</v>
      </c>
      <c r="P58" t="s">
        <v>87</v>
      </c>
      <c r="Q58" t="s">
        <v>175</v>
      </c>
      <c r="R58" t="s">
        <v>176</v>
      </c>
    </row>
    <row r="59" spans="2:18">
      <c r="B59" t="s">
        <v>177</v>
      </c>
      <c r="C59" t="str" cm="1">
        <f t="array" ref="C59">_xlfn.SINGLE(_xlfn._xlws.FILTER(t_Contact[FA Name],t_Contact[FA]=t_requirements[[#This Row],[FA]],""))</f>
        <v>Arrival &amp; Departure</v>
      </c>
      <c r="D59" t="s">
        <v>19</v>
      </c>
      <c r="E59" t="s">
        <v>177</v>
      </c>
      <c r="F59" s="89" t="s">
        <v>178</v>
      </c>
      <c r="G59" s="89" t="s">
        <v>22</v>
      </c>
      <c r="H59" s="89" t="s">
        <v>23</v>
      </c>
      <c r="I59" s="89"/>
      <c r="J59" s="89"/>
      <c r="K59" s="89"/>
      <c r="L59" s="90">
        <v>1</v>
      </c>
      <c r="M59" s="91">
        <v>45950</v>
      </c>
      <c r="N59" s="91">
        <v>46011</v>
      </c>
      <c r="O59" t="s">
        <v>24</v>
      </c>
      <c r="R59" t="s">
        <v>179</v>
      </c>
    </row>
    <row r="60" spans="2:18">
      <c r="B60" t="s">
        <v>177</v>
      </c>
      <c r="C60" t="str" cm="1">
        <f t="array" ref="C60">_xlfn.SINGLE(_xlfn._xlws.FILTER(t_Contact[FA Name],t_Contact[FA]=t_requirements[[#This Row],[FA]],""))</f>
        <v>Arrival &amp; Departure</v>
      </c>
      <c r="D60" t="s">
        <v>19</v>
      </c>
      <c r="E60" t="s">
        <v>177</v>
      </c>
      <c r="F60" s="89" t="s">
        <v>178</v>
      </c>
      <c r="G60" s="89" t="s">
        <v>84</v>
      </c>
      <c r="H60" s="89" t="s">
        <v>85</v>
      </c>
      <c r="I60" s="89"/>
      <c r="J60" s="89"/>
      <c r="K60" s="89"/>
      <c r="L60" s="90">
        <v>2</v>
      </c>
      <c r="M60" s="91">
        <v>45950</v>
      </c>
      <c r="N60" s="91">
        <v>46011</v>
      </c>
      <c r="O60" t="s">
        <v>86</v>
      </c>
      <c r="R60" t="s">
        <v>180</v>
      </c>
    </row>
    <row r="61" spans="2:18">
      <c r="B61" t="s">
        <v>177</v>
      </c>
      <c r="C61" t="str" cm="1">
        <f t="array" ref="C61">_xlfn.SINGLE(_xlfn._xlws.FILTER(t_Contact[FA Name],t_Contact[FA]=t_requirements[[#This Row],[FA]],""))</f>
        <v>Arrival &amp; Departure</v>
      </c>
      <c r="D61" t="s">
        <v>19</v>
      </c>
      <c r="E61" t="s">
        <v>177</v>
      </c>
      <c r="F61" s="89" t="s">
        <v>178</v>
      </c>
      <c r="G61" s="89" t="s">
        <v>32</v>
      </c>
      <c r="H61" s="89" t="s">
        <v>94</v>
      </c>
      <c r="I61" s="89"/>
      <c r="J61" s="89"/>
      <c r="K61" s="89"/>
      <c r="L61" s="90">
        <v>1</v>
      </c>
      <c r="M61" s="91">
        <v>45950</v>
      </c>
      <c r="N61" s="91">
        <v>46011</v>
      </c>
      <c r="O61" t="s">
        <v>95</v>
      </c>
      <c r="R61" t="s">
        <v>181</v>
      </c>
    </row>
    <row r="62" spans="2:18">
      <c r="B62" t="s">
        <v>182</v>
      </c>
      <c r="C62" t="str" cm="1">
        <f t="array" ref="C62">_xlfn.SINGLE(_xlfn._xlws.FILTER(t_Contact[FA Name],t_Contact[FA]=t_requirements[[#This Row],[FA]],""))</f>
        <v>ICT</v>
      </c>
      <c r="D62" t="s">
        <v>19</v>
      </c>
      <c r="E62" t="s">
        <v>20</v>
      </c>
      <c r="F62" t="s">
        <v>183</v>
      </c>
      <c r="G62" s="89" t="s">
        <v>22</v>
      </c>
      <c r="H62" s="89" t="s">
        <v>23</v>
      </c>
      <c r="I62" s="28"/>
      <c r="J62" s="28"/>
      <c r="K62" s="28"/>
      <c r="L62" s="32">
        <v>1</v>
      </c>
      <c r="M62" s="98">
        <v>45931</v>
      </c>
      <c r="N62" s="98">
        <v>46011</v>
      </c>
      <c r="O62" t="s">
        <v>24</v>
      </c>
      <c r="R62" t="s">
        <v>184</v>
      </c>
    </row>
  </sheetData>
  <phoneticPr fontId="17" type="noConversion"/>
  <conditionalFormatting sqref="F59:F61">
    <cfRule type="expression" dxfId="115" priority="27">
      <formula>AND(NOT(ISBLANK($B59)),ISBLANK($D59))</formula>
    </cfRule>
  </conditionalFormatting>
  <conditionalFormatting sqref="G59:G62">
    <cfRule type="expression" dxfId="114" priority="21">
      <formula>AND(NOT(ISBLANK($B59)),ISBLANK($E59))</formula>
    </cfRule>
  </conditionalFormatting>
  <conditionalFormatting sqref="H59:K62">
    <cfRule type="expression" dxfId="113" priority="6">
      <formula>AND(NOT(ISBLANK($B59)),ISBLANK($F59))</formula>
    </cfRule>
  </conditionalFormatting>
  <conditionalFormatting sqref="L59:L61">
    <cfRule type="expression" dxfId="112" priority="5">
      <formula>AND(NOT(ISBLANK($B59)),ISBLANK($G59))</formula>
    </cfRule>
  </conditionalFormatting>
  <conditionalFormatting sqref="M50:M61">
    <cfRule type="expression" dxfId="111" priority="4">
      <formula>AND(NOT(ISBLANK($B50)),ISBLANK($H50))</formula>
    </cfRule>
  </conditionalFormatting>
  <conditionalFormatting sqref="N50:N61">
    <cfRule type="expression" dxfId="110" priority="31">
      <formula>AND(NOT(ISBLANK($B50)),ISBLANK($L50))</formula>
    </cfRule>
  </conditionalFormatting>
  <dataValidations count="1">
    <dataValidation type="list" allowBlank="1" showInputMessage="1" showErrorMessage="1" sqref="H59:K62" xr:uid="{CFCEA0A2-4EB6-4E57-B45E-23E4925ADE78}">
      <formula1>INDIRECT($E59)</formula1>
    </dataValidation>
  </dataValidations>
  <pageMargins left="0.7" right="0.7" top="0.75" bottom="0.75" header="0.3" footer="0.3"/>
  <headerFooter>
    <oddHeader>&amp;L&amp;"Calibri"&amp;12&amp;K008000 SC Classification:GENERAL BUSINESS\Other General Business&amp;1#_x000D_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AAD2-14DF-45A3-BF79-AD76771EEAC1}">
  <sheetPr>
    <pageSetUpPr fitToPage="1"/>
  </sheetPr>
  <dimension ref="A2:W13"/>
  <sheetViews>
    <sheetView workbookViewId="0">
      <selection activeCell="A24" sqref="A24"/>
    </sheetView>
  </sheetViews>
  <sheetFormatPr defaultColWidth="8.85546875" defaultRowHeight="14.45"/>
  <cols>
    <col min="1" max="1" width="35.42578125" bestFit="1" customWidth="1"/>
    <col min="2" max="23" width="6.140625" customWidth="1"/>
    <col min="24" max="24" width="13.42578125" bestFit="1" customWidth="1"/>
    <col min="25" max="25" width="18.42578125" bestFit="1" customWidth="1"/>
    <col min="26" max="26" width="10.425781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2" spans="1:23">
      <c r="A2" s="56" t="s">
        <v>3</v>
      </c>
      <c r="B2" t="s">
        <v>185</v>
      </c>
    </row>
    <row r="4" spans="1:23">
      <c r="B4" s="56" t="s">
        <v>186</v>
      </c>
    </row>
    <row r="5" spans="1:23" ht="28.9">
      <c r="A5" s="56" t="s">
        <v>187</v>
      </c>
      <c r="B5" s="32" t="s">
        <v>18</v>
      </c>
      <c r="C5" s="32" t="s">
        <v>188</v>
      </c>
      <c r="D5" s="32" t="s">
        <v>189</v>
      </c>
      <c r="E5" s="32" t="s">
        <v>190</v>
      </c>
      <c r="F5" s="32" t="s">
        <v>191</v>
      </c>
      <c r="G5" s="32" t="s">
        <v>192</v>
      </c>
      <c r="H5" s="32" t="s">
        <v>193</v>
      </c>
      <c r="I5" s="32" t="s">
        <v>63</v>
      </c>
      <c r="J5" s="32" t="s">
        <v>194</v>
      </c>
      <c r="K5" s="32" t="s">
        <v>137</v>
      </c>
      <c r="L5" s="32" t="s">
        <v>195</v>
      </c>
      <c r="M5" s="32" t="s">
        <v>196</v>
      </c>
      <c r="N5" s="32" t="s">
        <v>197</v>
      </c>
      <c r="O5" s="32" t="s">
        <v>198</v>
      </c>
      <c r="P5" s="32" t="s">
        <v>90</v>
      </c>
      <c r="Q5" s="32" t="s">
        <v>156</v>
      </c>
      <c r="R5" s="32" t="s">
        <v>182</v>
      </c>
      <c r="S5" s="32" t="s">
        <v>177</v>
      </c>
      <c r="T5" s="32" t="s">
        <v>199</v>
      </c>
      <c r="U5" s="32" t="s">
        <v>200</v>
      </c>
      <c r="V5" s="32" t="s">
        <v>201</v>
      </c>
      <c r="W5" s="59" t="s">
        <v>202</v>
      </c>
    </row>
    <row r="6" spans="1:23">
      <c r="A6" s="65" t="s">
        <v>203</v>
      </c>
      <c r="B6" s="68"/>
      <c r="C6" s="68"/>
      <c r="D6" s="68"/>
      <c r="E6" s="68"/>
      <c r="F6" s="68"/>
      <c r="G6" s="68"/>
      <c r="H6" s="68"/>
      <c r="I6" s="68"/>
      <c r="J6" s="68"/>
      <c r="K6" s="68"/>
      <c r="L6" s="68"/>
      <c r="M6" s="68"/>
      <c r="N6" s="68"/>
      <c r="O6" s="68"/>
      <c r="P6" s="68"/>
      <c r="Q6" s="68"/>
      <c r="R6" s="68"/>
      <c r="S6" s="68"/>
      <c r="T6" s="68"/>
      <c r="U6" s="68"/>
      <c r="V6" s="68"/>
      <c r="W6" s="69"/>
    </row>
    <row r="7" spans="1:23">
      <c r="A7" s="57" t="s">
        <v>32</v>
      </c>
      <c r="B7" s="67"/>
      <c r="C7" s="67"/>
      <c r="D7" s="67"/>
      <c r="E7" s="67"/>
      <c r="F7" s="67"/>
      <c r="G7" s="67"/>
      <c r="H7" s="67"/>
      <c r="I7" s="67"/>
      <c r="J7" s="67"/>
      <c r="K7" s="67"/>
      <c r="L7" s="67"/>
      <c r="M7" s="67"/>
      <c r="N7" s="67"/>
      <c r="O7" s="67"/>
      <c r="P7" s="67"/>
      <c r="Q7" s="32"/>
      <c r="R7" s="32"/>
      <c r="S7" s="32"/>
      <c r="T7" s="32"/>
      <c r="U7" s="32"/>
      <c r="V7" s="32"/>
      <c r="W7" s="66"/>
    </row>
    <row r="8" spans="1:23">
      <c r="A8" s="58" t="s">
        <v>37</v>
      </c>
      <c r="B8" s="67"/>
      <c r="C8" s="67"/>
      <c r="D8" s="67"/>
      <c r="E8" s="67"/>
      <c r="F8" s="67"/>
      <c r="G8" s="67"/>
      <c r="H8" s="67"/>
      <c r="I8" s="67"/>
      <c r="J8" s="67"/>
      <c r="K8" s="67"/>
      <c r="L8" s="67"/>
      <c r="M8" s="67"/>
      <c r="N8" s="67"/>
      <c r="O8" s="67"/>
      <c r="P8" s="67"/>
      <c r="Q8" s="32"/>
      <c r="R8" s="32"/>
      <c r="S8" s="32"/>
      <c r="T8" s="32"/>
      <c r="U8" s="32"/>
      <c r="V8" s="32"/>
      <c r="W8" s="66"/>
    </row>
    <row r="9" spans="1:23">
      <c r="A9" s="58" t="s">
        <v>33</v>
      </c>
      <c r="B9" s="67"/>
      <c r="C9" s="67"/>
      <c r="D9" s="67"/>
      <c r="E9" s="67"/>
      <c r="F9" s="67"/>
      <c r="G9" s="67"/>
      <c r="H9" s="67"/>
      <c r="I9" s="67"/>
      <c r="J9" s="67"/>
      <c r="K9" s="67"/>
      <c r="L9" s="67"/>
      <c r="M9" s="67"/>
      <c r="N9" s="67"/>
      <c r="O9" s="67"/>
      <c r="P9" s="67"/>
      <c r="Q9" s="32"/>
      <c r="R9" s="32"/>
      <c r="S9" s="32"/>
      <c r="T9" s="32"/>
      <c r="U9" s="32"/>
      <c r="V9" s="32"/>
      <c r="W9" s="66"/>
    </row>
    <row r="10" spans="1:23">
      <c r="A10" s="58" t="s">
        <v>94</v>
      </c>
      <c r="B10" s="67"/>
      <c r="C10" s="67"/>
      <c r="D10" s="67"/>
      <c r="E10" s="67"/>
      <c r="F10" s="67"/>
      <c r="G10" s="67"/>
      <c r="H10" s="67"/>
      <c r="I10" s="67"/>
      <c r="J10" s="67"/>
      <c r="K10" s="67"/>
      <c r="L10" s="67"/>
      <c r="M10" s="67"/>
      <c r="N10" s="67"/>
      <c r="O10" s="67"/>
      <c r="P10" s="67"/>
      <c r="Q10" s="32"/>
      <c r="R10" s="32"/>
      <c r="S10" s="32"/>
      <c r="T10" s="32"/>
      <c r="U10" s="32"/>
      <c r="V10" s="32"/>
      <c r="W10" s="66"/>
    </row>
    <row r="11" spans="1:23">
      <c r="A11" s="57" t="s">
        <v>22</v>
      </c>
      <c r="B11" s="67"/>
      <c r="C11" s="67"/>
      <c r="D11" s="67"/>
      <c r="E11" s="67"/>
      <c r="F11" s="67"/>
      <c r="G11" s="67"/>
      <c r="H11" s="67"/>
      <c r="I11" s="67"/>
      <c r="J11" s="67"/>
      <c r="K11" s="67"/>
      <c r="L11" s="67"/>
      <c r="M11" s="67"/>
      <c r="N11" s="67"/>
      <c r="O11" s="67"/>
      <c r="P11" s="67"/>
      <c r="Q11" s="32"/>
      <c r="R11" s="32"/>
      <c r="S11" s="32"/>
      <c r="T11" s="32"/>
      <c r="U11" s="32"/>
      <c r="V11" s="32"/>
      <c r="W11" s="66"/>
    </row>
    <row r="12" spans="1:23">
      <c r="A12" s="58" t="s">
        <v>28</v>
      </c>
      <c r="B12" s="67"/>
      <c r="C12" s="67"/>
      <c r="D12" s="67"/>
      <c r="E12" s="67"/>
      <c r="F12" s="67"/>
      <c r="G12" s="67"/>
      <c r="H12" s="67"/>
      <c r="I12" s="67"/>
      <c r="J12" s="67"/>
      <c r="K12" s="67"/>
      <c r="L12" s="67"/>
      <c r="M12" s="67"/>
      <c r="N12" s="67"/>
      <c r="O12" s="67"/>
      <c r="P12" s="67"/>
      <c r="Q12" s="32"/>
      <c r="R12" s="32"/>
      <c r="S12" s="32"/>
      <c r="T12" s="32"/>
      <c r="U12" s="32"/>
      <c r="V12" s="32"/>
      <c r="W12" s="66"/>
    </row>
    <row r="13" spans="1:23">
      <c r="A13" s="58" t="s">
        <v>23</v>
      </c>
      <c r="B13" s="67"/>
      <c r="C13" s="67"/>
      <c r="D13" s="67"/>
      <c r="E13" s="67"/>
      <c r="F13" s="67"/>
      <c r="G13" s="67"/>
      <c r="H13" s="67"/>
      <c r="I13" s="67"/>
      <c r="J13" s="67"/>
      <c r="K13" s="67"/>
      <c r="L13" s="67"/>
      <c r="M13" s="67"/>
      <c r="N13" s="67"/>
      <c r="O13" s="67"/>
      <c r="P13" s="67"/>
      <c r="Q13" s="32"/>
      <c r="R13" s="32"/>
      <c r="S13" s="32"/>
      <c r="T13" s="32"/>
      <c r="U13" s="32"/>
      <c r="V13" s="32"/>
      <c r="W13" s="66"/>
    </row>
  </sheetData>
  <pageMargins left="0.7" right="0.7" top="0.75" bottom="0.75" header="0.3" footer="0.3"/>
  <pageSetup paperSize="8" orientation="landscape"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15DE-22DF-46F0-A859-EDDF812C8A32}">
  <sheetPr>
    <tabColor rgb="FFFFFF00"/>
  </sheetPr>
  <dimension ref="A1:Y94"/>
  <sheetViews>
    <sheetView workbookViewId="0">
      <selection activeCell="K24" sqref="K24"/>
    </sheetView>
  </sheetViews>
  <sheetFormatPr defaultColWidth="8.85546875" defaultRowHeight="14.45"/>
  <cols>
    <col min="1" max="1" width="35.42578125" bestFit="1" customWidth="1"/>
    <col min="2" max="23" width="6.140625" customWidth="1"/>
    <col min="24" max="24" width="13.42578125" bestFit="1" customWidth="1"/>
    <col min="25" max="25" width="18.42578125" bestFit="1" customWidth="1"/>
    <col min="26" max="26" width="10.425781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25" ht="23.45">
      <c r="A1" s="166" t="s">
        <v>204</v>
      </c>
      <c r="B1" s="166"/>
      <c r="C1" s="166"/>
      <c r="D1" s="166"/>
      <c r="E1" s="166"/>
      <c r="F1" s="166"/>
    </row>
    <row r="2" spans="1:25" hidden="1"/>
    <row r="3" spans="1:25" hidden="1"/>
    <row r="4" spans="1:25" hidden="1"/>
    <row r="6" spans="1:25">
      <c r="B6" s="56" t="s">
        <v>186</v>
      </c>
    </row>
    <row r="7" spans="1:25">
      <c r="A7" s="56" t="s">
        <v>205</v>
      </c>
      <c r="B7" s="32" t="s">
        <v>18</v>
      </c>
      <c r="C7" s="32" t="s">
        <v>188</v>
      </c>
      <c r="D7" s="32" t="s">
        <v>189</v>
      </c>
      <c r="E7" s="32" t="s">
        <v>190</v>
      </c>
      <c r="F7" s="32" t="s">
        <v>191</v>
      </c>
      <c r="G7" s="32" t="s">
        <v>206</v>
      </c>
      <c r="H7" s="32" t="s">
        <v>192</v>
      </c>
      <c r="I7" s="32" t="s">
        <v>193</v>
      </c>
      <c r="J7" s="32" t="s">
        <v>63</v>
      </c>
      <c r="K7" s="32" t="s">
        <v>194</v>
      </c>
      <c r="L7" s="32" t="s">
        <v>137</v>
      </c>
      <c r="M7" s="32" t="s">
        <v>195</v>
      </c>
      <c r="N7" s="32" t="s">
        <v>207</v>
      </c>
      <c r="O7" s="32" t="s">
        <v>196</v>
      </c>
      <c r="P7" s="32" t="s">
        <v>197</v>
      </c>
      <c r="Q7" s="32" t="s">
        <v>198</v>
      </c>
      <c r="R7" s="32" t="s">
        <v>90</v>
      </c>
      <c r="S7" s="32" t="s">
        <v>156</v>
      </c>
      <c r="T7" s="32" t="s">
        <v>182</v>
      </c>
      <c r="U7" s="32" t="s">
        <v>177</v>
      </c>
      <c r="V7" s="32" t="s">
        <v>199</v>
      </c>
      <c r="W7" s="32" t="s">
        <v>200</v>
      </c>
      <c r="X7" s="32" t="s">
        <v>201</v>
      </c>
      <c r="Y7" s="59" t="s">
        <v>202</v>
      </c>
    </row>
    <row r="8" spans="1:25">
      <c r="A8" s="43" t="s">
        <v>208</v>
      </c>
      <c r="B8" s="67"/>
      <c r="C8" s="67"/>
      <c r="D8" s="67"/>
      <c r="E8" s="67"/>
      <c r="F8" s="67"/>
      <c r="G8" s="67"/>
      <c r="H8" s="67"/>
      <c r="I8" s="67"/>
      <c r="J8" s="67"/>
      <c r="K8" s="67"/>
      <c r="L8" s="67"/>
      <c r="M8" s="67"/>
      <c r="N8" s="67"/>
      <c r="O8" s="67"/>
      <c r="P8" s="67"/>
      <c r="Q8" s="67"/>
      <c r="R8" s="67"/>
      <c r="S8" s="32"/>
      <c r="T8" s="32"/>
      <c r="U8" s="32"/>
      <c r="V8" s="32"/>
      <c r="W8" s="32"/>
      <c r="X8" s="32"/>
      <c r="Y8" s="66"/>
    </row>
    <row r="9" spans="1:25">
      <c r="A9" s="72" t="s">
        <v>203</v>
      </c>
      <c r="B9" s="68"/>
      <c r="C9" s="68"/>
      <c r="D9" s="68"/>
      <c r="E9" s="68"/>
      <c r="F9" s="68"/>
      <c r="G9" s="68"/>
      <c r="H9" s="68"/>
      <c r="I9" s="68"/>
      <c r="J9" s="68"/>
      <c r="K9" s="68"/>
      <c r="L9" s="68"/>
      <c r="M9" s="68"/>
      <c r="N9" s="68"/>
      <c r="O9" s="68"/>
      <c r="P9" s="68"/>
      <c r="Q9" s="68"/>
      <c r="R9" s="68"/>
      <c r="S9" s="68"/>
      <c r="T9" s="68"/>
      <c r="U9" s="68"/>
      <c r="V9" s="68"/>
      <c r="W9" s="68"/>
      <c r="X9" s="68"/>
      <c r="Y9" s="69"/>
    </row>
    <row r="10" spans="1:25">
      <c r="A10" s="58" t="s">
        <v>32</v>
      </c>
      <c r="B10" s="67"/>
      <c r="C10" s="67"/>
      <c r="D10" s="67"/>
      <c r="E10" s="67"/>
      <c r="F10" s="67"/>
      <c r="G10" s="67"/>
      <c r="H10" s="67"/>
      <c r="I10" s="67"/>
      <c r="J10" s="67"/>
      <c r="K10" s="67"/>
      <c r="L10" s="67"/>
      <c r="M10" s="67"/>
      <c r="N10" s="67"/>
      <c r="O10" s="67"/>
      <c r="P10" s="67"/>
      <c r="Q10" s="67"/>
      <c r="R10" s="67"/>
      <c r="S10" s="32"/>
      <c r="T10" s="32"/>
      <c r="U10" s="32"/>
      <c r="V10" s="32"/>
      <c r="W10" s="32"/>
      <c r="X10" s="32"/>
      <c r="Y10" s="66"/>
    </row>
    <row r="11" spans="1:25">
      <c r="A11" s="71" t="s">
        <v>37</v>
      </c>
      <c r="B11" s="67"/>
      <c r="C11" s="67"/>
      <c r="D11" s="67"/>
      <c r="E11" s="67"/>
      <c r="F11" s="67"/>
      <c r="G11" s="67"/>
      <c r="H11" s="67"/>
      <c r="I11" s="67"/>
      <c r="J11" s="67"/>
      <c r="K11" s="67"/>
      <c r="L11" s="67"/>
      <c r="M11" s="67"/>
      <c r="N11" s="67"/>
      <c r="O11" s="67"/>
      <c r="P11" s="67"/>
      <c r="Q11" s="67"/>
      <c r="R11" s="67"/>
      <c r="S11" s="32"/>
      <c r="T11" s="32"/>
      <c r="U11" s="32"/>
      <c r="V11" s="32"/>
      <c r="W11" s="32"/>
      <c r="X11" s="32"/>
      <c r="Y11" s="66"/>
    </row>
    <row r="12" spans="1:25">
      <c r="A12" s="71" t="s">
        <v>33</v>
      </c>
      <c r="B12" s="67"/>
      <c r="C12" s="67"/>
      <c r="D12" s="67"/>
      <c r="E12" s="67"/>
      <c r="F12" s="67"/>
      <c r="G12" s="67"/>
      <c r="H12" s="67"/>
      <c r="I12" s="67"/>
      <c r="J12" s="67"/>
      <c r="K12" s="67"/>
      <c r="L12" s="67"/>
      <c r="M12" s="67"/>
      <c r="N12" s="67"/>
      <c r="O12" s="67"/>
      <c r="P12" s="67"/>
      <c r="Q12" s="67"/>
      <c r="R12" s="67"/>
      <c r="S12" s="32"/>
      <c r="T12" s="32"/>
      <c r="U12" s="32"/>
      <c r="V12" s="32"/>
      <c r="W12" s="32"/>
      <c r="X12" s="32"/>
      <c r="Y12" s="66"/>
    </row>
    <row r="13" spans="1:25">
      <c r="A13" s="71" t="s">
        <v>41</v>
      </c>
      <c r="B13" s="67"/>
      <c r="C13" s="67"/>
      <c r="D13" s="67"/>
      <c r="E13" s="67"/>
      <c r="F13" s="67"/>
      <c r="G13" s="67"/>
      <c r="H13" s="67"/>
      <c r="I13" s="67"/>
      <c r="J13" s="67"/>
      <c r="K13" s="67"/>
      <c r="L13" s="67"/>
      <c r="M13" s="67"/>
      <c r="N13" s="67"/>
      <c r="O13" s="67"/>
      <c r="P13" s="67"/>
      <c r="Q13" s="67"/>
      <c r="R13" s="67"/>
      <c r="S13" s="32"/>
      <c r="T13" s="32"/>
      <c r="U13" s="32"/>
      <c r="V13" s="32"/>
      <c r="W13" s="32"/>
      <c r="X13" s="32"/>
      <c r="Y13" s="66"/>
    </row>
    <row r="14" spans="1:25">
      <c r="A14" s="71" t="s">
        <v>209</v>
      </c>
      <c r="B14" s="67"/>
      <c r="C14" s="67"/>
      <c r="D14" s="67"/>
      <c r="E14" s="67"/>
      <c r="F14" s="67"/>
      <c r="G14" s="67"/>
      <c r="H14" s="67"/>
      <c r="I14" s="67"/>
      <c r="J14" s="67"/>
      <c r="K14" s="67"/>
      <c r="L14" s="67"/>
      <c r="M14" s="67"/>
      <c r="N14" s="67"/>
      <c r="O14" s="67"/>
      <c r="P14" s="67"/>
      <c r="Q14" s="67"/>
      <c r="R14" s="67"/>
      <c r="S14" s="32"/>
      <c r="T14" s="32"/>
      <c r="U14" s="32"/>
      <c r="V14" s="32"/>
      <c r="W14" s="32"/>
      <c r="X14" s="32"/>
      <c r="Y14" s="66"/>
    </row>
    <row r="15" spans="1:25">
      <c r="A15" s="71" t="s">
        <v>210</v>
      </c>
      <c r="B15" s="67"/>
      <c r="C15" s="67"/>
      <c r="D15" s="67"/>
      <c r="E15" s="67"/>
      <c r="F15" s="67"/>
      <c r="G15" s="67"/>
      <c r="H15" s="67"/>
      <c r="I15" s="67"/>
      <c r="J15" s="67"/>
      <c r="K15" s="67"/>
      <c r="L15" s="67"/>
      <c r="M15" s="67"/>
      <c r="N15" s="67"/>
      <c r="O15" s="67"/>
      <c r="P15" s="67"/>
      <c r="Q15" s="67"/>
      <c r="R15" s="67"/>
      <c r="S15" s="32"/>
      <c r="T15" s="32"/>
      <c r="U15" s="32"/>
      <c r="V15" s="32"/>
      <c r="W15" s="32"/>
      <c r="X15" s="32"/>
      <c r="Y15" s="66"/>
    </row>
    <row r="16" spans="1:25">
      <c r="A16" s="58" t="s">
        <v>22</v>
      </c>
      <c r="B16" s="67"/>
      <c r="C16" s="67"/>
      <c r="D16" s="67"/>
      <c r="E16" s="67"/>
      <c r="F16" s="67"/>
      <c r="G16" s="67"/>
      <c r="H16" s="67"/>
      <c r="I16" s="67"/>
      <c r="J16" s="67"/>
      <c r="K16" s="67"/>
      <c r="L16" s="67"/>
      <c r="M16" s="67"/>
      <c r="N16" s="67"/>
      <c r="O16" s="67"/>
      <c r="P16" s="67"/>
      <c r="Q16" s="67"/>
      <c r="R16" s="67"/>
      <c r="S16" s="32"/>
      <c r="T16" s="32"/>
      <c r="U16" s="32"/>
      <c r="V16" s="32"/>
      <c r="W16" s="32"/>
      <c r="X16" s="32"/>
      <c r="Y16" s="66"/>
    </row>
    <row r="17" spans="1:25">
      <c r="A17" s="71" t="s">
        <v>77</v>
      </c>
      <c r="B17" s="67"/>
      <c r="C17" s="67"/>
      <c r="D17" s="67"/>
      <c r="E17" s="67"/>
      <c r="F17" s="67"/>
      <c r="G17" s="67"/>
      <c r="H17" s="67"/>
      <c r="I17" s="67"/>
      <c r="J17" s="67"/>
      <c r="K17" s="67"/>
      <c r="L17" s="67"/>
      <c r="M17" s="67"/>
      <c r="N17" s="67"/>
      <c r="O17" s="67"/>
      <c r="P17" s="67"/>
      <c r="Q17" s="67"/>
      <c r="R17" s="67"/>
      <c r="S17" s="32"/>
      <c r="T17" s="32"/>
      <c r="U17" s="32"/>
      <c r="V17" s="32"/>
      <c r="W17" s="32"/>
      <c r="X17" s="32"/>
      <c r="Y17" s="66"/>
    </row>
    <row r="18" spans="1:25">
      <c r="A18" s="71" t="s">
        <v>28</v>
      </c>
      <c r="B18" s="67"/>
      <c r="C18" s="67"/>
      <c r="D18" s="67"/>
      <c r="E18" s="67"/>
      <c r="F18" s="67"/>
      <c r="G18" s="67"/>
      <c r="H18" s="67"/>
      <c r="I18" s="67"/>
      <c r="J18" s="67"/>
      <c r="K18" s="67"/>
      <c r="L18" s="67"/>
      <c r="M18" s="67"/>
      <c r="N18" s="67"/>
      <c r="O18" s="67"/>
      <c r="P18" s="67"/>
      <c r="Q18" s="67"/>
      <c r="R18" s="67"/>
      <c r="S18" s="32"/>
      <c r="T18" s="32"/>
      <c r="U18" s="32"/>
      <c r="V18" s="32"/>
      <c r="W18" s="32"/>
      <c r="X18" s="32"/>
      <c r="Y18" s="66"/>
    </row>
    <row r="19" spans="1:25">
      <c r="A19" s="71" t="s">
        <v>23</v>
      </c>
      <c r="B19" s="67"/>
      <c r="C19" s="67"/>
      <c r="D19" s="67"/>
      <c r="E19" s="67"/>
      <c r="F19" s="67"/>
      <c r="G19" s="67"/>
      <c r="H19" s="67"/>
      <c r="I19" s="67"/>
      <c r="J19" s="67"/>
      <c r="K19" s="67"/>
      <c r="L19" s="67"/>
      <c r="M19" s="67"/>
      <c r="N19" s="67"/>
      <c r="O19" s="67"/>
      <c r="P19" s="67"/>
      <c r="Q19" s="67"/>
      <c r="R19" s="67"/>
      <c r="S19" s="32"/>
      <c r="T19" s="32"/>
      <c r="U19" s="32"/>
      <c r="V19" s="32"/>
      <c r="W19" s="32"/>
      <c r="X19" s="32"/>
      <c r="Y19" s="66"/>
    </row>
    <row r="20" spans="1:25">
      <c r="A20" s="43" t="s">
        <v>211</v>
      </c>
      <c r="B20" s="67"/>
      <c r="C20" s="67"/>
      <c r="D20" s="67"/>
      <c r="E20" s="67"/>
      <c r="F20" s="67"/>
      <c r="G20" s="67"/>
      <c r="H20" s="67"/>
      <c r="I20" s="67"/>
      <c r="J20" s="67"/>
      <c r="K20" s="67"/>
      <c r="L20" s="67"/>
      <c r="M20" s="67"/>
      <c r="N20" s="67"/>
      <c r="O20" s="67"/>
      <c r="P20" s="67"/>
      <c r="Q20" s="67"/>
      <c r="R20" s="67"/>
      <c r="S20" s="32"/>
      <c r="T20" s="32"/>
      <c r="U20" s="32"/>
      <c r="V20" s="32"/>
      <c r="W20" s="32"/>
      <c r="X20" s="32"/>
      <c r="Y20" s="66"/>
    </row>
    <row r="21" spans="1:25">
      <c r="A21" s="72" t="s">
        <v>203</v>
      </c>
      <c r="B21" s="68"/>
      <c r="C21" s="68"/>
      <c r="D21" s="68"/>
      <c r="E21" s="68"/>
      <c r="F21" s="68"/>
      <c r="G21" s="68"/>
      <c r="H21" s="68"/>
      <c r="I21" s="68"/>
      <c r="J21" s="68"/>
      <c r="K21" s="68"/>
      <c r="L21" s="68"/>
      <c r="M21" s="68"/>
      <c r="N21" s="68"/>
      <c r="O21" s="68"/>
      <c r="P21" s="68"/>
      <c r="Q21" s="68"/>
      <c r="R21" s="68"/>
      <c r="S21" s="68"/>
      <c r="T21" s="68"/>
      <c r="U21" s="68"/>
      <c r="V21" s="68"/>
      <c r="W21" s="68"/>
      <c r="X21" s="68"/>
      <c r="Y21" s="69"/>
    </row>
    <row r="22" spans="1:25">
      <c r="A22" s="58" t="s">
        <v>32</v>
      </c>
      <c r="B22" s="67"/>
      <c r="C22" s="67"/>
      <c r="D22" s="67"/>
      <c r="E22" s="67"/>
      <c r="F22" s="67"/>
      <c r="G22" s="67"/>
      <c r="H22" s="67"/>
      <c r="I22" s="67"/>
      <c r="J22" s="67"/>
      <c r="K22" s="67"/>
      <c r="L22" s="67"/>
      <c r="M22" s="67"/>
      <c r="N22" s="67"/>
      <c r="O22" s="67"/>
      <c r="P22" s="67"/>
      <c r="Q22" s="67"/>
      <c r="R22" s="67"/>
      <c r="S22" s="32"/>
      <c r="T22" s="32"/>
      <c r="U22" s="32"/>
      <c r="V22" s="32"/>
      <c r="W22" s="32"/>
      <c r="X22" s="32"/>
      <c r="Y22" s="66"/>
    </row>
    <row r="23" spans="1:25">
      <c r="A23" s="71" t="s">
        <v>37</v>
      </c>
      <c r="B23" s="67"/>
      <c r="C23" s="67"/>
      <c r="D23" s="67"/>
      <c r="E23" s="67"/>
      <c r="F23" s="67"/>
      <c r="G23" s="67"/>
      <c r="H23" s="67"/>
      <c r="I23" s="67"/>
      <c r="J23" s="67"/>
      <c r="K23" s="67"/>
      <c r="L23" s="67"/>
      <c r="M23" s="67"/>
      <c r="N23" s="67"/>
      <c r="O23" s="67"/>
      <c r="P23" s="67"/>
      <c r="Q23" s="67"/>
      <c r="R23" s="67"/>
      <c r="S23" s="32"/>
      <c r="T23" s="32"/>
      <c r="U23" s="32"/>
      <c r="V23" s="32"/>
      <c r="W23" s="32"/>
      <c r="X23" s="32"/>
      <c r="Y23" s="66"/>
    </row>
    <row r="24" spans="1:25">
      <c r="A24" s="71" t="s">
        <v>33</v>
      </c>
      <c r="B24" s="67"/>
      <c r="C24" s="67"/>
      <c r="D24" s="67"/>
      <c r="E24" s="67"/>
      <c r="F24" s="67"/>
      <c r="G24" s="67"/>
      <c r="H24" s="67"/>
      <c r="I24" s="67"/>
      <c r="J24" s="67"/>
      <c r="K24" s="67"/>
      <c r="L24" s="67"/>
      <c r="M24" s="67"/>
      <c r="N24" s="67"/>
      <c r="O24" s="67"/>
      <c r="P24" s="67"/>
      <c r="Q24" s="67"/>
      <c r="R24" s="67"/>
      <c r="S24" s="32"/>
      <c r="T24" s="32"/>
      <c r="U24" s="32"/>
      <c r="V24" s="32"/>
      <c r="W24" s="32"/>
      <c r="X24" s="32"/>
      <c r="Y24" s="66"/>
    </row>
    <row r="25" spans="1:25">
      <c r="A25" s="71" t="s">
        <v>41</v>
      </c>
      <c r="B25" s="67"/>
      <c r="C25" s="67"/>
      <c r="D25" s="67"/>
      <c r="E25" s="67"/>
      <c r="F25" s="67"/>
      <c r="G25" s="67"/>
      <c r="H25" s="67"/>
      <c r="I25" s="67"/>
      <c r="J25" s="67"/>
      <c r="K25" s="67"/>
      <c r="L25" s="67"/>
      <c r="M25" s="67"/>
      <c r="N25" s="67"/>
      <c r="O25" s="67"/>
      <c r="P25" s="67"/>
      <c r="Q25" s="67"/>
      <c r="R25" s="67"/>
      <c r="S25" s="32"/>
      <c r="T25" s="32"/>
      <c r="U25" s="32"/>
      <c r="V25" s="32"/>
      <c r="W25" s="32"/>
      <c r="X25" s="32"/>
      <c r="Y25" s="66"/>
    </row>
    <row r="26" spans="1:25">
      <c r="A26" s="71" t="s">
        <v>209</v>
      </c>
      <c r="B26" s="67"/>
      <c r="C26" s="67"/>
      <c r="D26" s="67"/>
      <c r="E26" s="67"/>
      <c r="F26" s="67"/>
      <c r="G26" s="67"/>
      <c r="H26" s="67"/>
      <c r="I26" s="67"/>
      <c r="J26" s="67"/>
      <c r="K26" s="67"/>
      <c r="L26" s="67"/>
      <c r="M26" s="67"/>
      <c r="N26" s="67"/>
      <c r="O26" s="67"/>
      <c r="P26" s="67"/>
      <c r="Q26" s="67"/>
      <c r="R26" s="67"/>
      <c r="S26" s="32"/>
      <c r="T26" s="32"/>
      <c r="U26" s="32"/>
      <c r="V26" s="32"/>
      <c r="W26" s="32"/>
      <c r="X26" s="32"/>
      <c r="Y26" s="66"/>
    </row>
    <row r="27" spans="1:25">
      <c r="A27" s="71" t="s">
        <v>210</v>
      </c>
      <c r="B27" s="67"/>
      <c r="C27" s="67"/>
      <c r="D27" s="67"/>
      <c r="E27" s="67"/>
      <c r="F27" s="67"/>
      <c r="G27" s="67"/>
      <c r="H27" s="67"/>
      <c r="I27" s="67"/>
      <c r="J27" s="67"/>
      <c r="K27" s="67"/>
      <c r="L27" s="67"/>
      <c r="M27" s="67"/>
      <c r="N27" s="67"/>
      <c r="O27" s="67"/>
      <c r="P27" s="67"/>
      <c r="Q27" s="67"/>
      <c r="R27" s="67"/>
      <c r="S27" s="32"/>
      <c r="T27" s="32"/>
      <c r="U27" s="32"/>
      <c r="V27" s="32"/>
      <c r="W27" s="32"/>
      <c r="X27" s="32"/>
      <c r="Y27" s="66"/>
    </row>
    <row r="28" spans="1:25">
      <c r="A28" s="58" t="s">
        <v>22</v>
      </c>
      <c r="B28" s="67"/>
      <c r="C28" s="67"/>
      <c r="D28" s="67"/>
      <c r="E28" s="67"/>
      <c r="F28" s="67"/>
      <c r="G28" s="67"/>
      <c r="H28" s="67"/>
      <c r="I28" s="67"/>
      <c r="J28" s="67"/>
      <c r="K28" s="67"/>
      <c r="L28" s="67"/>
      <c r="M28" s="67"/>
      <c r="N28" s="67"/>
      <c r="O28" s="67"/>
      <c r="P28" s="67"/>
      <c r="Q28" s="67"/>
      <c r="R28" s="67"/>
      <c r="S28" s="32"/>
      <c r="T28" s="32"/>
      <c r="U28" s="32"/>
      <c r="V28" s="32"/>
      <c r="W28" s="32"/>
      <c r="X28" s="32"/>
      <c r="Y28" s="66"/>
    </row>
    <row r="29" spans="1:25">
      <c r="A29" s="71" t="s">
        <v>77</v>
      </c>
      <c r="B29" s="67"/>
      <c r="C29" s="67"/>
      <c r="D29" s="67"/>
      <c r="E29" s="67"/>
      <c r="F29" s="67"/>
      <c r="G29" s="67"/>
      <c r="H29" s="67"/>
      <c r="I29" s="67"/>
      <c r="J29" s="67"/>
      <c r="K29" s="67"/>
      <c r="L29" s="67"/>
      <c r="M29" s="67"/>
      <c r="N29" s="67"/>
      <c r="O29" s="67"/>
      <c r="P29" s="67"/>
      <c r="Q29" s="67"/>
      <c r="R29" s="67"/>
      <c r="S29" s="32"/>
      <c r="T29" s="32"/>
      <c r="U29" s="32"/>
      <c r="V29" s="32"/>
      <c r="W29" s="32"/>
      <c r="X29" s="32"/>
      <c r="Y29" s="66"/>
    </row>
    <row r="30" spans="1:25">
      <c r="A30" s="71" t="s">
        <v>28</v>
      </c>
      <c r="B30" s="67"/>
      <c r="C30" s="67"/>
      <c r="D30" s="67"/>
      <c r="E30" s="67"/>
      <c r="F30" s="67"/>
      <c r="G30" s="67"/>
      <c r="H30" s="67"/>
      <c r="I30" s="67"/>
      <c r="J30" s="67"/>
      <c r="K30" s="67"/>
      <c r="L30" s="67"/>
      <c r="M30" s="67"/>
      <c r="N30" s="67"/>
      <c r="O30" s="67"/>
      <c r="P30" s="67"/>
      <c r="Q30" s="67"/>
      <c r="R30" s="67"/>
      <c r="S30" s="32"/>
      <c r="T30" s="32"/>
      <c r="U30" s="32"/>
      <c r="V30" s="32"/>
      <c r="W30" s="32"/>
      <c r="X30" s="32"/>
      <c r="Y30" s="66"/>
    </row>
    <row r="31" spans="1:25">
      <c r="A31" s="71" t="s">
        <v>23</v>
      </c>
      <c r="B31" s="67"/>
      <c r="C31" s="67"/>
      <c r="D31" s="67"/>
      <c r="E31" s="67"/>
      <c r="F31" s="67"/>
      <c r="G31" s="67"/>
      <c r="H31" s="67"/>
      <c r="I31" s="67"/>
      <c r="J31" s="67"/>
      <c r="K31" s="67"/>
      <c r="L31" s="67"/>
      <c r="M31" s="67"/>
      <c r="N31" s="67"/>
      <c r="O31" s="67"/>
      <c r="P31" s="67"/>
      <c r="Q31" s="67"/>
      <c r="R31" s="67"/>
      <c r="S31" s="32"/>
      <c r="T31" s="32"/>
      <c r="U31" s="32"/>
      <c r="V31" s="32"/>
      <c r="W31" s="32"/>
      <c r="X31" s="32"/>
      <c r="Y31" s="66"/>
    </row>
    <row r="32" spans="1:25">
      <c r="A32" s="43" t="s">
        <v>212</v>
      </c>
      <c r="B32" s="67"/>
      <c r="C32" s="67"/>
      <c r="D32" s="67"/>
      <c r="E32" s="67"/>
      <c r="F32" s="67"/>
      <c r="G32" s="67"/>
      <c r="H32" s="67"/>
      <c r="I32" s="67"/>
      <c r="J32" s="67"/>
      <c r="K32" s="67"/>
      <c r="L32" s="67"/>
      <c r="M32" s="67"/>
      <c r="N32" s="67"/>
      <c r="O32" s="67"/>
      <c r="P32" s="67"/>
      <c r="Q32" s="67"/>
      <c r="R32" s="67"/>
      <c r="S32" s="32"/>
      <c r="T32" s="32"/>
      <c r="U32" s="32"/>
      <c r="V32" s="32"/>
      <c r="W32" s="32"/>
      <c r="X32" s="32"/>
      <c r="Y32" s="66"/>
    </row>
    <row r="33" spans="1:25">
      <c r="A33" s="72" t="s">
        <v>203</v>
      </c>
      <c r="B33" s="68"/>
      <c r="C33" s="68"/>
      <c r="D33" s="68"/>
      <c r="E33" s="68"/>
      <c r="F33" s="68"/>
      <c r="G33" s="68"/>
      <c r="H33" s="68"/>
      <c r="I33" s="68"/>
      <c r="J33" s="68"/>
      <c r="K33" s="68"/>
      <c r="L33" s="68"/>
      <c r="M33" s="68"/>
      <c r="N33" s="68"/>
      <c r="O33" s="68"/>
      <c r="P33" s="68"/>
      <c r="Q33" s="68"/>
      <c r="R33" s="68"/>
      <c r="S33" s="68"/>
      <c r="T33" s="68"/>
      <c r="U33" s="68"/>
      <c r="V33" s="68"/>
      <c r="W33" s="68"/>
      <c r="X33" s="68"/>
      <c r="Y33" s="69"/>
    </row>
    <row r="34" spans="1:25">
      <c r="A34" s="58" t="s">
        <v>32</v>
      </c>
      <c r="B34" s="67"/>
      <c r="C34" s="67"/>
      <c r="D34" s="67"/>
      <c r="E34" s="67"/>
      <c r="F34" s="67"/>
      <c r="G34" s="67"/>
      <c r="H34" s="67"/>
      <c r="I34" s="67"/>
      <c r="J34" s="67"/>
      <c r="K34" s="67"/>
      <c r="L34" s="67"/>
      <c r="M34" s="67"/>
      <c r="N34" s="67"/>
      <c r="O34" s="67"/>
      <c r="P34" s="67"/>
      <c r="Q34" s="67"/>
      <c r="R34" s="67"/>
      <c r="S34" s="32"/>
      <c r="T34" s="32"/>
      <c r="U34" s="32"/>
      <c r="V34" s="32"/>
      <c r="W34" s="32"/>
      <c r="X34" s="32"/>
      <c r="Y34" s="66"/>
    </row>
    <row r="35" spans="1:25">
      <c r="A35" s="71" t="s">
        <v>37</v>
      </c>
      <c r="B35" s="67"/>
      <c r="C35" s="67"/>
      <c r="D35" s="67"/>
      <c r="E35" s="67"/>
      <c r="F35" s="67"/>
      <c r="G35" s="67"/>
      <c r="H35" s="67"/>
      <c r="I35" s="67"/>
      <c r="J35" s="67"/>
      <c r="K35" s="67"/>
      <c r="L35" s="67"/>
      <c r="M35" s="67"/>
      <c r="N35" s="67"/>
      <c r="O35" s="67"/>
      <c r="P35" s="67"/>
      <c r="Q35" s="67"/>
      <c r="R35" s="67"/>
      <c r="S35" s="32"/>
      <c r="T35" s="32"/>
      <c r="U35" s="32"/>
      <c r="V35" s="32"/>
      <c r="W35" s="32"/>
      <c r="X35" s="32"/>
      <c r="Y35" s="66"/>
    </row>
    <row r="36" spans="1:25">
      <c r="A36" s="71" t="s">
        <v>33</v>
      </c>
      <c r="B36" s="67"/>
      <c r="C36" s="67"/>
      <c r="D36" s="67"/>
      <c r="E36" s="67"/>
      <c r="F36" s="67"/>
      <c r="G36" s="67"/>
      <c r="H36" s="67"/>
      <c r="I36" s="67"/>
      <c r="J36" s="67"/>
      <c r="K36" s="67"/>
      <c r="L36" s="67"/>
      <c r="M36" s="67"/>
      <c r="N36" s="67"/>
      <c r="O36" s="67"/>
      <c r="P36" s="67"/>
      <c r="Q36" s="67"/>
      <c r="R36" s="67"/>
      <c r="S36" s="32"/>
      <c r="T36" s="32"/>
      <c r="U36" s="32"/>
      <c r="V36" s="32"/>
      <c r="W36" s="32"/>
      <c r="X36" s="32"/>
      <c r="Y36" s="66"/>
    </row>
    <row r="37" spans="1:25">
      <c r="A37" s="71" t="s">
        <v>41</v>
      </c>
      <c r="B37" s="67"/>
      <c r="C37" s="67"/>
      <c r="D37" s="67"/>
      <c r="E37" s="67"/>
      <c r="F37" s="67"/>
      <c r="G37" s="67"/>
      <c r="H37" s="67"/>
      <c r="I37" s="67"/>
      <c r="J37" s="67"/>
      <c r="K37" s="67"/>
      <c r="L37" s="67"/>
      <c r="M37" s="67"/>
      <c r="N37" s="67"/>
      <c r="O37" s="67"/>
      <c r="P37" s="67"/>
      <c r="Q37" s="67"/>
      <c r="R37" s="67"/>
      <c r="S37" s="32"/>
      <c r="T37" s="32"/>
      <c r="U37" s="32"/>
      <c r="V37" s="32"/>
      <c r="W37" s="32"/>
      <c r="X37" s="32"/>
      <c r="Y37" s="66"/>
    </row>
    <row r="38" spans="1:25">
      <c r="A38" s="71" t="s">
        <v>209</v>
      </c>
      <c r="B38" s="67"/>
      <c r="C38" s="67"/>
      <c r="D38" s="67"/>
      <c r="E38" s="67"/>
      <c r="F38" s="67"/>
      <c r="G38" s="67"/>
      <c r="H38" s="67"/>
      <c r="I38" s="67"/>
      <c r="J38" s="67"/>
      <c r="K38" s="67"/>
      <c r="L38" s="67"/>
      <c r="M38" s="67"/>
      <c r="N38" s="67"/>
      <c r="O38" s="67"/>
      <c r="P38" s="67"/>
      <c r="Q38" s="67"/>
      <c r="R38" s="67"/>
      <c r="S38" s="32"/>
      <c r="T38" s="32"/>
      <c r="U38" s="32"/>
      <c r="V38" s="32"/>
      <c r="W38" s="32"/>
      <c r="X38" s="32"/>
      <c r="Y38" s="66"/>
    </row>
    <row r="39" spans="1:25">
      <c r="A39" s="71" t="s">
        <v>210</v>
      </c>
      <c r="B39" s="67"/>
      <c r="C39" s="67"/>
      <c r="D39" s="67"/>
      <c r="E39" s="67"/>
      <c r="F39" s="67"/>
      <c r="G39" s="67"/>
      <c r="H39" s="67"/>
      <c r="I39" s="67"/>
      <c r="J39" s="67"/>
      <c r="K39" s="67"/>
      <c r="L39" s="67"/>
      <c r="M39" s="67"/>
      <c r="N39" s="67"/>
      <c r="O39" s="67"/>
      <c r="P39" s="67"/>
      <c r="Q39" s="67"/>
      <c r="R39" s="67"/>
      <c r="S39" s="32"/>
      <c r="T39" s="32"/>
      <c r="U39" s="32"/>
      <c r="V39" s="32"/>
      <c r="W39" s="32"/>
      <c r="X39" s="32"/>
      <c r="Y39" s="66"/>
    </row>
    <row r="40" spans="1:25">
      <c r="A40" s="58" t="s">
        <v>22</v>
      </c>
      <c r="B40" s="67"/>
      <c r="C40" s="67"/>
      <c r="D40" s="67"/>
      <c r="E40" s="67"/>
      <c r="F40" s="67"/>
      <c r="G40" s="67"/>
      <c r="H40" s="67"/>
      <c r="I40" s="67"/>
      <c r="J40" s="67"/>
      <c r="K40" s="67"/>
      <c r="L40" s="67"/>
      <c r="M40" s="67"/>
      <c r="N40" s="67"/>
      <c r="O40" s="67"/>
      <c r="P40" s="67"/>
      <c r="Q40" s="67"/>
      <c r="R40" s="67"/>
      <c r="S40" s="32"/>
      <c r="T40" s="32"/>
      <c r="U40" s="32"/>
      <c r="V40" s="32"/>
      <c r="W40" s="32"/>
      <c r="X40" s="32"/>
      <c r="Y40" s="66"/>
    </row>
    <row r="41" spans="1:25">
      <c r="A41" s="71" t="s">
        <v>77</v>
      </c>
      <c r="B41" s="67"/>
      <c r="C41" s="67"/>
      <c r="D41" s="67"/>
      <c r="E41" s="67"/>
      <c r="F41" s="67"/>
      <c r="G41" s="67"/>
      <c r="H41" s="67"/>
      <c r="I41" s="67"/>
      <c r="J41" s="67"/>
      <c r="K41" s="67"/>
      <c r="L41" s="67"/>
      <c r="M41" s="67"/>
      <c r="N41" s="67"/>
      <c r="O41" s="67"/>
      <c r="P41" s="67"/>
      <c r="Q41" s="67"/>
      <c r="R41" s="67"/>
      <c r="S41" s="32"/>
      <c r="T41" s="32"/>
      <c r="U41" s="32"/>
      <c r="V41" s="32"/>
      <c r="W41" s="32"/>
      <c r="X41" s="32"/>
      <c r="Y41" s="66"/>
    </row>
    <row r="42" spans="1:25">
      <c r="A42" s="71" t="s">
        <v>28</v>
      </c>
      <c r="B42" s="67"/>
      <c r="C42" s="67"/>
      <c r="D42" s="67"/>
      <c r="E42" s="67"/>
      <c r="F42" s="67"/>
      <c r="G42" s="67"/>
      <c r="H42" s="67"/>
      <c r="I42" s="67"/>
      <c r="J42" s="67"/>
      <c r="K42" s="67"/>
      <c r="L42" s="67"/>
      <c r="M42" s="67"/>
      <c r="N42" s="67"/>
      <c r="O42" s="67"/>
      <c r="P42" s="67"/>
      <c r="Q42" s="67"/>
      <c r="R42" s="67"/>
      <c r="S42" s="32"/>
      <c r="T42" s="32"/>
      <c r="U42" s="32"/>
      <c r="V42" s="32"/>
      <c r="W42" s="32"/>
      <c r="X42" s="32"/>
      <c r="Y42" s="66"/>
    </row>
    <row r="43" spans="1:25">
      <c r="A43" s="71" t="s">
        <v>23</v>
      </c>
      <c r="B43" s="67"/>
      <c r="C43" s="67"/>
      <c r="D43" s="67"/>
      <c r="E43" s="67"/>
      <c r="F43" s="67"/>
      <c r="G43" s="67"/>
      <c r="H43" s="67"/>
      <c r="I43" s="67"/>
      <c r="J43" s="67"/>
      <c r="K43" s="67"/>
      <c r="L43" s="67"/>
      <c r="M43" s="67"/>
      <c r="N43" s="67"/>
      <c r="O43" s="67"/>
      <c r="P43" s="67"/>
      <c r="Q43" s="67"/>
      <c r="R43" s="67"/>
      <c r="S43" s="32"/>
      <c r="T43" s="32"/>
      <c r="U43" s="32"/>
      <c r="V43" s="32"/>
      <c r="W43" s="32"/>
      <c r="X43" s="32"/>
      <c r="Y43" s="66"/>
    </row>
    <row r="44" spans="1:25">
      <c r="A44" s="43" t="s">
        <v>213</v>
      </c>
      <c r="B44" s="67"/>
      <c r="C44" s="67"/>
      <c r="D44" s="67"/>
      <c r="E44" s="67"/>
      <c r="F44" s="67"/>
      <c r="G44" s="67"/>
      <c r="H44" s="67"/>
      <c r="I44" s="67"/>
      <c r="J44" s="67"/>
      <c r="K44" s="67"/>
      <c r="L44" s="67"/>
      <c r="M44" s="67"/>
      <c r="N44" s="67"/>
      <c r="O44" s="67"/>
      <c r="P44" s="67"/>
      <c r="Q44" s="67"/>
      <c r="R44" s="67"/>
      <c r="S44" s="32"/>
      <c r="T44" s="32"/>
      <c r="U44" s="32"/>
      <c r="V44" s="32"/>
      <c r="W44" s="32"/>
      <c r="X44" s="32"/>
      <c r="Y44" s="66"/>
    </row>
    <row r="45" spans="1:25">
      <c r="A45" s="72" t="s">
        <v>203</v>
      </c>
      <c r="B45" s="68"/>
      <c r="C45" s="68"/>
      <c r="D45" s="68"/>
      <c r="E45" s="68"/>
      <c r="F45" s="68"/>
      <c r="G45" s="68"/>
      <c r="H45" s="68"/>
      <c r="I45" s="68"/>
      <c r="J45" s="68"/>
      <c r="K45" s="68"/>
      <c r="L45" s="68"/>
      <c r="M45" s="68"/>
      <c r="N45" s="68"/>
      <c r="O45" s="68"/>
      <c r="P45" s="68"/>
      <c r="Q45" s="68"/>
      <c r="R45" s="68"/>
      <c r="S45" s="68"/>
      <c r="T45" s="68"/>
      <c r="U45" s="68"/>
      <c r="V45" s="68"/>
      <c r="W45" s="68"/>
      <c r="X45" s="68"/>
      <c r="Y45" s="69"/>
    </row>
    <row r="46" spans="1:25">
      <c r="A46" s="58" t="s">
        <v>32</v>
      </c>
      <c r="B46" s="67"/>
      <c r="C46" s="67"/>
      <c r="D46" s="67"/>
      <c r="E46" s="67"/>
      <c r="F46" s="67"/>
      <c r="G46" s="67"/>
      <c r="H46" s="67"/>
      <c r="I46" s="67"/>
      <c r="J46" s="67"/>
      <c r="K46" s="67"/>
      <c r="L46" s="67"/>
      <c r="M46" s="67"/>
      <c r="N46" s="67"/>
      <c r="O46" s="67"/>
      <c r="P46" s="67"/>
      <c r="Q46" s="67"/>
      <c r="R46" s="67"/>
      <c r="S46" s="32"/>
      <c r="T46" s="32"/>
      <c r="U46" s="32"/>
      <c r="V46" s="32"/>
      <c r="W46" s="32"/>
      <c r="X46" s="32"/>
      <c r="Y46" s="66"/>
    </row>
    <row r="47" spans="1:25">
      <c r="A47" s="71" t="s">
        <v>37</v>
      </c>
      <c r="B47" s="67"/>
      <c r="C47" s="67"/>
      <c r="D47" s="67"/>
      <c r="E47" s="67"/>
      <c r="F47" s="67"/>
      <c r="G47" s="67"/>
      <c r="H47" s="67"/>
      <c r="I47" s="67"/>
      <c r="J47" s="67"/>
      <c r="K47" s="67"/>
      <c r="L47" s="67"/>
      <c r="M47" s="67"/>
      <c r="N47" s="67"/>
      <c r="O47" s="67"/>
      <c r="P47" s="67"/>
      <c r="Q47" s="67"/>
      <c r="R47" s="67"/>
      <c r="S47" s="32"/>
      <c r="T47" s="32"/>
      <c r="U47" s="32"/>
      <c r="V47" s="32"/>
      <c r="W47" s="32"/>
      <c r="X47" s="32"/>
      <c r="Y47" s="66"/>
    </row>
    <row r="48" spans="1:25">
      <c r="A48" s="71" t="s">
        <v>33</v>
      </c>
      <c r="B48" s="67"/>
      <c r="C48" s="67"/>
      <c r="D48" s="67"/>
      <c r="E48" s="67"/>
      <c r="F48" s="67"/>
      <c r="G48" s="67"/>
      <c r="H48" s="67"/>
      <c r="I48" s="67"/>
      <c r="J48" s="67"/>
      <c r="K48" s="67"/>
      <c r="L48" s="67"/>
      <c r="M48" s="67"/>
      <c r="N48" s="67"/>
      <c r="O48" s="67"/>
      <c r="P48" s="67"/>
      <c r="Q48" s="67"/>
      <c r="R48" s="67"/>
      <c r="S48" s="32"/>
      <c r="T48" s="32"/>
      <c r="U48" s="32"/>
      <c r="V48" s="32"/>
      <c r="W48" s="32"/>
      <c r="X48" s="32"/>
      <c r="Y48" s="66"/>
    </row>
    <row r="49" spans="1:25">
      <c r="A49" s="71" t="s">
        <v>41</v>
      </c>
      <c r="B49" s="67"/>
      <c r="C49" s="67"/>
      <c r="D49" s="67"/>
      <c r="E49" s="67"/>
      <c r="F49" s="67"/>
      <c r="G49" s="67"/>
      <c r="H49" s="67"/>
      <c r="I49" s="67"/>
      <c r="J49" s="67"/>
      <c r="K49" s="67"/>
      <c r="L49" s="67"/>
      <c r="M49" s="67"/>
      <c r="N49" s="67"/>
      <c r="O49" s="67"/>
      <c r="P49" s="67"/>
      <c r="Q49" s="67"/>
      <c r="R49" s="67"/>
      <c r="S49" s="32"/>
      <c r="T49" s="32"/>
      <c r="U49" s="32"/>
      <c r="V49" s="32"/>
      <c r="W49" s="32"/>
      <c r="X49" s="32"/>
      <c r="Y49" s="66"/>
    </row>
    <row r="50" spans="1:25">
      <c r="A50" s="71" t="s">
        <v>209</v>
      </c>
      <c r="B50" s="67"/>
      <c r="C50" s="67"/>
      <c r="D50" s="67"/>
      <c r="E50" s="67"/>
      <c r="F50" s="67"/>
      <c r="G50" s="67"/>
      <c r="H50" s="67"/>
      <c r="I50" s="67"/>
      <c r="J50" s="67"/>
      <c r="K50" s="67"/>
      <c r="L50" s="67"/>
      <c r="M50" s="67"/>
      <c r="N50" s="67"/>
      <c r="O50" s="67"/>
      <c r="P50" s="67"/>
      <c r="Q50" s="67"/>
      <c r="R50" s="67"/>
      <c r="S50" s="32"/>
      <c r="T50" s="32"/>
      <c r="U50" s="32"/>
      <c r="V50" s="32"/>
      <c r="W50" s="32"/>
      <c r="X50" s="32"/>
      <c r="Y50" s="66"/>
    </row>
    <row r="51" spans="1:25">
      <c r="A51" s="71" t="s">
        <v>210</v>
      </c>
      <c r="B51" s="67"/>
      <c r="C51" s="67"/>
      <c r="D51" s="67"/>
      <c r="E51" s="67"/>
      <c r="F51" s="67"/>
      <c r="G51" s="67"/>
      <c r="H51" s="67"/>
      <c r="I51" s="67"/>
      <c r="J51" s="67"/>
      <c r="K51" s="67"/>
      <c r="L51" s="67"/>
      <c r="M51" s="67"/>
      <c r="N51" s="67"/>
      <c r="O51" s="67"/>
      <c r="P51" s="67"/>
      <c r="Q51" s="67"/>
      <c r="R51" s="67"/>
      <c r="S51" s="32"/>
      <c r="T51" s="32"/>
      <c r="U51" s="32"/>
      <c r="V51" s="32"/>
      <c r="W51" s="32"/>
      <c r="X51" s="32"/>
      <c r="Y51" s="66"/>
    </row>
    <row r="52" spans="1:25">
      <c r="A52" s="58" t="s">
        <v>22</v>
      </c>
      <c r="B52" s="67"/>
      <c r="C52" s="67"/>
      <c r="D52" s="67"/>
      <c r="E52" s="67"/>
      <c r="F52" s="67"/>
      <c r="G52" s="67"/>
      <c r="H52" s="67"/>
      <c r="I52" s="67"/>
      <c r="J52" s="67"/>
      <c r="K52" s="67"/>
      <c r="L52" s="67"/>
      <c r="M52" s="67"/>
      <c r="N52" s="67"/>
      <c r="O52" s="67"/>
      <c r="P52" s="67"/>
      <c r="Q52" s="67"/>
      <c r="R52" s="67"/>
      <c r="S52" s="32"/>
      <c r="T52" s="32"/>
      <c r="U52" s="32"/>
      <c r="V52" s="32"/>
      <c r="W52" s="32"/>
      <c r="X52" s="32"/>
      <c r="Y52" s="66"/>
    </row>
    <row r="53" spans="1:25">
      <c r="A53" s="71" t="s">
        <v>77</v>
      </c>
      <c r="B53" s="67"/>
      <c r="C53" s="67"/>
      <c r="D53" s="67"/>
      <c r="E53" s="67"/>
      <c r="F53" s="67"/>
      <c r="G53" s="67"/>
      <c r="H53" s="67"/>
      <c r="I53" s="67"/>
      <c r="J53" s="67"/>
      <c r="K53" s="67"/>
      <c r="L53" s="67"/>
      <c r="M53" s="67"/>
      <c r="N53" s="67"/>
      <c r="O53" s="67"/>
      <c r="P53" s="67"/>
      <c r="Q53" s="67"/>
      <c r="R53" s="67"/>
      <c r="S53" s="32"/>
      <c r="T53" s="32"/>
      <c r="U53" s="32"/>
      <c r="V53" s="32"/>
      <c r="W53" s="32"/>
      <c r="X53" s="32"/>
      <c r="Y53" s="66"/>
    </row>
    <row r="54" spans="1:25">
      <c r="A54" s="71" t="s">
        <v>28</v>
      </c>
      <c r="B54" s="67"/>
      <c r="C54" s="67"/>
      <c r="D54" s="67"/>
      <c r="E54" s="67"/>
      <c r="F54" s="67"/>
      <c r="G54" s="67"/>
      <c r="H54" s="67"/>
      <c r="I54" s="67"/>
      <c r="J54" s="67"/>
      <c r="K54" s="67"/>
      <c r="L54" s="67"/>
      <c r="M54" s="67"/>
      <c r="N54" s="67"/>
      <c r="O54" s="67"/>
      <c r="P54" s="67"/>
      <c r="Q54" s="67"/>
      <c r="R54" s="67"/>
      <c r="S54" s="32"/>
      <c r="T54" s="32"/>
      <c r="U54" s="32"/>
      <c r="V54" s="32"/>
      <c r="W54" s="32"/>
      <c r="X54" s="32"/>
      <c r="Y54" s="66"/>
    </row>
    <row r="55" spans="1:25">
      <c r="A55" s="71" t="s">
        <v>23</v>
      </c>
      <c r="B55" s="67"/>
      <c r="C55" s="67"/>
      <c r="D55" s="67"/>
      <c r="E55" s="67"/>
      <c r="F55" s="67"/>
      <c r="G55" s="67"/>
      <c r="H55" s="67"/>
      <c r="I55" s="67"/>
      <c r="J55" s="67"/>
      <c r="K55" s="67"/>
      <c r="L55" s="67"/>
      <c r="M55" s="67"/>
      <c r="N55" s="67"/>
      <c r="O55" s="67"/>
      <c r="P55" s="67"/>
      <c r="Q55" s="67"/>
      <c r="R55" s="67"/>
      <c r="S55" s="32"/>
      <c r="T55" s="32"/>
      <c r="U55" s="32"/>
      <c r="V55" s="32"/>
      <c r="W55" s="32"/>
      <c r="X55" s="32"/>
      <c r="Y55" s="66"/>
    </row>
    <row r="56" spans="1:25">
      <c r="A56" s="43" t="s">
        <v>214</v>
      </c>
      <c r="B56" s="67"/>
      <c r="C56" s="67"/>
      <c r="D56" s="67"/>
      <c r="E56" s="67"/>
      <c r="F56" s="67"/>
      <c r="G56" s="67"/>
      <c r="H56" s="67"/>
      <c r="I56" s="67"/>
      <c r="J56" s="67"/>
      <c r="K56" s="67"/>
      <c r="L56" s="67"/>
      <c r="M56" s="67"/>
      <c r="N56" s="67"/>
      <c r="O56" s="67"/>
      <c r="P56" s="67"/>
      <c r="Q56" s="67"/>
      <c r="R56" s="67"/>
      <c r="S56" s="32"/>
      <c r="T56" s="32"/>
      <c r="U56" s="32"/>
      <c r="V56" s="32"/>
      <c r="W56" s="32"/>
      <c r="X56" s="32"/>
      <c r="Y56" s="66"/>
    </row>
    <row r="57" spans="1:25">
      <c r="A57" s="72" t="s">
        <v>203</v>
      </c>
      <c r="B57" s="68"/>
      <c r="C57" s="68"/>
      <c r="D57" s="68"/>
      <c r="E57" s="68"/>
      <c r="F57" s="68"/>
      <c r="G57" s="68"/>
      <c r="H57" s="68"/>
      <c r="I57" s="68"/>
      <c r="J57" s="68"/>
      <c r="K57" s="68"/>
      <c r="L57" s="68"/>
      <c r="M57" s="68"/>
      <c r="N57" s="68"/>
      <c r="O57" s="68"/>
      <c r="P57" s="68"/>
      <c r="Q57" s="68"/>
      <c r="R57" s="68"/>
      <c r="S57" s="68"/>
      <c r="T57" s="68"/>
      <c r="U57" s="68"/>
      <c r="V57" s="68"/>
      <c r="W57" s="68"/>
      <c r="X57" s="68"/>
      <c r="Y57" s="69"/>
    </row>
    <row r="58" spans="1:25">
      <c r="A58" s="58" t="s">
        <v>32</v>
      </c>
      <c r="B58" s="67"/>
      <c r="C58" s="67"/>
      <c r="D58" s="67"/>
      <c r="E58" s="67"/>
      <c r="F58" s="67"/>
      <c r="G58" s="67"/>
      <c r="H58" s="67"/>
      <c r="I58" s="67"/>
      <c r="J58" s="67"/>
      <c r="K58" s="67"/>
      <c r="L58" s="67"/>
      <c r="M58" s="67"/>
      <c r="N58" s="67"/>
      <c r="O58" s="67"/>
      <c r="P58" s="67"/>
      <c r="Q58" s="67"/>
      <c r="R58" s="67"/>
      <c r="S58" s="32"/>
      <c r="T58" s="32"/>
      <c r="U58" s="32"/>
      <c r="V58" s="32"/>
      <c r="W58" s="32"/>
      <c r="X58" s="32"/>
      <c r="Y58" s="66"/>
    </row>
    <row r="59" spans="1:25">
      <c r="A59" s="71" t="s">
        <v>37</v>
      </c>
      <c r="B59" s="67"/>
      <c r="C59" s="67"/>
      <c r="D59" s="67"/>
      <c r="E59" s="67"/>
      <c r="F59" s="67"/>
      <c r="G59" s="67"/>
      <c r="H59" s="67"/>
      <c r="I59" s="67"/>
      <c r="J59" s="67"/>
      <c r="K59" s="67"/>
      <c r="L59" s="67"/>
      <c r="M59" s="67"/>
      <c r="N59" s="67"/>
      <c r="O59" s="67"/>
      <c r="P59" s="67"/>
      <c r="Q59" s="67"/>
      <c r="R59" s="67"/>
      <c r="S59" s="32"/>
      <c r="T59" s="32"/>
      <c r="U59" s="32"/>
      <c r="V59" s="32"/>
      <c r="W59" s="32"/>
      <c r="X59" s="32"/>
      <c r="Y59" s="66"/>
    </row>
    <row r="60" spans="1:25">
      <c r="A60" s="71" t="s">
        <v>33</v>
      </c>
      <c r="B60" s="67"/>
      <c r="C60" s="67"/>
      <c r="D60" s="67"/>
      <c r="E60" s="67"/>
      <c r="F60" s="67"/>
      <c r="G60" s="67"/>
      <c r="H60" s="67"/>
      <c r="I60" s="67"/>
      <c r="J60" s="67"/>
      <c r="K60" s="67"/>
      <c r="L60" s="67"/>
      <c r="M60" s="67"/>
      <c r="N60" s="67"/>
      <c r="O60" s="67"/>
      <c r="P60" s="67"/>
      <c r="Q60" s="67"/>
      <c r="R60" s="67"/>
      <c r="S60" s="32"/>
      <c r="T60" s="32"/>
      <c r="U60" s="32"/>
      <c r="V60" s="32"/>
      <c r="W60" s="32"/>
      <c r="X60" s="32"/>
      <c r="Y60" s="66"/>
    </row>
    <row r="61" spans="1:25">
      <c r="A61" s="71" t="s">
        <v>94</v>
      </c>
      <c r="B61" s="67"/>
      <c r="C61" s="67"/>
      <c r="D61" s="67"/>
      <c r="E61" s="67"/>
      <c r="F61" s="67"/>
      <c r="G61" s="67"/>
      <c r="H61" s="67"/>
      <c r="I61" s="67"/>
      <c r="J61" s="67"/>
      <c r="K61" s="67"/>
      <c r="L61" s="67"/>
      <c r="M61" s="67"/>
      <c r="N61" s="67"/>
      <c r="O61" s="67"/>
      <c r="P61" s="67"/>
      <c r="Q61" s="67"/>
      <c r="R61" s="67"/>
      <c r="S61" s="32"/>
      <c r="T61" s="32"/>
      <c r="U61" s="32"/>
      <c r="V61" s="32"/>
      <c r="W61" s="32"/>
      <c r="X61" s="32"/>
      <c r="Y61" s="66"/>
    </row>
    <row r="62" spans="1:25">
      <c r="A62" s="71" t="s">
        <v>41</v>
      </c>
      <c r="B62" s="67"/>
      <c r="C62" s="67"/>
      <c r="D62" s="67"/>
      <c r="E62" s="67"/>
      <c r="F62" s="67"/>
      <c r="G62" s="67"/>
      <c r="H62" s="67"/>
      <c r="I62" s="67"/>
      <c r="J62" s="67"/>
      <c r="K62" s="67"/>
      <c r="L62" s="67"/>
      <c r="M62" s="67"/>
      <c r="N62" s="67"/>
      <c r="O62" s="67"/>
      <c r="P62" s="67"/>
      <c r="Q62" s="67"/>
      <c r="R62" s="67"/>
      <c r="S62" s="32"/>
      <c r="T62" s="32"/>
      <c r="U62" s="32"/>
      <c r="V62" s="32"/>
      <c r="W62" s="32"/>
      <c r="X62" s="32"/>
      <c r="Y62" s="66"/>
    </row>
    <row r="63" spans="1:25">
      <c r="A63" s="71" t="s">
        <v>209</v>
      </c>
      <c r="B63" s="67"/>
      <c r="C63" s="67"/>
      <c r="D63" s="67"/>
      <c r="E63" s="67"/>
      <c r="F63" s="67"/>
      <c r="G63" s="67"/>
      <c r="H63" s="67"/>
      <c r="I63" s="67"/>
      <c r="J63" s="67"/>
      <c r="K63" s="67"/>
      <c r="L63" s="67"/>
      <c r="M63" s="67"/>
      <c r="N63" s="67"/>
      <c r="O63" s="67"/>
      <c r="P63" s="67"/>
      <c r="Q63" s="67"/>
      <c r="R63" s="67"/>
      <c r="S63" s="32"/>
      <c r="T63" s="32"/>
      <c r="U63" s="32"/>
      <c r="V63" s="32"/>
      <c r="W63" s="32"/>
      <c r="X63" s="32"/>
      <c r="Y63" s="66"/>
    </row>
    <row r="64" spans="1:25">
      <c r="A64" s="71" t="s">
        <v>210</v>
      </c>
      <c r="B64" s="67"/>
      <c r="C64" s="67"/>
      <c r="D64" s="67"/>
      <c r="E64" s="67"/>
      <c r="F64" s="67"/>
      <c r="G64" s="67"/>
      <c r="H64" s="67"/>
      <c r="I64" s="67"/>
      <c r="J64" s="67"/>
      <c r="K64" s="67"/>
      <c r="L64" s="67"/>
      <c r="M64" s="67"/>
      <c r="N64" s="67"/>
      <c r="O64" s="67"/>
      <c r="P64" s="67"/>
      <c r="Q64" s="67"/>
      <c r="R64" s="67"/>
      <c r="S64" s="32"/>
      <c r="T64" s="32"/>
      <c r="U64" s="32"/>
      <c r="V64" s="32"/>
      <c r="W64" s="32"/>
      <c r="X64" s="32"/>
      <c r="Y64" s="66"/>
    </row>
    <row r="65" spans="1:25">
      <c r="A65" s="58" t="s">
        <v>22</v>
      </c>
      <c r="B65" s="67"/>
      <c r="C65" s="67"/>
      <c r="D65" s="67"/>
      <c r="E65" s="67"/>
      <c r="F65" s="67"/>
      <c r="G65" s="67"/>
      <c r="H65" s="67"/>
      <c r="I65" s="67"/>
      <c r="J65" s="67"/>
      <c r="K65" s="67"/>
      <c r="L65" s="67"/>
      <c r="M65" s="67"/>
      <c r="N65" s="67"/>
      <c r="O65" s="67"/>
      <c r="P65" s="67"/>
      <c r="Q65" s="67"/>
      <c r="R65" s="67"/>
      <c r="S65" s="32"/>
      <c r="T65" s="32"/>
      <c r="U65" s="32"/>
      <c r="V65" s="32"/>
      <c r="W65" s="32"/>
      <c r="X65" s="32"/>
      <c r="Y65" s="66"/>
    </row>
    <row r="66" spans="1:25">
      <c r="A66" s="71" t="s">
        <v>77</v>
      </c>
      <c r="B66" s="67"/>
      <c r="C66" s="67"/>
      <c r="D66" s="67"/>
      <c r="E66" s="67"/>
      <c r="F66" s="67"/>
      <c r="G66" s="67"/>
      <c r="H66" s="67"/>
      <c r="I66" s="67"/>
      <c r="J66" s="67"/>
      <c r="K66" s="67"/>
      <c r="L66" s="67"/>
      <c r="M66" s="67"/>
      <c r="N66" s="67"/>
      <c r="O66" s="67"/>
      <c r="P66" s="67"/>
      <c r="Q66" s="67"/>
      <c r="R66" s="67"/>
      <c r="S66" s="32"/>
      <c r="T66" s="32"/>
      <c r="U66" s="32"/>
      <c r="V66" s="32"/>
      <c r="W66" s="32"/>
      <c r="X66" s="32"/>
      <c r="Y66" s="66"/>
    </row>
    <row r="67" spans="1:25">
      <c r="A67" s="71" t="s">
        <v>28</v>
      </c>
      <c r="B67" s="67"/>
      <c r="C67" s="67"/>
      <c r="D67" s="67"/>
      <c r="E67" s="67"/>
      <c r="F67" s="67"/>
      <c r="G67" s="67"/>
      <c r="H67" s="67"/>
      <c r="I67" s="67"/>
      <c r="J67" s="67"/>
      <c r="K67" s="67"/>
      <c r="L67" s="67"/>
      <c r="M67" s="67"/>
      <c r="N67" s="67"/>
      <c r="O67" s="67"/>
      <c r="P67" s="67"/>
      <c r="Q67" s="67"/>
      <c r="R67" s="67"/>
      <c r="S67" s="32"/>
      <c r="T67" s="32"/>
      <c r="U67" s="32"/>
      <c r="V67" s="32"/>
      <c r="W67" s="32"/>
      <c r="X67" s="32"/>
      <c r="Y67" s="66"/>
    </row>
    <row r="68" spans="1:25">
      <c r="A68" s="71" t="s">
        <v>23</v>
      </c>
      <c r="B68" s="67"/>
      <c r="C68" s="67"/>
      <c r="D68" s="67"/>
      <c r="E68" s="67"/>
      <c r="F68" s="67"/>
      <c r="G68" s="67"/>
      <c r="H68" s="67"/>
      <c r="I68" s="67"/>
      <c r="J68" s="67"/>
      <c r="K68" s="67"/>
      <c r="L68" s="67"/>
      <c r="M68" s="67"/>
      <c r="N68" s="67"/>
      <c r="O68" s="67"/>
      <c r="P68" s="67"/>
      <c r="Q68" s="67"/>
      <c r="R68" s="67"/>
      <c r="S68" s="32"/>
      <c r="T68" s="32"/>
      <c r="U68" s="32"/>
      <c r="V68" s="32"/>
      <c r="W68" s="32"/>
      <c r="X68" s="32"/>
      <c r="Y68" s="66"/>
    </row>
    <row r="69" spans="1:25">
      <c r="A69" s="43" t="s">
        <v>19</v>
      </c>
      <c r="B69" s="67"/>
      <c r="C69" s="67"/>
      <c r="D69" s="67"/>
      <c r="E69" s="67"/>
      <c r="F69" s="67"/>
      <c r="G69" s="67"/>
      <c r="H69" s="67"/>
      <c r="I69" s="67"/>
      <c r="J69" s="67"/>
      <c r="K69" s="67"/>
      <c r="L69" s="67"/>
      <c r="M69" s="67"/>
      <c r="N69" s="67"/>
      <c r="O69" s="67"/>
      <c r="P69" s="67"/>
      <c r="Q69" s="67"/>
      <c r="R69" s="67"/>
      <c r="S69" s="32"/>
      <c r="T69" s="32"/>
      <c r="U69" s="32"/>
      <c r="V69" s="32"/>
      <c r="W69" s="32"/>
      <c r="X69" s="32"/>
      <c r="Y69" s="66"/>
    </row>
    <row r="70" spans="1:25">
      <c r="A70" s="72" t="s">
        <v>203</v>
      </c>
      <c r="B70" s="68"/>
      <c r="C70" s="68"/>
      <c r="D70" s="68"/>
      <c r="E70" s="68"/>
      <c r="F70" s="68"/>
      <c r="G70" s="68"/>
      <c r="H70" s="68"/>
      <c r="I70" s="68"/>
      <c r="J70" s="68"/>
      <c r="K70" s="68"/>
      <c r="L70" s="68"/>
      <c r="M70" s="68"/>
      <c r="N70" s="68"/>
      <c r="O70" s="68"/>
      <c r="P70" s="68"/>
      <c r="Q70" s="68"/>
      <c r="R70" s="68"/>
      <c r="S70" s="68"/>
      <c r="T70" s="68"/>
      <c r="U70" s="68"/>
      <c r="V70" s="68"/>
      <c r="W70" s="68"/>
      <c r="X70" s="68"/>
      <c r="Y70" s="69"/>
    </row>
    <row r="71" spans="1:25">
      <c r="A71" s="58" t="s">
        <v>32</v>
      </c>
      <c r="B71" s="67"/>
      <c r="C71" s="67"/>
      <c r="D71" s="67"/>
      <c r="E71" s="67"/>
      <c r="F71" s="67"/>
      <c r="G71" s="67"/>
      <c r="H71" s="67"/>
      <c r="I71" s="67"/>
      <c r="J71" s="67"/>
      <c r="K71" s="67"/>
      <c r="L71" s="67"/>
      <c r="M71" s="67"/>
      <c r="N71" s="67"/>
      <c r="O71" s="67"/>
      <c r="P71" s="67"/>
      <c r="Q71" s="67"/>
      <c r="R71" s="67"/>
      <c r="S71" s="32"/>
      <c r="T71" s="32"/>
      <c r="U71" s="32"/>
      <c r="V71" s="32"/>
      <c r="W71" s="32"/>
      <c r="X71" s="32"/>
      <c r="Y71" s="66"/>
    </row>
    <row r="72" spans="1:25">
      <c r="A72" s="71" t="s">
        <v>37</v>
      </c>
      <c r="B72" s="67"/>
      <c r="C72" s="67"/>
      <c r="D72" s="67"/>
      <c r="E72" s="67"/>
      <c r="F72" s="67"/>
      <c r="G72" s="67"/>
      <c r="H72" s="67"/>
      <c r="I72" s="67"/>
      <c r="J72" s="67"/>
      <c r="K72" s="67"/>
      <c r="L72" s="67"/>
      <c r="M72" s="67"/>
      <c r="N72" s="67"/>
      <c r="O72" s="67"/>
      <c r="P72" s="67"/>
      <c r="Q72" s="67"/>
      <c r="R72" s="67"/>
      <c r="S72" s="32"/>
      <c r="T72" s="32"/>
      <c r="U72" s="32"/>
      <c r="V72" s="32"/>
      <c r="W72" s="32"/>
      <c r="X72" s="32"/>
      <c r="Y72" s="66"/>
    </row>
    <row r="73" spans="1:25">
      <c r="A73" s="71" t="s">
        <v>33</v>
      </c>
      <c r="B73" s="67"/>
      <c r="C73" s="67"/>
      <c r="D73" s="67"/>
      <c r="E73" s="67"/>
      <c r="F73" s="67"/>
      <c r="G73" s="67"/>
      <c r="H73" s="67"/>
      <c r="I73" s="67"/>
      <c r="J73" s="67"/>
      <c r="K73" s="67"/>
      <c r="L73" s="67"/>
      <c r="M73" s="67"/>
      <c r="N73" s="67"/>
      <c r="O73" s="67"/>
      <c r="P73" s="67"/>
      <c r="Q73" s="67"/>
      <c r="R73" s="67"/>
      <c r="S73" s="32"/>
      <c r="T73" s="32"/>
      <c r="U73" s="32"/>
      <c r="V73" s="32"/>
      <c r="W73" s="32"/>
      <c r="X73" s="32"/>
      <c r="Y73" s="66"/>
    </row>
    <row r="74" spans="1:25">
      <c r="A74" s="71" t="s">
        <v>94</v>
      </c>
      <c r="B74" s="67"/>
      <c r="C74" s="67"/>
      <c r="D74" s="67"/>
      <c r="E74" s="67"/>
      <c r="F74" s="67"/>
      <c r="G74" s="67"/>
      <c r="H74" s="67"/>
      <c r="I74" s="67"/>
      <c r="J74" s="67"/>
      <c r="K74" s="67"/>
      <c r="L74" s="67"/>
      <c r="M74" s="67"/>
      <c r="N74" s="67"/>
      <c r="O74" s="67"/>
      <c r="P74" s="67"/>
      <c r="Q74" s="67"/>
      <c r="R74" s="67"/>
      <c r="S74" s="32"/>
      <c r="T74" s="32"/>
      <c r="U74" s="32"/>
      <c r="V74" s="32"/>
      <c r="W74" s="32"/>
      <c r="X74" s="32"/>
      <c r="Y74" s="66"/>
    </row>
    <row r="75" spans="1:25">
      <c r="A75" s="71" t="s">
        <v>215</v>
      </c>
      <c r="B75" s="67"/>
      <c r="C75" s="67"/>
      <c r="D75" s="67"/>
      <c r="E75" s="67"/>
      <c r="F75" s="67"/>
      <c r="G75" s="67"/>
      <c r="H75" s="67"/>
      <c r="I75" s="67"/>
      <c r="J75" s="67"/>
      <c r="K75" s="67"/>
      <c r="L75" s="67"/>
      <c r="M75" s="67"/>
      <c r="N75" s="67"/>
      <c r="O75" s="67"/>
      <c r="P75" s="67"/>
      <c r="Q75" s="67"/>
      <c r="R75" s="67"/>
      <c r="S75" s="32"/>
      <c r="T75" s="32"/>
      <c r="U75" s="32"/>
      <c r="V75" s="32"/>
      <c r="W75" s="32"/>
      <c r="X75" s="32"/>
      <c r="Y75" s="66"/>
    </row>
    <row r="76" spans="1:25">
      <c r="A76" s="71" t="s">
        <v>209</v>
      </c>
      <c r="B76" s="67"/>
      <c r="C76" s="67"/>
      <c r="D76" s="67"/>
      <c r="E76" s="67"/>
      <c r="F76" s="67"/>
      <c r="G76" s="67"/>
      <c r="H76" s="67"/>
      <c r="I76" s="67"/>
      <c r="J76" s="67"/>
      <c r="K76" s="67"/>
      <c r="L76" s="67"/>
      <c r="M76" s="67"/>
      <c r="N76" s="67"/>
      <c r="O76" s="67"/>
      <c r="P76" s="67"/>
      <c r="Q76" s="67"/>
      <c r="R76" s="67"/>
      <c r="S76" s="32"/>
      <c r="T76" s="32"/>
      <c r="U76" s="32"/>
      <c r="V76" s="32"/>
      <c r="W76" s="32"/>
      <c r="X76" s="32"/>
      <c r="Y76" s="66"/>
    </row>
    <row r="77" spans="1:25">
      <c r="A77" s="71" t="s">
        <v>210</v>
      </c>
      <c r="B77" s="67"/>
      <c r="C77" s="67"/>
      <c r="D77" s="67"/>
      <c r="E77" s="67"/>
      <c r="F77" s="67"/>
      <c r="G77" s="67"/>
      <c r="H77" s="67"/>
      <c r="I77" s="67"/>
      <c r="J77" s="67"/>
      <c r="K77" s="67"/>
      <c r="L77" s="67"/>
      <c r="M77" s="67"/>
      <c r="N77" s="67"/>
      <c r="O77" s="67"/>
      <c r="P77" s="67"/>
      <c r="Q77" s="67"/>
      <c r="R77" s="67"/>
      <c r="S77" s="32"/>
      <c r="T77" s="32"/>
      <c r="U77" s="32"/>
      <c r="V77" s="32"/>
      <c r="W77" s="32"/>
      <c r="X77" s="32"/>
      <c r="Y77" s="66"/>
    </row>
    <row r="78" spans="1:25">
      <c r="A78" s="71" t="s">
        <v>216</v>
      </c>
      <c r="B78" s="67"/>
      <c r="C78" s="67"/>
      <c r="D78" s="67"/>
      <c r="E78" s="67"/>
      <c r="F78" s="67"/>
      <c r="G78" s="67"/>
      <c r="H78" s="67"/>
      <c r="I78" s="67"/>
      <c r="J78" s="67"/>
      <c r="K78" s="67"/>
      <c r="L78" s="67"/>
      <c r="M78" s="67"/>
      <c r="N78" s="67"/>
      <c r="O78" s="67"/>
      <c r="P78" s="67"/>
      <c r="Q78" s="67"/>
      <c r="R78" s="67"/>
      <c r="S78" s="32"/>
      <c r="T78" s="32"/>
      <c r="U78" s="32"/>
      <c r="V78" s="32"/>
      <c r="W78" s="32"/>
      <c r="X78" s="32"/>
      <c r="Y78" s="66"/>
    </row>
    <row r="79" spans="1:25">
      <c r="A79" s="58" t="s">
        <v>22</v>
      </c>
      <c r="B79" s="67"/>
      <c r="C79" s="67"/>
      <c r="D79" s="67"/>
      <c r="E79" s="67"/>
      <c r="F79" s="67"/>
      <c r="G79" s="67"/>
      <c r="H79" s="67"/>
      <c r="I79" s="67"/>
      <c r="J79" s="67"/>
      <c r="K79" s="67"/>
      <c r="L79" s="67"/>
      <c r="M79" s="67"/>
      <c r="N79" s="67"/>
      <c r="O79" s="67"/>
      <c r="P79" s="67"/>
      <c r="Q79" s="67"/>
      <c r="R79" s="67"/>
      <c r="S79" s="32"/>
      <c r="T79" s="32"/>
      <c r="U79" s="32"/>
      <c r="V79" s="32"/>
      <c r="W79" s="32"/>
      <c r="X79" s="32"/>
      <c r="Y79" s="66"/>
    </row>
    <row r="80" spans="1:25">
      <c r="A80" s="71" t="s">
        <v>77</v>
      </c>
      <c r="B80" s="67"/>
      <c r="C80" s="67"/>
      <c r="D80" s="67"/>
      <c r="E80" s="67"/>
      <c r="F80" s="67"/>
      <c r="G80" s="67"/>
      <c r="H80" s="67"/>
      <c r="I80" s="67"/>
      <c r="J80" s="67"/>
      <c r="K80" s="67"/>
      <c r="L80" s="67"/>
      <c r="M80" s="67"/>
      <c r="N80" s="67"/>
      <c r="O80" s="67"/>
      <c r="P80" s="67"/>
      <c r="Q80" s="67"/>
      <c r="R80" s="67"/>
      <c r="S80" s="32"/>
      <c r="T80" s="32"/>
      <c r="U80" s="32"/>
      <c r="V80" s="32"/>
      <c r="W80" s="32"/>
      <c r="X80" s="32"/>
      <c r="Y80" s="66"/>
    </row>
    <row r="81" spans="1:25">
      <c r="A81" s="71" t="s">
        <v>28</v>
      </c>
      <c r="B81" s="67"/>
      <c r="C81" s="67"/>
      <c r="D81" s="67"/>
      <c r="E81" s="67"/>
      <c r="F81" s="67"/>
      <c r="G81" s="67"/>
      <c r="H81" s="67"/>
      <c r="I81" s="67"/>
      <c r="J81" s="67"/>
      <c r="K81" s="67"/>
      <c r="L81" s="67"/>
      <c r="M81" s="67"/>
      <c r="N81" s="67"/>
      <c r="O81" s="67"/>
      <c r="P81" s="67"/>
      <c r="Q81" s="67"/>
      <c r="R81" s="67"/>
      <c r="S81" s="32"/>
      <c r="T81" s="32"/>
      <c r="U81" s="32"/>
      <c r="V81" s="32"/>
      <c r="W81" s="32"/>
      <c r="X81" s="32"/>
      <c r="Y81" s="66"/>
    </row>
    <row r="82" spans="1:25">
      <c r="A82" s="71" t="s">
        <v>23</v>
      </c>
      <c r="B82" s="67"/>
      <c r="C82" s="67"/>
      <c r="D82" s="67"/>
      <c r="E82" s="67"/>
      <c r="F82" s="67"/>
      <c r="G82" s="67"/>
      <c r="H82" s="67"/>
      <c r="I82" s="67"/>
      <c r="J82" s="67"/>
      <c r="K82" s="67"/>
      <c r="L82" s="67"/>
      <c r="M82" s="67"/>
      <c r="N82" s="67"/>
      <c r="O82" s="67"/>
      <c r="P82" s="67"/>
      <c r="Q82" s="67"/>
      <c r="R82" s="67"/>
      <c r="S82" s="32"/>
      <c r="T82" s="32"/>
      <c r="U82" s="32"/>
      <c r="V82" s="32"/>
      <c r="W82" s="32"/>
      <c r="X82" s="32"/>
      <c r="Y82" s="66"/>
    </row>
    <row r="83" spans="1:25">
      <c r="A83" s="43">
        <v>974</v>
      </c>
      <c r="B83" s="67"/>
      <c r="C83" s="67"/>
      <c r="D83" s="67"/>
      <c r="E83" s="67"/>
      <c r="F83" s="67"/>
      <c r="G83" s="67"/>
      <c r="H83" s="67"/>
      <c r="I83" s="67"/>
      <c r="J83" s="67"/>
      <c r="K83" s="67"/>
      <c r="L83" s="67"/>
      <c r="M83" s="67"/>
      <c r="N83" s="67"/>
      <c r="O83" s="67"/>
      <c r="P83" s="67"/>
      <c r="Q83" s="67"/>
      <c r="R83" s="67"/>
      <c r="S83" s="32"/>
      <c r="T83" s="32"/>
      <c r="U83" s="32"/>
      <c r="V83" s="32"/>
      <c r="W83" s="32"/>
      <c r="X83" s="32"/>
      <c r="Y83" s="66"/>
    </row>
    <row r="84" spans="1:25">
      <c r="A84" s="72" t="s">
        <v>203</v>
      </c>
      <c r="B84" s="68"/>
      <c r="C84" s="68"/>
      <c r="D84" s="68"/>
      <c r="E84" s="68"/>
      <c r="F84" s="68"/>
      <c r="G84" s="68"/>
      <c r="H84" s="68"/>
      <c r="I84" s="68"/>
      <c r="J84" s="68"/>
      <c r="K84" s="68"/>
      <c r="L84" s="68"/>
      <c r="M84" s="68"/>
      <c r="N84" s="68"/>
      <c r="O84" s="68"/>
      <c r="P84" s="68"/>
      <c r="Q84" s="68"/>
      <c r="R84" s="68"/>
      <c r="S84" s="68"/>
      <c r="T84" s="68"/>
      <c r="U84" s="68"/>
      <c r="V84" s="68"/>
      <c r="W84" s="68"/>
      <c r="X84" s="68"/>
      <c r="Y84" s="69"/>
    </row>
    <row r="85" spans="1:25">
      <c r="A85" s="58" t="s">
        <v>32</v>
      </c>
      <c r="B85" s="67"/>
      <c r="C85" s="67"/>
      <c r="D85" s="67"/>
      <c r="E85" s="67"/>
      <c r="F85" s="67"/>
      <c r="G85" s="67"/>
      <c r="H85" s="67"/>
      <c r="I85" s="67"/>
      <c r="J85" s="67"/>
      <c r="K85" s="67"/>
      <c r="L85" s="67"/>
      <c r="M85" s="67"/>
      <c r="N85" s="67"/>
      <c r="O85" s="67"/>
      <c r="P85" s="67"/>
      <c r="Q85" s="67"/>
      <c r="R85" s="67"/>
      <c r="S85" s="32"/>
      <c r="T85" s="32"/>
      <c r="U85" s="32"/>
      <c r="V85" s="32"/>
      <c r="W85" s="32"/>
      <c r="X85" s="32"/>
      <c r="Y85" s="66"/>
    </row>
    <row r="86" spans="1:25">
      <c r="A86" s="71" t="s">
        <v>37</v>
      </c>
      <c r="B86" s="67"/>
      <c r="C86" s="67"/>
      <c r="D86" s="67"/>
      <c r="E86" s="67"/>
      <c r="F86" s="67"/>
      <c r="G86" s="67"/>
      <c r="H86" s="67"/>
      <c r="I86" s="67"/>
      <c r="J86" s="67"/>
      <c r="K86" s="67"/>
      <c r="L86" s="67"/>
      <c r="M86" s="67"/>
      <c r="N86" s="67"/>
      <c r="O86" s="67"/>
      <c r="P86" s="67"/>
      <c r="Q86" s="67"/>
      <c r="R86" s="67"/>
      <c r="S86" s="32"/>
      <c r="T86" s="32"/>
      <c r="U86" s="32"/>
      <c r="V86" s="32"/>
      <c r="W86" s="32"/>
      <c r="X86" s="32"/>
      <c r="Y86" s="66"/>
    </row>
    <row r="87" spans="1:25">
      <c r="A87" s="71" t="s">
        <v>33</v>
      </c>
      <c r="B87" s="67"/>
      <c r="C87" s="67"/>
      <c r="D87" s="67"/>
      <c r="E87" s="67"/>
      <c r="F87" s="67"/>
      <c r="G87" s="67"/>
      <c r="H87" s="67"/>
      <c r="I87" s="67"/>
      <c r="J87" s="67"/>
      <c r="K87" s="67"/>
      <c r="L87" s="67"/>
      <c r="M87" s="67"/>
      <c r="N87" s="67"/>
      <c r="O87" s="67"/>
      <c r="P87" s="67"/>
      <c r="Q87" s="67"/>
      <c r="R87" s="67"/>
      <c r="S87" s="32"/>
      <c r="T87" s="32"/>
      <c r="U87" s="32"/>
      <c r="V87" s="32"/>
      <c r="W87" s="32"/>
      <c r="X87" s="32"/>
      <c r="Y87" s="66"/>
    </row>
    <row r="88" spans="1:25">
      <c r="A88" s="71" t="s">
        <v>41</v>
      </c>
      <c r="B88" s="67"/>
      <c r="C88" s="67"/>
      <c r="D88" s="67"/>
      <c r="E88" s="67"/>
      <c r="F88" s="67"/>
      <c r="G88" s="67"/>
      <c r="H88" s="67"/>
      <c r="I88" s="67"/>
      <c r="J88" s="67"/>
      <c r="K88" s="67"/>
      <c r="L88" s="67"/>
      <c r="M88" s="67"/>
      <c r="N88" s="67"/>
      <c r="O88" s="67"/>
      <c r="P88" s="67"/>
      <c r="Q88" s="67"/>
      <c r="R88" s="67"/>
      <c r="S88" s="32"/>
      <c r="T88" s="32"/>
      <c r="U88" s="32"/>
      <c r="V88" s="32"/>
      <c r="W88" s="32"/>
      <c r="X88" s="32"/>
      <c r="Y88" s="66"/>
    </row>
    <row r="89" spans="1:25">
      <c r="A89" s="71" t="s">
        <v>209</v>
      </c>
      <c r="B89" s="67"/>
      <c r="C89" s="67"/>
      <c r="D89" s="67"/>
      <c r="E89" s="67"/>
      <c r="F89" s="67"/>
      <c r="G89" s="67"/>
      <c r="H89" s="67"/>
      <c r="I89" s="67"/>
      <c r="J89" s="67"/>
      <c r="K89" s="67"/>
      <c r="L89" s="67"/>
      <c r="M89" s="67"/>
      <c r="N89" s="67"/>
      <c r="O89" s="67"/>
      <c r="P89" s="67"/>
      <c r="Q89" s="67"/>
      <c r="R89" s="67"/>
      <c r="S89" s="32"/>
      <c r="T89" s="32"/>
      <c r="U89" s="32"/>
      <c r="V89" s="32"/>
      <c r="W89" s="32"/>
      <c r="X89" s="32"/>
      <c r="Y89" s="66"/>
    </row>
    <row r="90" spans="1:25">
      <c r="A90" s="71" t="s">
        <v>210</v>
      </c>
      <c r="B90" s="67"/>
      <c r="C90" s="67"/>
      <c r="D90" s="67"/>
      <c r="E90" s="67"/>
      <c r="F90" s="67"/>
      <c r="G90" s="67"/>
      <c r="H90" s="67"/>
      <c r="I90" s="67"/>
      <c r="J90" s="67"/>
      <c r="K90" s="67"/>
      <c r="L90" s="67"/>
      <c r="M90" s="67"/>
      <c r="N90" s="67"/>
      <c r="O90" s="67"/>
      <c r="P90" s="67"/>
      <c r="Q90" s="67"/>
      <c r="R90" s="67"/>
      <c r="S90" s="32"/>
      <c r="T90" s="32"/>
      <c r="U90" s="32"/>
      <c r="V90" s="32"/>
      <c r="W90" s="32"/>
      <c r="X90" s="32"/>
      <c r="Y90" s="66"/>
    </row>
    <row r="91" spans="1:25">
      <c r="A91" s="58" t="s">
        <v>22</v>
      </c>
      <c r="B91" s="67"/>
      <c r="C91" s="67"/>
      <c r="D91" s="67"/>
      <c r="E91" s="67"/>
      <c r="F91" s="67"/>
      <c r="G91" s="67"/>
      <c r="H91" s="67"/>
      <c r="I91" s="67"/>
      <c r="J91" s="67"/>
      <c r="K91" s="67"/>
      <c r="L91" s="67"/>
      <c r="M91" s="67"/>
      <c r="N91" s="67"/>
      <c r="O91" s="67"/>
      <c r="P91" s="67"/>
      <c r="Q91" s="67"/>
      <c r="R91" s="67"/>
      <c r="S91" s="32"/>
      <c r="T91" s="32"/>
      <c r="U91" s="32"/>
      <c r="V91" s="32"/>
      <c r="W91" s="32"/>
      <c r="X91" s="32"/>
      <c r="Y91" s="66"/>
    </row>
    <row r="92" spans="1:25">
      <c r="A92" s="71" t="s">
        <v>77</v>
      </c>
      <c r="B92" s="67"/>
      <c r="C92" s="67"/>
      <c r="D92" s="67"/>
      <c r="E92" s="67"/>
      <c r="F92" s="67"/>
      <c r="G92" s="67"/>
      <c r="H92" s="67"/>
      <c r="I92" s="67"/>
      <c r="J92" s="67"/>
      <c r="K92" s="67"/>
      <c r="L92" s="67"/>
      <c r="M92" s="67"/>
      <c r="N92" s="67"/>
      <c r="O92" s="67"/>
      <c r="P92" s="67"/>
      <c r="Q92" s="67"/>
      <c r="R92" s="67"/>
      <c r="S92" s="32"/>
      <c r="T92" s="32"/>
      <c r="U92" s="32"/>
      <c r="V92" s="32"/>
      <c r="W92" s="32"/>
      <c r="X92" s="32"/>
      <c r="Y92" s="66"/>
    </row>
    <row r="93" spans="1:25">
      <c r="A93" s="71" t="s">
        <v>28</v>
      </c>
      <c r="B93" s="67"/>
      <c r="C93" s="67"/>
      <c r="D93" s="67"/>
      <c r="E93" s="67"/>
      <c r="F93" s="67"/>
      <c r="G93" s="67"/>
      <c r="H93" s="67"/>
      <c r="I93" s="67"/>
      <c r="J93" s="67"/>
      <c r="K93" s="67"/>
      <c r="L93" s="67"/>
      <c r="M93" s="67"/>
      <c r="N93" s="67"/>
      <c r="O93" s="67"/>
      <c r="P93" s="67"/>
      <c r="Q93" s="67"/>
      <c r="R93" s="67"/>
      <c r="S93" s="32"/>
      <c r="T93" s="32"/>
      <c r="U93" s="32"/>
      <c r="V93" s="32"/>
      <c r="W93" s="32"/>
      <c r="X93" s="32"/>
      <c r="Y93" s="66"/>
    </row>
    <row r="94" spans="1:25">
      <c r="A94" s="71" t="s">
        <v>23</v>
      </c>
      <c r="B94" s="67"/>
      <c r="C94" s="67"/>
      <c r="D94" s="67"/>
      <c r="E94" s="67"/>
      <c r="F94" s="67"/>
      <c r="G94" s="67"/>
      <c r="H94" s="67"/>
      <c r="I94" s="67"/>
      <c r="J94" s="67"/>
      <c r="K94" s="67"/>
      <c r="L94" s="67"/>
      <c r="M94" s="67"/>
      <c r="N94" s="67"/>
      <c r="O94" s="67"/>
      <c r="P94" s="67"/>
      <c r="Q94" s="67"/>
      <c r="R94" s="67"/>
      <c r="S94" s="32"/>
      <c r="T94" s="32"/>
      <c r="U94" s="32"/>
      <c r="V94" s="32"/>
      <c r="W94" s="32"/>
      <c r="X94" s="32"/>
      <c r="Y94" s="66"/>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F840-CAFF-48CF-A248-7E74D10C27C3}">
  <sheetPr>
    <tabColor rgb="FFFFFF00"/>
    <pageSetUpPr fitToPage="1"/>
  </sheetPr>
  <dimension ref="A1:F201"/>
  <sheetViews>
    <sheetView topLeftCell="A103" zoomScaleNormal="100" workbookViewId="0">
      <selection activeCell="A85" sqref="A85"/>
    </sheetView>
  </sheetViews>
  <sheetFormatPr defaultColWidth="8.85546875" defaultRowHeight="14.45"/>
  <cols>
    <col min="1" max="1" width="42.85546875" style="43" bestFit="1" customWidth="1"/>
    <col min="2" max="2" width="6" style="60" customWidth="1"/>
    <col min="3" max="5" width="4.42578125" style="60" bestFit="1" customWidth="1"/>
    <col min="6" max="6" width="4.42578125" style="61" bestFit="1" customWidth="1"/>
    <col min="7"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6" ht="23.45">
      <c r="A1" s="166" t="s">
        <v>217</v>
      </c>
      <c r="B1" s="166"/>
      <c r="C1" s="166"/>
      <c r="D1" s="166"/>
      <c r="E1" s="166"/>
      <c r="F1" s="166"/>
    </row>
    <row r="2" spans="1:6" hidden="1"/>
    <row r="3" spans="1:6" hidden="1"/>
    <row r="4" spans="1:6" hidden="1">
      <c r="B4"/>
    </row>
    <row r="6" spans="1:6" hidden="1">
      <c r="A6" s="76" t="s">
        <v>218</v>
      </c>
      <c r="B6"/>
      <c r="C6"/>
      <c r="D6"/>
      <c r="E6"/>
      <c r="F6"/>
    </row>
    <row r="7" spans="1:6">
      <c r="A7" s="43" t="s">
        <v>90</v>
      </c>
      <c r="B7"/>
      <c r="C7"/>
      <c r="D7"/>
      <c r="E7"/>
      <c r="F7"/>
    </row>
    <row r="8" spans="1:6">
      <c r="A8" s="73" t="s">
        <v>208</v>
      </c>
      <c r="B8"/>
      <c r="C8"/>
      <c r="D8"/>
      <c r="E8"/>
      <c r="F8"/>
    </row>
    <row r="9" spans="1:6">
      <c r="A9" s="74" t="s">
        <v>110</v>
      </c>
      <c r="B9"/>
      <c r="C9"/>
      <c r="D9"/>
      <c r="E9"/>
      <c r="F9"/>
    </row>
    <row r="10" spans="1:6">
      <c r="A10" s="75" t="s">
        <v>134</v>
      </c>
      <c r="B10"/>
      <c r="C10"/>
      <c r="D10"/>
      <c r="E10"/>
      <c r="F10"/>
    </row>
    <row r="11" spans="1:6">
      <c r="A11" s="77" t="s">
        <v>110</v>
      </c>
      <c r="B11"/>
      <c r="C11"/>
      <c r="D11"/>
      <c r="E11"/>
      <c r="F11"/>
    </row>
    <row r="12" spans="1:6">
      <c r="A12" s="75" t="s">
        <v>59</v>
      </c>
      <c r="B12"/>
      <c r="C12"/>
      <c r="D12"/>
      <c r="E12"/>
      <c r="F12"/>
    </row>
    <row r="13" spans="1:6">
      <c r="A13" s="77" t="s">
        <v>58</v>
      </c>
      <c r="B13"/>
      <c r="C13"/>
      <c r="D13"/>
      <c r="E13"/>
      <c r="F13"/>
    </row>
    <row r="14" spans="1:6">
      <c r="A14" s="74" t="s">
        <v>203</v>
      </c>
      <c r="B14"/>
      <c r="C14"/>
      <c r="D14"/>
      <c r="E14"/>
      <c r="F14"/>
    </row>
    <row r="15" spans="1:6">
      <c r="A15" s="75" t="s">
        <v>33</v>
      </c>
      <c r="B15"/>
      <c r="C15"/>
      <c r="D15"/>
      <c r="E15"/>
      <c r="F15"/>
    </row>
    <row r="16" spans="1:6">
      <c r="A16" s="77" t="s">
        <v>32</v>
      </c>
      <c r="B16"/>
      <c r="C16"/>
      <c r="D16"/>
      <c r="E16"/>
      <c r="F16"/>
    </row>
    <row r="17" spans="1:6">
      <c r="A17" s="84" t="s">
        <v>23</v>
      </c>
      <c r="B17"/>
      <c r="C17"/>
      <c r="D17"/>
      <c r="E17"/>
      <c r="F17"/>
    </row>
    <row r="18" spans="1:6">
      <c r="A18" s="77" t="s">
        <v>22</v>
      </c>
      <c r="B18"/>
      <c r="C18"/>
      <c r="D18"/>
      <c r="E18"/>
      <c r="F18"/>
    </row>
    <row r="19" spans="1:6">
      <c r="A19" s="74" t="s">
        <v>219</v>
      </c>
      <c r="B19"/>
      <c r="C19"/>
      <c r="D19"/>
      <c r="E19"/>
      <c r="F19"/>
    </row>
    <row r="20" spans="1:6">
      <c r="A20" s="75" t="s">
        <v>53</v>
      </c>
      <c r="B20"/>
      <c r="C20"/>
      <c r="D20"/>
      <c r="E20"/>
      <c r="F20"/>
    </row>
    <row r="21" spans="1:6">
      <c r="A21" s="77" t="s">
        <v>52</v>
      </c>
      <c r="B21"/>
      <c r="C21"/>
      <c r="D21"/>
      <c r="E21"/>
      <c r="F21"/>
    </row>
    <row r="22" spans="1:6">
      <c r="A22" s="74" t="s">
        <v>220</v>
      </c>
      <c r="B22"/>
      <c r="C22"/>
      <c r="D22"/>
      <c r="E22"/>
      <c r="F22"/>
    </row>
    <row r="23" spans="1:6">
      <c r="A23" s="84" t="s">
        <v>221</v>
      </c>
      <c r="B23"/>
      <c r="C23"/>
      <c r="D23"/>
      <c r="E23"/>
      <c r="F23"/>
    </row>
    <row r="24" spans="1:6">
      <c r="A24" s="77" t="s">
        <v>84</v>
      </c>
      <c r="B24"/>
      <c r="C24"/>
      <c r="D24"/>
      <c r="E24"/>
      <c r="F24"/>
    </row>
    <row r="25" spans="1:6">
      <c r="A25" s="73" t="s">
        <v>211</v>
      </c>
      <c r="B25"/>
      <c r="C25"/>
      <c r="D25"/>
      <c r="E25"/>
      <c r="F25"/>
    </row>
    <row r="26" spans="1:6">
      <c r="A26" s="74" t="s">
        <v>110</v>
      </c>
      <c r="B26"/>
      <c r="C26"/>
      <c r="D26"/>
      <c r="E26"/>
      <c r="F26"/>
    </row>
    <row r="27" spans="1:6">
      <c r="A27" s="75" t="s">
        <v>134</v>
      </c>
      <c r="B27"/>
      <c r="C27"/>
      <c r="D27"/>
      <c r="E27"/>
      <c r="F27"/>
    </row>
    <row r="28" spans="1:6">
      <c r="A28" s="77" t="s">
        <v>110</v>
      </c>
      <c r="B28"/>
      <c r="C28"/>
      <c r="D28"/>
      <c r="E28"/>
      <c r="F28"/>
    </row>
    <row r="29" spans="1:6">
      <c r="A29" s="75" t="s">
        <v>59</v>
      </c>
      <c r="B29"/>
      <c r="C29"/>
      <c r="D29"/>
      <c r="E29"/>
      <c r="F29"/>
    </row>
    <row r="30" spans="1:6">
      <c r="A30" s="77" t="s">
        <v>58</v>
      </c>
      <c r="B30"/>
      <c r="C30"/>
      <c r="D30"/>
      <c r="E30"/>
      <c r="F30"/>
    </row>
    <row r="31" spans="1:6">
      <c r="A31" s="74" t="s">
        <v>203</v>
      </c>
      <c r="B31"/>
      <c r="C31"/>
      <c r="D31"/>
      <c r="E31"/>
      <c r="F31"/>
    </row>
    <row r="32" spans="1:6">
      <c r="A32" s="75" t="s">
        <v>33</v>
      </c>
      <c r="B32"/>
      <c r="C32"/>
      <c r="D32"/>
      <c r="E32"/>
      <c r="F32"/>
    </row>
    <row r="33" spans="1:6">
      <c r="A33" s="77" t="s">
        <v>32</v>
      </c>
      <c r="B33"/>
      <c r="C33"/>
      <c r="D33"/>
      <c r="E33"/>
      <c r="F33"/>
    </row>
    <row r="34" spans="1:6">
      <c r="A34" s="84" t="s">
        <v>23</v>
      </c>
      <c r="B34"/>
      <c r="C34"/>
      <c r="D34"/>
      <c r="E34"/>
      <c r="F34"/>
    </row>
    <row r="35" spans="1:6">
      <c r="A35" s="77" t="s">
        <v>22</v>
      </c>
      <c r="B35"/>
      <c r="C35"/>
      <c r="D35"/>
      <c r="E35"/>
      <c r="F35"/>
    </row>
    <row r="36" spans="1:6">
      <c r="A36" s="74" t="s">
        <v>219</v>
      </c>
      <c r="B36"/>
      <c r="C36"/>
      <c r="D36"/>
      <c r="E36"/>
      <c r="F36"/>
    </row>
    <row r="37" spans="1:6">
      <c r="A37" s="75" t="s">
        <v>53</v>
      </c>
      <c r="B37"/>
      <c r="C37"/>
      <c r="D37"/>
      <c r="E37"/>
      <c r="F37"/>
    </row>
    <row r="38" spans="1:6">
      <c r="A38" s="77" t="s">
        <v>52</v>
      </c>
      <c r="B38"/>
      <c r="C38"/>
      <c r="D38"/>
      <c r="E38"/>
      <c r="F38"/>
    </row>
    <row r="39" spans="1:6">
      <c r="A39" s="74" t="s">
        <v>220</v>
      </c>
      <c r="B39"/>
      <c r="C39"/>
      <c r="D39"/>
      <c r="E39"/>
      <c r="F39"/>
    </row>
    <row r="40" spans="1:6">
      <c r="A40" s="84" t="s">
        <v>221</v>
      </c>
      <c r="B40"/>
      <c r="C40"/>
      <c r="D40"/>
      <c r="E40"/>
      <c r="F40"/>
    </row>
    <row r="41" spans="1:6">
      <c r="A41" s="77" t="s">
        <v>84</v>
      </c>
      <c r="B41"/>
      <c r="C41"/>
      <c r="D41"/>
      <c r="E41"/>
      <c r="F41"/>
    </row>
    <row r="42" spans="1:6">
      <c r="A42" s="73" t="s">
        <v>212</v>
      </c>
      <c r="B42"/>
      <c r="C42"/>
      <c r="D42"/>
      <c r="E42"/>
      <c r="F42"/>
    </row>
    <row r="43" spans="1:6">
      <c r="A43" s="74" t="s">
        <v>110</v>
      </c>
      <c r="B43"/>
      <c r="C43"/>
      <c r="D43"/>
      <c r="E43"/>
      <c r="F43"/>
    </row>
    <row r="44" spans="1:6">
      <c r="A44" s="75" t="s">
        <v>134</v>
      </c>
      <c r="B44"/>
      <c r="C44"/>
      <c r="D44"/>
      <c r="E44"/>
      <c r="F44"/>
    </row>
    <row r="45" spans="1:6">
      <c r="A45" s="77" t="s">
        <v>110</v>
      </c>
      <c r="B45"/>
      <c r="C45"/>
      <c r="D45"/>
      <c r="E45"/>
      <c r="F45"/>
    </row>
    <row r="46" spans="1:6">
      <c r="A46" s="75" t="s">
        <v>59</v>
      </c>
      <c r="B46"/>
      <c r="C46"/>
      <c r="D46"/>
      <c r="E46"/>
      <c r="F46"/>
    </row>
    <row r="47" spans="1:6">
      <c r="A47" s="77" t="s">
        <v>58</v>
      </c>
      <c r="B47"/>
      <c r="C47"/>
      <c r="D47"/>
      <c r="E47"/>
      <c r="F47"/>
    </row>
    <row r="48" spans="1:6">
      <c r="A48" s="74" t="s">
        <v>203</v>
      </c>
      <c r="B48"/>
      <c r="C48"/>
      <c r="D48"/>
      <c r="E48"/>
      <c r="F48"/>
    </row>
    <row r="49" spans="1:1" customFormat="1">
      <c r="A49" s="75" t="s">
        <v>33</v>
      </c>
    </row>
    <row r="50" spans="1:1" customFormat="1">
      <c r="A50" s="77" t="s">
        <v>32</v>
      </c>
    </row>
    <row r="51" spans="1:1" customFormat="1">
      <c r="A51" s="84" t="s">
        <v>23</v>
      </c>
    </row>
    <row r="52" spans="1:1" customFormat="1">
      <c r="A52" s="77" t="s">
        <v>22</v>
      </c>
    </row>
    <row r="53" spans="1:1" customFormat="1">
      <c r="A53" s="74" t="s">
        <v>219</v>
      </c>
    </row>
    <row r="54" spans="1:1" customFormat="1">
      <c r="A54" s="75" t="s">
        <v>53</v>
      </c>
    </row>
    <row r="55" spans="1:1" customFormat="1">
      <c r="A55" s="77" t="s">
        <v>52</v>
      </c>
    </row>
    <row r="56" spans="1:1" customFormat="1">
      <c r="A56" s="74" t="s">
        <v>220</v>
      </c>
    </row>
    <row r="57" spans="1:1" customFormat="1">
      <c r="A57" s="84" t="s">
        <v>221</v>
      </c>
    </row>
    <row r="58" spans="1:1" customFormat="1">
      <c r="A58" s="77" t="s">
        <v>84</v>
      </c>
    </row>
    <row r="59" spans="1:1" customFormat="1">
      <c r="A59" s="73" t="s">
        <v>213</v>
      </c>
    </row>
    <row r="60" spans="1:1" customFormat="1">
      <c r="A60" s="74" t="s">
        <v>110</v>
      </c>
    </row>
    <row r="61" spans="1:1" customFormat="1">
      <c r="A61" s="75" t="s">
        <v>134</v>
      </c>
    </row>
    <row r="62" spans="1:1" customFormat="1">
      <c r="A62" s="77" t="s">
        <v>110</v>
      </c>
    </row>
    <row r="63" spans="1:1" customFormat="1">
      <c r="A63" s="75" t="s">
        <v>59</v>
      </c>
    </row>
    <row r="64" spans="1:1" customFormat="1">
      <c r="A64" s="77" t="s">
        <v>58</v>
      </c>
    </row>
    <row r="65" spans="1:1" customFormat="1">
      <c r="A65" s="74" t="s">
        <v>203</v>
      </c>
    </row>
    <row r="66" spans="1:1" customFormat="1">
      <c r="A66" s="75" t="s">
        <v>33</v>
      </c>
    </row>
    <row r="67" spans="1:1" customFormat="1">
      <c r="A67" s="77" t="s">
        <v>32</v>
      </c>
    </row>
    <row r="68" spans="1:1" customFormat="1">
      <c r="A68" s="84" t="s">
        <v>23</v>
      </c>
    </row>
    <row r="69" spans="1:1" customFormat="1">
      <c r="A69" s="77" t="s">
        <v>22</v>
      </c>
    </row>
    <row r="70" spans="1:1" customFormat="1">
      <c r="A70" s="74" t="s">
        <v>219</v>
      </c>
    </row>
    <row r="71" spans="1:1" customFormat="1">
      <c r="A71" s="75" t="s">
        <v>53</v>
      </c>
    </row>
    <row r="72" spans="1:1" customFormat="1">
      <c r="A72" s="77" t="s">
        <v>52</v>
      </c>
    </row>
    <row r="73" spans="1:1" customFormat="1">
      <c r="A73" s="74" t="s">
        <v>220</v>
      </c>
    </row>
    <row r="74" spans="1:1" customFormat="1">
      <c r="A74" s="84" t="s">
        <v>221</v>
      </c>
    </row>
    <row r="75" spans="1:1" customFormat="1">
      <c r="A75" s="77" t="s">
        <v>84</v>
      </c>
    </row>
    <row r="76" spans="1:1" customFormat="1">
      <c r="A76" s="73" t="s">
        <v>214</v>
      </c>
    </row>
    <row r="77" spans="1:1" customFormat="1">
      <c r="A77" s="74" t="s">
        <v>110</v>
      </c>
    </row>
    <row r="78" spans="1:1" customFormat="1">
      <c r="A78" s="75" t="s">
        <v>134</v>
      </c>
    </row>
    <row r="79" spans="1:1" customFormat="1">
      <c r="A79" s="77" t="s">
        <v>110</v>
      </c>
    </row>
    <row r="80" spans="1:1" customFormat="1">
      <c r="A80" s="75" t="s">
        <v>111</v>
      </c>
    </row>
    <row r="81" spans="1:1" customFormat="1">
      <c r="A81" s="77" t="s">
        <v>110</v>
      </c>
    </row>
    <row r="82" spans="1:1" customFormat="1">
      <c r="A82" s="75" t="s">
        <v>59</v>
      </c>
    </row>
    <row r="83" spans="1:1" customFormat="1">
      <c r="A83" s="77" t="s">
        <v>58</v>
      </c>
    </row>
    <row r="84" spans="1:1" customFormat="1">
      <c r="A84" s="74" t="s">
        <v>203</v>
      </c>
    </row>
    <row r="85" spans="1:1" customFormat="1">
      <c r="A85" s="75" t="s">
        <v>37</v>
      </c>
    </row>
    <row r="86" spans="1:1" customFormat="1">
      <c r="A86" s="77" t="s">
        <v>32</v>
      </c>
    </row>
    <row r="87" spans="1:1" customFormat="1">
      <c r="A87" s="75" t="s">
        <v>33</v>
      </c>
    </row>
    <row r="88" spans="1:1" customFormat="1">
      <c r="A88" s="77" t="s">
        <v>32</v>
      </c>
    </row>
    <row r="89" spans="1:1" customFormat="1">
      <c r="A89" s="75" t="s">
        <v>94</v>
      </c>
    </row>
    <row r="90" spans="1:1" customFormat="1">
      <c r="A90" s="77" t="s">
        <v>32</v>
      </c>
    </row>
    <row r="91" spans="1:1" customFormat="1">
      <c r="A91" s="84" t="s">
        <v>77</v>
      </c>
    </row>
    <row r="92" spans="1:1" customFormat="1">
      <c r="A92" s="77" t="s">
        <v>22</v>
      </c>
    </row>
    <row r="93" spans="1:1" customFormat="1">
      <c r="A93" s="84" t="s">
        <v>23</v>
      </c>
    </row>
    <row r="94" spans="1:1" customFormat="1">
      <c r="A94" s="77" t="s">
        <v>22</v>
      </c>
    </row>
    <row r="95" spans="1:1" customFormat="1">
      <c r="A95" s="74" t="s">
        <v>219</v>
      </c>
    </row>
    <row r="96" spans="1:1" customFormat="1">
      <c r="A96" s="75" t="s">
        <v>53</v>
      </c>
    </row>
    <row r="97" spans="1:1" customFormat="1">
      <c r="A97" s="77" t="s">
        <v>52</v>
      </c>
    </row>
    <row r="98" spans="1:1" customFormat="1">
      <c r="A98" s="74" t="s">
        <v>220</v>
      </c>
    </row>
    <row r="99" spans="1:1" customFormat="1">
      <c r="A99" s="84" t="s">
        <v>221</v>
      </c>
    </row>
    <row r="100" spans="1:1" customFormat="1">
      <c r="A100" s="77" t="s">
        <v>84</v>
      </c>
    </row>
    <row r="101" spans="1:1" customFormat="1">
      <c r="A101" s="73" t="s">
        <v>19</v>
      </c>
    </row>
    <row r="102" spans="1:1" customFormat="1">
      <c r="A102" s="74" t="s">
        <v>110</v>
      </c>
    </row>
    <row r="103" spans="1:1" customFormat="1">
      <c r="A103" s="75" t="s">
        <v>134</v>
      </c>
    </row>
    <row r="104" spans="1:1" customFormat="1">
      <c r="A104" s="77" t="s">
        <v>110</v>
      </c>
    </row>
    <row r="105" spans="1:1" customFormat="1">
      <c r="A105" s="84" t="s">
        <v>115</v>
      </c>
    </row>
    <row r="106" spans="1:1" customFormat="1">
      <c r="A106" s="77" t="s">
        <v>110</v>
      </c>
    </row>
    <row r="107" spans="1:1" customFormat="1">
      <c r="A107" s="84" t="s">
        <v>111</v>
      </c>
    </row>
    <row r="108" spans="1:1" customFormat="1">
      <c r="A108" s="77" t="s">
        <v>110</v>
      </c>
    </row>
    <row r="109" spans="1:1" customFormat="1">
      <c r="A109" s="75" t="s">
        <v>59</v>
      </c>
    </row>
    <row r="110" spans="1:1" customFormat="1">
      <c r="A110" s="77" t="s">
        <v>58</v>
      </c>
    </row>
    <row r="111" spans="1:1" customFormat="1">
      <c r="A111" s="74" t="s">
        <v>203</v>
      </c>
    </row>
    <row r="112" spans="1:1" customFormat="1">
      <c r="A112" s="84" t="s">
        <v>37</v>
      </c>
    </row>
    <row r="113" spans="1:1" customFormat="1">
      <c r="A113" s="77" t="s">
        <v>32</v>
      </c>
    </row>
    <row r="114" spans="1:1" customFormat="1">
      <c r="A114" s="75" t="s">
        <v>33</v>
      </c>
    </row>
    <row r="115" spans="1:1" customFormat="1">
      <c r="A115" s="77" t="s">
        <v>32</v>
      </c>
    </row>
    <row r="116" spans="1:1" customFormat="1">
      <c r="A116" s="84" t="s">
        <v>94</v>
      </c>
    </row>
    <row r="117" spans="1:1" customFormat="1">
      <c r="A117" s="77" t="s">
        <v>32</v>
      </c>
    </row>
    <row r="118" spans="1:1" customFormat="1">
      <c r="A118" s="84" t="s">
        <v>28</v>
      </c>
    </row>
    <row r="119" spans="1:1" customFormat="1">
      <c r="A119" s="77" t="s">
        <v>22</v>
      </c>
    </row>
    <row r="120" spans="1:1" customFormat="1">
      <c r="A120" s="84" t="s">
        <v>23</v>
      </c>
    </row>
    <row r="121" spans="1:1" customFormat="1">
      <c r="A121" s="77" t="s">
        <v>22</v>
      </c>
    </row>
    <row r="122" spans="1:1" customFormat="1">
      <c r="A122" s="84" t="s">
        <v>209</v>
      </c>
    </row>
    <row r="123" spans="1:1" customFormat="1">
      <c r="A123" s="77" t="s">
        <v>32</v>
      </c>
    </row>
    <row r="124" spans="1:1" customFormat="1">
      <c r="A124" s="84" t="s">
        <v>210</v>
      </c>
    </row>
    <row r="125" spans="1:1" customFormat="1">
      <c r="A125" s="77" t="s">
        <v>32</v>
      </c>
    </row>
    <row r="126" spans="1:1" customFormat="1">
      <c r="A126" s="74" t="s">
        <v>219</v>
      </c>
    </row>
    <row r="127" spans="1:1" customFormat="1">
      <c r="A127" s="84" t="s">
        <v>47</v>
      </c>
    </row>
    <row r="128" spans="1:1" customFormat="1">
      <c r="A128" s="77" t="s">
        <v>46</v>
      </c>
    </row>
    <row r="129" spans="1:1" customFormat="1">
      <c r="A129" s="75" t="s">
        <v>53</v>
      </c>
    </row>
    <row r="130" spans="1:1" customFormat="1">
      <c r="A130" s="77" t="s">
        <v>52</v>
      </c>
    </row>
    <row r="131" spans="1:1" customFormat="1">
      <c r="A131" s="74" t="s">
        <v>220</v>
      </c>
    </row>
    <row r="132" spans="1:1" customFormat="1">
      <c r="A132" s="84" t="s">
        <v>85</v>
      </c>
    </row>
    <row r="133" spans="1:1" customFormat="1">
      <c r="A133" s="77" t="s">
        <v>84</v>
      </c>
    </row>
    <row r="134" spans="1:1" customFormat="1">
      <c r="A134" s="84" t="s">
        <v>221</v>
      </c>
    </row>
    <row r="135" spans="1:1" customFormat="1">
      <c r="A135" s="77" t="s">
        <v>84</v>
      </c>
    </row>
    <row r="136" spans="1:1" customFormat="1"/>
    <row r="137" spans="1:1" customFormat="1"/>
    <row r="138" spans="1:1" customFormat="1"/>
    <row r="139" spans="1:1" customFormat="1"/>
    <row r="140" spans="1:1" customFormat="1"/>
    <row r="141" spans="1:1" customFormat="1"/>
    <row r="142" spans="1:1" customFormat="1"/>
    <row r="143" spans="1:1" customFormat="1"/>
    <row r="144" spans="1:1"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spans="1:1" customFormat="1"/>
    <row r="178" spans="1:1" customFormat="1"/>
    <row r="179" spans="1:1" customFormat="1"/>
    <row r="180" spans="1:1" customFormat="1"/>
    <row r="181" spans="1:1" customFormat="1">
      <c r="A181" s="43"/>
    </row>
    <row r="182" spans="1:1" customFormat="1">
      <c r="A182" s="43"/>
    </row>
    <row r="183" spans="1:1" customFormat="1">
      <c r="A183" s="43"/>
    </row>
    <row r="184" spans="1:1" customFormat="1">
      <c r="A184" s="43"/>
    </row>
    <row r="185" spans="1:1" customFormat="1">
      <c r="A185" s="43"/>
    </row>
    <row r="186" spans="1:1" customFormat="1">
      <c r="A186" s="43"/>
    </row>
    <row r="187" spans="1:1" customFormat="1">
      <c r="A187" s="43"/>
    </row>
    <row r="188" spans="1:1" customFormat="1">
      <c r="A188" s="43"/>
    </row>
    <row r="189" spans="1:1" customFormat="1">
      <c r="A189" s="43"/>
    </row>
    <row r="190" spans="1:1" customFormat="1">
      <c r="A190" s="43"/>
    </row>
    <row r="191" spans="1:1" customFormat="1">
      <c r="A191" s="43"/>
    </row>
    <row r="192" spans="1:1" customFormat="1">
      <c r="A192" s="43"/>
    </row>
    <row r="193" spans="1:1" customFormat="1">
      <c r="A193" s="43"/>
    </row>
    <row r="194" spans="1:1" customFormat="1">
      <c r="A194" s="43"/>
    </row>
    <row r="195" spans="1:1" customFormat="1">
      <c r="A195" s="43"/>
    </row>
    <row r="196" spans="1:1" customFormat="1">
      <c r="A196" s="43"/>
    </row>
    <row r="197" spans="1:1" customFormat="1">
      <c r="A197" s="43"/>
    </row>
    <row r="198" spans="1:1" customFormat="1">
      <c r="A198" s="43"/>
    </row>
    <row r="199" spans="1:1" customFormat="1">
      <c r="A199" s="43"/>
    </row>
    <row r="200" spans="1:1" customFormat="1">
      <c r="A200" s="43"/>
    </row>
    <row r="201" spans="1:1" customFormat="1">
      <c r="A201" s="43"/>
    </row>
  </sheetData>
  <mergeCells count="1">
    <mergeCell ref="A1:F1"/>
  </mergeCells>
  <pageMargins left="0.7" right="0.7" top="0.75" bottom="0.75" header="0.3" footer="0.3"/>
  <pageSetup fitToHeight="5"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3DFD-E817-41E9-A592-22B819F7BE19}">
  <sheetPr>
    <tabColor theme="4"/>
  </sheetPr>
  <dimension ref="A2:B59"/>
  <sheetViews>
    <sheetView zoomScale="130" zoomScaleNormal="130" workbookViewId="0">
      <selection activeCell="G14" sqref="G14"/>
    </sheetView>
  </sheetViews>
  <sheetFormatPr defaultColWidth="10.85546875" defaultRowHeight="14.45"/>
  <cols>
    <col min="1" max="1" width="43.7109375" bestFit="1" customWidth="1"/>
    <col min="2" max="2" width="19.85546875" bestFit="1" customWidth="1"/>
    <col min="3" max="3" width="4.42578125" bestFit="1" customWidth="1"/>
    <col min="4" max="4" width="4.5703125" bestFit="1" customWidth="1"/>
    <col min="5" max="5" width="4.42578125" bestFit="1" customWidth="1"/>
    <col min="6" max="6" width="4.5703125" bestFit="1" customWidth="1"/>
    <col min="7" max="7" width="4.42578125" bestFit="1" customWidth="1"/>
    <col min="8" max="8" width="3.85546875" bestFit="1" customWidth="1"/>
    <col min="9" max="9" width="11.5703125" bestFit="1" customWidth="1"/>
    <col min="10" max="10" width="12.5703125" bestFit="1" customWidth="1"/>
    <col min="11" max="11" width="13.140625" bestFit="1" customWidth="1"/>
    <col min="12" max="12" width="12.42578125" bestFit="1" customWidth="1"/>
    <col min="13" max="13" width="10.140625" bestFit="1" customWidth="1"/>
  </cols>
  <sheetData>
    <row r="2" spans="1:2">
      <c r="A2" s="56" t="s">
        <v>0</v>
      </c>
      <c r="B2" t="s">
        <v>222</v>
      </c>
    </row>
    <row r="3" spans="1:2">
      <c r="A3" s="56" t="s">
        <v>6</v>
      </c>
      <c r="B3" t="s">
        <v>222</v>
      </c>
    </row>
    <row r="4" spans="1:2">
      <c r="A4" s="56" t="s">
        <v>223</v>
      </c>
      <c r="B4" t="s">
        <v>224</v>
      </c>
    </row>
    <row r="5" spans="1:2">
      <c r="A5" s="56" t="s">
        <v>11</v>
      </c>
      <c r="B5" t="s">
        <v>185</v>
      </c>
    </row>
    <row r="6" spans="1:2">
      <c r="A6" s="56" t="s">
        <v>3</v>
      </c>
      <c r="B6" t="s">
        <v>19</v>
      </c>
    </row>
    <row r="8" spans="1:2">
      <c r="A8" s="56" t="s">
        <v>205</v>
      </c>
      <c r="B8" t="s">
        <v>225</v>
      </c>
    </row>
    <row r="9" spans="1:2">
      <c r="A9" s="43" t="s">
        <v>226</v>
      </c>
      <c r="B9">
        <v>56</v>
      </c>
    </row>
    <row r="10" spans="1:2">
      <c r="A10" s="57" t="s">
        <v>200</v>
      </c>
      <c r="B10">
        <v>41</v>
      </c>
    </row>
    <row r="11" spans="1:2">
      <c r="A11" s="58" t="s">
        <v>227</v>
      </c>
      <c r="B11">
        <v>35</v>
      </c>
    </row>
    <row r="12" spans="1:2">
      <c r="A12" s="71" t="s">
        <v>28</v>
      </c>
      <c r="B12">
        <v>1</v>
      </c>
    </row>
    <row r="13" spans="1:2">
      <c r="A13" s="71" t="s">
        <v>228</v>
      </c>
      <c r="B13">
        <v>30</v>
      </c>
    </row>
    <row r="14" spans="1:2">
      <c r="A14" s="71" t="s">
        <v>216</v>
      </c>
      <c r="B14">
        <v>4</v>
      </c>
    </row>
    <row r="15" spans="1:2">
      <c r="A15" s="58" t="s">
        <v>229</v>
      </c>
      <c r="B15">
        <v>4</v>
      </c>
    </row>
    <row r="16" spans="1:2">
      <c r="A16" s="71" t="s">
        <v>94</v>
      </c>
      <c r="B16">
        <v>4</v>
      </c>
    </row>
    <row r="17" spans="1:2">
      <c r="A17" s="58" t="s">
        <v>230</v>
      </c>
      <c r="B17">
        <v>2</v>
      </c>
    </row>
    <row r="18" spans="1:2">
      <c r="A18" s="71" t="s">
        <v>111</v>
      </c>
      <c r="B18">
        <v>2</v>
      </c>
    </row>
    <row r="19" spans="1:2">
      <c r="A19" s="57" t="s">
        <v>193</v>
      </c>
      <c r="B19">
        <v>15</v>
      </c>
    </row>
    <row r="20" spans="1:2">
      <c r="A20" s="58" t="s">
        <v>231</v>
      </c>
      <c r="B20">
        <v>13</v>
      </c>
    </row>
    <row r="21" spans="1:2">
      <c r="A21" s="71" t="s">
        <v>94</v>
      </c>
      <c r="B21">
        <v>12</v>
      </c>
    </row>
    <row r="22" spans="1:2">
      <c r="A22" s="71" t="s">
        <v>28</v>
      </c>
      <c r="B22">
        <v>1</v>
      </c>
    </row>
    <row r="23" spans="1:2">
      <c r="A23" s="58" t="s">
        <v>232</v>
      </c>
      <c r="B23">
        <v>2</v>
      </c>
    </row>
    <row r="24" spans="1:2">
      <c r="A24" s="71" t="s">
        <v>53</v>
      </c>
      <c r="B24">
        <v>1</v>
      </c>
    </row>
    <row r="25" spans="1:2">
      <c r="A25" s="71" t="s">
        <v>233</v>
      </c>
      <c r="B25">
        <v>1</v>
      </c>
    </row>
    <row r="26" spans="1:2">
      <c r="A26" s="43" t="s">
        <v>234</v>
      </c>
      <c r="B26">
        <v>36</v>
      </c>
    </row>
    <row r="27" spans="1:2">
      <c r="A27" s="57" t="s">
        <v>201</v>
      </c>
      <c r="B27">
        <v>36</v>
      </c>
    </row>
    <row r="28" spans="1:2">
      <c r="A28" s="58" t="s">
        <v>235</v>
      </c>
      <c r="B28">
        <v>3</v>
      </c>
    </row>
    <row r="29" spans="1:2">
      <c r="A29" s="71" t="s">
        <v>111</v>
      </c>
      <c r="B29">
        <v>2</v>
      </c>
    </row>
    <row r="30" spans="1:2">
      <c r="A30" s="71" t="s">
        <v>236</v>
      </c>
      <c r="B30">
        <v>1</v>
      </c>
    </row>
    <row r="31" spans="1:2">
      <c r="A31" s="58" t="s">
        <v>237</v>
      </c>
      <c r="B31">
        <v>2</v>
      </c>
    </row>
    <row r="32" spans="1:2">
      <c r="A32" s="71" t="s">
        <v>236</v>
      </c>
      <c r="B32">
        <v>1</v>
      </c>
    </row>
    <row r="33" spans="1:2">
      <c r="A33" s="71" t="s">
        <v>238</v>
      </c>
      <c r="B33">
        <v>1</v>
      </c>
    </row>
    <row r="34" spans="1:2">
      <c r="A34" s="58" t="s">
        <v>239</v>
      </c>
      <c r="B34">
        <v>6</v>
      </c>
    </row>
    <row r="35" spans="1:2">
      <c r="A35" s="71" t="s">
        <v>47</v>
      </c>
      <c r="B35">
        <v>2</v>
      </c>
    </row>
    <row r="36" spans="1:2">
      <c r="A36" s="71" t="s">
        <v>59</v>
      </c>
      <c r="B36">
        <v>1</v>
      </c>
    </row>
    <row r="37" spans="1:2">
      <c r="A37" s="71" t="s">
        <v>236</v>
      </c>
      <c r="B37">
        <v>1</v>
      </c>
    </row>
    <row r="38" spans="1:2">
      <c r="A38" s="71" t="s">
        <v>238</v>
      </c>
      <c r="B38">
        <v>1</v>
      </c>
    </row>
    <row r="39" spans="1:2">
      <c r="A39" s="71" t="s">
        <v>240</v>
      </c>
      <c r="B39">
        <v>1</v>
      </c>
    </row>
    <row r="40" spans="1:2">
      <c r="A40" s="58" t="s">
        <v>241</v>
      </c>
      <c r="B40">
        <v>13</v>
      </c>
    </row>
    <row r="41" spans="1:2">
      <c r="A41" s="71" t="s">
        <v>94</v>
      </c>
      <c r="B41">
        <v>2</v>
      </c>
    </row>
    <row r="42" spans="1:2">
      <c r="A42" s="71" t="s">
        <v>23</v>
      </c>
      <c r="B42">
        <v>1</v>
      </c>
    </row>
    <row r="43" spans="1:2">
      <c r="A43" s="71" t="s">
        <v>59</v>
      </c>
      <c r="B43">
        <v>4</v>
      </c>
    </row>
    <row r="44" spans="1:2">
      <c r="A44" s="71" t="s">
        <v>236</v>
      </c>
      <c r="B44">
        <v>1</v>
      </c>
    </row>
    <row r="45" spans="1:2">
      <c r="A45" s="71" t="s">
        <v>216</v>
      </c>
      <c r="B45">
        <v>4</v>
      </c>
    </row>
    <row r="46" spans="1:2">
      <c r="A46" s="71" t="s">
        <v>242</v>
      </c>
      <c r="B46">
        <v>1</v>
      </c>
    </row>
    <row r="47" spans="1:2">
      <c r="A47" s="58" t="s">
        <v>243</v>
      </c>
      <c r="B47">
        <v>6</v>
      </c>
    </row>
    <row r="48" spans="1:2">
      <c r="A48" s="71" t="s">
        <v>94</v>
      </c>
      <c r="B48">
        <v>3</v>
      </c>
    </row>
    <row r="49" spans="1:2">
      <c r="A49" s="71" t="s">
        <v>23</v>
      </c>
      <c r="B49">
        <v>1</v>
      </c>
    </row>
    <row r="50" spans="1:2">
      <c r="A50" s="71" t="s">
        <v>236</v>
      </c>
      <c r="B50">
        <v>1</v>
      </c>
    </row>
    <row r="51" spans="1:2">
      <c r="A51" s="71" t="s">
        <v>238</v>
      </c>
      <c r="B51">
        <v>1</v>
      </c>
    </row>
    <row r="52" spans="1:2">
      <c r="A52" s="58" t="s">
        <v>244</v>
      </c>
      <c r="B52">
        <v>5</v>
      </c>
    </row>
    <row r="53" spans="1:2">
      <c r="A53" s="71" t="s">
        <v>94</v>
      </c>
      <c r="B53">
        <v>2</v>
      </c>
    </row>
    <row r="54" spans="1:2">
      <c r="A54" s="71" t="s">
        <v>28</v>
      </c>
      <c r="B54">
        <v>1</v>
      </c>
    </row>
    <row r="55" spans="1:2">
      <c r="A55" s="71" t="s">
        <v>59</v>
      </c>
      <c r="B55">
        <v>1</v>
      </c>
    </row>
    <row r="56" spans="1:2">
      <c r="A56" s="71" t="s">
        <v>236</v>
      </c>
      <c r="B56">
        <v>1</v>
      </c>
    </row>
    <row r="57" spans="1:2">
      <c r="A57" s="58" t="s">
        <v>245</v>
      </c>
      <c r="B57">
        <v>1</v>
      </c>
    </row>
    <row r="58" spans="1:2">
      <c r="A58" s="71" t="s">
        <v>59</v>
      </c>
      <c r="B58">
        <v>1</v>
      </c>
    </row>
    <row r="59" spans="1:2">
      <c r="A59" s="43" t="s">
        <v>202</v>
      </c>
      <c r="B59">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1565-4E33-4FB2-B0AC-A4D0E5D5D47B}">
  <sheetPr>
    <tabColor theme="4"/>
  </sheetPr>
  <dimension ref="A2:B201"/>
  <sheetViews>
    <sheetView topLeftCell="A196" zoomScale="160" zoomScaleNormal="160" workbookViewId="0">
      <selection activeCell="D216" sqref="D216"/>
    </sheetView>
  </sheetViews>
  <sheetFormatPr defaultColWidth="10.85546875" defaultRowHeight="14.45"/>
  <cols>
    <col min="1" max="1" width="44.85546875" bestFit="1" customWidth="1"/>
    <col min="2" max="2" width="19.28515625" bestFit="1" customWidth="1"/>
    <col min="3" max="3" width="4.42578125" bestFit="1" customWidth="1"/>
    <col min="4" max="4" width="4.5703125" bestFit="1" customWidth="1"/>
    <col min="5" max="5" width="4.42578125" bestFit="1" customWidth="1"/>
    <col min="6" max="6" width="4.5703125" bestFit="1" customWidth="1"/>
    <col min="7" max="7" width="4.42578125" bestFit="1" customWidth="1"/>
    <col min="8" max="8" width="3.85546875" bestFit="1" customWidth="1"/>
    <col min="9" max="9" width="11.5703125" bestFit="1" customWidth="1"/>
    <col min="10" max="10" width="12.5703125" bestFit="1" customWidth="1"/>
    <col min="11" max="11" width="13.140625" bestFit="1" customWidth="1"/>
    <col min="12" max="12" width="12.42578125" bestFit="1" customWidth="1"/>
    <col min="13" max="13" width="10.140625" bestFit="1" customWidth="1"/>
  </cols>
  <sheetData>
    <row r="2" spans="1:2">
      <c r="A2" s="56" t="s">
        <v>0</v>
      </c>
      <c r="B2" t="s">
        <v>222</v>
      </c>
    </row>
    <row r="3" spans="1:2">
      <c r="A3" s="56" t="s">
        <v>6</v>
      </c>
      <c r="B3" t="s">
        <v>222</v>
      </c>
    </row>
    <row r="4" spans="1:2">
      <c r="A4" s="56" t="s">
        <v>223</v>
      </c>
      <c r="B4" t="s">
        <v>224</v>
      </c>
    </row>
    <row r="5" spans="1:2">
      <c r="A5" s="56" t="s">
        <v>11</v>
      </c>
      <c r="B5" t="s">
        <v>185</v>
      </c>
    </row>
    <row r="6" spans="1:2">
      <c r="A6" s="56" t="s">
        <v>3</v>
      </c>
      <c r="B6" s="43">
        <v>974</v>
      </c>
    </row>
    <row r="8" spans="1:2">
      <c r="A8" s="56" t="s">
        <v>205</v>
      </c>
      <c r="B8" t="s">
        <v>225</v>
      </c>
    </row>
    <row r="9" spans="1:2">
      <c r="A9" s="43" t="s">
        <v>246</v>
      </c>
      <c r="B9">
        <v>10</v>
      </c>
    </row>
    <row r="10" spans="1:2">
      <c r="A10" s="57" t="s">
        <v>247</v>
      </c>
      <c r="B10">
        <v>1</v>
      </c>
    </row>
    <row r="11" spans="1:2">
      <c r="A11" s="58" t="s">
        <v>248</v>
      </c>
      <c r="B11">
        <v>1</v>
      </c>
    </row>
    <row r="12" spans="1:2">
      <c r="A12" s="57" t="s">
        <v>249</v>
      </c>
      <c r="B12">
        <v>3</v>
      </c>
    </row>
    <row r="13" spans="1:2">
      <c r="A13" s="58" t="s">
        <v>47</v>
      </c>
      <c r="B13">
        <v>3</v>
      </c>
    </row>
    <row r="14" spans="1:2">
      <c r="A14" s="57" t="s">
        <v>250</v>
      </c>
      <c r="B14">
        <v>4</v>
      </c>
    </row>
    <row r="15" spans="1:2">
      <c r="A15" s="58" t="s">
        <v>47</v>
      </c>
      <c r="B15">
        <v>4</v>
      </c>
    </row>
    <row r="16" spans="1:2">
      <c r="A16" s="57" t="s">
        <v>251</v>
      </c>
      <c r="B16">
        <v>2</v>
      </c>
    </row>
    <row r="17" spans="1:2">
      <c r="A17" s="58" t="s">
        <v>53</v>
      </c>
      <c r="B17">
        <v>1</v>
      </c>
    </row>
    <row r="18" spans="1:2">
      <c r="A18" s="58" t="s">
        <v>252</v>
      </c>
      <c r="B18">
        <v>1</v>
      </c>
    </row>
    <row r="19" spans="1:2">
      <c r="A19" s="43" t="s">
        <v>253</v>
      </c>
      <c r="B19">
        <v>9</v>
      </c>
    </row>
    <row r="20" spans="1:2">
      <c r="A20" s="57" t="s">
        <v>253</v>
      </c>
      <c r="B20">
        <v>1</v>
      </c>
    </row>
    <row r="21" spans="1:2">
      <c r="A21" s="58" t="s">
        <v>236</v>
      </c>
      <c r="B21">
        <v>1</v>
      </c>
    </row>
    <row r="22" spans="1:2">
      <c r="A22" s="57" t="s">
        <v>254</v>
      </c>
      <c r="B22">
        <v>1</v>
      </c>
    </row>
    <row r="23" spans="1:2">
      <c r="A23" s="58" t="s">
        <v>59</v>
      </c>
      <c r="B23">
        <v>1</v>
      </c>
    </row>
    <row r="24" spans="1:2">
      <c r="A24" s="57" t="s">
        <v>255</v>
      </c>
      <c r="B24">
        <v>4</v>
      </c>
    </row>
    <row r="25" spans="1:2">
      <c r="A25" s="58" t="s">
        <v>256</v>
      </c>
      <c r="B25">
        <v>4</v>
      </c>
    </row>
    <row r="26" spans="1:2">
      <c r="A26" s="57" t="s">
        <v>257</v>
      </c>
      <c r="B26">
        <v>1</v>
      </c>
    </row>
    <row r="27" spans="1:2">
      <c r="A27" s="58" t="s">
        <v>111</v>
      </c>
      <c r="B27">
        <v>1</v>
      </c>
    </row>
    <row r="28" spans="1:2">
      <c r="A28" s="57" t="s">
        <v>258</v>
      </c>
      <c r="B28">
        <v>2</v>
      </c>
    </row>
    <row r="29" spans="1:2">
      <c r="A29" s="58" t="s">
        <v>59</v>
      </c>
      <c r="B29">
        <v>1</v>
      </c>
    </row>
    <row r="30" spans="1:2">
      <c r="A30" s="58" t="s">
        <v>53</v>
      </c>
      <c r="B30">
        <v>1</v>
      </c>
    </row>
    <row r="31" spans="1:2">
      <c r="A31" s="43" t="s">
        <v>259</v>
      </c>
      <c r="B31">
        <v>269</v>
      </c>
    </row>
    <row r="32" spans="1:2">
      <c r="A32" s="57" t="s">
        <v>260</v>
      </c>
      <c r="B32">
        <v>1</v>
      </c>
    </row>
    <row r="33" spans="1:2">
      <c r="A33" s="58" t="s">
        <v>47</v>
      </c>
      <c r="B33">
        <v>1</v>
      </c>
    </row>
    <row r="34" spans="1:2">
      <c r="A34" s="57" t="s">
        <v>261</v>
      </c>
      <c r="B34">
        <v>234</v>
      </c>
    </row>
    <row r="35" spans="1:2">
      <c r="A35" s="58" t="s">
        <v>47</v>
      </c>
      <c r="B35">
        <v>80</v>
      </c>
    </row>
    <row r="36" spans="1:2">
      <c r="A36" s="58" t="s">
        <v>252</v>
      </c>
      <c r="B36">
        <v>154</v>
      </c>
    </row>
    <row r="37" spans="1:2">
      <c r="A37" s="57" t="s">
        <v>262</v>
      </c>
      <c r="B37">
        <v>6</v>
      </c>
    </row>
    <row r="38" spans="1:2">
      <c r="A38" s="58" t="s">
        <v>47</v>
      </c>
      <c r="B38">
        <v>6</v>
      </c>
    </row>
    <row r="39" spans="1:2">
      <c r="A39" s="57" t="s">
        <v>263</v>
      </c>
      <c r="B39">
        <v>6</v>
      </c>
    </row>
    <row r="40" spans="1:2">
      <c r="A40" s="58" t="s">
        <v>47</v>
      </c>
      <c r="B40">
        <v>6</v>
      </c>
    </row>
    <row r="41" spans="1:2">
      <c r="A41" s="57" t="s">
        <v>264</v>
      </c>
      <c r="B41">
        <v>8</v>
      </c>
    </row>
    <row r="42" spans="1:2">
      <c r="A42" s="58" t="s">
        <v>47</v>
      </c>
      <c r="B42">
        <v>8</v>
      </c>
    </row>
    <row r="43" spans="1:2">
      <c r="A43" s="57" t="s">
        <v>265</v>
      </c>
      <c r="B43">
        <v>8</v>
      </c>
    </row>
    <row r="44" spans="1:2">
      <c r="A44" s="58" t="s">
        <v>256</v>
      </c>
      <c r="B44">
        <v>8</v>
      </c>
    </row>
    <row r="45" spans="1:2">
      <c r="A45" s="57" t="s">
        <v>266</v>
      </c>
      <c r="B45">
        <v>4</v>
      </c>
    </row>
    <row r="46" spans="1:2">
      <c r="A46" s="58" t="s">
        <v>256</v>
      </c>
      <c r="B46">
        <v>4</v>
      </c>
    </row>
    <row r="47" spans="1:2">
      <c r="A47" s="57" t="s">
        <v>267</v>
      </c>
      <c r="B47">
        <v>2</v>
      </c>
    </row>
    <row r="48" spans="1:2">
      <c r="A48" s="58" t="s">
        <v>47</v>
      </c>
      <c r="B48">
        <v>2</v>
      </c>
    </row>
    <row r="49" spans="1:2">
      <c r="A49" s="43" t="s">
        <v>268</v>
      </c>
      <c r="B49">
        <v>798</v>
      </c>
    </row>
    <row r="50" spans="1:2">
      <c r="A50" s="57" t="s">
        <v>269</v>
      </c>
      <c r="B50">
        <v>100</v>
      </c>
    </row>
    <row r="51" spans="1:2">
      <c r="A51" s="58" t="s">
        <v>252</v>
      </c>
      <c r="B51">
        <v>100</v>
      </c>
    </row>
    <row r="52" spans="1:2">
      <c r="A52" s="57" t="s">
        <v>270</v>
      </c>
      <c r="B52">
        <v>2</v>
      </c>
    </row>
    <row r="53" spans="1:2">
      <c r="A53" s="58" t="s">
        <v>252</v>
      </c>
      <c r="B53">
        <v>2</v>
      </c>
    </row>
    <row r="54" spans="1:2">
      <c r="A54" s="57" t="s">
        <v>271</v>
      </c>
      <c r="B54">
        <v>151</v>
      </c>
    </row>
    <row r="55" spans="1:2">
      <c r="A55" s="58" t="s">
        <v>59</v>
      </c>
      <c r="B55">
        <v>1</v>
      </c>
    </row>
    <row r="56" spans="1:2">
      <c r="A56" s="58" t="s">
        <v>252</v>
      </c>
      <c r="B56">
        <v>150</v>
      </c>
    </row>
    <row r="57" spans="1:2">
      <c r="A57" s="57" t="s">
        <v>272</v>
      </c>
      <c r="B57">
        <v>152</v>
      </c>
    </row>
    <row r="58" spans="1:2">
      <c r="A58" s="58" t="s">
        <v>273</v>
      </c>
      <c r="B58">
        <v>2</v>
      </c>
    </row>
    <row r="59" spans="1:2">
      <c r="A59" s="58" t="s">
        <v>252</v>
      </c>
      <c r="B59">
        <v>150</v>
      </c>
    </row>
    <row r="60" spans="1:2">
      <c r="A60" s="57" t="s">
        <v>274</v>
      </c>
      <c r="B60">
        <v>7</v>
      </c>
    </row>
    <row r="61" spans="1:2">
      <c r="A61" s="58" t="s">
        <v>33</v>
      </c>
      <c r="B61">
        <v>2</v>
      </c>
    </row>
    <row r="62" spans="1:2">
      <c r="A62" s="58" t="s">
        <v>252</v>
      </c>
      <c r="B62">
        <v>5</v>
      </c>
    </row>
    <row r="63" spans="1:2">
      <c r="A63" s="57" t="s">
        <v>275</v>
      </c>
      <c r="B63">
        <v>306</v>
      </c>
    </row>
    <row r="64" spans="1:2">
      <c r="A64" s="58" t="s">
        <v>59</v>
      </c>
      <c r="B64">
        <v>6</v>
      </c>
    </row>
    <row r="65" spans="1:2">
      <c r="A65" s="58" t="s">
        <v>252</v>
      </c>
      <c r="B65">
        <v>300</v>
      </c>
    </row>
    <row r="66" spans="1:2">
      <c r="A66" s="57" t="s">
        <v>276</v>
      </c>
      <c r="B66">
        <v>40</v>
      </c>
    </row>
    <row r="67" spans="1:2">
      <c r="A67" s="58" t="s">
        <v>47</v>
      </c>
      <c r="B67">
        <v>40</v>
      </c>
    </row>
    <row r="68" spans="1:2">
      <c r="A68" s="57" t="s">
        <v>277</v>
      </c>
      <c r="B68">
        <v>40</v>
      </c>
    </row>
    <row r="69" spans="1:2">
      <c r="A69" s="58" t="s">
        <v>47</v>
      </c>
      <c r="B69">
        <v>40</v>
      </c>
    </row>
    <row r="70" spans="1:2">
      <c r="A70" s="43" t="s">
        <v>278</v>
      </c>
      <c r="B70">
        <v>782</v>
      </c>
    </row>
    <row r="71" spans="1:2">
      <c r="A71" s="57" t="s">
        <v>279</v>
      </c>
      <c r="B71">
        <v>1</v>
      </c>
    </row>
    <row r="72" spans="1:2">
      <c r="A72" s="58" t="s">
        <v>280</v>
      </c>
      <c r="B72">
        <v>1</v>
      </c>
    </row>
    <row r="73" spans="1:2">
      <c r="A73" s="57" t="s">
        <v>281</v>
      </c>
      <c r="B73">
        <v>2</v>
      </c>
    </row>
    <row r="74" spans="1:2">
      <c r="A74" s="58" t="s">
        <v>282</v>
      </c>
      <c r="B74">
        <v>2</v>
      </c>
    </row>
    <row r="75" spans="1:2">
      <c r="A75" s="57" t="s">
        <v>283</v>
      </c>
      <c r="B75">
        <v>1</v>
      </c>
    </row>
    <row r="76" spans="1:2">
      <c r="A76" s="58" t="s">
        <v>280</v>
      </c>
      <c r="B76">
        <v>1</v>
      </c>
    </row>
    <row r="77" spans="1:2">
      <c r="A77" s="57" t="s">
        <v>284</v>
      </c>
      <c r="B77">
        <v>39</v>
      </c>
    </row>
    <row r="78" spans="1:2">
      <c r="A78" s="58" t="s">
        <v>282</v>
      </c>
      <c r="B78">
        <v>13</v>
      </c>
    </row>
    <row r="79" spans="1:2">
      <c r="A79" s="58" t="s">
        <v>280</v>
      </c>
      <c r="B79">
        <v>26</v>
      </c>
    </row>
    <row r="80" spans="1:2">
      <c r="A80" s="57" t="s">
        <v>285</v>
      </c>
      <c r="B80">
        <v>728</v>
      </c>
    </row>
    <row r="81" spans="1:2">
      <c r="A81" s="58" t="s">
        <v>47</v>
      </c>
      <c r="B81">
        <v>170</v>
      </c>
    </row>
    <row r="82" spans="1:2">
      <c r="A82" s="58" t="s">
        <v>282</v>
      </c>
      <c r="B82">
        <v>58</v>
      </c>
    </row>
    <row r="83" spans="1:2">
      <c r="A83" s="58" t="s">
        <v>252</v>
      </c>
      <c r="B83">
        <v>500</v>
      </c>
    </row>
    <row r="84" spans="1:2">
      <c r="A84" s="57" t="s">
        <v>286</v>
      </c>
      <c r="B84">
        <v>1</v>
      </c>
    </row>
    <row r="85" spans="1:2">
      <c r="A85" s="58" t="s">
        <v>280</v>
      </c>
      <c r="B85">
        <v>1</v>
      </c>
    </row>
    <row r="86" spans="1:2">
      <c r="A86" s="57" t="s">
        <v>287</v>
      </c>
      <c r="B86">
        <v>10</v>
      </c>
    </row>
    <row r="87" spans="1:2">
      <c r="A87" s="58" t="s">
        <v>47</v>
      </c>
      <c r="B87">
        <v>10</v>
      </c>
    </row>
    <row r="88" spans="1:2">
      <c r="A88" s="43" t="s">
        <v>288</v>
      </c>
      <c r="B88">
        <v>7</v>
      </c>
    </row>
    <row r="89" spans="1:2">
      <c r="A89" s="57" t="s">
        <v>289</v>
      </c>
      <c r="B89">
        <v>2</v>
      </c>
    </row>
    <row r="90" spans="1:2">
      <c r="A90" s="58" t="s">
        <v>165</v>
      </c>
      <c r="B90">
        <v>2</v>
      </c>
    </row>
    <row r="91" spans="1:2">
      <c r="A91" s="57" t="s">
        <v>272</v>
      </c>
      <c r="B91">
        <v>1</v>
      </c>
    </row>
    <row r="92" spans="1:2">
      <c r="A92" s="58" t="s">
        <v>111</v>
      </c>
      <c r="B92">
        <v>1</v>
      </c>
    </row>
    <row r="93" spans="1:2">
      <c r="A93" s="57" t="s">
        <v>290</v>
      </c>
      <c r="B93">
        <v>1</v>
      </c>
    </row>
    <row r="94" spans="1:2">
      <c r="A94" s="58" t="s">
        <v>59</v>
      </c>
      <c r="B94">
        <v>1</v>
      </c>
    </row>
    <row r="95" spans="1:2">
      <c r="A95" s="57" t="s">
        <v>291</v>
      </c>
      <c r="B95">
        <v>2</v>
      </c>
    </row>
    <row r="96" spans="1:2">
      <c r="A96" s="58" t="s">
        <v>134</v>
      </c>
      <c r="B96">
        <v>1</v>
      </c>
    </row>
    <row r="97" spans="1:2">
      <c r="A97" s="58" t="s">
        <v>59</v>
      </c>
      <c r="B97">
        <v>1</v>
      </c>
    </row>
    <row r="98" spans="1:2">
      <c r="A98" s="57" t="s">
        <v>292</v>
      </c>
      <c r="B98">
        <v>1</v>
      </c>
    </row>
    <row r="99" spans="1:2">
      <c r="A99" s="58" t="s">
        <v>53</v>
      </c>
      <c r="B99">
        <v>1</v>
      </c>
    </row>
    <row r="100" spans="1:2">
      <c r="A100" s="43" t="s">
        <v>293</v>
      </c>
      <c r="B100">
        <v>1</v>
      </c>
    </row>
    <row r="101" spans="1:2">
      <c r="A101" s="57" t="s">
        <v>294</v>
      </c>
      <c r="B101">
        <v>1</v>
      </c>
    </row>
    <row r="102" spans="1:2">
      <c r="A102" s="58" t="s">
        <v>295</v>
      </c>
      <c r="B102">
        <v>1</v>
      </c>
    </row>
    <row r="103" spans="1:2">
      <c r="A103" s="43" t="s">
        <v>296</v>
      </c>
      <c r="B103">
        <v>52</v>
      </c>
    </row>
    <row r="104" spans="1:2">
      <c r="A104" s="57" t="s">
        <v>297</v>
      </c>
      <c r="B104">
        <v>34</v>
      </c>
    </row>
    <row r="105" spans="1:2">
      <c r="A105" s="58" t="s">
        <v>298</v>
      </c>
      <c r="B105">
        <v>34</v>
      </c>
    </row>
    <row r="106" spans="1:2">
      <c r="A106" s="57" t="s">
        <v>299</v>
      </c>
      <c r="B106">
        <v>1</v>
      </c>
    </row>
    <row r="107" spans="1:2">
      <c r="A107" s="58" t="s">
        <v>53</v>
      </c>
      <c r="B107">
        <v>1</v>
      </c>
    </row>
    <row r="108" spans="1:2">
      <c r="A108" s="57" t="s">
        <v>300</v>
      </c>
      <c r="B108">
        <v>3</v>
      </c>
    </row>
    <row r="109" spans="1:2">
      <c r="A109" s="58" t="s">
        <v>53</v>
      </c>
      <c r="B109">
        <v>3</v>
      </c>
    </row>
    <row r="110" spans="1:2">
      <c r="A110" s="57" t="s">
        <v>301</v>
      </c>
      <c r="B110">
        <v>1</v>
      </c>
    </row>
    <row r="111" spans="1:2">
      <c r="A111" s="58" t="s">
        <v>53</v>
      </c>
      <c r="B111">
        <v>1</v>
      </c>
    </row>
    <row r="112" spans="1:2">
      <c r="A112" s="57" t="s">
        <v>302</v>
      </c>
      <c r="B112">
        <v>1</v>
      </c>
    </row>
    <row r="113" spans="1:2">
      <c r="A113" s="58" t="s">
        <v>303</v>
      </c>
      <c r="B113">
        <v>1</v>
      </c>
    </row>
    <row r="114" spans="1:2">
      <c r="A114" s="57" t="s">
        <v>304</v>
      </c>
      <c r="B114">
        <v>12</v>
      </c>
    </row>
    <row r="115" spans="1:2">
      <c r="A115" s="58" t="s">
        <v>148</v>
      </c>
      <c r="B115">
        <v>8</v>
      </c>
    </row>
    <row r="116" spans="1:2">
      <c r="A116" s="58" t="s">
        <v>53</v>
      </c>
      <c r="B116">
        <v>4</v>
      </c>
    </row>
    <row r="117" spans="1:2">
      <c r="A117" s="43" t="s">
        <v>305</v>
      </c>
      <c r="B117">
        <v>43</v>
      </c>
    </row>
    <row r="118" spans="1:2">
      <c r="A118" s="57" t="s">
        <v>306</v>
      </c>
      <c r="B118">
        <v>1</v>
      </c>
    </row>
    <row r="119" spans="1:2">
      <c r="A119" s="58" t="s">
        <v>53</v>
      </c>
      <c r="B119">
        <v>1</v>
      </c>
    </row>
    <row r="120" spans="1:2">
      <c r="A120" s="57" t="s">
        <v>307</v>
      </c>
      <c r="B120">
        <v>4</v>
      </c>
    </row>
    <row r="121" spans="1:2">
      <c r="A121" s="58" t="s">
        <v>47</v>
      </c>
      <c r="B121">
        <v>2</v>
      </c>
    </row>
    <row r="122" spans="1:2">
      <c r="A122" s="58" t="s">
        <v>59</v>
      </c>
      <c r="B122">
        <v>2</v>
      </c>
    </row>
    <row r="123" spans="1:2">
      <c r="A123" s="57" t="s">
        <v>308</v>
      </c>
      <c r="B123">
        <v>1</v>
      </c>
    </row>
    <row r="124" spans="1:2">
      <c r="A124" s="58" t="s">
        <v>53</v>
      </c>
      <c r="B124">
        <v>1</v>
      </c>
    </row>
    <row r="125" spans="1:2">
      <c r="A125" s="57" t="s">
        <v>309</v>
      </c>
      <c r="B125">
        <v>2</v>
      </c>
    </row>
    <row r="126" spans="1:2">
      <c r="A126" s="58" t="s">
        <v>47</v>
      </c>
      <c r="B126">
        <v>2</v>
      </c>
    </row>
    <row r="127" spans="1:2">
      <c r="A127" s="57" t="s">
        <v>310</v>
      </c>
      <c r="B127">
        <v>2</v>
      </c>
    </row>
    <row r="128" spans="1:2">
      <c r="A128" s="58" t="s">
        <v>47</v>
      </c>
      <c r="B128">
        <v>2</v>
      </c>
    </row>
    <row r="129" spans="1:2">
      <c r="A129" s="57" t="s">
        <v>311</v>
      </c>
      <c r="B129">
        <v>1</v>
      </c>
    </row>
    <row r="130" spans="1:2">
      <c r="A130" s="58" t="s">
        <v>53</v>
      </c>
      <c r="B130">
        <v>1</v>
      </c>
    </row>
    <row r="131" spans="1:2">
      <c r="A131" s="57" t="s">
        <v>312</v>
      </c>
      <c r="B131">
        <v>2</v>
      </c>
    </row>
    <row r="132" spans="1:2">
      <c r="A132" s="58" t="s">
        <v>47</v>
      </c>
      <c r="B132">
        <v>2</v>
      </c>
    </row>
    <row r="133" spans="1:2">
      <c r="A133" s="57" t="s">
        <v>313</v>
      </c>
      <c r="B133">
        <v>2</v>
      </c>
    </row>
    <row r="134" spans="1:2">
      <c r="A134" s="58" t="s">
        <v>47</v>
      </c>
      <c r="B134">
        <v>1</v>
      </c>
    </row>
    <row r="135" spans="1:2">
      <c r="A135" s="58" t="s">
        <v>53</v>
      </c>
      <c r="B135">
        <v>1</v>
      </c>
    </row>
    <row r="136" spans="1:2">
      <c r="A136" s="57" t="s">
        <v>314</v>
      </c>
      <c r="B136">
        <v>5</v>
      </c>
    </row>
    <row r="137" spans="1:2">
      <c r="A137" s="58" t="s">
        <v>59</v>
      </c>
      <c r="B137">
        <v>1</v>
      </c>
    </row>
    <row r="138" spans="1:2">
      <c r="A138" s="58" t="s">
        <v>252</v>
      </c>
      <c r="B138">
        <v>4</v>
      </c>
    </row>
    <row r="139" spans="1:2">
      <c r="A139" s="57" t="s">
        <v>315</v>
      </c>
      <c r="B139">
        <v>4</v>
      </c>
    </row>
    <row r="140" spans="1:2">
      <c r="A140" s="58" t="s">
        <v>53</v>
      </c>
      <c r="B140">
        <v>4</v>
      </c>
    </row>
    <row r="141" spans="1:2">
      <c r="A141" s="57" t="s">
        <v>316</v>
      </c>
      <c r="B141">
        <v>5</v>
      </c>
    </row>
    <row r="142" spans="1:2">
      <c r="A142" s="58" t="s">
        <v>111</v>
      </c>
      <c r="B142">
        <v>1</v>
      </c>
    </row>
    <row r="143" spans="1:2">
      <c r="A143" s="58" t="s">
        <v>59</v>
      </c>
      <c r="B143">
        <v>1</v>
      </c>
    </row>
    <row r="144" spans="1:2">
      <c r="A144" s="58" t="s">
        <v>53</v>
      </c>
      <c r="B144">
        <v>3</v>
      </c>
    </row>
    <row r="145" spans="1:2">
      <c r="A145" s="57" t="s">
        <v>317</v>
      </c>
      <c r="B145">
        <v>6</v>
      </c>
    </row>
    <row r="146" spans="1:2">
      <c r="A146" s="58" t="s">
        <v>47</v>
      </c>
      <c r="B146">
        <v>6</v>
      </c>
    </row>
    <row r="147" spans="1:2">
      <c r="A147" s="57" t="s">
        <v>318</v>
      </c>
      <c r="B147">
        <v>1</v>
      </c>
    </row>
    <row r="148" spans="1:2">
      <c r="A148" s="58" t="s">
        <v>53</v>
      </c>
      <c r="B148">
        <v>1</v>
      </c>
    </row>
    <row r="149" spans="1:2">
      <c r="A149" s="57" t="s">
        <v>319</v>
      </c>
      <c r="B149">
        <v>1</v>
      </c>
    </row>
    <row r="150" spans="1:2">
      <c r="A150" s="58" t="s">
        <v>111</v>
      </c>
      <c r="B150">
        <v>1</v>
      </c>
    </row>
    <row r="151" spans="1:2">
      <c r="A151" s="57" t="s">
        <v>320</v>
      </c>
      <c r="B151">
        <v>1</v>
      </c>
    </row>
    <row r="152" spans="1:2">
      <c r="A152" s="58" t="s">
        <v>53</v>
      </c>
      <c r="B152">
        <v>1</v>
      </c>
    </row>
    <row r="153" spans="1:2">
      <c r="A153" s="57" t="s">
        <v>321</v>
      </c>
      <c r="B153">
        <v>2</v>
      </c>
    </row>
    <row r="154" spans="1:2">
      <c r="A154" s="58" t="s">
        <v>148</v>
      </c>
      <c r="B154">
        <v>2</v>
      </c>
    </row>
    <row r="155" spans="1:2">
      <c r="A155" s="57" t="s">
        <v>322</v>
      </c>
      <c r="B155">
        <v>1</v>
      </c>
    </row>
    <row r="156" spans="1:2">
      <c r="A156" s="58" t="s">
        <v>53</v>
      </c>
      <c r="B156">
        <v>1</v>
      </c>
    </row>
    <row r="157" spans="1:2">
      <c r="A157" s="57" t="s">
        <v>323</v>
      </c>
      <c r="B157">
        <v>1</v>
      </c>
    </row>
    <row r="158" spans="1:2">
      <c r="A158" s="58" t="s">
        <v>53</v>
      </c>
      <c r="B158">
        <v>1</v>
      </c>
    </row>
    <row r="159" spans="1:2">
      <c r="A159" s="57" t="s">
        <v>324</v>
      </c>
      <c r="B159">
        <v>1</v>
      </c>
    </row>
    <row r="160" spans="1:2">
      <c r="A160" s="58" t="s">
        <v>111</v>
      </c>
      <c r="B160">
        <v>1</v>
      </c>
    </row>
    <row r="161" spans="1:2">
      <c r="A161" s="43" t="s">
        <v>325</v>
      </c>
      <c r="B161">
        <v>140</v>
      </c>
    </row>
    <row r="162" spans="1:2">
      <c r="A162" s="57" t="s">
        <v>326</v>
      </c>
      <c r="B162">
        <v>1</v>
      </c>
    </row>
    <row r="163" spans="1:2">
      <c r="A163" s="58" t="s">
        <v>53</v>
      </c>
      <c r="B163">
        <v>1</v>
      </c>
    </row>
    <row r="164" spans="1:2">
      <c r="A164" s="57" t="s">
        <v>327</v>
      </c>
      <c r="B164">
        <v>3</v>
      </c>
    </row>
    <row r="165" spans="1:2">
      <c r="A165" s="58" t="s">
        <v>59</v>
      </c>
      <c r="B165">
        <v>1</v>
      </c>
    </row>
    <row r="166" spans="1:2">
      <c r="A166" s="58" t="s">
        <v>53</v>
      </c>
      <c r="B166">
        <v>2</v>
      </c>
    </row>
    <row r="167" spans="1:2">
      <c r="A167" s="57" t="s">
        <v>328</v>
      </c>
      <c r="B167">
        <v>1</v>
      </c>
    </row>
    <row r="168" spans="1:2">
      <c r="A168" s="58" t="s">
        <v>165</v>
      </c>
      <c r="B168">
        <v>1</v>
      </c>
    </row>
    <row r="169" spans="1:2">
      <c r="A169" s="57" t="s">
        <v>329</v>
      </c>
      <c r="B169">
        <v>100</v>
      </c>
    </row>
    <row r="170" spans="1:2">
      <c r="A170" s="58" t="s">
        <v>85</v>
      </c>
      <c r="B170">
        <v>100</v>
      </c>
    </row>
    <row r="171" spans="1:2">
      <c r="A171" s="57" t="s">
        <v>330</v>
      </c>
      <c r="B171">
        <v>2</v>
      </c>
    </row>
    <row r="172" spans="1:2">
      <c r="A172" s="58" t="s">
        <v>165</v>
      </c>
      <c r="B172">
        <v>2</v>
      </c>
    </row>
    <row r="173" spans="1:2">
      <c r="A173" s="57" t="s">
        <v>331</v>
      </c>
      <c r="B173">
        <v>11</v>
      </c>
    </row>
    <row r="174" spans="1:2">
      <c r="A174" s="58" t="s">
        <v>33</v>
      </c>
      <c r="B174">
        <v>4</v>
      </c>
    </row>
    <row r="175" spans="1:2">
      <c r="A175" s="58" t="s">
        <v>47</v>
      </c>
      <c r="B175">
        <v>6</v>
      </c>
    </row>
    <row r="176" spans="1:2">
      <c r="A176" s="58" t="s">
        <v>53</v>
      </c>
      <c r="B176">
        <v>1</v>
      </c>
    </row>
    <row r="177" spans="1:2">
      <c r="A177" s="57" t="s">
        <v>332</v>
      </c>
      <c r="B177">
        <v>11</v>
      </c>
    </row>
    <row r="178" spans="1:2">
      <c r="A178" s="58" t="s">
        <v>148</v>
      </c>
      <c r="B178">
        <v>8</v>
      </c>
    </row>
    <row r="179" spans="1:2">
      <c r="A179" s="58" t="s">
        <v>53</v>
      </c>
      <c r="B179">
        <v>2</v>
      </c>
    </row>
    <row r="180" spans="1:2">
      <c r="A180" s="58" t="s">
        <v>333</v>
      </c>
      <c r="B180">
        <v>1</v>
      </c>
    </row>
    <row r="181" spans="1:2">
      <c r="A181" s="57" t="s">
        <v>334</v>
      </c>
      <c r="B181">
        <v>11</v>
      </c>
    </row>
    <row r="182" spans="1:2">
      <c r="A182" s="58" t="s">
        <v>53</v>
      </c>
      <c r="B182">
        <v>2</v>
      </c>
    </row>
    <row r="183" spans="1:2">
      <c r="A183" s="58" t="s">
        <v>335</v>
      </c>
      <c r="B183">
        <v>8</v>
      </c>
    </row>
    <row r="184" spans="1:2">
      <c r="A184" s="58" t="s">
        <v>333</v>
      </c>
      <c r="B184">
        <v>1</v>
      </c>
    </row>
    <row r="185" spans="1:2">
      <c r="A185" s="43" t="s">
        <v>336</v>
      </c>
      <c r="B185">
        <v>16</v>
      </c>
    </row>
    <row r="186" spans="1:2">
      <c r="A186" s="57" t="s">
        <v>337</v>
      </c>
      <c r="B186">
        <v>1</v>
      </c>
    </row>
    <row r="187" spans="1:2">
      <c r="A187" s="58" t="s">
        <v>233</v>
      </c>
      <c r="B187">
        <v>1</v>
      </c>
    </row>
    <row r="188" spans="1:2">
      <c r="A188" s="57" t="s">
        <v>338</v>
      </c>
      <c r="B188">
        <v>1</v>
      </c>
    </row>
    <row r="189" spans="1:2">
      <c r="A189" s="58" t="s">
        <v>53</v>
      </c>
      <c r="B189">
        <v>1</v>
      </c>
    </row>
    <row r="190" spans="1:2">
      <c r="A190" s="57" t="s">
        <v>339</v>
      </c>
      <c r="B190">
        <v>13</v>
      </c>
    </row>
    <row r="191" spans="1:2">
      <c r="A191" s="58" t="s">
        <v>340</v>
      </c>
      <c r="B191">
        <v>10</v>
      </c>
    </row>
    <row r="192" spans="1:2">
      <c r="A192" s="58" t="s">
        <v>59</v>
      </c>
      <c r="B192">
        <v>2</v>
      </c>
    </row>
    <row r="193" spans="1:2">
      <c r="A193" s="58" t="s">
        <v>233</v>
      </c>
      <c r="B193">
        <v>1</v>
      </c>
    </row>
    <row r="194" spans="1:2">
      <c r="A194" s="57" t="s">
        <v>341</v>
      </c>
      <c r="B194">
        <v>1</v>
      </c>
    </row>
    <row r="195" spans="1:2">
      <c r="A195" s="58" t="s">
        <v>53</v>
      </c>
      <c r="B195">
        <v>1</v>
      </c>
    </row>
    <row r="196" spans="1:2">
      <c r="A196" s="43" t="s">
        <v>342</v>
      </c>
      <c r="B196">
        <v>2</v>
      </c>
    </row>
    <row r="197" spans="1:2">
      <c r="A197" s="57" t="s">
        <v>343</v>
      </c>
      <c r="B197">
        <v>1</v>
      </c>
    </row>
    <row r="198" spans="1:2">
      <c r="A198" s="58" t="s">
        <v>59</v>
      </c>
      <c r="B198">
        <v>1</v>
      </c>
    </row>
    <row r="199" spans="1:2">
      <c r="A199" s="57" t="s">
        <v>344</v>
      </c>
      <c r="B199">
        <v>1</v>
      </c>
    </row>
    <row r="200" spans="1:2">
      <c r="A200" s="58" t="s">
        <v>59</v>
      </c>
      <c r="B200">
        <v>1</v>
      </c>
    </row>
    <row r="201" spans="1:2">
      <c r="A201" s="43" t="s">
        <v>202</v>
      </c>
      <c r="B201">
        <v>2129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A29E-CE1F-4D12-81DC-FC65E0376DCB}">
  <sheetPr>
    <tabColor theme="4"/>
  </sheetPr>
  <dimension ref="A2:I76"/>
  <sheetViews>
    <sheetView zoomScale="160" zoomScaleNormal="160" workbookViewId="0">
      <selection activeCell="I13" sqref="I13"/>
    </sheetView>
  </sheetViews>
  <sheetFormatPr defaultColWidth="10.85546875" defaultRowHeight="14.45"/>
  <cols>
    <col min="1" max="1" width="48" bestFit="1" customWidth="1"/>
    <col min="2" max="2" width="15.28515625" bestFit="1" customWidth="1"/>
    <col min="3" max="3" width="3.85546875" bestFit="1" customWidth="1"/>
    <col min="4" max="4" width="4.140625" bestFit="1" customWidth="1"/>
    <col min="5" max="5" width="3.85546875" bestFit="1" customWidth="1"/>
    <col min="6" max="6" width="4.140625" bestFit="1" customWidth="1"/>
    <col min="7" max="8" width="3.85546875" bestFit="1" customWidth="1"/>
    <col min="9" max="9" width="10.7109375" bestFit="1" customWidth="1"/>
    <col min="10" max="13" width="10.140625" bestFit="1" customWidth="1"/>
  </cols>
  <sheetData>
    <row r="2" spans="1:9">
      <c r="A2" s="56" t="s">
        <v>0</v>
      </c>
      <c r="B2" t="s">
        <v>220</v>
      </c>
    </row>
    <row r="3" spans="1:9">
      <c r="A3" s="56" t="s">
        <v>6</v>
      </c>
      <c r="B3" t="s">
        <v>222</v>
      </c>
    </row>
    <row r="4" spans="1:9">
      <c r="A4" s="56" t="s">
        <v>11</v>
      </c>
      <c r="B4" t="s">
        <v>222</v>
      </c>
    </row>
    <row r="5" spans="1:9">
      <c r="A5" s="56" t="s">
        <v>1</v>
      </c>
      <c r="B5" t="s">
        <v>222</v>
      </c>
    </row>
    <row r="7" spans="1:9">
      <c r="A7" s="56" t="s">
        <v>225</v>
      </c>
      <c r="B7" s="56" t="s">
        <v>186</v>
      </c>
    </row>
    <row r="8" spans="1:9">
      <c r="A8" s="56" t="s">
        <v>205</v>
      </c>
      <c r="B8" t="s">
        <v>19</v>
      </c>
      <c r="C8" t="s">
        <v>214</v>
      </c>
      <c r="D8" t="s">
        <v>211</v>
      </c>
      <c r="E8">
        <v>974</v>
      </c>
      <c r="F8" t="s">
        <v>208</v>
      </c>
      <c r="G8" t="s">
        <v>212</v>
      </c>
      <c r="H8" t="s">
        <v>213</v>
      </c>
      <c r="I8" t="s">
        <v>202</v>
      </c>
    </row>
    <row r="9" spans="1:9">
      <c r="A9" s="43" t="s">
        <v>224</v>
      </c>
      <c r="B9">
        <v>76</v>
      </c>
      <c r="C9">
        <v>9</v>
      </c>
      <c r="D9">
        <v>9</v>
      </c>
      <c r="E9">
        <v>106</v>
      </c>
      <c r="F9">
        <v>6</v>
      </c>
      <c r="G9">
        <v>7</v>
      </c>
      <c r="H9">
        <v>6</v>
      </c>
      <c r="I9">
        <v>219</v>
      </c>
    </row>
    <row r="10" spans="1:9">
      <c r="A10" s="57" t="s">
        <v>303</v>
      </c>
      <c r="C10">
        <v>1</v>
      </c>
      <c r="D10">
        <v>1</v>
      </c>
      <c r="E10">
        <v>1</v>
      </c>
      <c r="G10">
        <v>1</v>
      </c>
      <c r="H10">
        <v>1</v>
      </c>
      <c r="I10">
        <v>5</v>
      </c>
    </row>
    <row r="11" spans="1:9">
      <c r="A11" s="58" t="s">
        <v>296</v>
      </c>
      <c r="C11">
        <v>1</v>
      </c>
      <c r="D11">
        <v>1</v>
      </c>
      <c r="E11">
        <v>1</v>
      </c>
      <c r="G11">
        <v>1</v>
      </c>
      <c r="H11">
        <v>1</v>
      </c>
      <c r="I11">
        <v>5</v>
      </c>
    </row>
    <row r="12" spans="1:9">
      <c r="A12" s="71" t="s">
        <v>302</v>
      </c>
      <c r="C12">
        <v>1</v>
      </c>
      <c r="D12">
        <v>1</v>
      </c>
      <c r="E12">
        <v>1</v>
      </c>
      <c r="G12">
        <v>1</v>
      </c>
      <c r="H12">
        <v>1</v>
      </c>
      <c r="I12">
        <v>5</v>
      </c>
    </row>
    <row r="13" spans="1:9">
      <c r="A13" s="57" t="s">
        <v>165</v>
      </c>
      <c r="B13">
        <v>9</v>
      </c>
      <c r="C13">
        <v>8</v>
      </c>
      <c r="D13">
        <v>8</v>
      </c>
      <c r="E13">
        <v>5</v>
      </c>
      <c r="F13">
        <v>6</v>
      </c>
      <c r="G13">
        <v>6</v>
      </c>
      <c r="H13">
        <v>5</v>
      </c>
      <c r="I13">
        <v>47</v>
      </c>
    </row>
    <row r="14" spans="1:9">
      <c r="A14" s="58" t="s">
        <v>345</v>
      </c>
      <c r="B14">
        <v>1</v>
      </c>
      <c r="I14">
        <v>1</v>
      </c>
    </row>
    <row r="15" spans="1:9">
      <c r="A15" s="71" t="s">
        <v>289</v>
      </c>
      <c r="B15">
        <v>1</v>
      </c>
      <c r="I15">
        <v>1</v>
      </c>
    </row>
    <row r="16" spans="1:9">
      <c r="A16" s="58" t="s">
        <v>288</v>
      </c>
      <c r="C16">
        <v>2</v>
      </c>
      <c r="D16">
        <v>2</v>
      </c>
      <c r="E16">
        <v>2</v>
      </c>
      <c r="F16">
        <v>2</v>
      </c>
      <c r="G16">
        <v>2</v>
      </c>
      <c r="I16">
        <v>10</v>
      </c>
    </row>
    <row r="17" spans="1:9">
      <c r="A17" s="71" t="s">
        <v>289</v>
      </c>
      <c r="C17">
        <v>2</v>
      </c>
      <c r="D17">
        <v>2</v>
      </c>
      <c r="E17">
        <v>2</v>
      </c>
      <c r="F17">
        <v>2</v>
      </c>
      <c r="G17">
        <v>2</v>
      </c>
      <c r="I17">
        <v>10</v>
      </c>
    </row>
    <row r="18" spans="1:9">
      <c r="A18" s="58" t="s">
        <v>325</v>
      </c>
      <c r="C18">
        <v>6</v>
      </c>
      <c r="D18">
        <v>6</v>
      </c>
      <c r="E18">
        <v>3</v>
      </c>
      <c r="F18">
        <v>4</v>
      </c>
      <c r="G18">
        <v>4</v>
      </c>
      <c r="H18">
        <v>5</v>
      </c>
      <c r="I18">
        <v>28</v>
      </c>
    </row>
    <row r="19" spans="1:9">
      <c r="A19" s="71" t="s">
        <v>328</v>
      </c>
      <c r="C19">
        <v>1</v>
      </c>
      <c r="D19">
        <v>1</v>
      </c>
      <c r="E19">
        <v>1</v>
      </c>
      <c r="G19">
        <v>1</v>
      </c>
      <c r="H19">
        <v>1</v>
      </c>
      <c r="I19">
        <v>5</v>
      </c>
    </row>
    <row r="20" spans="1:9">
      <c r="A20" s="71" t="s">
        <v>330</v>
      </c>
      <c r="E20">
        <v>2</v>
      </c>
      <c r="G20">
        <v>3</v>
      </c>
      <c r="H20">
        <v>4</v>
      </c>
      <c r="I20">
        <v>9</v>
      </c>
    </row>
    <row r="21" spans="1:9">
      <c r="A21" s="71" t="s">
        <v>346</v>
      </c>
      <c r="C21">
        <v>5</v>
      </c>
      <c r="D21">
        <v>5</v>
      </c>
      <c r="F21">
        <v>4</v>
      </c>
      <c r="I21">
        <v>14</v>
      </c>
    </row>
    <row r="22" spans="1:9">
      <c r="A22" s="58" t="s">
        <v>347</v>
      </c>
      <c r="B22">
        <v>8</v>
      </c>
      <c r="I22">
        <v>8</v>
      </c>
    </row>
    <row r="23" spans="1:9">
      <c r="A23" s="71" t="s">
        <v>348</v>
      </c>
      <c r="B23">
        <v>8</v>
      </c>
      <c r="I23">
        <v>8</v>
      </c>
    </row>
    <row r="24" spans="1:9">
      <c r="A24" s="57" t="s">
        <v>85</v>
      </c>
      <c r="B24">
        <v>37</v>
      </c>
      <c r="E24">
        <v>100</v>
      </c>
      <c r="I24">
        <v>137</v>
      </c>
    </row>
    <row r="25" spans="1:9">
      <c r="A25" s="58" t="s">
        <v>71</v>
      </c>
      <c r="B25">
        <v>20</v>
      </c>
      <c r="I25">
        <v>20</v>
      </c>
    </row>
    <row r="26" spans="1:9">
      <c r="A26" s="71" t="s">
        <v>83</v>
      </c>
      <c r="B26">
        <v>20</v>
      </c>
      <c r="I26">
        <v>20</v>
      </c>
    </row>
    <row r="27" spans="1:9">
      <c r="A27" s="58" t="s">
        <v>177</v>
      </c>
      <c r="B27">
        <v>3</v>
      </c>
      <c r="I27">
        <v>3</v>
      </c>
    </row>
    <row r="28" spans="1:9">
      <c r="A28" s="71" t="s">
        <v>178</v>
      </c>
      <c r="B28">
        <v>3</v>
      </c>
      <c r="I28">
        <v>3</v>
      </c>
    </row>
    <row r="29" spans="1:9">
      <c r="A29" s="58" t="s">
        <v>345</v>
      </c>
      <c r="B29">
        <v>4</v>
      </c>
      <c r="I29">
        <v>4</v>
      </c>
    </row>
    <row r="30" spans="1:9">
      <c r="A30" s="71" t="s">
        <v>289</v>
      </c>
      <c r="B30">
        <v>4</v>
      </c>
      <c r="I30">
        <v>4</v>
      </c>
    </row>
    <row r="31" spans="1:9">
      <c r="A31" s="58" t="s">
        <v>288</v>
      </c>
      <c r="B31">
        <v>10</v>
      </c>
      <c r="I31">
        <v>10</v>
      </c>
    </row>
    <row r="32" spans="1:9">
      <c r="A32" s="71" t="s">
        <v>349</v>
      </c>
      <c r="B32">
        <v>10</v>
      </c>
      <c r="I32">
        <v>10</v>
      </c>
    </row>
    <row r="33" spans="1:9">
      <c r="A33" s="58" t="s">
        <v>325</v>
      </c>
      <c r="E33">
        <v>100</v>
      </c>
      <c r="I33">
        <v>100</v>
      </c>
    </row>
    <row r="34" spans="1:9">
      <c r="A34" s="71" t="s">
        <v>329</v>
      </c>
      <c r="E34">
        <v>100</v>
      </c>
      <c r="I34">
        <v>100</v>
      </c>
    </row>
    <row r="35" spans="1:9">
      <c r="A35" s="57" t="s">
        <v>228</v>
      </c>
      <c r="B35">
        <v>30</v>
      </c>
      <c r="I35">
        <v>30</v>
      </c>
    </row>
    <row r="36" spans="1:9">
      <c r="A36" s="58" t="s">
        <v>226</v>
      </c>
      <c r="B36">
        <v>30</v>
      </c>
      <c r="I36">
        <v>30</v>
      </c>
    </row>
    <row r="37" spans="1:9">
      <c r="A37" s="71" t="s">
        <v>227</v>
      </c>
      <c r="B37">
        <v>30</v>
      </c>
      <c r="I37">
        <v>30</v>
      </c>
    </row>
    <row r="38" spans="1:9">
      <c r="A38" s="43" t="s">
        <v>350</v>
      </c>
      <c r="B38">
        <v>19</v>
      </c>
      <c r="C38">
        <v>352</v>
      </c>
      <c r="D38">
        <v>322</v>
      </c>
      <c r="E38">
        <v>86</v>
      </c>
      <c r="F38">
        <v>211</v>
      </c>
      <c r="G38">
        <v>223</v>
      </c>
      <c r="H38">
        <v>110</v>
      </c>
      <c r="I38">
        <v>1323</v>
      </c>
    </row>
    <row r="39" spans="1:9">
      <c r="A39" s="57" t="s">
        <v>303</v>
      </c>
      <c r="F39">
        <v>1</v>
      </c>
      <c r="I39">
        <v>1</v>
      </c>
    </row>
    <row r="40" spans="1:9">
      <c r="A40" s="58" t="s">
        <v>296</v>
      </c>
      <c r="F40">
        <v>1</v>
      </c>
      <c r="I40">
        <v>1</v>
      </c>
    </row>
    <row r="41" spans="1:9">
      <c r="A41" s="71" t="s">
        <v>302</v>
      </c>
      <c r="F41">
        <v>1</v>
      </c>
      <c r="I41">
        <v>1</v>
      </c>
    </row>
    <row r="42" spans="1:9">
      <c r="A42" s="57" t="s">
        <v>165</v>
      </c>
      <c r="B42">
        <v>2</v>
      </c>
      <c r="C42">
        <v>5</v>
      </c>
      <c r="D42">
        <v>4</v>
      </c>
      <c r="E42">
        <v>3</v>
      </c>
      <c r="F42">
        <v>3</v>
      </c>
      <c r="G42">
        <v>3</v>
      </c>
      <c r="H42">
        <v>3</v>
      </c>
      <c r="I42">
        <v>23</v>
      </c>
    </row>
    <row r="43" spans="1:9">
      <c r="A43" s="58" t="s">
        <v>71</v>
      </c>
      <c r="B43">
        <v>1</v>
      </c>
      <c r="I43">
        <v>1</v>
      </c>
    </row>
    <row r="44" spans="1:9">
      <c r="A44" s="71" t="s">
        <v>351</v>
      </c>
      <c r="B44">
        <v>1</v>
      </c>
      <c r="I44">
        <v>1</v>
      </c>
    </row>
    <row r="45" spans="1:9">
      <c r="A45" s="58" t="s">
        <v>64</v>
      </c>
      <c r="B45">
        <v>1</v>
      </c>
      <c r="I45">
        <v>1</v>
      </c>
    </row>
    <row r="46" spans="1:9">
      <c r="A46" s="71" t="s">
        <v>65</v>
      </c>
      <c r="B46">
        <v>1</v>
      </c>
      <c r="I46">
        <v>1</v>
      </c>
    </row>
    <row r="47" spans="1:9">
      <c r="A47" s="58" t="s">
        <v>296</v>
      </c>
      <c r="C47">
        <v>0</v>
      </c>
      <c r="D47">
        <v>0</v>
      </c>
      <c r="E47">
        <v>0</v>
      </c>
      <c r="F47">
        <v>0</v>
      </c>
      <c r="G47">
        <v>0</v>
      </c>
      <c r="H47">
        <v>0</v>
      </c>
      <c r="I47">
        <v>0</v>
      </c>
    </row>
    <row r="48" spans="1:9">
      <c r="A48" s="71" t="s">
        <v>304</v>
      </c>
      <c r="E48">
        <v>0</v>
      </c>
      <c r="F48">
        <v>0</v>
      </c>
      <c r="G48">
        <v>0</v>
      </c>
      <c r="H48">
        <v>0</v>
      </c>
      <c r="I48">
        <v>0</v>
      </c>
    </row>
    <row r="49" spans="1:9">
      <c r="A49" s="71" t="s">
        <v>352</v>
      </c>
      <c r="C49">
        <v>0</v>
      </c>
      <c r="D49">
        <v>0</v>
      </c>
      <c r="I49">
        <v>0</v>
      </c>
    </row>
    <row r="50" spans="1:9">
      <c r="A50" s="58" t="s">
        <v>325</v>
      </c>
      <c r="C50">
        <v>5</v>
      </c>
      <c r="D50">
        <v>4</v>
      </c>
      <c r="E50">
        <v>3</v>
      </c>
      <c r="F50">
        <v>3</v>
      </c>
      <c r="G50">
        <v>3</v>
      </c>
      <c r="H50">
        <v>3</v>
      </c>
      <c r="I50">
        <v>21</v>
      </c>
    </row>
    <row r="51" spans="1:9">
      <c r="A51" s="71" t="s">
        <v>328</v>
      </c>
      <c r="F51">
        <v>1</v>
      </c>
      <c r="I51">
        <v>1</v>
      </c>
    </row>
    <row r="52" spans="1:9">
      <c r="A52" s="71" t="s">
        <v>353</v>
      </c>
      <c r="C52">
        <v>5</v>
      </c>
      <c r="D52">
        <v>4</v>
      </c>
      <c r="E52">
        <v>3</v>
      </c>
      <c r="F52">
        <v>2</v>
      </c>
      <c r="G52">
        <v>3</v>
      </c>
      <c r="H52">
        <v>3</v>
      </c>
      <c r="I52">
        <v>20</v>
      </c>
    </row>
    <row r="53" spans="1:9">
      <c r="A53" s="57" t="s">
        <v>85</v>
      </c>
      <c r="B53">
        <v>1</v>
      </c>
      <c r="C53">
        <v>336</v>
      </c>
      <c r="D53">
        <v>311</v>
      </c>
      <c r="E53">
        <v>76</v>
      </c>
      <c r="F53">
        <v>200</v>
      </c>
      <c r="G53">
        <v>213</v>
      </c>
      <c r="H53">
        <v>100</v>
      </c>
      <c r="I53">
        <v>1237</v>
      </c>
    </row>
    <row r="54" spans="1:9">
      <c r="A54" s="58" t="s">
        <v>71</v>
      </c>
      <c r="B54">
        <v>1</v>
      </c>
      <c r="I54">
        <v>1</v>
      </c>
    </row>
    <row r="55" spans="1:9">
      <c r="A55" s="71" t="s">
        <v>72</v>
      </c>
      <c r="B55">
        <v>1</v>
      </c>
      <c r="I55">
        <v>1</v>
      </c>
    </row>
    <row r="56" spans="1:9">
      <c r="A56" s="58" t="s">
        <v>288</v>
      </c>
      <c r="C56">
        <v>146</v>
      </c>
      <c r="D56">
        <v>151</v>
      </c>
      <c r="E56">
        <v>76</v>
      </c>
      <c r="F56">
        <v>90</v>
      </c>
      <c r="G56">
        <v>123</v>
      </c>
      <c r="I56">
        <v>586</v>
      </c>
    </row>
    <row r="57" spans="1:9">
      <c r="A57" s="71" t="s">
        <v>289</v>
      </c>
      <c r="C57">
        <v>146</v>
      </c>
      <c r="D57">
        <v>151</v>
      </c>
      <c r="E57">
        <v>76</v>
      </c>
      <c r="F57">
        <v>90</v>
      </c>
      <c r="G57">
        <v>123</v>
      </c>
      <c r="I57">
        <v>586</v>
      </c>
    </row>
    <row r="58" spans="1:9">
      <c r="A58" s="58" t="s">
        <v>325</v>
      </c>
      <c r="C58">
        <v>190</v>
      </c>
      <c r="D58">
        <v>160</v>
      </c>
      <c r="F58">
        <v>110</v>
      </c>
      <c r="G58">
        <v>90</v>
      </c>
      <c r="H58">
        <v>100</v>
      </c>
      <c r="I58">
        <v>650</v>
      </c>
    </row>
    <row r="59" spans="1:9">
      <c r="A59" s="71" t="s">
        <v>354</v>
      </c>
      <c r="C59">
        <v>190</v>
      </c>
      <c r="I59">
        <v>190</v>
      </c>
    </row>
    <row r="60" spans="1:9">
      <c r="A60" s="71" t="s">
        <v>355</v>
      </c>
      <c r="D60">
        <v>160</v>
      </c>
      <c r="I60">
        <v>160</v>
      </c>
    </row>
    <row r="61" spans="1:9">
      <c r="A61" s="71" t="s">
        <v>329</v>
      </c>
      <c r="G61">
        <v>90</v>
      </c>
      <c r="I61">
        <v>90</v>
      </c>
    </row>
    <row r="62" spans="1:9">
      <c r="A62" s="71" t="s">
        <v>356</v>
      </c>
      <c r="F62">
        <v>110</v>
      </c>
      <c r="H62">
        <v>100</v>
      </c>
      <c r="I62">
        <v>210</v>
      </c>
    </row>
    <row r="63" spans="1:9">
      <c r="A63" s="57" t="s">
        <v>221</v>
      </c>
      <c r="B63">
        <v>16</v>
      </c>
      <c r="C63">
        <v>11</v>
      </c>
      <c r="D63">
        <v>7</v>
      </c>
      <c r="E63">
        <v>7</v>
      </c>
      <c r="F63">
        <v>7</v>
      </c>
      <c r="G63">
        <v>7</v>
      </c>
      <c r="H63">
        <v>7</v>
      </c>
      <c r="I63">
        <v>62</v>
      </c>
    </row>
    <row r="64" spans="1:9">
      <c r="A64" s="58" t="s">
        <v>71</v>
      </c>
      <c r="B64">
        <v>7</v>
      </c>
      <c r="I64">
        <v>7</v>
      </c>
    </row>
    <row r="65" spans="1:9">
      <c r="A65" s="71" t="s">
        <v>138</v>
      </c>
      <c r="B65">
        <v>5</v>
      </c>
      <c r="I65">
        <v>5</v>
      </c>
    </row>
    <row r="66" spans="1:9">
      <c r="A66" s="71" t="s">
        <v>357</v>
      </c>
      <c r="B66">
        <v>2</v>
      </c>
      <c r="I66">
        <v>2</v>
      </c>
    </row>
    <row r="67" spans="1:9">
      <c r="A67" s="58" t="s">
        <v>345</v>
      </c>
      <c r="B67">
        <v>2</v>
      </c>
      <c r="I67">
        <v>2</v>
      </c>
    </row>
    <row r="68" spans="1:9">
      <c r="A68" s="71" t="s">
        <v>291</v>
      </c>
      <c r="B68">
        <v>2</v>
      </c>
      <c r="I68">
        <v>2</v>
      </c>
    </row>
    <row r="69" spans="1:9">
      <c r="A69" s="58" t="s">
        <v>288</v>
      </c>
      <c r="C69">
        <v>2</v>
      </c>
      <c r="D69">
        <v>2</v>
      </c>
      <c r="E69">
        <v>2</v>
      </c>
      <c r="F69">
        <v>2</v>
      </c>
      <c r="G69">
        <v>2</v>
      </c>
      <c r="H69">
        <v>2</v>
      </c>
      <c r="I69">
        <v>12</v>
      </c>
    </row>
    <row r="70" spans="1:9">
      <c r="A70" s="71" t="s">
        <v>292</v>
      </c>
      <c r="C70">
        <v>2</v>
      </c>
      <c r="D70">
        <v>2</v>
      </c>
      <c r="E70">
        <v>2</v>
      </c>
      <c r="F70">
        <v>2</v>
      </c>
      <c r="G70">
        <v>2</v>
      </c>
      <c r="H70">
        <v>2</v>
      </c>
      <c r="I70">
        <v>12</v>
      </c>
    </row>
    <row r="71" spans="1:9">
      <c r="A71" s="58" t="s">
        <v>325</v>
      </c>
      <c r="C71">
        <v>9</v>
      </c>
      <c r="D71">
        <v>5</v>
      </c>
      <c r="E71">
        <v>5</v>
      </c>
      <c r="F71">
        <v>5</v>
      </c>
      <c r="G71">
        <v>5</v>
      </c>
      <c r="H71">
        <v>5</v>
      </c>
      <c r="I71">
        <v>34</v>
      </c>
    </row>
    <row r="72" spans="1:9">
      <c r="A72" s="71" t="s">
        <v>353</v>
      </c>
      <c r="C72">
        <v>9</v>
      </c>
      <c r="D72">
        <v>5</v>
      </c>
      <c r="E72">
        <v>5</v>
      </c>
      <c r="F72">
        <v>5</v>
      </c>
      <c r="G72">
        <v>5</v>
      </c>
      <c r="H72">
        <v>5</v>
      </c>
      <c r="I72">
        <v>34</v>
      </c>
    </row>
    <row r="73" spans="1:9">
      <c r="A73" s="58" t="s">
        <v>20</v>
      </c>
      <c r="B73">
        <v>7</v>
      </c>
      <c r="I73">
        <v>7</v>
      </c>
    </row>
    <row r="74" spans="1:9">
      <c r="A74" s="71" t="s">
        <v>91</v>
      </c>
      <c r="B74">
        <v>5</v>
      </c>
      <c r="I74">
        <v>5</v>
      </c>
    </row>
    <row r="75" spans="1:9">
      <c r="A75" s="71" t="s">
        <v>128</v>
      </c>
      <c r="B75">
        <v>2</v>
      </c>
      <c r="I75">
        <v>2</v>
      </c>
    </row>
    <row r="76" spans="1:9">
      <c r="A76" s="43" t="s">
        <v>202</v>
      </c>
      <c r="B76">
        <v>95</v>
      </c>
      <c r="C76">
        <v>361</v>
      </c>
      <c r="D76">
        <v>331</v>
      </c>
      <c r="E76">
        <v>192</v>
      </c>
      <c r="F76">
        <v>217</v>
      </c>
      <c r="G76">
        <v>230</v>
      </c>
      <c r="H76">
        <v>116</v>
      </c>
      <c r="I76">
        <v>1542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31FC-9635-5746-8C14-A6EA4034EEBD}">
  <sheetPr>
    <tabColor theme="4"/>
  </sheetPr>
  <dimension ref="A2:B114"/>
  <sheetViews>
    <sheetView topLeftCell="A13" zoomScale="160" zoomScaleNormal="160" workbookViewId="0">
      <selection activeCell="A14" sqref="A14"/>
    </sheetView>
  </sheetViews>
  <sheetFormatPr defaultColWidth="10.85546875" defaultRowHeight="14.45"/>
  <cols>
    <col min="1" max="1" width="40.85546875" bestFit="1" customWidth="1"/>
    <col min="2" max="2" width="19.28515625" bestFit="1" customWidth="1"/>
    <col min="3" max="3" width="4.42578125" bestFit="1" customWidth="1"/>
    <col min="4" max="4" width="4.5703125" bestFit="1" customWidth="1"/>
    <col min="5" max="5" width="4.42578125" bestFit="1" customWidth="1"/>
    <col min="6" max="6" width="4.5703125" bestFit="1" customWidth="1"/>
    <col min="7" max="7" width="4.42578125" bestFit="1" customWidth="1"/>
    <col min="8" max="8" width="3.85546875" bestFit="1" customWidth="1"/>
    <col min="9" max="9" width="11.5703125" bestFit="1" customWidth="1"/>
    <col min="10" max="10" width="12.5703125" bestFit="1" customWidth="1"/>
    <col min="11" max="11" width="13.140625" bestFit="1" customWidth="1"/>
    <col min="12" max="12" width="12.42578125" bestFit="1" customWidth="1"/>
    <col min="13" max="13" width="10.140625" bestFit="1" customWidth="1"/>
  </cols>
  <sheetData>
    <row r="2" spans="1:2">
      <c r="A2" s="56" t="s">
        <v>0</v>
      </c>
      <c r="B2" t="s">
        <v>110</v>
      </c>
    </row>
    <row r="3" spans="1:2">
      <c r="A3" s="56" t="s">
        <v>6</v>
      </c>
      <c r="B3" t="s">
        <v>222</v>
      </c>
    </row>
    <row r="4" spans="1:2">
      <c r="A4" s="56" t="s">
        <v>223</v>
      </c>
      <c r="B4" t="s">
        <v>224</v>
      </c>
    </row>
    <row r="5" spans="1:2">
      <c r="A5" s="56" t="s">
        <v>11</v>
      </c>
      <c r="B5" t="s">
        <v>185</v>
      </c>
    </row>
    <row r="6" spans="1:2">
      <c r="A6" s="56" t="s">
        <v>3</v>
      </c>
      <c r="B6" t="s">
        <v>222</v>
      </c>
    </row>
    <row r="8" spans="1:2">
      <c r="A8" s="56" t="s">
        <v>205</v>
      </c>
      <c r="B8" t="s">
        <v>225</v>
      </c>
    </row>
    <row r="9" spans="1:2">
      <c r="A9" s="43" t="s">
        <v>253</v>
      </c>
      <c r="B9">
        <v>15</v>
      </c>
    </row>
    <row r="10" spans="1:2">
      <c r="A10" s="57" t="s">
        <v>254</v>
      </c>
      <c r="B10">
        <v>5</v>
      </c>
    </row>
    <row r="11" spans="1:2">
      <c r="A11" s="58" t="s">
        <v>59</v>
      </c>
      <c r="B11">
        <v>5</v>
      </c>
    </row>
    <row r="12" spans="1:2">
      <c r="A12" s="57" t="s">
        <v>257</v>
      </c>
      <c r="B12">
        <v>5</v>
      </c>
    </row>
    <row r="13" spans="1:2">
      <c r="A13" s="58" t="s">
        <v>111</v>
      </c>
      <c r="B13">
        <v>5</v>
      </c>
    </row>
    <row r="14" spans="1:2">
      <c r="A14" s="57" t="s">
        <v>258</v>
      </c>
      <c r="B14">
        <v>5</v>
      </c>
    </row>
    <row r="15" spans="1:2">
      <c r="A15" s="58" t="s">
        <v>59</v>
      </c>
      <c r="B15">
        <v>5</v>
      </c>
    </row>
    <row r="16" spans="1:2">
      <c r="A16" s="43" t="s">
        <v>268</v>
      </c>
      <c r="B16">
        <v>51</v>
      </c>
    </row>
    <row r="17" spans="1:2">
      <c r="A17" s="57" t="s">
        <v>271</v>
      </c>
      <c r="B17">
        <v>5</v>
      </c>
    </row>
    <row r="18" spans="1:2">
      <c r="A18" s="58" t="s">
        <v>59</v>
      </c>
      <c r="B18">
        <v>5</v>
      </c>
    </row>
    <row r="19" spans="1:2">
      <c r="A19" s="57" t="s">
        <v>358</v>
      </c>
      <c r="B19">
        <v>5</v>
      </c>
    </row>
    <row r="20" spans="1:2">
      <c r="A20" s="58" t="s">
        <v>59</v>
      </c>
      <c r="B20">
        <v>5</v>
      </c>
    </row>
    <row r="21" spans="1:2">
      <c r="A21" s="57" t="s">
        <v>272</v>
      </c>
      <c r="B21">
        <v>12</v>
      </c>
    </row>
    <row r="22" spans="1:2">
      <c r="A22" s="58" t="s">
        <v>273</v>
      </c>
      <c r="B22">
        <v>12</v>
      </c>
    </row>
    <row r="23" spans="1:2">
      <c r="A23" s="57" t="s">
        <v>275</v>
      </c>
      <c r="B23">
        <v>29</v>
      </c>
    </row>
    <row r="24" spans="1:2">
      <c r="A24" s="58" t="s">
        <v>59</v>
      </c>
      <c r="B24">
        <v>29</v>
      </c>
    </row>
    <row r="25" spans="1:2">
      <c r="A25" s="43" t="s">
        <v>278</v>
      </c>
      <c r="B25">
        <v>413</v>
      </c>
    </row>
    <row r="26" spans="1:2">
      <c r="A26" s="57" t="s">
        <v>281</v>
      </c>
      <c r="B26">
        <v>10</v>
      </c>
    </row>
    <row r="27" spans="1:2">
      <c r="A27" s="58" t="s">
        <v>282</v>
      </c>
      <c r="B27">
        <v>10</v>
      </c>
    </row>
    <row r="28" spans="1:2">
      <c r="A28" s="57" t="s">
        <v>284</v>
      </c>
      <c r="B28">
        <v>65</v>
      </c>
    </row>
    <row r="29" spans="1:2">
      <c r="A29" s="58" t="s">
        <v>282</v>
      </c>
      <c r="B29">
        <v>65</v>
      </c>
    </row>
    <row r="30" spans="1:2">
      <c r="A30" s="57" t="s">
        <v>285</v>
      </c>
      <c r="B30">
        <v>338</v>
      </c>
    </row>
    <row r="31" spans="1:2">
      <c r="A31" s="58" t="s">
        <v>282</v>
      </c>
      <c r="B31">
        <v>338</v>
      </c>
    </row>
    <row r="32" spans="1:2">
      <c r="A32" s="43" t="s">
        <v>345</v>
      </c>
      <c r="B32">
        <v>22</v>
      </c>
    </row>
    <row r="33" spans="1:2">
      <c r="A33" s="57" t="s">
        <v>359</v>
      </c>
      <c r="B33">
        <v>1</v>
      </c>
    </row>
    <row r="34" spans="1:2">
      <c r="A34" s="58" t="s">
        <v>59</v>
      </c>
      <c r="B34">
        <v>1</v>
      </c>
    </row>
    <row r="35" spans="1:2">
      <c r="A35" s="57" t="s">
        <v>311</v>
      </c>
      <c r="B35">
        <v>1</v>
      </c>
    </row>
    <row r="36" spans="1:2">
      <c r="A36" s="58" t="s">
        <v>59</v>
      </c>
      <c r="B36">
        <v>1</v>
      </c>
    </row>
    <row r="37" spans="1:2">
      <c r="A37" s="57" t="s">
        <v>269</v>
      </c>
      <c r="B37">
        <v>4</v>
      </c>
    </row>
    <row r="38" spans="1:2">
      <c r="A38" s="58" t="s">
        <v>59</v>
      </c>
      <c r="B38">
        <v>4</v>
      </c>
    </row>
    <row r="39" spans="1:2">
      <c r="A39" s="57" t="s">
        <v>360</v>
      </c>
      <c r="B39">
        <v>1</v>
      </c>
    </row>
    <row r="40" spans="1:2">
      <c r="A40" s="58" t="s">
        <v>59</v>
      </c>
      <c r="B40">
        <v>1</v>
      </c>
    </row>
    <row r="41" spans="1:2">
      <c r="A41" s="57" t="s">
        <v>361</v>
      </c>
      <c r="B41">
        <v>9</v>
      </c>
    </row>
    <row r="42" spans="1:2">
      <c r="A42" s="58" t="s">
        <v>59</v>
      </c>
      <c r="B42">
        <v>8</v>
      </c>
    </row>
    <row r="43" spans="1:2">
      <c r="A43" s="58" t="s">
        <v>362</v>
      </c>
      <c r="B43">
        <v>1</v>
      </c>
    </row>
    <row r="44" spans="1:2">
      <c r="A44" s="57" t="s">
        <v>363</v>
      </c>
      <c r="B44">
        <v>1</v>
      </c>
    </row>
    <row r="45" spans="1:2">
      <c r="A45" s="58" t="s">
        <v>59</v>
      </c>
      <c r="B45">
        <v>1</v>
      </c>
    </row>
    <row r="46" spans="1:2">
      <c r="A46" s="57" t="s">
        <v>272</v>
      </c>
      <c r="B46">
        <v>2</v>
      </c>
    </row>
    <row r="47" spans="1:2">
      <c r="A47" s="58" t="s">
        <v>273</v>
      </c>
      <c r="B47">
        <v>2</v>
      </c>
    </row>
    <row r="48" spans="1:2">
      <c r="A48" s="57" t="s">
        <v>364</v>
      </c>
      <c r="B48">
        <v>1</v>
      </c>
    </row>
    <row r="49" spans="1:2">
      <c r="A49" s="58" t="s">
        <v>59</v>
      </c>
      <c r="B49">
        <v>1</v>
      </c>
    </row>
    <row r="50" spans="1:2">
      <c r="A50" s="57" t="s">
        <v>291</v>
      </c>
      <c r="B50">
        <v>2</v>
      </c>
    </row>
    <row r="51" spans="1:2">
      <c r="A51" s="58" t="s">
        <v>134</v>
      </c>
      <c r="B51">
        <v>1</v>
      </c>
    </row>
    <row r="52" spans="1:2">
      <c r="A52" s="58" t="s">
        <v>59</v>
      </c>
      <c r="B52">
        <v>1</v>
      </c>
    </row>
    <row r="53" spans="1:2">
      <c r="A53" s="43" t="s">
        <v>288</v>
      </c>
      <c r="B53">
        <v>17</v>
      </c>
    </row>
    <row r="54" spans="1:2">
      <c r="A54" s="57" t="s">
        <v>272</v>
      </c>
      <c r="B54">
        <v>4</v>
      </c>
    </row>
    <row r="55" spans="1:2">
      <c r="A55" s="58" t="s">
        <v>111</v>
      </c>
      <c r="B55">
        <v>4</v>
      </c>
    </row>
    <row r="56" spans="1:2">
      <c r="A56" s="57" t="s">
        <v>290</v>
      </c>
      <c r="B56">
        <v>4</v>
      </c>
    </row>
    <row r="57" spans="1:2">
      <c r="A57" s="58" t="s">
        <v>59</v>
      </c>
      <c r="B57">
        <v>4</v>
      </c>
    </row>
    <row r="58" spans="1:2">
      <c r="A58" s="57" t="s">
        <v>291</v>
      </c>
      <c r="B58">
        <v>9</v>
      </c>
    </row>
    <row r="59" spans="1:2">
      <c r="A59" s="58" t="s">
        <v>134</v>
      </c>
      <c r="B59">
        <v>4</v>
      </c>
    </row>
    <row r="60" spans="1:2">
      <c r="A60" s="58" t="s">
        <v>59</v>
      </c>
      <c r="B60">
        <v>5</v>
      </c>
    </row>
    <row r="61" spans="1:2">
      <c r="A61" s="43" t="s">
        <v>293</v>
      </c>
      <c r="B61">
        <v>28</v>
      </c>
    </row>
    <row r="62" spans="1:2">
      <c r="A62" s="57" t="s">
        <v>294</v>
      </c>
      <c r="B62">
        <v>28</v>
      </c>
    </row>
    <row r="63" spans="1:2">
      <c r="A63" s="58" t="s">
        <v>59</v>
      </c>
      <c r="B63">
        <v>28</v>
      </c>
    </row>
    <row r="64" spans="1:2">
      <c r="A64" s="43" t="s">
        <v>305</v>
      </c>
      <c r="B64">
        <v>36</v>
      </c>
    </row>
    <row r="65" spans="1:2">
      <c r="A65" s="57" t="s">
        <v>307</v>
      </c>
      <c r="B65">
        <v>10</v>
      </c>
    </row>
    <row r="66" spans="1:2">
      <c r="A66" s="58" t="s">
        <v>59</v>
      </c>
      <c r="B66">
        <v>10</v>
      </c>
    </row>
    <row r="67" spans="1:2">
      <c r="A67" s="57" t="s">
        <v>365</v>
      </c>
      <c r="B67">
        <v>2</v>
      </c>
    </row>
    <row r="68" spans="1:2">
      <c r="A68" s="58" t="s">
        <v>59</v>
      </c>
      <c r="B68">
        <v>2</v>
      </c>
    </row>
    <row r="69" spans="1:2">
      <c r="A69" s="57" t="s">
        <v>366</v>
      </c>
      <c r="B69">
        <v>4</v>
      </c>
    </row>
    <row r="70" spans="1:2">
      <c r="A70" s="58" t="s">
        <v>59</v>
      </c>
      <c r="B70">
        <v>4</v>
      </c>
    </row>
    <row r="71" spans="1:2">
      <c r="A71" s="57" t="s">
        <v>314</v>
      </c>
      <c r="B71">
        <v>1</v>
      </c>
    </row>
    <row r="72" spans="1:2">
      <c r="A72" s="58" t="s">
        <v>59</v>
      </c>
      <c r="B72">
        <v>1</v>
      </c>
    </row>
    <row r="73" spans="1:2">
      <c r="A73" s="57" t="s">
        <v>316</v>
      </c>
      <c r="B73">
        <v>10</v>
      </c>
    </row>
    <row r="74" spans="1:2">
      <c r="A74" s="58" t="s">
        <v>111</v>
      </c>
      <c r="B74">
        <v>5</v>
      </c>
    </row>
    <row r="75" spans="1:2">
      <c r="A75" s="58" t="s">
        <v>59</v>
      </c>
      <c r="B75">
        <v>5</v>
      </c>
    </row>
    <row r="76" spans="1:2">
      <c r="A76" s="57" t="s">
        <v>319</v>
      </c>
      <c r="B76">
        <v>5</v>
      </c>
    </row>
    <row r="77" spans="1:2">
      <c r="A77" s="58" t="s">
        <v>111</v>
      </c>
      <c r="B77">
        <v>5</v>
      </c>
    </row>
    <row r="78" spans="1:2">
      <c r="A78" s="57" t="s">
        <v>321</v>
      </c>
      <c r="B78">
        <v>2</v>
      </c>
    </row>
    <row r="79" spans="1:2">
      <c r="A79" s="58" t="s">
        <v>111</v>
      </c>
      <c r="B79">
        <v>2</v>
      </c>
    </row>
    <row r="80" spans="1:2">
      <c r="A80" s="57" t="s">
        <v>324</v>
      </c>
      <c r="B80">
        <v>2</v>
      </c>
    </row>
    <row r="81" spans="1:2">
      <c r="A81" s="58" t="s">
        <v>111</v>
      </c>
      <c r="B81">
        <v>2</v>
      </c>
    </row>
    <row r="82" spans="1:2">
      <c r="A82" s="43" t="s">
        <v>325</v>
      </c>
      <c r="B82">
        <v>5</v>
      </c>
    </row>
    <row r="83" spans="1:2">
      <c r="A83" s="57" t="s">
        <v>327</v>
      </c>
      <c r="B83">
        <v>5</v>
      </c>
    </row>
    <row r="84" spans="1:2">
      <c r="A84" s="58" t="s">
        <v>59</v>
      </c>
      <c r="B84">
        <v>5</v>
      </c>
    </row>
    <row r="85" spans="1:2">
      <c r="A85" s="43" t="s">
        <v>336</v>
      </c>
      <c r="B85">
        <v>58</v>
      </c>
    </row>
    <row r="86" spans="1:2">
      <c r="A86" s="57" t="s">
        <v>339</v>
      </c>
      <c r="B86">
        <v>58</v>
      </c>
    </row>
    <row r="87" spans="1:2">
      <c r="A87" s="58" t="s">
        <v>340</v>
      </c>
      <c r="B87">
        <v>50</v>
      </c>
    </row>
    <row r="88" spans="1:2">
      <c r="A88" s="58" t="s">
        <v>59</v>
      </c>
      <c r="B88">
        <v>8</v>
      </c>
    </row>
    <row r="89" spans="1:2">
      <c r="A89" s="43" t="s">
        <v>226</v>
      </c>
      <c r="B89">
        <v>2</v>
      </c>
    </row>
    <row r="90" spans="1:2">
      <c r="A90" s="57" t="s">
        <v>230</v>
      </c>
      <c r="B90">
        <v>2</v>
      </c>
    </row>
    <row r="91" spans="1:2">
      <c r="A91" s="58" t="s">
        <v>111</v>
      </c>
      <c r="B91">
        <v>2</v>
      </c>
    </row>
    <row r="92" spans="1:2">
      <c r="A92" s="43" t="s">
        <v>234</v>
      </c>
      <c r="B92">
        <v>13</v>
      </c>
    </row>
    <row r="93" spans="1:2">
      <c r="A93" s="57" t="s">
        <v>235</v>
      </c>
      <c r="B93">
        <v>2</v>
      </c>
    </row>
    <row r="94" spans="1:2">
      <c r="A94" s="58" t="s">
        <v>111</v>
      </c>
      <c r="B94">
        <v>2</v>
      </c>
    </row>
    <row r="95" spans="1:2">
      <c r="A95" s="57" t="s">
        <v>237</v>
      </c>
      <c r="B95">
        <v>1</v>
      </c>
    </row>
    <row r="96" spans="1:2">
      <c r="A96" s="58" t="s">
        <v>238</v>
      </c>
      <c r="B96">
        <v>1</v>
      </c>
    </row>
    <row r="97" spans="1:2">
      <c r="A97" s="57" t="s">
        <v>239</v>
      </c>
      <c r="B97">
        <v>3</v>
      </c>
    </row>
    <row r="98" spans="1:2">
      <c r="A98" s="58" t="s">
        <v>59</v>
      </c>
      <c r="B98">
        <v>1</v>
      </c>
    </row>
    <row r="99" spans="1:2">
      <c r="A99" s="58" t="s">
        <v>238</v>
      </c>
      <c r="B99">
        <v>1</v>
      </c>
    </row>
    <row r="100" spans="1:2">
      <c r="A100" s="58" t="s">
        <v>240</v>
      </c>
      <c r="B100">
        <v>1</v>
      </c>
    </row>
    <row r="101" spans="1:2">
      <c r="A101" s="57" t="s">
        <v>241</v>
      </c>
      <c r="B101">
        <v>4</v>
      </c>
    </row>
    <row r="102" spans="1:2">
      <c r="A102" s="58" t="s">
        <v>59</v>
      </c>
      <c r="B102">
        <v>4</v>
      </c>
    </row>
    <row r="103" spans="1:2">
      <c r="A103" s="57" t="s">
        <v>243</v>
      </c>
      <c r="B103">
        <v>1</v>
      </c>
    </row>
    <row r="104" spans="1:2">
      <c r="A104" s="58" t="s">
        <v>238</v>
      </c>
      <c r="B104">
        <v>1</v>
      </c>
    </row>
    <row r="105" spans="1:2">
      <c r="A105" s="57" t="s">
        <v>244</v>
      </c>
      <c r="B105">
        <v>1</v>
      </c>
    </row>
    <row r="106" spans="1:2">
      <c r="A106" s="58" t="s">
        <v>59</v>
      </c>
      <c r="B106">
        <v>1</v>
      </c>
    </row>
    <row r="107" spans="1:2">
      <c r="A107" s="57" t="s">
        <v>245</v>
      </c>
      <c r="B107">
        <v>1</v>
      </c>
    </row>
    <row r="108" spans="1:2">
      <c r="A108" s="58" t="s">
        <v>59</v>
      </c>
      <c r="B108">
        <v>1</v>
      </c>
    </row>
    <row r="109" spans="1:2">
      <c r="A109" s="43" t="s">
        <v>342</v>
      </c>
      <c r="B109">
        <v>12</v>
      </c>
    </row>
    <row r="110" spans="1:2">
      <c r="A110" s="57" t="s">
        <v>343</v>
      </c>
      <c r="B110">
        <v>6</v>
      </c>
    </row>
    <row r="111" spans="1:2">
      <c r="A111" s="58" t="s">
        <v>59</v>
      </c>
      <c r="B111">
        <v>6</v>
      </c>
    </row>
    <row r="112" spans="1:2">
      <c r="A112" s="57" t="s">
        <v>344</v>
      </c>
      <c r="B112">
        <v>6</v>
      </c>
    </row>
    <row r="113" spans="1:2">
      <c r="A113" s="58" t="s">
        <v>59</v>
      </c>
      <c r="B113">
        <v>6</v>
      </c>
    </row>
    <row r="114" spans="1:2">
      <c r="A114" s="43" t="s">
        <v>202</v>
      </c>
      <c r="B114">
        <v>672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203E-195C-448C-BB0A-30DC26A063C8}">
  <sheetPr>
    <tabColor theme="4"/>
  </sheetPr>
  <dimension ref="A1:S18"/>
  <sheetViews>
    <sheetView workbookViewId="0"/>
  </sheetViews>
  <sheetFormatPr defaultColWidth="8.85546875" defaultRowHeight="14.45"/>
  <cols>
    <col min="1" max="1" width="11" customWidth="1"/>
    <col min="2" max="3" width="8.85546875" bestFit="1" customWidth="1"/>
    <col min="4" max="4" width="28.85546875" customWidth="1"/>
    <col min="5" max="5" width="8.85546875" bestFit="1" customWidth="1"/>
    <col min="6" max="6" width="21.85546875" bestFit="1" customWidth="1"/>
    <col min="7" max="7" width="29.42578125" bestFit="1" customWidth="1"/>
    <col min="8" max="8" width="10.42578125" customWidth="1"/>
    <col min="9" max="9" width="14.140625" bestFit="1" customWidth="1"/>
    <col min="10" max="10" width="10" customWidth="1"/>
    <col min="11" max="11" width="12.5703125" customWidth="1"/>
    <col min="12" max="12" width="14.85546875" customWidth="1"/>
    <col min="13" max="13" width="15.140625" customWidth="1"/>
    <col min="14" max="14" width="11.42578125" customWidth="1"/>
    <col min="15" max="15" width="10.42578125" customWidth="1"/>
    <col min="16" max="16" width="25.42578125" bestFit="1" customWidth="1"/>
    <col min="17" max="17" width="83.42578125" customWidth="1"/>
    <col min="18" max="18" width="78.42578125" bestFit="1" customWidth="1"/>
    <col min="19" max="19" width="9" bestFit="1" customWidth="1"/>
  </cols>
  <sheetData>
    <row r="1" spans="1:19">
      <c r="A1" s="38" t="s">
        <v>367</v>
      </c>
    </row>
    <row r="3" spans="1:19">
      <c r="A3" t="s">
        <v>223</v>
      </c>
      <c r="B3" t="s">
        <v>0</v>
      </c>
      <c r="C3" t="s">
        <v>1</v>
      </c>
      <c r="D3" t="s">
        <v>2</v>
      </c>
      <c r="E3" t="s">
        <v>3</v>
      </c>
      <c r="F3" t="s">
        <v>4</v>
      </c>
      <c r="G3" t="s">
        <v>5</v>
      </c>
      <c r="H3" t="s">
        <v>6</v>
      </c>
      <c r="I3" t="s">
        <v>7</v>
      </c>
      <c r="J3" t="s">
        <v>8</v>
      </c>
      <c r="K3" t="s">
        <v>368</v>
      </c>
      <c r="L3" t="s">
        <v>10</v>
      </c>
      <c r="M3" t="s">
        <v>11</v>
      </c>
      <c r="N3" t="s">
        <v>12</v>
      </c>
      <c r="O3" t="s">
        <v>13</v>
      </c>
      <c r="P3" t="s">
        <v>14</v>
      </c>
      <c r="Q3" t="s">
        <v>15</v>
      </c>
      <c r="R3" t="s">
        <v>16</v>
      </c>
      <c r="S3" t="s">
        <v>17</v>
      </c>
    </row>
    <row r="4" spans="1:19">
      <c r="A4" t="b">
        <v>0</v>
      </c>
      <c r="B4" t="s">
        <v>110</v>
      </c>
      <c r="C4" t="s">
        <v>188</v>
      </c>
      <c r="D4" t="s">
        <v>369</v>
      </c>
      <c r="E4" t="s">
        <v>211</v>
      </c>
      <c r="F4" t="s">
        <v>305</v>
      </c>
      <c r="G4" t="s">
        <v>307</v>
      </c>
      <c r="H4" t="s">
        <v>58</v>
      </c>
      <c r="I4" t="s">
        <v>59</v>
      </c>
      <c r="K4" t="s">
        <v>370</v>
      </c>
      <c r="M4">
        <v>2</v>
      </c>
      <c r="N4" s="107">
        <v>45986</v>
      </c>
      <c r="O4" s="107">
        <v>46008</v>
      </c>
      <c r="P4" t="s">
        <v>112</v>
      </c>
      <c r="Q4" t="s">
        <v>371</v>
      </c>
      <c r="S4" t="s">
        <v>372</v>
      </c>
    </row>
    <row r="5" spans="1:19" s="79" customFormat="1">
      <c r="A5" s="79" t="b">
        <v>0</v>
      </c>
      <c r="B5" s="79" t="s">
        <v>110</v>
      </c>
      <c r="C5" s="79" t="s">
        <v>190</v>
      </c>
      <c r="D5" s="79" t="s">
        <v>373</v>
      </c>
      <c r="E5" s="79" t="s">
        <v>211</v>
      </c>
      <c r="F5" s="79" t="s">
        <v>305</v>
      </c>
      <c r="G5" s="79" t="s">
        <v>365</v>
      </c>
      <c r="H5" s="79" t="s">
        <v>58</v>
      </c>
      <c r="I5" s="79" t="s">
        <v>59</v>
      </c>
      <c r="J5" s="79" t="s">
        <v>374</v>
      </c>
      <c r="K5" s="79" t="s">
        <v>370</v>
      </c>
      <c r="M5" s="79">
        <v>1</v>
      </c>
      <c r="N5" s="155">
        <v>45991</v>
      </c>
      <c r="O5" s="155">
        <v>46009</v>
      </c>
      <c r="P5" s="79" t="s">
        <v>60</v>
      </c>
      <c r="Q5" s="79" t="s">
        <v>375</v>
      </c>
      <c r="S5" s="79" t="s">
        <v>376</v>
      </c>
    </row>
    <row r="6" spans="1:19">
      <c r="A6" t="b">
        <v>0</v>
      </c>
      <c r="B6" t="s">
        <v>110</v>
      </c>
      <c r="C6" t="s">
        <v>192</v>
      </c>
      <c r="D6" t="s">
        <v>377</v>
      </c>
      <c r="E6" t="s">
        <v>211</v>
      </c>
      <c r="F6" t="s">
        <v>325</v>
      </c>
      <c r="G6" t="s">
        <v>327</v>
      </c>
      <c r="H6" t="s">
        <v>58</v>
      </c>
      <c r="I6" t="s">
        <v>59</v>
      </c>
      <c r="J6" t="s">
        <v>378</v>
      </c>
      <c r="K6" t="s">
        <v>370</v>
      </c>
      <c r="M6">
        <v>1</v>
      </c>
      <c r="N6" s="107">
        <v>45989</v>
      </c>
      <c r="O6" s="107">
        <v>46009</v>
      </c>
      <c r="P6" t="s">
        <v>112</v>
      </c>
      <c r="Q6" t="s">
        <v>379</v>
      </c>
      <c r="R6" t="s">
        <v>380</v>
      </c>
      <c r="S6" t="s">
        <v>381</v>
      </c>
    </row>
    <row r="7" spans="1:19" s="79" customFormat="1">
      <c r="A7" s="79" t="b">
        <v>0</v>
      </c>
      <c r="B7" s="79" t="s">
        <v>110</v>
      </c>
      <c r="C7" s="79" t="s">
        <v>191</v>
      </c>
      <c r="D7" s="79" t="s">
        <v>382</v>
      </c>
      <c r="E7" s="79" t="s">
        <v>211</v>
      </c>
      <c r="F7" s="79" t="s">
        <v>253</v>
      </c>
      <c r="G7" s="79" t="s">
        <v>254</v>
      </c>
      <c r="H7" s="79" t="s">
        <v>58</v>
      </c>
      <c r="I7" s="79" t="s">
        <v>59</v>
      </c>
      <c r="J7" s="79" t="s">
        <v>374</v>
      </c>
      <c r="K7" s="79" t="s">
        <v>370</v>
      </c>
      <c r="M7" s="79">
        <v>1</v>
      </c>
      <c r="N7" s="155">
        <v>45986</v>
      </c>
      <c r="O7" s="155">
        <v>46007</v>
      </c>
      <c r="P7" s="79" t="s">
        <v>60</v>
      </c>
      <c r="Q7" s="79" t="s">
        <v>87</v>
      </c>
      <c r="S7" s="79" t="s">
        <v>383</v>
      </c>
    </row>
    <row r="8" spans="1:19" s="157" customFormat="1">
      <c r="A8" s="157" t="b">
        <v>0</v>
      </c>
      <c r="B8" s="157" t="s">
        <v>110</v>
      </c>
      <c r="C8" s="157" t="s">
        <v>194</v>
      </c>
      <c r="D8" s="157" t="s">
        <v>384</v>
      </c>
      <c r="E8" s="157" t="s">
        <v>211</v>
      </c>
      <c r="F8" s="157" t="s">
        <v>305</v>
      </c>
      <c r="G8" s="157" t="s">
        <v>385</v>
      </c>
      <c r="H8" s="157" t="s">
        <v>58</v>
      </c>
      <c r="I8" s="157" t="s">
        <v>59</v>
      </c>
      <c r="J8" s="157" t="s">
        <v>374</v>
      </c>
      <c r="K8" s="157" t="s">
        <v>370</v>
      </c>
      <c r="L8" s="157">
        <v>1</v>
      </c>
      <c r="M8" s="157">
        <v>0</v>
      </c>
      <c r="N8" s="158">
        <v>45986</v>
      </c>
      <c r="O8" s="158">
        <v>46007</v>
      </c>
      <c r="P8" s="157" t="s">
        <v>386</v>
      </c>
      <c r="Q8" s="157" t="s">
        <v>387</v>
      </c>
      <c r="S8" s="157" t="s">
        <v>388</v>
      </c>
    </row>
    <row r="9" spans="1:19" s="79" customFormat="1" ht="28.9">
      <c r="A9" s="79" t="b">
        <v>0</v>
      </c>
      <c r="B9" s="79" t="s">
        <v>110</v>
      </c>
      <c r="C9" s="79" t="s">
        <v>389</v>
      </c>
      <c r="D9" s="79" t="s">
        <v>390</v>
      </c>
      <c r="E9" s="79" t="s">
        <v>211</v>
      </c>
      <c r="F9" s="79" t="s">
        <v>293</v>
      </c>
      <c r="G9" s="79" t="s">
        <v>294</v>
      </c>
      <c r="H9" s="79" t="s">
        <v>58</v>
      </c>
      <c r="I9" s="79" t="s">
        <v>59</v>
      </c>
      <c r="K9" s="79" t="s">
        <v>370</v>
      </c>
      <c r="L9" s="79">
        <v>26</v>
      </c>
      <c r="M9" s="79">
        <v>16</v>
      </c>
      <c r="P9" s="79" t="s">
        <v>116</v>
      </c>
      <c r="Q9" s="156" t="s">
        <v>391</v>
      </c>
    </row>
    <row r="10" spans="1:19" s="79" customFormat="1">
      <c r="A10" s="79" t="b">
        <v>0</v>
      </c>
      <c r="B10" s="79" t="s">
        <v>110</v>
      </c>
      <c r="C10" s="79" t="s">
        <v>194</v>
      </c>
      <c r="D10" s="79" t="s">
        <v>384</v>
      </c>
      <c r="E10" s="79" t="s">
        <v>211</v>
      </c>
      <c r="F10" s="79" t="s">
        <v>305</v>
      </c>
      <c r="G10" s="79" t="s">
        <v>366</v>
      </c>
      <c r="H10" s="79" t="s">
        <v>58</v>
      </c>
      <c r="I10" s="79" t="s">
        <v>59</v>
      </c>
      <c r="J10" s="79" t="s">
        <v>374</v>
      </c>
      <c r="K10" s="79" t="s">
        <v>370</v>
      </c>
      <c r="M10" s="79">
        <v>1</v>
      </c>
      <c r="N10" s="155">
        <v>45986</v>
      </c>
      <c r="O10" s="155">
        <v>46007</v>
      </c>
      <c r="P10" s="79" t="s">
        <v>386</v>
      </c>
      <c r="S10" s="79" t="s">
        <v>392</v>
      </c>
    </row>
    <row r="11" spans="1:19" s="79" customFormat="1">
      <c r="A11" s="79" t="b">
        <v>0</v>
      </c>
      <c r="B11" s="79" t="s">
        <v>110</v>
      </c>
      <c r="C11" s="79" t="s">
        <v>194</v>
      </c>
      <c r="D11" s="79" t="s">
        <v>384</v>
      </c>
      <c r="E11" s="79" t="s">
        <v>211</v>
      </c>
      <c r="F11" s="79" t="s">
        <v>268</v>
      </c>
      <c r="G11" s="79" t="s">
        <v>271</v>
      </c>
      <c r="H11" s="79" t="s">
        <v>58</v>
      </c>
      <c r="I11" s="79" t="s">
        <v>59</v>
      </c>
      <c r="K11" s="79" t="s">
        <v>370</v>
      </c>
      <c r="M11" s="79">
        <v>1</v>
      </c>
      <c r="N11" s="155">
        <v>45990</v>
      </c>
      <c r="O11" s="155">
        <v>45946</v>
      </c>
      <c r="P11" s="79" t="s">
        <v>116</v>
      </c>
      <c r="Q11" s="79" t="s">
        <v>393</v>
      </c>
    </row>
    <row r="12" spans="1:19">
      <c r="A12" t="b">
        <v>0</v>
      </c>
      <c r="B12" t="s">
        <v>110</v>
      </c>
      <c r="C12" t="s">
        <v>394</v>
      </c>
      <c r="D12" t="s">
        <v>395</v>
      </c>
      <c r="E12" t="s">
        <v>211</v>
      </c>
      <c r="F12" t="s">
        <v>305</v>
      </c>
      <c r="G12" t="s">
        <v>316</v>
      </c>
      <c r="H12" t="s">
        <v>58</v>
      </c>
      <c r="I12" t="s">
        <v>59</v>
      </c>
      <c r="K12" t="s">
        <v>370</v>
      </c>
      <c r="L12">
        <v>3</v>
      </c>
      <c r="M12">
        <v>1</v>
      </c>
      <c r="N12" s="107">
        <v>45962</v>
      </c>
      <c r="O12" s="107">
        <v>46006</v>
      </c>
      <c r="P12" t="s">
        <v>60</v>
      </c>
      <c r="Q12" t="s">
        <v>396</v>
      </c>
      <c r="R12" t="s">
        <v>397</v>
      </c>
      <c r="S12" t="s">
        <v>398</v>
      </c>
    </row>
    <row r="13" spans="1:19" s="79" customFormat="1">
      <c r="A13" s="79" t="b">
        <v>0</v>
      </c>
      <c r="B13" s="79" t="s">
        <v>110</v>
      </c>
      <c r="C13" s="79" t="s">
        <v>194</v>
      </c>
      <c r="D13" s="79" t="s">
        <v>384</v>
      </c>
      <c r="E13" s="79" t="s">
        <v>211</v>
      </c>
      <c r="F13" s="79" t="s">
        <v>268</v>
      </c>
      <c r="G13" s="79" t="s">
        <v>358</v>
      </c>
      <c r="H13" s="79" t="s">
        <v>58</v>
      </c>
      <c r="I13" s="79" t="s">
        <v>59</v>
      </c>
      <c r="J13" s="79" t="s">
        <v>374</v>
      </c>
      <c r="K13" s="79" t="s">
        <v>370</v>
      </c>
      <c r="M13" s="79">
        <v>1</v>
      </c>
      <c r="N13" s="155">
        <v>45986</v>
      </c>
      <c r="O13" s="155">
        <v>46007</v>
      </c>
      <c r="P13" s="79" t="s">
        <v>60</v>
      </c>
      <c r="S13" s="79" t="s">
        <v>399</v>
      </c>
    </row>
    <row r="14" spans="1:19" s="79" customFormat="1">
      <c r="A14" s="79" t="b">
        <v>0</v>
      </c>
      <c r="B14" s="79" t="s">
        <v>110</v>
      </c>
      <c r="C14" s="79" t="s">
        <v>400</v>
      </c>
      <c r="D14" s="79" t="s">
        <v>401</v>
      </c>
      <c r="E14" s="79" t="s">
        <v>211</v>
      </c>
      <c r="F14" s="79" t="s">
        <v>253</v>
      </c>
      <c r="G14" s="79" t="s">
        <v>258</v>
      </c>
      <c r="H14" s="79" t="s">
        <v>58</v>
      </c>
      <c r="I14" s="79" t="s">
        <v>59</v>
      </c>
      <c r="J14" s="79" t="s">
        <v>374</v>
      </c>
      <c r="K14" s="79" t="s">
        <v>370</v>
      </c>
      <c r="M14" s="79">
        <v>1</v>
      </c>
      <c r="N14" s="155">
        <v>45990</v>
      </c>
      <c r="O14" s="155">
        <v>46006</v>
      </c>
      <c r="P14" s="79" t="s">
        <v>402</v>
      </c>
      <c r="Q14" s="79" t="s">
        <v>403</v>
      </c>
      <c r="R14" s="79" t="s">
        <v>402</v>
      </c>
      <c r="S14" s="79" t="s">
        <v>404</v>
      </c>
    </row>
    <row r="15" spans="1:19" s="79" customFormat="1">
      <c r="A15" s="79" t="b">
        <v>0</v>
      </c>
      <c r="B15" s="79" t="s">
        <v>110</v>
      </c>
      <c r="C15" s="79" t="s">
        <v>194</v>
      </c>
      <c r="D15" s="79" t="s">
        <v>384</v>
      </c>
      <c r="E15" s="79" t="s">
        <v>211</v>
      </c>
      <c r="F15" s="79" t="s">
        <v>268</v>
      </c>
      <c r="G15" s="79" t="s">
        <v>275</v>
      </c>
      <c r="H15" s="79" t="s">
        <v>58</v>
      </c>
      <c r="I15" s="79" t="s">
        <v>59</v>
      </c>
      <c r="J15" s="79" t="s">
        <v>374</v>
      </c>
      <c r="K15" s="79" t="s">
        <v>370</v>
      </c>
      <c r="M15" s="79">
        <v>6</v>
      </c>
      <c r="N15" s="155">
        <v>45986</v>
      </c>
      <c r="O15" s="155">
        <v>46007</v>
      </c>
      <c r="P15" s="79" t="s">
        <v>60</v>
      </c>
      <c r="S15" s="79" t="s">
        <v>405</v>
      </c>
    </row>
    <row r="16" spans="1:19">
      <c r="A16" t="b">
        <v>0</v>
      </c>
      <c r="B16" t="s">
        <v>110</v>
      </c>
      <c r="C16" t="s">
        <v>198</v>
      </c>
      <c r="D16" t="s">
        <v>406</v>
      </c>
      <c r="E16" t="s">
        <v>211</v>
      </c>
      <c r="F16" t="s">
        <v>288</v>
      </c>
      <c r="G16" t="s">
        <v>290</v>
      </c>
      <c r="H16" t="s">
        <v>58</v>
      </c>
      <c r="I16" t="s">
        <v>59</v>
      </c>
      <c r="J16" t="s">
        <v>374</v>
      </c>
      <c r="K16" t="s">
        <v>407</v>
      </c>
      <c r="M16">
        <v>1</v>
      </c>
      <c r="N16" s="107">
        <v>45984</v>
      </c>
      <c r="O16" s="107">
        <v>46009</v>
      </c>
      <c r="P16" t="s">
        <v>60</v>
      </c>
      <c r="Q16" t="s">
        <v>408</v>
      </c>
      <c r="S16" t="s">
        <v>409</v>
      </c>
    </row>
    <row r="17" spans="1:19" s="79" customFormat="1">
      <c r="A17" s="79" t="b">
        <v>0</v>
      </c>
      <c r="B17" s="79" t="s">
        <v>110</v>
      </c>
      <c r="C17" s="79" t="s">
        <v>193</v>
      </c>
      <c r="D17" s="79" t="s">
        <v>410</v>
      </c>
      <c r="E17" s="79" t="s">
        <v>211</v>
      </c>
      <c r="F17" s="79" t="s">
        <v>336</v>
      </c>
      <c r="G17" s="79" t="s">
        <v>339</v>
      </c>
      <c r="H17" s="79" t="s">
        <v>58</v>
      </c>
      <c r="I17" s="79" t="s">
        <v>59</v>
      </c>
      <c r="J17" s="79" t="s">
        <v>374</v>
      </c>
      <c r="K17" s="79" t="s">
        <v>370</v>
      </c>
      <c r="M17" s="79">
        <v>2</v>
      </c>
      <c r="N17" s="155">
        <v>45988</v>
      </c>
      <c r="O17" s="155">
        <v>46009</v>
      </c>
      <c r="P17" s="79" t="s">
        <v>60</v>
      </c>
      <c r="Q17" s="79" t="s">
        <v>87</v>
      </c>
      <c r="R17" s="79" t="s">
        <v>411</v>
      </c>
      <c r="S17" s="79" t="s">
        <v>412</v>
      </c>
    </row>
    <row r="18" spans="1:19">
      <c r="A18" t="b">
        <v>0</v>
      </c>
      <c r="B18" t="s">
        <v>110</v>
      </c>
      <c r="C18" t="s">
        <v>90</v>
      </c>
      <c r="D18" t="s">
        <v>413</v>
      </c>
      <c r="E18" t="s">
        <v>211</v>
      </c>
      <c r="F18" t="s">
        <v>288</v>
      </c>
      <c r="G18" t="s">
        <v>291</v>
      </c>
      <c r="H18" t="s">
        <v>58</v>
      </c>
      <c r="I18" t="s">
        <v>59</v>
      </c>
      <c r="J18" t="s">
        <v>374</v>
      </c>
      <c r="K18" t="s">
        <v>370</v>
      </c>
      <c r="M18">
        <v>2</v>
      </c>
      <c r="N18" s="107">
        <v>45977</v>
      </c>
      <c r="O18" s="107">
        <v>46009</v>
      </c>
      <c r="P18" t="s">
        <v>60</v>
      </c>
      <c r="Q18" t="s">
        <v>414</v>
      </c>
      <c r="R18" t="s">
        <v>415</v>
      </c>
      <c r="S18" t="s">
        <v>416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8681-2E3D-7440-83C3-5E690BB3F362}">
  <sheetPr>
    <tabColor theme="4"/>
  </sheetPr>
  <dimension ref="A1:C60"/>
  <sheetViews>
    <sheetView zoomScale="160" zoomScaleNormal="160" workbookViewId="0">
      <selection activeCell="H10" sqref="H10"/>
    </sheetView>
  </sheetViews>
  <sheetFormatPr defaultColWidth="10.85546875" defaultRowHeight="14.45"/>
  <cols>
    <col min="1" max="1" width="38.140625" bestFit="1" customWidth="1"/>
    <col min="2" max="2" width="18.42578125" bestFit="1" customWidth="1"/>
    <col min="3" max="3" width="11.7109375" bestFit="1" customWidth="1"/>
    <col min="4" max="9" width="10.5703125" bestFit="1" customWidth="1"/>
    <col min="10" max="10" width="12.5703125" bestFit="1" customWidth="1"/>
    <col min="11" max="11" width="13.140625" bestFit="1" customWidth="1"/>
    <col min="12" max="12" width="12.42578125" bestFit="1" customWidth="1"/>
    <col min="13" max="13" width="10.140625" bestFit="1" customWidth="1"/>
  </cols>
  <sheetData>
    <row r="1" spans="1:3">
      <c r="A1" s="56" t="s">
        <v>0</v>
      </c>
      <c r="B1" t="s">
        <v>110</v>
      </c>
    </row>
    <row r="2" spans="1:3">
      <c r="A2" s="56" t="s">
        <v>6</v>
      </c>
      <c r="B2" t="s">
        <v>185</v>
      </c>
    </row>
    <row r="3" spans="1:3">
      <c r="A3" s="56" t="s">
        <v>223</v>
      </c>
      <c r="B3" t="s">
        <v>222</v>
      </c>
    </row>
    <row r="5" spans="1:3">
      <c r="A5" s="56" t="s">
        <v>225</v>
      </c>
      <c r="B5" s="56" t="s">
        <v>186</v>
      </c>
    </row>
    <row r="6" spans="1:3">
      <c r="A6" s="56" t="s">
        <v>205</v>
      </c>
      <c r="B6" t="s">
        <v>214</v>
      </c>
      <c r="C6" t="s">
        <v>202</v>
      </c>
    </row>
    <row r="7" spans="1:3">
      <c r="A7" s="43" t="s">
        <v>134</v>
      </c>
      <c r="B7">
        <v>3</v>
      </c>
      <c r="C7">
        <v>3</v>
      </c>
    </row>
    <row r="8" spans="1:3">
      <c r="A8" s="43" t="s">
        <v>273</v>
      </c>
      <c r="B8">
        <v>2</v>
      </c>
      <c r="C8">
        <v>2</v>
      </c>
    </row>
    <row r="9" spans="1:3">
      <c r="A9" s="57" t="s">
        <v>268</v>
      </c>
      <c r="B9">
        <v>2</v>
      </c>
      <c r="C9">
        <v>2</v>
      </c>
    </row>
    <row r="10" spans="1:3">
      <c r="A10" s="58" t="s">
        <v>272</v>
      </c>
      <c r="B10">
        <v>2</v>
      </c>
      <c r="C10">
        <v>2</v>
      </c>
    </row>
    <row r="11" spans="1:3">
      <c r="A11" s="43" t="s">
        <v>111</v>
      </c>
      <c r="B11">
        <v>10</v>
      </c>
      <c r="C11">
        <v>10</v>
      </c>
    </row>
    <row r="12" spans="1:3">
      <c r="A12" s="57" t="s">
        <v>253</v>
      </c>
      <c r="B12">
        <v>1</v>
      </c>
      <c r="C12">
        <v>1</v>
      </c>
    </row>
    <row r="13" spans="1:3">
      <c r="A13" s="58" t="s">
        <v>257</v>
      </c>
      <c r="B13">
        <v>1</v>
      </c>
      <c r="C13">
        <v>1</v>
      </c>
    </row>
    <row r="14" spans="1:3">
      <c r="A14" s="57" t="s">
        <v>288</v>
      </c>
      <c r="B14">
        <v>1</v>
      </c>
      <c r="C14">
        <v>1</v>
      </c>
    </row>
    <row r="15" spans="1:3">
      <c r="A15" s="58" t="s">
        <v>417</v>
      </c>
      <c r="B15">
        <v>0</v>
      </c>
      <c r="C15">
        <v>0</v>
      </c>
    </row>
    <row r="16" spans="1:3">
      <c r="A16" s="58" t="s">
        <v>272</v>
      </c>
      <c r="B16">
        <v>1</v>
      </c>
      <c r="C16">
        <v>1</v>
      </c>
    </row>
    <row r="17" spans="1:3">
      <c r="A17" s="57" t="s">
        <v>418</v>
      </c>
      <c r="B17">
        <v>5</v>
      </c>
      <c r="C17">
        <v>5</v>
      </c>
    </row>
    <row r="18" spans="1:3">
      <c r="A18" s="58" t="s">
        <v>419</v>
      </c>
      <c r="B18">
        <v>1</v>
      </c>
      <c r="C18">
        <v>1</v>
      </c>
    </row>
    <row r="19" spans="1:3">
      <c r="A19" s="58" t="s">
        <v>420</v>
      </c>
      <c r="B19">
        <v>4</v>
      </c>
      <c r="C19">
        <v>4</v>
      </c>
    </row>
    <row r="20" spans="1:3">
      <c r="A20" s="57" t="s">
        <v>305</v>
      </c>
      <c r="B20">
        <v>3</v>
      </c>
      <c r="C20">
        <v>3</v>
      </c>
    </row>
    <row r="21" spans="1:3">
      <c r="A21" s="58" t="s">
        <v>316</v>
      </c>
      <c r="B21">
        <v>1</v>
      </c>
      <c r="C21">
        <v>1</v>
      </c>
    </row>
    <row r="22" spans="1:3">
      <c r="A22" s="58" t="s">
        <v>319</v>
      </c>
      <c r="B22">
        <v>1</v>
      </c>
      <c r="C22">
        <v>1</v>
      </c>
    </row>
    <row r="23" spans="1:3">
      <c r="A23" s="58" t="s">
        <v>321</v>
      </c>
      <c r="B23">
        <v>1</v>
      </c>
      <c r="C23">
        <v>1</v>
      </c>
    </row>
    <row r="24" spans="1:3">
      <c r="A24" s="58" t="s">
        <v>421</v>
      </c>
      <c r="B24">
        <v>0</v>
      </c>
      <c r="C24">
        <v>0</v>
      </c>
    </row>
    <row r="25" spans="1:3">
      <c r="A25" s="43" t="s">
        <v>340</v>
      </c>
      <c r="B25">
        <v>18</v>
      </c>
      <c r="C25">
        <v>18</v>
      </c>
    </row>
    <row r="26" spans="1:3">
      <c r="A26" s="57" t="s">
        <v>268</v>
      </c>
      <c r="B26">
        <v>8</v>
      </c>
      <c r="C26">
        <v>8</v>
      </c>
    </row>
    <row r="27" spans="1:3">
      <c r="A27" s="58" t="s">
        <v>275</v>
      </c>
      <c r="B27">
        <v>8</v>
      </c>
      <c r="C27">
        <v>8</v>
      </c>
    </row>
    <row r="28" spans="1:3">
      <c r="A28" s="57" t="s">
        <v>336</v>
      </c>
      <c r="B28">
        <v>10</v>
      </c>
      <c r="C28">
        <v>10</v>
      </c>
    </row>
    <row r="29" spans="1:3">
      <c r="A29" s="58" t="s">
        <v>339</v>
      </c>
      <c r="B29">
        <v>10</v>
      </c>
      <c r="C29">
        <v>10</v>
      </c>
    </row>
    <row r="30" spans="1:3">
      <c r="A30" s="43" t="s">
        <v>59</v>
      </c>
      <c r="B30">
        <v>29</v>
      </c>
      <c r="C30">
        <v>29</v>
      </c>
    </row>
    <row r="31" spans="1:3">
      <c r="A31" s="57" t="s">
        <v>253</v>
      </c>
      <c r="B31">
        <v>2</v>
      </c>
      <c r="C31">
        <v>2</v>
      </c>
    </row>
    <row r="32" spans="1:3">
      <c r="A32" s="58" t="s">
        <v>254</v>
      </c>
      <c r="B32">
        <v>1</v>
      </c>
      <c r="C32">
        <v>1</v>
      </c>
    </row>
    <row r="33" spans="1:3">
      <c r="A33" s="58" t="s">
        <v>258</v>
      </c>
      <c r="B33">
        <v>1</v>
      </c>
      <c r="C33">
        <v>1</v>
      </c>
    </row>
    <row r="34" spans="1:3">
      <c r="A34" s="57" t="s">
        <v>268</v>
      </c>
      <c r="B34">
        <v>2</v>
      </c>
      <c r="C34">
        <v>2</v>
      </c>
    </row>
    <row r="35" spans="1:3">
      <c r="A35" s="58" t="s">
        <v>271</v>
      </c>
      <c r="B35">
        <v>1</v>
      </c>
      <c r="C35">
        <v>1</v>
      </c>
    </row>
    <row r="36" spans="1:3">
      <c r="A36" s="58" t="s">
        <v>358</v>
      </c>
      <c r="B36">
        <v>1</v>
      </c>
      <c r="C36">
        <v>1</v>
      </c>
    </row>
    <row r="37" spans="1:3">
      <c r="A37" s="57" t="s">
        <v>288</v>
      </c>
      <c r="B37">
        <v>3</v>
      </c>
      <c r="C37">
        <v>3</v>
      </c>
    </row>
    <row r="38" spans="1:3">
      <c r="A38" s="58" t="s">
        <v>290</v>
      </c>
      <c r="B38">
        <v>1</v>
      </c>
      <c r="C38">
        <v>1</v>
      </c>
    </row>
    <row r="39" spans="1:3">
      <c r="A39" s="58" t="s">
        <v>291</v>
      </c>
      <c r="B39">
        <v>2</v>
      </c>
      <c r="C39">
        <v>2</v>
      </c>
    </row>
    <row r="40" spans="1:3">
      <c r="A40" s="57" t="s">
        <v>293</v>
      </c>
      <c r="B40">
        <v>12</v>
      </c>
      <c r="C40">
        <v>12</v>
      </c>
    </row>
    <row r="41" spans="1:3">
      <c r="A41" s="58" t="s">
        <v>294</v>
      </c>
      <c r="B41">
        <v>12</v>
      </c>
      <c r="C41">
        <v>12</v>
      </c>
    </row>
    <row r="42" spans="1:3">
      <c r="A42" s="57" t="s">
        <v>305</v>
      </c>
      <c r="B42">
        <v>5</v>
      </c>
      <c r="C42">
        <v>5</v>
      </c>
    </row>
    <row r="43" spans="1:3">
      <c r="A43" s="58" t="s">
        <v>307</v>
      </c>
      <c r="B43">
        <v>2</v>
      </c>
      <c r="C43">
        <v>2</v>
      </c>
    </row>
    <row r="44" spans="1:3">
      <c r="A44" s="58" t="s">
        <v>365</v>
      </c>
      <c r="B44">
        <v>1</v>
      </c>
      <c r="C44">
        <v>1</v>
      </c>
    </row>
    <row r="45" spans="1:3">
      <c r="A45" s="58" t="s">
        <v>366</v>
      </c>
      <c r="B45">
        <v>1</v>
      </c>
      <c r="C45">
        <v>1</v>
      </c>
    </row>
    <row r="46" spans="1:3">
      <c r="A46" s="58" t="s">
        <v>363</v>
      </c>
      <c r="B46">
        <v>0</v>
      </c>
      <c r="C46">
        <v>0</v>
      </c>
    </row>
    <row r="47" spans="1:3">
      <c r="A47" s="58" t="s">
        <v>316</v>
      </c>
      <c r="B47">
        <v>1</v>
      </c>
      <c r="C47">
        <v>1</v>
      </c>
    </row>
    <row r="48" spans="1:3">
      <c r="A48" s="57" t="s">
        <v>325</v>
      </c>
      <c r="B48">
        <v>1</v>
      </c>
      <c r="C48">
        <v>1</v>
      </c>
    </row>
    <row r="49" spans="1:3">
      <c r="A49" s="58" t="s">
        <v>327</v>
      </c>
      <c r="B49">
        <v>1</v>
      </c>
      <c r="C49">
        <v>1</v>
      </c>
    </row>
    <row r="50" spans="1:3">
      <c r="A50" s="57" t="s">
        <v>336</v>
      </c>
      <c r="B50">
        <v>2</v>
      </c>
      <c r="C50">
        <v>2</v>
      </c>
    </row>
    <row r="51" spans="1:3">
      <c r="A51" s="58" t="s">
        <v>339</v>
      </c>
      <c r="B51">
        <v>2</v>
      </c>
      <c r="C51">
        <v>2</v>
      </c>
    </row>
    <row r="52" spans="1:3">
      <c r="A52" s="57" t="s">
        <v>342</v>
      </c>
      <c r="B52">
        <v>2</v>
      </c>
      <c r="C52">
        <v>2</v>
      </c>
    </row>
    <row r="53" spans="1:3">
      <c r="A53" s="58" t="s">
        <v>343</v>
      </c>
      <c r="B53">
        <v>1</v>
      </c>
      <c r="C53">
        <v>1</v>
      </c>
    </row>
    <row r="54" spans="1:3">
      <c r="A54" s="58" t="s">
        <v>344</v>
      </c>
      <c r="B54">
        <v>1</v>
      </c>
      <c r="C54">
        <v>1</v>
      </c>
    </row>
    <row r="55" spans="1:3">
      <c r="A55" s="43" t="s">
        <v>282</v>
      </c>
      <c r="B55">
        <v>108</v>
      </c>
      <c r="C55">
        <v>108</v>
      </c>
    </row>
    <row r="56" spans="1:3">
      <c r="A56" s="57" t="s">
        <v>278</v>
      </c>
      <c r="B56">
        <v>108</v>
      </c>
      <c r="C56">
        <v>108</v>
      </c>
    </row>
    <row r="57" spans="1:3">
      <c r="A57" s="58" t="s">
        <v>281</v>
      </c>
      <c r="B57">
        <v>2</v>
      </c>
      <c r="C57">
        <v>2</v>
      </c>
    </row>
    <row r="58" spans="1:3">
      <c r="A58" s="58" t="s">
        <v>284</v>
      </c>
      <c r="B58">
        <v>13</v>
      </c>
      <c r="C58">
        <v>13</v>
      </c>
    </row>
    <row r="59" spans="1:3">
      <c r="A59" s="58" t="s">
        <v>285</v>
      </c>
      <c r="B59">
        <v>93</v>
      </c>
      <c r="C59">
        <v>93</v>
      </c>
    </row>
    <row r="60" spans="1:3">
      <c r="A60" s="43" t="s">
        <v>202</v>
      </c>
      <c r="B60">
        <v>170</v>
      </c>
      <c r="C60">
        <v>170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FFC1-3A70-49F2-89E8-F2E26EA4101A}">
  <sheetPr>
    <tabColor theme="4"/>
  </sheetPr>
  <dimension ref="A1:R2"/>
  <sheetViews>
    <sheetView workbookViewId="0"/>
  </sheetViews>
  <sheetFormatPr defaultRowHeight="14.45"/>
  <cols>
    <col min="1" max="1" width="10.7109375" customWidth="1"/>
    <col min="4" max="4" width="10.28515625" customWidth="1"/>
    <col min="8" max="8" width="10.28515625" customWidth="1"/>
    <col min="10" max="10" width="12.42578125" customWidth="1"/>
    <col min="11" max="11" width="14.5703125" customWidth="1"/>
    <col min="12" max="12" width="14.85546875" customWidth="1"/>
    <col min="13" max="13" width="11.42578125" customWidth="1"/>
    <col min="14" max="14" width="10.42578125" customWidth="1"/>
    <col min="16" max="16" width="14.140625" customWidth="1"/>
  </cols>
  <sheetData>
    <row r="1" spans="1:18">
      <c r="A1" t="s">
        <v>223</v>
      </c>
      <c r="B1" t="s">
        <v>0</v>
      </c>
      <c r="C1" t="s">
        <v>1</v>
      </c>
      <c r="D1" t="s">
        <v>2</v>
      </c>
      <c r="E1" t="s">
        <v>3</v>
      </c>
      <c r="F1" t="s">
        <v>4</v>
      </c>
      <c r="G1" t="s">
        <v>5</v>
      </c>
      <c r="H1" t="s">
        <v>6</v>
      </c>
      <c r="I1" t="s">
        <v>7</v>
      </c>
      <c r="J1" t="s">
        <v>368</v>
      </c>
      <c r="K1" t="s">
        <v>10</v>
      </c>
      <c r="L1" t="s">
        <v>11</v>
      </c>
      <c r="M1" t="s">
        <v>12</v>
      </c>
      <c r="N1" t="s">
        <v>13</v>
      </c>
      <c r="O1" t="s">
        <v>14</v>
      </c>
      <c r="P1" t="s">
        <v>15</v>
      </c>
      <c r="Q1" t="s">
        <v>16</v>
      </c>
      <c r="R1" t="s">
        <v>17</v>
      </c>
    </row>
    <row r="2" spans="1:18">
      <c r="A2" t="b">
        <v>0</v>
      </c>
      <c r="B2" t="s">
        <v>203</v>
      </c>
      <c r="C2" t="s">
        <v>18</v>
      </c>
      <c r="D2" t="s">
        <v>422</v>
      </c>
      <c r="E2" t="s">
        <v>212</v>
      </c>
      <c r="F2" t="s">
        <v>325</v>
      </c>
      <c r="G2" t="s">
        <v>331</v>
      </c>
      <c r="H2" t="s">
        <v>32</v>
      </c>
      <c r="I2" t="s">
        <v>37</v>
      </c>
      <c r="J2" t="s">
        <v>370</v>
      </c>
      <c r="L2">
        <v>2</v>
      </c>
      <c r="M2" s="107">
        <v>45991</v>
      </c>
      <c r="N2" s="107">
        <v>46010</v>
      </c>
      <c r="O2" t="s">
        <v>38</v>
      </c>
      <c r="Q2" t="s">
        <v>423</v>
      </c>
      <c r="R2" t="s">
        <v>424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25D2-5EBC-E74C-9350-5C2D136FA737}">
  <sheetPr>
    <tabColor theme="4"/>
  </sheetPr>
  <dimension ref="A1:I59"/>
  <sheetViews>
    <sheetView zoomScale="160" zoomScaleNormal="160" workbookViewId="0">
      <selection activeCell="G8" sqref="G8"/>
    </sheetView>
  </sheetViews>
  <sheetFormatPr defaultColWidth="10.85546875" defaultRowHeight="14.45"/>
  <cols>
    <col min="1" max="1" width="53.85546875" bestFit="1" customWidth="1"/>
    <col min="2" max="2" width="16.42578125" bestFit="1" customWidth="1"/>
    <col min="3" max="3" width="3.85546875" bestFit="1" customWidth="1"/>
    <col min="4" max="4" width="4.140625" bestFit="1" customWidth="1"/>
    <col min="5" max="5" width="3.85546875" bestFit="1" customWidth="1"/>
    <col min="6" max="6" width="4.140625" bestFit="1" customWidth="1"/>
    <col min="7" max="7" width="3.85546875" bestFit="1" customWidth="1"/>
    <col min="8" max="8" width="3.42578125" bestFit="1" customWidth="1"/>
    <col min="9" max="9" width="10.7109375" bestFit="1" customWidth="1"/>
    <col min="10" max="13" width="10.140625" bestFit="1" customWidth="1"/>
  </cols>
  <sheetData>
    <row r="1" spans="1:9">
      <c r="A1" s="56" t="s">
        <v>0</v>
      </c>
      <c r="B1" t="s">
        <v>203</v>
      </c>
    </row>
    <row r="2" spans="1:9">
      <c r="A2" s="56" t="s">
        <v>6</v>
      </c>
      <c r="B2" t="s">
        <v>185</v>
      </c>
    </row>
    <row r="3" spans="1:9">
      <c r="A3" s="56" t="s">
        <v>223</v>
      </c>
      <c r="B3" t="s">
        <v>224</v>
      </c>
    </row>
    <row r="4" spans="1:9">
      <c r="A4" s="56" t="s">
        <v>11</v>
      </c>
      <c r="B4" t="s">
        <v>185</v>
      </c>
    </row>
    <row r="6" spans="1:9">
      <c r="A6" s="56" t="s">
        <v>225</v>
      </c>
      <c r="B6" s="56" t="s">
        <v>186</v>
      </c>
    </row>
    <row r="7" spans="1:9">
      <c r="A7" s="56" t="s">
        <v>205</v>
      </c>
      <c r="B7" t="s">
        <v>19</v>
      </c>
      <c r="C7" t="s">
        <v>214</v>
      </c>
      <c r="D7" t="s">
        <v>211</v>
      </c>
      <c r="E7">
        <v>974</v>
      </c>
      <c r="F7" t="s">
        <v>208</v>
      </c>
      <c r="G7" t="s">
        <v>212</v>
      </c>
      <c r="H7" t="s">
        <v>213</v>
      </c>
      <c r="I7" t="s">
        <v>202</v>
      </c>
    </row>
    <row r="8" spans="1:9">
      <c r="A8" s="43" t="s">
        <v>37</v>
      </c>
      <c r="G8">
        <v>2</v>
      </c>
      <c r="I8">
        <v>2</v>
      </c>
    </row>
    <row r="9" spans="1:9">
      <c r="A9" s="57" t="s">
        <v>325</v>
      </c>
      <c r="G9">
        <v>2</v>
      </c>
      <c r="I9">
        <v>2</v>
      </c>
    </row>
    <row r="10" spans="1:9">
      <c r="A10" s="58" t="s">
        <v>331</v>
      </c>
      <c r="G10">
        <v>2</v>
      </c>
      <c r="I10">
        <v>2</v>
      </c>
    </row>
    <row r="11" spans="1:9">
      <c r="A11" s="43" t="s">
        <v>33</v>
      </c>
      <c r="B11">
        <v>5</v>
      </c>
      <c r="C11">
        <v>6</v>
      </c>
      <c r="D11">
        <v>6</v>
      </c>
      <c r="E11">
        <v>6</v>
      </c>
      <c r="F11">
        <v>4</v>
      </c>
      <c r="G11">
        <v>6</v>
      </c>
      <c r="H11">
        <v>2</v>
      </c>
      <c r="I11">
        <v>35</v>
      </c>
    </row>
    <row r="12" spans="1:9">
      <c r="A12" s="57" t="s">
        <v>268</v>
      </c>
      <c r="C12">
        <v>2</v>
      </c>
      <c r="D12">
        <v>2</v>
      </c>
      <c r="E12">
        <v>2</v>
      </c>
      <c r="G12">
        <v>2</v>
      </c>
      <c r="H12">
        <v>2</v>
      </c>
      <c r="I12">
        <v>10</v>
      </c>
    </row>
    <row r="13" spans="1:9">
      <c r="A13" s="58" t="s">
        <v>274</v>
      </c>
      <c r="C13">
        <v>2</v>
      </c>
      <c r="D13">
        <v>2</v>
      </c>
      <c r="E13">
        <v>2</v>
      </c>
      <c r="G13">
        <v>2</v>
      </c>
      <c r="H13">
        <v>2</v>
      </c>
      <c r="I13">
        <v>10</v>
      </c>
    </row>
    <row r="14" spans="1:9">
      <c r="A14" s="57" t="s">
        <v>345</v>
      </c>
      <c r="B14">
        <v>5</v>
      </c>
      <c r="I14">
        <v>5</v>
      </c>
    </row>
    <row r="15" spans="1:9">
      <c r="A15" s="58" t="s">
        <v>360</v>
      </c>
      <c r="B15">
        <v>5</v>
      </c>
      <c r="I15">
        <v>5</v>
      </c>
    </row>
    <row r="16" spans="1:9">
      <c r="A16" s="57" t="s">
        <v>325</v>
      </c>
      <c r="C16">
        <v>4</v>
      </c>
      <c r="D16">
        <v>4</v>
      </c>
      <c r="E16">
        <v>4</v>
      </c>
      <c r="F16">
        <v>4</v>
      </c>
      <c r="G16">
        <v>4</v>
      </c>
      <c r="I16">
        <v>20</v>
      </c>
    </row>
    <row r="17" spans="1:9">
      <c r="A17" s="58" t="s">
        <v>331</v>
      </c>
      <c r="C17">
        <v>4</v>
      </c>
      <c r="D17">
        <v>4</v>
      </c>
      <c r="E17">
        <v>4</v>
      </c>
      <c r="F17">
        <v>4</v>
      </c>
      <c r="G17">
        <v>4</v>
      </c>
      <c r="I17">
        <v>20</v>
      </c>
    </row>
    <row r="18" spans="1:9">
      <c r="A18" s="43" t="s">
        <v>94</v>
      </c>
      <c r="B18">
        <v>23</v>
      </c>
      <c r="I18">
        <v>23</v>
      </c>
    </row>
    <row r="19" spans="1:9">
      <c r="A19" s="43" t="s">
        <v>209</v>
      </c>
      <c r="B19">
        <v>10</v>
      </c>
      <c r="F19">
        <v>1</v>
      </c>
      <c r="H19">
        <v>1</v>
      </c>
      <c r="I19">
        <v>12</v>
      </c>
    </row>
    <row r="20" spans="1:9">
      <c r="A20" s="43" t="s">
        <v>77</v>
      </c>
      <c r="C20">
        <v>1</v>
      </c>
      <c r="D20">
        <v>1</v>
      </c>
      <c r="G20">
        <v>1</v>
      </c>
      <c r="H20">
        <v>1</v>
      </c>
      <c r="I20">
        <v>4</v>
      </c>
    </row>
    <row r="21" spans="1:9">
      <c r="A21" s="57" t="s">
        <v>305</v>
      </c>
      <c r="C21">
        <v>1</v>
      </c>
      <c r="D21">
        <v>1</v>
      </c>
      <c r="G21">
        <v>1</v>
      </c>
      <c r="H21">
        <v>1</v>
      </c>
      <c r="I21">
        <v>4</v>
      </c>
    </row>
    <row r="22" spans="1:9">
      <c r="A22" s="58" t="s">
        <v>365</v>
      </c>
      <c r="C22">
        <v>1</v>
      </c>
      <c r="D22">
        <v>1</v>
      </c>
      <c r="G22">
        <v>1</v>
      </c>
      <c r="H22">
        <v>1</v>
      </c>
      <c r="I22">
        <v>4</v>
      </c>
    </row>
    <row r="23" spans="1:9">
      <c r="A23" s="43" t="s">
        <v>28</v>
      </c>
      <c r="B23">
        <v>4</v>
      </c>
      <c r="D23">
        <v>3</v>
      </c>
      <c r="H23">
        <v>1</v>
      </c>
      <c r="I23">
        <v>8</v>
      </c>
    </row>
    <row r="24" spans="1:9">
      <c r="A24" s="57" t="s">
        <v>345</v>
      </c>
      <c r="B24">
        <v>1</v>
      </c>
      <c r="I24">
        <v>1</v>
      </c>
    </row>
    <row r="25" spans="1:9">
      <c r="A25" s="58" t="s">
        <v>363</v>
      </c>
      <c r="B25">
        <v>1</v>
      </c>
      <c r="I25">
        <v>1</v>
      </c>
    </row>
    <row r="26" spans="1:9">
      <c r="A26" s="57" t="s">
        <v>305</v>
      </c>
      <c r="D26">
        <v>3</v>
      </c>
      <c r="H26">
        <v>1</v>
      </c>
      <c r="I26">
        <v>4</v>
      </c>
    </row>
    <row r="27" spans="1:9">
      <c r="A27" s="58" t="s">
        <v>311</v>
      </c>
      <c r="D27">
        <v>1</v>
      </c>
      <c r="H27">
        <v>1</v>
      </c>
      <c r="I27">
        <v>2</v>
      </c>
    </row>
    <row r="28" spans="1:9">
      <c r="A28" s="58" t="s">
        <v>366</v>
      </c>
      <c r="D28">
        <v>1</v>
      </c>
      <c r="I28">
        <v>1</v>
      </c>
    </row>
    <row r="29" spans="1:9">
      <c r="A29" s="58" t="s">
        <v>323</v>
      </c>
      <c r="D29">
        <v>1</v>
      </c>
      <c r="I29">
        <v>1</v>
      </c>
    </row>
    <row r="30" spans="1:9">
      <c r="A30" s="57" t="s">
        <v>226</v>
      </c>
      <c r="B30">
        <v>2</v>
      </c>
      <c r="I30">
        <v>2</v>
      </c>
    </row>
    <row r="31" spans="1:9">
      <c r="A31" s="58" t="s">
        <v>231</v>
      </c>
      <c r="B31">
        <v>1</v>
      </c>
      <c r="I31">
        <v>1</v>
      </c>
    </row>
    <row r="32" spans="1:9">
      <c r="A32" s="58" t="s">
        <v>227</v>
      </c>
      <c r="B32">
        <v>1</v>
      </c>
      <c r="I32">
        <v>1</v>
      </c>
    </row>
    <row r="33" spans="1:9">
      <c r="A33" s="57" t="s">
        <v>234</v>
      </c>
      <c r="B33">
        <v>1</v>
      </c>
      <c r="I33">
        <v>1</v>
      </c>
    </row>
    <row r="34" spans="1:9">
      <c r="A34" s="58" t="s">
        <v>244</v>
      </c>
      <c r="B34">
        <v>1</v>
      </c>
      <c r="I34">
        <v>1</v>
      </c>
    </row>
    <row r="35" spans="1:9">
      <c r="A35" s="43" t="s">
        <v>23</v>
      </c>
      <c r="B35">
        <v>3</v>
      </c>
      <c r="C35">
        <v>5</v>
      </c>
      <c r="D35">
        <v>12</v>
      </c>
      <c r="G35">
        <v>3</v>
      </c>
      <c r="H35">
        <v>3</v>
      </c>
      <c r="I35">
        <v>26</v>
      </c>
    </row>
    <row r="36" spans="1:9">
      <c r="A36" s="57" t="s">
        <v>177</v>
      </c>
      <c r="B36">
        <v>1</v>
      </c>
      <c r="I36">
        <v>1</v>
      </c>
    </row>
    <row r="37" spans="1:9">
      <c r="A37" s="58" t="s">
        <v>178</v>
      </c>
      <c r="B37">
        <v>1</v>
      </c>
      <c r="I37">
        <v>1</v>
      </c>
    </row>
    <row r="38" spans="1:9">
      <c r="A38" s="57" t="s">
        <v>253</v>
      </c>
      <c r="D38">
        <v>1</v>
      </c>
      <c r="I38">
        <v>1</v>
      </c>
    </row>
    <row r="39" spans="1:9">
      <c r="A39" s="58" t="s">
        <v>254</v>
      </c>
      <c r="D39">
        <v>1</v>
      </c>
      <c r="I39">
        <v>1</v>
      </c>
    </row>
    <row r="40" spans="1:9">
      <c r="A40" s="57" t="s">
        <v>288</v>
      </c>
      <c r="D40">
        <v>3</v>
      </c>
      <c r="G40">
        <v>1</v>
      </c>
      <c r="I40">
        <v>4</v>
      </c>
    </row>
    <row r="41" spans="1:9">
      <c r="A41" s="58" t="s">
        <v>315</v>
      </c>
      <c r="D41">
        <v>1</v>
      </c>
      <c r="I41">
        <v>1</v>
      </c>
    </row>
    <row r="42" spans="1:9">
      <c r="A42" s="58" t="s">
        <v>292</v>
      </c>
      <c r="D42">
        <v>1</v>
      </c>
      <c r="I42">
        <v>1</v>
      </c>
    </row>
    <row r="43" spans="1:9">
      <c r="A43" s="58" t="s">
        <v>324</v>
      </c>
      <c r="D43">
        <v>1</v>
      </c>
      <c r="G43">
        <v>1</v>
      </c>
      <c r="I43">
        <v>2</v>
      </c>
    </row>
    <row r="44" spans="1:9">
      <c r="A44" s="57" t="s">
        <v>305</v>
      </c>
      <c r="C44">
        <v>2</v>
      </c>
      <c r="D44">
        <v>3</v>
      </c>
      <c r="H44">
        <v>2</v>
      </c>
      <c r="I44">
        <v>7</v>
      </c>
    </row>
    <row r="45" spans="1:9">
      <c r="A45" s="58" t="s">
        <v>307</v>
      </c>
      <c r="C45">
        <v>1</v>
      </c>
      <c r="D45">
        <v>1</v>
      </c>
      <c r="H45">
        <v>1</v>
      </c>
      <c r="I45">
        <v>3</v>
      </c>
    </row>
    <row r="46" spans="1:9">
      <c r="A46" s="58" t="s">
        <v>301</v>
      </c>
      <c r="D46">
        <v>1</v>
      </c>
      <c r="I46">
        <v>1</v>
      </c>
    </row>
    <row r="47" spans="1:9">
      <c r="A47" s="58" t="s">
        <v>425</v>
      </c>
      <c r="C47">
        <v>1</v>
      </c>
      <c r="D47">
        <v>1</v>
      </c>
      <c r="H47">
        <v>1</v>
      </c>
      <c r="I47">
        <v>3</v>
      </c>
    </row>
    <row r="48" spans="1:9">
      <c r="A48" s="57" t="s">
        <v>325</v>
      </c>
      <c r="C48">
        <v>3</v>
      </c>
      <c r="D48">
        <v>4</v>
      </c>
      <c r="G48">
        <v>2</v>
      </c>
      <c r="H48">
        <v>1</v>
      </c>
      <c r="I48">
        <v>10</v>
      </c>
    </row>
    <row r="49" spans="1:9">
      <c r="A49" s="58" t="s">
        <v>426</v>
      </c>
      <c r="D49">
        <v>1</v>
      </c>
      <c r="I49">
        <v>1</v>
      </c>
    </row>
    <row r="50" spans="1:9">
      <c r="A50" s="58" t="s">
        <v>330</v>
      </c>
      <c r="H50">
        <v>1</v>
      </c>
      <c r="I50">
        <v>1</v>
      </c>
    </row>
    <row r="51" spans="1:9">
      <c r="A51" s="58" t="s">
        <v>346</v>
      </c>
      <c r="C51">
        <v>1</v>
      </c>
      <c r="D51">
        <v>1</v>
      </c>
      <c r="I51">
        <v>2</v>
      </c>
    </row>
    <row r="52" spans="1:9">
      <c r="A52" s="58" t="s">
        <v>331</v>
      </c>
      <c r="C52">
        <v>2</v>
      </c>
      <c r="D52">
        <v>2</v>
      </c>
      <c r="G52">
        <v>2</v>
      </c>
      <c r="I52">
        <v>6</v>
      </c>
    </row>
    <row r="53" spans="1:9">
      <c r="A53" s="57" t="s">
        <v>336</v>
      </c>
      <c r="D53">
        <v>1</v>
      </c>
      <c r="I53">
        <v>1</v>
      </c>
    </row>
    <row r="54" spans="1:9">
      <c r="A54" s="58" t="s">
        <v>427</v>
      </c>
      <c r="D54">
        <v>1</v>
      </c>
      <c r="I54">
        <v>1</v>
      </c>
    </row>
    <row r="55" spans="1:9">
      <c r="A55" s="57" t="s">
        <v>234</v>
      </c>
      <c r="B55">
        <v>2</v>
      </c>
      <c r="I55">
        <v>2</v>
      </c>
    </row>
    <row r="56" spans="1:9">
      <c r="A56" s="58" t="s">
        <v>241</v>
      </c>
      <c r="B56">
        <v>1</v>
      </c>
      <c r="I56">
        <v>1</v>
      </c>
    </row>
    <row r="57" spans="1:9">
      <c r="A57" s="58" t="s">
        <v>243</v>
      </c>
      <c r="B57">
        <v>1</v>
      </c>
      <c r="I57">
        <v>1</v>
      </c>
    </row>
    <row r="58" spans="1:9">
      <c r="A58" s="43" t="s">
        <v>216</v>
      </c>
      <c r="B58">
        <v>8</v>
      </c>
      <c r="I58">
        <v>8</v>
      </c>
    </row>
    <row r="59" spans="1:9">
      <c r="A59" s="43" t="s">
        <v>202</v>
      </c>
      <c r="B59">
        <v>53</v>
      </c>
      <c r="C59">
        <v>12</v>
      </c>
      <c r="D59">
        <v>22</v>
      </c>
      <c r="E59">
        <v>6</v>
      </c>
      <c r="F59">
        <v>5</v>
      </c>
      <c r="G59">
        <v>12</v>
      </c>
      <c r="H59">
        <v>8</v>
      </c>
      <c r="I59">
        <v>118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D56B-4034-A341-A35D-27C0118FCB8F}">
  <sheetPr>
    <tabColor theme="5"/>
    <pageSetUpPr fitToPage="1"/>
  </sheetPr>
  <dimension ref="A1:G1569"/>
  <sheetViews>
    <sheetView topLeftCell="A2" zoomScale="120" zoomScaleNormal="120" workbookViewId="0">
      <selection activeCell="A17" sqref="A17:XFD17"/>
    </sheetView>
  </sheetViews>
  <sheetFormatPr defaultColWidth="8.85546875" defaultRowHeight="14.45"/>
  <cols>
    <col min="1" max="1" width="57.140625" style="43" customWidth="1"/>
    <col min="2" max="2" width="9.42578125" style="60" customWidth="1"/>
    <col min="3" max="3" width="21.42578125" style="60" customWidth="1"/>
    <col min="4" max="5" width="6.85546875" style="60" customWidth="1"/>
    <col min="6" max="6" width="6.85546875" style="61" customWidth="1"/>
    <col min="7" max="7" width="11.85546875" style="32" customWidth="1"/>
    <col min="8" max="9" width="12" customWidth="1"/>
    <col min="10"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40" t="str">
        <f>CONCATENATE("FAC25. ",B3," - IT Service Demand")</f>
        <v>FAC25. (All) - IT Service Demand</v>
      </c>
      <c r="B1" s="139"/>
      <c r="C1" s="139"/>
      <c r="D1" s="32"/>
      <c r="E1" s="32"/>
      <c r="F1" s="32"/>
    </row>
    <row r="2" spans="1:7" ht="23.45" customHeight="1">
      <c r="A2"/>
      <c r="B2"/>
      <c r="C2" s="139"/>
      <c r="D2" s="32"/>
      <c r="E2" s="32"/>
      <c r="F2" s="32"/>
    </row>
    <row r="3" spans="1:7">
      <c r="A3" s="56" t="s">
        <v>0</v>
      </c>
      <c r="B3" t="s">
        <v>222</v>
      </c>
    </row>
    <row r="4" spans="1:7">
      <c r="A4" s="56" t="s">
        <v>11</v>
      </c>
      <c r="B4" t="s">
        <v>222</v>
      </c>
    </row>
    <row r="5" spans="1:7">
      <c r="A5" s="56" t="s">
        <v>2</v>
      </c>
      <c r="B5" t="s">
        <v>222</v>
      </c>
    </row>
    <row r="7" spans="1:7">
      <c r="A7" s="76" t="s">
        <v>428</v>
      </c>
      <c r="B7" s="56" t="s">
        <v>186</v>
      </c>
      <c r="E7"/>
      <c r="F7"/>
      <c r="G7"/>
    </row>
    <row r="8" spans="1:7" ht="28.9">
      <c r="A8" s="137" t="s">
        <v>218</v>
      </c>
      <c r="B8" t="s">
        <v>224</v>
      </c>
      <c r="C8" t="s">
        <v>350</v>
      </c>
      <c r="D8" s="104" t="s">
        <v>202</v>
      </c>
      <c r="E8"/>
      <c r="F8"/>
      <c r="G8"/>
    </row>
    <row r="9" spans="1:7">
      <c r="A9" s="43" t="s">
        <v>134</v>
      </c>
      <c r="B9" s="60">
        <v>5</v>
      </c>
      <c r="C9" s="60">
        <v>5</v>
      </c>
      <c r="D9" s="61">
        <v>10</v>
      </c>
      <c r="E9"/>
      <c r="F9"/>
      <c r="G9"/>
    </row>
    <row r="10" spans="1:7">
      <c r="A10" s="43" t="s">
        <v>115</v>
      </c>
      <c r="C10" s="60">
        <v>1</v>
      </c>
      <c r="D10" s="61">
        <v>1</v>
      </c>
      <c r="E10"/>
      <c r="F10"/>
      <c r="G10"/>
    </row>
    <row r="11" spans="1:7">
      <c r="A11" s="43" t="s">
        <v>111</v>
      </c>
      <c r="B11" s="60">
        <v>27</v>
      </c>
      <c r="C11" s="60">
        <v>27</v>
      </c>
      <c r="D11" s="61">
        <v>54</v>
      </c>
      <c r="E11"/>
      <c r="F11"/>
      <c r="G11"/>
    </row>
    <row r="12" spans="1:7">
      <c r="A12" s="43" t="s">
        <v>37</v>
      </c>
      <c r="B12" s="60">
        <v>2</v>
      </c>
      <c r="C12" s="60">
        <v>121</v>
      </c>
      <c r="D12" s="61">
        <v>123</v>
      </c>
      <c r="E12"/>
      <c r="F12"/>
      <c r="G12"/>
    </row>
    <row r="13" spans="1:7">
      <c r="A13" s="43" t="s">
        <v>33</v>
      </c>
      <c r="B13" s="60">
        <v>54</v>
      </c>
      <c r="C13" s="60">
        <v>196</v>
      </c>
      <c r="D13" s="61">
        <v>250</v>
      </c>
      <c r="E13"/>
      <c r="F13"/>
      <c r="G13"/>
    </row>
    <row r="14" spans="1:7">
      <c r="A14" s="43" t="s">
        <v>94</v>
      </c>
      <c r="B14" s="60">
        <v>23</v>
      </c>
      <c r="C14" s="60">
        <v>155</v>
      </c>
      <c r="D14" s="61">
        <v>178</v>
      </c>
      <c r="E14"/>
      <c r="F14"/>
      <c r="G14"/>
    </row>
    <row r="15" spans="1:7">
      <c r="A15" s="43" t="s">
        <v>41</v>
      </c>
      <c r="C15" s="60">
        <v>30</v>
      </c>
      <c r="D15" s="61">
        <v>30</v>
      </c>
      <c r="E15"/>
      <c r="F15"/>
      <c r="G15"/>
    </row>
    <row r="16" spans="1:7">
      <c r="A16" s="43" t="s">
        <v>148</v>
      </c>
      <c r="B16" s="60">
        <v>76</v>
      </c>
      <c r="C16" s="60">
        <v>1</v>
      </c>
      <c r="D16" s="61">
        <v>77</v>
      </c>
      <c r="E16"/>
      <c r="F16"/>
      <c r="G16"/>
    </row>
    <row r="17" spans="1:4" customFormat="1">
      <c r="A17" s="43" t="s">
        <v>47</v>
      </c>
      <c r="B17" s="60">
        <v>2138</v>
      </c>
      <c r="C17" s="60">
        <v>200</v>
      </c>
      <c r="D17" s="61">
        <v>2338</v>
      </c>
    </row>
    <row r="18" spans="1:4" customFormat="1">
      <c r="A18" s="138" t="s">
        <v>208</v>
      </c>
      <c r="B18" s="60">
        <v>358</v>
      </c>
      <c r="C18" s="60">
        <v>0</v>
      </c>
      <c r="D18" s="61">
        <v>358</v>
      </c>
    </row>
    <row r="19" spans="1:4" customFormat="1">
      <c r="A19" s="138" t="s">
        <v>211</v>
      </c>
      <c r="B19" s="60">
        <v>434</v>
      </c>
      <c r="C19" s="60">
        <v>0</v>
      </c>
      <c r="D19" s="61">
        <v>434</v>
      </c>
    </row>
    <row r="20" spans="1:4" customFormat="1">
      <c r="A20" s="138" t="s">
        <v>212</v>
      </c>
      <c r="B20" s="60">
        <v>380</v>
      </c>
      <c r="C20" s="60">
        <v>0</v>
      </c>
      <c r="D20" s="61">
        <v>380</v>
      </c>
    </row>
    <row r="21" spans="1:4" customFormat="1">
      <c r="A21" s="138" t="s">
        <v>213</v>
      </c>
      <c r="B21" s="60">
        <v>458</v>
      </c>
      <c r="C21" s="60">
        <v>0</v>
      </c>
      <c r="D21" s="61">
        <v>458</v>
      </c>
    </row>
    <row r="22" spans="1:4" customFormat="1">
      <c r="A22" s="138" t="s">
        <v>214</v>
      </c>
      <c r="B22" s="60">
        <v>33</v>
      </c>
      <c r="C22" s="60">
        <v>0</v>
      </c>
      <c r="D22" s="61">
        <v>33</v>
      </c>
    </row>
    <row r="23" spans="1:4" customFormat="1">
      <c r="A23" s="74" t="s">
        <v>246</v>
      </c>
      <c r="B23" s="60"/>
      <c r="C23" s="60"/>
      <c r="D23" s="61"/>
    </row>
    <row r="24" spans="1:4" customFormat="1">
      <c r="A24" s="84" t="s">
        <v>249</v>
      </c>
      <c r="B24" s="60"/>
      <c r="C24" s="60"/>
      <c r="D24" s="61"/>
    </row>
    <row r="25" spans="1:4" customFormat="1">
      <c r="A25" s="77" t="s">
        <v>188</v>
      </c>
      <c r="B25" s="60">
        <v>3</v>
      </c>
      <c r="C25" s="60"/>
      <c r="D25" s="61">
        <v>3</v>
      </c>
    </row>
    <row r="26" spans="1:4" customFormat="1">
      <c r="A26" s="84" t="s">
        <v>250</v>
      </c>
      <c r="B26" s="60"/>
      <c r="C26" s="60"/>
      <c r="D26" s="61"/>
    </row>
    <row r="27" spans="1:4" customFormat="1">
      <c r="A27" s="77" t="s">
        <v>188</v>
      </c>
      <c r="B27" s="60">
        <v>4</v>
      </c>
      <c r="C27" s="60"/>
      <c r="D27" s="61">
        <v>4</v>
      </c>
    </row>
    <row r="28" spans="1:4" customFormat="1">
      <c r="A28" s="74" t="s">
        <v>259</v>
      </c>
      <c r="B28" s="60"/>
      <c r="C28" s="60"/>
      <c r="D28" s="61"/>
    </row>
    <row r="29" spans="1:4" customFormat="1">
      <c r="A29" s="84" t="s">
        <v>260</v>
      </c>
      <c r="B29" s="60"/>
      <c r="C29" s="60"/>
      <c r="D29" s="61"/>
    </row>
    <row r="30" spans="1:4" customFormat="1">
      <c r="A30" s="77" t="s">
        <v>191</v>
      </c>
      <c r="B30" s="60">
        <v>1</v>
      </c>
      <c r="C30" s="60"/>
      <c r="D30" s="61">
        <v>1</v>
      </c>
    </row>
    <row r="31" spans="1:4" customFormat="1">
      <c r="A31" s="84" t="s">
        <v>267</v>
      </c>
      <c r="B31" s="60"/>
      <c r="C31" s="60"/>
      <c r="D31" s="61"/>
    </row>
    <row r="32" spans="1:4" customFormat="1">
      <c r="A32" s="77" t="s">
        <v>191</v>
      </c>
      <c r="B32" s="60">
        <v>2</v>
      </c>
      <c r="C32" s="60"/>
      <c r="D32" s="61">
        <v>2</v>
      </c>
    </row>
    <row r="33" spans="1:4" customFormat="1">
      <c r="A33" s="74" t="s">
        <v>268</v>
      </c>
      <c r="B33" s="60"/>
      <c r="C33" s="60"/>
      <c r="D33" s="61"/>
    </row>
    <row r="34" spans="1:4" customFormat="1">
      <c r="A34" s="84" t="s">
        <v>272</v>
      </c>
      <c r="B34" s="60"/>
      <c r="C34" s="60"/>
      <c r="D34" s="61"/>
    </row>
    <row r="35" spans="1:4" customFormat="1">
      <c r="A35" s="77" t="s">
        <v>188</v>
      </c>
      <c r="B35" s="60"/>
      <c r="C35" s="60">
        <v>0</v>
      </c>
      <c r="D35" s="61">
        <v>0</v>
      </c>
    </row>
    <row r="36" spans="1:4" customFormat="1">
      <c r="A36" s="74" t="s">
        <v>278</v>
      </c>
      <c r="B36" s="60"/>
      <c r="C36" s="60"/>
      <c r="D36" s="61"/>
    </row>
    <row r="37" spans="1:4" customFormat="1">
      <c r="A37" s="84" t="s">
        <v>429</v>
      </c>
      <c r="B37" s="60"/>
      <c r="C37" s="60"/>
      <c r="D37" s="61"/>
    </row>
    <row r="38" spans="1:4" customFormat="1">
      <c r="A38" s="77" t="s">
        <v>191</v>
      </c>
      <c r="B38" s="60"/>
      <c r="C38" s="60">
        <v>0</v>
      </c>
      <c r="D38" s="61">
        <v>0</v>
      </c>
    </row>
    <row r="39" spans="1:4" customFormat="1">
      <c r="A39" s="74" t="s">
        <v>288</v>
      </c>
      <c r="B39" s="60"/>
      <c r="C39" s="60"/>
      <c r="D39" s="61"/>
    </row>
    <row r="40" spans="1:4" customFormat="1">
      <c r="A40" s="84" t="s">
        <v>417</v>
      </c>
      <c r="B40" s="60"/>
      <c r="C40" s="60"/>
      <c r="D40" s="61"/>
    </row>
    <row r="41" spans="1:4" customFormat="1">
      <c r="A41" s="77" t="s">
        <v>188</v>
      </c>
      <c r="B41" s="60"/>
      <c r="C41" s="60">
        <v>0</v>
      </c>
      <c r="D41" s="61">
        <v>0</v>
      </c>
    </row>
    <row r="42" spans="1:4" customFormat="1">
      <c r="A42" s="84" t="s">
        <v>315</v>
      </c>
      <c r="B42" s="60"/>
      <c r="C42" s="60"/>
      <c r="D42" s="61"/>
    </row>
    <row r="43" spans="1:4" customFormat="1">
      <c r="A43" s="77" t="s">
        <v>63</v>
      </c>
      <c r="B43" s="60"/>
      <c r="C43" s="60">
        <v>0</v>
      </c>
      <c r="D43" s="61">
        <v>0</v>
      </c>
    </row>
    <row r="44" spans="1:4" customFormat="1">
      <c r="A44" s="74" t="s">
        <v>305</v>
      </c>
      <c r="B44" s="60"/>
      <c r="C44" s="60"/>
      <c r="D44" s="61"/>
    </row>
    <row r="45" spans="1:4" customFormat="1">
      <c r="A45" s="84" t="s">
        <v>307</v>
      </c>
      <c r="B45" s="60"/>
      <c r="C45" s="60"/>
      <c r="D45" s="61"/>
    </row>
    <row r="46" spans="1:4" customFormat="1">
      <c r="A46" s="77" t="s">
        <v>188</v>
      </c>
      <c r="B46" s="60">
        <v>2</v>
      </c>
      <c r="C46" s="60"/>
      <c r="D46" s="61">
        <v>2</v>
      </c>
    </row>
    <row r="47" spans="1:4" customFormat="1">
      <c r="A47" s="84" t="s">
        <v>309</v>
      </c>
      <c r="B47" s="60"/>
      <c r="C47" s="60"/>
      <c r="D47" s="61"/>
    </row>
    <row r="48" spans="1:4" customFormat="1">
      <c r="A48" s="77" t="s">
        <v>188</v>
      </c>
      <c r="B48" s="60">
        <v>2</v>
      </c>
      <c r="C48" s="60"/>
      <c r="D48" s="61">
        <v>2</v>
      </c>
    </row>
    <row r="49" spans="1:4" customFormat="1">
      <c r="A49" s="84" t="s">
        <v>310</v>
      </c>
      <c r="B49" s="60"/>
      <c r="C49" s="60"/>
      <c r="D49" s="61"/>
    </row>
    <row r="50" spans="1:4" customFormat="1">
      <c r="A50" s="77" t="s">
        <v>188</v>
      </c>
      <c r="B50" s="60">
        <v>2</v>
      </c>
      <c r="C50" s="60"/>
      <c r="D50" s="61">
        <v>2</v>
      </c>
    </row>
    <row r="51" spans="1:4" customFormat="1">
      <c r="A51" s="84" t="s">
        <v>312</v>
      </c>
      <c r="B51" s="60"/>
      <c r="C51" s="60"/>
      <c r="D51" s="61"/>
    </row>
    <row r="52" spans="1:4" customFormat="1">
      <c r="A52" s="77" t="s">
        <v>188</v>
      </c>
      <c r="B52" s="60">
        <v>2</v>
      </c>
      <c r="C52" s="60"/>
      <c r="D52" s="61">
        <v>2</v>
      </c>
    </row>
    <row r="53" spans="1:4" customFormat="1">
      <c r="A53" s="84" t="s">
        <v>313</v>
      </c>
      <c r="B53" s="60"/>
      <c r="C53" s="60"/>
      <c r="D53" s="61"/>
    </row>
    <row r="54" spans="1:4" customFormat="1">
      <c r="A54" s="77" t="s">
        <v>188</v>
      </c>
      <c r="B54" s="60"/>
      <c r="C54" s="60">
        <v>0</v>
      </c>
      <c r="D54" s="61">
        <v>0</v>
      </c>
    </row>
    <row r="55" spans="1:4" customFormat="1">
      <c r="A55" s="77" t="s">
        <v>190</v>
      </c>
      <c r="B55" s="60">
        <v>1</v>
      </c>
      <c r="C55" s="60"/>
      <c r="D55" s="61">
        <v>1</v>
      </c>
    </row>
    <row r="56" spans="1:4" customFormat="1">
      <c r="A56" s="84" t="s">
        <v>317</v>
      </c>
      <c r="B56" s="60"/>
      <c r="C56" s="60"/>
      <c r="D56" s="61"/>
    </row>
    <row r="57" spans="1:4" customFormat="1">
      <c r="A57" s="77" t="s">
        <v>188</v>
      </c>
      <c r="B57" s="60">
        <v>8</v>
      </c>
      <c r="C57" s="60"/>
      <c r="D57" s="61">
        <v>8</v>
      </c>
    </row>
    <row r="58" spans="1:4" customFormat="1">
      <c r="A58" s="74" t="s">
        <v>325</v>
      </c>
      <c r="B58" s="60">
        <v>6</v>
      </c>
      <c r="C58" s="60"/>
      <c r="D58" s="61">
        <v>6</v>
      </c>
    </row>
    <row r="59" spans="1:4" customFormat="1">
      <c r="A59" s="138" t="s">
        <v>19</v>
      </c>
      <c r="B59" s="60">
        <v>84</v>
      </c>
      <c r="C59" s="60">
        <v>200</v>
      </c>
      <c r="D59" s="61">
        <v>284</v>
      </c>
    </row>
    <row r="60" spans="1:4" customFormat="1">
      <c r="A60" s="138">
        <v>974</v>
      </c>
      <c r="B60" s="60">
        <v>391</v>
      </c>
      <c r="C60" s="60">
        <v>0</v>
      </c>
      <c r="D60" s="61">
        <v>391</v>
      </c>
    </row>
    <row r="61" spans="1:4" customFormat="1">
      <c r="A61" s="74" t="s">
        <v>246</v>
      </c>
      <c r="B61" s="60"/>
      <c r="C61" s="60"/>
      <c r="D61" s="61"/>
    </row>
    <row r="62" spans="1:4" customFormat="1">
      <c r="A62" s="84" t="s">
        <v>249</v>
      </c>
      <c r="B62" s="60"/>
      <c r="C62" s="60"/>
      <c r="D62" s="61"/>
    </row>
    <row r="63" spans="1:4" customFormat="1">
      <c r="A63" s="77" t="s">
        <v>188</v>
      </c>
      <c r="B63" s="60">
        <v>3</v>
      </c>
      <c r="C63" s="60"/>
      <c r="D63" s="61">
        <v>3</v>
      </c>
    </row>
    <row r="64" spans="1:4" customFormat="1">
      <c r="A64" s="84" t="s">
        <v>250</v>
      </c>
      <c r="B64" s="60"/>
      <c r="C64" s="60"/>
      <c r="D64" s="61"/>
    </row>
    <row r="65" spans="1:4" customFormat="1">
      <c r="A65" s="77" t="s">
        <v>188</v>
      </c>
      <c r="B65" s="60">
        <v>4</v>
      </c>
      <c r="C65" s="60"/>
      <c r="D65" s="61">
        <v>4</v>
      </c>
    </row>
    <row r="66" spans="1:4" customFormat="1">
      <c r="A66" s="74" t="s">
        <v>259</v>
      </c>
      <c r="B66" s="60"/>
      <c r="C66" s="60"/>
      <c r="D66" s="61"/>
    </row>
    <row r="67" spans="1:4" customFormat="1">
      <c r="A67" s="84" t="s">
        <v>260</v>
      </c>
      <c r="B67" s="60"/>
      <c r="C67" s="60"/>
      <c r="D67" s="61"/>
    </row>
    <row r="68" spans="1:4" customFormat="1">
      <c r="A68" s="77" t="s">
        <v>191</v>
      </c>
      <c r="B68" s="60">
        <v>1</v>
      </c>
      <c r="C68" s="60"/>
      <c r="D68" s="61">
        <v>1</v>
      </c>
    </row>
    <row r="69" spans="1:4" customFormat="1">
      <c r="A69" s="84" t="s">
        <v>261</v>
      </c>
      <c r="B69" s="60"/>
      <c r="C69" s="60"/>
      <c r="D69" s="61"/>
    </row>
    <row r="70" spans="1:4" customFormat="1">
      <c r="A70" s="77" t="s">
        <v>194</v>
      </c>
      <c r="B70" s="60">
        <v>80</v>
      </c>
      <c r="C70" s="60"/>
      <c r="D70" s="61">
        <v>80</v>
      </c>
    </row>
    <row r="71" spans="1:4" customFormat="1">
      <c r="A71" s="84" t="s">
        <v>262</v>
      </c>
      <c r="B71" s="60"/>
      <c r="C71" s="60"/>
      <c r="D71" s="61"/>
    </row>
    <row r="72" spans="1:4" customFormat="1">
      <c r="A72" s="77" t="s">
        <v>194</v>
      </c>
      <c r="B72" s="60">
        <v>6</v>
      </c>
      <c r="C72" s="60"/>
      <c r="D72" s="61">
        <v>6</v>
      </c>
    </row>
    <row r="73" spans="1:4" customFormat="1">
      <c r="A73" s="84" t="s">
        <v>263</v>
      </c>
      <c r="B73" s="60"/>
      <c r="C73" s="60"/>
      <c r="D73" s="61"/>
    </row>
    <row r="74" spans="1:4" customFormat="1">
      <c r="A74" s="77" t="s">
        <v>194</v>
      </c>
      <c r="B74" s="60">
        <v>6</v>
      </c>
      <c r="C74" s="60"/>
      <c r="D74" s="61">
        <v>6</v>
      </c>
    </row>
    <row r="75" spans="1:4" customFormat="1">
      <c r="A75" s="84" t="s">
        <v>264</v>
      </c>
      <c r="B75" s="60"/>
      <c r="C75" s="60"/>
      <c r="D75" s="61"/>
    </row>
    <row r="76" spans="1:4" customFormat="1">
      <c r="A76" s="77" t="s">
        <v>194</v>
      </c>
      <c r="B76" s="60">
        <v>8</v>
      </c>
      <c r="C76" s="60"/>
      <c r="D76" s="61">
        <v>8</v>
      </c>
    </row>
    <row r="77" spans="1:4" customFormat="1">
      <c r="A77" s="84" t="s">
        <v>267</v>
      </c>
      <c r="B77" s="60"/>
      <c r="C77" s="60"/>
      <c r="D77" s="61"/>
    </row>
    <row r="78" spans="1:4" customFormat="1">
      <c r="A78" s="77" t="s">
        <v>191</v>
      </c>
      <c r="B78" s="60">
        <v>2</v>
      </c>
      <c r="C78" s="60"/>
      <c r="D78" s="61">
        <v>2</v>
      </c>
    </row>
    <row r="79" spans="1:4" customFormat="1">
      <c r="A79" s="74" t="s">
        <v>268</v>
      </c>
      <c r="B79" s="60"/>
      <c r="C79" s="60"/>
      <c r="D79" s="61"/>
    </row>
    <row r="80" spans="1:4" customFormat="1">
      <c r="A80" s="84" t="s">
        <v>272</v>
      </c>
      <c r="B80" s="60"/>
      <c r="C80" s="60"/>
      <c r="D80" s="61"/>
    </row>
    <row r="81" spans="1:4" customFormat="1">
      <c r="A81" s="77" t="s">
        <v>188</v>
      </c>
      <c r="B81" s="60"/>
      <c r="C81" s="60">
        <v>0</v>
      </c>
      <c r="D81" s="61">
        <v>0</v>
      </c>
    </row>
    <row r="82" spans="1:4" customFormat="1">
      <c r="A82" s="84" t="s">
        <v>276</v>
      </c>
      <c r="B82" s="60"/>
      <c r="C82" s="60"/>
      <c r="D82" s="61"/>
    </row>
    <row r="83" spans="1:4" customFormat="1">
      <c r="A83" s="77" t="s">
        <v>194</v>
      </c>
      <c r="B83" s="60">
        <v>40</v>
      </c>
      <c r="C83" s="60"/>
      <c r="D83" s="61">
        <v>40</v>
      </c>
    </row>
    <row r="84" spans="1:4" customFormat="1">
      <c r="A84" s="84" t="s">
        <v>277</v>
      </c>
      <c r="B84" s="60"/>
      <c r="C84" s="60"/>
      <c r="D84" s="61"/>
    </row>
    <row r="85" spans="1:4" customFormat="1">
      <c r="A85" s="77" t="s">
        <v>194</v>
      </c>
      <c r="B85" s="60">
        <v>40</v>
      </c>
      <c r="C85" s="60"/>
      <c r="D85" s="61">
        <v>40</v>
      </c>
    </row>
    <row r="86" spans="1:4" customFormat="1">
      <c r="A86" s="74" t="s">
        <v>278</v>
      </c>
      <c r="B86" s="60"/>
      <c r="C86" s="60"/>
      <c r="D86" s="61"/>
    </row>
    <row r="87" spans="1:4" customFormat="1">
      <c r="A87" s="84" t="s">
        <v>285</v>
      </c>
      <c r="B87" s="60"/>
      <c r="C87" s="60"/>
      <c r="D87" s="61"/>
    </row>
    <row r="88" spans="1:4" customFormat="1">
      <c r="A88" s="77" t="s">
        <v>194</v>
      </c>
      <c r="B88" s="60">
        <v>170</v>
      </c>
      <c r="C88" s="60"/>
      <c r="D88" s="61">
        <v>170</v>
      </c>
    </row>
    <row r="89" spans="1:4" customFormat="1">
      <c r="A89" s="84" t="s">
        <v>287</v>
      </c>
      <c r="B89" s="60"/>
      <c r="C89" s="60"/>
      <c r="D89" s="61"/>
    </row>
    <row r="90" spans="1:4" customFormat="1">
      <c r="A90" s="77" t="s">
        <v>194</v>
      </c>
      <c r="B90" s="60">
        <v>10</v>
      </c>
      <c r="C90" s="60"/>
      <c r="D90" s="61">
        <v>10</v>
      </c>
    </row>
    <row r="91" spans="1:4" customFormat="1">
      <c r="A91" s="84" t="s">
        <v>429</v>
      </c>
      <c r="B91" s="60"/>
      <c r="C91" s="60"/>
      <c r="D91" s="61"/>
    </row>
    <row r="92" spans="1:4" customFormat="1">
      <c r="A92" s="77" t="s">
        <v>191</v>
      </c>
      <c r="B92" s="60"/>
      <c r="C92" s="60">
        <v>0</v>
      </c>
      <c r="D92" s="61">
        <v>0</v>
      </c>
    </row>
    <row r="93" spans="1:4" customFormat="1">
      <c r="A93" s="74" t="s">
        <v>288</v>
      </c>
      <c r="B93" s="60"/>
      <c r="C93" s="60"/>
      <c r="D93" s="61"/>
    </row>
    <row r="94" spans="1:4" customFormat="1">
      <c r="A94" s="84" t="s">
        <v>417</v>
      </c>
      <c r="B94" s="60"/>
      <c r="C94" s="60"/>
      <c r="D94" s="61"/>
    </row>
    <row r="95" spans="1:4" customFormat="1">
      <c r="A95" s="77" t="s">
        <v>188</v>
      </c>
      <c r="B95" s="60"/>
      <c r="C95" s="60">
        <v>0</v>
      </c>
      <c r="D95" s="61">
        <v>0</v>
      </c>
    </row>
    <row r="96" spans="1:4" customFormat="1">
      <c r="A96" s="84" t="s">
        <v>315</v>
      </c>
      <c r="B96" s="60"/>
      <c r="C96" s="60"/>
      <c r="D96" s="61"/>
    </row>
    <row r="97" spans="1:4" customFormat="1">
      <c r="A97" s="77" t="s">
        <v>63</v>
      </c>
      <c r="B97" s="60"/>
      <c r="C97" s="60">
        <v>0</v>
      </c>
      <c r="D97" s="61">
        <v>0</v>
      </c>
    </row>
    <row r="98" spans="1:4" customFormat="1">
      <c r="A98" s="74" t="s">
        <v>305</v>
      </c>
      <c r="B98" s="60"/>
      <c r="C98" s="60"/>
      <c r="D98" s="61"/>
    </row>
    <row r="99" spans="1:4" customFormat="1">
      <c r="A99" s="84" t="s">
        <v>307</v>
      </c>
      <c r="B99" s="60"/>
      <c r="C99" s="60"/>
      <c r="D99" s="61"/>
    </row>
    <row r="100" spans="1:4" customFormat="1">
      <c r="A100" s="77" t="s">
        <v>188</v>
      </c>
      <c r="B100" s="60">
        <v>2</v>
      </c>
      <c r="C100" s="60"/>
      <c r="D100" s="61">
        <v>2</v>
      </c>
    </row>
    <row r="101" spans="1:4" customFormat="1">
      <c r="A101" s="84" t="s">
        <v>309</v>
      </c>
      <c r="B101" s="60"/>
      <c r="C101" s="60"/>
      <c r="D101" s="61"/>
    </row>
    <row r="102" spans="1:4" customFormat="1">
      <c r="A102" s="77" t="s">
        <v>188</v>
      </c>
      <c r="B102" s="60">
        <v>2</v>
      </c>
      <c r="C102" s="60"/>
      <c r="D102" s="61">
        <v>2</v>
      </c>
    </row>
    <row r="103" spans="1:4" customFormat="1">
      <c r="A103" s="84" t="s">
        <v>310</v>
      </c>
      <c r="B103" s="60"/>
      <c r="C103" s="60"/>
      <c r="D103" s="61"/>
    </row>
    <row r="104" spans="1:4" customFormat="1">
      <c r="A104" s="77" t="s">
        <v>188</v>
      </c>
      <c r="B104" s="60">
        <v>2</v>
      </c>
      <c r="C104" s="60"/>
      <c r="D104" s="61">
        <v>2</v>
      </c>
    </row>
    <row r="105" spans="1:4" customFormat="1">
      <c r="A105" s="84" t="s">
        <v>312</v>
      </c>
      <c r="B105" s="60"/>
      <c r="C105" s="60"/>
      <c r="D105" s="61"/>
    </row>
    <row r="106" spans="1:4" customFormat="1">
      <c r="A106" s="77" t="s">
        <v>188</v>
      </c>
      <c r="B106" s="60">
        <v>2</v>
      </c>
      <c r="C106" s="60"/>
      <c r="D106" s="61">
        <v>2</v>
      </c>
    </row>
    <row r="107" spans="1:4" customFormat="1">
      <c r="A107" s="84" t="s">
        <v>313</v>
      </c>
      <c r="B107" s="60"/>
      <c r="C107" s="60"/>
      <c r="D107" s="61"/>
    </row>
    <row r="108" spans="1:4" customFormat="1">
      <c r="A108" s="77" t="s">
        <v>188</v>
      </c>
      <c r="B108" s="60"/>
      <c r="C108" s="60">
        <v>0</v>
      </c>
      <c r="D108" s="61">
        <v>0</v>
      </c>
    </row>
    <row r="109" spans="1:4" customFormat="1">
      <c r="A109" s="77" t="s">
        <v>190</v>
      </c>
      <c r="B109" s="60">
        <v>1</v>
      </c>
      <c r="C109" s="60"/>
      <c r="D109" s="61">
        <v>1</v>
      </c>
    </row>
    <row r="110" spans="1:4" customFormat="1">
      <c r="A110" s="84" t="s">
        <v>317</v>
      </c>
      <c r="B110" s="60"/>
      <c r="C110" s="60"/>
      <c r="D110" s="61"/>
    </row>
    <row r="111" spans="1:4" customFormat="1">
      <c r="A111" s="77" t="s">
        <v>188</v>
      </c>
      <c r="B111" s="60">
        <v>6</v>
      </c>
      <c r="C111" s="60"/>
      <c r="D111" s="61">
        <v>6</v>
      </c>
    </row>
    <row r="112" spans="1:4" customFormat="1">
      <c r="A112" s="74" t="s">
        <v>325</v>
      </c>
      <c r="B112" s="60">
        <v>6</v>
      </c>
      <c r="C112" s="60"/>
      <c r="D112" s="61">
        <v>6</v>
      </c>
    </row>
    <row r="113" spans="1:4" customFormat="1">
      <c r="A113" s="43" t="s">
        <v>77</v>
      </c>
      <c r="B113" s="60">
        <v>4</v>
      </c>
      <c r="C113" s="60">
        <v>15</v>
      </c>
      <c r="D113" s="61">
        <v>19</v>
      </c>
    </row>
    <row r="114" spans="1:4" customFormat="1">
      <c r="A114" s="43" t="s">
        <v>28</v>
      </c>
      <c r="B114" s="60">
        <v>8</v>
      </c>
      <c r="C114" s="60">
        <v>16</v>
      </c>
      <c r="D114" s="61">
        <v>24</v>
      </c>
    </row>
    <row r="115" spans="1:4" customFormat="1">
      <c r="A115" s="148" t="s">
        <v>208</v>
      </c>
      <c r="B115" s="60"/>
      <c r="C115" s="60">
        <v>2</v>
      </c>
      <c r="D115" s="61">
        <v>2</v>
      </c>
    </row>
    <row r="116" spans="1:4" customFormat="1">
      <c r="A116" s="148" t="s">
        <v>211</v>
      </c>
      <c r="B116" s="60">
        <v>3</v>
      </c>
      <c r="C116" s="60">
        <v>0</v>
      </c>
      <c r="D116" s="61">
        <v>3</v>
      </c>
    </row>
    <row r="117" spans="1:4" customFormat="1">
      <c r="A117" s="148" t="s">
        <v>212</v>
      </c>
      <c r="B117" s="60"/>
      <c r="C117" s="60">
        <v>3</v>
      </c>
      <c r="D117" s="61">
        <v>3</v>
      </c>
    </row>
    <row r="118" spans="1:4" customFormat="1">
      <c r="A118" s="148" t="s">
        <v>213</v>
      </c>
      <c r="B118" s="60">
        <v>1</v>
      </c>
      <c r="C118" s="60">
        <v>2</v>
      </c>
      <c r="D118" s="61">
        <v>3</v>
      </c>
    </row>
    <row r="119" spans="1:4" customFormat="1">
      <c r="A119" s="148" t="s">
        <v>214</v>
      </c>
      <c r="B119" s="60"/>
      <c r="C119" s="60">
        <v>3</v>
      </c>
      <c r="D119" s="61">
        <v>3</v>
      </c>
    </row>
    <row r="120" spans="1:4" customFormat="1">
      <c r="A120" s="74" t="s">
        <v>305</v>
      </c>
      <c r="B120" s="60"/>
      <c r="C120" s="60"/>
      <c r="D120" s="61"/>
    </row>
    <row r="121" spans="1:4" customFormat="1">
      <c r="A121" s="75" t="s">
        <v>311</v>
      </c>
      <c r="B121" s="60"/>
      <c r="C121" s="60"/>
      <c r="D121" s="61"/>
    </row>
    <row r="122" spans="1:4" customFormat="1">
      <c r="A122" s="138" t="s">
        <v>198</v>
      </c>
      <c r="B122" s="60"/>
      <c r="C122" s="60">
        <v>1</v>
      </c>
      <c r="D122" s="61">
        <v>1</v>
      </c>
    </row>
    <row r="123" spans="1:4" customFormat="1">
      <c r="A123" s="84" t="s">
        <v>366</v>
      </c>
      <c r="B123" s="60"/>
      <c r="C123" s="60"/>
      <c r="D123" s="61"/>
    </row>
    <row r="124" spans="1:4" customFormat="1">
      <c r="A124" s="77" t="s">
        <v>194</v>
      </c>
      <c r="B124" s="60"/>
      <c r="C124" s="60">
        <v>1</v>
      </c>
      <c r="D124" s="61">
        <v>1</v>
      </c>
    </row>
    <row r="125" spans="1:4" customFormat="1">
      <c r="A125" s="75" t="s">
        <v>421</v>
      </c>
      <c r="B125" s="60"/>
      <c r="C125" s="60"/>
      <c r="D125" s="61"/>
    </row>
    <row r="126" spans="1:4" customFormat="1">
      <c r="A126" s="138" t="s">
        <v>156</v>
      </c>
      <c r="B126" s="60"/>
      <c r="C126" s="60">
        <v>0</v>
      </c>
      <c r="D126" s="61">
        <v>0</v>
      </c>
    </row>
    <row r="127" spans="1:4" customFormat="1">
      <c r="A127" s="75" t="s">
        <v>323</v>
      </c>
      <c r="B127" s="60"/>
      <c r="C127" s="60"/>
      <c r="D127" s="61"/>
    </row>
    <row r="128" spans="1:4" customFormat="1">
      <c r="A128" s="138" t="s">
        <v>198</v>
      </c>
      <c r="B128" s="60"/>
      <c r="C128" s="60">
        <v>1</v>
      </c>
      <c r="D128" s="61">
        <v>1</v>
      </c>
    </row>
    <row r="129" spans="1:4" customFormat="1">
      <c r="A129" s="148" t="s">
        <v>19</v>
      </c>
      <c r="B129" s="60">
        <v>4</v>
      </c>
      <c r="C129" s="60">
        <v>4</v>
      </c>
      <c r="D129" s="61">
        <v>8</v>
      </c>
    </row>
    <row r="130" spans="1:4" customFormat="1">
      <c r="A130" s="148">
        <v>974</v>
      </c>
      <c r="B130" s="60"/>
      <c r="C130" s="60">
        <v>2</v>
      </c>
      <c r="D130" s="61">
        <v>2</v>
      </c>
    </row>
    <row r="131" spans="1:4" customFormat="1">
      <c r="A131" s="74" t="s">
        <v>305</v>
      </c>
      <c r="B131" s="60"/>
      <c r="C131" s="60"/>
      <c r="D131" s="61"/>
    </row>
    <row r="132" spans="1:4" customFormat="1">
      <c r="A132" s="75" t="s">
        <v>311</v>
      </c>
      <c r="B132" s="60"/>
      <c r="C132" s="60"/>
      <c r="D132" s="61"/>
    </row>
    <row r="133" spans="1:4" customFormat="1">
      <c r="A133" s="138" t="s">
        <v>198</v>
      </c>
      <c r="B133" s="60"/>
      <c r="C133" s="60">
        <v>1</v>
      </c>
      <c r="D133" s="61">
        <v>1</v>
      </c>
    </row>
    <row r="134" spans="1:4" customFormat="1">
      <c r="A134" s="75" t="s">
        <v>421</v>
      </c>
      <c r="B134" s="60"/>
      <c r="C134" s="60"/>
      <c r="D134" s="61"/>
    </row>
    <row r="135" spans="1:4" customFormat="1">
      <c r="A135" s="138" t="s">
        <v>156</v>
      </c>
      <c r="B135" s="60"/>
      <c r="C135" s="60">
        <v>0</v>
      </c>
      <c r="D135" s="61">
        <v>0</v>
      </c>
    </row>
    <row r="136" spans="1:4" customFormat="1">
      <c r="A136" s="75" t="s">
        <v>323</v>
      </c>
      <c r="B136" s="60"/>
      <c r="C136" s="60"/>
      <c r="D136" s="61"/>
    </row>
    <row r="137" spans="1:4" customFormat="1">
      <c r="A137" s="138" t="s">
        <v>198</v>
      </c>
      <c r="B137" s="60"/>
      <c r="C137" s="60">
        <v>1</v>
      </c>
      <c r="D137" s="61">
        <v>1</v>
      </c>
    </row>
    <row r="138" spans="1:4" customFormat="1">
      <c r="A138" s="43" t="s">
        <v>23</v>
      </c>
      <c r="B138" s="60">
        <v>26</v>
      </c>
      <c r="C138" s="60">
        <v>98</v>
      </c>
      <c r="D138" s="61">
        <v>124</v>
      </c>
    </row>
    <row r="139" spans="1:4" customFormat="1">
      <c r="A139" s="148" t="s">
        <v>208</v>
      </c>
      <c r="B139" s="60"/>
      <c r="C139" s="60">
        <v>14</v>
      </c>
      <c r="D139" s="61">
        <v>14</v>
      </c>
    </row>
    <row r="140" spans="1:4" customFormat="1">
      <c r="A140" s="148" t="s">
        <v>211</v>
      </c>
      <c r="B140" s="60">
        <v>12</v>
      </c>
      <c r="C140" s="60">
        <v>2</v>
      </c>
      <c r="D140" s="61">
        <v>14</v>
      </c>
    </row>
    <row r="141" spans="1:4" customFormat="1">
      <c r="A141" s="148" t="s">
        <v>212</v>
      </c>
      <c r="B141" s="60">
        <v>3</v>
      </c>
      <c r="C141" s="60">
        <v>10</v>
      </c>
      <c r="D141" s="61">
        <v>13</v>
      </c>
    </row>
    <row r="142" spans="1:4" customFormat="1">
      <c r="A142" s="148" t="s">
        <v>213</v>
      </c>
      <c r="B142" s="60">
        <v>3</v>
      </c>
      <c r="C142" s="60">
        <v>10</v>
      </c>
      <c r="D142" s="61">
        <v>13</v>
      </c>
    </row>
    <row r="143" spans="1:4" customFormat="1">
      <c r="A143" s="148" t="s">
        <v>214</v>
      </c>
      <c r="B143" s="60">
        <v>5</v>
      </c>
      <c r="C143" s="60">
        <v>8</v>
      </c>
      <c r="D143" s="61">
        <v>13</v>
      </c>
    </row>
    <row r="144" spans="1:4" customFormat="1">
      <c r="A144" s="74" t="s">
        <v>253</v>
      </c>
      <c r="B144" s="60"/>
      <c r="C144" s="60"/>
      <c r="D144" s="61"/>
    </row>
    <row r="145" spans="1:4" customFormat="1">
      <c r="A145" s="75" t="s">
        <v>254</v>
      </c>
      <c r="B145" s="60"/>
      <c r="C145" s="60"/>
      <c r="D145" s="61"/>
    </row>
    <row r="146" spans="1:4" customFormat="1">
      <c r="A146" s="138" t="s">
        <v>191</v>
      </c>
      <c r="B146" s="60"/>
      <c r="C146" s="60">
        <v>1</v>
      </c>
      <c r="D146" s="61">
        <v>1</v>
      </c>
    </row>
    <row r="147" spans="1:4" customFormat="1">
      <c r="A147" s="74" t="s">
        <v>288</v>
      </c>
      <c r="B147" s="60"/>
      <c r="C147" s="60"/>
      <c r="D147" s="61"/>
    </row>
    <row r="148" spans="1:4" customFormat="1">
      <c r="A148" s="75" t="s">
        <v>315</v>
      </c>
      <c r="B148" s="60"/>
      <c r="C148" s="60"/>
      <c r="D148" s="61"/>
    </row>
    <row r="149" spans="1:4" customFormat="1">
      <c r="A149" s="138" t="s">
        <v>63</v>
      </c>
      <c r="B149" s="60"/>
      <c r="C149" s="60">
        <v>1</v>
      </c>
      <c r="D149" s="61">
        <v>1</v>
      </c>
    </row>
    <row r="150" spans="1:4" customFormat="1">
      <c r="A150" s="75" t="s">
        <v>292</v>
      </c>
      <c r="B150" s="60"/>
      <c r="C150" s="60"/>
      <c r="D150" s="61"/>
    </row>
    <row r="151" spans="1:4" customFormat="1">
      <c r="A151" s="138" t="s">
        <v>90</v>
      </c>
      <c r="B151" s="60"/>
      <c r="C151" s="60">
        <v>1</v>
      </c>
      <c r="D151" s="61">
        <v>1</v>
      </c>
    </row>
    <row r="152" spans="1:4" customFormat="1">
      <c r="A152" s="84" t="s">
        <v>324</v>
      </c>
      <c r="B152" s="60"/>
      <c r="C152" s="60"/>
      <c r="D152" s="61"/>
    </row>
    <row r="153" spans="1:4" customFormat="1">
      <c r="A153" s="77" t="s">
        <v>182</v>
      </c>
      <c r="B153" s="60"/>
      <c r="C153" s="60">
        <v>3</v>
      </c>
      <c r="D153" s="61">
        <v>3</v>
      </c>
    </row>
    <row r="154" spans="1:4" customFormat="1">
      <c r="A154" s="74" t="s">
        <v>296</v>
      </c>
      <c r="B154" s="60"/>
      <c r="C154" s="60"/>
      <c r="D154" s="61"/>
    </row>
    <row r="155" spans="1:4" customFormat="1">
      <c r="A155" s="75" t="s">
        <v>327</v>
      </c>
      <c r="B155" s="60"/>
      <c r="C155" s="60"/>
      <c r="D155" s="61"/>
    </row>
    <row r="156" spans="1:4" customFormat="1">
      <c r="A156" s="138" t="s">
        <v>192</v>
      </c>
      <c r="B156" s="60"/>
      <c r="C156" s="60">
        <v>0</v>
      </c>
      <c r="D156" s="61">
        <v>0</v>
      </c>
    </row>
    <row r="157" spans="1:4" customFormat="1">
      <c r="A157" s="74" t="s">
        <v>305</v>
      </c>
      <c r="B157" s="60"/>
      <c r="C157" s="60"/>
      <c r="D157" s="61"/>
    </row>
    <row r="158" spans="1:4" customFormat="1">
      <c r="A158" s="75" t="s">
        <v>307</v>
      </c>
      <c r="B158" s="60"/>
      <c r="C158" s="60"/>
      <c r="D158" s="61"/>
    </row>
    <row r="159" spans="1:4" customFormat="1">
      <c r="A159" s="138" t="s">
        <v>188</v>
      </c>
      <c r="B159" s="60">
        <v>1</v>
      </c>
      <c r="C159" s="60"/>
      <c r="D159" s="61">
        <v>1</v>
      </c>
    </row>
    <row r="160" spans="1:4" customFormat="1">
      <c r="A160" s="75" t="s">
        <v>313</v>
      </c>
      <c r="B160" s="60"/>
      <c r="C160" s="60"/>
      <c r="D160" s="61"/>
    </row>
    <row r="161" spans="1:4" customFormat="1">
      <c r="A161" s="138" t="s">
        <v>190</v>
      </c>
      <c r="B161" s="60"/>
      <c r="C161" s="60">
        <v>0</v>
      </c>
      <c r="D161" s="61">
        <v>0</v>
      </c>
    </row>
    <row r="162" spans="1:4" customFormat="1">
      <c r="A162" s="75" t="s">
        <v>320</v>
      </c>
      <c r="B162" s="60"/>
      <c r="C162" s="60"/>
      <c r="D162" s="61"/>
    </row>
    <row r="163" spans="1:4" customFormat="1">
      <c r="A163" s="138" t="s">
        <v>156</v>
      </c>
      <c r="B163" s="60"/>
      <c r="C163" s="60">
        <v>0</v>
      </c>
      <c r="D163" s="61">
        <v>0</v>
      </c>
    </row>
    <row r="164" spans="1:4" customFormat="1">
      <c r="A164" s="75" t="s">
        <v>425</v>
      </c>
      <c r="B164" s="60"/>
      <c r="C164" s="60"/>
      <c r="D164" s="61"/>
    </row>
    <row r="165" spans="1:4" customFormat="1">
      <c r="A165" s="138" t="s">
        <v>197</v>
      </c>
      <c r="B165" s="60">
        <v>1</v>
      </c>
      <c r="C165" s="60"/>
      <c r="D165" s="61">
        <v>1</v>
      </c>
    </row>
    <row r="166" spans="1:4" customFormat="1">
      <c r="A166" s="75" t="s">
        <v>301</v>
      </c>
      <c r="B166" s="60"/>
      <c r="C166" s="60"/>
      <c r="D166" s="61"/>
    </row>
    <row r="167" spans="1:4" customFormat="1">
      <c r="A167" s="138" t="s">
        <v>199</v>
      </c>
      <c r="B167" s="60"/>
      <c r="C167" s="60">
        <v>1</v>
      </c>
      <c r="D167" s="61">
        <v>1</v>
      </c>
    </row>
    <row r="168" spans="1:4" customFormat="1">
      <c r="A168" s="74" t="s">
        <v>325</v>
      </c>
      <c r="B168" s="60">
        <v>3</v>
      </c>
      <c r="C168" s="60"/>
      <c r="D168" s="61">
        <v>3</v>
      </c>
    </row>
    <row r="169" spans="1:4" customFormat="1">
      <c r="A169" s="74" t="s">
        <v>336</v>
      </c>
      <c r="B169" s="60"/>
      <c r="C169" s="60"/>
      <c r="D169" s="61"/>
    </row>
    <row r="170" spans="1:4" customFormat="1">
      <c r="A170" s="75" t="s">
        <v>427</v>
      </c>
      <c r="B170" s="60"/>
      <c r="C170" s="60"/>
      <c r="D170" s="61"/>
    </row>
    <row r="171" spans="1:4" customFormat="1">
      <c r="A171" s="138" t="s">
        <v>193</v>
      </c>
      <c r="B171" s="60"/>
      <c r="C171" s="60">
        <v>1</v>
      </c>
      <c r="D171" s="61">
        <v>1</v>
      </c>
    </row>
    <row r="172" spans="1:4" customFormat="1">
      <c r="A172" s="138" t="s">
        <v>19</v>
      </c>
      <c r="B172" s="60">
        <v>3</v>
      </c>
      <c r="C172" s="60">
        <v>40</v>
      </c>
      <c r="D172" s="61">
        <v>43</v>
      </c>
    </row>
    <row r="173" spans="1:4" customFormat="1">
      <c r="A173" s="148">
        <v>974</v>
      </c>
      <c r="B173" s="60"/>
      <c r="C173" s="60">
        <v>14</v>
      </c>
      <c r="D173" s="61">
        <v>14</v>
      </c>
    </row>
    <row r="174" spans="1:4" customFormat="1">
      <c r="A174" s="74" t="s">
        <v>253</v>
      </c>
      <c r="B174" s="60"/>
      <c r="C174" s="60"/>
      <c r="D174" s="61"/>
    </row>
    <row r="175" spans="1:4" customFormat="1">
      <c r="A175" s="75" t="s">
        <v>254</v>
      </c>
      <c r="B175" s="60"/>
      <c r="C175" s="60"/>
      <c r="D175" s="61"/>
    </row>
    <row r="176" spans="1:4" customFormat="1">
      <c r="A176" s="138" t="s">
        <v>191</v>
      </c>
      <c r="B176" s="60"/>
      <c r="C176" s="60">
        <v>1</v>
      </c>
      <c r="D176" s="61">
        <v>1</v>
      </c>
    </row>
    <row r="177" spans="1:4" customFormat="1">
      <c r="A177" s="74" t="s">
        <v>288</v>
      </c>
      <c r="B177" s="60"/>
      <c r="C177" s="60"/>
      <c r="D177" s="61"/>
    </row>
    <row r="178" spans="1:4" customFormat="1">
      <c r="A178" s="75" t="s">
        <v>292</v>
      </c>
      <c r="B178" s="60"/>
      <c r="C178" s="60"/>
      <c r="D178" s="61"/>
    </row>
    <row r="179" spans="1:4" customFormat="1">
      <c r="A179" s="138" t="s">
        <v>90</v>
      </c>
      <c r="B179" s="60"/>
      <c r="C179" s="60">
        <v>1</v>
      </c>
      <c r="D179" s="61">
        <v>1</v>
      </c>
    </row>
    <row r="180" spans="1:4" customFormat="1">
      <c r="A180" s="84" t="s">
        <v>324</v>
      </c>
      <c r="B180" s="60"/>
      <c r="C180" s="60"/>
      <c r="D180" s="61"/>
    </row>
    <row r="181" spans="1:4" customFormat="1">
      <c r="A181" s="77" t="s">
        <v>182</v>
      </c>
      <c r="B181" s="60"/>
      <c r="C181" s="60">
        <v>3</v>
      </c>
      <c r="D181" s="61">
        <v>3</v>
      </c>
    </row>
    <row r="182" spans="1:4" customFormat="1">
      <c r="A182" s="74" t="s">
        <v>296</v>
      </c>
      <c r="B182" s="60"/>
      <c r="C182" s="60"/>
      <c r="D182" s="61"/>
    </row>
    <row r="183" spans="1:4" customFormat="1">
      <c r="A183" s="75" t="s">
        <v>327</v>
      </c>
      <c r="B183" s="60"/>
      <c r="C183" s="60"/>
      <c r="D183" s="61"/>
    </row>
    <row r="184" spans="1:4" customFormat="1">
      <c r="A184" s="138" t="s">
        <v>192</v>
      </c>
      <c r="B184" s="60"/>
      <c r="C184" s="60">
        <v>0</v>
      </c>
      <c r="D184" s="61">
        <v>0</v>
      </c>
    </row>
    <row r="185" spans="1:4" customFormat="1">
      <c r="A185" s="74" t="s">
        <v>305</v>
      </c>
      <c r="B185" s="60"/>
      <c r="C185" s="60"/>
      <c r="D185" s="61"/>
    </row>
    <row r="186" spans="1:4" customFormat="1">
      <c r="A186" s="75" t="s">
        <v>307</v>
      </c>
      <c r="B186" s="60"/>
      <c r="C186" s="60"/>
      <c r="D186" s="61"/>
    </row>
    <row r="187" spans="1:4" customFormat="1">
      <c r="A187" s="138" t="s">
        <v>188</v>
      </c>
      <c r="B187" s="60"/>
      <c r="C187" s="60">
        <v>1</v>
      </c>
      <c r="D187" s="61">
        <v>1</v>
      </c>
    </row>
    <row r="188" spans="1:4" customFormat="1">
      <c r="A188" s="75" t="s">
        <v>313</v>
      </c>
      <c r="B188" s="60"/>
      <c r="C188" s="60"/>
      <c r="D188" s="61"/>
    </row>
    <row r="189" spans="1:4" customFormat="1">
      <c r="A189" s="138" t="s">
        <v>190</v>
      </c>
      <c r="B189" s="60"/>
      <c r="C189" s="60">
        <v>0</v>
      </c>
      <c r="D189" s="61">
        <v>0</v>
      </c>
    </row>
    <row r="190" spans="1:4" customFormat="1">
      <c r="A190" s="75" t="s">
        <v>314</v>
      </c>
      <c r="B190" s="60"/>
      <c r="C190" s="60"/>
      <c r="D190" s="61"/>
    </row>
    <row r="191" spans="1:4" customFormat="1">
      <c r="A191" s="138" t="s">
        <v>194</v>
      </c>
      <c r="B191" s="60"/>
      <c r="C191" s="60">
        <v>1</v>
      </c>
      <c r="D191" s="61">
        <v>1</v>
      </c>
    </row>
    <row r="192" spans="1:4" customFormat="1">
      <c r="A192" s="75" t="s">
        <v>315</v>
      </c>
      <c r="B192" s="60"/>
      <c r="C192" s="60"/>
      <c r="D192" s="61"/>
    </row>
    <row r="193" spans="1:4" customFormat="1">
      <c r="A193" s="138" t="s">
        <v>63</v>
      </c>
      <c r="B193" s="60"/>
      <c r="C193" s="60">
        <v>1</v>
      </c>
      <c r="D193" s="61">
        <v>1</v>
      </c>
    </row>
    <row r="194" spans="1:4" customFormat="1">
      <c r="A194" s="75" t="s">
        <v>320</v>
      </c>
      <c r="B194" s="60"/>
      <c r="C194" s="60"/>
      <c r="D194" s="61"/>
    </row>
    <row r="195" spans="1:4" customFormat="1">
      <c r="A195" s="138" t="s">
        <v>156</v>
      </c>
      <c r="B195" s="60"/>
      <c r="C195" s="60">
        <v>0</v>
      </c>
      <c r="D195" s="61">
        <v>0</v>
      </c>
    </row>
    <row r="196" spans="1:4" customFormat="1">
      <c r="A196" s="75" t="s">
        <v>425</v>
      </c>
      <c r="B196" s="60"/>
      <c r="C196" s="60"/>
      <c r="D196" s="61"/>
    </row>
    <row r="197" spans="1:4" customFormat="1">
      <c r="A197" s="138" t="s">
        <v>197</v>
      </c>
      <c r="B197" s="60"/>
      <c r="C197" s="60">
        <v>1</v>
      </c>
      <c r="D197" s="61">
        <v>1</v>
      </c>
    </row>
    <row r="198" spans="1:4" customFormat="1">
      <c r="A198" s="75" t="s">
        <v>301</v>
      </c>
      <c r="B198" s="60"/>
      <c r="C198" s="60"/>
      <c r="D198" s="61"/>
    </row>
    <row r="199" spans="1:4" customFormat="1">
      <c r="A199" s="138" t="s">
        <v>199</v>
      </c>
      <c r="B199" s="60"/>
      <c r="C199" s="60">
        <v>1</v>
      </c>
      <c r="D199" s="61">
        <v>1</v>
      </c>
    </row>
    <row r="200" spans="1:4" customFormat="1">
      <c r="A200" s="74" t="s">
        <v>325</v>
      </c>
      <c r="B200" s="60"/>
      <c r="C200" s="60">
        <v>3</v>
      </c>
      <c r="D200" s="61">
        <v>3</v>
      </c>
    </row>
    <row r="201" spans="1:4" customFormat="1">
      <c r="A201" s="74" t="s">
        <v>336</v>
      </c>
      <c r="B201" s="60"/>
      <c r="C201" s="60"/>
      <c r="D201" s="61"/>
    </row>
    <row r="202" spans="1:4" customFormat="1">
      <c r="A202" s="75" t="s">
        <v>427</v>
      </c>
      <c r="B202" s="60"/>
      <c r="C202" s="60"/>
      <c r="D202" s="61"/>
    </row>
    <row r="203" spans="1:4" customFormat="1">
      <c r="A203" s="138" t="s">
        <v>193</v>
      </c>
      <c r="B203" s="60"/>
      <c r="C203" s="60">
        <v>1</v>
      </c>
      <c r="D203" s="61">
        <v>1</v>
      </c>
    </row>
    <row r="204" spans="1:4" customFormat="1">
      <c r="A204" s="43" t="s">
        <v>85</v>
      </c>
      <c r="B204" s="60">
        <v>137</v>
      </c>
      <c r="C204" s="60">
        <v>1237</v>
      </c>
      <c r="D204" s="61">
        <v>1374</v>
      </c>
    </row>
    <row r="205" spans="1:4" customFormat="1">
      <c r="A205" s="138" t="s">
        <v>208</v>
      </c>
      <c r="B205" s="60"/>
      <c r="C205" s="60">
        <v>200</v>
      </c>
      <c r="D205" s="61">
        <v>200</v>
      </c>
    </row>
    <row r="206" spans="1:4" customFormat="1">
      <c r="A206" s="138" t="s">
        <v>211</v>
      </c>
      <c r="B206" s="60"/>
      <c r="C206" s="60">
        <v>311</v>
      </c>
      <c r="D206" s="61">
        <v>311</v>
      </c>
    </row>
    <row r="207" spans="1:4" customFormat="1">
      <c r="A207" s="138" t="s">
        <v>212</v>
      </c>
      <c r="B207" s="60"/>
      <c r="C207" s="60">
        <v>213</v>
      </c>
      <c r="D207" s="61">
        <v>213</v>
      </c>
    </row>
    <row r="208" spans="1:4" customFormat="1">
      <c r="A208" s="138" t="s">
        <v>213</v>
      </c>
      <c r="B208" s="60"/>
      <c r="C208" s="60">
        <v>100</v>
      </c>
      <c r="D208" s="61">
        <v>100</v>
      </c>
    </row>
    <row r="209" spans="1:4" customFormat="1">
      <c r="A209" s="138" t="s">
        <v>214</v>
      </c>
      <c r="B209" s="60"/>
      <c r="C209" s="60">
        <v>336</v>
      </c>
      <c r="D209" s="61">
        <v>336</v>
      </c>
    </row>
    <row r="210" spans="1:4" customFormat="1">
      <c r="A210" s="74" t="s">
        <v>288</v>
      </c>
      <c r="B210" s="60"/>
      <c r="C210" s="60"/>
      <c r="D210" s="61"/>
    </row>
    <row r="211" spans="1:4" customFormat="1">
      <c r="A211" s="84" t="s">
        <v>289</v>
      </c>
      <c r="B211" s="60"/>
      <c r="C211" s="60"/>
      <c r="D211" s="61"/>
    </row>
    <row r="212" spans="1:4" customFormat="1">
      <c r="A212" s="77" t="s">
        <v>430</v>
      </c>
      <c r="B212" s="60"/>
      <c r="C212" s="60">
        <v>146</v>
      </c>
      <c r="D212" s="61">
        <v>146</v>
      </c>
    </row>
    <row r="213" spans="1:4" customFormat="1">
      <c r="A213" s="74" t="s">
        <v>325</v>
      </c>
      <c r="B213" s="60"/>
      <c r="C213" s="60">
        <v>190</v>
      </c>
      <c r="D213" s="61">
        <v>190</v>
      </c>
    </row>
    <row r="214" spans="1:4" customFormat="1">
      <c r="A214" s="138" t="s">
        <v>19</v>
      </c>
      <c r="B214" s="60">
        <v>37</v>
      </c>
      <c r="C214" s="60">
        <v>1</v>
      </c>
      <c r="D214" s="61">
        <v>38</v>
      </c>
    </row>
    <row r="215" spans="1:4" customFormat="1">
      <c r="A215" s="138">
        <v>974</v>
      </c>
      <c r="B215" s="60">
        <v>100</v>
      </c>
      <c r="C215" s="60">
        <v>76</v>
      </c>
      <c r="D215" s="61">
        <v>176</v>
      </c>
    </row>
    <row r="216" spans="1:4" customFormat="1">
      <c r="A216" s="74" t="s">
        <v>288</v>
      </c>
      <c r="B216" s="60"/>
      <c r="C216" s="60"/>
      <c r="D216" s="61"/>
    </row>
    <row r="217" spans="1:4" customFormat="1">
      <c r="A217" s="84" t="s">
        <v>289</v>
      </c>
      <c r="B217" s="60"/>
      <c r="C217" s="60"/>
      <c r="D217" s="61"/>
    </row>
    <row r="218" spans="1:4" customFormat="1">
      <c r="A218" s="77" t="s">
        <v>430</v>
      </c>
      <c r="B218" s="60"/>
      <c r="C218" s="60">
        <v>76</v>
      </c>
      <c r="D218" s="61">
        <v>76</v>
      </c>
    </row>
    <row r="219" spans="1:4" customFormat="1">
      <c r="A219" s="74" t="s">
        <v>325</v>
      </c>
      <c r="B219" s="60">
        <v>100</v>
      </c>
      <c r="C219" s="60"/>
      <c r="D219" s="61">
        <v>100</v>
      </c>
    </row>
    <row r="220" spans="1:4" customFormat="1">
      <c r="A220" s="43" t="s">
        <v>59</v>
      </c>
      <c r="B220" s="60">
        <v>158</v>
      </c>
      <c r="C220" s="60">
        <v>39</v>
      </c>
      <c r="D220" s="61">
        <v>197</v>
      </c>
    </row>
    <row r="221" spans="1:4" customFormat="1">
      <c r="A221" s="43" t="s">
        <v>282</v>
      </c>
      <c r="B221" s="60">
        <v>413</v>
      </c>
      <c r="C221" s="60">
        <v>108</v>
      </c>
      <c r="D221" s="61">
        <v>521</v>
      </c>
    </row>
    <row r="222" spans="1:4" customFormat="1">
      <c r="A222" s="43" t="s">
        <v>236</v>
      </c>
      <c r="B222" s="60">
        <v>12</v>
      </c>
      <c r="C222" s="60"/>
      <c r="D222" s="61">
        <v>12</v>
      </c>
    </row>
    <row r="223" spans="1:4" customFormat="1">
      <c r="A223" s="138" t="s">
        <v>208</v>
      </c>
      <c r="B223" s="60">
        <v>1</v>
      </c>
      <c r="C223" s="60"/>
      <c r="D223" s="61">
        <v>1</v>
      </c>
    </row>
    <row r="224" spans="1:4" customFormat="1">
      <c r="A224" s="138" t="s">
        <v>211</v>
      </c>
      <c r="B224" s="60">
        <v>1</v>
      </c>
      <c r="C224" s="60"/>
      <c r="D224" s="61">
        <v>1</v>
      </c>
    </row>
    <row r="225" spans="1:4" customFormat="1">
      <c r="A225" s="138" t="s">
        <v>212</v>
      </c>
      <c r="B225" s="60">
        <v>1</v>
      </c>
      <c r="C225" s="60"/>
      <c r="D225" s="61">
        <v>1</v>
      </c>
    </row>
    <row r="226" spans="1:4" customFormat="1">
      <c r="A226" s="138" t="s">
        <v>213</v>
      </c>
      <c r="B226" s="60">
        <v>1</v>
      </c>
      <c r="C226" s="60"/>
      <c r="D226" s="61">
        <v>1</v>
      </c>
    </row>
    <row r="227" spans="1:4" customFormat="1">
      <c r="A227" s="138" t="s">
        <v>214</v>
      </c>
      <c r="B227" s="60">
        <v>1</v>
      </c>
      <c r="C227" s="60"/>
      <c r="D227" s="61">
        <v>1</v>
      </c>
    </row>
    <row r="228" spans="1:4" customFormat="1">
      <c r="A228" s="74" t="s">
        <v>253</v>
      </c>
      <c r="B228" s="60"/>
      <c r="C228" s="60"/>
      <c r="D228" s="61"/>
    </row>
    <row r="229" spans="1:4" customFormat="1">
      <c r="A229" s="84" t="s">
        <v>253</v>
      </c>
      <c r="B229" s="60"/>
      <c r="C229" s="60"/>
      <c r="D229" s="61"/>
    </row>
    <row r="230" spans="1:4" customFormat="1">
      <c r="A230" s="77" t="s">
        <v>191</v>
      </c>
      <c r="B230" s="60">
        <v>1</v>
      </c>
      <c r="C230" s="60"/>
      <c r="D230" s="61">
        <v>1</v>
      </c>
    </row>
    <row r="231" spans="1:4" customFormat="1">
      <c r="A231" s="138" t="s">
        <v>19</v>
      </c>
      <c r="B231" s="60">
        <v>6</v>
      </c>
      <c r="C231" s="60"/>
      <c r="D231" s="61">
        <v>6</v>
      </c>
    </row>
    <row r="232" spans="1:4" customFormat="1">
      <c r="A232" s="138">
        <v>974</v>
      </c>
      <c r="B232" s="60">
        <v>1</v>
      </c>
      <c r="C232" s="60"/>
      <c r="D232" s="61">
        <v>1</v>
      </c>
    </row>
    <row r="233" spans="1:4" customFormat="1">
      <c r="A233" s="74" t="s">
        <v>253</v>
      </c>
      <c r="B233" s="60"/>
      <c r="C233" s="60"/>
      <c r="D233" s="61"/>
    </row>
    <row r="234" spans="1:4" customFormat="1">
      <c r="A234" s="84" t="s">
        <v>253</v>
      </c>
      <c r="B234" s="60"/>
      <c r="C234" s="60"/>
      <c r="D234" s="61"/>
    </row>
    <row r="235" spans="1:4" customFormat="1">
      <c r="A235" s="77" t="s">
        <v>191</v>
      </c>
      <c r="B235" s="60">
        <v>1</v>
      </c>
      <c r="C235" s="60"/>
      <c r="D235" s="61">
        <v>1</v>
      </c>
    </row>
    <row r="236" spans="1:4" customFormat="1">
      <c r="A236" s="43" t="s">
        <v>53</v>
      </c>
      <c r="B236" s="60">
        <v>246</v>
      </c>
      <c r="C236" s="60">
        <v>130</v>
      </c>
      <c r="D236" s="61">
        <v>376</v>
      </c>
    </row>
    <row r="237" spans="1:4" customFormat="1">
      <c r="A237" s="138" t="s">
        <v>208</v>
      </c>
      <c r="B237" s="60">
        <v>26</v>
      </c>
      <c r="C237" s="60">
        <v>14</v>
      </c>
      <c r="D237" s="61">
        <v>40</v>
      </c>
    </row>
    <row r="238" spans="1:4" customFormat="1">
      <c r="A238" s="138" t="s">
        <v>211</v>
      </c>
      <c r="B238" s="60">
        <v>40</v>
      </c>
      <c r="C238" s="60">
        <v>1</v>
      </c>
      <c r="D238" s="61">
        <v>41</v>
      </c>
    </row>
    <row r="239" spans="1:4" customFormat="1">
      <c r="A239" s="138" t="s">
        <v>212</v>
      </c>
      <c r="B239" s="60">
        <v>38</v>
      </c>
      <c r="C239" s="60">
        <v>1</v>
      </c>
      <c r="D239" s="61">
        <v>39</v>
      </c>
    </row>
    <row r="240" spans="1:4" customFormat="1">
      <c r="A240" s="138" t="s">
        <v>213</v>
      </c>
      <c r="B240" s="60">
        <v>56</v>
      </c>
      <c r="C240" s="60">
        <v>1</v>
      </c>
      <c r="D240" s="61">
        <v>57</v>
      </c>
    </row>
    <row r="241" spans="1:4" customFormat="1">
      <c r="A241" s="138" t="s">
        <v>214</v>
      </c>
      <c r="B241" s="60">
        <v>44</v>
      </c>
      <c r="C241" s="60">
        <v>2</v>
      </c>
      <c r="D241" s="61">
        <v>46</v>
      </c>
    </row>
    <row r="242" spans="1:4" customFormat="1">
      <c r="A242" s="74" t="s">
        <v>246</v>
      </c>
      <c r="B242" s="60"/>
      <c r="C242" s="60"/>
      <c r="D242" s="61"/>
    </row>
    <row r="243" spans="1:4" customFormat="1">
      <c r="A243" s="84" t="s">
        <v>251</v>
      </c>
      <c r="B243" s="60"/>
      <c r="C243" s="60"/>
      <c r="D243" s="61"/>
    </row>
    <row r="244" spans="1:4" customFormat="1">
      <c r="A244" s="77" t="s">
        <v>188</v>
      </c>
      <c r="B244" s="60">
        <v>1</v>
      </c>
      <c r="C244" s="60"/>
      <c r="D244" s="61">
        <v>1</v>
      </c>
    </row>
    <row r="245" spans="1:4" customFormat="1">
      <c r="A245" s="74" t="s">
        <v>253</v>
      </c>
      <c r="B245" s="60"/>
      <c r="C245" s="60"/>
      <c r="D245" s="61"/>
    </row>
    <row r="246" spans="1:4" customFormat="1">
      <c r="A246" s="84" t="s">
        <v>258</v>
      </c>
      <c r="B246" s="60"/>
      <c r="C246" s="60"/>
      <c r="D246" s="61"/>
    </row>
    <row r="247" spans="1:4" customFormat="1">
      <c r="A247" s="77" t="s">
        <v>400</v>
      </c>
      <c r="B247" s="60">
        <v>1</v>
      </c>
      <c r="C247" s="60"/>
      <c r="D247" s="61">
        <v>1</v>
      </c>
    </row>
    <row r="248" spans="1:4" customFormat="1">
      <c r="A248" s="74" t="s">
        <v>288</v>
      </c>
      <c r="B248" s="60"/>
      <c r="C248" s="60"/>
      <c r="D248" s="61"/>
    </row>
    <row r="249" spans="1:4" customFormat="1">
      <c r="A249" s="84" t="s">
        <v>431</v>
      </c>
      <c r="B249" s="60"/>
      <c r="C249" s="60"/>
      <c r="D249" s="61"/>
    </row>
    <row r="250" spans="1:4" customFormat="1">
      <c r="A250" s="77" t="s">
        <v>206</v>
      </c>
      <c r="B250" s="60"/>
      <c r="C250" s="60">
        <v>0</v>
      </c>
      <c r="D250" s="61">
        <v>0</v>
      </c>
    </row>
    <row r="251" spans="1:4" customFormat="1">
      <c r="A251" s="84" t="s">
        <v>432</v>
      </c>
      <c r="B251" s="60"/>
      <c r="C251" s="60"/>
      <c r="D251" s="61"/>
    </row>
    <row r="252" spans="1:4" customFormat="1">
      <c r="A252" s="77" t="s">
        <v>189</v>
      </c>
      <c r="B252" s="60"/>
      <c r="C252" s="60">
        <v>0</v>
      </c>
      <c r="D252" s="61">
        <v>0</v>
      </c>
    </row>
    <row r="253" spans="1:4" customFormat="1">
      <c r="A253" s="84" t="s">
        <v>315</v>
      </c>
      <c r="B253" s="60"/>
      <c r="C253" s="60"/>
      <c r="D253" s="61"/>
    </row>
    <row r="254" spans="1:4" customFormat="1">
      <c r="A254" s="77" t="s">
        <v>63</v>
      </c>
      <c r="B254" s="60">
        <v>4</v>
      </c>
      <c r="C254" s="60"/>
      <c r="D254" s="61">
        <v>4</v>
      </c>
    </row>
    <row r="255" spans="1:4" customFormat="1">
      <c r="A255" s="84" t="s">
        <v>292</v>
      </c>
      <c r="B255" s="60"/>
      <c r="C255" s="60"/>
      <c r="D255" s="61"/>
    </row>
    <row r="256" spans="1:4" customFormat="1">
      <c r="A256" s="77" t="s">
        <v>90</v>
      </c>
      <c r="B256" s="60">
        <v>1</v>
      </c>
      <c r="C256" s="60"/>
      <c r="D256" s="61">
        <v>1</v>
      </c>
    </row>
    <row r="257" spans="1:4" customFormat="1">
      <c r="A257" s="74" t="s">
        <v>296</v>
      </c>
      <c r="B257" s="60"/>
      <c r="C257" s="60"/>
      <c r="D257" s="61"/>
    </row>
    <row r="258" spans="1:4" customFormat="1">
      <c r="A258" s="84" t="s">
        <v>433</v>
      </c>
      <c r="B258" s="60"/>
      <c r="C258" s="60"/>
      <c r="D258" s="61"/>
    </row>
    <row r="259" spans="1:4" customFormat="1">
      <c r="A259" s="77" t="s">
        <v>156</v>
      </c>
      <c r="B259" s="60"/>
      <c r="C259" s="60">
        <v>0</v>
      </c>
      <c r="D259" s="61">
        <v>0</v>
      </c>
    </row>
    <row r="260" spans="1:4" customFormat="1">
      <c r="A260" s="84" t="s">
        <v>299</v>
      </c>
      <c r="B260" s="60"/>
      <c r="C260" s="60"/>
      <c r="D260" s="61"/>
    </row>
    <row r="261" spans="1:4" customFormat="1">
      <c r="A261" s="77" t="s">
        <v>198</v>
      </c>
      <c r="B261" s="60">
        <v>1</v>
      </c>
      <c r="C261" s="60"/>
      <c r="D261" s="61">
        <v>1</v>
      </c>
    </row>
    <row r="262" spans="1:4" customFormat="1">
      <c r="A262" s="84" t="s">
        <v>300</v>
      </c>
      <c r="B262" s="60"/>
      <c r="C262" s="60"/>
      <c r="D262" s="61"/>
    </row>
    <row r="263" spans="1:4" customFormat="1">
      <c r="A263" s="77" t="s">
        <v>400</v>
      </c>
      <c r="B263" s="60">
        <v>4</v>
      </c>
      <c r="C263" s="60"/>
      <c r="D263" s="61">
        <v>4</v>
      </c>
    </row>
    <row r="264" spans="1:4" customFormat="1">
      <c r="A264" s="84" t="s">
        <v>352</v>
      </c>
      <c r="B264" s="60"/>
      <c r="C264" s="60"/>
      <c r="D264" s="61"/>
    </row>
    <row r="265" spans="1:4" customFormat="1">
      <c r="A265" s="77" t="s">
        <v>156</v>
      </c>
      <c r="B265" s="60">
        <v>6</v>
      </c>
      <c r="C265" s="60"/>
      <c r="D265" s="61">
        <v>6</v>
      </c>
    </row>
    <row r="266" spans="1:4" customFormat="1">
      <c r="A266" s="74" t="s">
        <v>305</v>
      </c>
      <c r="B266" s="60"/>
      <c r="C266" s="60"/>
      <c r="D266" s="61"/>
    </row>
    <row r="267" spans="1:4" customFormat="1">
      <c r="A267" s="84" t="s">
        <v>306</v>
      </c>
      <c r="B267" s="60"/>
      <c r="C267" s="60"/>
      <c r="D267" s="61"/>
    </row>
    <row r="268" spans="1:4" customFormat="1">
      <c r="A268" s="77" t="s">
        <v>197</v>
      </c>
      <c r="B268" s="60">
        <v>1</v>
      </c>
      <c r="C268" s="60"/>
      <c r="D268" s="61">
        <v>1</v>
      </c>
    </row>
    <row r="269" spans="1:4" customFormat="1">
      <c r="A269" s="84" t="s">
        <v>434</v>
      </c>
      <c r="B269" s="60"/>
      <c r="C269" s="60"/>
      <c r="D269" s="61"/>
    </row>
    <row r="270" spans="1:4" customFormat="1">
      <c r="A270" s="77" t="s">
        <v>190</v>
      </c>
      <c r="B270" s="60"/>
      <c r="C270" s="60">
        <v>0</v>
      </c>
      <c r="D270" s="61">
        <v>0</v>
      </c>
    </row>
    <row r="271" spans="1:4" customFormat="1">
      <c r="A271" s="84" t="s">
        <v>365</v>
      </c>
      <c r="B271" s="60"/>
      <c r="C271" s="60"/>
      <c r="D271" s="61"/>
    </row>
    <row r="272" spans="1:4" customFormat="1">
      <c r="A272" s="77" t="s">
        <v>190</v>
      </c>
      <c r="B272" s="60">
        <v>1</v>
      </c>
      <c r="C272" s="60"/>
      <c r="D272" s="61">
        <v>1</v>
      </c>
    </row>
    <row r="273" spans="1:4" customFormat="1">
      <c r="A273" s="84" t="s">
        <v>311</v>
      </c>
      <c r="B273" s="60"/>
      <c r="C273" s="60"/>
      <c r="D273" s="61"/>
    </row>
    <row r="274" spans="1:4" customFormat="1">
      <c r="A274" s="77" t="s">
        <v>207</v>
      </c>
      <c r="B274" s="60"/>
      <c r="C274" s="60">
        <v>1</v>
      </c>
      <c r="D274" s="61">
        <v>1</v>
      </c>
    </row>
    <row r="275" spans="1:4" customFormat="1">
      <c r="A275" s="77" t="s">
        <v>198</v>
      </c>
      <c r="B275" s="60">
        <v>1</v>
      </c>
      <c r="C275" s="60"/>
      <c r="D275" s="61">
        <v>1</v>
      </c>
    </row>
    <row r="276" spans="1:4" customFormat="1">
      <c r="A276" s="84" t="s">
        <v>435</v>
      </c>
      <c r="B276" s="60"/>
      <c r="C276" s="60"/>
      <c r="D276" s="61"/>
    </row>
    <row r="277" spans="1:4" customFormat="1">
      <c r="A277" s="77" t="s">
        <v>190</v>
      </c>
      <c r="B277" s="60">
        <v>1</v>
      </c>
      <c r="C277" s="60"/>
      <c r="D277" s="61">
        <v>1</v>
      </c>
    </row>
    <row r="278" spans="1:4" customFormat="1">
      <c r="A278" s="84" t="s">
        <v>313</v>
      </c>
      <c r="B278" s="60"/>
      <c r="C278" s="60"/>
      <c r="D278" s="61"/>
    </row>
    <row r="279" spans="1:4" customFormat="1">
      <c r="A279" s="77" t="s">
        <v>190</v>
      </c>
      <c r="B279" s="60">
        <v>1</v>
      </c>
      <c r="C279" s="60"/>
      <c r="D279" s="61">
        <v>1</v>
      </c>
    </row>
    <row r="280" spans="1:4" customFormat="1">
      <c r="A280" s="84" t="s">
        <v>316</v>
      </c>
      <c r="B280" s="60"/>
      <c r="C280" s="60"/>
      <c r="D280" s="61"/>
    </row>
    <row r="281" spans="1:4" customFormat="1">
      <c r="A281" s="77" t="s">
        <v>394</v>
      </c>
      <c r="B281" s="60">
        <v>3</v>
      </c>
      <c r="C281" s="60"/>
      <c r="D281" s="61">
        <v>3</v>
      </c>
    </row>
    <row r="282" spans="1:4" customFormat="1">
      <c r="A282" s="84" t="s">
        <v>318</v>
      </c>
      <c r="B282" s="60"/>
      <c r="C282" s="60"/>
      <c r="D282" s="61"/>
    </row>
    <row r="283" spans="1:4" customFormat="1">
      <c r="A283" s="77" t="s">
        <v>197</v>
      </c>
      <c r="B283" s="60">
        <v>1</v>
      </c>
      <c r="C283" s="60"/>
      <c r="D283" s="61">
        <v>1</v>
      </c>
    </row>
    <row r="284" spans="1:4" customFormat="1">
      <c r="A284" s="84" t="s">
        <v>320</v>
      </c>
      <c r="B284" s="60"/>
      <c r="C284" s="60"/>
      <c r="D284" s="61"/>
    </row>
    <row r="285" spans="1:4" customFormat="1">
      <c r="A285" s="77" t="s">
        <v>156</v>
      </c>
      <c r="B285" s="60">
        <v>1</v>
      </c>
      <c r="C285" s="60"/>
      <c r="D285" s="61">
        <v>1</v>
      </c>
    </row>
    <row r="286" spans="1:4" customFormat="1">
      <c r="A286" s="84" t="s">
        <v>322</v>
      </c>
      <c r="B286" s="60"/>
      <c r="C286" s="60"/>
      <c r="D286" s="61"/>
    </row>
    <row r="287" spans="1:4" customFormat="1">
      <c r="A287" s="77" t="s">
        <v>197</v>
      </c>
      <c r="B287" s="60">
        <v>1</v>
      </c>
      <c r="C287" s="60"/>
      <c r="D287" s="61">
        <v>1</v>
      </c>
    </row>
    <row r="288" spans="1:4" customFormat="1">
      <c r="A288" s="84" t="s">
        <v>421</v>
      </c>
      <c r="B288" s="60"/>
      <c r="C288" s="60"/>
      <c r="D288" s="61"/>
    </row>
    <row r="289" spans="1:4" customFormat="1">
      <c r="A289" s="77" t="s">
        <v>156</v>
      </c>
      <c r="B289" s="60"/>
      <c r="C289" s="60">
        <v>0</v>
      </c>
      <c r="D289" s="61">
        <v>0</v>
      </c>
    </row>
    <row r="290" spans="1:4" customFormat="1">
      <c r="A290" s="84" t="s">
        <v>323</v>
      </c>
      <c r="B290" s="60"/>
      <c r="C290" s="60"/>
      <c r="D290" s="61"/>
    </row>
    <row r="291" spans="1:4" customFormat="1">
      <c r="A291" s="77" t="s">
        <v>198</v>
      </c>
      <c r="B291" s="60">
        <v>1</v>
      </c>
      <c r="C291" s="60"/>
      <c r="D291" s="61">
        <v>1</v>
      </c>
    </row>
    <row r="292" spans="1:4" customFormat="1">
      <c r="A292" s="84" t="s">
        <v>301</v>
      </c>
      <c r="B292" s="60"/>
      <c r="C292" s="60"/>
      <c r="D292" s="61"/>
    </row>
    <row r="293" spans="1:4" customFormat="1">
      <c r="A293" s="77" t="s">
        <v>199</v>
      </c>
      <c r="B293" s="60">
        <v>1</v>
      </c>
      <c r="C293" s="60"/>
      <c r="D293" s="61">
        <v>1</v>
      </c>
    </row>
    <row r="294" spans="1:4" customFormat="1">
      <c r="A294" s="74" t="s">
        <v>325</v>
      </c>
      <c r="B294" s="60">
        <v>11</v>
      </c>
      <c r="C294" s="60">
        <v>0</v>
      </c>
      <c r="D294" s="61">
        <v>11</v>
      </c>
    </row>
    <row r="295" spans="1:4" customFormat="1">
      <c r="A295" s="74" t="s">
        <v>336</v>
      </c>
      <c r="B295" s="60"/>
      <c r="C295" s="60"/>
      <c r="D295" s="61"/>
    </row>
    <row r="296" spans="1:4" customFormat="1">
      <c r="A296" s="84" t="s">
        <v>338</v>
      </c>
      <c r="B296" s="60"/>
      <c r="C296" s="60"/>
      <c r="D296" s="61"/>
    </row>
    <row r="297" spans="1:4" customFormat="1">
      <c r="A297" s="77" t="s">
        <v>400</v>
      </c>
      <c r="B297" s="60">
        <v>1</v>
      </c>
      <c r="C297" s="60"/>
      <c r="D297" s="61">
        <v>1</v>
      </c>
    </row>
    <row r="298" spans="1:4" customFormat="1">
      <c r="A298" s="84" t="s">
        <v>341</v>
      </c>
      <c r="B298" s="60"/>
      <c r="C298" s="60"/>
      <c r="D298" s="61"/>
    </row>
    <row r="299" spans="1:4" customFormat="1">
      <c r="A299" s="77" t="s">
        <v>400</v>
      </c>
      <c r="B299" s="60">
        <v>1</v>
      </c>
      <c r="C299" s="60"/>
      <c r="D299" s="61">
        <v>1</v>
      </c>
    </row>
    <row r="300" spans="1:4" customFormat="1">
      <c r="A300" s="74" t="s">
        <v>418</v>
      </c>
      <c r="B300" s="60"/>
      <c r="C300" s="60"/>
      <c r="D300" s="61"/>
    </row>
    <row r="301" spans="1:4" customFormat="1">
      <c r="A301" s="84" t="s">
        <v>420</v>
      </c>
      <c r="B301" s="60"/>
      <c r="C301" s="60"/>
      <c r="D301" s="61"/>
    </row>
    <row r="302" spans="1:4" customFormat="1">
      <c r="A302" s="77" t="s">
        <v>90</v>
      </c>
      <c r="B302" s="60"/>
      <c r="C302" s="60">
        <v>1</v>
      </c>
      <c r="D302" s="61">
        <v>1</v>
      </c>
    </row>
    <row r="303" spans="1:4" customFormat="1">
      <c r="A303" s="138" t="s">
        <v>19</v>
      </c>
      <c r="B303" s="60">
        <v>5</v>
      </c>
      <c r="C303" s="60">
        <v>110</v>
      </c>
      <c r="D303" s="61">
        <v>115</v>
      </c>
    </row>
    <row r="304" spans="1:4" customFormat="1">
      <c r="A304" s="138">
        <v>974</v>
      </c>
      <c r="B304" s="60">
        <v>37</v>
      </c>
      <c r="C304" s="60">
        <v>1</v>
      </c>
      <c r="D304" s="61">
        <v>38</v>
      </c>
    </row>
    <row r="305" spans="1:4" customFormat="1">
      <c r="A305" s="74" t="s">
        <v>246</v>
      </c>
      <c r="B305" s="60"/>
      <c r="C305" s="60"/>
      <c r="D305" s="61"/>
    </row>
    <row r="306" spans="1:4" customFormat="1">
      <c r="A306" s="84" t="s">
        <v>251</v>
      </c>
      <c r="B306" s="60"/>
      <c r="C306" s="60"/>
      <c r="D306" s="61"/>
    </row>
    <row r="307" spans="1:4" customFormat="1">
      <c r="A307" s="77" t="s">
        <v>188</v>
      </c>
      <c r="B307" s="60">
        <v>1</v>
      </c>
      <c r="C307" s="60"/>
      <c r="D307" s="61">
        <v>1</v>
      </c>
    </row>
    <row r="308" spans="1:4" customFormat="1">
      <c r="A308" s="74" t="s">
        <v>253</v>
      </c>
      <c r="B308" s="60"/>
      <c r="C308" s="60"/>
      <c r="D308" s="61"/>
    </row>
    <row r="309" spans="1:4" customFormat="1">
      <c r="A309" s="84" t="s">
        <v>258</v>
      </c>
      <c r="B309" s="60"/>
      <c r="C309" s="60"/>
      <c r="D309" s="61"/>
    </row>
    <row r="310" spans="1:4" customFormat="1">
      <c r="A310" s="77" t="s">
        <v>400</v>
      </c>
      <c r="B310" s="60">
        <v>1</v>
      </c>
      <c r="C310" s="60"/>
      <c r="D310" s="61">
        <v>1</v>
      </c>
    </row>
    <row r="311" spans="1:4" customFormat="1">
      <c r="A311" s="74" t="s">
        <v>288</v>
      </c>
      <c r="B311" s="60"/>
      <c r="C311" s="60"/>
      <c r="D311" s="61"/>
    </row>
    <row r="312" spans="1:4" customFormat="1">
      <c r="A312" s="84" t="s">
        <v>431</v>
      </c>
      <c r="B312" s="60"/>
      <c r="C312" s="60"/>
      <c r="D312" s="61"/>
    </row>
    <row r="313" spans="1:4" customFormat="1">
      <c r="A313" s="77" t="s">
        <v>206</v>
      </c>
      <c r="B313" s="60"/>
      <c r="C313" s="60">
        <v>0</v>
      </c>
      <c r="D313" s="61">
        <v>0</v>
      </c>
    </row>
    <row r="314" spans="1:4" customFormat="1">
      <c r="A314" s="84" t="s">
        <v>432</v>
      </c>
      <c r="B314" s="60"/>
      <c r="C314" s="60"/>
      <c r="D314" s="61"/>
    </row>
    <row r="315" spans="1:4" customFormat="1">
      <c r="A315" s="77" t="s">
        <v>189</v>
      </c>
      <c r="B315" s="60"/>
      <c r="C315" s="60">
        <v>0</v>
      </c>
      <c r="D315" s="61">
        <v>0</v>
      </c>
    </row>
    <row r="316" spans="1:4" customFormat="1">
      <c r="A316" s="84" t="s">
        <v>292</v>
      </c>
      <c r="B316" s="60"/>
      <c r="C316" s="60"/>
      <c r="D316" s="61"/>
    </row>
    <row r="317" spans="1:4" customFormat="1">
      <c r="A317" s="77" t="s">
        <v>90</v>
      </c>
      <c r="B317" s="60">
        <v>1</v>
      </c>
      <c r="C317" s="60"/>
      <c r="D317" s="61">
        <v>1</v>
      </c>
    </row>
    <row r="318" spans="1:4" customFormat="1">
      <c r="A318" s="74" t="s">
        <v>296</v>
      </c>
      <c r="B318" s="60"/>
      <c r="C318" s="60"/>
      <c r="D318" s="61"/>
    </row>
    <row r="319" spans="1:4" customFormat="1">
      <c r="A319" s="84" t="s">
        <v>433</v>
      </c>
      <c r="B319" s="60"/>
      <c r="C319" s="60"/>
      <c r="D319" s="61"/>
    </row>
    <row r="320" spans="1:4" customFormat="1">
      <c r="A320" s="77" t="s">
        <v>156</v>
      </c>
      <c r="B320" s="60"/>
      <c r="C320" s="60">
        <v>0</v>
      </c>
      <c r="D320" s="61">
        <v>0</v>
      </c>
    </row>
    <row r="321" spans="1:4" customFormat="1">
      <c r="A321" s="84" t="s">
        <v>299</v>
      </c>
      <c r="B321" s="60"/>
      <c r="C321" s="60"/>
      <c r="D321" s="61"/>
    </row>
    <row r="322" spans="1:4" customFormat="1">
      <c r="A322" s="77" t="s">
        <v>198</v>
      </c>
      <c r="B322" s="60">
        <v>1</v>
      </c>
      <c r="C322" s="60"/>
      <c r="D322" s="61">
        <v>1</v>
      </c>
    </row>
    <row r="323" spans="1:4" customFormat="1">
      <c r="A323" s="84" t="s">
        <v>300</v>
      </c>
      <c r="B323" s="60"/>
      <c r="C323" s="60"/>
      <c r="D323" s="61"/>
    </row>
    <row r="324" spans="1:4" customFormat="1">
      <c r="A324" s="77" t="s">
        <v>400</v>
      </c>
      <c r="B324" s="60">
        <v>3</v>
      </c>
      <c r="C324" s="60"/>
      <c r="D324" s="61">
        <v>3</v>
      </c>
    </row>
    <row r="325" spans="1:4" customFormat="1">
      <c r="A325" s="84" t="s">
        <v>304</v>
      </c>
      <c r="B325" s="60"/>
      <c r="C325" s="60"/>
      <c r="D325" s="61"/>
    </row>
    <row r="326" spans="1:4" customFormat="1">
      <c r="A326" s="77" t="s">
        <v>156</v>
      </c>
      <c r="B326" s="60">
        <v>4</v>
      </c>
      <c r="C326" s="60"/>
      <c r="D326" s="61">
        <v>4</v>
      </c>
    </row>
    <row r="327" spans="1:4" customFormat="1">
      <c r="A327" s="84" t="s">
        <v>301</v>
      </c>
      <c r="B327" s="60"/>
      <c r="C327" s="60"/>
      <c r="D327" s="61"/>
    </row>
    <row r="328" spans="1:4" customFormat="1">
      <c r="A328" s="77" t="s">
        <v>199</v>
      </c>
      <c r="B328" s="60">
        <v>1</v>
      </c>
      <c r="C328" s="60"/>
      <c r="D328" s="61">
        <v>1</v>
      </c>
    </row>
    <row r="329" spans="1:4" customFormat="1">
      <c r="A329" s="74" t="s">
        <v>305</v>
      </c>
      <c r="B329" s="60"/>
      <c r="C329" s="60"/>
      <c r="D329" s="61"/>
    </row>
    <row r="330" spans="1:4" customFormat="1">
      <c r="A330" s="84" t="s">
        <v>306</v>
      </c>
      <c r="B330" s="60"/>
      <c r="C330" s="60"/>
      <c r="D330" s="61"/>
    </row>
    <row r="331" spans="1:4" customFormat="1">
      <c r="A331" s="77" t="s">
        <v>197</v>
      </c>
      <c r="B331" s="60">
        <v>1</v>
      </c>
      <c r="C331" s="60"/>
      <c r="D331" s="61">
        <v>1</v>
      </c>
    </row>
    <row r="332" spans="1:4" customFormat="1">
      <c r="A332" s="84" t="s">
        <v>308</v>
      </c>
      <c r="B332" s="60"/>
      <c r="C332" s="60"/>
      <c r="D332" s="61"/>
    </row>
    <row r="333" spans="1:4" customFormat="1">
      <c r="A333" s="77" t="s">
        <v>190</v>
      </c>
      <c r="B333" s="60">
        <v>1</v>
      </c>
      <c r="C333" s="60"/>
      <c r="D333" s="61">
        <v>1</v>
      </c>
    </row>
    <row r="334" spans="1:4" customFormat="1">
      <c r="A334" s="84" t="s">
        <v>311</v>
      </c>
      <c r="B334" s="60"/>
      <c r="C334" s="60"/>
      <c r="D334" s="61"/>
    </row>
    <row r="335" spans="1:4" customFormat="1">
      <c r="A335" s="77" t="s">
        <v>207</v>
      </c>
      <c r="B335" s="60"/>
      <c r="C335" s="60">
        <v>1</v>
      </c>
      <c r="D335" s="61">
        <v>1</v>
      </c>
    </row>
    <row r="336" spans="1:4" customFormat="1">
      <c r="A336" s="77" t="s">
        <v>198</v>
      </c>
      <c r="B336" s="60">
        <v>1</v>
      </c>
      <c r="C336" s="60"/>
      <c r="D336" s="61">
        <v>1</v>
      </c>
    </row>
    <row r="337" spans="1:4" customFormat="1">
      <c r="A337" s="84" t="s">
        <v>313</v>
      </c>
      <c r="B337" s="60"/>
      <c r="C337" s="60"/>
      <c r="D337" s="61"/>
    </row>
    <row r="338" spans="1:4" customFormat="1">
      <c r="A338" s="77" t="s">
        <v>190</v>
      </c>
      <c r="B338" s="60">
        <v>1</v>
      </c>
      <c r="C338" s="60"/>
      <c r="D338" s="61">
        <v>1</v>
      </c>
    </row>
    <row r="339" spans="1:4" customFormat="1">
      <c r="A339" s="84" t="s">
        <v>315</v>
      </c>
      <c r="B339" s="60"/>
      <c r="C339" s="60"/>
      <c r="D339" s="61"/>
    </row>
    <row r="340" spans="1:4" customFormat="1">
      <c r="A340" s="77" t="s">
        <v>63</v>
      </c>
      <c r="B340" s="60">
        <v>4</v>
      </c>
      <c r="C340" s="60"/>
      <c r="D340" s="61">
        <v>4</v>
      </c>
    </row>
    <row r="341" spans="1:4" customFormat="1">
      <c r="A341" s="84" t="s">
        <v>316</v>
      </c>
      <c r="B341" s="60"/>
      <c r="C341" s="60"/>
      <c r="D341" s="61"/>
    </row>
    <row r="342" spans="1:4" customFormat="1">
      <c r="A342" s="77" t="s">
        <v>394</v>
      </c>
      <c r="B342" s="60">
        <v>3</v>
      </c>
      <c r="C342" s="60"/>
      <c r="D342" s="61">
        <v>3</v>
      </c>
    </row>
    <row r="343" spans="1:4" customFormat="1">
      <c r="A343" s="84" t="s">
        <v>318</v>
      </c>
      <c r="B343" s="60"/>
      <c r="C343" s="60"/>
      <c r="D343" s="61"/>
    </row>
    <row r="344" spans="1:4" customFormat="1">
      <c r="A344" s="77" t="s">
        <v>197</v>
      </c>
      <c r="B344" s="60">
        <v>1</v>
      </c>
      <c r="C344" s="60"/>
      <c r="D344" s="61">
        <v>1</v>
      </c>
    </row>
    <row r="345" spans="1:4" customFormat="1">
      <c r="A345" s="84" t="s">
        <v>320</v>
      </c>
      <c r="B345" s="60"/>
      <c r="C345" s="60"/>
      <c r="D345" s="61"/>
    </row>
    <row r="346" spans="1:4" customFormat="1">
      <c r="A346" s="77" t="s">
        <v>156</v>
      </c>
      <c r="B346" s="60">
        <v>1</v>
      </c>
      <c r="C346" s="60"/>
      <c r="D346" s="61">
        <v>1</v>
      </c>
    </row>
    <row r="347" spans="1:4" customFormat="1">
      <c r="A347" s="84" t="s">
        <v>322</v>
      </c>
      <c r="B347" s="60"/>
      <c r="C347" s="60"/>
      <c r="D347" s="61"/>
    </row>
    <row r="348" spans="1:4" customFormat="1">
      <c r="A348" s="77" t="s">
        <v>197</v>
      </c>
      <c r="B348" s="60">
        <v>1</v>
      </c>
      <c r="C348" s="60"/>
      <c r="D348" s="61">
        <v>1</v>
      </c>
    </row>
    <row r="349" spans="1:4" customFormat="1">
      <c r="A349" s="84" t="s">
        <v>421</v>
      </c>
      <c r="B349" s="60"/>
      <c r="C349" s="60"/>
      <c r="D349" s="61"/>
    </row>
    <row r="350" spans="1:4" customFormat="1">
      <c r="A350" s="77" t="s">
        <v>156</v>
      </c>
      <c r="B350" s="60"/>
      <c r="C350" s="60">
        <v>0</v>
      </c>
      <c r="D350" s="61">
        <v>0</v>
      </c>
    </row>
    <row r="351" spans="1:4" customFormat="1">
      <c r="A351" s="84" t="s">
        <v>323</v>
      </c>
      <c r="B351" s="60"/>
      <c r="C351" s="60"/>
      <c r="D351" s="61"/>
    </row>
    <row r="352" spans="1:4" customFormat="1">
      <c r="A352" s="77" t="s">
        <v>198</v>
      </c>
      <c r="B352" s="60">
        <v>1</v>
      </c>
      <c r="C352" s="60"/>
      <c r="D352" s="61">
        <v>1</v>
      </c>
    </row>
    <row r="353" spans="1:4" customFormat="1">
      <c r="A353" s="74" t="s">
        <v>325</v>
      </c>
      <c r="B353" s="60">
        <v>8</v>
      </c>
      <c r="C353" s="60">
        <v>0</v>
      </c>
      <c r="D353" s="61">
        <v>8</v>
      </c>
    </row>
    <row r="354" spans="1:4" customFormat="1">
      <c r="A354" s="74" t="s">
        <v>336</v>
      </c>
      <c r="B354" s="60"/>
      <c r="C354" s="60"/>
      <c r="D354" s="61"/>
    </row>
    <row r="355" spans="1:4" customFormat="1">
      <c r="A355" s="84" t="s">
        <v>338</v>
      </c>
      <c r="B355" s="60"/>
      <c r="C355" s="60"/>
      <c r="D355" s="61"/>
    </row>
    <row r="356" spans="1:4" customFormat="1">
      <c r="A356" s="77" t="s">
        <v>400</v>
      </c>
      <c r="B356" s="60">
        <v>1</v>
      </c>
      <c r="C356" s="60"/>
      <c r="D356" s="61">
        <v>1</v>
      </c>
    </row>
    <row r="357" spans="1:4" customFormat="1">
      <c r="A357" s="84" t="s">
        <v>341</v>
      </c>
      <c r="B357" s="60"/>
      <c r="C357" s="60"/>
      <c r="D357" s="61"/>
    </row>
    <row r="358" spans="1:4" customFormat="1">
      <c r="A358" s="77" t="s">
        <v>400</v>
      </c>
      <c r="B358" s="60">
        <v>1</v>
      </c>
      <c r="C358" s="60"/>
      <c r="D358" s="61">
        <v>1</v>
      </c>
    </row>
    <row r="359" spans="1:4" customFormat="1">
      <c r="A359" s="43" t="s">
        <v>252</v>
      </c>
      <c r="B359" s="60">
        <v>9321</v>
      </c>
      <c r="C359" s="60">
        <v>0</v>
      </c>
      <c r="D359" s="61">
        <v>9321</v>
      </c>
    </row>
    <row r="360" spans="1:4" customFormat="1">
      <c r="A360" s="138" t="s">
        <v>208</v>
      </c>
      <c r="B360" s="60">
        <v>1248</v>
      </c>
      <c r="C360" s="60"/>
      <c r="D360" s="61">
        <v>1248</v>
      </c>
    </row>
    <row r="361" spans="1:4" customFormat="1">
      <c r="A361" s="138" t="s">
        <v>211</v>
      </c>
      <c r="B361" s="60">
        <v>1400</v>
      </c>
      <c r="C361" s="60">
        <v>0</v>
      </c>
      <c r="D361" s="61">
        <v>1400</v>
      </c>
    </row>
    <row r="362" spans="1:4" customFormat="1">
      <c r="A362" s="138" t="s">
        <v>212</v>
      </c>
      <c r="B362" s="60">
        <v>1456</v>
      </c>
      <c r="C362" s="60">
        <v>0</v>
      </c>
      <c r="D362" s="61">
        <v>1456</v>
      </c>
    </row>
    <row r="363" spans="1:4" customFormat="1">
      <c r="A363" s="138" t="s">
        <v>213</v>
      </c>
      <c r="B363" s="60">
        <v>1416</v>
      </c>
      <c r="C363" s="60">
        <v>0</v>
      </c>
      <c r="D363" s="61">
        <v>1416</v>
      </c>
    </row>
    <row r="364" spans="1:4" customFormat="1">
      <c r="A364" s="138" t="s">
        <v>214</v>
      </c>
      <c r="B364" s="60">
        <v>1720</v>
      </c>
      <c r="C364" s="60"/>
      <c r="D364" s="61">
        <v>1720</v>
      </c>
    </row>
    <row r="365" spans="1:4" customFormat="1">
      <c r="A365" s="74" t="s">
        <v>246</v>
      </c>
      <c r="B365" s="60"/>
      <c r="C365" s="60"/>
      <c r="D365" s="61"/>
    </row>
    <row r="366" spans="1:4" customFormat="1">
      <c r="A366" s="84" t="s">
        <v>251</v>
      </c>
      <c r="B366" s="60"/>
      <c r="C366" s="60"/>
      <c r="D366" s="61"/>
    </row>
    <row r="367" spans="1:4" customFormat="1">
      <c r="A367" s="77" t="s">
        <v>188</v>
      </c>
      <c r="B367" s="60">
        <v>1</v>
      </c>
      <c r="C367" s="60"/>
      <c r="D367" s="61">
        <v>1</v>
      </c>
    </row>
    <row r="368" spans="1:4" customFormat="1">
      <c r="A368" s="74" t="s">
        <v>259</v>
      </c>
      <c r="B368" s="60"/>
      <c r="C368" s="60"/>
      <c r="D368" s="61"/>
    </row>
    <row r="369" spans="1:4" customFormat="1">
      <c r="A369" s="84" t="s">
        <v>261</v>
      </c>
      <c r="B369" s="60"/>
      <c r="C369" s="60"/>
      <c r="D369" s="61"/>
    </row>
    <row r="370" spans="1:4" customFormat="1">
      <c r="A370" s="77" t="s">
        <v>194</v>
      </c>
      <c r="B370" s="60">
        <v>154</v>
      </c>
      <c r="C370" s="60"/>
      <c r="D370" s="61">
        <v>154</v>
      </c>
    </row>
    <row r="371" spans="1:4" customFormat="1">
      <c r="A371" s="74" t="s">
        <v>268</v>
      </c>
      <c r="B371" s="60"/>
      <c r="C371" s="60"/>
      <c r="D371" s="61"/>
    </row>
    <row r="372" spans="1:4" customFormat="1">
      <c r="A372" s="84" t="s">
        <v>269</v>
      </c>
      <c r="B372" s="60"/>
      <c r="C372" s="60"/>
      <c r="D372" s="61"/>
    </row>
    <row r="373" spans="1:4" customFormat="1">
      <c r="A373" s="77" t="s">
        <v>194</v>
      </c>
      <c r="B373" s="60">
        <v>100</v>
      </c>
      <c r="C373" s="60"/>
      <c r="D373" s="61">
        <v>100</v>
      </c>
    </row>
    <row r="374" spans="1:4" customFormat="1">
      <c r="A374" s="84" t="s">
        <v>270</v>
      </c>
      <c r="B374" s="60"/>
      <c r="C374" s="60"/>
      <c r="D374" s="61"/>
    </row>
    <row r="375" spans="1:4" customFormat="1">
      <c r="A375" s="77" t="s">
        <v>194</v>
      </c>
      <c r="B375" s="60">
        <v>2</v>
      </c>
      <c r="C375" s="60"/>
      <c r="D375" s="61">
        <v>2</v>
      </c>
    </row>
    <row r="376" spans="1:4" customFormat="1">
      <c r="A376" s="84" t="s">
        <v>271</v>
      </c>
      <c r="B376" s="60"/>
      <c r="C376" s="60"/>
      <c r="D376" s="61"/>
    </row>
    <row r="377" spans="1:4" customFormat="1">
      <c r="A377" s="77" t="s">
        <v>194</v>
      </c>
      <c r="B377" s="60">
        <v>150</v>
      </c>
      <c r="C377" s="60"/>
      <c r="D377" s="61">
        <v>150</v>
      </c>
    </row>
    <row r="378" spans="1:4" customFormat="1">
      <c r="A378" s="84" t="s">
        <v>358</v>
      </c>
      <c r="B378" s="60"/>
      <c r="C378" s="60"/>
      <c r="D378" s="61"/>
    </row>
    <row r="379" spans="1:4" customFormat="1">
      <c r="A379" s="77" t="s">
        <v>194</v>
      </c>
      <c r="B379" s="60">
        <v>150</v>
      </c>
      <c r="C379" s="60"/>
      <c r="D379" s="61">
        <v>150</v>
      </c>
    </row>
    <row r="380" spans="1:4" customFormat="1">
      <c r="A380" s="84" t="s">
        <v>272</v>
      </c>
      <c r="B380" s="60"/>
      <c r="C380" s="60"/>
      <c r="D380" s="61"/>
    </row>
    <row r="381" spans="1:4" customFormat="1">
      <c r="A381" s="77" t="s">
        <v>194</v>
      </c>
      <c r="B381" s="60">
        <v>150</v>
      </c>
      <c r="C381" s="60"/>
      <c r="D381" s="61">
        <v>150</v>
      </c>
    </row>
    <row r="382" spans="1:4" customFormat="1">
      <c r="A382" s="84" t="s">
        <v>274</v>
      </c>
      <c r="B382" s="60"/>
      <c r="C382" s="60"/>
      <c r="D382" s="61"/>
    </row>
    <row r="383" spans="1:4" customFormat="1">
      <c r="A383" s="77" t="s">
        <v>194</v>
      </c>
      <c r="B383" s="60">
        <v>5</v>
      </c>
      <c r="C383" s="60"/>
      <c r="D383" s="61">
        <v>5</v>
      </c>
    </row>
    <row r="384" spans="1:4" customFormat="1">
      <c r="A384" s="84" t="s">
        <v>275</v>
      </c>
      <c r="B384" s="60"/>
      <c r="C384" s="60"/>
      <c r="D384" s="61"/>
    </row>
    <row r="385" spans="1:4" customFormat="1">
      <c r="A385" s="77" t="s">
        <v>194</v>
      </c>
      <c r="B385" s="60">
        <v>300</v>
      </c>
      <c r="C385" s="60"/>
      <c r="D385" s="61">
        <v>300</v>
      </c>
    </row>
    <row r="386" spans="1:4" customFormat="1">
      <c r="A386" s="74" t="s">
        <v>278</v>
      </c>
      <c r="B386" s="60"/>
      <c r="C386" s="60"/>
      <c r="D386" s="61"/>
    </row>
    <row r="387" spans="1:4" customFormat="1">
      <c r="A387" s="84" t="s">
        <v>285</v>
      </c>
      <c r="B387" s="60"/>
      <c r="C387" s="60"/>
      <c r="D387" s="61"/>
    </row>
    <row r="388" spans="1:4" customFormat="1">
      <c r="A388" s="77" t="s">
        <v>194</v>
      </c>
      <c r="B388" s="60">
        <v>700</v>
      </c>
      <c r="C388" s="60"/>
      <c r="D388" s="61">
        <v>700</v>
      </c>
    </row>
    <row r="389" spans="1:4" customFormat="1">
      <c r="A389" s="74" t="s">
        <v>305</v>
      </c>
      <c r="B389" s="60"/>
      <c r="C389" s="60"/>
      <c r="D389" s="61"/>
    </row>
    <row r="390" spans="1:4" customFormat="1">
      <c r="A390" s="84" t="s">
        <v>366</v>
      </c>
      <c r="B390" s="60"/>
      <c r="C390" s="60"/>
      <c r="D390" s="61"/>
    </row>
    <row r="391" spans="1:4" customFormat="1">
      <c r="A391" s="77" t="s">
        <v>194</v>
      </c>
      <c r="B391" s="60">
        <v>4</v>
      </c>
      <c r="C391" s="60"/>
      <c r="D391" s="61">
        <v>4</v>
      </c>
    </row>
    <row r="392" spans="1:4" customFormat="1">
      <c r="A392" s="84" t="s">
        <v>363</v>
      </c>
      <c r="B392" s="60"/>
      <c r="C392" s="60"/>
      <c r="D392" s="61"/>
    </row>
    <row r="393" spans="1:4" customFormat="1">
      <c r="A393" s="77" t="s">
        <v>194</v>
      </c>
      <c r="B393" s="60">
        <v>4</v>
      </c>
      <c r="C393" s="60"/>
      <c r="D393" s="61">
        <v>4</v>
      </c>
    </row>
    <row r="394" spans="1:4" customFormat="1">
      <c r="A394" s="138" t="s">
        <v>19</v>
      </c>
      <c r="B394" s="60">
        <v>715</v>
      </c>
      <c r="C394" s="60">
        <v>0</v>
      </c>
      <c r="D394" s="61">
        <v>715</v>
      </c>
    </row>
    <row r="395" spans="1:4" customFormat="1">
      <c r="A395" s="138">
        <v>974</v>
      </c>
      <c r="B395" s="60">
        <v>1366</v>
      </c>
      <c r="C395" s="60"/>
      <c r="D395" s="61">
        <v>1366</v>
      </c>
    </row>
    <row r="396" spans="1:4" customFormat="1">
      <c r="A396" s="74" t="s">
        <v>246</v>
      </c>
      <c r="B396" s="60"/>
      <c r="C396" s="60"/>
      <c r="D396" s="61"/>
    </row>
    <row r="397" spans="1:4" customFormat="1">
      <c r="A397" s="84" t="s">
        <v>251</v>
      </c>
      <c r="B397" s="60"/>
      <c r="C397" s="60"/>
      <c r="D397" s="61"/>
    </row>
    <row r="398" spans="1:4" customFormat="1">
      <c r="A398" s="77" t="s">
        <v>188</v>
      </c>
      <c r="B398" s="60">
        <v>1</v>
      </c>
      <c r="C398" s="60"/>
      <c r="D398" s="61">
        <v>1</v>
      </c>
    </row>
    <row r="399" spans="1:4" customFormat="1">
      <c r="A399" s="74" t="s">
        <v>259</v>
      </c>
      <c r="B399" s="60"/>
      <c r="C399" s="60"/>
      <c r="D399" s="61"/>
    </row>
    <row r="400" spans="1:4" customFormat="1">
      <c r="A400" s="84" t="s">
        <v>261</v>
      </c>
      <c r="B400" s="60"/>
      <c r="C400" s="60"/>
      <c r="D400" s="61"/>
    </row>
    <row r="401" spans="1:4" customFormat="1">
      <c r="A401" s="77" t="s">
        <v>194</v>
      </c>
      <c r="B401" s="60">
        <v>154</v>
      </c>
      <c r="C401" s="60"/>
      <c r="D401" s="61">
        <v>154</v>
      </c>
    </row>
    <row r="402" spans="1:4" customFormat="1">
      <c r="A402" s="74" t="s">
        <v>268</v>
      </c>
      <c r="B402" s="60"/>
      <c r="C402" s="60"/>
      <c r="D402" s="61"/>
    </row>
    <row r="403" spans="1:4" customFormat="1">
      <c r="A403" s="84" t="s">
        <v>269</v>
      </c>
      <c r="B403" s="60"/>
      <c r="C403" s="60"/>
      <c r="D403" s="61"/>
    </row>
    <row r="404" spans="1:4" customFormat="1">
      <c r="A404" s="77" t="s">
        <v>194</v>
      </c>
      <c r="B404" s="60">
        <v>100</v>
      </c>
      <c r="C404" s="60"/>
      <c r="D404" s="61">
        <v>100</v>
      </c>
    </row>
    <row r="405" spans="1:4" customFormat="1">
      <c r="A405" s="84" t="s">
        <v>270</v>
      </c>
      <c r="B405" s="60"/>
      <c r="C405" s="60"/>
      <c r="D405" s="61"/>
    </row>
    <row r="406" spans="1:4" customFormat="1">
      <c r="A406" s="77" t="s">
        <v>194</v>
      </c>
      <c r="B406" s="60">
        <v>2</v>
      </c>
      <c r="C406" s="60"/>
      <c r="D406" s="61">
        <v>2</v>
      </c>
    </row>
    <row r="407" spans="1:4" customFormat="1">
      <c r="A407" s="84" t="s">
        <v>271</v>
      </c>
      <c r="B407" s="60"/>
      <c r="C407" s="60"/>
      <c r="D407" s="61"/>
    </row>
    <row r="408" spans="1:4" customFormat="1">
      <c r="A408" s="77" t="s">
        <v>194</v>
      </c>
      <c r="B408" s="60">
        <v>150</v>
      </c>
      <c r="C408" s="60"/>
      <c r="D408" s="61">
        <v>150</v>
      </c>
    </row>
    <row r="409" spans="1:4" customFormat="1">
      <c r="A409" s="84" t="s">
        <v>272</v>
      </c>
      <c r="B409" s="60"/>
      <c r="C409" s="60"/>
      <c r="D409" s="61"/>
    </row>
    <row r="410" spans="1:4" customFormat="1">
      <c r="A410" s="77" t="s">
        <v>194</v>
      </c>
      <c r="B410" s="60">
        <v>150</v>
      </c>
      <c r="C410" s="60"/>
      <c r="D410" s="61">
        <v>150</v>
      </c>
    </row>
    <row r="411" spans="1:4" customFormat="1">
      <c r="A411" s="84" t="s">
        <v>274</v>
      </c>
      <c r="B411" s="60"/>
      <c r="C411" s="60"/>
      <c r="D411" s="61"/>
    </row>
    <row r="412" spans="1:4" customFormat="1">
      <c r="A412" s="77" t="s">
        <v>194</v>
      </c>
      <c r="B412" s="60">
        <v>5</v>
      </c>
      <c r="C412" s="60"/>
      <c r="D412" s="61">
        <v>5</v>
      </c>
    </row>
    <row r="413" spans="1:4" customFormat="1">
      <c r="A413" s="84" t="s">
        <v>275</v>
      </c>
      <c r="B413" s="60"/>
      <c r="C413" s="60"/>
      <c r="D413" s="61"/>
    </row>
    <row r="414" spans="1:4" customFormat="1">
      <c r="A414" s="77" t="s">
        <v>194</v>
      </c>
      <c r="B414" s="60">
        <v>300</v>
      </c>
      <c r="C414" s="60"/>
      <c r="D414" s="61">
        <v>300</v>
      </c>
    </row>
    <row r="415" spans="1:4" customFormat="1">
      <c r="A415" s="74" t="s">
        <v>278</v>
      </c>
      <c r="B415" s="60"/>
      <c r="C415" s="60"/>
      <c r="D415" s="61"/>
    </row>
    <row r="416" spans="1:4" customFormat="1">
      <c r="A416" s="84" t="s">
        <v>285</v>
      </c>
      <c r="B416" s="60"/>
      <c r="C416" s="60"/>
      <c r="D416" s="61"/>
    </row>
    <row r="417" spans="1:4" customFormat="1">
      <c r="A417" s="77" t="s">
        <v>194</v>
      </c>
      <c r="B417" s="60">
        <v>500</v>
      </c>
      <c r="C417" s="60"/>
      <c r="D417" s="61">
        <v>500</v>
      </c>
    </row>
    <row r="418" spans="1:4" customFormat="1">
      <c r="A418" s="74" t="s">
        <v>305</v>
      </c>
      <c r="B418" s="60"/>
      <c r="C418" s="60"/>
      <c r="D418" s="61"/>
    </row>
    <row r="419" spans="1:4" customFormat="1">
      <c r="A419" s="84" t="s">
        <v>314</v>
      </c>
      <c r="B419" s="60"/>
      <c r="C419" s="60"/>
      <c r="D419" s="61"/>
    </row>
    <row r="420" spans="1:4" customFormat="1">
      <c r="A420" s="77" t="s">
        <v>194</v>
      </c>
      <c r="B420" s="60">
        <v>4</v>
      </c>
      <c r="C420" s="60"/>
      <c r="D420" s="61">
        <v>4</v>
      </c>
    </row>
    <row r="421" spans="1:4" customFormat="1">
      <c r="A421" s="43" t="s">
        <v>233</v>
      </c>
      <c r="B421" s="60">
        <v>11</v>
      </c>
      <c r="C421" s="60">
        <v>2</v>
      </c>
      <c r="D421" s="61">
        <v>13</v>
      </c>
    </row>
    <row r="422" spans="1:4" customFormat="1">
      <c r="A422" s="138" t="s">
        <v>208</v>
      </c>
      <c r="B422" s="60"/>
      <c r="C422" s="60">
        <v>2</v>
      </c>
      <c r="D422" s="61">
        <v>2</v>
      </c>
    </row>
    <row r="423" spans="1:4" customFormat="1">
      <c r="A423" s="138" t="s">
        <v>211</v>
      </c>
      <c r="B423" s="60">
        <v>2</v>
      </c>
      <c r="C423" s="60"/>
      <c r="D423" s="61">
        <v>2</v>
      </c>
    </row>
    <row r="424" spans="1:4" customFormat="1">
      <c r="A424" s="138" t="s">
        <v>212</v>
      </c>
      <c r="B424" s="60">
        <v>2</v>
      </c>
      <c r="C424" s="60"/>
      <c r="D424" s="61">
        <v>2</v>
      </c>
    </row>
    <row r="425" spans="1:4" customFormat="1">
      <c r="A425" s="138" t="s">
        <v>213</v>
      </c>
      <c r="B425" s="60">
        <v>2</v>
      </c>
      <c r="C425" s="60"/>
      <c r="D425" s="61">
        <v>2</v>
      </c>
    </row>
    <row r="426" spans="1:4" customFormat="1">
      <c r="A426" s="138" t="s">
        <v>214</v>
      </c>
      <c r="B426" s="60">
        <v>2</v>
      </c>
      <c r="C426" s="60"/>
      <c r="D426" s="61">
        <v>2</v>
      </c>
    </row>
    <row r="427" spans="1:4" customFormat="1">
      <c r="A427" s="74" t="s">
        <v>336</v>
      </c>
      <c r="B427" s="60"/>
      <c r="C427" s="60"/>
      <c r="D427" s="61"/>
    </row>
    <row r="428" spans="1:4" customFormat="1">
      <c r="A428" s="84" t="s">
        <v>337</v>
      </c>
      <c r="B428" s="60"/>
      <c r="C428" s="60"/>
      <c r="D428" s="61"/>
    </row>
    <row r="429" spans="1:4" customFormat="1">
      <c r="A429" s="77" t="s">
        <v>193</v>
      </c>
      <c r="B429" s="60">
        <v>1</v>
      </c>
      <c r="C429" s="60"/>
      <c r="D429" s="61">
        <v>1</v>
      </c>
    </row>
    <row r="430" spans="1:4" customFormat="1">
      <c r="A430" s="84" t="s">
        <v>339</v>
      </c>
      <c r="B430" s="60"/>
      <c r="C430" s="60"/>
      <c r="D430" s="61"/>
    </row>
    <row r="431" spans="1:4" customFormat="1">
      <c r="A431" s="77" t="s">
        <v>193</v>
      </c>
      <c r="B431" s="60">
        <v>1</v>
      </c>
      <c r="C431" s="60"/>
      <c r="D431" s="61">
        <v>1</v>
      </c>
    </row>
    <row r="432" spans="1:4" customFormat="1">
      <c r="A432" s="138" t="s">
        <v>19</v>
      </c>
      <c r="B432" s="60">
        <v>1</v>
      </c>
      <c r="C432" s="60"/>
      <c r="D432" s="61">
        <v>1</v>
      </c>
    </row>
    <row r="433" spans="1:4" customFormat="1">
      <c r="A433" s="138">
        <v>974</v>
      </c>
      <c r="B433" s="60">
        <v>2</v>
      </c>
      <c r="C433" s="60"/>
      <c r="D433" s="61">
        <v>2</v>
      </c>
    </row>
    <row r="434" spans="1:4" customFormat="1">
      <c r="A434" s="74" t="s">
        <v>336</v>
      </c>
      <c r="B434" s="60"/>
      <c r="C434" s="60"/>
      <c r="D434" s="61"/>
    </row>
    <row r="435" spans="1:4" customFormat="1">
      <c r="A435" s="84" t="s">
        <v>337</v>
      </c>
      <c r="B435" s="60"/>
      <c r="C435" s="60"/>
      <c r="D435" s="61"/>
    </row>
    <row r="436" spans="1:4" customFormat="1">
      <c r="A436" s="77" t="s">
        <v>193</v>
      </c>
      <c r="B436" s="60">
        <v>1</v>
      </c>
      <c r="C436" s="60"/>
      <c r="D436" s="61">
        <v>1</v>
      </c>
    </row>
    <row r="437" spans="1:4" customFormat="1">
      <c r="A437" s="84" t="s">
        <v>339</v>
      </c>
      <c r="B437" s="60"/>
      <c r="C437" s="60"/>
      <c r="D437" s="61"/>
    </row>
    <row r="438" spans="1:4" customFormat="1">
      <c r="A438" s="77" t="s">
        <v>193</v>
      </c>
      <c r="B438" s="60">
        <v>1</v>
      </c>
      <c r="C438" s="60"/>
      <c r="D438" s="61">
        <v>1</v>
      </c>
    </row>
    <row r="439" spans="1:4" customFormat="1">
      <c r="A439" s="43" t="s">
        <v>165</v>
      </c>
      <c r="B439" s="60">
        <v>47</v>
      </c>
      <c r="C439" s="60">
        <v>23</v>
      </c>
      <c r="D439" s="61">
        <v>70</v>
      </c>
    </row>
    <row r="440" spans="1:4" customFormat="1">
      <c r="A440" s="138" t="s">
        <v>208</v>
      </c>
      <c r="B440" s="60">
        <v>6</v>
      </c>
      <c r="C440" s="60">
        <v>3</v>
      </c>
      <c r="D440" s="61">
        <v>9</v>
      </c>
    </row>
    <row r="441" spans="1:4" customFormat="1">
      <c r="A441" s="138" t="s">
        <v>211</v>
      </c>
      <c r="B441" s="60">
        <v>8</v>
      </c>
      <c r="C441" s="60">
        <v>4</v>
      </c>
      <c r="D441" s="61">
        <v>12</v>
      </c>
    </row>
    <row r="442" spans="1:4" customFormat="1">
      <c r="A442" s="138" t="s">
        <v>212</v>
      </c>
      <c r="B442" s="60">
        <v>6</v>
      </c>
      <c r="C442" s="60">
        <v>3</v>
      </c>
      <c r="D442" s="61">
        <v>9</v>
      </c>
    </row>
    <row r="443" spans="1:4" customFormat="1">
      <c r="A443" s="138" t="s">
        <v>213</v>
      </c>
      <c r="B443" s="60">
        <v>5</v>
      </c>
      <c r="C443" s="60">
        <v>3</v>
      </c>
      <c r="D443" s="61">
        <v>8</v>
      </c>
    </row>
    <row r="444" spans="1:4" customFormat="1">
      <c r="A444" s="138" t="s">
        <v>214</v>
      </c>
      <c r="B444" s="60">
        <v>8</v>
      </c>
      <c r="C444" s="60">
        <v>5</v>
      </c>
      <c r="D444" s="61">
        <v>13</v>
      </c>
    </row>
    <row r="445" spans="1:4" customFormat="1">
      <c r="A445" s="74" t="s">
        <v>288</v>
      </c>
      <c r="B445" s="60"/>
      <c r="C445" s="60"/>
      <c r="D445" s="61"/>
    </row>
    <row r="446" spans="1:4" customFormat="1">
      <c r="A446" s="84" t="s">
        <v>289</v>
      </c>
      <c r="B446" s="60"/>
      <c r="C446" s="60"/>
      <c r="D446" s="61"/>
    </row>
    <row r="447" spans="1:4" customFormat="1">
      <c r="A447" s="77" t="s">
        <v>430</v>
      </c>
      <c r="B447" s="60">
        <v>2</v>
      </c>
      <c r="C447" s="60"/>
      <c r="D447" s="61">
        <v>2</v>
      </c>
    </row>
    <row r="448" spans="1:4" customFormat="1">
      <c r="A448" s="74" t="s">
        <v>296</v>
      </c>
      <c r="B448" s="60"/>
      <c r="C448" s="60"/>
      <c r="D448" s="61"/>
    </row>
    <row r="449" spans="1:4" customFormat="1">
      <c r="A449" s="84" t="s">
        <v>352</v>
      </c>
      <c r="B449" s="60"/>
      <c r="C449" s="60"/>
      <c r="D449" s="61"/>
    </row>
    <row r="450" spans="1:4" customFormat="1">
      <c r="A450" s="77" t="s">
        <v>156</v>
      </c>
      <c r="B450" s="60"/>
      <c r="C450" s="60">
        <v>0</v>
      </c>
      <c r="D450" s="61">
        <v>0</v>
      </c>
    </row>
    <row r="451" spans="1:4" customFormat="1">
      <c r="A451" s="74" t="s">
        <v>325</v>
      </c>
      <c r="B451" s="60">
        <v>6</v>
      </c>
      <c r="C451" s="60">
        <v>5</v>
      </c>
      <c r="D451" s="61">
        <v>11</v>
      </c>
    </row>
    <row r="452" spans="1:4" customFormat="1">
      <c r="A452" s="138" t="s">
        <v>19</v>
      </c>
      <c r="B452" s="60">
        <v>9</v>
      </c>
      <c r="C452" s="60">
        <v>2</v>
      </c>
      <c r="D452" s="61">
        <v>11</v>
      </c>
    </row>
    <row r="453" spans="1:4" customFormat="1">
      <c r="A453" s="138">
        <v>974</v>
      </c>
      <c r="B453" s="60">
        <v>5</v>
      </c>
      <c r="C453" s="60">
        <v>3</v>
      </c>
      <c r="D453" s="61">
        <v>8</v>
      </c>
    </row>
    <row r="454" spans="1:4" customFormat="1">
      <c r="A454" s="74" t="s">
        <v>288</v>
      </c>
      <c r="B454" s="60"/>
      <c r="C454" s="60"/>
      <c r="D454" s="61"/>
    </row>
    <row r="455" spans="1:4" customFormat="1">
      <c r="A455" s="84" t="s">
        <v>289</v>
      </c>
      <c r="B455" s="60"/>
      <c r="C455" s="60"/>
      <c r="D455" s="61"/>
    </row>
    <row r="456" spans="1:4" customFormat="1">
      <c r="A456" s="77" t="s">
        <v>430</v>
      </c>
      <c r="B456" s="60">
        <v>2</v>
      </c>
      <c r="C456" s="60"/>
      <c r="D456" s="61">
        <v>2</v>
      </c>
    </row>
    <row r="457" spans="1:4" customFormat="1">
      <c r="A457" s="74" t="s">
        <v>296</v>
      </c>
      <c r="B457" s="60"/>
      <c r="C457" s="60"/>
      <c r="D457" s="61"/>
    </row>
    <row r="458" spans="1:4" customFormat="1">
      <c r="A458" s="84" t="s">
        <v>304</v>
      </c>
      <c r="B458" s="60"/>
      <c r="C458" s="60"/>
      <c r="D458" s="61"/>
    </row>
    <row r="459" spans="1:4" customFormat="1">
      <c r="A459" s="77" t="s">
        <v>156</v>
      </c>
      <c r="B459" s="60"/>
      <c r="C459" s="60">
        <v>0</v>
      </c>
      <c r="D459" s="61">
        <v>0</v>
      </c>
    </row>
    <row r="460" spans="1:4" customFormat="1">
      <c r="A460" s="74" t="s">
        <v>325</v>
      </c>
      <c r="B460" s="60">
        <v>3</v>
      </c>
      <c r="C460" s="60">
        <v>3</v>
      </c>
      <c r="D460" s="61">
        <v>6</v>
      </c>
    </row>
    <row r="461" spans="1:4" customFormat="1">
      <c r="A461" s="43" t="s">
        <v>303</v>
      </c>
      <c r="B461" s="60">
        <v>5</v>
      </c>
      <c r="C461" s="60">
        <v>1</v>
      </c>
      <c r="D461" s="61">
        <v>6</v>
      </c>
    </row>
    <row r="462" spans="1:4" customFormat="1">
      <c r="A462" s="138" t="s">
        <v>208</v>
      </c>
      <c r="B462" s="60"/>
      <c r="C462" s="60">
        <v>1</v>
      </c>
      <c r="D462" s="61">
        <v>1</v>
      </c>
    </row>
    <row r="463" spans="1:4" customFormat="1">
      <c r="A463" s="138" t="s">
        <v>211</v>
      </c>
      <c r="B463" s="60">
        <v>1</v>
      </c>
      <c r="C463" s="60"/>
      <c r="D463" s="61">
        <v>1</v>
      </c>
    </row>
    <row r="464" spans="1:4" customFormat="1">
      <c r="A464" s="138" t="s">
        <v>212</v>
      </c>
      <c r="B464" s="60">
        <v>1</v>
      </c>
      <c r="C464" s="60"/>
      <c r="D464" s="61">
        <v>1</v>
      </c>
    </row>
    <row r="465" spans="1:4" customFormat="1">
      <c r="A465" s="138" t="s">
        <v>213</v>
      </c>
      <c r="B465" s="60">
        <v>1</v>
      </c>
      <c r="C465" s="60"/>
      <c r="D465" s="61">
        <v>1</v>
      </c>
    </row>
    <row r="466" spans="1:4" customFormat="1">
      <c r="A466" s="138" t="s">
        <v>214</v>
      </c>
      <c r="B466" s="60">
        <v>1</v>
      </c>
      <c r="C466" s="60"/>
      <c r="D466" s="61">
        <v>1</v>
      </c>
    </row>
    <row r="467" spans="1:4" customFormat="1">
      <c r="A467" s="74" t="s">
        <v>296</v>
      </c>
      <c r="B467" s="60"/>
      <c r="C467" s="60"/>
      <c r="D467" s="61"/>
    </row>
    <row r="468" spans="1:4" customFormat="1">
      <c r="A468" s="84" t="s">
        <v>302</v>
      </c>
      <c r="B468" s="60"/>
      <c r="C468" s="60"/>
      <c r="D468" s="61"/>
    </row>
    <row r="469" spans="1:4" customFormat="1">
      <c r="A469" s="77" t="s">
        <v>182</v>
      </c>
      <c r="B469" s="60">
        <v>1</v>
      </c>
      <c r="C469" s="60"/>
      <c r="D469" s="61">
        <v>1</v>
      </c>
    </row>
    <row r="470" spans="1:4" customFormat="1">
      <c r="A470" s="138">
        <v>974</v>
      </c>
      <c r="B470" s="60">
        <v>1</v>
      </c>
      <c r="C470" s="60"/>
      <c r="D470" s="61">
        <v>1</v>
      </c>
    </row>
    <row r="471" spans="1:4" customFormat="1">
      <c r="A471" s="74" t="s">
        <v>296</v>
      </c>
      <c r="B471" s="60"/>
      <c r="C471" s="60"/>
      <c r="D471" s="61"/>
    </row>
    <row r="472" spans="1:4" customFormat="1">
      <c r="A472" s="84" t="s">
        <v>302</v>
      </c>
      <c r="B472" s="60"/>
      <c r="C472" s="60"/>
      <c r="D472" s="61"/>
    </row>
    <row r="473" spans="1:4" customFormat="1">
      <c r="A473" s="77" t="s">
        <v>182</v>
      </c>
      <c r="B473" s="60">
        <v>1</v>
      </c>
      <c r="C473" s="60"/>
      <c r="D473" s="61">
        <v>1</v>
      </c>
    </row>
    <row r="474" spans="1:4" customFormat="1">
      <c r="A474" s="43" t="s">
        <v>215</v>
      </c>
      <c r="B474" s="60"/>
      <c r="C474" s="60">
        <v>32</v>
      </c>
      <c r="D474" s="61">
        <v>32</v>
      </c>
    </row>
    <row r="475" spans="1:4" customFormat="1">
      <c r="A475" s="138" t="s">
        <v>19</v>
      </c>
      <c r="B475" s="60"/>
      <c r="C475" s="60">
        <v>32</v>
      </c>
      <c r="D475" s="61">
        <v>32</v>
      </c>
    </row>
    <row r="476" spans="1:4" customFormat="1">
      <c r="A476" s="43" t="s">
        <v>273</v>
      </c>
      <c r="B476" s="60">
        <v>14</v>
      </c>
      <c r="C476" s="60"/>
      <c r="D476" s="61">
        <v>14</v>
      </c>
    </row>
    <row r="477" spans="1:4" customFormat="1">
      <c r="A477" s="43" t="s">
        <v>221</v>
      </c>
      <c r="B477" s="60"/>
      <c r="C477" s="60">
        <v>62</v>
      </c>
      <c r="D477" s="61">
        <v>62</v>
      </c>
    </row>
    <row r="478" spans="1:4" customFormat="1">
      <c r="A478" s="138" t="s">
        <v>208</v>
      </c>
      <c r="B478" s="60"/>
      <c r="C478" s="60">
        <v>7</v>
      </c>
      <c r="D478" s="61">
        <v>7</v>
      </c>
    </row>
    <row r="479" spans="1:4" customFormat="1">
      <c r="A479" s="138" t="s">
        <v>211</v>
      </c>
      <c r="B479" s="60"/>
      <c r="C479" s="60">
        <v>7</v>
      </c>
      <c r="D479" s="61">
        <v>7</v>
      </c>
    </row>
    <row r="480" spans="1:4" customFormat="1">
      <c r="A480" s="138" t="s">
        <v>212</v>
      </c>
      <c r="B480" s="60"/>
      <c r="C480" s="60">
        <v>7</v>
      </c>
      <c r="D480" s="61">
        <v>7</v>
      </c>
    </row>
    <row r="481" spans="1:4" customFormat="1">
      <c r="A481" s="138" t="s">
        <v>213</v>
      </c>
      <c r="B481" s="60"/>
      <c r="C481" s="60">
        <v>7</v>
      </c>
      <c r="D481" s="61">
        <v>7</v>
      </c>
    </row>
    <row r="482" spans="1:4" customFormat="1">
      <c r="A482" s="138" t="s">
        <v>214</v>
      </c>
      <c r="B482" s="60"/>
      <c r="C482" s="60">
        <v>11</v>
      </c>
      <c r="D482" s="61">
        <v>11</v>
      </c>
    </row>
    <row r="483" spans="1:4" customFormat="1">
      <c r="A483" s="74" t="s">
        <v>288</v>
      </c>
      <c r="B483" s="60"/>
      <c r="C483" s="60"/>
      <c r="D483" s="61"/>
    </row>
    <row r="484" spans="1:4" customFormat="1">
      <c r="A484" s="84" t="s">
        <v>292</v>
      </c>
      <c r="B484" s="60"/>
      <c r="C484" s="60"/>
      <c r="D484" s="61"/>
    </row>
    <row r="485" spans="1:4" customFormat="1">
      <c r="A485" s="77" t="s">
        <v>90</v>
      </c>
      <c r="B485" s="60"/>
      <c r="C485" s="60">
        <v>2</v>
      </c>
      <c r="D485" s="61">
        <v>2</v>
      </c>
    </row>
    <row r="486" spans="1:4" customFormat="1">
      <c r="A486" s="74" t="s">
        <v>325</v>
      </c>
      <c r="B486" s="60"/>
      <c r="C486" s="60">
        <v>9</v>
      </c>
      <c r="D486" s="61">
        <v>9</v>
      </c>
    </row>
    <row r="487" spans="1:4" customFormat="1">
      <c r="A487" s="138" t="s">
        <v>19</v>
      </c>
      <c r="B487" s="60"/>
      <c r="C487" s="60">
        <v>16</v>
      </c>
      <c r="D487" s="61">
        <v>16</v>
      </c>
    </row>
    <row r="488" spans="1:4" customFormat="1">
      <c r="A488" s="138">
        <v>974</v>
      </c>
      <c r="B488" s="60"/>
      <c r="C488" s="60">
        <v>7</v>
      </c>
      <c r="D488" s="61">
        <v>7</v>
      </c>
    </row>
    <row r="489" spans="1:4" customFormat="1">
      <c r="A489" s="74" t="s">
        <v>288</v>
      </c>
      <c r="B489" s="60"/>
      <c r="C489" s="60"/>
      <c r="D489" s="61"/>
    </row>
    <row r="490" spans="1:4" customFormat="1">
      <c r="A490" s="84" t="s">
        <v>292</v>
      </c>
      <c r="B490" s="60"/>
      <c r="C490" s="60"/>
      <c r="D490" s="61"/>
    </row>
    <row r="491" spans="1:4" customFormat="1">
      <c r="A491" s="77" t="s">
        <v>90</v>
      </c>
      <c r="B491" s="60"/>
      <c r="C491" s="60">
        <v>2</v>
      </c>
      <c r="D491" s="61">
        <v>2</v>
      </c>
    </row>
    <row r="492" spans="1:4" customFormat="1">
      <c r="A492" s="74" t="s">
        <v>325</v>
      </c>
      <c r="B492" s="60"/>
      <c r="C492" s="60">
        <v>5</v>
      </c>
      <c r="D492" s="61">
        <v>5</v>
      </c>
    </row>
    <row r="493" spans="1:4" customFormat="1">
      <c r="A493" s="43" t="s">
        <v>340</v>
      </c>
      <c r="B493" s="60">
        <v>50</v>
      </c>
      <c r="C493" s="60">
        <v>18</v>
      </c>
      <c r="D493" s="61">
        <v>68</v>
      </c>
    </row>
    <row r="494" spans="1:4" customFormat="1">
      <c r="A494" s="43" t="s">
        <v>209</v>
      </c>
      <c r="B494" s="60">
        <v>12</v>
      </c>
      <c r="C494" s="60">
        <v>4</v>
      </c>
      <c r="D494" s="61">
        <v>16</v>
      </c>
    </row>
    <row r="495" spans="1:4" customFormat="1">
      <c r="A495" s="43" t="s">
        <v>210</v>
      </c>
      <c r="B495" s="60"/>
      <c r="C495" s="60">
        <v>60</v>
      </c>
      <c r="D495" s="61">
        <v>60</v>
      </c>
    </row>
    <row r="496" spans="1:4" customFormat="1">
      <c r="A496" s="138" t="s">
        <v>208</v>
      </c>
      <c r="B496" s="60"/>
      <c r="C496" s="60">
        <v>4</v>
      </c>
      <c r="D496" s="61">
        <v>4</v>
      </c>
    </row>
    <row r="497" spans="1:4" customFormat="1">
      <c r="A497" s="138" t="s">
        <v>211</v>
      </c>
      <c r="B497" s="60"/>
      <c r="C497" s="60">
        <v>4</v>
      </c>
      <c r="D497" s="61">
        <v>4</v>
      </c>
    </row>
    <row r="498" spans="1:4" customFormat="1">
      <c r="A498" s="138" t="s">
        <v>212</v>
      </c>
      <c r="B498" s="60"/>
      <c r="C498" s="60">
        <v>4</v>
      </c>
      <c r="D498" s="61">
        <v>4</v>
      </c>
    </row>
    <row r="499" spans="1:4" customFormat="1">
      <c r="A499" s="138" t="s">
        <v>213</v>
      </c>
      <c r="B499" s="60"/>
      <c r="C499" s="60">
        <v>4</v>
      </c>
      <c r="D499" s="61">
        <v>4</v>
      </c>
    </row>
    <row r="500" spans="1:4" customFormat="1">
      <c r="A500" s="138" t="s">
        <v>214</v>
      </c>
      <c r="B500" s="60"/>
      <c r="C500" s="60">
        <v>4</v>
      </c>
      <c r="D500" s="61">
        <v>4</v>
      </c>
    </row>
    <row r="501" spans="1:4" customFormat="1">
      <c r="A501" s="74" t="s">
        <v>325</v>
      </c>
      <c r="B501" s="60"/>
      <c r="C501" s="60">
        <v>4</v>
      </c>
      <c r="D501" s="61">
        <v>4</v>
      </c>
    </row>
    <row r="502" spans="1:4" customFormat="1">
      <c r="A502" s="138" t="s">
        <v>19</v>
      </c>
      <c r="B502" s="60"/>
      <c r="C502" s="60">
        <v>36</v>
      </c>
      <c r="D502" s="61">
        <v>36</v>
      </c>
    </row>
    <row r="503" spans="1:4" customFormat="1">
      <c r="A503" s="138">
        <v>974</v>
      </c>
      <c r="B503" s="60"/>
      <c r="C503" s="60">
        <v>4</v>
      </c>
      <c r="D503" s="61">
        <v>4</v>
      </c>
    </row>
    <row r="504" spans="1:4" customFormat="1">
      <c r="A504" s="74" t="s">
        <v>325</v>
      </c>
      <c r="B504" s="60"/>
      <c r="C504" s="60">
        <v>4</v>
      </c>
      <c r="D504" s="61">
        <v>4</v>
      </c>
    </row>
    <row r="505" spans="1:4" customFormat="1">
      <c r="A505" s="43" t="s">
        <v>295</v>
      </c>
      <c r="B505" s="60">
        <v>5</v>
      </c>
      <c r="C505" s="60">
        <v>1</v>
      </c>
      <c r="D505" s="61">
        <v>6</v>
      </c>
    </row>
    <row r="506" spans="1:4" customFormat="1">
      <c r="A506" s="138" t="s">
        <v>208</v>
      </c>
      <c r="B506" s="60"/>
      <c r="C506" s="60">
        <v>1</v>
      </c>
      <c r="D506" s="61">
        <v>1</v>
      </c>
    </row>
    <row r="507" spans="1:4" customFormat="1">
      <c r="A507" s="138" t="s">
        <v>211</v>
      </c>
      <c r="B507" s="60">
        <v>1</v>
      </c>
      <c r="C507" s="60"/>
      <c r="D507" s="61">
        <v>1</v>
      </c>
    </row>
    <row r="508" spans="1:4" customFormat="1">
      <c r="A508" s="138" t="s">
        <v>212</v>
      </c>
      <c r="B508" s="60">
        <v>1</v>
      </c>
      <c r="C508" s="60"/>
      <c r="D508" s="61">
        <v>1</v>
      </c>
    </row>
    <row r="509" spans="1:4" customFormat="1">
      <c r="A509" s="138" t="s">
        <v>213</v>
      </c>
      <c r="B509" s="60">
        <v>1</v>
      </c>
      <c r="C509" s="60"/>
      <c r="D509" s="61">
        <v>1</v>
      </c>
    </row>
    <row r="510" spans="1:4" customFormat="1">
      <c r="A510" s="138" t="s">
        <v>214</v>
      </c>
      <c r="B510" s="60">
        <v>1</v>
      </c>
      <c r="C510" s="60"/>
      <c r="D510" s="61">
        <v>1</v>
      </c>
    </row>
    <row r="511" spans="1:4" customFormat="1">
      <c r="A511" s="74" t="s">
        <v>293</v>
      </c>
      <c r="B511" s="60"/>
      <c r="C511" s="60"/>
      <c r="D511" s="61"/>
    </row>
    <row r="512" spans="1:4" customFormat="1">
      <c r="A512" s="84" t="s">
        <v>294</v>
      </c>
      <c r="B512" s="60"/>
      <c r="C512" s="60"/>
      <c r="D512" s="61"/>
    </row>
    <row r="513" spans="1:4" customFormat="1">
      <c r="A513" s="77" t="s">
        <v>389</v>
      </c>
      <c r="B513" s="60">
        <v>1</v>
      </c>
      <c r="C513" s="60"/>
      <c r="D513" s="61">
        <v>1</v>
      </c>
    </row>
    <row r="514" spans="1:4" customFormat="1">
      <c r="A514" s="138">
        <v>974</v>
      </c>
      <c r="B514" s="60">
        <v>1</v>
      </c>
      <c r="C514" s="60"/>
      <c r="D514" s="61">
        <v>1</v>
      </c>
    </row>
    <row r="515" spans="1:4" customFormat="1">
      <c r="A515" s="74" t="s">
        <v>293</v>
      </c>
      <c r="B515" s="60"/>
      <c r="C515" s="60"/>
      <c r="D515" s="61"/>
    </row>
    <row r="516" spans="1:4" customFormat="1">
      <c r="A516" s="84" t="s">
        <v>294</v>
      </c>
      <c r="B516" s="60"/>
      <c r="C516" s="60"/>
      <c r="D516" s="61"/>
    </row>
    <row r="517" spans="1:4" customFormat="1">
      <c r="A517" s="77" t="s">
        <v>389</v>
      </c>
      <c r="B517" s="60">
        <v>1</v>
      </c>
      <c r="C517" s="60"/>
      <c r="D517" s="61">
        <v>1</v>
      </c>
    </row>
    <row r="518" spans="1:4" customFormat="1">
      <c r="A518" s="43" t="s">
        <v>228</v>
      </c>
      <c r="B518" s="60">
        <v>30</v>
      </c>
      <c r="C518" s="60"/>
      <c r="D518" s="61">
        <v>30</v>
      </c>
    </row>
    <row r="519" spans="1:4" customFormat="1">
      <c r="A519" s="138" t="s">
        <v>19</v>
      </c>
      <c r="B519" s="60">
        <v>30</v>
      </c>
      <c r="C519" s="60"/>
      <c r="D519" s="61">
        <v>30</v>
      </c>
    </row>
    <row r="520" spans="1:4" customFormat="1">
      <c r="A520" s="43" t="s">
        <v>216</v>
      </c>
      <c r="B520" s="60">
        <v>8</v>
      </c>
      <c r="C520" s="60"/>
      <c r="D520" s="61">
        <v>8</v>
      </c>
    </row>
    <row r="521" spans="1:4" customFormat="1">
      <c r="A521" s="138" t="s">
        <v>19</v>
      </c>
      <c r="B521" s="60">
        <v>8</v>
      </c>
      <c r="C521" s="60"/>
      <c r="D521" s="61">
        <v>8</v>
      </c>
    </row>
    <row r="522" spans="1:4" customFormat="1">
      <c r="A522" s="43" t="s">
        <v>238</v>
      </c>
      <c r="B522" s="60">
        <v>3</v>
      </c>
      <c r="C522" s="60"/>
      <c r="D522" s="61">
        <v>3</v>
      </c>
    </row>
    <row r="523" spans="1:4" customFormat="1">
      <c r="A523" s="138" t="s">
        <v>19</v>
      </c>
      <c r="B523" s="60">
        <v>3</v>
      </c>
      <c r="C523" s="60"/>
      <c r="D523" s="61">
        <v>3</v>
      </c>
    </row>
    <row r="524" spans="1:4" customFormat="1">
      <c r="A524" s="43" t="s">
        <v>240</v>
      </c>
      <c r="B524" s="60">
        <v>1</v>
      </c>
      <c r="C524" s="60"/>
      <c r="D524" s="61">
        <v>1</v>
      </c>
    </row>
    <row r="525" spans="1:4" customFormat="1">
      <c r="A525" s="138" t="s">
        <v>19</v>
      </c>
      <c r="B525" s="60">
        <v>1</v>
      </c>
      <c r="C525" s="60"/>
      <c r="D525" s="61">
        <v>1</v>
      </c>
    </row>
    <row r="526" spans="1:4" customFormat="1">
      <c r="A526" s="43" t="s">
        <v>242</v>
      </c>
      <c r="B526" s="60">
        <v>1</v>
      </c>
      <c r="C526" s="60"/>
      <c r="D526" s="61">
        <v>1</v>
      </c>
    </row>
    <row r="527" spans="1:4" customFormat="1">
      <c r="A527" s="138" t="s">
        <v>19</v>
      </c>
      <c r="B527" s="60">
        <v>1</v>
      </c>
      <c r="C527" s="60"/>
      <c r="D527" s="61">
        <v>1</v>
      </c>
    </row>
    <row r="528" spans="1:4" customFormat="1">
      <c r="A528" s="43" t="s">
        <v>298</v>
      </c>
      <c r="B528" s="60">
        <v>205</v>
      </c>
      <c r="C528" s="60"/>
      <c r="D528" s="61">
        <v>205</v>
      </c>
    </row>
    <row r="529" spans="1:4" customFormat="1">
      <c r="A529" s="138" t="s">
        <v>208</v>
      </c>
      <c r="B529" s="60">
        <v>27</v>
      </c>
      <c r="C529" s="60"/>
      <c r="D529" s="61">
        <v>27</v>
      </c>
    </row>
    <row r="530" spans="1:4" customFormat="1">
      <c r="A530" s="138" t="s">
        <v>211</v>
      </c>
      <c r="B530" s="60">
        <v>31</v>
      </c>
      <c r="C530" s="60"/>
      <c r="D530" s="61">
        <v>31</v>
      </c>
    </row>
    <row r="531" spans="1:4" customFormat="1">
      <c r="A531" s="138" t="s">
        <v>212</v>
      </c>
      <c r="B531" s="60">
        <v>28</v>
      </c>
      <c r="C531" s="60"/>
      <c r="D531" s="61">
        <v>28</v>
      </c>
    </row>
    <row r="532" spans="1:4" customFormat="1">
      <c r="A532" s="138" t="s">
        <v>213</v>
      </c>
      <c r="B532" s="60">
        <v>31</v>
      </c>
      <c r="C532" s="60"/>
      <c r="D532" s="61">
        <v>31</v>
      </c>
    </row>
    <row r="533" spans="1:4" customFormat="1">
      <c r="A533" s="138" t="s">
        <v>214</v>
      </c>
      <c r="B533" s="60">
        <v>54</v>
      </c>
      <c r="C533" s="60"/>
      <c r="D533" s="61">
        <v>54</v>
      </c>
    </row>
    <row r="534" spans="1:4" customFormat="1">
      <c r="A534" s="74" t="s">
        <v>296</v>
      </c>
      <c r="B534" s="60"/>
      <c r="C534" s="60"/>
      <c r="D534" s="61"/>
    </row>
    <row r="535" spans="1:4" customFormat="1">
      <c r="A535" s="84" t="s">
        <v>297</v>
      </c>
      <c r="B535" s="60"/>
      <c r="C535" s="60"/>
      <c r="D535" s="61"/>
    </row>
    <row r="536" spans="1:4" customFormat="1">
      <c r="A536" s="77" t="s">
        <v>436</v>
      </c>
      <c r="B536" s="60">
        <v>54</v>
      </c>
      <c r="C536" s="60"/>
      <c r="D536" s="61">
        <v>54</v>
      </c>
    </row>
    <row r="537" spans="1:4" customFormat="1">
      <c r="A537" s="138">
        <v>974</v>
      </c>
      <c r="B537" s="60">
        <v>34</v>
      </c>
      <c r="C537" s="60"/>
      <c r="D537" s="61">
        <v>34</v>
      </c>
    </row>
    <row r="538" spans="1:4" customFormat="1">
      <c r="A538" s="74" t="s">
        <v>296</v>
      </c>
      <c r="B538" s="60"/>
      <c r="C538" s="60"/>
      <c r="D538" s="61"/>
    </row>
    <row r="539" spans="1:4" customFormat="1">
      <c r="A539" s="84" t="s">
        <v>297</v>
      </c>
      <c r="B539" s="60"/>
      <c r="C539" s="60"/>
      <c r="D539" s="61"/>
    </row>
    <row r="540" spans="1:4" customFormat="1">
      <c r="A540" s="77" t="s">
        <v>436</v>
      </c>
      <c r="B540" s="60">
        <v>34</v>
      </c>
      <c r="C540" s="60"/>
      <c r="D540" s="61">
        <v>34</v>
      </c>
    </row>
    <row r="541" spans="1:4" customFormat="1">
      <c r="A541" s="43" t="s">
        <v>256</v>
      </c>
      <c r="B541" s="60">
        <v>261</v>
      </c>
      <c r="C541" s="60"/>
      <c r="D541" s="61">
        <v>261</v>
      </c>
    </row>
    <row r="542" spans="1:4" customFormat="1">
      <c r="A542" s="138" t="s">
        <v>208</v>
      </c>
      <c r="B542" s="60">
        <v>16</v>
      </c>
      <c r="C542" s="60"/>
      <c r="D542" s="61">
        <v>16</v>
      </c>
    </row>
    <row r="543" spans="1:4" customFormat="1">
      <c r="A543" s="138" t="s">
        <v>211</v>
      </c>
      <c r="B543" s="60">
        <v>16</v>
      </c>
      <c r="C543" s="60"/>
      <c r="D543" s="61">
        <v>16</v>
      </c>
    </row>
    <row r="544" spans="1:4" customFormat="1">
      <c r="A544" s="138" t="s">
        <v>212</v>
      </c>
      <c r="B544" s="60">
        <v>16</v>
      </c>
      <c r="C544" s="60"/>
      <c r="D544" s="61">
        <v>16</v>
      </c>
    </row>
    <row r="545" spans="1:4" customFormat="1">
      <c r="A545" s="138" t="s">
        <v>213</v>
      </c>
      <c r="B545" s="60">
        <v>16</v>
      </c>
      <c r="C545" s="60"/>
      <c r="D545" s="61">
        <v>16</v>
      </c>
    </row>
    <row r="546" spans="1:4" customFormat="1">
      <c r="A546" s="138" t="s">
        <v>214</v>
      </c>
      <c r="B546" s="60">
        <v>181</v>
      </c>
      <c r="C546" s="60"/>
      <c r="D546" s="61">
        <v>181</v>
      </c>
    </row>
    <row r="547" spans="1:4" customFormat="1">
      <c r="A547" s="74" t="s">
        <v>253</v>
      </c>
      <c r="B547" s="60"/>
      <c r="C547" s="60"/>
      <c r="D547" s="61"/>
    </row>
    <row r="548" spans="1:4" customFormat="1">
      <c r="A548" s="84" t="s">
        <v>255</v>
      </c>
      <c r="B548" s="60"/>
      <c r="C548" s="60"/>
      <c r="D548" s="61"/>
    </row>
    <row r="549" spans="1:4" customFormat="1">
      <c r="A549" s="77" t="s">
        <v>188</v>
      </c>
      <c r="B549" s="60">
        <v>4</v>
      </c>
      <c r="C549" s="60"/>
      <c r="D549" s="61">
        <v>4</v>
      </c>
    </row>
    <row r="550" spans="1:4" customFormat="1">
      <c r="A550" s="74" t="s">
        <v>259</v>
      </c>
      <c r="B550" s="60"/>
      <c r="C550" s="60"/>
      <c r="D550" s="61"/>
    </row>
    <row r="551" spans="1:4" customFormat="1">
      <c r="A551" s="84" t="s">
        <v>261</v>
      </c>
      <c r="B551" s="60"/>
      <c r="C551" s="60"/>
      <c r="D551" s="61"/>
    </row>
    <row r="552" spans="1:4" customFormat="1">
      <c r="A552" s="77" t="s">
        <v>194</v>
      </c>
      <c r="B552" s="60">
        <v>80</v>
      </c>
      <c r="C552" s="60"/>
      <c r="D552" s="61">
        <v>80</v>
      </c>
    </row>
    <row r="553" spans="1:4" customFormat="1">
      <c r="A553" s="84" t="s">
        <v>262</v>
      </c>
      <c r="B553" s="60"/>
      <c r="C553" s="60"/>
      <c r="D553" s="61"/>
    </row>
    <row r="554" spans="1:4" customFormat="1">
      <c r="A554" s="77" t="s">
        <v>194</v>
      </c>
      <c r="B554" s="60">
        <v>6</v>
      </c>
      <c r="C554" s="60"/>
      <c r="D554" s="61">
        <v>6</v>
      </c>
    </row>
    <row r="555" spans="1:4" customFormat="1">
      <c r="A555" s="84" t="s">
        <v>263</v>
      </c>
      <c r="B555" s="60"/>
      <c r="C555" s="60"/>
      <c r="D555" s="61"/>
    </row>
    <row r="556" spans="1:4" customFormat="1">
      <c r="A556" s="77" t="s">
        <v>194</v>
      </c>
      <c r="B556" s="60">
        <v>6</v>
      </c>
      <c r="C556" s="60"/>
      <c r="D556" s="61">
        <v>6</v>
      </c>
    </row>
    <row r="557" spans="1:4" customFormat="1">
      <c r="A557" s="84" t="s">
        <v>265</v>
      </c>
      <c r="B557" s="60"/>
      <c r="C557" s="60"/>
      <c r="D557" s="61"/>
    </row>
    <row r="558" spans="1:4" customFormat="1">
      <c r="A558" s="77" t="s">
        <v>188</v>
      </c>
      <c r="B558" s="60">
        <v>8</v>
      </c>
      <c r="C558" s="60"/>
      <c r="D558" s="61">
        <v>8</v>
      </c>
    </row>
    <row r="559" spans="1:4" customFormat="1">
      <c r="A559" s="84" t="s">
        <v>266</v>
      </c>
      <c r="B559" s="60"/>
      <c r="C559" s="60"/>
      <c r="D559" s="61"/>
    </row>
    <row r="560" spans="1:4" customFormat="1">
      <c r="A560" s="77" t="s">
        <v>188</v>
      </c>
      <c r="B560" s="60">
        <v>4</v>
      </c>
      <c r="C560" s="60"/>
      <c r="D560" s="61">
        <v>4</v>
      </c>
    </row>
    <row r="561" spans="1:4" customFormat="1">
      <c r="A561" s="84" t="s">
        <v>264</v>
      </c>
      <c r="B561" s="60"/>
      <c r="C561" s="60"/>
      <c r="D561" s="61"/>
    </row>
    <row r="562" spans="1:4" customFormat="1">
      <c r="A562" s="77" t="s">
        <v>194</v>
      </c>
      <c r="B562" s="60">
        <v>8</v>
      </c>
      <c r="C562" s="60"/>
      <c r="D562" s="61">
        <v>8</v>
      </c>
    </row>
    <row r="563" spans="1:4" customFormat="1">
      <c r="A563" s="74" t="s">
        <v>268</v>
      </c>
      <c r="B563" s="60"/>
      <c r="C563" s="60"/>
      <c r="D563" s="61"/>
    </row>
    <row r="564" spans="1:4" customFormat="1">
      <c r="A564" s="84" t="s">
        <v>358</v>
      </c>
      <c r="B564" s="60"/>
      <c r="C564" s="60"/>
      <c r="D564" s="61"/>
    </row>
    <row r="565" spans="1:4" customFormat="1">
      <c r="A565" s="77" t="s">
        <v>194</v>
      </c>
      <c r="B565" s="60">
        <v>55</v>
      </c>
      <c r="C565" s="60"/>
      <c r="D565" s="61">
        <v>55</v>
      </c>
    </row>
    <row r="566" spans="1:4" customFormat="1">
      <c r="A566" s="74" t="s">
        <v>278</v>
      </c>
      <c r="B566" s="60"/>
      <c r="C566" s="60"/>
      <c r="D566" s="61"/>
    </row>
    <row r="567" spans="1:4" customFormat="1">
      <c r="A567" s="84" t="s">
        <v>287</v>
      </c>
      <c r="B567" s="60"/>
      <c r="C567" s="60"/>
      <c r="D567" s="61"/>
    </row>
    <row r="568" spans="1:4" customFormat="1">
      <c r="A568" s="77" t="s">
        <v>194</v>
      </c>
      <c r="B568" s="60">
        <v>10</v>
      </c>
      <c r="C568" s="60"/>
      <c r="D568" s="61">
        <v>10</v>
      </c>
    </row>
    <row r="569" spans="1:4" customFormat="1">
      <c r="A569" s="138">
        <v>974</v>
      </c>
      <c r="B569" s="60">
        <v>16</v>
      </c>
      <c r="C569" s="60"/>
      <c r="D569" s="61">
        <v>16</v>
      </c>
    </row>
    <row r="570" spans="1:4" customFormat="1">
      <c r="A570" s="74" t="s">
        <v>253</v>
      </c>
      <c r="B570" s="60"/>
      <c r="C570" s="60"/>
      <c r="D570" s="61"/>
    </row>
    <row r="571" spans="1:4" customFormat="1">
      <c r="A571" s="84" t="s">
        <v>255</v>
      </c>
      <c r="B571" s="60"/>
      <c r="C571" s="60"/>
      <c r="D571" s="61"/>
    </row>
    <row r="572" spans="1:4" customFormat="1">
      <c r="A572" s="77" t="s">
        <v>188</v>
      </c>
      <c r="B572" s="60">
        <v>4</v>
      </c>
      <c r="C572" s="60"/>
      <c r="D572" s="61">
        <v>4</v>
      </c>
    </row>
    <row r="573" spans="1:4" customFormat="1">
      <c r="A573" s="74" t="s">
        <v>259</v>
      </c>
      <c r="B573" s="60"/>
      <c r="C573" s="60"/>
      <c r="D573" s="61"/>
    </row>
    <row r="574" spans="1:4" customFormat="1">
      <c r="A574" s="84" t="s">
        <v>265</v>
      </c>
      <c r="B574" s="60"/>
      <c r="C574" s="60"/>
      <c r="D574" s="61"/>
    </row>
    <row r="575" spans="1:4" customFormat="1">
      <c r="A575" s="77" t="s">
        <v>188</v>
      </c>
      <c r="B575" s="60">
        <v>8</v>
      </c>
      <c r="C575" s="60"/>
      <c r="D575" s="61">
        <v>8</v>
      </c>
    </row>
    <row r="576" spans="1:4" customFormat="1">
      <c r="A576" s="84" t="s">
        <v>266</v>
      </c>
      <c r="B576" s="60"/>
      <c r="C576" s="60"/>
      <c r="D576" s="61"/>
    </row>
    <row r="577" spans="1:4" customFormat="1">
      <c r="A577" s="77" t="s">
        <v>188</v>
      </c>
      <c r="B577" s="60">
        <v>4</v>
      </c>
      <c r="C577" s="60"/>
      <c r="D577" s="61">
        <v>4</v>
      </c>
    </row>
    <row r="578" spans="1:4" customFormat="1">
      <c r="A578" s="43" t="s">
        <v>280</v>
      </c>
      <c r="B578" s="60">
        <v>483</v>
      </c>
      <c r="C578" s="60"/>
      <c r="D578" s="61">
        <v>483</v>
      </c>
    </row>
    <row r="579" spans="1:4" customFormat="1">
      <c r="A579" s="138" t="s">
        <v>208</v>
      </c>
      <c r="B579" s="60">
        <v>31</v>
      </c>
      <c r="C579" s="60"/>
      <c r="D579" s="61">
        <v>31</v>
      </c>
    </row>
    <row r="580" spans="1:4" customFormat="1">
      <c r="A580" s="138" t="s">
        <v>211</v>
      </c>
      <c r="B580" s="60">
        <v>29</v>
      </c>
      <c r="C580" s="60"/>
      <c r="D580" s="61">
        <v>29</v>
      </c>
    </row>
    <row r="581" spans="1:4" customFormat="1">
      <c r="A581" s="138" t="s">
        <v>212</v>
      </c>
      <c r="B581" s="60">
        <v>29</v>
      </c>
      <c r="C581" s="60"/>
      <c r="D581" s="61">
        <v>29</v>
      </c>
    </row>
    <row r="582" spans="1:4" customFormat="1">
      <c r="A582" s="138" t="s">
        <v>213</v>
      </c>
      <c r="B582" s="60">
        <v>29</v>
      </c>
      <c r="C582" s="60"/>
      <c r="D582" s="61">
        <v>29</v>
      </c>
    </row>
    <row r="583" spans="1:4" customFormat="1">
      <c r="A583" s="138" t="s">
        <v>214</v>
      </c>
      <c r="B583" s="60">
        <v>336</v>
      </c>
      <c r="C583" s="60"/>
      <c r="D583" s="61">
        <v>336</v>
      </c>
    </row>
    <row r="584" spans="1:4" customFormat="1">
      <c r="A584" s="74" t="s">
        <v>268</v>
      </c>
      <c r="B584" s="60"/>
      <c r="C584" s="60"/>
      <c r="D584" s="61"/>
    </row>
    <row r="585" spans="1:4" customFormat="1">
      <c r="A585" s="84" t="s">
        <v>275</v>
      </c>
      <c r="B585" s="60"/>
      <c r="C585" s="60"/>
      <c r="D585" s="61"/>
    </row>
    <row r="586" spans="1:4" customFormat="1">
      <c r="A586" s="77" t="s">
        <v>194</v>
      </c>
      <c r="B586" s="60">
        <v>62</v>
      </c>
      <c r="C586" s="60"/>
      <c r="D586" s="61">
        <v>62</v>
      </c>
    </row>
    <row r="587" spans="1:4" customFormat="1">
      <c r="A587" s="74" t="s">
        <v>278</v>
      </c>
      <c r="B587" s="60"/>
      <c r="C587" s="60"/>
      <c r="D587" s="61"/>
    </row>
    <row r="588" spans="1:4" customFormat="1">
      <c r="A588" s="84" t="s">
        <v>279</v>
      </c>
      <c r="B588" s="60"/>
      <c r="C588" s="60"/>
      <c r="D588" s="61"/>
    </row>
    <row r="589" spans="1:4" customFormat="1">
      <c r="A589" s="77" t="s">
        <v>191</v>
      </c>
      <c r="B589" s="60">
        <v>1</v>
      </c>
      <c r="C589" s="60"/>
      <c r="D589" s="61">
        <v>1</v>
      </c>
    </row>
    <row r="590" spans="1:4" customFormat="1">
      <c r="A590" s="84" t="s">
        <v>283</v>
      </c>
      <c r="B590" s="60"/>
      <c r="C590" s="60"/>
      <c r="D590" s="61"/>
    </row>
    <row r="591" spans="1:4" customFormat="1">
      <c r="A591" s="77" t="s">
        <v>191</v>
      </c>
      <c r="B591" s="60">
        <v>1</v>
      </c>
      <c r="C591" s="60"/>
      <c r="D591" s="61">
        <v>1</v>
      </c>
    </row>
    <row r="592" spans="1:4" customFormat="1">
      <c r="A592" s="84" t="s">
        <v>284</v>
      </c>
      <c r="B592" s="60"/>
      <c r="C592" s="60"/>
      <c r="D592" s="61"/>
    </row>
    <row r="593" spans="1:4" customFormat="1">
      <c r="A593" s="77" t="s">
        <v>188</v>
      </c>
      <c r="B593" s="60">
        <v>26</v>
      </c>
      <c r="C593" s="60"/>
      <c r="D593" s="61">
        <v>26</v>
      </c>
    </row>
    <row r="594" spans="1:4" customFormat="1">
      <c r="A594" s="84" t="s">
        <v>285</v>
      </c>
      <c r="B594" s="60"/>
      <c r="C594" s="60"/>
      <c r="D594" s="61"/>
    </row>
    <row r="595" spans="1:4" customFormat="1">
      <c r="A595" s="77" t="s">
        <v>194</v>
      </c>
      <c r="B595" s="60">
        <v>245</v>
      </c>
      <c r="C595" s="60"/>
      <c r="D595" s="61">
        <v>245</v>
      </c>
    </row>
    <row r="596" spans="1:4" customFormat="1">
      <c r="A596" s="84" t="s">
        <v>286</v>
      </c>
      <c r="B596" s="60"/>
      <c r="C596" s="60"/>
      <c r="D596" s="61"/>
    </row>
    <row r="597" spans="1:4" customFormat="1">
      <c r="A597" s="77" t="s">
        <v>191</v>
      </c>
      <c r="B597" s="60">
        <v>1</v>
      </c>
      <c r="C597" s="60"/>
      <c r="D597" s="61">
        <v>1</v>
      </c>
    </row>
    <row r="598" spans="1:4" customFormat="1">
      <c r="A598" s="138">
        <v>974</v>
      </c>
      <c r="B598" s="60">
        <v>29</v>
      </c>
      <c r="C598" s="60"/>
      <c r="D598" s="61">
        <v>29</v>
      </c>
    </row>
    <row r="599" spans="1:4" customFormat="1">
      <c r="A599" s="74" t="s">
        <v>278</v>
      </c>
      <c r="B599" s="60"/>
      <c r="C599" s="60"/>
      <c r="D599" s="61"/>
    </row>
    <row r="600" spans="1:4" customFormat="1">
      <c r="A600" s="84" t="s">
        <v>279</v>
      </c>
      <c r="B600" s="60"/>
      <c r="C600" s="60"/>
      <c r="D600" s="61"/>
    </row>
    <row r="601" spans="1:4" customFormat="1">
      <c r="A601" s="77" t="s">
        <v>191</v>
      </c>
      <c r="B601" s="60">
        <v>1</v>
      </c>
      <c r="C601" s="60"/>
      <c r="D601" s="61">
        <v>1</v>
      </c>
    </row>
    <row r="602" spans="1:4" customFormat="1">
      <c r="A602" s="84" t="s">
        <v>283</v>
      </c>
      <c r="B602" s="60"/>
      <c r="C602" s="60"/>
      <c r="D602" s="61"/>
    </row>
    <row r="603" spans="1:4" customFormat="1">
      <c r="A603" s="77" t="s">
        <v>191</v>
      </c>
      <c r="B603" s="60">
        <v>1</v>
      </c>
      <c r="C603" s="60"/>
      <c r="D603" s="61">
        <v>1</v>
      </c>
    </row>
    <row r="604" spans="1:4" customFormat="1">
      <c r="A604" s="84" t="s">
        <v>284</v>
      </c>
      <c r="B604" s="60"/>
      <c r="C604" s="60"/>
      <c r="D604" s="61"/>
    </row>
    <row r="605" spans="1:4" customFormat="1">
      <c r="A605" s="77" t="s">
        <v>188</v>
      </c>
      <c r="B605" s="60">
        <v>26</v>
      </c>
      <c r="C605" s="60"/>
      <c r="D605" s="61">
        <v>26</v>
      </c>
    </row>
    <row r="606" spans="1:4" customFormat="1">
      <c r="A606" s="84" t="s">
        <v>286</v>
      </c>
      <c r="B606" s="60"/>
      <c r="C606" s="60"/>
      <c r="D606" s="61"/>
    </row>
    <row r="607" spans="1:4" customFormat="1">
      <c r="A607" s="77" t="s">
        <v>191</v>
      </c>
      <c r="B607" s="60">
        <v>1</v>
      </c>
      <c r="C607" s="60"/>
      <c r="D607" s="61">
        <v>1</v>
      </c>
    </row>
    <row r="608" spans="1:4" customFormat="1">
      <c r="A608" s="43" t="s">
        <v>248</v>
      </c>
      <c r="B608" s="60">
        <v>7</v>
      </c>
      <c r="C608" s="60">
        <v>0</v>
      </c>
      <c r="D608" s="61">
        <v>7</v>
      </c>
    </row>
    <row r="609" spans="1:4" customFormat="1">
      <c r="A609" s="138" t="s">
        <v>208</v>
      </c>
      <c r="B609" s="60">
        <v>2</v>
      </c>
      <c r="C609" s="60">
        <v>0</v>
      </c>
      <c r="D609" s="61">
        <v>2</v>
      </c>
    </row>
    <row r="610" spans="1:4" customFormat="1">
      <c r="A610" s="138" t="s">
        <v>211</v>
      </c>
      <c r="B610" s="60">
        <v>1</v>
      </c>
      <c r="C610" s="60">
        <v>0</v>
      </c>
      <c r="D610" s="61">
        <v>1</v>
      </c>
    </row>
    <row r="611" spans="1:4" customFormat="1">
      <c r="A611" s="138" t="s">
        <v>212</v>
      </c>
      <c r="B611" s="60">
        <v>1</v>
      </c>
      <c r="C611" s="60">
        <v>0</v>
      </c>
      <c r="D611" s="61">
        <v>1</v>
      </c>
    </row>
    <row r="612" spans="1:4" customFormat="1">
      <c r="A612" s="138" t="s">
        <v>213</v>
      </c>
      <c r="B612" s="60">
        <v>1</v>
      </c>
      <c r="C612" s="60">
        <v>0</v>
      </c>
      <c r="D612" s="61">
        <v>1</v>
      </c>
    </row>
    <row r="613" spans="1:4" customFormat="1">
      <c r="A613" s="138" t="s">
        <v>214</v>
      </c>
      <c r="B613" s="60">
        <v>1</v>
      </c>
      <c r="C613" s="60">
        <v>0</v>
      </c>
      <c r="D613" s="61">
        <v>1</v>
      </c>
    </row>
    <row r="614" spans="1:4" customFormat="1">
      <c r="A614" s="74" t="s">
        <v>246</v>
      </c>
      <c r="B614" s="60"/>
      <c r="C614" s="60"/>
      <c r="D614" s="61"/>
    </row>
    <row r="615" spans="1:4" customFormat="1">
      <c r="A615" s="84" t="s">
        <v>247</v>
      </c>
      <c r="B615" s="60"/>
      <c r="C615" s="60"/>
      <c r="D615" s="61"/>
    </row>
    <row r="616" spans="1:4" customFormat="1">
      <c r="A616" s="77" t="s">
        <v>191</v>
      </c>
      <c r="B616" s="60">
        <v>1</v>
      </c>
      <c r="C616" s="60"/>
      <c r="D616" s="61">
        <v>1</v>
      </c>
    </row>
    <row r="617" spans="1:4" customFormat="1">
      <c r="A617" s="84" t="s">
        <v>437</v>
      </c>
      <c r="B617" s="60"/>
      <c r="C617" s="60"/>
      <c r="D617" s="61"/>
    </row>
    <row r="618" spans="1:4" customFormat="1">
      <c r="A618" s="77" t="s">
        <v>191</v>
      </c>
      <c r="B618" s="60"/>
      <c r="C618" s="60">
        <v>0</v>
      </c>
      <c r="D618" s="61">
        <v>0</v>
      </c>
    </row>
    <row r="619" spans="1:4" customFormat="1">
      <c r="A619" s="138">
        <v>974</v>
      </c>
      <c r="B619" s="60">
        <v>1</v>
      </c>
      <c r="C619" s="60">
        <v>0</v>
      </c>
      <c r="D619" s="61">
        <v>1</v>
      </c>
    </row>
    <row r="620" spans="1:4" customFormat="1">
      <c r="A620" s="74" t="s">
        <v>246</v>
      </c>
      <c r="B620" s="60"/>
      <c r="C620" s="60"/>
      <c r="D620" s="61"/>
    </row>
    <row r="621" spans="1:4" customFormat="1">
      <c r="A621" s="84" t="s">
        <v>247</v>
      </c>
      <c r="B621" s="60"/>
      <c r="C621" s="60"/>
      <c r="D621" s="61"/>
    </row>
    <row r="622" spans="1:4" customFormat="1">
      <c r="A622" s="77" t="s">
        <v>191</v>
      </c>
      <c r="B622" s="60">
        <v>1</v>
      </c>
      <c r="C622" s="60"/>
      <c r="D622" s="61">
        <v>1</v>
      </c>
    </row>
    <row r="623" spans="1:4" customFormat="1">
      <c r="A623" s="84" t="s">
        <v>437</v>
      </c>
      <c r="B623" s="60"/>
      <c r="C623" s="60"/>
      <c r="D623" s="61"/>
    </row>
    <row r="624" spans="1:4" customFormat="1">
      <c r="A624" s="77" t="s">
        <v>191</v>
      </c>
      <c r="B624" s="60"/>
      <c r="C624" s="60">
        <v>0</v>
      </c>
      <c r="D624" s="61">
        <v>0</v>
      </c>
    </row>
    <row r="625" spans="1:4" customFormat="1">
      <c r="A625" s="43" t="s">
        <v>335</v>
      </c>
      <c r="B625" s="60">
        <v>232</v>
      </c>
      <c r="C625" s="60"/>
      <c r="D625" s="61">
        <v>232</v>
      </c>
    </row>
    <row r="626" spans="1:4" customFormat="1">
      <c r="A626" s="138" t="s">
        <v>208</v>
      </c>
      <c r="B626" s="60">
        <v>24</v>
      </c>
      <c r="C626" s="60"/>
      <c r="D626" s="61">
        <v>24</v>
      </c>
    </row>
    <row r="627" spans="1:4" customFormat="1">
      <c r="A627" s="138" t="s">
        <v>211</v>
      </c>
      <c r="B627" s="60">
        <v>24</v>
      </c>
      <c r="C627" s="60"/>
      <c r="D627" s="61">
        <v>24</v>
      </c>
    </row>
    <row r="628" spans="1:4" customFormat="1">
      <c r="A628" s="138" t="s">
        <v>212</v>
      </c>
      <c r="B628" s="60">
        <v>24</v>
      </c>
      <c r="C628" s="60"/>
      <c r="D628" s="61">
        <v>24</v>
      </c>
    </row>
    <row r="629" spans="1:4" customFormat="1">
      <c r="A629" s="138" t="s">
        <v>213</v>
      </c>
      <c r="B629" s="60">
        <v>120</v>
      </c>
      <c r="C629" s="60"/>
      <c r="D629" s="61">
        <v>120</v>
      </c>
    </row>
    <row r="630" spans="1:4" customFormat="1">
      <c r="A630" s="138" t="s">
        <v>214</v>
      </c>
      <c r="B630" s="60">
        <v>32</v>
      </c>
      <c r="C630" s="60"/>
      <c r="D630" s="61">
        <v>32</v>
      </c>
    </row>
    <row r="631" spans="1:4" customFormat="1">
      <c r="A631" s="74" t="s">
        <v>325</v>
      </c>
      <c r="B631" s="60">
        <v>32</v>
      </c>
      <c r="C631" s="60"/>
      <c r="D631" s="61">
        <v>32</v>
      </c>
    </row>
    <row r="632" spans="1:4" customFormat="1">
      <c r="A632" s="138">
        <v>974</v>
      </c>
      <c r="B632" s="60">
        <v>8</v>
      </c>
      <c r="C632" s="60"/>
      <c r="D632" s="61">
        <v>8</v>
      </c>
    </row>
    <row r="633" spans="1:4" customFormat="1">
      <c r="A633" s="74" t="s">
        <v>325</v>
      </c>
      <c r="B633" s="60">
        <v>8</v>
      </c>
      <c r="C633" s="60"/>
      <c r="D633" s="61">
        <v>8</v>
      </c>
    </row>
    <row r="634" spans="1:4" customFormat="1">
      <c r="A634" s="43" t="s">
        <v>362</v>
      </c>
      <c r="B634" s="60">
        <v>1</v>
      </c>
      <c r="C634" s="60"/>
      <c r="D634" s="61">
        <v>1</v>
      </c>
    </row>
    <row r="635" spans="1:4" customFormat="1">
      <c r="A635" s="138" t="s">
        <v>19</v>
      </c>
      <c r="B635" s="60">
        <v>1</v>
      </c>
      <c r="C635" s="60"/>
      <c r="D635" s="61">
        <v>1</v>
      </c>
    </row>
    <row r="636" spans="1:4" customFormat="1">
      <c r="A636" s="43" t="s">
        <v>333</v>
      </c>
      <c r="B636" s="60">
        <v>23</v>
      </c>
      <c r="C636" s="60"/>
      <c r="D636" s="61">
        <v>23</v>
      </c>
    </row>
    <row r="637" spans="1:4" customFormat="1">
      <c r="A637" s="138" t="s">
        <v>208</v>
      </c>
      <c r="B637" s="60">
        <v>4</v>
      </c>
      <c r="C637" s="60"/>
      <c r="D637" s="61">
        <v>4</v>
      </c>
    </row>
    <row r="638" spans="1:4" customFormat="1">
      <c r="A638" s="138" t="s">
        <v>211</v>
      </c>
      <c r="B638" s="60">
        <v>5</v>
      </c>
      <c r="C638" s="60"/>
      <c r="D638" s="61">
        <v>5</v>
      </c>
    </row>
    <row r="639" spans="1:4" customFormat="1">
      <c r="A639" s="138" t="s">
        <v>212</v>
      </c>
      <c r="B639" s="60">
        <v>3</v>
      </c>
      <c r="C639" s="60"/>
      <c r="D639" s="61">
        <v>3</v>
      </c>
    </row>
    <row r="640" spans="1:4" customFormat="1">
      <c r="A640" s="138" t="s">
        <v>213</v>
      </c>
      <c r="B640" s="60">
        <v>4</v>
      </c>
      <c r="C640" s="60"/>
      <c r="D640" s="61">
        <v>4</v>
      </c>
    </row>
    <row r="641" spans="1:4" customFormat="1">
      <c r="A641" s="138" t="s">
        <v>214</v>
      </c>
      <c r="B641" s="60">
        <v>5</v>
      </c>
      <c r="C641" s="60"/>
      <c r="D641" s="61">
        <v>5</v>
      </c>
    </row>
    <row r="642" spans="1:4" customFormat="1">
      <c r="A642" s="74" t="s">
        <v>325</v>
      </c>
      <c r="B642" s="60">
        <v>5</v>
      </c>
      <c r="C642" s="60"/>
      <c r="D642" s="61">
        <v>5</v>
      </c>
    </row>
    <row r="643" spans="1:4" customFormat="1">
      <c r="A643" s="138">
        <v>974</v>
      </c>
      <c r="B643" s="60">
        <v>2</v>
      </c>
      <c r="C643" s="60"/>
      <c r="D643" s="61">
        <v>2</v>
      </c>
    </row>
    <row r="644" spans="1:4" customFormat="1">
      <c r="A644" s="74" t="s">
        <v>325</v>
      </c>
      <c r="B644" s="60">
        <v>2</v>
      </c>
      <c r="C644" s="60"/>
      <c r="D644" s="61">
        <v>2</v>
      </c>
    </row>
    <row r="645" spans="1:4" customFormat="1">
      <c r="A645" s="138" t="s">
        <v>202</v>
      </c>
      <c r="B645" s="60">
        <v>14049</v>
      </c>
      <c r="C645" s="60">
        <v>2582</v>
      </c>
      <c r="D645" s="61">
        <v>16631</v>
      </c>
    </row>
    <row r="646" spans="1:4" customFormat="1"/>
    <row r="647" spans="1:4" customFormat="1"/>
    <row r="648" spans="1:4" customFormat="1"/>
    <row r="649" spans="1:4" customFormat="1"/>
    <row r="650" spans="1:4" customFormat="1"/>
    <row r="651" spans="1:4" customFormat="1"/>
    <row r="652" spans="1:4" customFormat="1"/>
    <row r="653" spans="1:4" customFormat="1"/>
    <row r="654" spans="1:4" customFormat="1"/>
    <row r="655" spans="1:4" customFormat="1"/>
    <row r="656" spans="1:4"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spans="1:7">
      <c r="A737"/>
      <c r="B737"/>
      <c r="C737"/>
      <c r="D737"/>
      <c r="E737"/>
      <c r="F737"/>
      <c r="G737"/>
    </row>
    <row r="738" spans="1:7">
      <c r="A738"/>
      <c r="B738"/>
      <c r="C738"/>
      <c r="D738"/>
      <c r="E738"/>
      <c r="F738"/>
      <c r="G738"/>
    </row>
    <row r="739" spans="1:7">
      <c r="A739"/>
      <c r="B739"/>
      <c r="C739"/>
      <c r="D739"/>
      <c r="E739"/>
      <c r="F739"/>
      <c r="G739"/>
    </row>
    <row r="740" spans="1:7">
      <c r="A740"/>
      <c r="B740"/>
      <c r="C740"/>
      <c r="D740"/>
      <c r="E740"/>
      <c r="F740"/>
      <c r="G740"/>
    </row>
    <row r="741" spans="1:7">
      <c r="A741"/>
      <c r="B741"/>
      <c r="C741"/>
      <c r="D741"/>
    </row>
    <row r="742" spans="1:7">
      <c r="A742"/>
      <c r="B742"/>
      <c r="C742"/>
      <c r="D742"/>
    </row>
    <row r="743" spans="1:7">
      <c r="A743"/>
      <c r="B743"/>
      <c r="C743"/>
      <c r="D743"/>
    </row>
    <row r="744" spans="1:7">
      <c r="A744"/>
      <c r="B744"/>
      <c r="C744"/>
      <c r="D744"/>
    </row>
    <row r="745" spans="1:7">
      <c r="A745"/>
      <c r="B745"/>
      <c r="C745"/>
      <c r="D745"/>
    </row>
    <row r="746" spans="1:7">
      <c r="A746"/>
      <c r="B746"/>
      <c r="C746"/>
      <c r="D746"/>
    </row>
    <row r="747" spans="1:7">
      <c r="A747"/>
      <c r="B747"/>
      <c r="C747"/>
      <c r="D747"/>
    </row>
    <row r="748" spans="1:7">
      <c r="A748"/>
      <c r="B748"/>
      <c r="C748"/>
      <c r="D748"/>
    </row>
    <row r="749" spans="1:7">
      <c r="A749"/>
      <c r="B749"/>
      <c r="C749"/>
      <c r="D749"/>
    </row>
    <row r="750" spans="1:7">
      <c r="A750"/>
      <c r="B750"/>
      <c r="C750"/>
      <c r="D750"/>
    </row>
    <row r="751" spans="1:7">
      <c r="A751"/>
      <c r="B751"/>
      <c r="C751"/>
      <c r="D751"/>
    </row>
    <row r="752" spans="1:7">
      <c r="A752"/>
      <c r="B752"/>
      <c r="C752"/>
      <c r="D752"/>
    </row>
    <row r="753" spans="1:4">
      <c r="A753"/>
      <c r="B753"/>
      <c r="C753"/>
      <c r="D753"/>
    </row>
    <row r="754" spans="1:4">
      <c r="A754"/>
      <c r="B754"/>
      <c r="C754"/>
      <c r="D754"/>
    </row>
    <row r="755" spans="1:4">
      <c r="A755"/>
      <c r="B755"/>
      <c r="C755"/>
      <c r="D755"/>
    </row>
    <row r="756" spans="1:4">
      <c r="A756"/>
      <c r="B756"/>
      <c r="C756"/>
      <c r="D756"/>
    </row>
    <row r="757" spans="1:4">
      <c r="A757"/>
      <c r="B757"/>
      <c r="C757"/>
      <c r="D757"/>
    </row>
    <row r="758" spans="1:4">
      <c r="A758"/>
      <c r="B758"/>
      <c r="C758"/>
      <c r="D758"/>
    </row>
    <row r="759" spans="1:4">
      <c r="A759"/>
      <c r="B759"/>
      <c r="C759"/>
      <c r="D759"/>
    </row>
    <row r="760" spans="1:4">
      <c r="A760"/>
      <c r="B760"/>
      <c r="C760"/>
      <c r="D760"/>
    </row>
    <row r="761" spans="1:4">
      <c r="A761"/>
      <c r="B761"/>
      <c r="C761"/>
      <c r="D761"/>
    </row>
    <row r="762" spans="1:4">
      <c r="A762"/>
      <c r="B762"/>
      <c r="C762"/>
      <c r="D762"/>
    </row>
    <row r="763" spans="1:4">
      <c r="A763"/>
      <c r="B763"/>
      <c r="C763"/>
      <c r="D763"/>
    </row>
    <row r="764" spans="1:4">
      <c r="A764"/>
      <c r="B764"/>
      <c r="C764"/>
      <c r="D764"/>
    </row>
    <row r="765" spans="1:4">
      <c r="A765"/>
      <c r="B765"/>
      <c r="C765"/>
      <c r="D765"/>
    </row>
    <row r="766" spans="1:4">
      <c r="A766"/>
      <c r="B766"/>
      <c r="C766"/>
      <c r="D766"/>
    </row>
    <row r="767" spans="1:4">
      <c r="A767"/>
      <c r="B767"/>
      <c r="C767"/>
      <c r="D767"/>
    </row>
    <row r="768" spans="1:4">
      <c r="A768"/>
      <c r="B768"/>
      <c r="C768"/>
      <c r="D768"/>
    </row>
    <row r="769" spans="1:4">
      <c r="A769"/>
      <c r="B769"/>
      <c r="C769"/>
      <c r="D769"/>
    </row>
    <row r="770" spans="1:4">
      <c r="A770"/>
      <c r="B770"/>
      <c r="C770"/>
      <c r="D770"/>
    </row>
    <row r="771" spans="1:4">
      <c r="A771"/>
      <c r="B771"/>
      <c r="C771"/>
      <c r="D771"/>
    </row>
    <row r="772" spans="1:4">
      <c r="A772"/>
      <c r="B772"/>
      <c r="C772"/>
      <c r="D772"/>
    </row>
    <row r="773" spans="1:4">
      <c r="A773"/>
      <c r="B773"/>
      <c r="C773"/>
      <c r="D773"/>
    </row>
    <row r="774" spans="1:4">
      <c r="A774"/>
      <c r="B774"/>
      <c r="C774"/>
      <c r="D774"/>
    </row>
    <row r="775" spans="1:4">
      <c r="A775"/>
      <c r="B775"/>
      <c r="C775"/>
      <c r="D775"/>
    </row>
    <row r="776" spans="1:4">
      <c r="A776"/>
      <c r="B776"/>
      <c r="C776"/>
      <c r="D776"/>
    </row>
    <row r="777" spans="1:4">
      <c r="A777"/>
      <c r="B777"/>
      <c r="C777"/>
      <c r="D777"/>
    </row>
    <row r="778" spans="1:4">
      <c r="A778"/>
      <c r="B778"/>
      <c r="C778"/>
      <c r="D778"/>
    </row>
    <row r="779" spans="1:4">
      <c r="A779"/>
      <c r="B779"/>
      <c r="C779"/>
      <c r="D779"/>
    </row>
    <row r="780" spans="1:4">
      <c r="A780"/>
      <c r="B780"/>
      <c r="C780"/>
      <c r="D780"/>
    </row>
    <row r="781" spans="1:4">
      <c r="A781"/>
      <c r="B781"/>
      <c r="C781"/>
      <c r="D781"/>
    </row>
    <row r="782" spans="1:4">
      <c r="A782"/>
      <c r="B782"/>
      <c r="C782"/>
      <c r="D782"/>
    </row>
    <row r="783" spans="1:4">
      <c r="A783"/>
      <c r="B783"/>
      <c r="C783"/>
      <c r="D783"/>
    </row>
    <row r="784" spans="1:4">
      <c r="A784"/>
      <c r="B784"/>
      <c r="C784"/>
      <c r="D784"/>
    </row>
    <row r="785" spans="1:4">
      <c r="A785"/>
      <c r="B785"/>
      <c r="C785"/>
      <c r="D785"/>
    </row>
    <row r="786" spans="1:4">
      <c r="A786"/>
      <c r="B786"/>
      <c r="C786"/>
      <c r="D786"/>
    </row>
    <row r="787" spans="1:4">
      <c r="A787"/>
      <c r="B787"/>
      <c r="C787"/>
      <c r="D787"/>
    </row>
    <row r="788" spans="1:4">
      <c r="A788"/>
      <c r="B788"/>
      <c r="C788"/>
      <c r="D788"/>
    </row>
    <row r="789" spans="1:4">
      <c r="A789"/>
      <c r="B789"/>
      <c r="C789"/>
      <c r="D789"/>
    </row>
    <row r="790" spans="1:4">
      <c r="A790"/>
      <c r="B790"/>
      <c r="C790"/>
      <c r="D790"/>
    </row>
    <row r="791" spans="1:4">
      <c r="A791"/>
      <c r="B791"/>
      <c r="C791"/>
      <c r="D791"/>
    </row>
    <row r="792" spans="1:4">
      <c r="A792"/>
      <c r="B792"/>
      <c r="C792"/>
      <c r="D792"/>
    </row>
    <row r="793" spans="1:4">
      <c r="A793"/>
      <c r="B793"/>
      <c r="C793"/>
      <c r="D793"/>
    </row>
    <row r="794" spans="1:4">
      <c r="A794"/>
      <c r="B794"/>
      <c r="C794"/>
      <c r="D794"/>
    </row>
    <row r="795" spans="1:4">
      <c r="A795"/>
      <c r="B795"/>
      <c r="C795"/>
      <c r="D795"/>
    </row>
    <row r="796" spans="1:4">
      <c r="A796"/>
      <c r="B796"/>
      <c r="C796"/>
      <c r="D796"/>
    </row>
    <row r="797" spans="1:4">
      <c r="A797"/>
      <c r="B797"/>
      <c r="C797"/>
      <c r="D797"/>
    </row>
    <row r="798" spans="1:4">
      <c r="A798"/>
      <c r="B798"/>
      <c r="C798"/>
      <c r="D798"/>
    </row>
    <row r="799" spans="1:4">
      <c r="A799"/>
      <c r="B799"/>
      <c r="C799"/>
      <c r="D799"/>
    </row>
    <row r="800" spans="1:4">
      <c r="A800"/>
      <c r="B800"/>
      <c r="C800"/>
      <c r="D800"/>
    </row>
    <row r="801" spans="1:4">
      <c r="A801"/>
      <c r="B801"/>
      <c r="C801"/>
      <c r="D801"/>
    </row>
    <row r="802" spans="1:4">
      <c r="A802"/>
      <c r="B802"/>
      <c r="C802"/>
      <c r="D802"/>
    </row>
    <row r="803" spans="1:4">
      <c r="A803"/>
      <c r="B803"/>
      <c r="C803"/>
      <c r="D803"/>
    </row>
    <row r="804" spans="1:4">
      <c r="A804"/>
      <c r="B804"/>
      <c r="C804"/>
      <c r="D804"/>
    </row>
    <row r="805" spans="1:4">
      <c r="A805"/>
      <c r="B805"/>
      <c r="C805"/>
      <c r="D805"/>
    </row>
    <row r="806" spans="1:4">
      <c r="A806"/>
      <c r="B806"/>
      <c r="C806"/>
      <c r="D806"/>
    </row>
    <row r="807" spans="1:4">
      <c r="A807"/>
      <c r="B807"/>
      <c r="C807"/>
      <c r="D807"/>
    </row>
    <row r="808" spans="1:4">
      <c r="A808"/>
      <c r="B808"/>
      <c r="C808"/>
      <c r="D808"/>
    </row>
    <row r="809" spans="1:4">
      <c r="A809"/>
      <c r="B809"/>
      <c r="C809"/>
      <c r="D809"/>
    </row>
    <row r="810" spans="1:4">
      <c r="A810"/>
      <c r="B810"/>
      <c r="C810"/>
      <c r="D810"/>
    </row>
    <row r="811" spans="1:4">
      <c r="A811"/>
      <c r="B811"/>
      <c r="C811"/>
      <c r="D811"/>
    </row>
    <row r="812" spans="1:4">
      <c r="A812"/>
      <c r="B812"/>
      <c r="C812"/>
      <c r="D812"/>
    </row>
    <row r="813" spans="1:4">
      <c r="A813"/>
      <c r="B813"/>
      <c r="C813"/>
      <c r="D813"/>
    </row>
    <row r="814" spans="1:4">
      <c r="A814"/>
      <c r="B814"/>
      <c r="C814"/>
      <c r="D814"/>
    </row>
    <row r="815" spans="1:4">
      <c r="A815"/>
      <c r="B815"/>
      <c r="C815"/>
      <c r="D815"/>
    </row>
    <row r="816" spans="1:4">
      <c r="A816"/>
      <c r="B816"/>
      <c r="C816"/>
      <c r="D816"/>
    </row>
    <row r="817" spans="1:4">
      <c r="A817"/>
      <c r="B817"/>
      <c r="C817"/>
      <c r="D817"/>
    </row>
    <row r="818" spans="1:4">
      <c r="A818"/>
      <c r="B818"/>
      <c r="C818"/>
      <c r="D818"/>
    </row>
    <row r="819" spans="1:4">
      <c r="A819"/>
      <c r="B819"/>
      <c r="C819"/>
      <c r="D819"/>
    </row>
    <row r="820" spans="1:4">
      <c r="A820"/>
      <c r="B820"/>
      <c r="C820"/>
      <c r="D820"/>
    </row>
    <row r="821" spans="1:4">
      <c r="A821"/>
      <c r="B821"/>
      <c r="C821"/>
      <c r="D821"/>
    </row>
    <row r="822" spans="1:4">
      <c r="A822"/>
      <c r="B822"/>
      <c r="C822"/>
      <c r="D822"/>
    </row>
    <row r="823" spans="1:4">
      <c r="A823"/>
      <c r="B823"/>
      <c r="C823"/>
      <c r="D823"/>
    </row>
    <row r="824" spans="1:4">
      <c r="A824"/>
      <c r="B824"/>
      <c r="C824"/>
      <c r="D824"/>
    </row>
    <row r="825" spans="1:4">
      <c r="A825"/>
      <c r="B825"/>
      <c r="C825"/>
      <c r="D825"/>
    </row>
    <row r="826" spans="1:4">
      <c r="A826"/>
      <c r="B826"/>
      <c r="C826"/>
      <c r="D826"/>
    </row>
    <row r="827" spans="1:4">
      <c r="A827"/>
      <c r="B827"/>
      <c r="C827"/>
      <c r="D827"/>
    </row>
    <row r="828" spans="1:4">
      <c r="A828"/>
      <c r="B828"/>
      <c r="C828"/>
      <c r="D828"/>
    </row>
    <row r="829" spans="1:4">
      <c r="A829"/>
      <c r="B829"/>
      <c r="C829"/>
      <c r="D829"/>
    </row>
    <row r="830" spans="1:4">
      <c r="A830"/>
      <c r="B830"/>
      <c r="C830"/>
      <c r="D830"/>
    </row>
    <row r="831" spans="1:4">
      <c r="A831"/>
      <c r="B831"/>
      <c r="C831"/>
      <c r="D831"/>
    </row>
    <row r="832" spans="1:4">
      <c r="A832"/>
      <c r="B832"/>
      <c r="C832"/>
      <c r="D832"/>
    </row>
    <row r="833" spans="1:4">
      <c r="A833"/>
      <c r="B833"/>
      <c r="C833"/>
      <c r="D833"/>
    </row>
    <row r="834" spans="1:4">
      <c r="A834"/>
      <c r="B834"/>
      <c r="C834"/>
      <c r="D834"/>
    </row>
    <row r="835" spans="1:4">
      <c r="A835"/>
      <c r="B835"/>
      <c r="C835"/>
      <c r="D835"/>
    </row>
    <row r="836" spans="1:4">
      <c r="A836"/>
      <c r="B836"/>
      <c r="C836"/>
      <c r="D836"/>
    </row>
    <row r="837" spans="1:4">
      <c r="A837"/>
      <c r="B837"/>
      <c r="C837"/>
      <c r="D837"/>
    </row>
    <row r="838" spans="1:4">
      <c r="A838"/>
      <c r="B838"/>
      <c r="C838"/>
      <c r="D838"/>
    </row>
    <row r="839" spans="1:4">
      <c r="A839"/>
      <c r="B839"/>
      <c r="C839"/>
      <c r="D839"/>
    </row>
    <row r="840" spans="1:4">
      <c r="A840"/>
      <c r="B840"/>
      <c r="C840"/>
      <c r="D840"/>
    </row>
    <row r="841" spans="1:4">
      <c r="A841"/>
      <c r="B841"/>
      <c r="C841"/>
      <c r="D841"/>
    </row>
    <row r="842" spans="1:4">
      <c r="A842"/>
      <c r="B842"/>
      <c r="C842"/>
      <c r="D842"/>
    </row>
    <row r="843" spans="1:4">
      <c r="A843"/>
      <c r="B843"/>
      <c r="C843"/>
      <c r="D843"/>
    </row>
    <row r="844" spans="1:4">
      <c r="A844"/>
      <c r="B844"/>
      <c r="C844"/>
      <c r="D844"/>
    </row>
    <row r="845" spans="1:4">
      <c r="B845" s="32"/>
    </row>
    <row r="846" spans="1:4">
      <c r="B846" s="32"/>
    </row>
    <row r="847" spans="1:4">
      <c r="B847" s="32"/>
    </row>
    <row r="848" spans="1:4">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row r="1569" spans="2:2">
      <c r="B1569" s="32"/>
    </row>
  </sheetData>
  <pageMargins left="0.7" right="0.7" top="0.75" bottom="0.75" header="0.3" footer="0.3"/>
  <pageSetup scale="87" fitToHeight="5" orientation="portrait" horizontalDpi="1200" verticalDpi="1200"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3065-E1D5-43A9-A91A-2190C6F52AFF}">
  <sheetPr>
    <tabColor rgb="FFFFFF00"/>
    <pageSetUpPr fitToPage="1"/>
  </sheetPr>
  <dimension ref="A1:J1568"/>
  <sheetViews>
    <sheetView zoomScale="140" zoomScaleNormal="140" workbookViewId="0">
      <selection activeCell="A19" sqref="A19"/>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9" width="12" customWidth="1"/>
    <col min="10"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10" ht="23.45" customHeight="1">
      <c r="A1" s="166" t="str">
        <f>CONCATENATE("FAC25. ",B2," - IT Service Demand")</f>
        <v>FAC25. AV - IT Service Demand</v>
      </c>
      <c r="B1" s="166"/>
      <c r="C1" s="166"/>
      <c r="D1" s="32"/>
      <c r="E1" s="32"/>
      <c r="F1" s="32"/>
      <c r="I1">
        <v>25</v>
      </c>
      <c r="J1" t="s">
        <v>438</v>
      </c>
    </row>
    <row r="2" spans="1:10">
      <c r="A2" s="56" t="s">
        <v>0</v>
      </c>
      <c r="B2" t="s">
        <v>110</v>
      </c>
      <c r="I2">
        <v>1</v>
      </c>
      <c r="J2" t="s">
        <v>439</v>
      </c>
    </row>
    <row r="3" spans="1:10">
      <c r="A3" s="56" t="s">
        <v>11</v>
      </c>
      <c r="B3" t="s">
        <v>222</v>
      </c>
      <c r="I3">
        <v>4</v>
      </c>
      <c r="J3" t="s">
        <v>440</v>
      </c>
    </row>
    <row r="4" spans="1:10">
      <c r="A4" s="56" t="s">
        <v>2</v>
      </c>
      <c r="B4" t="s">
        <v>222</v>
      </c>
      <c r="I4">
        <v>1</v>
      </c>
      <c r="J4" t="s">
        <v>441</v>
      </c>
    </row>
    <row r="6" spans="1:10">
      <c r="A6" s="76" t="s">
        <v>218</v>
      </c>
      <c r="B6" s="104" t="s">
        <v>428</v>
      </c>
      <c r="C6"/>
      <c r="D6"/>
      <c r="E6"/>
      <c r="F6"/>
      <c r="G6"/>
    </row>
    <row r="7" spans="1:10">
      <c r="A7" s="43" t="s">
        <v>208</v>
      </c>
      <c r="B7" s="61">
        <v>114</v>
      </c>
      <c r="C7"/>
      <c r="D7"/>
      <c r="E7"/>
      <c r="F7"/>
      <c r="G7"/>
    </row>
    <row r="8" spans="1:10">
      <c r="A8" s="58" t="s">
        <v>134</v>
      </c>
      <c r="B8" s="61">
        <v>1</v>
      </c>
      <c r="C8"/>
      <c r="D8"/>
      <c r="E8"/>
      <c r="F8"/>
      <c r="G8"/>
    </row>
    <row r="9" spans="1:10">
      <c r="A9" s="58" t="s">
        <v>111</v>
      </c>
      <c r="B9" s="61">
        <v>5</v>
      </c>
      <c r="C9"/>
      <c r="D9"/>
      <c r="E9"/>
      <c r="F9"/>
      <c r="G9"/>
    </row>
    <row r="10" spans="1:10">
      <c r="A10" s="58" t="s">
        <v>59</v>
      </c>
      <c r="B10" s="61">
        <v>21</v>
      </c>
      <c r="C10"/>
      <c r="D10"/>
      <c r="E10"/>
      <c r="F10"/>
      <c r="G10"/>
    </row>
    <row r="11" spans="1:10">
      <c r="A11" s="58" t="s">
        <v>282</v>
      </c>
      <c r="B11" s="61">
        <v>75</v>
      </c>
      <c r="C11"/>
      <c r="D11"/>
      <c r="E11"/>
      <c r="F11"/>
      <c r="G11"/>
    </row>
    <row r="12" spans="1:10">
      <c r="A12" s="58" t="s">
        <v>273</v>
      </c>
      <c r="B12" s="61">
        <v>2</v>
      </c>
      <c r="C12"/>
      <c r="D12"/>
      <c r="E12"/>
      <c r="F12"/>
      <c r="G12"/>
    </row>
    <row r="13" spans="1:10">
      <c r="A13" s="58" t="s">
        <v>340</v>
      </c>
      <c r="B13" s="61">
        <v>10</v>
      </c>
      <c r="C13"/>
      <c r="D13"/>
      <c r="E13"/>
      <c r="F13"/>
      <c r="G13"/>
    </row>
    <row r="14" spans="1:10">
      <c r="A14" s="43" t="s">
        <v>202</v>
      </c>
      <c r="B14" s="61">
        <v>114</v>
      </c>
      <c r="C14"/>
      <c r="D14"/>
      <c r="E14"/>
      <c r="F14"/>
      <c r="G14"/>
    </row>
    <row r="15" spans="1:10">
      <c r="A15"/>
      <c r="B15"/>
      <c r="C15"/>
      <c r="D15"/>
      <c r="E15"/>
      <c r="F15"/>
      <c r="G15"/>
    </row>
    <row r="16" spans="1:10">
      <c r="A16"/>
      <c r="B16"/>
      <c r="C16"/>
      <c r="D16"/>
      <c r="E16"/>
      <c r="F16"/>
      <c r="G1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3:3" customFormat="1"/>
    <row r="82" spans="3:3" customFormat="1"/>
    <row r="83" spans="3:3" customFormat="1">
      <c r="C83" s="60"/>
    </row>
    <row r="84" spans="3:3" customFormat="1">
      <c r="C84" s="60"/>
    </row>
    <row r="85" spans="3:3" customFormat="1">
      <c r="C85" s="60"/>
    </row>
    <row r="86" spans="3:3" customFormat="1">
      <c r="C86" s="60"/>
    </row>
    <row r="87" spans="3:3" customFormat="1">
      <c r="C87" s="60"/>
    </row>
    <row r="88" spans="3:3" customFormat="1">
      <c r="C88" s="60"/>
    </row>
    <row r="89" spans="3:3" customFormat="1">
      <c r="C89" s="60"/>
    </row>
    <row r="90" spans="3:3" customFormat="1">
      <c r="C90" s="60"/>
    </row>
    <row r="91" spans="3:3" customFormat="1">
      <c r="C91" s="60"/>
    </row>
    <row r="92" spans="3:3" customFormat="1">
      <c r="C92" s="60"/>
    </row>
    <row r="93" spans="3:3" customFormat="1">
      <c r="C93" s="60"/>
    </row>
    <row r="94" spans="3:3" customFormat="1">
      <c r="C94" s="60"/>
    </row>
    <row r="95" spans="3:3" customFormat="1">
      <c r="C95" s="60"/>
    </row>
    <row r="96" spans="3:3" customFormat="1">
      <c r="C96" s="60"/>
    </row>
    <row r="97" spans="3:3" customFormat="1">
      <c r="C97" s="60"/>
    </row>
    <row r="98" spans="3:3" customFormat="1"/>
    <row r="99" spans="3:3" customFormat="1"/>
    <row r="100" spans="3:3" customFormat="1"/>
    <row r="101" spans="3:3" customFormat="1"/>
    <row r="102" spans="3:3" customFormat="1"/>
    <row r="103" spans="3:3" customFormat="1"/>
    <row r="104" spans="3:3" customFormat="1"/>
    <row r="105" spans="3:3" customFormat="1"/>
    <row r="106" spans="3:3" customFormat="1"/>
    <row r="107" spans="3:3" customFormat="1"/>
    <row r="108" spans="3:3" customFormat="1"/>
    <row r="109" spans="3:3" customFormat="1"/>
    <row r="110" spans="3:3" customFormat="1"/>
    <row r="111" spans="3:3" customFormat="1"/>
    <row r="112" spans="3:3"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spans="3:3" customFormat="1"/>
    <row r="210" spans="3:3" customFormat="1"/>
    <row r="211" spans="3:3" customFormat="1"/>
    <row r="212" spans="3:3" customFormat="1"/>
    <row r="213" spans="3:3" customFormat="1"/>
    <row r="214" spans="3:3" customFormat="1"/>
    <row r="215" spans="3:3" customFormat="1"/>
    <row r="216" spans="3:3" customFormat="1">
      <c r="C216">
        <v>2</v>
      </c>
    </row>
    <row r="217" spans="3:3" customFormat="1"/>
    <row r="218" spans="3:3" customFormat="1"/>
    <row r="219" spans="3:3" customFormat="1">
      <c r="C219">
        <v>0</v>
      </c>
    </row>
    <row r="220" spans="3:3" customFormat="1"/>
    <row r="221" spans="3:3" customFormat="1"/>
    <row r="222" spans="3:3" customFormat="1"/>
    <row r="223" spans="3:3" customFormat="1">
      <c r="C223">
        <v>0</v>
      </c>
    </row>
    <row r="224" spans="3:3" customFormat="1"/>
    <row r="225" spans="3:3" customFormat="1">
      <c r="C225">
        <v>0</v>
      </c>
    </row>
    <row r="226" spans="3:3" customFormat="1">
      <c r="C226">
        <v>0</v>
      </c>
    </row>
    <row r="227" spans="3:3" customFormat="1">
      <c r="C227">
        <v>0</v>
      </c>
    </row>
    <row r="228" spans="3:3" customFormat="1"/>
    <row r="229" spans="3:3" customFormat="1"/>
    <row r="230" spans="3:3" customFormat="1"/>
    <row r="231" spans="3:3" customFormat="1">
      <c r="C231">
        <v>2</v>
      </c>
    </row>
    <row r="232" spans="3:3" customFormat="1"/>
    <row r="233" spans="3:3" customFormat="1">
      <c r="C233">
        <v>4</v>
      </c>
    </row>
    <row r="234" spans="3:3" customFormat="1"/>
    <row r="235" spans="3:3" customFormat="1"/>
    <row r="236" spans="3:3" customFormat="1"/>
    <row r="237" spans="3:3" customFormat="1">
      <c r="C237">
        <v>1</v>
      </c>
    </row>
    <row r="238" spans="3:3" customFormat="1"/>
    <row r="239" spans="3:3" customFormat="1">
      <c r="C239">
        <v>1</v>
      </c>
    </row>
    <row r="240" spans="3:3" customFormat="1"/>
    <row r="241" spans="3:3" customFormat="1"/>
    <row r="242" spans="3:3" customFormat="1">
      <c r="C242">
        <v>1</v>
      </c>
    </row>
    <row r="243" spans="3:3" customFormat="1"/>
    <row r="244" spans="3:3" customFormat="1">
      <c r="C244">
        <v>1</v>
      </c>
    </row>
    <row r="245" spans="3:3" customFormat="1"/>
    <row r="246" spans="3:3" customFormat="1"/>
    <row r="247" spans="3:3" customFormat="1">
      <c r="C247">
        <v>1</v>
      </c>
    </row>
    <row r="248" spans="3:3" customFormat="1"/>
    <row r="249" spans="3:3" customFormat="1">
      <c r="C249">
        <v>2</v>
      </c>
    </row>
    <row r="250" spans="3:3" customFormat="1"/>
    <row r="251" spans="3:3" customFormat="1"/>
    <row r="252" spans="3:3" customFormat="1">
      <c r="C252">
        <v>2</v>
      </c>
    </row>
    <row r="253" spans="3:3" customFormat="1"/>
    <row r="254" spans="3:3" customFormat="1">
      <c r="C254">
        <v>1</v>
      </c>
    </row>
    <row r="255" spans="3:3" customFormat="1"/>
    <row r="256" spans="3:3" customFormat="1">
      <c r="C256">
        <v>1</v>
      </c>
    </row>
    <row r="257" spans="3:3" customFormat="1"/>
    <row r="258" spans="3:3" customFormat="1"/>
    <row r="259" spans="3:3" customFormat="1">
      <c r="C259">
        <v>1</v>
      </c>
    </row>
    <row r="260" spans="3:3" customFormat="1"/>
    <row r="261" spans="3:3" customFormat="1"/>
    <row r="262" spans="3:3" customFormat="1">
      <c r="C262">
        <v>1</v>
      </c>
    </row>
    <row r="263" spans="3:3" customFormat="1"/>
    <row r="264" spans="3:3" customFormat="1"/>
    <row r="265" spans="3:3" customFormat="1">
      <c r="C265">
        <v>2</v>
      </c>
    </row>
    <row r="266" spans="3:3" customFormat="1"/>
    <row r="267" spans="3:3" customFormat="1"/>
    <row r="268" spans="3:3" customFormat="1">
      <c r="C268">
        <v>11</v>
      </c>
    </row>
    <row r="269" spans="3:3" customFormat="1"/>
    <row r="270" spans="3:3" customFormat="1"/>
    <row r="271" spans="3:3" customFormat="1"/>
    <row r="272" spans="3:3"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spans="1:1" customFormat="1"/>
    <row r="434" spans="1:1" customFormat="1"/>
    <row r="435" spans="1:1" customFormat="1"/>
    <row r="436" spans="1:1" customFormat="1"/>
    <row r="437" spans="1:1" customFormat="1"/>
    <row r="438" spans="1:1" customFormat="1"/>
    <row r="439" spans="1:1" customFormat="1"/>
    <row r="440" spans="1:1" customFormat="1"/>
    <row r="441" spans="1:1" customFormat="1"/>
    <row r="442" spans="1:1" customFormat="1"/>
    <row r="443" spans="1:1" customFormat="1"/>
    <row r="444" spans="1:1" customFormat="1">
      <c r="A444" s="43"/>
    </row>
    <row r="445" spans="1:1" customFormat="1">
      <c r="A445" s="43"/>
    </row>
    <row r="446" spans="1:1" customFormat="1">
      <c r="A446" s="43"/>
    </row>
    <row r="447" spans="1:1" customFormat="1">
      <c r="A447" s="43"/>
    </row>
    <row r="448" spans="1:1" customFormat="1">
      <c r="A448" s="43"/>
    </row>
    <row r="449" spans="1:1" customFormat="1">
      <c r="A449" s="43"/>
    </row>
    <row r="450" spans="1:1" customFormat="1">
      <c r="A450" s="43"/>
    </row>
    <row r="451" spans="1:1" customFormat="1">
      <c r="A451" s="43"/>
    </row>
    <row r="452" spans="1:1" customFormat="1">
      <c r="A452" s="43"/>
    </row>
    <row r="453" spans="1:1" customFormat="1">
      <c r="A453" s="43"/>
    </row>
    <row r="454" spans="1:1" customFormat="1">
      <c r="A454" s="43"/>
    </row>
    <row r="455" spans="1:1" customFormat="1">
      <c r="A455" s="43"/>
    </row>
    <row r="456" spans="1:1" customFormat="1">
      <c r="A456" s="43"/>
    </row>
    <row r="457" spans="1:1" customFormat="1">
      <c r="A457" s="43"/>
    </row>
    <row r="458" spans="1:1" customFormat="1">
      <c r="A458" s="43"/>
    </row>
    <row r="459" spans="1:1" customFormat="1">
      <c r="A459" s="43"/>
    </row>
    <row r="460" spans="1:1" customFormat="1">
      <c r="A460" s="43"/>
    </row>
    <row r="461" spans="1:1" customFormat="1">
      <c r="A461" s="43"/>
    </row>
    <row r="462" spans="1:1" customFormat="1">
      <c r="A462" s="43"/>
    </row>
    <row r="463" spans="1:1" customFormat="1">
      <c r="A463" s="43"/>
    </row>
    <row r="464" spans="1:1" customFormat="1">
      <c r="A464" s="43"/>
    </row>
    <row r="465" spans="1:1" customFormat="1">
      <c r="A465" s="43"/>
    </row>
    <row r="466" spans="1:1" customFormat="1">
      <c r="A466" s="43"/>
    </row>
    <row r="467" spans="1:1" customFormat="1">
      <c r="A467" s="43"/>
    </row>
    <row r="468" spans="1:1" customFormat="1">
      <c r="A468" s="43"/>
    </row>
    <row r="469" spans="1:1" customFormat="1">
      <c r="A469" s="43"/>
    </row>
    <row r="470" spans="1:1" customFormat="1">
      <c r="A470" s="43"/>
    </row>
    <row r="471" spans="1:1" customFormat="1">
      <c r="A471" s="43"/>
    </row>
    <row r="472" spans="1:1" customFormat="1">
      <c r="A472" s="43"/>
    </row>
    <row r="473" spans="1:1" customFormat="1">
      <c r="A473" s="43"/>
    </row>
    <row r="474" spans="1:1" customFormat="1">
      <c r="A474" s="43"/>
    </row>
    <row r="475" spans="1:1" customFormat="1">
      <c r="A475" s="43"/>
    </row>
    <row r="476" spans="1:1" customFormat="1">
      <c r="A476" s="43"/>
    </row>
    <row r="477" spans="1:1" customFormat="1">
      <c r="A477" s="43"/>
    </row>
    <row r="478" spans="1:1" customFormat="1">
      <c r="A478" s="43"/>
    </row>
    <row r="479" spans="1:1" customFormat="1">
      <c r="A479" s="43"/>
    </row>
    <row r="480" spans="1:1" customFormat="1">
      <c r="A480" s="43"/>
    </row>
    <row r="481" spans="1:1" customFormat="1">
      <c r="A481" s="43"/>
    </row>
    <row r="482" spans="1:1" customFormat="1">
      <c r="A482" s="43"/>
    </row>
    <row r="483" spans="1:1" customFormat="1">
      <c r="A483" s="43"/>
    </row>
    <row r="484" spans="1:1" customFormat="1">
      <c r="A484" s="43"/>
    </row>
    <row r="485" spans="1:1" customFormat="1">
      <c r="A485" s="43"/>
    </row>
    <row r="486" spans="1:1" customFormat="1">
      <c r="A486" s="43"/>
    </row>
    <row r="487" spans="1:1" customFormat="1">
      <c r="A487" s="43"/>
    </row>
    <row r="488" spans="1:1" customFormat="1">
      <c r="A488" s="43"/>
    </row>
    <row r="489" spans="1:1" customFormat="1">
      <c r="A489" s="43"/>
    </row>
    <row r="490" spans="1:1" customFormat="1">
      <c r="A490" s="43"/>
    </row>
    <row r="491" spans="1:1" customFormat="1">
      <c r="A491" s="43"/>
    </row>
    <row r="492" spans="1:1" customFormat="1">
      <c r="A492" s="43"/>
    </row>
    <row r="493" spans="1:1" customFormat="1">
      <c r="A493" s="43"/>
    </row>
    <row r="494" spans="1:1" customFormat="1">
      <c r="A494" s="43"/>
    </row>
    <row r="495" spans="1:1" customFormat="1">
      <c r="A495" s="43"/>
    </row>
    <row r="496" spans="1:1" customFormat="1">
      <c r="A496" s="43"/>
    </row>
    <row r="497" spans="1:1" customFormat="1">
      <c r="A497" s="43"/>
    </row>
    <row r="498" spans="1:1" customFormat="1">
      <c r="A498" s="43"/>
    </row>
    <row r="499" spans="1:1" customFormat="1">
      <c r="A499" s="43"/>
    </row>
    <row r="500" spans="1:1" customFormat="1">
      <c r="A500" s="43"/>
    </row>
    <row r="501" spans="1:1" customFormat="1">
      <c r="A501" s="43"/>
    </row>
    <row r="502" spans="1:1" customFormat="1">
      <c r="A502" s="43"/>
    </row>
    <row r="503" spans="1:1" customFormat="1">
      <c r="A503" s="43"/>
    </row>
    <row r="504" spans="1:1" customFormat="1">
      <c r="A504" s="43"/>
    </row>
    <row r="505" spans="1:1" customFormat="1">
      <c r="A505" s="43"/>
    </row>
    <row r="506" spans="1:1" customFormat="1">
      <c r="A506" s="43"/>
    </row>
    <row r="507" spans="1:1" customFormat="1">
      <c r="A507" s="43"/>
    </row>
    <row r="508" spans="1:1" customFormat="1">
      <c r="A508" s="43"/>
    </row>
    <row r="509" spans="1:1" customFormat="1">
      <c r="A509" s="43"/>
    </row>
    <row r="510" spans="1:1" customFormat="1">
      <c r="A510" s="43"/>
    </row>
    <row r="511" spans="1:1" customFormat="1">
      <c r="A511" s="43"/>
    </row>
    <row r="512" spans="1:1" customFormat="1">
      <c r="A512" s="43"/>
    </row>
    <row r="513" spans="1:1" customFormat="1">
      <c r="A513" s="43"/>
    </row>
    <row r="514" spans="1:1" customFormat="1">
      <c r="A514" s="43"/>
    </row>
    <row r="515" spans="1:1" customFormat="1">
      <c r="A515" s="43"/>
    </row>
    <row r="516" spans="1:1" customFormat="1">
      <c r="A516" s="43"/>
    </row>
    <row r="517" spans="1:1" customFormat="1">
      <c r="A517" s="43"/>
    </row>
    <row r="518" spans="1:1" customFormat="1">
      <c r="A518" s="43"/>
    </row>
    <row r="519" spans="1:1" customFormat="1">
      <c r="A519" s="43"/>
    </row>
    <row r="520" spans="1:1" customFormat="1">
      <c r="A520" s="43"/>
    </row>
    <row r="521" spans="1:1" customFormat="1">
      <c r="A521" s="43"/>
    </row>
    <row r="522" spans="1:1" customFormat="1">
      <c r="A522" s="43"/>
    </row>
    <row r="523" spans="1:1" customFormat="1">
      <c r="A523" s="43"/>
    </row>
    <row r="524" spans="1:1" customFormat="1">
      <c r="A524" s="43"/>
    </row>
    <row r="525" spans="1:1" customFormat="1">
      <c r="A525" s="43"/>
    </row>
    <row r="526" spans="1:1" customFormat="1">
      <c r="A526" s="43"/>
    </row>
    <row r="527" spans="1:1" customFormat="1">
      <c r="A527" s="43"/>
    </row>
    <row r="528" spans="1:1" customFormat="1">
      <c r="A528" s="43"/>
    </row>
    <row r="529" spans="1:1" customFormat="1">
      <c r="A529" s="43"/>
    </row>
    <row r="530" spans="1:1" customFormat="1">
      <c r="A530" s="43"/>
    </row>
    <row r="531" spans="1:1" customFormat="1">
      <c r="A531" s="43"/>
    </row>
    <row r="532" spans="1:1" customFormat="1">
      <c r="A532" s="43"/>
    </row>
    <row r="533" spans="1:1" customFormat="1">
      <c r="A533" s="43"/>
    </row>
    <row r="534" spans="1:1" customFormat="1">
      <c r="A534" s="43"/>
    </row>
    <row r="535" spans="1:1" customFormat="1">
      <c r="A535" s="43"/>
    </row>
    <row r="536" spans="1:1" customFormat="1">
      <c r="A536" s="43"/>
    </row>
    <row r="537" spans="1:1" customFormat="1">
      <c r="A537" s="43"/>
    </row>
    <row r="538" spans="1:1" customFormat="1">
      <c r="A538" s="43"/>
    </row>
    <row r="539" spans="1:1" customFormat="1">
      <c r="A539" s="43"/>
    </row>
    <row r="540" spans="1:1" customFormat="1">
      <c r="A540" s="43"/>
    </row>
    <row r="541" spans="1:1" customFormat="1">
      <c r="A541" s="43"/>
    </row>
    <row r="542" spans="1:1" customFormat="1">
      <c r="A542" s="43"/>
    </row>
    <row r="543" spans="1:1" customFormat="1">
      <c r="A543" s="43"/>
    </row>
    <row r="544" spans="1:1" customFormat="1">
      <c r="A544" s="43"/>
    </row>
    <row r="545" spans="1:1" customFormat="1">
      <c r="A545" s="43"/>
    </row>
    <row r="546" spans="1:1" customFormat="1">
      <c r="A546" s="43"/>
    </row>
    <row r="547" spans="1:1" customFormat="1">
      <c r="A547" s="43"/>
    </row>
    <row r="548" spans="1:1" customFormat="1">
      <c r="A548" s="43"/>
    </row>
    <row r="549" spans="1:1" customFormat="1">
      <c r="A549" s="43"/>
    </row>
    <row r="550" spans="1:1" customFormat="1">
      <c r="A550" s="43"/>
    </row>
    <row r="551" spans="1:1" customFormat="1">
      <c r="A551" s="43"/>
    </row>
    <row r="552" spans="1:1" customFormat="1">
      <c r="A552" s="43"/>
    </row>
    <row r="553" spans="1:1" customFormat="1">
      <c r="A553" s="43"/>
    </row>
    <row r="554" spans="1:1" customFormat="1">
      <c r="A554" s="43"/>
    </row>
    <row r="555" spans="1:1" customFormat="1">
      <c r="A555" s="43"/>
    </row>
    <row r="556" spans="1:1" customFormat="1">
      <c r="A556" s="43"/>
    </row>
    <row r="557" spans="1:1" customFormat="1">
      <c r="A557" s="43"/>
    </row>
    <row r="558" spans="1:1" customFormat="1">
      <c r="A558" s="43"/>
    </row>
    <row r="559" spans="1:1" customFormat="1">
      <c r="A559" s="43"/>
    </row>
    <row r="560" spans="1:1" customFormat="1">
      <c r="A560" s="43"/>
    </row>
    <row r="561" spans="1:1" customFormat="1">
      <c r="A561" s="43"/>
    </row>
    <row r="562" spans="1:1" customFormat="1">
      <c r="A562" s="43"/>
    </row>
    <row r="563" spans="1:1" customFormat="1">
      <c r="A563" s="43"/>
    </row>
    <row r="564" spans="1:1" customFormat="1">
      <c r="A564" s="43"/>
    </row>
    <row r="565" spans="1:1" customFormat="1">
      <c r="A565" s="43"/>
    </row>
    <row r="566" spans="1:1" customFormat="1">
      <c r="A566" s="43"/>
    </row>
    <row r="567" spans="1:1" customFormat="1">
      <c r="A567" s="43"/>
    </row>
    <row r="568" spans="1:1" customFormat="1">
      <c r="A568" s="43"/>
    </row>
    <row r="569" spans="1:1" customFormat="1">
      <c r="A569" s="43"/>
    </row>
    <row r="570" spans="1:1" customFormat="1">
      <c r="A570" s="43"/>
    </row>
    <row r="571" spans="1:1" customFormat="1">
      <c r="A571" s="43"/>
    </row>
    <row r="572" spans="1:1" customFormat="1">
      <c r="A572" s="43"/>
    </row>
    <row r="573" spans="1:1" customFormat="1">
      <c r="A573" s="43"/>
    </row>
    <row r="574" spans="1:1" customFormat="1">
      <c r="A574" s="43"/>
    </row>
    <row r="575" spans="1:1" customFormat="1">
      <c r="A575" s="43"/>
    </row>
    <row r="576" spans="1:1" customFormat="1">
      <c r="A576" s="43"/>
    </row>
    <row r="577" spans="2:7">
      <c r="B577"/>
      <c r="C577"/>
      <c r="D577"/>
      <c r="E577"/>
      <c r="F577"/>
      <c r="G577"/>
    </row>
    <row r="578" spans="2:7">
      <c r="B578"/>
      <c r="C578"/>
      <c r="D578"/>
      <c r="E578"/>
      <c r="F578"/>
      <c r="G578"/>
    </row>
    <row r="579" spans="2:7">
      <c r="B579"/>
      <c r="C579"/>
      <c r="D579"/>
      <c r="E579"/>
      <c r="F579"/>
      <c r="G579"/>
    </row>
    <row r="580" spans="2:7">
      <c r="B580"/>
      <c r="C580"/>
      <c r="D580"/>
      <c r="E580"/>
      <c r="F580"/>
      <c r="G580"/>
    </row>
    <row r="581" spans="2:7">
      <c r="B581"/>
      <c r="C581"/>
      <c r="D581"/>
      <c r="E581"/>
      <c r="F581"/>
      <c r="G581"/>
    </row>
    <row r="582" spans="2:7">
      <c r="B582"/>
      <c r="C582"/>
      <c r="D582"/>
      <c r="E582"/>
      <c r="F582"/>
      <c r="G582"/>
    </row>
    <row r="583" spans="2:7">
      <c r="B583"/>
      <c r="C583"/>
      <c r="D583"/>
      <c r="E583"/>
      <c r="F583"/>
      <c r="G583"/>
    </row>
    <row r="584" spans="2:7">
      <c r="B584"/>
      <c r="C584"/>
      <c r="D584"/>
      <c r="E584"/>
      <c r="F584"/>
      <c r="G584"/>
    </row>
    <row r="585" spans="2:7">
      <c r="B585"/>
      <c r="C585"/>
      <c r="D585"/>
      <c r="E585"/>
      <c r="F585"/>
      <c r="G585"/>
    </row>
    <row r="586" spans="2:7">
      <c r="B586"/>
      <c r="C586"/>
      <c r="D586"/>
      <c r="E586"/>
      <c r="F586"/>
      <c r="G586"/>
    </row>
    <row r="587" spans="2:7">
      <c r="B587"/>
      <c r="C587"/>
      <c r="D587"/>
      <c r="E587"/>
      <c r="F587"/>
      <c r="G587"/>
    </row>
    <row r="588" spans="2:7">
      <c r="B588"/>
      <c r="C588"/>
      <c r="D588"/>
      <c r="E588"/>
      <c r="F588"/>
      <c r="G588"/>
    </row>
    <row r="589" spans="2:7">
      <c r="B589"/>
      <c r="C589"/>
      <c r="D589"/>
      <c r="E589"/>
      <c r="F589"/>
      <c r="G589"/>
    </row>
    <row r="590" spans="2:7">
      <c r="B590"/>
      <c r="C590"/>
      <c r="D590"/>
      <c r="E590"/>
      <c r="F590"/>
      <c r="G590"/>
    </row>
    <row r="591" spans="2:7">
      <c r="B591"/>
      <c r="C591"/>
      <c r="D591"/>
      <c r="E591"/>
      <c r="F591"/>
      <c r="G591"/>
    </row>
    <row r="592" spans="2:7">
      <c r="B592"/>
      <c r="C592"/>
      <c r="D592"/>
      <c r="E592"/>
      <c r="F592"/>
      <c r="G592"/>
    </row>
    <row r="593" spans="2:7">
      <c r="B593"/>
      <c r="C593"/>
      <c r="D593"/>
      <c r="E593"/>
      <c r="F593"/>
      <c r="G593"/>
    </row>
    <row r="594" spans="2:7">
      <c r="B594"/>
      <c r="C594"/>
      <c r="D594"/>
      <c r="E594"/>
      <c r="F594"/>
      <c r="G594"/>
    </row>
    <row r="595" spans="2:7">
      <c r="B595"/>
      <c r="C595"/>
      <c r="D595"/>
      <c r="E595"/>
      <c r="F595"/>
      <c r="G595"/>
    </row>
    <row r="596" spans="2:7">
      <c r="B596"/>
      <c r="C596"/>
      <c r="D596"/>
      <c r="E596"/>
      <c r="F596"/>
      <c r="G596"/>
    </row>
    <row r="597" spans="2:7">
      <c r="B597"/>
      <c r="C597"/>
      <c r="D597"/>
      <c r="E597"/>
      <c r="F597"/>
      <c r="G597"/>
    </row>
    <row r="598" spans="2:7">
      <c r="B598"/>
      <c r="C598"/>
      <c r="D598"/>
      <c r="E598"/>
      <c r="F598"/>
      <c r="G598"/>
    </row>
    <row r="599" spans="2:7">
      <c r="B599"/>
      <c r="C599"/>
      <c r="D599"/>
      <c r="E599"/>
      <c r="F599"/>
      <c r="G599"/>
    </row>
    <row r="600" spans="2:7">
      <c r="B600"/>
      <c r="C600"/>
      <c r="D600"/>
      <c r="E600"/>
      <c r="F600"/>
      <c r="G600"/>
    </row>
    <row r="601" spans="2:7">
      <c r="B601"/>
      <c r="C601"/>
      <c r="D601"/>
      <c r="E601"/>
      <c r="F601"/>
      <c r="G601"/>
    </row>
    <row r="602" spans="2:7">
      <c r="B602"/>
      <c r="C602"/>
      <c r="D602"/>
      <c r="E602"/>
      <c r="F602"/>
      <c r="G602"/>
    </row>
    <row r="603" spans="2:7">
      <c r="B603"/>
      <c r="C603"/>
      <c r="D603"/>
      <c r="E603"/>
      <c r="F603"/>
      <c r="G603"/>
    </row>
    <row r="604" spans="2:7">
      <c r="B604"/>
      <c r="C604"/>
      <c r="D604"/>
      <c r="E604"/>
      <c r="F604"/>
      <c r="G604"/>
    </row>
    <row r="605" spans="2:7">
      <c r="B605"/>
      <c r="C605"/>
      <c r="D605"/>
      <c r="E605"/>
      <c r="F605"/>
      <c r="G605"/>
    </row>
    <row r="606" spans="2:7">
      <c r="B606"/>
      <c r="C606"/>
      <c r="D606"/>
      <c r="E606"/>
      <c r="F606"/>
      <c r="G606"/>
    </row>
    <row r="607" spans="2:7">
      <c r="B607"/>
      <c r="C607"/>
      <c r="D607"/>
      <c r="E607"/>
      <c r="F607"/>
      <c r="G607"/>
    </row>
    <row r="608" spans="2:7">
      <c r="B608"/>
      <c r="C608"/>
      <c r="D608"/>
      <c r="E608"/>
      <c r="F608"/>
      <c r="G608"/>
    </row>
    <row r="609" spans="2:7">
      <c r="B609"/>
      <c r="C609"/>
      <c r="D609"/>
      <c r="E609"/>
      <c r="F609"/>
      <c r="G609"/>
    </row>
    <row r="610" spans="2:7">
      <c r="B610"/>
      <c r="C610"/>
      <c r="D610"/>
      <c r="E610"/>
      <c r="F610"/>
      <c r="G610"/>
    </row>
    <row r="611" spans="2:7">
      <c r="B611"/>
      <c r="C611"/>
      <c r="D611"/>
      <c r="E611"/>
      <c r="F611"/>
      <c r="G611"/>
    </row>
    <row r="612" spans="2:7">
      <c r="B612"/>
      <c r="C612"/>
      <c r="D612"/>
      <c r="E612"/>
      <c r="F612"/>
      <c r="G612"/>
    </row>
    <row r="613" spans="2:7">
      <c r="B613"/>
      <c r="C613"/>
      <c r="D613"/>
      <c r="E613"/>
      <c r="F613"/>
      <c r="G613"/>
    </row>
    <row r="614" spans="2:7">
      <c r="B614"/>
      <c r="C614"/>
      <c r="D614"/>
      <c r="E614"/>
      <c r="F614"/>
      <c r="G614"/>
    </row>
    <row r="615" spans="2:7">
      <c r="B615"/>
      <c r="C615"/>
      <c r="D615"/>
      <c r="E615"/>
      <c r="F615"/>
      <c r="G615"/>
    </row>
    <row r="616" spans="2:7">
      <c r="B616"/>
      <c r="C616"/>
      <c r="D616"/>
      <c r="E616"/>
      <c r="F616"/>
      <c r="G616"/>
    </row>
    <row r="617" spans="2:7">
      <c r="B617"/>
      <c r="C617"/>
      <c r="D617"/>
      <c r="E617"/>
      <c r="F617"/>
      <c r="G617"/>
    </row>
    <row r="618" spans="2:7">
      <c r="B618"/>
      <c r="C618"/>
      <c r="D618"/>
      <c r="E618"/>
      <c r="F618"/>
      <c r="G618"/>
    </row>
    <row r="619" spans="2:7">
      <c r="B619"/>
      <c r="C619"/>
      <c r="D619"/>
      <c r="E619"/>
      <c r="F619"/>
      <c r="G619"/>
    </row>
    <row r="620" spans="2:7">
      <c r="B620"/>
      <c r="C620"/>
      <c r="D620"/>
      <c r="E620"/>
      <c r="F620"/>
      <c r="G620"/>
    </row>
    <row r="621" spans="2:7">
      <c r="B621"/>
      <c r="C621"/>
      <c r="D621"/>
      <c r="E621"/>
      <c r="F621"/>
      <c r="G621"/>
    </row>
    <row r="622" spans="2:7">
      <c r="B622"/>
      <c r="C622"/>
      <c r="D622"/>
      <c r="E622"/>
      <c r="F622"/>
      <c r="G622"/>
    </row>
    <row r="623" spans="2:7">
      <c r="B623"/>
      <c r="C623"/>
      <c r="D623"/>
      <c r="E623"/>
      <c r="F623"/>
      <c r="G623"/>
    </row>
    <row r="624" spans="2:7">
      <c r="B624"/>
      <c r="C624"/>
      <c r="D624"/>
      <c r="E624"/>
      <c r="F624"/>
      <c r="G624"/>
    </row>
    <row r="625" spans="2:7">
      <c r="B625"/>
      <c r="C625"/>
      <c r="D625"/>
      <c r="E625"/>
      <c r="F625"/>
      <c r="G625"/>
    </row>
    <row r="626" spans="2:7">
      <c r="B626"/>
      <c r="C626"/>
      <c r="D626"/>
      <c r="E626"/>
      <c r="F626"/>
      <c r="G626"/>
    </row>
    <row r="627" spans="2:7">
      <c r="B627"/>
      <c r="C627"/>
      <c r="D627"/>
      <c r="E627"/>
      <c r="F627"/>
      <c r="G627"/>
    </row>
    <row r="628" spans="2:7">
      <c r="B628"/>
      <c r="C628"/>
      <c r="D628"/>
      <c r="E628"/>
      <c r="F628"/>
      <c r="G628"/>
    </row>
    <row r="629" spans="2:7">
      <c r="B629"/>
      <c r="C629"/>
      <c r="D629"/>
      <c r="E629"/>
      <c r="F629"/>
      <c r="G629"/>
    </row>
    <row r="630" spans="2:7">
      <c r="B630"/>
      <c r="C630"/>
      <c r="D630"/>
      <c r="E630"/>
      <c r="F630"/>
      <c r="G630"/>
    </row>
    <row r="631" spans="2:7">
      <c r="B631"/>
      <c r="C631"/>
      <c r="D631"/>
      <c r="E631"/>
      <c r="F631"/>
      <c r="G631"/>
    </row>
    <row r="632" spans="2:7">
      <c r="B632"/>
      <c r="C632"/>
      <c r="D632"/>
      <c r="E632"/>
      <c r="F632"/>
      <c r="G632"/>
    </row>
    <row r="633" spans="2:7">
      <c r="B633"/>
      <c r="C633"/>
      <c r="D633"/>
      <c r="E633"/>
      <c r="F633"/>
      <c r="G633"/>
    </row>
    <row r="634" spans="2:7">
      <c r="B634"/>
      <c r="C634"/>
      <c r="D634"/>
      <c r="E634"/>
      <c r="F634"/>
      <c r="G634"/>
    </row>
    <row r="635" spans="2:7">
      <c r="B635"/>
      <c r="C635"/>
      <c r="D635"/>
      <c r="E635"/>
      <c r="F635"/>
      <c r="G635"/>
    </row>
    <row r="636" spans="2:7">
      <c r="B636"/>
      <c r="C636"/>
      <c r="D636"/>
      <c r="E636"/>
      <c r="F636"/>
      <c r="G636"/>
    </row>
    <row r="637" spans="2:7">
      <c r="B637"/>
      <c r="C637"/>
      <c r="D637"/>
      <c r="E637"/>
      <c r="F637"/>
      <c r="G637"/>
    </row>
    <row r="638" spans="2:7">
      <c r="B638"/>
      <c r="C638"/>
      <c r="D638"/>
      <c r="E638"/>
      <c r="F638"/>
      <c r="G638"/>
    </row>
    <row r="639" spans="2:7">
      <c r="B639"/>
      <c r="C639"/>
      <c r="D639"/>
      <c r="E639"/>
      <c r="F639"/>
      <c r="G639"/>
    </row>
    <row r="640" spans="2:7">
      <c r="B640"/>
      <c r="C640"/>
      <c r="D640"/>
      <c r="E640"/>
      <c r="F640"/>
      <c r="G640"/>
    </row>
    <row r="641" spans="2:7">
      <c r="B641"/>
      <c r="C641"/>
      <c r="D641"/>
      <c r="E641"/>
      <c r="F641"/>
      <c r="G641"/>
    </row>
    <row r="642" spans="2:7">
      <c r="B642"/>
      <c r="C642"/>
      <c r="D642"/>
      <c r="E642"/>
      <c r="F642"/>
      <c r="G642"/>
    </row>
    <row r="643" spans="2:7">
      <c r="B643"/>
      <c r="C643"/>
      <c r="D643"/>
      <c r="E643"/>
      <c r="F643"/>
      <c r="G643"/>
    </row>
    <row r="644" spans="2:7">
      <c r="B644"/>
      <c r="C644"/>
      <c r="D644"/>
      <c r="E644"/>
      <c r="F644"/>
      <c r="G644"/>
    </row>
    <row r="645" spans="2:7">
      <c r="B645"/>
      <c r="C645"/>
      <c r="D645"/>
      <c r="E645"/>
      <c r="F645"/>
      <c r="G645"/>
    </row>
    <row r="646" spans="2:7">
      <c r="B646"/>
      <c r="C646"/>
      <c r="D646"/>
      <c r="E646"/>
      <c r="F646"/>
      <c r="G646"/>
    </row>
    <row r="647" spans="2:7">
      <c r="B647"/>
      <c r="C647"/>
      <c r="D647"/>
      <c r="E647"/>
      <c r="F647"/>
      <c r="G647"/>
    </row>
    <row r="648" spans="2:7">
      <c r="B648"/>
      <c r="C648"/>
      <c r="D648"/>
      <c r="E648"/>
      <c r="F648"/>
      <c r="G648"/>
    </row>
    <row r="649" spans="2:7">
      <c r="B649"/>
      <c r="C649"/>
      <c r="D649"/>
      <c r="E649"/>
      <c r="F649"/>
      <c r="G649"/>
    </row>
    <row r="650" spans="2:7">
      <c r="B650"/>
      <c r="C650"/>
      <c r="D650"/>
      <c r="E650"/>
      <c r="F650"/>
      <c r="G650"/>
    </row>
    <row r="651" spans="2:7">
      <c r="B651"/>
      <c r="C651"/>
      <c r="D651"/>
      <c r="E651"/>
      <c r="F651"/>
      <c r="G651"/>
    </row>
    <row r="652" spans="2:7">
      <c r="B652"/>
      <c r="C652"/>
      <c r="D652"/>
      <c r="E652"/>
      <c r="F652"/>
      <c r="G652"/>
    </row>
    <row r="653" spans="2:7">
      <c r="B653"/>
      <c r="C653"/>
      <c r="D653"/>
      <c r="E653"/>
      <c r="F653"/>
      <c r="G653"/>
    </row>
    <row r="654" spans="2:7">
      <c r="B654"/>
      <c r="C654"/>
      <c r="D654"/>
      <c r="E654"/>
      <c r="F654"/>
      <c r="G654"/>
    </row>
    <row r="655" spans="2:7">
      <c r="B655"/>
      <c r="C655"/>
      <c r="D655"/>
      <c r="E655"/>
      <c r="F655"/>
      <c r="G655"/>
    </row>
    <row r="656" spans="2:7">
      <c r="B656"/>
      <c r="C656"/>
      <c r="D656"/>
      <c r="E656"/>
      <c r="F656"/>
      <c r="G656"/>
    </row>
    <row r="657" spans="2:7">
      <c r="B657"/>
      <c r="C657"/>
      <c r="D657"/>
      <c r="E657"/>
      <c r="F657"/>
      <c r="G657"/>
    </row>
    <row r="658" spans="2:7">
      <c r="B658"/>
      <c r="C658"/>
      <c r="D658"/>
      <c r="E658"/>
      <c r="F658"/>
      <c r="G658"/>
    </row>
    <row r="659" spans="2:7">
      <c r="B659"/>
      <c r="C659"/>
      <c r="D659"/>
      <c r="E659"/>
      <c r="F659"/>
      <c r="G659"/>
    </row>
    <row r="660" spans="2:7">
      <c r="B660"/>
      <c r="C660"/>
      <c r="D660"/>
      <c r="E660"/>
      <c r="F660"/>
      <c r="G660"/>
    </row>
    <row r="661" spans="2:7">
      <c r="B661"/>
      <c r="C661"/>
      <c r="D661"/>
      <c r="E661"/>
      <c r="F661"/>
      <c r="G661"/>
    </row>
    <row r="662" spans="2:7">
      <c r="B662"/>
      <c r="C662"/>
      <c r="D662"/>
      <c r="E662"/>
      <c r="F662"/>
      <c r="G662"/>
    </row>
    <row r="663" spans="2:7">
      <c r="B663"/>
      <c r="C663"/>
      <c r="D663"/>
      <c r="E663"/>
      <c r="F663"/>
      <c r="G663"/>
    </row>
    <row r="664" spans="2:7">
      <c r="B664"/>
      <c r="C664"/>
      <c r="D664"/>
      <c r="E664"/>
      <c r="F664"/>
      <c r="G664"/>
    </row>
    <row r="665" spans="2:7">
      <c r="B665"/>
      <c r="C665"/>
      <c r="D665"/>
      <c r="E665"/>
      <c r="F665"/>
      <c r="G665"/>
    </row>
    <row r="666" spans="2:7">
      <c r="B666"/>
      <c r="C666"/>
      <c r="D666"/>
      <c r="E666"/>
      <c r="F666"/>
      <c r="G666"/>
    </row>
    <row r="667" spans="2:7">
      <c r="B667"/>
      <c r="C667"/>
      <c r="D667"/>
      <c r="E667"/>
      <c r="F667"/>
      <c r="G667"/>
    </row>
    <row r="668" spans="2:7">
      <c r="B668"/>
      <c r="C668"/>
      <c r="D668"/>
      <c r="E668"/>
      <c r="F668"/>
      <c r="G668"/>
    </row>
    <row r="669" spans="2:7">
      <c r="B669"/>
      <c r="C669"/>
      <c r="D669"/>
      <c r="E669"/>
      <c r="F669"/>
      <c r="G669"/>
    </row>
    <row r="670" spans="2:7">
      <c r="B670"/>
      <c r="C670"/>
      <c r="D670"/>
      <c r="E670"/>
      <c r="F670"/>
      <c r="G670"/>
    </row>
    <row r="671" spans="2:7">
      <c r="B671"/>
      <c r="C671"/>
      <c r="D671"/>
      <c r="E671"/>
      <c r="F671"/>
      <c r="G671"/>
    </row>
    <row r="672" spans="2:7">
      <c r="B672"/>
      <c r="C672"/>
      <c r="D672"/>
      <c r="E672"/>
      <c r="F672"/>
      <c r="G672"/>
    </row>
    <row r="673" spans="2:7">
      <c r="B673"/>
      <c r="C673"/>
      <c r="D673"/>
      <c r="E673"/>
      <c r="F673"/>
      <c r="G673"/>
    </row>
    <row r="674" spans="2:7">
      <c r="B674"/>
      <c r="C674"/>
      <c r="D674"/>
      <c r="E674"/>
      <c r="F674"/>
      <c r="G674"/>
    </row>
    <row r="675" spans="2:7">
      <c r="B675"/>
      <c r="C675"/>
      <c r="D675"/>
      <c r="E675"/>
      <c r="F675"/>
      <c r="G675"/>
    </row>
    <row r="676" spans="2:7">
      <c r="B676"/>
      <c r="C676"/>
      <c r="D676"/>
      <c r="E676"/>
      <c r="F676"/>
      <c r="G676"/>
    </row>
    <row r="677" spans="2:7">
      <c r="B677"/>
      <c r="C677"/>
      <c r="D677"/>
      <c r="E677"/>
      <c r="F677"/>
      <c r="G677"/>
    </row>
    <row r="678" spans="2:7">
      <c r="B678"/>
      <c r="C678"/>
      <c r="D678"/>
      <c r="E678"/>
      <c r="F678"/>
      <c r="G678"/>
    </row>
    <row r="679" spans="2:7">
      <c r="B679"/>
      <c r="C679"/>
      <c r="D679"/>
      <c r="E679"/>
      <c r="F679"/>
      <c r="G679"/>
    </row>
    <row r="680" spans="2:7">
      <c r="B680"/>
      <c r="C680"/>
      <c r="D680"/>
      <c r="E680"/>
      <c r="F680"/>
      <c r="G680"/>
    </row>
    <row r="681" spans="2:7">
      <c r="B681"/>
      <c r="C681"/>
      <c r="D681"/>
      <c r="E681"/>
      <c r="F681"/>
      <c r="G681"/>
    </row>
    <row r="682" spans="2:7">
      <c r="B682"/>
      <c r="C682"/>
      <c r="D682"/>
      <c r="E682"/>
      <c r="F682"/>
      <c r="G682"/>
    </row>
    <row r="683" spans="2:7">
      <c r="B683"/>
      <c r="C683"/>
      <c r="D683"/>
      <c r="E683"/>
      <c r="F683"/>
      <c r="G683"/>
    </row>
    <row r="684" spans="2:7">
      <c r="B684"/>
      <c r="C684"/>
      <c r="D684"/>
      <c r="E684"/>
      <c r="F684"/>
      <c r="G684"/>
    </row>
    <row r="685" spans="2:7">
      <c r="B685"/>
      <c r="C685"/>
      <c r="D685"/>
      <c r="E685"/>
      <c r="F685"/>
      <c r="G685"/>
    </row>
    <row r="686" spans="2:7">
      <c r="B686"/>
      <c r="C686"/>
      <c r="D686"/>
      <c r="E686"/>
      <c r="F686"/>
      <c r="G686"/>
    </row>
    <row r="687" spans="2:7">
      <c r="B687"/>
      <c r="C687"/>
      <c r="D687"/>
      <c r="E687"/>
      <c r="F687"/>
      <c r="G687"/>
    </row>
    <row r="688" spans="2:7">
      <c r="B688"/>
      <c r="C688"/>
      <c r="D688"/>
      <c r="E688"/>
      <c r="F688"/>
      <c r="G688"/>
    </row>
    <row r="689" spans="2:7">
      <c r="B689"/>
      <c r="C689"/>
      <c r="D689"/>
      <c r="E689"/>
      <c r="F689"/>
      <c r="G689"/>
    </row>
    <row r="690" spans="2:7">
      <c r="B690"/>
      <c r="C690"/>
      <c r="D690"/>
      <c r="E690"/>
      <c r="F690"/>
      <c r="G690"/>
    </row>
    <row r="691" spans="2:7">
      <c r="B691"/>
      <c r="C691"/>
      <c r="D691"/>
      <c r="E691"/>
      <c r="F691"/>
      <c r="G691"/>
    </row>
    <row r="692" spans="2:7">
      <c r="B692"/>
      <c r="C692"/>
      <c r="D692"/>
      <c r="E692"/>
      <c r="F692"/>
      <c r="G692"/>
    </row>
    <row r="693" spans="2:7">
      <c r="B693"/>
      <c r="C693"/>
      <c r="D693"/>
      <c r="E693"/>
      <c r="F693"/>
      <c r="G693"/>
    </row>
    <row r="694" spans="2:7">
      <c r="B694"/>
      <c r="C694"/>
      <c r="D694"/>
      <c r="E694"/>
      <c r="F694"/>
      <c r="G694"/>
    </row>
    <row r="695" spans="2:7">
      <c r="B695"/>
      <c r="C695"/>
      <c r="D695"/>
      <c r="E695"/>
      <c r="F695"/>
      <c r="G695"/>
    </row>
    <row r="696" spans="2:7">
      <c r="B696"/>
      <c r="C696"/>
      <c r="D696"/>
      <c r="E696"/>
      <c r="F696"/>
      <c r="G696"/>
    </row>
    <row r="697" spans="2:7">
      <c r="B697"/>
      <c r="C697"/>
      <c r="D697"/>
      <c r="E697"/>
      <c r="F697"/>
      <c r="G697"/>
    </row>
    <row r="698" spans="2:7">
      <c r="B698"/>
      <c r="C698"/>
      <c r="D698"/>
      <c r="E698"/>
      <c r="F698"/>
      <c r="G698"/>
    </row>
    <row r="699" spans="2:7">
      <c r="B699"/>
      <c r="C699"/>
      <c r="D699"/>
      <c r="E699"/>
      <c r="F699"/>
      <c r="G699"/>
    </row>
    <row r="700" spans="2:7">
      <c r="B700"/>
      <c r="C700"/>
      <c r="D700"/>
      <c r="E700"/>
      <c r="F700"/>
      <c r="G700"/>
    </row>
    <row r="701" spans="2:7">
      <c r="B701"/>
      <c r="C701"/>
      <c r="D701"/>
      <c r="E701"/>
      <c r="F701"/>
      <c r="G701"/>
    </row>
    <row r="702" spans="2:7">
      <c r="B702"/>
      <c r="C702"/>
      <c r="D702"/>
      <c r="E702"/>
      <c r="F702"/>
      <c r="G702"/>
    </row>
    <row r="703" spans="2:7">
      <c r="B703"/>
      <c r="C703"/>
      <c r="D703"/>
      <c r="E703"/>
      <c r="F703"/>
      <c r="G703"/>
    </row>
    <row r="704" spans="2:7">
      <c r="B704"/>
      <c r="C704"/>
      <c r="D704"/>
      <c r="E704"/>
      <c r="F704"/>
      <c r="G704"/>
    </row>
    <row r="705" spans="2:7">
      <c r="B705"/>
      <c r="C705"/>
      <c r="D705"/>
      <c r="E705"/>
      <c r="F705"/>
      <c r="G705"/>
    </row>
    <row r="706" spans="2:7">
      <c r="B706"/>
      <c r="C706"/>
      <c r="D706"/>
      <c r="E706"/>
      <c r="F706"/>
      <c r="G706"/>
    </row>
    <row r="707" spans="2:7">
      <c r="B707"/>
      <c r="C707"/>
      <c r="D707"/>
      <c r="E707"/>
      <c r="F707"/>
      <c r="G707"/>
    </row>
    <row r="708" spans="2:7">
      <c r="B708"/>
      <c r="C708"/>
      <c r="D708"/>
      <c r="E708"/>
      <c r="F708"/>
      <c r="G708"/>
    </row>
    <row r="709" spans="2:7">
      <c r="B709"/>
      <c r="C709"/>
      <c r="D709"/>
      <c r="E709"/>
      <c r="F709"/>
      <c r="G709"/>
    </row>
    <row r="710" spans="2:7">
      <c r="B710"/>
      <c r="C710"/>
      <c r="D710"/>
      <c r="E710"/>
      <c r="F710"/>
      <c r="G710"/>
    </row>
    <row r="711" spans="2:7">
      <c r="B711"/>
      <c r="C711"/>
      <c r="D711"/>
      <c r="E711"/>
      <c r="F711"/>
      <c r="G711"/>
    </row>
    <row r="712" spans="2:7">
      <c r="B712"/>
      <c r="C712"/>
      <c r="D712"/>
      <c r="E712"/>
      <c r="F712"/>
      <c r="G712"/>
    </row>
    <row r="713" spans="2:7">
      <c r="B713"/>
      <c r="C713"/>
      <c r="D713"/>
      <c r="E713"/>
      <c r="F713"/>
      <c r="G713"/>
    </row>
    <row r="714" spans="2:7">
      <c r="B714"/>
      <c r="C714"/>
      <c r="D714"/>
      <c r="E714"/>
      <c r="F714"/>
      <c r="G714"/>
    </row>
    <row r="715" spans="2:7">
      <c r="B715"/>
      <c r="C715"/>
      <c r="D715"/>
      <c r="E715"/>
      <c r="F715"/>
      <c r="G715"/>
    </row>
    <row r="716" spans="2:7">
      <c r="B716"/>
      <c r="C716"/>
      <c r="D716"/>
      <c r="E716"/>
      <c r="F716"/>
      <c r="G716"/>
    </row>
    <row r="717" spans="2:7">
      <c r="B717"/>
      <c r="C717"/>
      <c r="D717"/>
      <c r="E717"/>
      <c r="F717"/>
      <c r="G717"/>
    </row>
    <row r="718" spans="2:7">
      <c r="B718"/>
      <c r="C718"/>
      <c r="D718"/>
      <c r="E718"/>
      <c r="F718"/>
      <c r="G718"/>
    </row>
    <row r="719" spans="2:7">
      <c r="B719"/>
      <c r="C719"/>
      <c r="D719"/>
      <c r="E719"/>
      <c r="F719"/>
      <c r="G719"/>
    </row>
    <row r="720" spans="2:7">
      <c r="B720"/>
      <c r="C720"/>
      <c r="D720"/>
      <c r="E720"/>
      <c r="F720"/>
      <c r="G720"/>
    </row>
    <row r="721" spans="2:7">
      <c r="B721"/>
      <c r="C721"/>
      <c r="D721"/>
      <c r="E721"/>
      <c r="F721"/>
      <c r="G721"/>
    </row>
    <row r="722" spans="2:7">
      <c r="B722"/>
      <c r="C722"/>
      <c r="D722"/>
      <c r="E722"/>
      <c r="F722"/>
      <c r="G722"/>
    </row>
    <row r="723" spans="2:7">
      <c r="B723"/>
      <c r="C723"/>
      <c r="D723"/>
      <c r="E723"/>
      <c r="F723"/>
      <c r="G723"/>
    </row>
    <row r="724" spans="2:7">
      <c r="B724"/>
      <c r="C724"/>
      <c r="D724"/>
      <c r="E724"/>
      <c r="F724"/>
      <c r="G724"/>
    </row>
    <row r="725" spans="2:7">
      <c r="B725"/>
      <c r="C725"/>
      <c r="D725"/>
      <c r="E725"/>
      <c r="F725"/>
      <c r="G725"/>
    </row>
    <row r="726" spans="2:7">
      <c r="B726"/>
      <c r="C726"/>
      <c r="D726"/>
      <c r="E726"/>
      <c r="F726"/>
      <c r="G726"/>
    </row>
    <row r="727" spans="2:7">
      <c r="B727"/>
      <c r="C727"/>
      <c r="D727"/>
      <c r="E727"/>
      <c r="F727"/>
      <c r="G727"/>
    </row>
    <row r="728" spans="2:7">
      <c r="B728"/>
      <c r="C728"/>
      <c r="D728"/>
      <c r="E728"/>
      <c r="F728"/>
      <c r="G728"/>
    </row>
    <row r="729" spans="2:7">
      <c r="B729"/>
      <c r="C729"/>
      <c r="D729"/>
      <c r="E729"/>
      <c r="F729"/>
      <c r="G729"/>
    </row>
    <row r="730" spans="2:7">
      <c r="B730"/>
      <c r="C730"/>
      <c r="D730"/>
      <c r="E730"/>
      <c r="F730"/>
      <c r="G730"/>
    </row>
    <row r="731" spans="2:7">
      <c r="B731"/>
      <c r="C731"/>
      <c r="D731"/>
      <c r="E731"/>
      <c r="F731"/>
      <c r="G731"/>
    </row>
    <row r="732" spans="2:7">
      <c r="B732"/>
      <c r="C732"/>
      <c r="D732"/>
      <c r="E732"/>
      <c r="F732"/>
      <c r="G732"/>
    </row>
    <row r="733" spans="2:7">
      <c r="B733"/>
      <c r="C733"/>
      <c r="D733"/>
      <c r="E733"/>
      <c r="F733"/>
      <c r="G733"/>
    </row>
    <row r="734" spans="2:7">
      <c r="B734"/>
      <c r="C734"/>
      <c r="D734"/>
      <c r="E734"/>
      <c r="F734"/>
      <c r="G734"/>
    </row>
    <row r="735" spans="2:7">
      <c r="B735"/>
      <c r="C735"/>
      <c r="D735"/>
      <c r="E735"/>
      <c r="F735"/>
      <c r="G735"/>
    </row>
    <row r="736" spans="2:7">
      <c r="B736"/>
      <c r="C736"/>
      <c r="D736"/>
      <c r="E736"/>
      <c r="F736"/>
      <c r="G736"/>
    </row>
    <row r="737" spans="2:7">
      <c r="B737"/>
      <c r="C737"/>
      <c r="D737"/>
      <c r="E737"/>
      <c r="F737"/>
      <c r="G737"/>
    </row>
    <row r="738" spans="2:7">
      <c r="B738"/>
      <c r="C738"/>
      <c r="D738"/>
      <c r="E738"/>
      <c r="F738"/>
      <c r="G738"/>
    </row>
    <row r="739" spans="2:7">
      <c r="B739"/>
      <c r="C739"/>
      <c r="D739"/>
      <c r="E739"/>
      <c r="F739"/>
      <c r="G739"/>
    </row>
    <row r="740" spans="2:7">
      <c r="B740" s="32"/>
    </row>
    <row r="741" spans="2:7">
      <c r="B741" s="32"/>
    </row>
    <row r="742" spans="2:7">
      <c r="B742" s="32"/>
    </row>
    <row r="743" spans="2:7">
      <c r="B743" s="32"/>
    </row>
    <row r="744" spans="2:7">
      <c r="B744" s="32"/>
    </row>
    <row r="745" spans="2:7">
      <c r="B745" s="32"/>
    </row>
    <row r="746" spans="2:7">
      <c r="B746" s="32"/>
    </row>
    <row r="747" spans="2:7">
      <c r="B747" s="32"/>
    </row>
    <row r="748" spans="2:7">
      <c r="B748" s="32"/>
    </row>
    <row r="749" spans="2:7">
      <c r="B749" s="32"/>
    </row>
    <row r="750" spans="2:7">
      <c r="B750" s="32"/>
    </row>
    <row r="751" spans="2:7">
      <c r="B751" s="32"/>
    </row>
    <row r="752" spans="2:7">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87" fitToHeight="5" orientation="portrait" horizontalDpi="1200" verticalDpi="120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5D93F-5E4D-4605-B72E-B254D69E2EC2}">
  <sheetPr>
    <tabColor rgb="FFFFFF00"/>
    <pageSetUpPr fitToPage="1"/>
  </sheetPr>
  <dimension ref="A1:H1568"/>
  <sheetViews>
    <sheetView zoomScaleNormal="100" workbookViewId="0">
      <selection activeCell="A33" sqref="A33"/>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9" width="12" customWidth="1"/>
    <col min="10"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8" ht="23.45" customHeight="1">
      <c r="A1" s="166" t="str">
        <f>CONCATENATE("FAC25. ",B4," - IT Service Demand")</f>
        <v>FAC25. Events and Community Relations  - IT Service Demand</v>
      </c>
      <c r="B1" s="166"/>
      <c r="C1" s="166"/>
      <c r="D1" s="32"/>
      <c r="E1" s="32"/>
      <c r="F1" s="32"/>
    </row>
    <row r="2" spans="1:8">
      <c r="A2" s="56" t="s">
        <v>0</v>
      </c>
      <c r="B2" t="s">
        <v>222</v>
      </c>
    </row>
    <row r="3" spans="1:8">
      <c r="A3" s="56" t="s">
        <v>11</v>
      </c>
      <c r="B3" t="s">
        <v>222</v>
      </c>
    </row>
    <row r="4" spans="1:8">
      <c r="A4" s="56" t="s">
        <v>2</v>
      </c>
      <c r="B4" t="s">
        <v>377</v>
      </c>
    </row>
    <row r="6" spans="1:8">
      <c r="A6" s="56" t="s">
        <v>428</v>
      </c>
      <c r="B6" s="56" t="s">
        <v>186</v>
      </c>
      <c r="F6" s="60"/>
      <c r="G6" s="60"/>
      <c r="H6" s="60"/>
    </row>
    <row r="7" spans="1:8">
      <c r="A7" s="76" t="s">
        <v>218</v>
      </c>
      <c r="B7" s="105" t="s">
        <v>208</v>
      </c>
      <c r="C7" s="105" t="s">
        <v>211</v>
      </c>
      <c r="D7" s="105" t="s">
        <v>212</v>
      </c>
      <c r="E7" s="105" t="s">
        <v>213</v>
      </c>
      <c r="F7" s="105" t="s">
        <v>214</v>
      </c>
      <c r="G7" s="105">
        <v>974</v>
      </c>
      <c r="H7" s="104" t="s">
        <v>202</v>
      </c>
    </row>
    <row r="8" spans="1:8">
      <c r="A8" s="43" t="s">
        <v>192</v>
      </c>
      <c r="F8" s="60"/>
      <c r="G8" s="60"/>
      <c r="H8" s="61"/>
    </row>
    <row r="9" spans="1:8">
      <c r="A9" s="57" t="s">
        <v>296</v>
      </c>
      <c r="F9" s="60"/>
      <c r="G9" s="60"/>
      <c r="H9" s="61"/>
    </row>
    <row r="10" spans="1:8">
      <c r="A10" s="58" t="s">
        <v>327</v>
      </c>
      <c r="F10" s="60"/>
      <c r="G10" s="60"/>
      <c r="H10" s="61"/>
    </row>
    <row r="11" spans="1:8">
      <c r="A11" s="71" t="s">
        <v>23</v>
      </c>
      <c r="B11" s="60">
        <v>0</v>
      </c>
      <c r="C11" s="60">
        <v>0</v>
      </c>
      <c r="D11" s="60">
        <v>0</v>
      </c>
      <c r="E11" s="60">
        <v>0</v>
      </c>
      <c r="F11" s="60">
        <v>0</v>
      </c>
      <c r="G11" s="60">
        <v>0</v>
      </c>
      <c r="H11" s="61">
        <v>0</v>
      </c>
    </row>
    <row r="12" spans="1:8">
      <c r="A12" s="57" t="s">
        <v>325</v>
      </c>
      <c r="F12" s="60"/>
      <c r="G12" s="60"/>
      <c r="H12" s="61"/>
    </row>
    <row r="13" spans="1:8">
      <c r="A13" s="58" t="s">
        <v>327</v>
      </c>
      <c r="F13" s="60"/>
      <c r="G13" s="60"/>
      <c r="H13" s="61"/>
    </row>
    <row r="14" spans="1:8">
      <c r="A14" s="71" t="s">
        <v>33</v>
      </c>
      <c r="B14" s="60">
        <v>1</v>
      </c>
      <c r="C14" s="60">
        <v>1</v>
      </c>
      <c r="D14" s="60">
        <v>1</v>
      </c>
      <c r="E14" s="60">
        <v>1</v>
      </c>
      <c r="F14" s="60">
        <v>1</v>
      </c>
      <c r="G14" s="60">
        <v>1</v>
      </c>
      <c r="H14" s="61">
        <v>6</v>
      </c>
    </row>
    <row r="15" spans="1:8">
      <c r="A15" s="71" t="s">
        <v>59</v>
      </c>
      <c r="B15" s="60">
        <v>1</v>
      </c>
      <c r="C15" s="60">
        <v>1</v>
      </c>
      <c r="D15" s="60">
        <v>1</v>
      </c>
      <c r="E15" s="60">
        <v>1</v>
      </c>
      <c r="F15" s="60">
        <v>1</v>
      </c>
      <c r="G15" s="60">
        <v>1</v>
      </c>
      <c r="H15" s="61">
        <v>6</v>
      </c>
    </row>
    <row r="16" spans="1:8">
      <c r="A16" s="71" t="s">
        <v>53</v>
      </c>
      <c r="B16" s="60">
        <v>2</v>
      </c>
      <c r="C16" s="60">
        <v>2</v>
      </c>
      <c r="D16" s="60">
        <v>2</v>
      </c>
      <c r="E16" s="60">
        <v>2</v>
      </c>
      <c r="F16" s="60">
        <v>2</v>
      </c>
      <c r="G16" s="60">
        <v>2</v>
      </c>
      <c r="H16" s="61">
        <v>12</v>
      </c>
    </row>
    <row r="17" spans="1:8">
      <c r="A17" s="43" t="s">
        <v>202</v>
      </c>
      <c r="B17" s="60">
        <v>4</v>
      </c>
      <c r="C17" s="60">
        <v>4</v>
      </c>
      <c r="D17" s="60">
        <v>4</v>
      </c>
      <c r="E17" s="60">
        <v>4</v>
      </c>
      <c r="F17" s="60">
        <v>4</v>
      </c>
      <c r="G17" s="60">
        <v>4</v>
      </c>
      <c r="H17" s="61">
        <v>24</v>
      </c>
    </row>
    <row r="18" spans="1:8">
      <c r="A18"/>
      <c r="B18"/>
      <c r="C18"/>
      <c r="D18"/>
      <c r="E18"/>
      <c r="F18"/>
      <c r="G18"/>
    </row>
    <row r="19" spans="1:8">
      <c r="A19"/>
      <c r="B19"/>
      <c r="C19"/>
      <c r="D19"/>
      <c r="E19"/>
      <c r="F19"/>
      <c r="G19"/>
    </row>
    <row r="20" spans="1:8">
      <c r="A20"/>
      <c r="B20"/>
      <c r="C20"/>
      <c r="D20"/>
      <c r="E20"/>
      <c r="F20"/>
      <c r="G20"/>
    </row>
    <row r="21" spans="1:8">
      <c r="A21"/>
      <c r="B21"/>
      <c r="C21"/>
      <c r="D21"/>
      <c r="E21"/>
      <c r="F21"/>
      <c r="G21"/>
    </row>
    <row r="22" spans="1:8">
      <c r="A22"/>
      <c r="B22"/>
      <c r="C22"/>
      <c r="D22"/>
      <c r="E22"/>
      <c r="F22"/>
      <c r="G22"/>
    </row>
    <row r="23" spans="1:8">
      <c r="A23"/>
      <c r="B23"/>
      <c r="C23"/>
      <c r="D23"/>
      <c r="E23"/>
      <c r="F23"/>
      <c r="G23"/>
    </row>
    <row r="24" spans="1:8">
      <c r="A24"/>
      <c r="B24"/>
      <c r="C24"/>
      <c r="D24"/>
      <c r="E24"/>
      <c r="F24"/>
      <c r="G24"/>
    </row>
    <row r="25" spans="1:8">
      <c r="A25"/>
      <c r="B25"/>
      <c r="C25"/>
      <c r="D25"/>
      <c r="E25"/>
      <c r="F25"/>
      <c r="G25"/>
    </row>
    <row r="26" spans="1:8">
      <c r="A26"/>
      <c r="B26"/>
      <c r="C26"/>
      <c r="D26"/>
      <c r="E26"/>
      <c r="F26"/>
      <c r="G26"/>
    </row>
    <row r="27" spans="1:8">
      <c r="A27"/>
      <c r="B27"/>
      <c r="C27"/>
      <c r="D27"/>
      <c r="E27"/>
      <c r="F27"/>
      <c r="G27"/>
    </row>
    <row r="28" spans="1:8">
      <c r="A28"/>
      <c r="B28"/>
      <c r="C28"/>
      <c r="D28"/>
      <c r="E28"/>
      <c r="F28"/>
      <c r="G28"/>
    </row>
    <row r="29" spans="1:8">
      <c r="A29"/>
      <c r="B29"/>
      <c r="C29"/>
      <c r="D29"/>
      <c r="E29"/>
      <c r="F29"/>
      <c r="G29"/>
    </row>
    <row r="30" spans="1:8">
      <c r="A30"/>
      <c r="B30"/>
      <c r="C30"/>
      <c r="D30"/>
      <c r="E30"/>
      <c r="F30"/>
      <c r="G30"/>
    </row>
    <row r="31" spans="1:8">
      <c r="A31"/>
      <c r="B31"/>
      <c r="C31"/>
      <c r="D31"/>
      <c r="E31"/>
      <c r="F31"/>
      <c r="G31"/>
    </row>
    <row r="32" spans="1:8">
      <c r="A32"/>
      <c r="B32"/>
      <c r="C32"/>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87" fitToHeight="5" orientation="portrait" horizontalDpi="1200" verticalDpi="120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924B1-2F9D-4B9A-A329-5E73443C3903}">
  <sheetPr>
    <tabColor rgb="FFFFFF00"/>
    <pageSetUpPr fitToPage="1"/>
  </sheetPr>
  <dimension ref="A1:H1568"/>
  <sheetViews>
    <sheetView zoomScaleNormal="100" workbookViewId="0">
      <selection activeCell="A17" sqref="A17"/>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9" width="12" customWidth="1"/>
    <col min="10"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8" ht="23.45" customHeight="1">
      <c r="A1" s="166" t="s">
        <v>442</v>
      </c>
      <c r="B1" s="166"/>
      <c r="C1" s="166"/>
      <c r="D1" s="32"/>
      <c r="E1" s="32"/>
      <c r="F1" s="32"/>
    </row>
    <row r="2" spans="1:8">
      <c r="A2" s="56" t="s">
        <v>0</v>
      </c>
      <c r="B2" t="s">
        <v>222</v>
      </c>
    </row>
    <row r="3" spans="1:8">
      <c r="A3" s="56" t="s">
        <v>11</v>
      </c>
      <c r="B3" t="s">
        <v>222</v>
      </c>
    </row>
    <row r="4" spans="1:8">
      <c r="A4" s="56" t="s">
        <v>2</v>
      </c>
      <c r="B4" t="s">
        <v>382</v>
      </c>
    </row>
    <row r="6" spans="1:8">
      <c r="A6" s="56" t="s">
        <v>428</v>
      </c>
      <c r="B6" s="56" t="s">
        <v>186</v>
      </c>
      <c r="F6" s="60"/>
      <c r="G6" s="60"/>
      <c r="H6" s="60"/>
    </row>
    <row r="7" spans="1:8">
      <c r="A7" s="76" t="s">
        <v>218</v>
      </c>
      <c r="B7" s="105" t="s">
        <v>208</v>
      </c>
      <c r="C7" s="105" t="s">
        <v>211</v>
      </c>
      <c r="D7" s="105" t="s">
        <v>212</v>
      </c>
      <c r="E7" s="105" t="s">
        <v>213</v>
      </c>
      <c r="F7" s="105" t="s">
        <v>214</v>
      </c>
      <c r="G7" s="105">
        <v>974</v>
      </c>
      <c r="H7" s="104" t="s">
        <v>202</v>
      </c>
    </row>
    <row r="8" spans="1:8">
      <c r="A8" s="43" t="s">
        <v>191</v>
      </c>
      <c r="F8" s="60"/>
      <c r="G8" s="60"/>
      <c r="H8" s="61"/>
    </row>
    <row r="9" spans="1:8">
      <c r="A9" s="57" t="s">
        <v>111</v>
      </c>
      <c r="F9" s="60"/>
      <c r="G9" s="60"/>
      <c r="H9" s="61"/>
    </row>
    <row r="10" spans="1:8">
      <c r="A10" s="58" t="s">
        <v>253</v>
      </c>
      <c r="F10" s="60"/>
      <c r="G10" s="60"/>
      <c r="H10" s="61"/>
    </row>
    <row r="11" spans="1:8">
      <c r="A11" s="71" t="s">
        <v>257</v>
      </c>
      <c r="B11" s="60">
        <v>1</v>
      </c>
      <c r="C11" s="60">
        <v>1</v>
      </c>
      <c r="D11" s="60">
        <v>1</v>
      </c>
      <c r="E11" s="60">
        <v>1</v>
      </c>
      <c r="F11" s="60">
        <v>1</v>
      </c>
      <c r="G11" s="60">
        <v>1</v>
      </c>
      <c r="H11" s="61">
        <v>6</v>
      </c>
    </row>
    <row r="12" spans="1:8">
      <c r="A12" s="57" t="s">
        <v>148</v>
      </c>
      <c r="F12" s="60"/>
      <c r="G12" s="60"/>
      <c r="H12" s="61"/>
    </row>
    <row r="13" spans="1:8">
      <c r="A13" s="58" t="s">
        <v>246</v>
      </c>
      <c r="F13" s="60"/>
      <c r="G13" s="60"/>
      <c r="H13" s="61"/>
    </row>
    <row r="14" spans="1:8">
      <c r="A14" s="71" t="s">
        <v>429</v>
      </c>
      <c r="B14" s="60">
        <v>0</v>
      </c>
      <c r="F14" s="60"/>
      <c r="G14" s="60"/>
      <c r="H14" s="61">
        <v>0</v>
      </c>
    </row>
    <row r="15" spans="1:8">
      <c r="A15" s="57" t="s">
        <v>47</v>
      </c>
      <c r="F15" s="60"/>
      <c r="G15" s="60"/>
      <c r="H15" s="61"/>
    </row>
    <row r="16" spans="1:8">
      <c r="A16" s="58" t="s">
        <v>259</v>
      </c>
      <c r="F16" s="60"/>
      <c r="G16" s="60"/>
      <c r="H16" s="61"/>
    </row>
    <row r="17" spans="1:8">
      <c r="A17" s="71" t="s">
        <v>260</v>
      </c>
      <c r="B17" s="60">
        <v>1</v>
      </c>
      <c r="C17" s="60">
        <v>1</v>
      </c>
      <c r="D17" s="60">
        <v>1</v>
      </c>
      <c r="E17" s="60">
        <v>1</v>
      </c>
      <c r="F17" s="60">
        <v>1</v>
      </c>
      <c r="G17" s="60">
        <v>1</v>
      </c>
      <c r="H17" s="61">
        <v>6</v>
      </c>
    </row>
    <row r="18" spans="1:8">
      <c r="A18" s="71" t="s">
        <v>267</v>
      </c>
      <c r="B18" s="60">
        <v>2</v>
      </c>
      <c r="C18" s="60">
        <v>2</v>
      </c>
      <c r="D18" s="60">
        <v>2</v>
      </c>
      <c r="E18" s="60">
        <v>2</v>
      </c>
      <c r="F18" s="60">
        <v>2</v>
      </c>
      <c r="G18" s="60">
        <v>2</v>
      </c>
      <c r="H18" s="61">
        <v>12</v>
      </c>
    </row>
    <row r="19" spans="1:8">
      <c r="A19" s="58" t="s">
        <v>278</v>
      </c>
      <c r="F19" s="60"/>
      <c r="G19" s="60"/>
      <c r="H19" s="61"/>
    </row>
    <row r="20" spans="1:8">
      <c r="A20" s="71" t="s">
        <v>429</v>
      </c>
      <c r="C20" s="60">
        <v>0</v>
      </c>
      <c r="D20" s="60">
        <v>0</v>
      </c>
      <c r="E20" s="60">
        <v>0</v>
      </c>
      <c r="F20" s="60">
        <v>0</v>
      </c>
      <c r="G20" s="60">
        <v>0</v>
      </c>
      <c r="H20" s="61">
        <v>0</v>
      </c>
    </row>
    <row r="21" spans="1:8">
      <c r="A21" s="57" t="s">
        <v>23</v>
      </c>
      <c r="F21" s="60"/>
      <c r="G21" s="60"/>
      <c r="H21" s="61"/>
    </row>
    <row r="22" spans="1:8">
      <c r="A22" s="58" t="s">
        <v>253</v>
      </c>
      <c r="F22" s="60"/>
      <c r="G22" s="60"/>
      <c r="H22" s="61"/>
    </row>
    <row r="23" spans="1:8">
      <c r="A23" s="71" t="s">
        <v>254</v>
      </c>
      <c r="B23" s="60">
        <v>1</v>
      </c>
      <c r="C23" s="60">
        <v>1</v>
      </c>
      <c r="D23" s="60">
        <v>1</v>
      </c>
      <c r="E23" s="60">
        <v>1</v>
      </c>
      <c r="F23" s="60">
        <v>1</v>
      </c>
      <c r="G23" s="60">
        <v>1</v>
      </c>
      <c r="H23" s="61">
        <v>6</v>
      </c>
    </row>
    <row r="24" spans="1:8">
      <c r="A24" s="57" t="s">
        <v>59</v>
      </c>
      <c r="F24" s="60"/>
      <c r="G24" s="60"/>
      <c r="H24" s="61"/>
    </row>
    <row r="25" spans="1:8">
      <c r="A25" s="58" t="s">
        <v>253</v>
      </c>
      <c r="F25" s="60"/>
      <c r="G25" s="60"/>
      <c r="H25" s="61"/>
    </row>
    <row r="26" spans="1:8">
      <c r="A26" s="71" t="s">
        <v>254</v>
      </c>
      <c r="B26" s="60">
        <v>1</v>
      </c>
      <c r="C26" s="60">
        <v>1</v>
      </c>
      <c r="D26" s="60">
        <v>1</v>
      </c>
      <c r="E26" s="60">
        <v>1</v>
      </c>
      <c r="F26" s="60">
        <v>1</v>
      </c>
      <c r="G26" s="60">
        <v>1</v>
      </c>
      <c r="H26" s="61">
        <v>6</v>
      </c>
    </row>
    <row r="27" spans="1:8">
      <c r="A27" s="58" t="s">
        <v>342</v>
      </c>
      <c r="F27" s="60"/>
      <c r="G27" s="60"/>
      <c r="H27" s="61"/>
    </row>
    <row r="28" spans="1:8">
      <c r="A28" s="71" t="s">
        <v>344</v>
      </c>
      <c r="B28" s="60">
        <v>1</v>
      </c>
      <c r="C28" s="60">
        <v>1</v>
      </c>
      <c r="D28" s="60">
        <v>1</v>
      </c>
      <c r="E28" s="60">
        <v>1</v>
      </c>
      <c r="F28" s="60">
        <v>1</v>
      </c>
      <c r="G28" s="60">
        <v>1</v>
      </c>
      <c r="H28" s="61">
        <v>6</v>
      </c>
    </row>
    <row r="29" spans="1:8">
      <c r="A29" s="57" t="s">
        <v>282</v>
      </c>
      <c r="F29" s="60"/>
      <c r="G29" s="60"/>
      <c r="H29" s="61"/>
    </row>
    <row r="30" spans="1:8">
      <c r="A30" s="58" t="s">
        <v>278</v>
      </c>
      <c r="F30" s="60"/>
      <c r="G30" s="60"/>
      <c r="H30" s="61"/>
    </row>
    <row r="31" spans="1:8">
      <c r="A31" s="71" t="s">
        <v>281</v>
      </c>
      <c r="B31" s="60">
        <v>2</v>
      </c>
      <c r="C31" s="60">
        <v>2</v>
      </c>
      <c r="D31" s="60">
        <v>2</v>
      </c>
      <c r="E31" s="60">
        <v>2</v>
      </c>
      <c r="F31" s="60">
        <v>2</v>
      </c>
      <c r="G31" s="60">
        <v>2</v>
      </c>
      <c r="H31" s="61">
        <v>12</v>
      </c>
    </row>
    <row r="32" spans="1:8">
      <c r="A32" s="57" t="s">
        <v>236</v>
      </c>
      <c r="F32" s="60"/>
      <c r="G32" s="60"/>
      <c r="H32" s="61"/>
    </row>
    <row r="33" spans="1:8">
      <c r="A33" s="58" t="s">
        <v>253</v>
      </c>
      <c r="F33" s="60"/>
      <c r="G33" s="60"/>
      <c r="H33" s="61"/>
    </row>
    <row r="34" spans="1:8">
      <c r="A34" s="71" t="s">
        <v>253</v>
      </c>
      <c r="B34" s="60">
        <v>1</v>
      </c>
      <c r="C34" s="60">
        <v>1</v>
      </c>
      <c r="D34" s="60">
        <v>1</v>
      </c>
      <c r="E34" s="60">
        <v>1</v>
      </c>
      <c r="F34" s="60">
        <v>1</v>
      </c>
      <c r="G34" s="60">
        <v>1</v>
      </c>
      <c r="H34" s="61">
        <v>6</v>
      </c>
    </row>
    <row r="35" spans="1:8">
      <c r="A35" s="57" t="s">
        <v>280</v>
      </c>
      <c r="F35" s="60"/>
      <c r="G35" s="60"/>
      <c r="H35" s="61"/>
    </row>
    <row r="36" spans="1:8">
      <c r="A36" s="58" t="s">
        <v>278</v>
      </c>
      <c r="F36" s="60"/>
      <c r="G36" s="60"/>
      <c r="H36" s="61"/>
    </row>
    <row r="37" spans="1:8">
      <c r="A37" s="71" t="s">
        <v>279</v>
      </c>
      <c r="B37" s="60">
        <v>2</v>
      </c>
      <c r="C37" s="60">
        <v>1</v>
      </c>
      <c r="D37" s="60">
        <v>1</v>
      </c>
      <c r="E37" s="60">
        <v>1</v>
      </c>
      <c r="F37" s="60">
        <v>1</v>
      </c>
      <c r="G37" s="60">
        <v>1</v>
      </c>
      <c r="H37" s="61">
        <v>7</v>
      </c>
    </row>
    <row r="38" spans="1:8">
      <c r="A38" s="71" t="s">
        <v>283</v>
      </c>
      <c r="B38" s="60">
        <v>2</v>
      </c>
      <c r="C38" s="60">
        <v>1</v>
      </c>
      <c r="D38" s="60">
        <v>1</v>
      </c>
      <c r="E38" s="60">
        <v>1</v>
      </c>
      <c r="F38" s="60">
        <v>1</v>
      </c>
      <c r="G38" s="60">
        <v>1</v>
      </c>
      <c r="H38" s="61">
        <v>7</v>
      </c>
    </row>
    <row r="39" spans="1:8">
      <c r="A39" s="71" t="s">
        <v>286</v>
      </c>
      <c r="B39" s="60">
        <v>1</v>
      </c>
      <c r="C39" s="60">
        <v>1</v>
      </c>
      <c r="D39" s="60">
        <v>1</v>
      </c>
      <c r="E39" s="60">
        <v>1</v>
      </c>
      <c r="F39" s="60">
        <v>1</v>
      </c>
      <c r="G39" s="60">
        <v>1</v>
      </c>
      <c r="H39" s="61">
        <v>6</v>
      </c>
    </row>
    <row r="40" spans="1:8">
      <c r="A40" s="57" t="s">
        <v>248</v>
      </c>
      <c r="F40" s="60"/>
      <c r="G40" s="60"/>
      <c r="H40" s="61"/>
    </row>
    <row r="41" spans="1:8">
      <c r="A41" s="58" t="s">
        <v>246</v>
      </c>
      <c r="F41" s="60"/>
      <c r="G41" s="60"/>
      <c r="H41" s="61"/>
    </row>
    <row r="42" spans="1:8">
      <c r="A42" s="71" t="s">
        <v>247</v>
      </c>
      <c r="B42" s="60">
        <v>2</v>
      </c>
      <c r="C42" s="60">
        <v>1</v>
      </c>
      <c r="D42" s="60">
        <v>1</v>
      </c>
      <c r="E42" s="60">
        <v>1</v>
      </c>
      <c r="F42" s="60">
        <v>1</v>
      </c>
      <c r="G42" s="60">
        <v>1</v>
      </c>
      <c r="H42" s="61">
        <v>7</v>
      </c>
    </row>
    <row r="43" spans="1:8">
      <c r="A43" s="71" t="s">
        <v>437</v>
      </c>
      <c r="B43" s="60">
        <v>0</v>
      </c>
      <c r="C43" s="60">
        <v>0</v>
      </c>
      <c r="D43" s="60">
        <v>0</v>
      </c>
      <c r="E43" s="60">
        <v>0</v>
      </c>
      <c r="F43" s="60">
        <v>0</v>
      </c>
      <c r="G43" s="60">
        <v>0</v>
      </c>
      <c r="H43" s="61">
        <v>0</v>
      </c>
    </row>
    <row r="44" spans="1:8">
      <c r="A44" s="43" t="s">
        <v>202</v>
      </c>
      <c r="B44" s="60">
        <v>17</v>
      </c>
      <c r="C44" s="60">
        <v>14</v>
      </c>
      <c r="D44" s="60">
        <v>14</v>
      </c>
      <c r="E44" s="60">
        <v>14</v>
      </c>
      <c r="F44" s="60">
        <v>14</v>
      </c>
      <c r="G44" s="60">
        <v>14</v>
      </c>
      <c r="H44" s="61">
        <v>87</v>
      </c>
    </row>
    <row r="45" spans="1:8">
      <c r="A45"/>
      <c r="B45"/>
      <c r="C45"/>
      <c r="D45"/>
      <c r="E45"/>
      <c r="F45"/>
      <c r="G45"/>
    </row>
    <row r="46" spans="1:8">
      <c r="A46"/>
      <c r="B46"/>
      <c r="C46"/>
      <c r="D46"/>
      <c r="E46"/>
      <c r="F46"/>
      <c r="G46"/>
    </row>
    <row r="47" spans="1:8">
      <c r="A47"/>
      <c r="B47"/>
      <c r="C47"/>
      <c r="D47"/>
      <c r="E47"/>
      <c r="F47"/>
      <c r="G47"/>
    </row>
    <row r="48" spans="1:8">
      <c r="A48"/>
      <c r="B48"/>
      <c r="C48"/>
      <c r="D48"/>
      <c r="E48"/>
      <c r="F48"/>
      <c r="G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spans="1:7">
      <c r="A385"/>
      <c r="B385"/>
      <c r="C385"/>
      <c r="D385"/>
      <c r="E385"/>
      <c r="F385"/>
      <c r="G385"/>
    </row>
    <row r="386" spans="1:7">
      <c r="A386"/>
      <c r="B386"/>
      <c r="C386"/>
      <c r="D386"/>
      <c r="E386"/>
      <c r="F386"/>
      <c r="G386"/>
    </row>
    <row r="387" spans="1:7">
      <c r="A387"/>
      <c r="B387"/>
      <c r="C387"/>
      <c r="D387"/>
      <c r="E387"/>
      <c r="F387"/>
      <c r="G387"/>
    </row>
    <row r="388" spans="1:7">
      <c r="A388"/>
      <c r="B388"/>
      <c r="C388"/>
      <c r="D388"/>
      <c r="E388"/>
      <c r="F388"/>
      <c r="G388"/>
    </row>
    <row r="389" spans="1:7">
      <c r="A389"/>
      <c r="B389"/>
      <c r="C389"/>
      <c r="D389"/>
      <c r="E389"/>
      <c r="F389"/>
      <c r="G389"/>
    </row>
    <row r="390" spans="1:7">
      <c r="A390"/>
      <c r="B390"/>
      <c r="C390"/>
      <c r="D390"/>
      <c r="E390"/>
      <c r="F390"/>
      <c r="G390"/>
    </row>
    <row r="391" spans="1:7">
      <c r="A391"/>
      <c r="B391"/>
      <c r="C391"/>
      <c r="D391"/>
      <c r="E391"/>
      <c r="F391"/>
      <c r="G391"/>
    </row>
    <row r="392" spans="1:7">
      <c r="A392"/>
      <c r="B392"/>
      <c r="C392"/>
      <c r="D392"/>
      <c r="E392"/>
      <c r="F392"/>
      <c r="G392"/>
    </row>
    <row r="393" spans="1:7">
      <c r="A393"/>
      <c r="B393"/>
      <c r="C393"/>
      <c r="D393"/>
      <c r="E393"/>
      <c r="F393"/>
      <c r="G393"/>
    </row>
    <row r="394" spans="1:7">
      <c r="A394"/>
      <c r="B394"/>
      <c r="C394"/>
      <c r="D394" s="32"/>
      <c r="E394" s="32"/>
      <c r="F394" s="32"/>
    </row>
    <row r="395" spans="1:7">
      <c r="A395"/>
      <c r="B395"/>
      <c r="C395"/>
      <c r="D395" s="32"/>
      <c r="E395" s="32"/>
      <c r="F395" s="32"/>
    </row>
    <row r="396" spans="1:7">
      <c r="A396"/>
      <c r="B396"/>
      <c r="C396"/>
      <c r="D396" s="32"/>
      <c r="E396" s="32"/>
      <c r="F396" s="32"/>
    </row>
    <row r="397" spans="1:7">
      <c r="A397"/>
      <c r="B397"/>
      <c r="C397"/>
      <c r="D397" s="32"/>
      <c r="E397" s="32"/>
      <c r="F397" s="32"/>
    </row>
    <row r="398" spans="1:7">
      <c r="A398"/>
      <c r="B398"/>
      <c r="C398"/>
      <c r="D398" s="32"/>
      <c r="E398" s="32"/>
      <c r="F398" s="32"/>
    </row>
    <row r="399" spans="1:7">
      <c r="A399"/>
      <c r="B399"/>
      <c r="C399"/>
      <c r="D399" s="32"/>
      <c r="E399" s="32"/>
      <c r="F399" s="32"/>
    </row>
    <row r="400" spans="1:7">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E6B95-6CEE-B345-9BD5-43D17F9A4EA8}">
  <sheetPr>
    <tabColor rgb="FFFFFF00"/>
    <pageSetUpPr fitToPage="1"/>
  </sheetPr>
  <dimension ref="A1:I1568"/>
  <sheetViews>
    <sheetView zoomScaleNormal="100" workbookViewId="0">
      <selection activeCell="A20" sqref="A20"/>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9" width="12" customWidth="1"/>
    <col min="10"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9" ht="23.45" customHeight="1">
      <c r="A1" s="166" t="s">
        <v>442</v>
      </c>
      <c r="B1" s="166"/>
      <c r="C1" s="166"/>
      <c r="D1" s="32"/>
      <c r="E1" s="32"/>
      <c r="F1" s="32"/>
    </row>
    <row r="2" spans="1:9">
      <c r="A2" s="56" t="s">
        <v>0</v>
      </c>
      <c r="B2" t="s">
        <v>222</v>
      </c>
    </row>
    <row r="3" spans="1:9">
      <c r="A3" s="56" t="s">
        <v>11</v>
      </c>
      <c r="B3" t="s">
        <v>222</v>
      </c>
    </row>
    <row r="4" spans="1:9">
      <c r="A4" s="56" t="s">
        <v>2</v>
      </c>
      <c r="B4" t="s">
        <v>369</v>
      </c>
    </row>
    <row r="6" spans="1:9">
      <c r="A6" s="56" t="s">
        <v>428</v>
      </c>
      <c r="B6" s="56" t="s">
        <v>186</v>
      </c>
      <c r="F6" s="60"/>
      <c r="G6" s="60"/>
      <c r="H6" s="60"/>
      <c r="I6" s="60"/>
    </row>
    <row r="7" spans="1:9">
      <c r="A7" s="76" t="s">
        <v>218</v>
      </c>
      <c r="B7" s="105" t="s">
        <v>208</v>
      </c>
      <c r="C7" s="105" t="s">
        <v>211</v>
      </c>
      <c r="D7" s="105" t="s">
        <v>212</v>
      </c>
      <c r="E7" s="105" t="s">
        <v>213</v>
      </c>
      <c r="F7" s="105" t="s">
        <v>214</v>
      </c>
      <c r="G7" s="105" t="s">
        <v>19</v>
      </c>
      <c r="H7" s="105">
        <v>974</v>
      </c>
      <c r="I7" s="104" t="s">
        <v>202</v>
      </c>
    </row>
    <row r="8" spans="1:9">
      <c r="A8" s="43" t="s">
        <v>188</v>
      </c>
      <c r="F8" s="60"/>
      <c r="G8" s="60"/>
      <c r="H8" s="60"/>
      <c r="I8" s="61"/>
    </row>
    <row r="9" spans="1:9">
      <c r="A9" s="57" t="s">
        <v>111</v>
      </c>
      <c r="F9" s="60"/>
      <c r="G9" s="60"/>
      <c r="H9" s="60"/>
      <c r="I9" s="61"/>
    </row>
    <row r="10" spans="1:9">
      <c r="A10" s="58" t="s">
        <v>288</v>
      </c>
      <c r="F10" s="60"/>
      <c r="G10" s="60"/>
      <c r="H10" s="60"/>
      <c r="I10" s="61"/>
    </row>
    <row r="11" spans="1:9">
      <c r="A11" s="71" t="s">
        <v>417</v>
      </c>
      <c r="B11" s="60">
        <v>0</v>
      </c>
      <c r="C11" s="60">
        <v>0</v>
      </c>
      <c r="D11" s="60">
        <v>0</v>
      </c>
      <c r="E11" s="60">
        <v>0</v>
      </c>
      <c r="F11" s="60">
        <v>0</v>
      </c>
      <c r="G11" s="60"/>
      <c r="H11" s="60">
        <v>0</v>
      </c>
      <c r="I11" s="61">
        <v>0</v>
      </c>
    </row>
    <row r="12" spans="1:9">
      <c r="A12" s="57" t="s">
        <v>148</v>
      </c>
      <c r="F12" s="60"/>
      <c r="G12" s="60"/>
      <c r="H12" s="60"/>
      <c r="I12" s="61"/>
    </row>
    <row r="13" spans="1:9">
      <c r="A13" s="58" t="s">
        <v>246</v>
      </c>
      <c r="F13" s="60"/>
      <c r="G13" s="60"/>
      <c r="H13" s="60"/>
      <c r="I13" s="61"/>
    </row>
    <row r="14" spans="1:9">
      <c r="A14" s="71" t="s">
        <v>443</v>
      </c>
      <c r="C14" s="60">
        <v>0</v>
      </c>
      <c r="F14" s="60"/>
      <c r="G14" s="60"/>
      <c r="H14" s="60"/>
      <c r="I14" s="61">
        <v>0</v>
      </c>
    </row>
    <row r="15" spans="1:9">
      <c r="A15" s="71" t="s">
        <v>444</v>
      </c>
      <c r="B15" s="60">
        <v>0</v>
      </c>
      <c r="F15" s="60"/>
      <c r="G15" s="60"/>
      <c r="H15" s="60"/>
      <c r="I15" s="61">
        <v>0</v>
      </c>
    </row>
    <row r="16" spans="1:9">
      <c r="A16" s="71" t="s">
        <v>445</v>
      </c>
      <c r="B16" s="60">
        <v>0</v>
      </c>
      <c r="C16" s="60">
        <v>0</v>
      </c>
      <c r="D16" s="60">
        <v>0</v>
      </c>
      <c r="E16" s="60">
        <v>0</v>
      </c>
      <c r="F16" s="60">
        <v>0</v>
      </c>
      <c r="G16" s="60"/>
      <c r="H16" s="60">
        <v>0</v>
      </c>
      <c r="I16" s="61">
        <v>0</v>
      </c>
    </row>
    <row r="17" spans="1:9">
      <c r="A17" s="58" t="s">
        <v>288</v>
      </c>
      <c r="F17" s="60"/>
      <c r="G17" s="60"/>
      <c r="H17" s="60"/>
      <c r="I17" s="61"/>
    </row>
    <row r="18" spans="1:9">
      <c r="A18" s="71" t="s">
        <v>417</v>
      </c>
      <c r="B18" s="60">
        <v>0</v>
      </c>
      <c r="C18" s="60">
        <v>0</v>
      </c>
      <c r="D18" s="60">
        <v>0</v>
      </c>
      <c r="E18" s="60">
        <v>0</v>
      </c>
      <c r="F18" s="60">
        <v>0</v>
      </c>
      <c r="G18" s="60"/>
      <c r="H18" s="60">
        <v>0</v>
      </c>
      <c r="I18" s="61">
        <v>0</v>
      </c>
    </row>
    <row r="19" spans="1:9">
      <c r="A19" s="58" t="s">
        <v>305</v>
      </c>
      <c r="F19" s="60"/>
      <c r="G19" s="60"/>
      <c r="H19" s="60"/>
      <c r="I19" s="61"/>
    </row>
    <row r="20" spans="1:9">
      <c r="A20" s="71" t="s">
        <v>307</v>
      </c>
      <c r="B20" s="60">
        <v>0</v>
      </c>
      <c r="C20" s="60">
        <v>0</v>
      </c>
      <c r="D20" s="60">
        <v>0</v>
      </c>
      <c r="E20" s="60">
        <v>0</v>
      </c>
      <c r="F20" s="60">
        <v>0</v>
      </c>
      <c r="G20" s="60"/>
      <c r="H20" s="60">
        <v>0</v>
      </c>
      <c r="I20" s="61">
        <v>0</v>
      </c>
    </row>
    <row r="21" spans="1:9">
      <c r="A21" s="71" t="s">
        <v>312</v>
      </c>
      <c r="B21" s="60">
        <v>0</v>
      </c>
      <c r="D21" s="60">
        <v>0</v>
      </c>
      <c r="E21" s="60">
        <v>0</v>
      </c>
      <c r="F21" s="60">
        <v>0</v>
      </c>
      <c r="G21" s="60"/>
      <c r="H21" s="60">
        <v>0</v>
      </c>
      <c r="I21" s="61">
        <v>0</v>
      </c>
    </row>
    <row r="22" spans="1:9">
      <c r="A22" s="57" t="s">
        <v>47</v>
      </c>
      <c r="F22" s="60"/>
      <c r="G22" s="60"/>
      <c r="H22" s="60"/>
      <c r="I22" s="61"/>
    </row>
    <row r="23" spans="1:9">
      <c r="A23" s="58" t="s">
        <v>246</v>
      </c>
      <c r="F23" s="60"/>
      <c r="G23" s="60"/>
      <c r="H23" s="60"/>
      <c r="I23" s="61"/>
    </row>
    <row r="24" spans="1:9">
      <c r="A24" s="71" t="s">
        <v>309</v>
      </c>
      <c r="C24" s="60">
        <v>2</v>
      </c>
      <c r="F24" s="60"/>
      <c r="G24" s="60"/>
      <c r="H24" s="60"/>
      <c r="I24" s="61">
        <v>2</v>
      </c>
    </row>
    <row r="25" spans="1:9">
      <c r="A25" s="71" t="s">
        <v>310</v>
      </c>
      <c r="C25" s="60">
        <v>2</v>
      </c>
      <c r="F25" s="60"/>
      <c r="G25" s="60"/>
      <c r="H25" s="60"/>
      <c r="I25" s="61">
        <v>2</v>
      </c>
    </row>
    <row r="26" spans="1:9">
      <c r="A26" s="71" t="s">
        <v>443</v>
      </c>
      <c r="C26" s="60">
        <v>2</v>
      </c>
      <c r="F26" s="60"/>
      <c r="G26" s="60"/>
      <c r="H26" s="60"/>
      <c r="I26" s="61">
        <v>2</v>
      </c>
    </row>
    <row r="27" spans="1:9">
      <c r="A27" s="71" t="s">
        <v>249</v>
      </c>
      <c r="B27" s="60">
        <v>3</v>
      </c>
      <c r="C27" s="60">
        <v>3</v>
      </c>
      <c r="D27" s="60">
        <v>3</v>
      </c>
      <c r="E27" s="60">
        <v>3</v>
      </c>
      <c r="F27" s="60">
        <v>3</v>
      </c>
      <c r="G27" s="60"/>
      <c r="H27" s="60">
        <v>3</v>
      </c>
      <c r="I27" s="61">
        <v>18</v>
      </c>
    </row>
    <row r="28" spans="1:9">
      <c r="A28" s="71" t="s">
        <v>444</v>
      </c>
      <c r="B28" s="60">
        <v>0</v>
      </c>
      <c r="F28" s="60"/>
      <c r="G28" s="60"/>
      <c r="H28" s="60"/>
      <c r="I28" s="61">
        <v>0</v>
      </c>
    </row>
    <row r="29" spans="1:9">
      <c r="A29" s="71" t="s">
        <v>250</v>
      </c>
      <c r="B29" s="60">
        <v>4</v>
      </c>
      <c r="C29" s="60">
        <v>4</v>
      </c>
      <c r="D29" s="60">
        <v>4</v>
      </c>
      <c r="E29" s="60">
        <v>4</v>
      </c>
      <c r="F29" s="60">
        <v>4</v>
      </c>
      <c r="G29" s="60"/>
      <c r="H29" s="60">
        <v>4</v>
      </c>
      <c r="I29" s="61">
        <v>24</v>
      </c>
    </row>
    <row r="30" spans="1:9">
      <c r="A30" s="58" t="s">
        <v>268</v>
      </c>
      <c r="F30" s="60"/>
      <c r="G30" s="60"/>
      <c r="H30" s="60"/>
      <c r="I30" s="61"/>
    </row>
    <row r="31" spans="1:9">
      <c r="A31" s="71" t="s">
        <v>272</v>
      </c>
      <c r="B31" s="60">
        <v>0</v>
      </c>
      <c r="C31" s="60">
        <v>0</v>
      </c>
      <c r="D31" s="60">
        <v>0</v>
      </c>
      <c r="E31" s="60">
        <v>0</v>
      </c>
      <c r="F31" s="60">
        <v>0</v>
      </c>
      <c r="G31" s="60"/>
      <c r="H31" s="60">
        <v>0</v>
      </c>
      <c r="I31" s="61">
        <v>0</v>
      </c>
    </row>
    <row r="32" spans="1:9">
      <c r="A32" s="58" t="s">
        <v>288</v>
      </c>
      <c r="F32" s="60"/>
      <c r="G32" s="60"/>
      <c r="H32" s="60"/>
      <c r="I32" s="61"/>
    </row>
    <row r="33" spans="1:9">
      <c r="A33" s="71" t="s">
        <v>417</v>
      </c>
      <c r="B33" s="60">
        <v>0</v>
      </c>
      <c r="C33" s="60">
        <v>0</v>
      </c>
      <c r="D33" s="60">
        <v>0</v>
      </c>
      <c r="E33" s="60">
        <v>0</v>
      </c>
      <c r="F33" s="60">
        <v>0</v>
      </c>
      <c r="G33" s="60"/>
      <c r="H33" s="60">
        <v>0</v>
      </c>
      <c r="I33" s="61">
        <v>0</v>
      </c>
    </row>
    <row r="34" spans="1:9">
      <c r="A34" s="58" t="s">
        <v>305</v>
      </c>
      <c r="F34" s="60"/>
      <c r="G34" s="60"/>
      <c r="H34" s="60"/>
      <c r="I34" s="61"/>
    </row>
    <row r="35" spans="1:9">
      <c r="A35" s="71" t="s">
        <v>307</v>
      </c>
      <c r="B35" s="60">
        <v>2</v>
      </c>
      <c r="C35" s="60">
        <v>2</v>
      </c>
      <c r="D35" s="60">
        <v>2</v>
      </c>
      <c r="E35" s="60">
        <v>2</v>
      </c>
      <c r="F35" s="60">
        <v>2</v>
      </c>
      <c r="G35" s="60"/>
      <c r="H35" s="60">
        <v>2</v>
      </c>
      <c r="I35" s="61">
        <v>12</v>
      </c>
    </row>
    <row r="36" spans="1:9">
      <c r="A36" s="71" t="s">
        <v>309</v>
      </c>
      <c r="B36" s="60">
        <v>2</v>
      </c>
      <c r="D36" s="60">
        <v>2</v>
      </c>
      <c r="E36" s="60">
        <v>2</v>
      </c>
      <c r="F36" s="60">
        <v>2</v>
      </c>
      <c r="G36" s="60"/>
      <c r="H36" s="60">
        <v>2</v>
      </c>
      <c r="I36" s="61">
        <v>10</v>
      </c>
    </row>
    <row r="37" spans="1:9">
      <c r="A37" s="71" t="s">
        <v>310</v>
      </c>
      <c r="B37" s="60">
        <v>2</v>
      </c>
      <c r="D37" s="60">
        <v>2</v>
      </c>
      <c r="E37" s="60">
        <v>2</v>
      </c>
      <c r="F37" s="60">
        <v>2</v>
      </c>
      <c r="G37" s="60"/>
      <c r="H37" s="60">
        <v>2</v>
      </c>
      <c r="I37" s="61">
        <v>10</v>
      </c>
    </row>
    <row r="38" spans="1:9">
      <c r="A38" s="71" t="s">
        <v>312</v>
      </c>
      <c r="B38" s="60">
        <v>2</v>
      </c>
      <c r="D38" s="60">
        <v>2</v>
      </c>
      <c r="E38" s="60">
        <v>2</v>
      </c>
      <c r="F38" s="60">
        <v>2</v>
      </c>
      <c r="G38" s="60"/>
      <c r="H38" s="60">
        <v>2</v>
      </c>
      <c r="I38" s="61">
        <v>10</v>
      </c>
    </row>
    <row r="39" spans="1:9">
      <c r="A39" s="71" t="s">
        <v>313</v>
      </c>
      <c r="B39" s="60">
        <v>0</v>
      </c>
      <c r="C39" s="60">
        <v>0</v>
      </c>
      <c r="D39" s="60">
        <v>0</v>
      </c>
      <c r="E39" s="60">
        <v>0</v>
      </c>
      <c r="F39" s="60">
        <v>0</v>
      </c>
      <c r="G39" s="60"/>
      <c r="H39" s="60">
        <v>0</v>
      </c>
      <c r="I39" s="61">
        <v>0</v>
      </c>
    </row>
    <row r="40" spans="1:9">
      <c r="A40" s="71" t="s">
        <v>317</v>
      </c>
      <c r="B40" s="60">
        <v>6</v>
      </c>
      <c r="C40" s="60">
        <v>8</v>
      </c>
      <c r="D40" s="60">
        <v>6</v>
      </c>
      <c r="E40" s="60">
        <v>5</v>
      </c>
      <c r="F40" s="60">
        <v>8</v>
      </c>
      <c r="G40" s="60"/>
      <c r="H40" s="60">
        <v>6</v>
      </c>
      <c r="I40" s="61">
        <v>39</v>
      </c>
    </row>
    <row r="41" spans="1:9">
      <c r="A41" s="58" t="s">
        <v>345</v>
      </c>
      <c r="F41" s="60"/>
      <c r="G41" s="60"/>
      <c r="H41" s="60"/>
      <c r="I41" s="61"/>
    </row>
    <row r="42" spans="1:9">
      <c r="A42" s="71" t="s">
        <v>446</v>
      </c>
      <c r="F42" s="60"/>
      <c r="G42" s="60">
        <v>1</v>
      </c>
      <c r="H42" s="60"/>
      <c r="I42" s="61">
        <v>1</v>
      </c>
    </row>
    <row r="43" spans="1:9">
      <c r="A43" s="57" t="s">
        <v>23</v>
      </c>
      <c r="F43" s="60"/>
      <c r="G43" s="60"/>
      <c r="H43" s="60"/>
      <c r="I43" s="61"/>
    </row>
    <row r="44" spans="1:9">
      <c r="A44" s="58" t="s">
        <v>305</v>
      </c>
      <c r="F44" s="60"/>
      <c r="G44" s="60"/>
      <c r="H44" s="60"/>
      <c r="I44" s="61"/>
    </row>
    <row r="45" spans="1:9">
      <c r="A45" s="71" t="s">
        <v>307</v>
      </c>
      <c r="B45" s="60">
        <v>1</v>
      </c>
      <c r="C45" s="60">
        <v>1</v>
      </c>
      <c r="D45" s="60">
        <v>1</v>
      </c>
      <c r="E45" s="60">
        <v>1</v>
      </c>
      <c r="F45" s="60">
        <v>1</v>
      </c>
      <c r="G45" s="60"/>
      <c r="H45" s="60">
        <v>1</v>
      </c>
      <c r="I45" s="61">
        <v>6</v>
      </c>
    </row>
    <row r="46" spans="1:9">
      <c r="A46" s="57" t="s">
        <v>59</v>
      </c>
      <c r="F46" s="60"/>
      <c r="G46" s="60"/>
      <c r="H46" s="60"/>
      <c r="I46" s="61"/>
    </row>
    <row r="47" spans="1:9">
      <c r="A47" s="58" t="s">
        <v>305</v>
      </c>
      <c r="F47" s="60"/>
      <c r="G47" s="60"/>
      <c r="H47" s="60"/>
      <c r="I47" s="61"/>
    </row>
    <row r="48" spans="1:9">
      <c r="A48" s="71" t="s">
        <v>307</v>
      </c>
      <c r="B48" s="60">
        <v>2</v>
      </c>
      <c r="C48" s="60">
        <v>2</v>
      </c>
      <c r="D48" s="60">
        <v>2</v>
      </c>
      <c r="E48" s="60">
        <v>2</v>
      </c>
      <c r="F48" s="60">
        <v>2</v>
      </c>
      <c r="G48" s="60"/>
      <c r="H48" s="60">
        <v>2</v>
      </c>
      <c r="I48" s="61">
        <v>12</v>
      </c>
    </row>
    <row r="49" spans="1:9">
      <c r="A49" s="58" t="s">
        <v>345</v>
      </c>
      <c r="F49" s="60"/>
      <c r="G49" s="60"/>
      <c r="H49" s="60"/>
      <c r="I49" s="61"/>
    </row>
    <row r="50" spans="1:9">
      <c r="A50" s="71" t="s">
        <v>359</v>
      </c>
      <c r="F50" s="60"/>
      <c r="G50" s="60">
        <v>1</v>
      </c>
      <c r="H50" s="60"/>
      <c r="I50" s="61">
        <v>1</v>
      </c>
    </row>
    <row r="51" spans="1:9">
      <c r="A51" s="57" t="s">
        <v>282</v>
      </c>
      <c r="F51" s="60"/>
      <c r="G51" s="60"/>
      <c r="H51" s="60"/>
      <c r="I51" s="61"/>
    </row>
    <row r="52" spans="1:9">
      <c r="A52" s="58" t="s">
        <v>278</v>
      </c>
      <c r="F52" s="60"/>
      <c r="G52" s="60"/>
      <c r="H52" s="60"/>
      <c r="I52" s="61"/>
    </row>
    <row r="53" spans="1:9">
      <c r="A53" s="71" t="s">
        <v>284</v>
      </c>
      <c r="B53" s="60">
        <v>13</v>
      </c>
      <c r="C53" s="60">
        <v>13</v>
      </c>
      <c r="D53" s="60">
        <v>13</v>
      </c>
      <c r="E53" s="60">
        <v>13</v>
      </c>
      <c r="F53" s="60">
        <v>13</v>
      </c>
      <c r="G53" s="60"/>
      <c r="H53" s="60">
        <v>13</v>
      </c>
      <c r="I53" s="61">
        <v>78</v>
      </c>
    </row>
    <row r="54" spans="1:9">
      <c r="A54" s="57" t="s">
        <v>53</v>
      </c>
      <c r="F54" s="60"/>
      <c r="G54" s="60"/>
      <c r="H54" s="60"/>
      <c r="I54" s="61"/>
    </row>
    <row r="55" spans="1:9">
      <c r="A55" s="58" t="s">
        <v>246</v>
      </c>
      <c r="F55" s="60"/>
      <c r="G55" s="60"/>
      <c r="H55" s="60"/>
      <c r="I55" s="61"/>
    </row>
    <row r="56" spans="1:9">
      <c r="A56" s="71" t="s">
        <v>251</v>
      </c>
      <c r="B56" s="60">
        <v>1</v>
      </c>
      <c r="C56" s="60">
        <v>1</v>
      </c>
      <c r="D56" s="60">
        <v>1</v>
      </c>
      <c r="E56" s="60">
        <v>1</v>
      </c>
      <c r="F56" s="60">
        <v>1</v>
      </c>
      <c r="G56" s="60"/>
      <c r="H56" s="60">
        <v>1</v>
      </c>
      <c r="I56" s="61">
        <v>6</v>
      </c>
    </row>
    <row r="57" spans="1:9">
      <c r="A57" s="57" t="s">
        <v>252</v>
      </c>
      <c r="F57" s="60"/>
      <c r="G57" s="60"/>
      <c r="H57" s="60"/>
      <c r="I57" s="61"/>
    </row>
    <row r="58" spans="1:9">
      <c r="A58" s="58" t="s">
        <v>246</v>
      </c>
      <c r="F58" s="60"/>
      <c r="G58" s="60"/>
      <c r="H58" s="60"/>
      <c r="I58" s="61"/>
    </row>
    <row r="59" spans="1:9">
      <c r="A59" s="71" t="s">
        <v>251</v>
      </c>
      <c r="B59" s="60">
        <v>1</v>
      </c>
      <c r="C59" s="60">
        <v>1</v>
      </c>
      <c r="D59" s="60">
        <v>1</v>
      </c>
      <c r="E59" s="60">
        <v>1</v>
      </c>
      <c r="F59" s="60">
        <v>1</v>
      </c>
      <c r="G59" s="60"/>
      <c r="H59" s="60">
        <v>1</v>
      </c>
      <c r="I59" s="61">
        <v>6</v>
      </c>
    </row>
    <row r="60" spans="1:9">
      <c r="A60" s="57" t="s">
        <v>273</v>
      </c>
      <c r="F60" s="60"/>
      <c r="G60" s="60"/>
      <c r="H60" s="60"/>
      <c r="I60" s="61"/>
    </row>
    <row r="61" spans="1:9">
      <c r="A61" s="58" t="s">
        <v>268</v>
      </c>
      <c r="F61" s="60"/>
      <c r="G61" s="60"/>
      <c r="H61" s="60"/>
      <c r="I61" s="61"/>
    </row>
    <row r="62" spans="1:9">
      <c r="A62" s="71" t="s">
        <v>272</v>
      </c>
      <c r="B62" s="60">
        <v>1</v>
      </c>
      <c r="C62" s="60">
        <v>1</v>
      </c>
      <c r="D62" s="60">
        <v>1</v>
      </c>
      <c r="E62" s="60">
        <v>1</v>
      </c>
      <c r="F62" s="60">
        <v>1</v>
      </c>
      <c r="G62" s="60"/>
      <c r="H62" s="60">
        <v>1</v>
      </c>
      <c r="I62" s="61">
        <v>6</v>
      </c>
    </row>
    <row r="63" spans="1:9">
      <c r="A63" s="58" t="s">
        <v>345</v>
      </c>
      <c r="F63" s="60"/>
      <c r="G63" s="60"/>
      <c r="H63" s="60"/>
      <c r="I63" s="61"/>
    </row>
    <row r="64" spans="1:9">
      <c r="A64" s="71" t="s">
        <v>272</v>
      </c>
      <c r="F64" s="60"/>
      <c r="G64" s="60">
        <v>1</v>
      </c>
      <c r="H64" s="60"/>
      <c r="I64" s="61">
        <v>1</v>
      </c>
    </row>
    <row r="65" spans="1:9">
      <c r="A65" s="57" t="s">
        <v>256</v>
      </c>
      <c r="F65" s="60"/>
      <c r="G65" s="60"/>
      <c r="H65" s="60"/>
      <c r="I65" s="61"/>
    </row>
    <row r="66" spans="1:9">
      <c r="A66" s="58" t="s">
        <v>253</v>
      </c>
      <c r="F66" s="60"/>
      <c r="G66" s="60"/>
      <c r="H66" s="60"/>
      <c r="I66" s="61"/>
    </row>
    <row r="67" spans="1:9">
      <c r="A67" s="71" t="s">
        <v>255</v>
      </c>
      <c r="B67" s="60">
        <v>4</v>
      </c>
      <c r="C67" s="60">
        <v>4</v>
      </c>
      <c r="D67" s="60">
        <v>4</v>
      </c>
      <c r="E67" s="60">
        <v>4</v>
      </c>
      <c r="F67" s="60">
        <v>4</v>
      </c>
      <c r="G67" s="60"/>
      <c r="H67" s="60">
        <v>4</v>
      </c>
      <c r="I67" s="61">
        <v>24</v>
      </c>
    </row>
    <row r="68" spans="1:9">
      <c r="A68" s="58" t="s">
        <v>259</v>
      </c>
      <c r="F68" s="60"/>
      <c r="G68" s="60"/>
      <c r="H68" s="60"/>
      <c r="I68" s="61"/>
    </row>
    <row r="69" spans="1:9">
      <c r="A69" s="71" t="s">
        <v>265</v>
      </c>
      <c r="B69" s="60">
        <v>8</v>
      </c>
      <c r="C69" s="60">
        <v>8</v>
      </c>
      <c r="D69" s="60">
        <v>8</v>
      </c>
      <c r="E69" s="60">
        <v>8</v>
      </c>
      <c r="F69" s="60">
        <v>8</v>
      </c>
      <c r="G69" s="60"/>
      <c r="H69" s="60">
        <v>8</v>
      </c>
      <c r="I69" s="61">
        <v>48</v>
      </c>
    </row>
    <row r="70" spans="1:9">
      <c r="A70" s="71" t="s">
        <v>266</v>
      </c>
      <c r="C70" s="60">
        <v>4</v>
      </c>
      <c r="D70" s="60">
        <v>4</v>
      </c>
      <c r="E70" s="60">
        <v>4</v>
      </c>
      <c r="F70" s="60">
        <v>4</v>
      </c>
      <c r="G70" s="60"/>
      <c r="H70" s="60">
        <v>4</v>
      </c>
      <c r="I70" s="61">
        <v>20</v>
      </c>
    </row>
    <row r="71" spans="1:9">
      <c r="A71" s="71" t="s">
        <v>447</v>
      </c>
      <c r="B71" s="60">
        <v>4</v>
      </c>
      <c r="F71" s="60"/>
      <c r="G71" s="60"/>
      <c r="H71" s="60"/>
      <c r="I71" s="61">
        <v>4</v>
      </c>
    </row>
    <row r="72" spans="1:9">
      <c r="A72" s="57" t="s">
        <v>280</v>
      </c>
      <c r="F72" s="60"/>
      <c r="G72" s="60"/>
      <c r="H72" s="60"/>
      <c r="I72" s="61"/>
    </row>
    <row r="73" spans="1:9">
      <c r="A73" s="58" t="s">
        <v>278</v>
      </c>
      <c r="F73" s="60"/>
      <c r="G73" s="60"/>
      <c r="H73" s="60"/>
      <c r="I73" s="61"/>
    </row>
    <row r="74" spans="1:9">
      <c r="A74" s="71" t="s">
        <v>284</v>
      </c>
      <c r="B74" s="60">
        <v>26</v>
      </c>
      <c r="C74" s="60">
        <v>26</v>
      </c>
      <c r="D74" s="60">
        <v>26</v>
      </c>
      <c r="E74" s="60">
        <v>26</v>
      </c>
      <c r="F74" s="60">
        <v>26</v>
      </c>
      <c r="G74" s="60"/>
      <c r="H74" s="60">
        <v>26</v>
      </c>
      <c r="I74" s="61">
        <v>156</v>
      </c>
    </row>
    <row r="75" spans="1:9">
      <c r="A75" s="43" t="s">
        <v>202</v>
      </c>
      <c r="B75" s="60">
        <v>82</v>
      </c>
      <c r="C75" s="60">
        <v>84</v>
      </c>
      <c r="D75" s="60">
        <v>82</v>
      </c>
      <c r="E75" s="60">
        <v>81</v>
      </c>
      <c r="F75" s="60">
        <v>84</v>
      </c>
      <c r="G75" s="60">
        <v>3</v>
      </c>
      <c r="H75" s="60">
        <v>82</v>
      </c>
      <c r="I75" s="61">
        <v>498</v>
      </c>
    </row>
    <row r="76" spans="1:9">
      <c r="A76"/>
      <c r="B76"/>
      <c r="C76"/>
      <c r="D76"/>
      <c r="E76"/>
      <c r="F76"/>
      <c r="G76"/>
    </row>
    <row r="77" spans="1:9">
      <c r="A77"/>
      <c r="B77"/>
      <c r="C77"/>
      <c r="D77"/>
      <c r="E77"/>
      <c r="F77"/>
      <c r="G77"/>
    </row>
    <row r="78" spans="1:9">
      <c r="A78"/>
      <c r="B78"/>
      <c r="C78"/>
      <c r="D78"/>
      <c r="E78"/>
      <c r="F78"/>
      <c r="G78"/>
    </row>
    <row r="79" spans="1:9">
      <c r="A79"/>
      <c r="B79"/>
      <c r="C79"/>
      <c r="D79"/>
      <c r="E79"/>
      <c r="F79"/>
      <c r="G79"/>
    </row>
    <row r="80" spans="1:9">
      <c r="A80"/>
      <c r="B80"/>
      <c r="C80"/>
      <c r="D80"/>
      <c r="E80"/>
      <c r="F80"/>
      <c r="G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spans="1:7">
      <c r="A385"/>
      <c r="B385"/>
      <c r="C385"/>
      <c r="D385"/>
      <c r="E385"/>
      <c r="F385"/>
      <c r="G385"/>
    </row>
    <row r="386" spans="1:7">
      <c r="A386"/>
      <c r="B386"/>
      <c r="C386"/>
      <c r="D386"/>
      <c r="E386"/>
      <c r="F386"/>
      <c r="G386"/>
    </row>
    <row r="387" spans="1:7">
      <c r="A387"/>
      <c r="B387"/>
      <c r="C387"/>
      <c r="D387"/>
      <c r="E387"/>
      <c r="F387"/>
      <c r="G387"/>
    </row>
    <row r="388" spans="1:7">
      <c r="A388"/>
      <c r="B388"/>
      <c r="C388"/>
      <c r="D388"/>
      <c r="E388"/>
      <c r="F388"/>
      <c r="G388"/>
    </row>
    <row r="389" spans="1:7">
      <c r="A389"/>
      <c r="B389"/>
      <c r="C389"/>
      <c r="D389"/>
      <c r="E389"/>
      <c r="F389"/>
      <c r="G389"/>
    </row>
    <row r="390" spans="1:7">
      <c r="A390"/>
      <c r="B390"/>
      <c r="C390"/>
      <c r="D390"/>
      <c r="E390"/>
      <c r="F390"/>
      <c r="G390"/>
    </row>
    <row r="391" spans="1:7">
      <c r="A391"/>
      <c r="B391"/>
      <c r="C391"/>
      <c r="D391"/>
      <c r="E391"/>
      <c r="F391"/>
      <c r="G391"/>
    </row>
    <row r="392" spans="1:7">
      <c r="A392"/>
      <c r="B392"/>
      <c r="C392"/>
      <c r="D392"/>
      <c r="E392"/>
      <c r="F392"/>
      <c r="G392"/>
    </row>
    <row r="393" spans="1:7">
      <c r="A393"/>
      <c r="B393"/>
      <c r="C393"/>
      <c r="D393"/>
      <c r="E393"/>
      <c r="F393"/>
      <c r="G393"/>
    </row>
    <row r="394" spans="1:7">
      <c r="A394"/>
      <c r="B394"/>
      <c r="C394"/>
      <c r="D394" s="32"/>
      <c r="E394" s="32"/>
      <c r="F394" s="32"/>
    </row>
    <row r="395" spans="1:7">
      <c r="A395"/>
      <c r="B395"/>
      <c r="C395"/>
      <c r="D395" s="32"/>
      <c r="E395" s="32"/>
      <c r="F395" s="32"/>
    </row>
    <row r="396" spans="1:7">
      <c r="A396"/>
      <c r="B396"/>
      <c r="C396"/>
      <c r="D396" s="32"/>
      <c r="E396" s="32"/>
      <c r="F396" s="32"/>
    </row>
    <row r="397" spans="1:7">
      <c r="A397"/>
      <c r="B397"/>
      <c r="C397"/>
      <c r="D397" s="32"/>
      <c r="E397" s="32"/>
      <c r="F397" s="32"/>
    </row>
    <row r="398" spans="1:7">
      <c r="A398"/>
      <c r="B398"/>
      <c r="C398"/>
      <c r="D398" s="32"/>
      <c r="E398" s="32"/>
      <c r="F398" s="32"/>
    </row>
    <row r="399" spans="1:7">
      <c r="A399"/>
      <c r="B399"/>
      <c r="C399"/>
      <c r="D399" s="32"/>
      <c r="E399" s="32"/>
      <c r="F399" s="32"/>
    </row>
    <row r="400" spans="1:7">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AE06-FAE0-4924-8771-607F9142E7ED}">
  <sheetPr>
    <tabColor rgb="FFFFFF00"/>
    <pageSetUpPr fitToPage="1"/>
  </sheetPr>
  <dimension ref="A1:G1568"/>
  <sheetViews>
    <sheetView zoomScaleNormal="100" workbookViewId="0">
      <selection activeCell="A2" sqref="A2"/>
    </sheetView>
  </sheetViews>
  <sheetFormatPr defaultColWidth="8.85546875" defaultRowHeight="14.45"/>
  <cols>
    <col min="1" max="1" width="57.140625" style="43" customWidth="1"/>
    <col min="2" max="5" width="13.42578125" style="60" customWidth="1"/>
    <col min="6" max="6" width="13.42578125" style="61" customWidth="1"/>
    <col min="7" max="7" width="13.42578125" style="32" customWidth="1"/>
    <col min="8" max="8" width="21.140625" customWidth="1"/>
    <col min="9"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66" t="s">
        <v>448</v>
      </c>
      <c r="B1" s="166"/>
      <c r="C1" s="166"/>
      <c r="D1" s="32"/>
      <c r="E1" s="114" t="s">
        <v>449</v>
      </c>
      <c r="F1" s="32"/>
    </row>
    <row r="2" spans="1:7">
      <c r="A2"/>
      <c r="B2"/>
    </row>
    <row r="3" spans="1:7">
      <c r="A3" s="56" t="s">
        <v>11</v>
      </c>
      <c r="B3" t="s">
        <v>185</v>
      </c>
    </row>
    <row r="4" spans="1:7">
      <c r="A4" s="103" t="s">
        <v>1</v>
      </c>
      <c r="B4" s="43" t="s">
        <v>222</v>
      </c>
    </row>
    <row r="6" spans="1:7">
      <c r="A6" s="56" t="s">
        <v>428</v>
      </c>
      <c r="B6" s="56" t="s">
        <v>186</v>
      </c>
      <c r="D6"/>
      <c r="E6"/>
      <c r="F6"/>
      <c r="G6"/>
    </row>
    <row r="7" spans="1:7">
      <c r="A7" s="76" t="s">
        <v>218</v>
      </c>
      <c r="B7" s="105" t="s">
        <v>211</v>
      </c>
      <c r="C7" s="104" t="s">
        <v>202</v>
      </c>
      <c r="D7"/>
      <c r="E7"/>
      <c r="F7"/>
      <c r="G7"/>
    </row>
    <row r="8" spans="1:7">
      <c r="A8" s="43" t="s">
        <v>203</v>
      </c>
      <c r="C8" s="61"/>
      <c r="D8"/>
      <c r="E8"/>
      <c r="F8"/>
      <c r="G8"/>
    </row>
    <row r="9" spans="1:7">
      <c r="A9" s="57" t="s">
        <v>77</v>
      </c>
      <c r="C9" s="61"/>
      <c r="D9"/>
      <c r="E9"/>
      <c r="F9"/>
      <c r="G9"/>
    </row>
    <row r="10" spans="1:7">
      <c r="A10" s="58" t="s">
        <v>305</v>
      </c>
      <c r="B10" s="60">
        <v>2</v>
      </c>
      <c r="C10" s="61">
        <v>2</v>
      </c>
      <c r="D10"/>
      <c r="E10"/>
      <c r="F10"/>
      <c r="G10"/>
    </row>
    <row r="11" spans="1:7">
      <c r="A11" s="71" t="s">
        <v>365</v>
      </c>
      <c r="B11" s="60">
        <v>1</v>
      </c>
      <c r="C11" s="61">
        <v>1</v>
      </c>
      <c r="D11"/>
      <c r="E11"/>
      <c r="F11"/>
      <c r="G11"/>
    </row>
    <row r="12" spans="1:7">
      <c r="A12" s="71" t="s">
        <v>311</v>
      </c>
      <c r="B12" s="60">
        <v>1</v>
      </c>
      <c r="C12" s="61">
        <v>1</v>
      </c>
      <c r="D12"/>
      <c r="E12"/>
      <c r="F12"/>
      <c r="G12"/>
    </row>
    <row r="13" spans="1:7">
      <c r="A13" s="57" t="s">
        <v>28</v>
      </c>
      <c r="C13" s="61"/>
      <c r="D13"/>
      <c r="E13"/>
      <c r="F13"/>
      <c r="G13"/>
    </row>
    <row r="14" spans="1:7">
      <c r="A14" s="58" t="s">
        <v>305</v>
      </c>
      <c r="B14" s="60">
        <v>3</v>
      </c>
      <c r="C14" s="61">
        <v>3</v>
      </c>
      <c r="D14"/>
      <c r="E14"/>
      <c r="F14"/>
      <c r="G14"/>
    </row>
    <row r="15" spans="1:7">
      <c r="A15" s="71" t="s">
        <v>311</v>
      </c>
      <c r="B15" s="60">
        <v>1</v>
      </c>
      <c r="C15" s="61">
        <v>1</v>
      </c>
      <c r="D15"/>
      <c r="E15"/>
      <c r="F15"/>
      <c r="G15"/>
    </row>
    <row r="16" spans="1:7">
      <c r="A16" s="71" t="s">
        <v>366</v>
      </c>
      <c r="B16" s="60">
        <v>1</v>
      </c>
      <c r="C16" s="61">
        <v>1</v>
      </c>
      <c r="D16"/>
      <c r="E16"/>
      <c r="F16"/>
      <c r="G16"/>
    </row>
    <row r="17" spans="1:7">
      <c r="A17" s="71" t="s">
        <v>323</v>
      </c>
      <c r="B17" s="60">
        <v>1</v>
      </c>
      <c r="C17" s="61">
        <v>1</v>
      </c>
      <c r="D17"/>
      <c r="E17"/>
      <c r="F17"/>
      <c r="G17"/>
    </row>
    <row r="18" spans="1:7">
      <c r="A18" s="57" t="s">
        <v>23</v>
      </c>
      <c r="C18" s="61"/>
      <c r="D18"/>
      <c r="E18"/>
      <c r="F18"/>
      <c r="G18"/>
    </row>
    <row r="19" spans="1:7">
      <c r="A19" s="58" t="s">
        <v>253</v>
      </c>
      <c r="B19" s="60">
        <v>1</v>
      </c>
      <c r="C19" s="61">
        <v>1</v>
      </c>
      <c r="D19"/>
      <c r="E19"/>
      <c r="F19"/>
      <c r="G19"/>
    </row>
    <row r="20" spans="1:7">
      <c r="A20" s="71" t="s">
        <v>254</v>
      </c>
      <c r="B20" s="60">
        <v>1</v>
      </c>
      <c r="C20" s="61">
        <v>1</v>
      </c>
      <c r="D20"/>
      <c r="E20"/>
      <c r="F20"/>
      <c r="G20"/>
    </row>
    <row r="21" spans="1:7">
      <c r="A21" s="58" t="s">
        <v>288</v>
      </c>
      <c r="B21" s="60">
        <v>5</v>
      </c>
      <c r="C21" s="61">
        <v>5</v>
      </c>
      <c r="D21"/>
      <c r="E21"/>
      <c r="F21"/>
      <c r="G21"/>
    </row>
    <row r="22" spans="1:7">
      <c r="A22" s="71" t="s">
        <v>315</v>
      </c>
      <c r="B22" s="60">
        <v>1</v>
      </c>
      <c r="C22" s="61">
        <v>1</v>
      </c>
      <c r="D22"/>
      <c r="E22"/>
      <c r="F22"/>
      <c r="G22"/>
    </row>
    <row r="23" spans="1:7">
      <c r="A23" s="71" t="s">
        <v>292</v>
      </c>
      <c r="B23" s="60">
        <v>1</v>
      </c>
      <c r="C23" s="61">
        <v>1</v>
      </c>
      <c r="D23"/>
      <c r="E23"/>
      <c r="F23"/>
      <c r="G23"/>
    </row>
    <row r="24" spans="1:7">
      <c r="A24" s="71" t="s">
        <v>324</v>
      </c>
      <c r="B24" s="60">
        <v>3</v>
      </c>
      <c r="C24" s="61">
        <v>3</v>
      </c>
      <c r="D24"/>
      <c r="E24"/>
      <c r="F24"/>
      <c r="G24"/>
    </row>
    <row r="25" spans="1:7">
      <c r="A25" s="58" t="s">
        <v>305</v>
      </c>
      <c r="B25" s="60">
        <v>3</v>
      </c>
      <c r="C25" s="61">
        <v>3</v>
      </c>
      <c r="D25"/>
      <c r="E25"/>
      <c r="F25"/>
      <c r="G25"/>
    </row>
    <row r="26" spans="1:7">
      <c r="A26" s="71" t="s">
        <v>307</v>
      </c>
      <c r="B26" s="60">
        <v>1</v>
      </c>
      <c r="C26" s="61">
        <v>1</v>
      </c>
      <c r="D26"/>
      <c r="E26"/>
      <c r="F26"/>
      <c r="G26"/>
    </row>
    <row r="27" spans="1:7">
      <c r="A27" s="71" t="s">
        <v>425</v>
      </c>
      <c r="B27" s="60">
        <v>1</v>
      </c>
      <c r="C27" s="61">
        <v>1</v>
      </c>
      <c r="D27"/>
      <c r="E27"/>
      <c r="F27"/>
      <c r="G27"/>
    </row>
    <row r="28" spans="1:7">
      <c r="A28" s="71" t="s">
        <v>301</v>
      </c>
      <c r="B28" s="60">
        <v>1</v>
      </c>
      <c r="C28" s="61">
        <v>1</v>
      </c>
      <c r="D28"/>
      <c r="E28"/>
      <c r="F28"/>
      <c r="G28"/>
    </row>
    <row r="29" spans="1:7">
      <c r="A29" s="58" t="s">
        <v>325</v>
      </c>
      <c r="B29" s="60">
        <v>4</v>
      </c>
      <c r="C29" s="61">
        <v>4</v>
      </c>
      <c r="D29"/>
      <c r="E29"/>
      <c r="F29"/>
      <c r="G29"/>
    </row>
    <row r="30" spans="1:7">
      <c r="A30" s="71" t="s">
        <v>426</v>
      </c>
      <c r="B30" s="60">
        <v>1</v>
      </c>
      <c r="C30" s="61">
        <v>1</v>
      </c>
      <c r="D30"/>
      <c r="E30"/>
      <c r="F30"/>
      <c r="G30"/>
    </row>
    <row r="31" spans="1:7">
      <c r="A31" s="71" t="s">
        <v>346</v>
      </c>
      <c r="B31" s="60">
        <v>1</v>
      </c>
      <c r="C31" s="61">
        <v>1</v>
      </c>
      <c r="D31"/>
      <c r="E31"/>
      <c r="F31"/>
      <c r="G31"/>
    </row>
    <row r="32" spans="1:7">
      <c r="A32" s="71" t="s">
        <v>331</v>
      </c>
      <c r="B32" s="60">
        <v>2</v>
      </c>
      <c r="C32" s="61">
        <v>2</v>
      </c>
      <c r="D32"/>
      <c r="E32"/>
      <c r="F32"/>
      <c r="G32"/>
    </row>
    <row r="33" spans="1:7">
      <c r="A33" s="58" t="s">
        <v>336</v>
      </c>
      <c r="B33" s="60">
        <v>1</v>
      </c>
      <c r="C33" s="61">
        <v>1</v>
      </c>
      <c r="D33"/>
      <c r="E33"/>
      <c r="F33"/>
      <c r="G33"/>
    </row>
    <row r="34" spans="1:7">
      <c r="A34" s="71" t="s">
        <v>427</v>
      </c>
      <c r="B34" s="60">
        <v>1</v>
      </c>
      <c r="C34" s="61">
        <v>1</v>
      </c>
      <c r="D34"/>
      <c r="E34"/>
      <c r="F34"/>
      <c r="G34"/>
    </row>
    <row r="35" spans="1:7">
      <c r="A35"/>
      <c r="B35"/>
      <c r="C35"/>
      <c r="D35"/>
      <c r="E35"/>
      <c r="F35"/>
      <c r="G35"/>
    </row>
    <row r="36" spans="1:7">
      <c r="A36"/>
      <c r="B36"/>
      <c r="C36"/>
      <c r="D36"/>
      <c r="E36"/>
      <c r="F36"/>
      <c r="G36"/>
    </row>
    <row r="37" spans="1:7">
      <c r="A37"/>
      <c r="B37"/>
      <c r="C37"/>
      <c r="D37"/>
      <c r="E37"/>
      <c r="F37"/>
      <c r="G37"/>
    </row>
    <row r="38" spans="1:7">
      <c r="A38"/>
      <c r="B38"/>
      <c r="C38"/>
      <c r="D38"/>
      <c r="E38"/>
      <c r="F38"/>
      <c r="G38"/>
    </row>
    <row r="39" spans="1:7">
      <c r="A39"/>
      <c r="B39"/>
      <c r="C39"/>
      <c r="D39"/>
      <c r="E39"/>
      <c r="F39"/>
      <c r="G39"/>
    </row>
    <row r="40" spans="1:7">
      <c r="A40"/>
      <c r="B40"/>
      <c r="C40"/>
      <c r="D40"/>
      <c r="E40"/>
      <c r="F40"/>
      <c r="G40"/>
    </row>
    <row r="41" spans="1:7">
      <c r="A41"/>
      <c r="B41"/>
      <c r="C41"/>
      <c r="D41"/>
      <c r="E41"/>
      <c r="F41"/>
      <c r="G41"/>
    </row>
    <row r="42" spans="1:7">
      <c r="A42"/>
      <c r="B42"/>
      <c r="C42"/>
      <c r="D42"/>
      <c r="E42"/>
      <c r="F42"/>
      <c r="G42"/>
    </row>
    <row r="43" spans="1:7">
      <c r="A43"/>
      <c r="B43"/>
      <c r="C43"/>
      <c r="D43"/>
      <c r="E43"/>
      <c r="F43"/>
      <c r="G43"/>
    </row>
    <row r="44" spans="1:7">
      <c r="A44"/>
      <c r="B44"/>
      <c r="C44"/>
      <c r="D44"/>
      <c r="E44"/>
      <c r="F44"/>
      <c r="G44"/>
    </row>
    <row r="45" spans="1:7">
      <c r="A45"/>
      <c r="B45"/>
      <c r="C45"/>
      <c r="D45"/>
      <c r="E45"/>
      <c r="F45"/>
      <c r="G45"/>
    </row>
    <row r="46" spans="1:7">
      <c r="A46"/>
      <c r="B46"/>
      <c r="C46"/>
      <c r="D46"/>
      <c r="E46"/>
      <c r="F46"/>
      <c r="G46"/>
    </row>
    <row r="47" spans="1:7">
      <c r="A47"/>
      <c r="B47"/>
      <c r="C47"/>
      <c r="D47"/>
      <c r="E47"/>
      <c r="F47"/>
      <c r="G47"/>
    </row>
    <row r="48" spans="1:7">
      <c r="A48"/>
      <c r="B48"/>
      <c r="C48"/>
      <c r="D48"/>
      <c r="E48"/>
      <c r="F48"/>
      <c r="G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spans="1:7">
      <c r="A209"/>
      <c r="B209"/>
      <c r="C209"/>
      <c r="D209"/>
      <c r="E209"/>
      <c r="F209"/>
      <c r="G209"/>
    </row>
    <row r="210" spans="1:7">
      <c r="A210"/>
      <c r="B210"/>
      <c r="C210"/>
      <c r="D210"/>
      <c r="E210"/>
      <c r="F210"/>
      <c r="G210"/>
    </row>
    <row r="211" spans="1:7">
      <c r="A211"/>
      <c r="B211"/>
      <c r="C211"/>
      <c r="D211"/>
      <c r="E211"/>
      <c r="F211"/>
      <c r="G211"/>
    </row>
    <row r="212" spans="1:7">
      <c r="A212"/>
      <c r="B212"/>
      <c r="C212"/>
      <c r="D212"/>
      <c r="E212"/>
      <c r="F212"/>
      <c r="G212"/>
    </row>
    <row r="213" spans="1:7">
      <c r="A213"/>
      <c r="B213"/>
      <c r="C213"/>
      <c r="D213"/>
      <c r="E213"/>
      <c r="F213"/>
      <c r="G213"/>
    </row>
    <row r="214" spans="1:7">
      <c r="A214"/>
      <c r="B214"/>
      <c r="C214"/>
      <c r="D214" s="32"/>
      <c r="E214" s="32"/>
      <c r="F214" s="32"/>
    </row>
    <row r="215" spans="1:7">
      <c r="A215"/>
      <c r="B215"/>
      <c r="C215"/>
      <c r="D215" s="32"/>
      <c r="E215" s="32"/>
      <c r="F215" s="32"/>
    </row>
    <row r="216" spans="1:7">
      <c r="A216"/>
      <c r="B216"/>
      <c r="C216"/>
      <c r="D216" s="32"/>
      <c r="E216" s="32"/>
      <c r="F216" s="32"/>
    </row>
    <row r="217" spans="1:7">
      <c r="A217"/>
      <c r="B217"/>
      <c r="C217"/>
      <c r="D217" s="32"/>
      <c r="E217" s="32"/>
      <c r="F217" s="32"/>
    </row>
    <row r="218" spans="1:7">
      <c r="A218"/>
      <c r="B218"/>
      <c r="C218"/>
      <c r="D218" s="32"/>
      <c r="E218" s="32"/>
      <c r="F218" s="32"/>
    </row>
    <row r="219" spans="1:7">
      <c r="A219"/>
      <c r="B219"/>
      <c r="C219"/>
      <c r="D219" s="32"/>
      <c r="E219" s="32"/>
      <c r="F219" s="32"/>
    </row>
    <row r="220" spans="1:7">
      <c r="A220"/>
      <c r="B220"/>
      <c r="C220"/>
      <c r="D220" s="32"/>
      <c r="E220" s="32"/>
      <c r="F220" s="32"/>
    </row>
    <row r="221" spans="1:7">
      <c r="A221"/>
      <c r="B221"/>
      <c r="C221"/>
      <c r="D221" s="32"/>
      <c r="E221" s="32"/>
      <c r="F221" s="32"/>
    </row>
    <row r="222" spans="1:7">
      <c r="A222"/>
      <c r="B222"/>
      <c r="C222"/>
      <c r="D222" s="32"/>
      <c r="E222" s="32"/>
      <c r="F222" s="32"/>
    </row>
    <row r="223" spans="1:7">
      <c r="A223"/>
      <c r="B223"/>
      <c r="C223"/>
      <c r="D223" s="32"/>
      <c r="E223" s="32"/>
      <c r="F223" s="32"/>
    </row>
    <row r="224" spans="1:7">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73" fitToHeight="5" orientation="portrait" horizontalDpi="1200" verticalDpi="120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B65C-C39E-4242-A033-52C7CFBBE213}">
  <sheetPr>
    <tabColor rgb="FFFFFF00"/>
    <pageSetUpPr fitToPage="1"/>
  </sheetPr>
  <dimension ref="A1:G1568"/>
  <sheetViews>
    <sheetView topLeftCell="A53" zoomScaleNormal="100" workbookViewId="0">
      <selection activeCell="B79" sqref="B79"/>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66" t="s">
        <v>450</v>
      </c>
      <c r="B1" s="166"/>
      <c r="C1" s="166"/>
      <c r="D1" s="32"/>
      <c r="E1" s="32"/>
      <c r="F1" s="32"/>
    </row>
    <row r="2" spans="1:7" hidden="1">
      <c r="A2" s="56" t="s">
        <v>3</v>
      </c>
      <c r="B2" s="105" t="s">
        <v>222</v>
      </c>
    </row>
    <row r="3" spans="1:7" hidden="1">
      <c r="A3" s="56" t="s">
        <v>11</v>
      </c>
      <c r="B3" t="s">
        <v>185</v>
      </c>
    </row>
    <row r="4" spans="1:7" hidden="1">
      <c r="A4" s="103" t="s">
        <v>1</v>
      </c>
      <c r="B4" s="43" t="s">
        <v>222</v>
      </c>
    </row>
    <row r="6" spans="1:7" ht="28.9">
      <c r="A6" s="76" t="s">
        <v>218</v>
      </c>
      <c r="B6" t="s">
        <v>428</v>
      </c>
      <c r="C6" s="104" t="s">
        <v>451</v>
      </c>
      <c r="D6"/>
      <c r="E6"/>
      <c r="F6"/>
      <c r="G6"/>
    </row>
    <row r="7" spans="1:7">
      <c r="A7" s="43" t="s">
        <v>110</v>
      </c>
      <c r="D7"/>
      <c r="E7"/>
      <c r="F7"/>
      <c r="G7"/>
    </row>
    <row r="8" spans="1:7">
      <c r="A8" s="57" t="s">
        <v>134</v>
      </c>
      <c r="D8"/>
      <c r="E8"/>
      <c r="F8"/>
      <c r="G8"/>
    </row>
    <row r="9" spans="1:7">
      <c r="A9" s="58" t="s">
        <v>20</v>
      </c>
      <c r="D9"/>
      <c r="E9"/>
      <c r="F9"/>
      <c r="G9"/>
    </row>
    <row r="10" spans="1:7">
      <c r="A10" s="71" t="s">
        <v>128</v>
      </c>
      <c r="B10" s="60">
        <v>1</v>
      </c>
      <c r="D10"/>
      <c r="F10"/>
      <c r="G10"/>
    </row>
    <row r="11" spans="1:7">
      <c r="A11" s="57" t="s">
        <v>115</v>
      </c>
      <c r="D11"/>
      <c r="F11"/>
      <c r="G11"/>
    </row>
    <row r="12" spans="1:7">
      <c r="A12" s="58" t="s">
        <v>20</v>
      </c>
      <c r="D12"/>
      <c r="F12"/>
      <c r="G12"/>
    </row>
    <row r="13" spans="1:7">
      <c r="A13" s="71" t="s">
        <v>91</v>
      </c>
      <c r="B13" s="60">
        <v>0</v>
      </c>
      <c r="C13" s="60">
        <v>13</v>
      </c>
      <c r="F13"/>
      <c r="G13"/>
    </row>
    <row r="14" spans="1:7">
      <c r="A14" s="57" t="s">
        <v>111</v>
      </c>
      <c r="D14"/>
      <c r="F14"/>
      <c r="G14"/>
    </row>
    <row r="15" spans="1:7">
      <c r="A15" s="58" t="s">
        <v>20</v>
      </c>
      <c r="D15"/>
      <c r="F15"/>
      <c r="G15"/>
    </row>
    <row r="16" spans="1:7">
      <c r="A16" s="71" t="s">
        <v>119</v>
      </c>
      <c r="B16" s="60">
        <v>1</v>
      </c>
      <c r="D16"/>
      <c r="E16"/>
      <c r="F16"/>
      <c r="G16"/>
    </row>
    <row r="17" spans="1:5" customFormat="1">
      <c r="A17" s="71" t="s">
        <v>91</v>
      </c>
      <c r="B17" s="60">
        <v>1</v>
      </c>
      <c r="C17" s="60">
        <v>0</v>
      </c>
      <c r="D17" t="s">
        <v>71</v>
      </c>
    </row>
    <row r="18" spans="1:5" customFormat="1">
      <c r="A18" s="71" t="s">
        <v>323</v>
      </c>
      <c r="B18" s="60">
        <v>1</v>
      </c>
      <c r="C18" s="60"/>
    </row>
    <row r="19" spans="1:5" customFormat="1">
      <c r="A19" s="57" t="s">
        <v>59</v>
      </c>
      <c r="B19" s="60"/>
      <c r="C19" s="60"/>
    </row>
    <row r="20" spans="1:5" customFormat="1">
      <c r="A20" s="58" t="s">
        <v>20</v>
      </c>
      <c r="B20" s="60"/>
      <c r="C20" s="60"/>
    </row>
    <row r="21" spans="1:5" customFormat="1">
      <c r="A21" s="71" t="s">
        <v>91</v>
      </c>
      <c r="B21" s="60">
        <v>1</v>
      </c>
      <c r="C21" s="60">
        <v>0</v>
      </c>
    </row>
    <row r="22" spans="1:5" customFormat="1">
      <c r="A22" s="71" t="s">
        <v>128</v>
      </c>
      <c r="B22" s="60">
        <v>1</v>
      </c>
      <c r="C22" s="60"/>
    </row>
    <row r="23" spans="1:5" customFormat="1">
      <c r="A23" s="71" t="s">
        <v>57</v>
      </c>
      <c r="B23" s="60">
        <v>2</v>
      </c>
      <c r="C23" s="60"/>
      <c r="E23" s="60"/>
    </row>
    <row r="24" spans="1:5" customFormat="1">
      <c r="A24" s="43" t="s">
        <v>203</v>
      </c>
      <c r="B24" s="60"/>
      <c r="C24" s="60"/>
    </row>
    <row r="25" spans="1:5" customFormat="1">
      <c r="A25" s="57" t="s">
        <v>37</v>
      </c>
      <c r="B25" s="60"/>
      <c r="C25" s="60"/>
      <c r="E25" t="s">
        <v>87</v>
      </c>
    </row>
    <row r="26" spans="1:5" customFormat="1">
      <c r="A26" s="58" t="s">
        <v>20</v>
      </c>
      <c r="B26" s="60"/>
      <c r="C26" s="60"/>
      <c r="E26" s="60"/>
    </row>
    <row r="27" spans="1:5" customFormat="1">
      <c r="A27" s="71" t="s">
        <v>119</v>
      </c>
      <c r="B27" s="60">
        <v>12</v>
      </c>
      <c r="C27" s="60"/>
      <c r="E27" s="60"/>
    </row>
    <row r="28" spans="1:5" customFormat="1">
      <c r="A28" s="71" t="s">
        <v>452</v>
      </c>
      <c r="B28" s="60">
        <v>2</v>
      </c>
      <c r="C28" s="60"/>
      <c r="E28" s="60"/>
    </row>
    <row r="29" spans="1:5" customFormat="1">
      <c r="A29" s="71" t="s">
        <v>21</v>
      </c>
      <c r="B29" s="60">
        <v>30</v>
      </c>
      <c r="C29" s="60"/>
    </row>
    <row r="30" spans="1:5" customFormat="1">
      <c r="A30" s="57" t="s">
        <v>33</v>
      </c>
      <c r="B30" s="60"/>
      <c r="C30" s="60"/>
    </row>
    <row r="31" spans="1:5" customFormat="1">
      <c r="A31" s="58" t="s">
        <v>20</v>
      </c>
      <c r="B31" s="60"/>
      <c r="C31" s="60"/>
    </row>
    <row r="32" spans="1:5" customFormat="1">
      <c r="A32" s="71" t="s">
        <v>119</v>
      </c>
      <c r="B32" s="60">
        <v>10</v>
      </c>
      <c r="C32" s="60"/>
    </row>
    <row r="33" spans="1:3" customFormat="1">
      <c r="A33" s="71" t="s">
        <v>91</v>
      </c>
      <c r="B33" s="60">
        <v>4</v>
      </c>
      <c r="C33" s="60">
        <v>2</v>
      </c>
    </row>
    <row r="34" spans="1:3" customFormat="1">
      <c r="A34" s="71" t="s">
        <v>452</v>
      </c>
      <c r="B34" s="60">
        <v>2</v>
      </c>
      <c r="C34" s="60"/>
    </row>
    <row r="35" spans="1:3" customFormat="1">
      <c r="A35" s="71" t="s">
        <v>128</v>
      </c>
      <c r="B35" s="60">
        <v>2</v>
      </c>
      <c r="C35" s="60">
        <v>3</v>
      </c>
    </row>
    <row r="36" spans="1:3" customFormat="1">
      <c r="A36" s="71" t="s">
        <v>21</v>
      </c>
      <c r="B36" s="60">
        <v>32</v>
      </c>
      <c r="C36" s="60"/>
    </row>
    <row r="37" spans="1:3" customFormat="1">
      <c r="A37" s="57" t="s">
        <v>94</v>
      </c>
      <c r="B37" s="60"/>
      <c r="C37" s="60"/>
    </row>
    <row r="38" spans="1:3" customFormat="1">
      <c r="A38" s="58" t="s">
        <v>20</v>
      </c>
      <c r="B38" s="60"/>
      <c r="C38" s="60"/>
    </row>
    <row r="39" spans="1:3" customFormat="1">
      <c r="A39" s="71" t="s">
        <v>119</v>
      </c>
      <c r="B39" s="60">
        <v>0</v>
      </c>
      <c r="C39" s="60">
        <v>10</v>
      </c>
    </row>
    <row r="40" spans="1:3" customFormat="1">
      <c r="A40" s="71" t="s">
        <v>91</v>
      </c>
      <c r="B40" s="60">
        <v>0</v>
      </c>
      <c r="C40" s="60">
        <v>7</v>
      </c>
    </row>
    <row r="41" spans="1:3" customFormat="1">
      <c r="A41" s="71" t="s">
        <v>323</v>
      </c>
      <c r="B41" s="60">
        <v>0</v>
      </c>
      <c r="C41" s="60">
        <v>2</v>
      </c>
    </row>
    <row r="42" spans="1:3" customFormat="1">
      <c r="A42" s="57" t="s">
        <v>28</v>
      </c>
      <c r="B42" s="60"/>
      <c r="C42" s="60"/>
    </row>
    <row r="43" spans="1:3" customFormat="1">
      <c r="A43" s="58" t="s">
        <v>20</v>
      </c>
      <c r="B43" s="60"/>
      <c r="C43" s="60"/>
    </row>
    <row r="44" spans="1:3" customFormat="1">
      <c r="A44" s="71" t="s">
        <v>91</v>
      </c>
      <c r="B44" s="60">
        <v>0</v>
      </c>
      <c r="C44" s="60">
        <v>1</v>
      </c>
    </row>
    <row r="45" spans="1:3" customFormat="1">
      <c r="A45" s="71" t="s">
        <v>323</v>
      </c>
      <c r="B45" s="60">
        <v>1</v>
      </c>
      <c r="C45" s="60"/>
    </row>
    <row r="46" spans="1:3" customFormat="1">
      <c r="A46" s="71" t="s">
        <v>27</v>
      </c>
      <c r="B46" s="60">
        <v>1</v>
      </c>
      <c r="C46" s="60"/>
    </row>
    <row r="47" spans="1:3" customFormat="1">
      <c r="A47" s="57" t="s">
        <v>23</v>
      </c>
      <c r="B47" s="60"/>
      <c r="C47" s="60"/>
    </row>
    <row r="48" spans="1:3" customFormat="1">
      <c r="A48" s="58" t="s">
        <v>20</v>
      </c>
      <c r="B48" s="60"/>
      <c r="C48" s="60"/>
    </row>
    <row r="49" spans="1:3" customFormat="1">
      <c r="A49" s="71" t="s">
        <v>119</v>
      </c>
      <c r="B49" s="60">
        <v>3</v>
      </c>
      <c r="C49" s="60"/>
    </row>
    <row r="50" spans="1:3" customFormat="1">
      <c r="A50" s="71" t="s">
        <v>21</v>
      </c>
      <c r="B50" s="60">
        <v>24</v>
      </c>
      <c r="C50" s="60"/>
    </row>
    <row r="51" spans="1:3" customFormat="1">
      <c r="A51" s="71" t="s">
        <v>183</v>
      </c>
      <c r="B51" s="60">
        <v>1</v>
      </c>
      <c r="C51" s="60"/>
    </row>
    <row r="52" spans="1:3" customFormat="1">
      <c r="A52" s="71" t="s">
        <v>453</v>
      </c>
      <c r="B52" s="60">
        <v>6</v>
      </c>
      <c r="C52" s="60"/>
    </row>
    <row r="53" spans="1:3" customFormat="1">
      <c r="A53" s="57" t="s">
        <v>215</v>
      </c>
      <c r="B53" s="60"/>
      <c r="C53" s="60"/>
    </row>
    <row r="54" spans="1:3" customFormat="1">
      <c r="A54" s="58" t="s">
        <v>20</v>
      </c>
      <c r="B54" s="60"/>
      <c r="C54" s="60"/>
    </row>
    <row r="55" spans="1:3" customFormat="1">
      <c r="A55" s="71" t="s">
        <v>21</v>
      </c>
      <c r="B55" s="60">
        <v>32</v>
      </c>
      <c r="C55" s="60"/>
    </row>
    <row r="56" spans="1:3" customFormat="1">
      <c r="A56" s="57" t="s">
        <v>210</v>
      </c>
      <c r="B56" s="60"/>
      <c r="C56" s="60"/>
    </row>
    <row r="57" spans="1:3" customFormat="1">
      <c r="A57" s="58" t="s">
        <v>20</v>
      </c>
      <c r="B57" s="60"/>
      <c r="C57" s="60"/>
    </row>
    <row r="58" spans="1:3" customFormat="1">
      <c r="A58" s="71" t="s">
        <v>91</v>
      </c>
      <c r="B58" s="60">
        <v>4</v>
      </c>
      <c r="C58" s="60">
        <v>8</v>
      </c>
    </row>
    <row r="59" spans="1:3" customFormat="1">
      <c r="A59" s="71" t="s">
        <v>21</v>
      </c>
      <c r="B59" s="60">
        <v>32</v>
      </c>
      <c r="C59" s="60"/>
    </row>
    <row r="60" spans="1:3" customFormat="1">
      <c r="A60" s="43" t="s">
        <v>219</v>
      </c>
      <c r="B60" s="60"/>
      <c r="C60" s="60"/>
    </row>
    <row r="61" spans="1:3" customFormat="1">
      <c r="A61" s="57" t="s">
        <v>47</v>
      </c>
      <c r="B61" s="60"/>
      <c r="C61" s="60"/>
    </row>
    <row r="62" spans="1:3" customFormat="1">
      <c r="A62" s="58" t="s">
        <v>20</v>
      </c>
      <c r="B62" s="60"/>
      <c r="C62" s="60"/>
    </row>
    <row r="63" spans="1:3" customFormat="1">
      <c r="A63" s="71" t="s">
        <v>91</v>
      </c>
      <c r="B63" s="60">
        <v>4</v>
      </c>
      <c r="C63" s="60">
        <v>6</v>
      </c>
    </row>
    <row r="64" spans="1:3" customFormat="1">
      <c r="A64" s="57" t="s">
        <v>53</v>
      </c>
      <c r="B64" s="60"/>
      <c r="C64" s="60"/>
    </row>
    <row r="65" spans="1:7">
      <c r="A65" s="58" t="s">
        <v>20</v>
      </c>
      <c r="D65"/>
      <c r="E65"/>
      <c r="F65"/>
      <c r="G65"/>
    </row>
    <row r="66" spans="1:7">
      <c r="A66" s="71" t="s">
        <v>119</v>
      </c>
      <c r="B66" s="60">
        <v>1</v>
      </c>
      <c r="D66"/>
      <c r="E66"/>
      <c r="F66"/>
      <c r="G66"/>
    </row>
    <row r="67" spans="1:7">
      <c r="A67" s="71" t="s">
        <v>91</v>
      </c>
      <c r="B67" s="60">
        <v>1</v>
      </c>
      <c r="D67" s="32"/>
      <c r="E67" s="32"/>
      <c r="F67" s="32"/>
    </row>
    <row r="68" spans="1:7">
      <c r="A68" s="71" t="s">
        <v>323</v>
      </c>
      <c r="B68" s="60">
        <v>1</v>
      </c>
      <c r="D68" s="32"/>
      <c r="E68" s="32"/>
      <c r="F68" s="32"/>
    </row>
    <row r="69" spans="1:7">
      <c r="A69" s="71" t="s">
        <v>452</v>
      </c>
      <c r="B69" s="60">
        <v>1</v>
      </c>
      <c r="D69" s="32"/>
      <c r="E69" s="32"/>
      <c r="F69" s="32"/>
    </row>
    <row r="70" spans="1:7">
      <c r="A70" s="71" t="s">
        <v>128</v>
      </c>
      <c r="B70" s="60">
        <v>1</v>
      </c>
      <c r="D70" s="32"/>
      <c r="E70" s="32"/>
      <c r="F70" s="32"/>
    </row>
    <row r="71" spans="1:7">
      <c r="A71" s="71" t="s">
        <v>51</v>
      </c>
      <c r="B71" s="60">
        <v>1</v>
      </c>
      <c r="D71" s="32"/>
      <c r="E71" s="32"/>
      <c r="F71" s="32"/>
    </row>
    <row r="72" spans="1:7">
      <c r="A72" s="43" t="s">
        <v>220</v>
      </c>
      <c r="D72" s="32"/>
      <c r="E72" s="32"/>
      <c r="F72" s="32"/>
    </row>
    <row r="73" spans="1:7">
      <c r="A73" s="57" t="s">
        <v>221</v>
      </c>
      <c r="D73" s="32"/>
      <c r="E73" s="32"/>
      <c r="F73" s="32"/>
    </row>
    <row r="74" spans="1:7">
      <c r="A74" s="58" t="s">
        <v>20</v>
      </c>
      <c r="D74" s="32"/>
      <c r="E74" s="32"/>
      <c r="F74" s="32"/>
    </row>
    <row r="75" spans="1:7">
      <c r="A75" s="71" t="s">
        <v>91</v>
      </c>
      <c r="B75" s="60">
        <v>5</v>
      </c>
      <c r="D75" s="32"/>
      <c r="E75" s="32"/>
      <c r="F75" s="32"/>
    </row>
    <row r="76" spans="1:7">
      <c r="A76" s="71" t="s">
        <v>128</v>
      </c>
      <c r="B76" s="60">
        <v>2</v>
      </c>
      <c r="D76" s="32"/>
      <c r="E76" s="32"/>
      <c r="F76" s="32"/>
    </row>
    <row r="77" spans="1:7">
      <c r="A77"/>
      <c r="B77"/>
      <c r="C77"/>
      <c r="D77" s="32"/>
      <c r="E77" s="32"/>
      <c r="F77" s="32"/>
    </row>
    <row r="78" spans="1:7">
      <c r="A78"/>
      <c r="B78"/>
      <c r="C78"/>
      <c r="D78" s="32"/>
      <c r="E78" s="32"/>
      <c r="F78" s="32"/>
    </row>
    <row r="79" spans="1:7">
      <c r="A79"/>
      <c r="B79"/>
      <c r="C79"/>
      <c r="D79" s="32"/>
      <c r="E79" s="32"/>
      <c r="F79" s="32"/>
    </row>
    <row r="80" spans="1:7">
      <c r="A80"/>
      <c r="B80"/>
      <c r="C80"/>
      <c r="D80" s="32"/>
      <c r="E80" s="32"/>
      <c r="F80" s="32"/>
    </row>
    <row r="81" spans="1:6">
      <c r="A81"/>
      <c r="B81"/>
      <c r="C81"/>
      <c r="D81" s="32"/>
      <c r="E81" s="32"/>
      <c r="F81" s="32"/>
    </row>
    <row r="82" spans="1:6">
      <c r="A82"/>
      <c r="B82"/>
      <c r="C82"/>
      <c r="D82" s="32"/>
      <c r="E82" s="32"/>
      <c r="F82" s="32"/>
    </row>
    <row r="83" spans="1:6">
      <c r="A83"/>
      <c r="B83"/>
      <c r="C83"/>
      <c r="D83" s="32"/>
      <c r="E83" s="32"/>
      <c r="F83" s="32"/>
    </row>
    <row r="84" spans="1:6">
      <c r="A84"/>
      <c r="B84"/>
      <c r="C84"/>
      <c r="D84" s="32"/>
      <c r="E84" s="32"/>
      <c r="F84" s="32"/>
    </row>
    <row r="85" spans="1:6">
      <c r="A85"/>
      <c r="B85"/>
      <c r="C85"/>
      <c r="D85" s="32"/>
      <c r="E85" s="32"/>
      <c r="F85" s="32"/>
    </row>
    <row r="86" spans="1:6">
      <c r="A86"/>
      <c r="B86"/>
      <c r="C86"/>
      <c r="D86" s="32"/>
      <c r="E86" s="32"/>
      <c r="F86" s="32"/>
    </row>
    <row r="87" spans="1:6">
      <c r="A87"/>
      <c r="B87"/>
      <c r="C87"/>
      <c r="D87" s="32"/>
      <c r="E87" s="32"/>
      <c r="F87" s="32"/>
    </row>
    <row r="88" spans="1:6">
      <c r="A88"/>
      <c r="B88"/>
      <c r="C88"/>
      <c r="D88" s="32"/>
      <c r="E88" s="32"/>
      <c r="F88" s="32"/>
    </row>
    <row r="89" spans="1:6">
      <c r="A89"/>
      <c r="B89"/>
      <c r="C89"/>
      <c r="D89" s="32"/>
      <c r="E89" s="32"/>
      <c r="F89" s="32"/>
    </row>
    <row r="90" spans="1:6">
      <c r="A90"/>
      <c r="B90"/>
      <c r="C90"/>
      <c r="D90" s="32"/>
      <c r="E90" s="32"/>
      <c r="F90" s="32"/>
    </row>
    <row r="91" spans="1:6">
      <c r="A91"/>
      <c r="B91"/>
      <c r="C91"/>
      <c r="D91" s="32"/>
      <c r="E91" s="32"/>
      <c r="F91" s="32"/>
    </row>
    <row r="92" spans="1:6">
      <c r="A92"/>
      <c r="B92"/>
      <c r="C92"/>
      <c r="D92" s="32"/>
      <c r="E92" s="32"/>
      <c r="F92" s="32"/>
    </row>
    <row r="93" spans="1:6">
      <c r="A93"/>
      <c r="B93"/>
      <c r="C93"/>
      <c r="D93" s="32"/>
      <c r="E93" s="32"/>
      <c r="F93" s="32"/>
    </row>
    <row r="94" spans="1:6">
      <c r="A94"/>
      <c r="B94"/>
      <c r="C94"/>
      <c r="D94" s="32"/>
      <c r="E94" s="32"/>
      <c r="F94" s="32"/>
    </row>
    <row r="95" spans="1:6">
      <c r="A95"/>
      <c r="B95"/>
      <c r="C95"/>
      <c r="D95" s="32"/>
      <c r="E95" s="32"/>
      <c r="F95" s="32"/>
    </row>
    <row r="96" spans="1:6">
      <c r="A96"/>
      <c r="B96"/>
      <c r="C96"/>
      <c r="D96" s="32"/>
      <c r="E96" s="32"/>
      <c r="F96" s="32"/>
    </row>
    <row r="97" spans="1:6">
      <c r="A97"/>
      <c r="B97"/>
      <c r="C97"/>
      <c r="D97" s="32"/>
      <c r="E97" s="32"/>
      <c r="F97" s="32"/>
    </row>
    <row r="98" spans="1:6">
      <c r="A98"/>
      <c r="B98"/>
      <c r="C98"/>
      <c r="D98" s="32"/>
      <c r="E98" s="32"/>
      <c r="F98" s="32"/>
    </row>
    <row r="99" spans="1:6">
      <c r="A99"/>
      <c r="B99"/>
      <c r="C99"/>
      <c r="D99" s="32"/>
      <c r="E99" s="32"/>
      <c r="F99" s="32"/>
    </row>
    <row r="100" spans="1:6">
      <c r="A100"/>
      <c r="B100"/>
      <c r="C100"/>
      <c r="D100" s="32"/>
      <c r="E100" s="32"/>
      <c r="F100" s="32"/>
    </row>
    <row r="101" spans="1:6">
      <c r="A101"/>
      <c r="B101"/>
      <c r="C101"/>
      <c r="D101" s="32"/>
      <c r="E101" s="32"/>
      <c r="F101" s="32"/>
    </row>
    <row r="102" spans="1:6">
      <c r="A102"/>
      <c r="B102"/>
      <c r="C102"/>
      <c r="D102" s="32"/>
      <c r="E102" s="32"/>
      <c r="F102" s="32"/>
    </row>
    <row r="103" spans="1:6">
      <c r="A103"/>
      <c r="B103"/>
      <c r="C103"/>
      <c r="D103" s="32"/>
      <c r="E103" s="32"/>
      <c r="F103" s="32"/>
    </row>
    <row r="104" spans="1:6">
      <c r="A104"/>
      <c r="B104"/>
      <c r="C104"/>
      <c r="D104" s="32"/>
      <c r="E104" s="32"/>
      <c r="F104" s="32"/>
    </row>
    <row r="105" spans="1:6">
      <c r="A105"/>
      <c r="B105"/>
      <c r="C105"/>
      <c r="D105" s="32"/>
      <c r="E105" s="32"/>
      <c r="F105" s="32"/>
    </row>
    <row r="106" spans="1:6">
      <c r="A106"/>
      <c r="B106"/>
      <c r="C106"/>
      <c r="D106" s="32"/>
      <c r="E106" s="32"/>
      <c r="F106" s="32"/>
    </row>
    <row r="107" spans="1:6">
      <c r="A107"/>
      <c r="B107"/>
      <c r="C107"/>
      <c r="D107" s="32"/>
      <c r="E107" s="32"/>
      <c r="F107" s="32"/>
    </row>
    <row r="108" spans="1:6">
      <c r="A108"/>
      <c r="B108"/>
      <c r="C108"/>
      <c r="D108" s="32"/>
      <c r="E108" s="32"/>
      <c r="F108" s="32"/>
    </row>
    <row r="109" spans="1:6">
      <c r="A109"/>
      <c r="B109"/>
      <c r="C109"/>
      <c r="D109" s="32"/>
      <c r="E109" s="32"/>
      <c r="F109" s="32"/>
    </row>
    <row r="110" spans="1:6">
      <c r="A110"/>
      <c r="B110"/>
      <c r="C110"/>
      <c r="D110" s="32"/>
      <c r="E110" s="32"/>
      <c r="F110" s="32"/>
    </row>
    <row r="111" spans="1:6">
      <c r="A111"/>
      <c r="B111"/>
      <c r="C111"/>
      <c r="D111" s="32"/>
      <c r="E111" s="32"/>
      <c r="F111" s="32"/>
    </row>
    <row r="112" spans="1:6">
      <c r="A112"/>
      <c r="B112"/>
      <c r="C112"/>
      <c r="D112" s="32"/>
      <c r="E112" s="32"/>
      <c r="F112" s="32"/>
    </row>
    <row r="113" spans="1:6">
      <c r="A113"/>
      <c r="B113"/>
      <c r="C113"/>
      <c r="D113" s="32"/>
      <c r="E113" s="32"/>
      <c r="F113" s="32"/>
    </row>
    <row r="114" spans="1:6">
      <c r="A114"/>
      <c r="B114"/>
      <c r="C114"/>
      <c r="D114" s="32"/>
      <c r="E114" s="32"/>
      <c r="F114" s="32"/>
    </row>
    <row r="115" spans="1:6">
      <c r="A115"/>
      <c r="B115"/>
      <c r="C115"/>
      <c r="D115" s="32"/>
      <c r="E115" s="32"/>
      <c r="F115" s="32"/>
    </row>
    <row r="116" spans="1:6">
      <c r="A116"/>
      <c r="B116"/>
      <c r="C116"/>
      <c r="D116" s="32"/>
      <c r="E116" s="32"/>
      <c r="F116" s="32"/>
    </row>
    <row r="117" spans="1:6">
      <c r="A117"/>
      <c r="B117"/>
      <c r="C117"/>
      <c r="D117" s="32"/>
      <c r="E117" s="32"/>
      <c r="F117" s="32"/>
    </row>
    <row r="118" spans="1:6">
      <c r="A118"/>
      <c r="B118"/>
      <c r="C118"/>
      <c r="D118" s="32"/>
      <c r="E118" s="32"/>
      <c r="F118" s="32"/>
    </row>
    <row r="119" spans="1:6">
      <c r="A119"/>
      <c r="B119"/>
      <c r="C119"/>
      <c r="D119" s="32"/>
      <c r="E119" s="32"/>
      <c r="F119" s="32"/>
    </row>
    <row r="120" spans="1:6">
      <c r="A120"/>
      <c r="B120"/>
      <c r="C120"/>
      <c r="D120" s="32"/>
      <c r="E120" s="32"/>
      <c r="F120" s="32"/>
    </row>
    <row r="121" spans="1:6">
      <c r="A121"/>
      <c r="B121"/>
      <c r="C121"/>
      <c r="D121" s="32"/>
      <c r="E121" s="32"/>
      <c r="F121" s="32"/>
    </row>
    <row r="122" spans="1:6">
      <c r="A122"/>
      <c r="B122"/>
      <c r="C122"/>
      <c r="D122" s="32"/>
      <c r="E122" s="32"/>
      <c r="F122" s="32"/>
    </row>
    <row r="123" spans="1:6">
      <c r="A123"/>
      <c r="B123"/>
      <c r="C123"/>
      <c r="D123" s="32"/>
      <c r="E123" s="32"/>
      <c r="F123" s="32"/>
    </row>
    <row r="124" spans="1:6">
      <c r="A124"/>
      <c r="B124"/>
      <c r="C124"/>
      <c r="D124" s="32"/>
      <c r="E124" s="32"/>
      <c r="F124" s="32"/>
    </row>
    <row r="125" spans="1:6">
      <c r="A125"/>
      <c r="B125"/>
      <c r="C125"/>
      <c r="D125" s="32"/>
      <c r="E125" s="32"/>
      <c r="F125" s="32"/>
    </row>
    <row r="126" spans="1:6">
      <c r="A126"/>
      <c r="B126"/>
      <c r="C126"/>
      <c r="D126" s="32"/>
      <c r="E126" s="32"/>
      <c r="F126" s="32"/>
    </row>
    <row r="127" spans="1:6">
      <c r="A127"/>
      <c r="B127"/>
      <c r="C127"/>
      <c r="D127" s="32"/>
      <c r="E127" s="32"/>
      <c r="F127" s="32"/>
    </row>
    <row r="128" spans="1:6">
      <c r="A128"/>
      <c r="B128"/>
      <c r="C128"/>
      <c r="D128" s="32"/>
      <c r="E128" s="32"/>
      <c r="F128" s="32"/>
    </row>
    <row r="129" spans="1:6">
      <c r="A129"/>
      <c r="B129"/>
      <c r="C129"/>
      <c r="D129" s="32"/>
      <c r="E129" s="32"/>
      <c r="F129" s="32"/>
    </row>
    <row r="130" spans="1:6">
      <c r="A130"/>
      <c r="B130"/>
      <c r="C130"/>
      <c r="D130" s="32"/>
      <c r="E130" s="32"/>
      <c r="F130" s="32"/>
    </row>
    <row r="131" spans="1:6">
      <c r="A131"/>
      <c r="B131"/>
      <c r="C131"/>
      <c r="D131" s="32"/>
      <c r="E131" s="32"/>
      <c r="F131" s="32"/>
    </row>
    <row r="132" spans="1:6">
      <c r="A132"/>
      <c r="B132"/>
      <c r="C132"/>
      <c r="D132" s="32"/>
      <c r="E132" s="32"/>
      <c r="F132" s="32"/>
    </row>
    <row r="133" spans="1:6">
      <c r="A133"/>
      <c r="B133"/>
      <c r="C133"/>
      <c r="D133" s="32"/>
      <c r="E133" s="32"/>
      <c r="F133" s="32"/>
    </row>
    <row r="134" spans="1:6">
      <c r="A134"/>
      <c r="B134"/>
      <c r="C134"/>
      <c r="D134" s="32"/>
      <c r="E134" s="32"/>
      <c r="F134" s="32"/>
    </row>
    <row r="135" spans="1:6">
      <c r="A135"/>
      <c r="B135"/>
      <c r="C135"/>
      <c r="D135" s="32"/>
      <c r="E135" s="32"/>
      <c r="F135" s="32"/>
    </row>
    <row r="136" spans="1:6">
      <c r="A136"/>
      <c r="B136"/>
      <c r="C136"/>
      <c r="D136" s="32"/>
      <c r="E136" s="32"/>
      <c r="F136" s="32"/>
    </row>
    <row r="137" spans="1:6">
      <c r="A137"/>
      <c r="B137"/>
      <c r="C137"/>
      <c r="D137" s="32"/>
      <c r="E137" s="32"/>
      <c r="F137" s="32"/>
    </row>
    <row r="138" spans="1:6">
      <c r="A138"/>
      <c r="B138"/>
      <c r="C138"/>
      <c r="D138" s="32"/>
      <c r="E138" s="32"/>
      <c r="F138" s="32"/>
    </row>
    <row r="139" spans="1:6">
      <c r="A139"/>
      <c r="B139"/>
      <c r="C139"/>
      <c r="D139" s="32"/>
      <c r="E139" s="32"/>
      <c r="F139" s="32"/>
    </row>
    <row r="140" spans="1:6">
      <c r="A140"/>
      <c r="B140"/>
      <c r="C140"/>
      <c r="D140" s="32"/>
      <c r="E140" s="32"/>
      <c r="F140" s="32"/>
    </row>
    <row r="141" spans="1:6">
      <c r="A141"/>
      <c r="B141"/>
      <c r="C141"/>
      <c r="D141" s="32"/>
      <c r="E141" s="32"/>
      <c r="F141" s="32"/>
    </row>
    <row r="142" spans="1:6">
      <c r="A142"/>
      <c r="B142"/>
      <c r="C142"/>
      <c r="D142" s="32"/>
      <c r="E142" s="32"/>
      <c r="F142" s="32"/>
    </row>
    <row r="143" spans="1:6">
      <c r="A143"/>
      <c r="B143"/>
      <c r="C143"/>
      <c r="D143" s="32"/>
      <c r="E143" s="32"/>
      <c r="F143" s="32"/>
    </row>
    <row r="144" spans="1:6">
      <c r="A144"/>
      <c r="B144"/>
      <c r="C144"/>
      <c r="D144" s="32"/>
      <c r="E144" s="32"/>
      <c r="F144" s="32"/>
    </row>
    <row r="145" spans="1:6">
      <c r="A145"/>
      <c r="B145"/>
      <c r="C145"/>
      <c r="D145" s="32"/>
      <c r="E145" s="32"/>
      <c r="F145" s="32"/>
    </row>
    <row r="146" spans="1:6">
      <c r="A146"/>
      <c r="B146"/>
      <c r="C146"/>
      <c r="D146" s="32"/>
      <c r="E146" s="32"/>
      <c r="F146" s="32"/>
    </row>
    <row r="147" spans="1:6">
      <c r="A147"/>
      <c r="B147"/>
      <c r="C147"/>
      <c r="D147" s="32"/>
      <c r="E147" s="32"/>
      <c r="F147" s="32"/>
    </row>
    <row r="148" spans="1:6">
      <c r="A148"/>
      <c r="B148"/>
      <c r="C148"/>
      <c r="D148" s="32"/>
      <c r="E148" s="32"/>
      <c r="F148" s="32"/>
    </row>
    <row r="149" spans="1:6">
      <c r="A149"/>
      <c r="B149"/>
      <c r="C149"/>
      <c r="D149" s="32"/>
      <c r="E149" s="32"/>
      <c r="F149" s="32"/>
    </row>
    <row r="150" spans="1:6">
      <c r="A150"/>
      <c r="B150"/>
      <c r="C150"/>
      <c r="D150" s="32"/>
      <c r="E150" s="32"/>
      <c r="F150" s="32"/>
    </row>
    <row r="151" spans="1:6">
      <c r="A151"/>
      <c r="B151"/>
      <c r="C151"/>
      <c r="D151" s="32"/>
      <c r="E151" s="32"/>
      <c r="F151" s="32"/>
    </row>
    <row r="152" spans="1:6">
      <c r="A152"/>
      <c r="B152"/>
      <c r="C152"/>
      <c r="D152" s="32"/>
      <c r="E152" s="32"/>
      <c r="F152" s="32"/>
    </row>
    <row r="153" spans="1:6">
      <c r="A153"/>
      <c r="B153"/>
      <c r="C153"/>
      <c r="D153" s="32"/>
      <c r="E153" s="32"/>
      <c r="F153" s="32"/>
    </row>
    <row r="154" spans="1:6">
      <c r="A154"/>
      <c r="B154"/>
      <c r="C154"/>
      <c r="D154" s="32"/>
      <c r="E154" s="32"/>
      <c r="F154" s="32"/>
    </row>
    <row r="155" spans="1:6">
      <c r="A155"/>
      <c r="B155"/>
      <c r="C155"/>
      <c r="D155" s="32"/>
      <c r="E155" s="32"/>
      <c r="F155" s="32"/>
    </row>
    <row r="156" spans="1:6">
      <c r="A156"/>
      <c r="B156"/>
      <c r="C156"/>
      <c r="D156" s="32"/>
      <c r="E156" s="32"/>
      <c r="F156" s="32"/>
    </row>
    <row r="157" spans="1:6">
      <c r="A157"/>
      <c r="B157"/>
      <c r="C157"/>
      <c r="D157" s="32"/>
      <c r="E157" s="32"/>
      <c r="F157" s="32"/>
    </row>
    <row r="158" spans="1:6">
      <c r="A158"/>
      <c r="B158"/>
      <c r="C158"/>
      <c r="D158" s="32"/>
      <c r="E158" s="32"/>
      <c r="F158" s="32"/>
    </row>
    <row r="159" spans="1:6">
      <c r="A159"/>
      <c r="B159"/>
      <c r="C159"/>
      <c r="D159" s="32"/>
      <c r="E159" s="32"/>
      <c r="F159" s="32"/>
    </row>
    <row r="160" spans="1:6">
      <c r="A160"/>
      <c r="B160"/>
      <c r="C160"/>
      <c r="D160" s="32"/>
      <c r="E160" s="32"/>
      <c r="F160" s="32"/>
    </row>
    <row r="161" spans="1:6">
      <c r="A161"/>
      <c r="B161"/>
      <c r="C161"/>
      <c r="D161" s="32"/>
      <c r="E161" s="32"/>
      <c r="F161" s="32"/>
    </row>
    <row r="162" spans="1:6">
      <c r="A162"/>
      <c r="B162"/>
      <c r="C162"/>
      <c r="D162" s="32"/>
      <c r="E162" s="32"/>
      <c r="F162" s="32"/>
    </row>
    <row r="163" spans="1:6">
      <c r="A163"/>
      <c r="B163"/>
      <c r="C163"/>
      <c r="D163" s="32"/>
      <c r="E163" s="32"/>
      <c r="F163" s="32"/>
    </row>
    <row r="164" spans="1:6">
      <c r="A164"/>
      <c r="B164"/>
      <c r="C164"/>
      <c r="D164" s="32"/>
      <c r="E164" s="32"/>
      <c r="F164" s="32"/>
    </row>
    <row r="165" spans="1:6">
      <c r="A165"/>
      <c r="B165"/>
      <c r="C165"/>
      <c r="D165" s="32"/>
      <c r="E165" s="32"/>
      <c r="F165" s="32"/>
    </row>
    <row r="166" spans="1:6">
      <c r="A166"/>
      <c r="B166"/>
      <c r="C166"/>
      <c r="D166" s="32"/>
      <c r="E166" s="32"/>
      <c r="F166" s="32"/>
    </row>
    <row r="167" spans="1:6">
      <c r="A167"/>
      <c r="B167"/>
      <c r="C167"/>
      <c r="D167" s="32"/>
      <c r="E167" s="32"/>
      <c r="F167" s="32"/>
    </row>
    <row r="168" spans="1:6">
      <c r="A168"/>
      <c r="B168"/>
      <c r="C168"/>
      <c r="D168" s="32"/>
      <c r="E168" s="32"/>
      <c r="F168" s="32"/>
    </row>
    <row r="169" spans="1:6">
      <c r="A169"/>
      <c r="B169"/>
      <c r="C169"/>
      <c r="D169" s="32"/>
      <c r="E169" s="32"/>
      <c r="F169" s="32"/>
    </row>
    <row r="170" spans="1:6">
      <c r="A170"/>
      <c r="B170"/>
      <c r="C170"/>
      <c r="D170" s="32"/>
      <c r="E170" s="32"/>
      <c r="F170" s="32"/>
    </row>
    <row r="171" spans="1:6">
      <c r="A171"/>
      <c r="B171"/>
      <c r="C171"/>
      <c r="D171" s="32"/>
      <c r="E171" s="32"/>
      <c r="F171" s="32"/>
    </row>
    <row r="172" spans="1:6">
      <c r="A172"/>
      <c r="B172"/>
      <c r="C172"/>
      <c r="D172" s="32"/>
      <c r="E172" s="32"/>
      <c r="F172" s="32"/>
    </row>
    <row r="173" spans="1:6">
      <c r="A173"/>
      <c r="B173"/>
      <c r="C173"/>
      <c r="D173" s="32"/>
      <c r="E173" s="32"/>
      <c r="F173" s="32"/>
    </row>
    <row r="174" spans="1:6">
      <c r="A174"/>
      <c r="B174"/>
      <c r="C174"/>
      <c r="D174" s="32"/>
      <c r="E174" s="32"/>
      <c r="F174" s="32"/>
    </row>
    <row r="175" spans="1:6">
      <c r="A175"/>
      <c r="B175"/>
      <c r="C175"/>
      <c r="D175" s="32"/>
      <c r="E175" s="32"/>
      <c r="F175" s="32"/>
    </row>
    <row r="176" spans="1:6">
      <c r="A176"/>
      <c r="B176"/>
      <c r="C176"/>
      <c r="D176" s="32"/>
      <c r="E176" s="32"/>
      <c r="F176" s="32"/>
    </row>
    <row r="177" spans="1:6">
      <c r="A177"/>
      <c r="B177"/>
      <c r="C177"/>
      <c r="D177" s="32"/>
      <c r="E177" s="32"/>
      <c r="F177" s="32"/>
    </row>
    <row r="178" spans="1:6">
      <c r="A178"/>
      <c r="B178"/>
      <c r="C178"/>
      <c r="D178" s="32"/>
      <c r="E178" s="32"/>
      <c r="F178" s="32"/>
    </row>
    <row r="179" spans="1:6">
      <c r="A179"/>
      <c r="B179"/>
      <c r="C179"/>
      <c r="D179" s="32"/>
      <c r="E179" s="32"/>
      <c r="F179" s="32"/>
    </row>
    <row r="180" spans="1:6">
      <c r="A180"/>
      <c r="B180"/>
      <c r="C180"/>
      <c r="D180" s="32"/>
      <c r="E180" s="32"/>
      <c r="F180" s="32"/>
    </row>
    <row r="181" spans="1:6">
      <c r="A181"/>
      <c r="B181"/>
      <c r="C181"/>
      <c r="D181" s="32"/>
      <c r="E181" s="32"/>
      <c r="F181" s="32"/>
    </row>
    <row r="182" spans="1:6">
      <c r="A182"/>
      <c r="B182"/>
      <c r="C182"/>
      <c r="D182" s="32"/>
      <c r="E182" s="32"/>
      <c r="F182" s="32"/>
    </row>
    <row r="183" spans="1:6">
      <c r="A183"/>
      <c r="B183"/>
      <c r="C183"/>
      <c r="D183" s="32"/>
      <c r="E183" s="32"/>
      <c r="F183" s="32"/>
    </row>
    <row r="184" spans="1:6">
      <c r="A184"/>
      <c r="B184"/>
      <c r="C184"/>
      <c r="D184" s="32"/>
      <c r="E184" s="32"/>
      <c r="F184" s="32"/>
    </row>
    <row r="185" spans="1:6">
      <c r="A185"/>
      <c r="B185"/>
      <c r="C185"/>
      <c r="D185" s="32"/>
      <c r="E185" s="32"/>
      <c r="F185" s="32"/>
    </row>
    <row r="186" spans="1:6">
      <c r="A186"/>
      <c r="B186"/>
      <c r="C186"/>
      <c r="D186" s="32"/>
      <c r="E186" s="32"/>
      <c r="F186" s="32"/>
    </row>
    <row r="187" spans="1:6">
      <c r="A187"/>
      <c r="B187"/>
      <c r="C187"/>
      <c r="D187" s="32"/>
      <c r="E187" s="32"/>
      <c r="F187" s="32"/>
    </row>
    <row r="188" spans="1:6">
      <c r="A188"/>
      <c r="B188"/>
      <c r="C188"/>
      <c r="D188" s="32"/>
      <c r="E188" s="32"/>
      <c r="F188" s="32"/>
    </row>
    <row r="189" spans="1:6">
      <c r="A189"/>
      <c r="B189"/>
      <c r="C189"/>
      <c r="D189" s="32"/>
      <c r="E189" s="32"/>
      <c r="F189" s="32"/>
    </row>
    <row r="190" spans="1:6">
      <c r="A190"/>
      <c r="B190"/>
      <c r="C190"/>
      <c r="D190" s="32"/>
      <c r="E190" s="32"/>
      <c r="F190" s="32"/>
    </row>
    <row r="191" spans="1:6">
      <c r="A191"/>
      <c r="B191"/>
      <c r="C191"/>
      <c r="D191" s="32"/>
      <c r="E191" s="32"/>
      <c r="F191" s="32"/>
    </row>
    <row r="192" spans="1:6">
      <c r="A192"/>
      <c r="B192"/>
      <c r="C192"/>
      <c r="D192" s="32"/>
      <c r="E192" s="32"/>
      <c r="F192" s="32"/>
    </row>
    <row r="193" spans="1:6">
      <c r="A193"/>
      <c r="B193"/>
      <c r="C193"/>
      <c r="D193" s="32"/>
      <c r="E193" s="32"/>
      <c r="F193" s="32"/>
    </row>
    <row r="194" spans="1:6">
      <c r="A194"/>
      <c r="B194"/>
      <c r="C194"/>
      <c r="D194" s="32"/>
      <c r="E194" s="32"/>
      <c r="F194" s="32"/>
    </row>
    <row r="195" spans="1:6">
      <c r="A195"/>
      <c r="B195"/>
      <c r="C195"/>
      <c r="D195" s="32"/>
      <c r="E195" s="32"/>
      <c r="F195" s="32"/>
    </row>
    <row r="196" spans="1:6">
      <c r="A196"/>
      <c r="B196"/>
      <c r="C196"/>
      <c r="D196" s="32"/>
      <c r="E196" s="32"/>
      <c r="F196" s="32"/>
    </row>
    <row r="197" spans="1:6">
      <c r="A197"/>
      <c r="B197"/>
      <c r="C197"/>
      <c r="D197" s="32"/>
      <c r="E197" s="32"/>
      <c r="F197" s="32"/>
    </row>
    <row r="198" spans="1:6">
      <c r="A198"/>
      <c r="B198"/>
      <c r="C198"/>
      <c r="D198" s="32"/>
      <c r="E198" s="32"/>
      <c r="F198" s="32"/>
    </row>
    <row r="199" spans="1:6">
      <c r="A199"/>
      <c r="B199"/>
      <c r="C199"/>
      <c r="D199" s="32"/>
      <c r="E199" s="32"/>
      <c r="F199" s="32"/>
    </row>
    <row r="200" spans="1:6">
      <c r="A200"/>
      <c r="B200"/>
      <c r="C200"/>
      <c r="D200" s="32"/>
      <c r="E200" s="32"/>
      <c r="F200" s="32"/>
    </row>
    <row r="201" spans="1:6">
      <c r="A201"/>
      <c r="B201"/>
      <c r="C201"/>
      <c r="D201" s="32"/>
      <c r="E201" s="32"/>
      <c r="F201" s="32"/>
    </row>
    <row r="202" spans="1:6">
      <c r="A202"/>
      <c r="B202"/>
      <c r="C202"/>
      <c r="D202" s="32"/>
      <c r="E202" s="32"/>
      <c r="F202" s="32"/>
    </row>
    <row r="203" spans="1:6">
      <c r="A203"/>
      <c r="B203"/>
      <c r="C203"/>
      <c r="D203" s="32"/>
      <c r="E203" s="32"/>
      <c r="F203" s="32"/>
    </row>
    <row r="204" spans="1:6">
      <c r="A204"/>
      <c r="B204"/>
      <c r="C204"/>
      <c r="D204" s="32"/>
      <c r="E204" s="32"/>
      <c r="F204" s="32"/>
    </row>
    <row r="205" spans="1:6">
      <c r="A205"/>
      <c r="B205"/>
      <c r="C205"/>
      <c r="D205" s="32"/>
      <c r="E205" s="32"/>
      <c r="F205" s="32"/>
    </row>
    <row r="206" spans="1:6">
      <c r="A206"/>
      <c r="B206"/>
      <c r="C206"/>
      <c r="D206" s="32"/>
      <c r="E206" s="32"/>
      <c r="F206" s="32"/>
    </row>
    <row r="207" spans="1:6">
      <c r="A207"/>
      <c r="B207"/>
      <c r="C207"/>
      <c r="D207" s="32"/>
      <c r="E207" s="32"/>
      <c r="F207" s="32"/>
    </row>
    <row r="208" spans="1:6">
      <c r="A208"/>
      <c r="B208"/>
      <c r="C208"/>
      <c r="D208" s="32"/>
      <c r="E208" s="32"/>
      <c r="F208" s="32"/>
    </row>
    <row r="209" spans="1:6">
      <c r="A209"/>
      <c r="B209"/>
      <c r="C209"/>
      <c r="D209" s="32"/>
      <c r="E209" s="32"/>
      <c r="F209" s="32"/>
    </row>
    <row r="210" spans="1:6">
      <c r="A210"/>
      <c r="B210"/>
      <c r="C210"/>
      <c r="D210" s="32"/>
      <c r="E210" s="32"/>
      <c r="F210" s="32"/>
    </row>
    <row r="211" spans="1:6">
      <c r="A211"/>
      <c r="B211"/>
      <c r="C211"/>
      <c r="D211" s="32"/>
      <c r="E211" s="32"/>
      <c r="F211" s="32"/>
    </row>
    <row r="212" spans="1:6">
      <c r="A212"/>
      <c r="B212"/>
      <c r="C212"/>
      <c r="D212" s="32"/>
      <c r="E212" s="32"/>
      <c r="F212" s="32"/>
    </row>
    <row r="213" spans="1:6">
      <c r="A213"/>
      <c r="B213"/>
      <c r="C213"/>
      <c r="D213" s="32"/>
      <c r="E213" s="32"/>
      <c r="F213" s="32"/>
    </row>
    <row r="214" spans="1:6">
      <c r="A214"/>
      <c r="B214"/>
      <c r="C214"/>
      <c r="D214" s="32"/>
      <c r="E214" s="32"/>
      <c r="F214" s="32"/>
    </row>
    <row r="215" spans="1:6">
      <c r="A215"/>
      <c r="B215"/>
      <c r="C215"/>
      <c r="D215" s="32"/>
      <c r="E215" s="32"/>
      <c r="F215" s="32"/>
    </row>
    <row r="216" spans="1:6">
      <c r="A216"/>
      <c r="B216"/>
      <c r="C216"/>
      <c r="D216" s="32"/>
      <c r="E216" s="32"/>
      <c r="F216" s="32"/>
    </row>
    <row r="217" spans="1:6">
      <c r="A217"/>
      <c r="B217"/>
      <c r="C217"/>
      <c r="D217" s="32"/>
      <c r="E217" s="32"/>
      <c r="F217" s="32"/>
    </row>
    <row r="218" spans="1:6">
      <c r="A218"/>
      <c r="B218"/>
      <c r="C218"/>
      <c r="D218" s="32"/>
      <c r="E218" s="32"/>
      <c r="F218" s="32"/>
    </row>
    <row r="219" spans="1:6">
      <c r="A219"/>
      <c r="B219"/>
      <c r="C219"/>
      <c r="D219" s="32"/>
      <c r="E219" s="32"/>
      <c r="F219" s="32"/>
    </row>
    <row r="220" spans="1:6">
      <c r="A220"/>
      <c r="B220"/>
      <c r="C220"/>
      <c r="D220" s="32"/>
      <c r="E220" s="32"/>
      <c r="F220" s="32"/>
    </row>
    <row r="221" spans="1:6">
      <c r="A221"/>
      <c r="B221"/>
      <c r="C221"/>
      <c r="D221" s="32"/>
      <c r="E221" s="32"/>
      <c r="F221" s="32"/>
    </row>
    <row r="222" spans="1:6">
      <c r="A222"/>
      <c r="B222"/>
      <c r="C222"/>
      <c r="D222" s="32"/>
      <c r="E222" s="32"/>
      <c r="F222" s="32"/>
    </row>
    <row r="223" spans="1:6">
      <c r="A223"/>
      <c r="B223"/>
      <c r="C223"/>
      <c r="D223" s="32"/>
      <c r="E223" s="32"/>
      <c r="F223" s="32"/>
    </row>
    <row r="224" spans="1:6">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E3D-0B29-4639-A4E6-175CFCC1EB90}">
  <sheetPr>
    <tabColor rgb="FFFFFF00"/>
    <pageSetUpPr fitToPage="1"/>
  </sheetPr>
  <dimension ref="A1:Q1568"/>
  <sheetViews>
    <sheetView topLeftCell="A8" zoomScaleNormal="100" workbookViewId="0">
      <selection activeCell="B14" sqref="B14"/>
    </sheetView>
  </sheetViews>
  <sheetFormatPr defaultColWidth="8.85546875" defaultRowHeight="14.45"/>
  <cols>
    <col min="1" max="1" width="57.140625" style="43" customWidth="1"/>
    <col min="2" max="5" width="11.42578125" style="60" customWidth="1"/>
    <col min="6" max="6" width="11.42578125" style="61" customWidth="1"/>
    <col min="7" max="7" width="11.42578125" style="32" customWidth="1"/>
    <col min="8" max="11" width="11.42578125" customWidth="1"/>
    <col min="12" max="12" width="4.42578125" bestFit="1" customWidth="1"/>
    <col min="13" max="13" width="7.42578125"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17" ht="23.45" customHeight="1">
      <c r="A1" s="166" t="s">
        <v>450</v>
      </c>
      <c r="B1" s="166"/>
      <c r="C1" s="166"/>
      <c r="D1" s="32"/>
      <c r="E1" s="32"/>
      <c r="F1" s="32"/>
    </row>
    <row r="2" spans="1:17">
      <c r="A2" s="56" t="s">
        <v>3</v>
      </c>
      <c r="B2" s="105" t="s">
        <v>222</v>
      </c>
    </row>
    <row r="3" spans="1:17">
      <c r="A3" s="56" t="s">
        <v>11</v>
      </c>
      <c r="B3" t="s">
        <v>185</v>
      </c>
    </row>
    <row r="4" spans="1:17">
      <c r="A4" s="103" t="s">
        <v>1</v>
      </c>
      <c r="B4" s="43" t="s">
        <v>222</v>
      </c>
    </row>
    <row r="6" spans="1:17">
      <c r="A6" s="56" t="s">
        <v>428</v>
      </c>
      <c r="B6" s="56" t="s">
        <v>186</v>
      </c>
      <c r="C6"/>
      <c r="F6" s="60"/>
      <c r="G6" s="60"/>
      <c r="H6" s="60"/>
      <c r="I6" s="60"/>
      <c r="J6" s="60"/>
      <c r="K6" s="60"/>
      <c r="L6" s="60"/>
      <c r="M6" s="60"/>
      <c r="N6" s="60"/>
      <c r="O6" s="60"/>
      <c r="P6" s="60"/>
      <c r="Q6" s="60"/>
    </row>
    <row r="7" spans="1:17" ht="57.6">
      <c r="A7"/>
      <c r="B7" t="s">
        <v>454</v>
      </c>
      <c r="C7" t="s">
        <v>455</v>
      </c>
      <c r="D7" t="s">
        <v>456</v>
      </c>
      <c r="E7"/>
      <c r="F7"/>
      <c r="G7"/>
      <c r="H7" t="s">
        <v>457</v>
      </c>
      <c r="I7" t="s">
        <v>458</v>
      </c>
      <c r="O7" t="s">
        <v>459</v>
      </c>
      <c r="P7" t="s">
        <v>460</v>
      </c>
      <c r="Q7" s="104" t="s">
        <v>202</v>
      </c>
    </row>
    <row r="8" spans="1:17">
      <c r="A8" s="76" t="s">
        <v>218</v>
      </c>
      <c r="B8"/>
      <c r="C8"/>
      <c r="D8" t="s">
        <v>461</v>
      </c>
      <c r="E8" t="s">
        <v>462</v>
      </c>
      <c r="F8" t="s">
        <v>463</v>
      </c>
      <c r="G8" t="s">
        <v>464</v>
      </c>
      <c r="I8" t="s">
        <v>465</v>
      </c>
      <c r="J8" t="s">
        <v>466</v>
      </c>
      <c r="K8" t="s">
        <v>467</v>
      </c>
      <c r="L8" t="s">
        <v>468</v>
      </c>
      <c r="M8" t="s">
        <v>469</v>
      </c>
      <c r="N8" t="s">
        <v>470</v>
      </c>
      <c r="Q8" s="104"/>
    </row>
    <row r="9" spans="1:17">
      <c r="A9" s="43" t="s">
        <v>220</v>
      </c>
      <c r="F9" s="60"/>
      <c r="G9" s="60"/>
      <c r="H9" s="60"/>
      <c r="I9" s="60"/>
      <c r="J9" s="60"/>
      <c r="K9" s="60"/>
      <c r="L9" s="60"/>
      <c r="M9" s="60"/>
      <c r="N9" s="60"/>
      <c r="O9" s="60"/>
      <c r="P9" s="60"/>
      <c r="Q9" s="61"/>
    </row>
    <row r="10" spans="1:17">
      <c r="A10" s="57" t="s">
        <v>85</v>
      </c>
      <c r="B10" s="60">
        <v>10</v>
      </c>
      <c r="E10" s="60">
        <v>20</v>
      </c>
      <c r="F10" s="60">
        <v>4</v>
      </c>
      <c r="G10" s="60"/>
      <c r="H10" s="60">
        <v>24</v>
      </c>
      <c r="I10" s="60">
        <v>750</v>
      </c>
      <c r="J10" s="60"/>
      <c r="K10" s="60"/>
      <c r="L10" s="60">
        <v>590</v>
      </c>
      <c r="M10" s="60"/>
      <c r="N10" s="60"/>
      <c r="O10" s="60">
        <v>1340</v>
      </c>
      <c r="P10" s="60"/>
      <c r="Q10" s="61">
        <v>1374</v>
      </c>
    </row>
    <row r="11" spans="1:17">
      <c r="A11" s="57" t="s">
        <v>165</v>
      </c>
      <c r="D11" s="60">
        <v>6</v>
      </c>
      <c r="F11" s="60"/>
      <c r="G11" s="60">
        <v>1</v>
      </c>
      <c r="H11" s="60">
        <v>7</v>
      </c>
      <c r="I11" s="60">
        <v>23</v>
      </c>
      <c r="J11" s="60"/>
      <c r="K11" s="60">
        <v>28</v>
      </c>
      <c r="L11" s="60">
        <v>11</v>
      </c>
      <c r="M11" s="60">
        <v>1</v>
      </c>
      <c r="N11" s="60"/>
      <c r="O11" s="60">
        <v>63</v>
      </c>
      <c r="P11" s="60"/>
      <c r="Q11" s="61">
        <v>70</v>
      </c>
    </row>
    <row r="12" spans="1:17">
      <c r="A12" s="57" t="s">
        <v>303</v>
      </c>
      <c r="B12" s="60">
        <v>6</v>
      </c>
      <c r="F12" s="60"/>
      <c r="G12" s="60"/>
      <c r="H12" s="60"/>
      <c r="I12" s="60"/>
      <c r="J12" s="60"/>
      <c r="K12" s="60"/>
      <c r="L12" s="60"/>
      <c r="M12" s="60"/>
      <c r="N12" s="60"/>
      <c r="O12" s="60"/>
      <c r="P12" s="60"/>
      <c r="Q12" s="61">
        <v>6</v>
      </c>
    </row>
    <row r="13" spans="1:17">
      <c r="A13" s="57" t="s">
        <v>221</v>
      </c>
      <c r="C13" s="60">
        <v>7</v>
      </c>
      <c r="F13" s="60"/>
      <c r="G13" s="60">
        <v>7</v>
      </c>
      <c r="H13" s="60">
        <v>7</v>
      </c>
      <c r="I13" s="60"/>
      <c r="J13" s="60">
        <v>12</v>
      </c>
      <c r="K13" s="60">
        <v>25</v>
      </c>
      <c r="L13" s="60"/>
      <c r="M13" s="60"/>
      <c r="N13" s="60">
        <v>2</v>
      </c>
      <c r="O13" s="60">
        <v>39</v>
      </c>
      <c r="P13" s="60"/>
      <c r="Q13" s="61">
        <v>53</v>
      </c>
    </row>
    <row r="14" spans="1:17">
      <c r="A14" s="58" t="s">
        <v>71</v>
      </c>
      <c r="F14" s="60"/>
      <c r="G14" s="60"/>
      <c r="H14" s="60"/>
      <c r="I14" s="60"/>
      <c r="J14" s="60"/>
      <c r="K14" s="60"/>
      <c r="L14" s="60"/>
      <c r="M14" s="60"/>
      <c r="N14" s="60"/>
      <c r="O14" s="60"/>
      <c r="P14" s="60"/>
      <c r="Q14" s="61"/>
    </row>
    <row r="15" spans="1:17">
      <c r="A15" s="71" t="s">
        <v>138</v>
      </c>
      <c r="F15" s="60"/>
      <c r="G15" s="60">
        <v>5</v>
      </c>
      <c r="H15" s="60">
        <v>5</v>
      </c>
      <c r="I15" s="60"/>
      <c r="J15" s="60"/>
      <c r="K15" s="60"/>
      <c r="L15" s="60"/>
      <c r="M15" s="60"/>
      <c r="N15" s="60"/>
      <c r="O15" s="60"/>
      <c r="P15" s="60"/>
      <c r="Q15" s="61">
        <v>5</v>
      </c>
    </row>
    <row r="16" spans="1:17">
      <c r="A16" s="71" t="s">
        <v>357</v>
      </c>
      <c r="F16" s="60"/>
      <c r="G16" s="60">
        <v>2</v>
      </c>
      <c r="H16" s="60">
        <v>2</v>
      </c>
      <c r="I16" s="60"/>
      <c r="J16" s="60"/>
      <c r="K16" s="60"/>
      <c r="L16" s="60"/>
      <c r="M16" s="60"/>
      <c r="N16" s="60"/>
      <c r="O16" s="60"/>
      <c r="P16" s="60"/>
      <c r="Q16" s="61">
        <v>2</v>
      </c>
    </row>
    <row r="17" spans="1:17">
      <c r="A17" s="58" t="s">
        <v>288</v>
      </c>
      <c r="F17" s="60"/>
      <c r="G17" s="60"/>
      <c r="H17" s="60"/>
      <c r="I17" s="60"/>
      <c r="J17" s="60"/>
      <c r="K17" s="60"/>
      <c r="L17" s="60"/>
      <c r="M17" s="60"/>
      <c r="N17" s="60"/>
      <c r="O17" s="60"/>
      <c r="P17" s="60"/>
      <c r="Q17" s="61"/>
    </row>
    <row r="18" spans="1:17">
      <c r="A18" s="71" t="s">
        <v>292</v>
      </c>
      <c r="F18" s="60"/>
      <c r="G18" s="60"/>
      <c r="H18" s="60"/>
      <c r="I18" s="60"/>
      <c r="J18" s="60">
        <v>10</v>
      </c>
      <c r="K18" s="60"/>
      <c r="L18" s="60"/>
      <c r="M18" s="60"/>
      <c r="N18" s="60">
        <v>2</v>
      </c>
      <c r="O18" s="60">
        <v>12</v>
      </c>
      <c r="P18" s="60"/>
      <c r="Q18" s="61">
        <v>12</v>
      </c>
    </row>
    <row r="19" spans="1:17">
      <c r="A19" s="58" t="s">
        <v>325</v>
      </c>
      <c r="F19" s="60"/>
      <c r="G19" s="60"/>
      <c r="H19" s="60"/>
      <c r="I19" s="60"/>
      <c r="J19" s="60"/>
      <c r="K19" s="60"/>
      <c r="L19" s="60"/>
      <c r="M19" s="60"/>
      <c r="N19" s="60"/>
      <c r="O19" s="60"/>
      <c r="P19" s="60"/>
      <c r="Q19" s="61"/>
    </row>
    <row r="20" spans="1:17">
      <c r="A20" s="71" t="s">
        <v>353</v>
      </c>
      <c r="F20" s="60"/>
      <c r="G20" s="60"/>
      <c r="H20" s="60"/>
      <c r="I20" s="60"/>
      <c r="J20" s="60"/>
      <c r="K20" s="60">
        <v>25</v>
      </c>
      <c r="L20" s="60"/>
      <c r="M20" s="60"/>
      <c r="N20" s="60"/>
      <c r="O20" s="60">
        <v>25</v>
      </c>
      <c r="P20" s="60"/>
      <c r="Q20" s="61">
        <v>25</v>
      </c>
    </row>
    <row r="21" spans="1:17">
      <c r="A21" s="58" t="s">
        <v>20</v>
      </c>
      <c r="F21" s="60"/>
      <c r="G21" s="60"/>
      <c r="H21" s="60"/>
      <c r="I21" s="60"/>
      <c r="J21" s="60"/>
      <c r="K21" s="60"/>
      <c r="L21" s="60"/>
      <c r="M21" s="60"/>
      <c r="N21" s="60"/>
      <c r="O21" s="60"/>
      <c r="P21" s="60"/>
      <c r="Q21" s="61"/>
    </row>
    <row r="22" spans="1:17">
      <c r="A22" s="71" t="s">
        <v>91</v>
      </c>
      <c r="C22" s="60">
        <v>5</v>
      </c>
      <c r="F22" s="60"/>
      <c r="G22" s="60"/>
      <c r="H22" s="60"/>
      <c r="I22" s="60"/>
      <c r="J22" s="60"/>
      <c r="K22" s="60"/>
      <c r="L22" s="60"/>
      <c r="M22" s="60"/>
      <c r="N22" s="60"/>
      <c r="O22" s="60"/>
      <c r="P22" s="60"/>
      <c r="Q22" s="61">
        <v>5</v>
      </c>
    </row>
    <row r="23" spans="1:17">
      <c r="A23" s="71" t="s">
        <v>128</v>
      </c>
      <c r="C23" s="60">
        <v>2</v>
      </c>
      <c r="F23" s="60"/>
      <c r="G23" s="60"/>
      <c r="H23" s="60"/>
      <c r="I23" s="60"/>
      <c r="J23" s="60"/>
      <c r="K23" s="60"/>
      <c r="L23" s="60"/>
      <c r="M23" s="60"/>
      <c r="N23" s="60"/>
      <c r="O23" s="60"/>
      <c r="P23" s="60"/>
      <c r="Q23" s="61">
        <v>2</v>
      </c>
    </row>
    <row r="24" spans="1:17">
      <c r="A24" s="58" t="s">
        <v>345</v>
      </c>
      <c r="F24" s="60"/>
      <c r="G24" s="60"/>
      <c r="H24" s="60"/>
      <c r="I24" s="60"/>
      <c r="J24" s="60"/>
      <c r="K24" s="60"/>
      <c r="L24" s="60"/>
      <c r="M24" s="60"/>
      <c r="N24" s="60"/>
      <c r="O24" s="60"/>
      <c r="P24" s="60"/>
      <c r="Q24" s="61"/>
    </row>
    <row r="25" spans="1:17">
      <c r="A25" s="71" t="s">
        <v>291</v>
      </c>
      <c r="F25" s="60"/>
      <c r="G25" s="60"/>
      <c r="H25" s="60"/>
      <c r="I25" s="60"/>
      <c r="J25" s="60">
        <v>2</v>
      </c>
      <c r="K25" s="60"/>
      <c r="L25" s="60"/>
      <c r="M25" s="60"/>
      <c r="N25" s="60"/>
      <c r="O25" s="60">
        <v>2</v>
      </c>
      <c r="P25" s="60"/>
      <c r="Q25" s="61">
        <v>2</v>
      </c>
    </row>
    <row r="26" spans="1:17">
      <c r="A26" s="57" t="s">
        <v>228</v>
      </c>
      <c r="F26" s="60"/>
      <c r="G26" s="60"/>
      <c r="H26" s="60"/>
      <c r="I26" s="60"/>
      <c r="J26" s="60"/>
      <c r="K26" s="60"/>
      <c r="L26" s="60"/>
      <c r="M26" s="60"/>
      <c r="N26" s="60"/>
      <c r="O26" s="60"/>
      <c r="P26" s="60">
        <v>30</v>
      </c>
      <c r="Q26" s="61">
        <v>30</v>
      </c>
    </row>
    <row r="27" spans="1:17">
      <c r="A27" s="58" t="s">
        <v>226</v>
      </c>
      <c r="F27" s="60"/>
      <c r="G27" s="60"/>
      <c r="H27" s="60"/>
      <c r="I27" s="60"/>
      <c r="J27" s="60"/>
      <c r="K27" s="60"/>
      <c r="L27" s="60"/>
      <c r="M27" s="60"/>
      <c r="N27" s="60"/>
      <c r="O27" s="60"/>
      <c r="P27" s="60"/>
      <c r="Q27" s="61"/>
    </row>
    <row r="28" spans="1:17">
      <c r="A28" s="71" t="s">
        <v>227</v>
      </c>
      <c r="F28" s="60"/>
      <c r="G28" s="60"/>
      <c r="H28" s="60"/>
      <c r="I28" s="60"/>
      <c r="J28" s="60"/>
      <c r="K28" s="60"/>
      <c r="L28" s="60"/>
      <c r="M28" s="60"/>
      <c r="N28" s="60"/>
      <c r="O28" s="60"/>
      <c r="P28" s="60">
        <v>30</v>
      </c>
      <c r="Q28" s="61">
        <v>30</v>
      </c>
    </row>
    <row r="29" spans="1:17">
      <c r="A29"/>
      <c r="B29"/>
      <c r="C29"/>
      <c r="D29"/>
      <c r="E29"/>
      <c r="F29"/>
      <c r="G29"/>
    </row>
    <row r="30" spans="1:17">
      <c r="A30"/>
      <c r="B30"/>
      <c r="C30"/>
      <c r="D30"/>
      <c r="E30"/>
      <c r="F30"/>
      <c r="G30"/>
    </row>
    <row r="31" spans="1:17">
      <c r="A31"/>
      <c r="B31"/>
      <c r="C31"/>
      <c r="D31"/>
      <c r="E31"/>
      <c r="F31"/>
      <c r="G31"/>
    </row>
    <row r="32" spans="1:17">
      <c r="A32"/>
      <c r="B32"/>
      <c r="C32"/>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1:7">
      <c r="A65"/>
      <c r="B65"/>
      <c r="C65"/>
      <c r="D65"/>
      <c r="E65"/>
      <c r="F65"/>
      <c r="G65"/>
    </row>
    <row r="66" spans="1:7">
      <c r="A66"/>
      <c r="B66"/>
      <c r="C66"/>
      <c r="D66"/>
      <c r="E66"/>
      <c r="F66"/>
      <c r="G66"/>
    </row>
    <row r="67" spans="1:7">
      <c r="A67"/>
      <c r="B67"/>
      <c r="C67"/>
      <c r="D67" s="32"/>
      <c r="E67" s="32"/>
      <c r="F67" s="32"/>
    </row>
    <row r="68" spans="1:7">
      <c r="A68"/>
      <c r="B68"/>
      <c r="C68"/>
      <c r="D68" s="32"/>
      <c r="E68" s="32"/>
      <c r="F68" s="32"/>
    </row>
    <row r="69" spans="1:7">
      <c r="A69"/>
      <c r="B69"/>
      <c r="C69"/>
      <c r="D69" s="32"/>
      <c r="E69" s="32"/>
      <c r="F69" s="32"/>
    </row>
    <row r="70" spans="1:7">
      <c r="A70"/>
      <c r="B70"/>
      <c r="C70"/>
      <c r="D70" s="32"/>
      <c r="E70" s="32"/>
      <c r="F70" s="32"/>
    </row>
    <row r="71" spans="1:7">
      <c r="A71"/>
      <c r="B71"/>
      <c r="C71"/>
      <c r="D71" s="32"/>
      <c r="E71" s="32"/>
      <c r="F71" s="32"/>
    </row>
    <row r="72" spans="1:7">
      <c r="A72"/>
      <c r="B72"/>
      <c r="C72"/>
      <c r="D72" s="32"/>
      <c r="E72" s="32"/>
      <c r="F72" s="32"/>
    </row>
    <row r="73" spans="1:7">
      <c r="A73"/>
      <c r="B73"/>
      <c r="C73"/>
      <c r="D73" s="32"/>
      <c r="E73" s="32"/>
      <c r="F73" s="32"/>
    </row>
    <row r="74" spans="1:7">
      <c r="A74"/>
      <c r="B74"/>
      <c r="C74"/>
      <c r="D74" s="32"/>
      <c r="E74" s="32"/>
      <c r="F74" s="32"/>
    </row>
    <row r="75" spans="1:7">
      <c r="A75"/>
      <c r="B75"/>
      <c r="C75"/>
      <c r="D75" s="32"/>
      <c r="E75" s="32"/>
      <c r="F75" s="32"/>
    </row>
    <row r="76" spans="1:7">
      <c r="A76"/>
      <c r="B76"/>
      <c r="C76"/>
      <c r="D76" s="32"/>
      <c r="E76" s="32"/>
      <c r="F76" s="32"/>
    </row>
    <row r="77" spans="1:7">
      <c r="A77"/>
      <c r="B77"/>
      <c r="C77"/>
      <c r="D77" s="32"/>
      <c r="E77" s="32"/>
      <c r="F77" s="32"/>
    </row>
    <row r="78" spans="1:7">
      <c r="A78"/>
      <c r="B78"/>
      <c r="C78"/>
      <c r="D78" s="32"/>
      <c r="E78" s="32"/>
      <c r="F78" s="32"/>
    </row>
    <row r="79" spans="1:7">
      <c r="A79"/>
      <c r="B79"/>
      <c r="C79"/>
      <c r="D79" s="32"/>
      <c r="E79" s="32"/>
      <c r="F79" s="32"/>
    </row>
    <row r="80" spans="1:7">
      <c r="A80"/>
      <c r="B80"/>
      <c r="C80"/>
      <c r="D80" s="32"/>
      <c r="E80" s="32"/>
      <c r="F80" s="32"/>
    </row>
    <row r="81" spans="1:6">
      <c r="A81"/>
      <c r="B81"/>
      <c r="C81"/>
      <c r="D81" s="32"/>
      <c r="E81" s="32"/>
      <c r="F81" s="32"/>
    </row>
    <row r="82" spans="1:6">
      <c r="A82"/>
      <c r="B82"/>
      <c r="C82"/>
      <c r="D82" s="32"/>
      <c r="E82" s="32"/>
      <c r="F82" s="32"/>
    </row>
    <row r="83" spans="1:6">
      <c r="A83"/>
      <c r="B83"/>
      <c r="C83"/>
      <c r="D83" s="32"/>
      <c r="E83" s="32"/>
      <c r="F83" s="32"/>
    </row>
    <row r="84" spans="1:6">
      <c r="A84"/>
      <c r="B84"/>
      <c r="C84"/>
      <c r="D84" s="32"/>
      <c r="E84" s="32"/>
      <c r="F84" s="32"/>
    </row>
    <row r="85" spans="1:6">
      <c r="A85"/>
      <c r="B85"/>
      <c r="C85"/>
      <c r="D85" s="32"/>
      <c r="E85" s="32"/>
      <c r="F85" s="32"/>
    </row>
    <row r="86" spans="1:6">
      <c r="A86"/>
      <c r="B86"/>
      <c r="C86"/>
      <c r="D86" s="32"/>
      <c r="E86" s="32"/>
      <c r="F86" s="32"/>
    </row>
    <row r="87" spans="1:6">
      <c r="A87"/>
      <c r="B87"/>
      <c r="C87"/>
      <c r="D87" s="32"/>
      <c r="E87" s="32"/>
      <c r="F87" s="32"/>
    </row>
    <row r="88" spans="1:6">
      <c r="A88"/>
      <c r="B88"/>
      <c r="C88"/>
      <c r="D88" s="32"/>
      <c r="E88" s="32"/>
      <c r="F88" s="32"/>
    </row>
    <row r="89" spans="1:6">
      <c r="A89"/>
      <c r="B89"/>
      <c r="C89"/>
      <c r="D89" s="32"/>
      <c r="E89" s="32"/>
      <c r="F89" s="32"/>
    </row>
    <row r="90" spans="1:6">
      <c r="A90"/>
      <c r="B90"/>
      <c r="C90"/>
      <c r="D90" s="32"/>
      <c r="E90" s="32"/>
      <c r="F90" s="32"/>
    </row>
    <row r="91" spans="1:6">
      <c r="A91"/>
      <c r="B91"/>
      <c r="C91"/>
      <c r="D91" s="32"/>
      <c r="E91" s="32"/>
      <c r="F91" s="32"/>
    </row>
    <row r="92" spans="1:6">
      <c r="A92"/>
      <c r="B92"/>
      <c r="C92"/>
      <c r="D92" s="32"/>
      <c r="E92" s="32"/>
      <c r="F92" s="32"/>
    </row>
    <row r="93" spans="1:6">
      <c r="A93"/>
      <c r="B93"/>
      <c r="C93"/>
      <c r="D93" s="32"/>
      <c r="E93" s="32"/>
      <c r="F93" s="32"/>
    </row>
    <row r="94" spans="1:6">
      <c r="A94"/>
      <c r="B94"/>
      <c r="C94"/>
      <c r="D94" s="32"/>
      <c r="E94" s="32"/>
      <c r="F94" s="32"/>
    </row>
    <row r="95" spans="1:6">
      <c r="A95"/>
      <c r="B95"/>
      <c r="C95"/>
      <c r="D95" s="32"/>
      <c r="E95" s="32"/>
      <c r="F95" s="32"/>
    </row>
    <row r="96" spans="1:6">
      <c r="A96"/>
      <c r="B96"/>
      <c r="C96"/>
      <c r="D96" s="32"/>
      <c r="E96" s="32"/>
      <c r="F96" s="32"/>
    </row>
    <row r="97" spans="1:6">
      <c r="A97"/>
      <c r="B97"/>
      <c r="C97"/>
      <c r="D97" s="32"/>
      <c r="E97" s="32"/>
      <c r="F97" s="32"/>
    </row>
    <row r="98" spans="1:6">
      <c r="A98"/>
      <c r="B98"/>
      <c r="C98"/>
      <c r="D98" s="32"/>
      <c r="E98" s="32"/>
      <c r="F98" s="32"/>
    </row>
    <row r="99" spans="1:6">
      <c r="A99"/>
      <c r="B99"/>
      <c r="C99"/>
      <c r="D99" s="32"/>
      <c r="E99" s="32"/>
      <c r="F99" s="32"/>
    </row>
    <row r="100" spans="1:6">
      <c r="A100"/>
      <c r="B100"/>
      <c r="C100"/>
      <c r="D100" s="32"/>
      <c r="E100" s="32"/>
      <c r="F100" s="32"/>
    </row>
    <row r="101" spans="1:6">
      <c r="A101"/>
      <c r="B101"/>
      <c r="C101"/>
      <c r="D101" s="32"/>
      <c r="E101" s="32"/>
      <c r="F101" s="32"/>
    </row>
    <row r="102" spans="1:6">
      <c r="A102"/>
      <c r="B102"/>
      <c r="C102"/>
      <c r="D102" s="32"/>
      <c r="E102" s="32"/>
      <c r="F102" s="32"/>
    </row>
    <row r="103" spans="1:6">
      <c r="A103"/>
      <c r="B103"/>
      <c r="C103"/>
      <c r="D103" s="32"/>
      <c r="E103" s="32"/>
      <c r="F103" s="32"/>
    </row>
    <row r="104" spans="1:6">
      <c r="A104"/>
      <c r="B104"/>
      <c r="C104"/>
      <c r="D104" s="32"/>
      <c r="E104" s="32"/>
      <c r="F104" s="32"/>
    </row>
    <row r="105" spans="1:6">
      <c r="A105"/>
      <c r="B105"/>
      <c r="C105"/>
      <c r="D105" s="32"/>
      <c r="E105" s="32"/>
      <c r="F105" s="32"/>
    </row>
    <row r="106" spans="1:6">
      <c r="A106"/>
      <c r="B106"/>
      <c r="C106"/>
      <c r="D106" s="32"/>
      <c r="E106" s="32"/>
      <c r="F106" s="32"/>
    </row>
    <row r="107" spans="1:6">
      <c r="A107"/>
      <c r="B107"/>
      <c r="C107"/>
      <c r="D107" s="32"/>
      <c r="E107" s="32"/>
      <c r="F107" s="32"/>
    </row>
    <row r="108" spans="1:6">
      <c r="A108"/>
      <c r="B108"/>
      <c r="C108"/>
      <c r="D108" s="32"/>
      <c r="E108" s="32"/>
      <c r="F108" s="32"/>
    </row>
    <row r="109" spans="1:6">
      <c r="A109"/>
      <c r="B109"/>
      <c r="C109"/>
      <c r="D109" s="32"/>
      <c r="E109" s="32"/>
      <c r="F109" s="32"/>
    </row>
    <row r="110" spans="1:6">
      <c r="A110"/>
      <c r="B110"/>
      <c r="C110"/>
      <c r="D110" s="32"/>
      <c r="E110" s="32"/>
      <c r="F110" s="32"/>
    </row>
    <row r="111" spans="1:6">
      <c r="A111"/>
      <c r="B111"/>
      <c r="C111"/>
      <c r="D111" s="32"/>
      <c r="E111" s="32"/>
      <c r="F111" s="32"/>
    </row>
    <row r="112" spans="1:6">
      <c r="A112"/>
      <c r="B112"/>
      <c r="C112"/>
      <c r="D112" s="32"/>
      <c r="E112" s="32"/>
      <c r="F112" s="32"/>
    </row>
    <row r="113" spans="1:6">
      <c r="A113"/>
      <c r="B113"/>
      <c r="C113"/>
      <c r="D113" s="32"/>
      <c r="E113" s="32"/>
      <c r="F113" s="32"/>
    </row>
    <row r="114" spans="1:6">
      <c r="A114"/>
      <c r="B114"/>
      <c r="C114"/>
      <c r="D114" s="32"/>
      <c r="E114" s="32"/>
      <c r="F114" s="32"/>
    </row>
    <row r="115" spans="1:6">
      <c r="A115"/>
      <c r="B115"/>
      <c r="C115"/>
      <c r="D115" s="32"/>
      <c r="E115" s="32"/>
      <c r="F115" s="32"/>
    </row>
    <row r="116" spans="1:6">
      <c r="A116"/>
      <c r="B116"/>
      <c r="C116"/>
      <c r="D116" s="32"/>
      <c r="E116" s="32"/>
      <c r="F116" s="32"/>
    </row>
    <row r="117" spans="1:6">
      <c r="A117"/>
      <c r="B117"/>
      <c r="C117"/>
      <c r="D117" s="32"/>
      <c r="E117" s="32"/>
      <c r="F117" s="32"/>
    </row>
    <row r="118" spans="1:6">
      <c r="A118"/>
      <c r="B118"/>
      <c r="C118"/>
      <c r="D118" s="32"/>
      <c r="E118" s="32"/>
      <c r="F118" s="32"/>
    </row>
    <row r="119" spans="1:6">
      <c r="A119"/>
      <c r="B119"/>
      <c r="C119"/>
      <c r="D119" s="32"/>
      <c r="E119" s="32"/>
      <c r="F119" s="32"/>
    </row>
    <row r="120" spans="1:6">
      <c r="A120"/>
      <c r="B120"/>
      <c r="C120"/>
      <c r="D120" s="32"/>
      <c r="E120" s="32"/>
      <c r="F120" s="32"/>
    </row>
    <row r="121" spans="1:6">
      <c r="A121"/>
      <c r="B121"/>
      <c r="C121"/>
      <c r="D121" s="32"/>
      <c r="E121" s="32"/>
      <c r="F121" s="32"/>
    </row>
    <row r="122" spans="1:6">
      <c r="A122"/>
      <c r="B122"/>
      <c r="C122"/>
      <c r="D122" s="32"/>
      <c r="E122" s="32"/>
      <c r="F122" s="32"/>
    </row>
    <row r="123" spans="1:6">
      <c r="A123"/>
      <c r="B123"/>
      <c r="C123"/>
      <c r="D123" s="32"/>
      <c r="E123" s="32"/>
      <c r="F123" s="32"/>
    </row>
    <row r="124" spans="1:6">
      <c r="A124"/>
      <c r="B124"/>
      <c r="C124"/>
      <c r="D124" s="32"/>
      <c r="E124" s="32"/>
      <c r="F124" s="32"/>
    </row>
    <row r="125" spans="1:6">
      <c r="A125"/>
      <c r="B125"/>
      <c r="C125"/>
      <c r="D125" s="32"/>
      <c r="E125" s="32"/>
      <c r="F125" s="32"/>
    </row>
    <row r="126" spans="1:6">
      <c r="A126"/>
      <c r="B126"/>
      <c r="C126"/>
      <c r="D126" s="32"/>
      <c r="E126" s="32"/>
      <c r="F126" s="32"/>
    </row>
    <row r="127" spans="1:6">
      <c r="A127"/>
      <c r="B127"/>
      <c r="C127"/>
      <c r="D127" s="32"/>
      <c r="E127" s="32"/>
      <c r="F127" s="32"/>
    </row>
    <row r="128" spans="1:6">
      <c r="A128"/>
      <c r="B128"/>
      <c r="C128"/>
      <c r="D128" s="32"/>
      <c r="E128" s="32"/>
      <c r="F128" s="32"/>
    </row>
    <row r="129" spans="1:6">
      <c r="A129"/>
      <c r="B129"/>
      <c r="C129"/>
      <c r="D129" s="32"/>
      <c r="E129" s="32"/>
      <c r="F129" s="32"/>
    </row>
    <row r="130" spans="1:6">
      <c r="A130"/>
      <c r="B130"/>
      <c r="C130"/>
      <c r="D130" s="32"/>
      <c r="E130" s="32"/>
      <c r="F130" s="32"/>
    </row>
    <row r="131" spans="1:6">
      <c r="A131"/>
      <c r="B131"/>
      <c r="C131"/>
      <c r="D131" s="32"/>
      <c r="E131" s="32"/>
      <c r="F131" s="32"/>
    </row>
    <row r="132" spans="1:6">
      <c r="A132"/>
      <c r="B132"/>
      <c r="C132"/>
      <c r="D132" s="32"/>
      <c r="E132" s="32"/>
      <c r="F132" s="32"/>
    </row>
    <row r="133" spans="1:6">
      <c r="A133"/>
      <c r="B133"/>
      <c r="C133"/>
      <c r="D133" s="32"/>
      <c r="E133" s="32"/>
      <c r="F133" s="32"/>
    </row>
    <row r="134" spans="1:6">
      <c r="A134"/>
      <c r="B134"/>
      <c r="C134"/>
      <c r="D134" s="32"/>
      <c r="E134" s="32"/>
      <c r="F134" s="32"/>
    </row>
    <row r="135" spans="1:6">
      <c r="A135"/>
      <c r="B135"/>
      <c r="C135"/>
      <c r="D135" s="32"/>
      <c r="E135" s="32"/>
      <c r="F135" s="32"/>
    </row>
    <row r="136" spans="1:6">
      <c r="A136"/>
      <c r="B136"/>
      <c r="C136"/>
      <c r="D136" s="32"/>
      <c r="E136" s="32"/>
      <c r="F136" s="32"/>
    </row>
    <row r="137" spans="1:6">
      <c r="A137"/>
      <c r="B137"/>
      <c r="C137"/>
      <c r="D137" s="32"/>
      <c r="E137" s="32"/>
      <c r="F137" s="32"/>
    </row>
    <row r="138" spans="1:6">
      <c r="A138"/>
      <c r="B138"/>
      <c r="C138"/>
      <c r="D138" s="32"/>
      <c r="E138" s="32"/>
      <c r="F138" s="32"/>
    </row>
    <row r="139" spans="1:6">
      <c r="A139"/>
      <c r="B139"/>
      <c r="C139"/>
      <c r="D139" s="32"/>
      <c r="E139" s="32"/>
      <c r="F139" s="32"/>
    </row>
    <row r="140" spans="1:6">
      <c r="A140"/>
      <c r="B140"/>
      <c r="C140"/>
      <c r="D140" s="32"/>
      <c r="E140" s="32"/>
      <c r="F140" s="32"/>
    </row>
    <row r="141" spans="1:6">
      <c r="A141"/>
      <c r="B141"/>
      <c r="C141"/>
      <c r="D141" s="32"/>
      <c r="E141" s="32"/>
      <c r="F141" s="32"/>
    </row>
    <row r="142" spans="1:6">
      <c r="A142"/>
      <c r="B142"/>
      <c r="C142"/>
      <c r="D142" s="32"/>
      <c r="E142" s="32"/>
      <c r="F142" s="32"/>
    </row>
    <row r="143" spans="1:6">
      <c r="A143"/>
      <c r="B143"/>
      <c r="C143"/>
      <c r="D143" s="32"/>
      <c r="E143" s="32"/>
      <c r="F143" s="32"/>
    </row>
    <row r="144" spans="1:6">
      <c r="A144"/>
      <c r="B144"/>
      <c r="C144"/>
      <c r="D144" s="32"/>
      <c r="E144" s="32"/>
      <c r="F144" s="32"/>
    </row>
    <row r="145" spans="1:6">
      <c r="A145"/>
      <c r="B145"/>
      <c r="C145"/>
      <c r="D145" s="32"/>
      <c r="E145" s="32"/>
      <c r="F145" s="32"/>
    </row>
    <row r="146" spans="1:6">
      <c r="A146"/>
      <c r="B146"/>
      <c r="C146"/>
      <c r="D146" s="32"/>
      <c r="E146" s="32"/>
      <c r="F146" s="32"/>
    </row>
    <row r="147" spans="1:6">
      <c r="A147"/>
      <c r="B147"/>
      <c r="C147"/>
      <c r="D147" s="32"/>
      <c r="E147" s="32"/>
      <c r="F147" s="32"/>
    </row>
    <row r="148" spans="1:6">
      <c r="A148"/>
      <c r="B148"/>
      <c r="C148"/>
      <c r="D148" s="32"/>
      <c r="E148" s="32"/>
      <c r="F148" s="32"/>
    </row>
    <row r="149" spans="1:6">
      <c r="A149"/>
      <c r="B149"/>
      <c r="C149"/>
      <c r="D149" s="32"/>
      <c r="E149" s="32"/>
      <c r="F149" s="32"/>
    </row>
    <row r="150" spans="1:6">
      <c r="A150"/>
      <c r="B150"/>
      <c r="C150"/>
      <c r="D150" s="32"/>
      <c r="E150" s="32"/>
      <c r="F150" s="32"/>
    </row>
    <row r="151" spans="1:6">
      <c r="A151"/>
      <c r="B151"/>
      <c r="C151"/>
      <c r="D151" s="32"/>
      <c r="E151" s="32"/>
      <c r="F151" s="32"/>
    </row>
    <row r="152" spans="1:6">
      <c r="A152"/>
      <c r="B152"/>
      <c r="C152"/>
      <c r="D152" s="32"/>
      <c r="E152" s="32"/>
      <c r="F152" s="32"/>
    </row>
    <row r="153" spans="1:6">
      <c r="A153"/>
      <c r="B153"/>
      <c r="C153"/>
      <c r="D153" s="32"/>
      <c r="E153" s="32"/>
      <c r="F153" s="32"/>
    </row>
    <row r="154" spans="1:6">
      <c r="A154"/>
      <c r="B154"/>
      <c r="C154"/>
      <c r="D154" s="32"/>
      <c r="E154" s="32"/>
      <c r="F154" s="32"/>
    </row>
    <row r="155" spans="1:6">
      <c r="A155"/>
      <c r="B155"/>
      <c r="C155"/>
      <c r="D155" s="32"/>
      <c r="E155" s="32"/>
      <c r="F155" s="32"/>
    </row>
    <row r="156" spans="1:6">
      <c r="A156"/>
      <c r="B156"/>
      <c r="C156"/>
      <c r="D156" s="32"/>
      <c r="E156" s="32"/>
      <c r="F156" s="32"/>
    </row>
    <row r="157" spans="1:6">
      <c r="A157"/>
      <c r="B157"/>
      <c r="C157"/>
      <c r="D157" s="32"/>
      <c r="E157" s="32"/>
      <c r="F157" s="32"/>
    </row>
    <row r="158" spans="1:6">
      <c r="A158"/>
      <c r="B158"/>
      <c r="C158"/>
      <c r="D158" s="32"/>
      <c r="E158" s="32"/>
      <c r="F158" s="32"/>
    </row>
    <row r="159" spans="1:6">
      <c r="A159"/>
      <c r="B159"/>
      <c r="C159"/>
      <c r="D159" s="32"/>
      <c r="E159" s="32"/>
      <c r="F159" s="32"/>
    </row>
    <row r="160" spans="1:6">
      <c r="A160"/>
      <c r="B160"/>
      <c r="C160"/>
      <c r="D160" s="32"/>
      <c r="E160" s="32"/>
      <c r="F160" s="32"/>
    </row>
    <row r="161" spans="1:6">
      <c r="A161"/>
      <c r="B161"/>
      <c r="C161"/>
      <c r="D161" s="32"/>
      <c r="E161" s="32"/>
      <c r="F161" s="32"/>
    </row>
    <row r="162" spans="1:6">
      <c r="A162"/>
      <c r="B162"/>
      <c r="C162"/>
      <c r="D162" s="32"/>
      <c r="E162" s="32"/>
      <c r="F162" s="32"/>
    </row>
    <row r="163" spans="1:6">
      <c r="A163"/>
      <c r="B163"/>
      <c r="C163"/>
      <c r="D163" s="32"/>
      <c r="E163" s="32"/>
      <c r="F163" s="32"/>
    </row>
    <row r="164" spans="1:6">
      <c r="A164"/>
      <c r="B164"/>
      <c r="C164"/>
      <c r="D164" s="32"/>
      <c r="E164" s="32"/>
      <c r="F164" s="32"/>
    </row>
    <row r="165" spans="1:6">
      <c r="A165"/>
      <c r="B165"/>
      <c r="C165"/>
      <c r="D165" s="32"/>
      <c r="E165" s="32"/>
      <c r="F165" s="32"/>
    </row>
    <row r="166" spans="1:6">
      <c r="A166"/>
      <c r="B166"/>
      <c r="C166"/>
      <c r="D166" s="32"/>
      <c r="E166" s="32"/>
      <c r="F166" s="32"/>
    </row>
    <row r="167" spans="1:6">
      <c r="A167"/>
      <c r="B167"/>
      <c r="C167"/>
      <c r="D167" s="32"/>
      <c r="E167" s="32"/>
      <c r="F167" s="32"/>
    </row>
    <row r="168" spans="1:6">
      <c r="A168"/>
      <c r="B168"/>
      <c r="C168"/>
      <c r="D168" s="32"/>
      <c r="E168" s="32"/>
      <c r="F168" s="32"/>
    </row>
    <row r="169" spans="1:6">
      <c r="A169"/>
      <c r="B169"/>
      <c r="C169"/>
      <c r="D169" s="32"/>
      <c r="E169" s="32"/>
      <c r="F169" s="32"/>
    </row>
    <row r="170" spans="1:6">
      <c r="A170"/>
      <c r="B170"/>
      <c r="C170"/>
      <c r="D170" s="32"/>
      <c r="E170" s="32"/>
      <c r="F170" s="32"/>
    </row>
    <row r="171" spans="1:6">
      <c r="A171"/>
      <c r="B171"/>
      <c r="C171"/>
      <c r="D171" s="32"/>
      <c r="E171" s="32"/>
      <c r="F171" s="32"/>
    </row>
    <row r="172" spans="1:6">
      <c r="A172"/>
      <c r="B172"/>
      <c r="C172"/>
      <c r="D172" s="32"/>
      <c r="E172" s="32"/>
      <c r="F172" s="32"/>
    </row>
    <row r="173" spans="1:6">
      <c r="A173"/>
      <c r="B173"/>
      <c r="C173"/>
      <c r="D173" s="32"/>
      <c r="E173" s="32"/>
      <c r="F173" s="32"/>
    </row>
    <row r="174" spans="1:6">
      <c r="A174"/>
      <c r="B174"/>
      <c r="C174"/>
      <c r="D174" s="32"/>
      <c r="E174" s="32"/>
      <c r="F174" s="32"/>
    </row>
    <row r="175" spans="1:6">
      <c r="A175"/>
      <c r="B175"/>
      <c r="C175"/>
      <c r="D175" s="32"/>
      <c r="E175" s="32"/>
      <c r="F175" s="32"/>
    </row>
    <row r="176" spans="1:6">
      <c r="A176"/>
      <c r="B176"/>
      <c r="C176"/>
      <c r="D176" s="32"/>
      <c r="E176" s="32"/>
      <c r="F176" s="32"/>
    </row>
    <row r="177" spans="1:6">
      <c r="A177"/>
      <c r="B177"/>
      <c r="C177"/>
      <c r="D177" s="32"/>
      <c r="E177" s="32"/>
      <c r="F177" s="32"/>
    </row>
    <row r="178" spans="1:6">
      <c r="A178"/>
      <c r="B178"/>
      <c r="C178"/>
      <c r="D178" s="32"/>
      <c r="E178" s="32"/>
      <c r="F178" s="32"/>
    </row>
    <row r="179" spans="1:6">
      <c r="A179"/>
      <c r="B179"/>
      <c r="C179"/>
      <c r="D179" s="32"/>
      <c r="E179" s="32"/>
      <c r="F179" s="32"/>
    </row>
    <row r="180" spans="1:6">
      <c r="A180"/>
      <c r="B180"/>
      <c r="C180"/>
      <c r="D180" s="32"/>
      <c r="E180" s="32"/>
      <c r="F180" s="32"/>
    </row>
    <row r="181" spans="1:6">
      <c r="A181"/>
      <c r="B181"/>
      <c r="C181"/>
      <c r="D181" s="32"/>
      <c r="E181" s="32"/>
      <c r="F181" s="32"/>
    </row>
    <row r="182" spans="1:6">
      <c r="A182"/>
      <c r="B182"/>
      <c r="C182"/>
      <c r="D182" s="32"/>
      <c r="E182" s="32"/>
      <c r="F182" s="32"/>
    </row>
    <row r="183" spans="1:6">
      <c r="A183"/>
      <c r="B183"/>
      <c r="C183"/>
      <c r="D183" s="32"/>
      <c r="E183" s="32"/>
      <c r="F183" s="32"/>
    </row>
    <row r="184" spans="1:6">
      <c r="A184"/>
      <c r="B184"/>
      <c r="C184"/>
      <c r="D184" s="32"/>
      <c r="E184" s="32"/>
      <c r="F184" s="32"/>
    </row>
    <row r="185" spans="1:6">
      <c r="A185"/>
      <c r="B185"/>
      <c r="C185"/>
      <c r="D185" s="32"/>
      <c r="E185" s="32"/>
      <c r="F185" s="32"/>
    </row>
    <row r="186" spans="1:6">
      <c r="A186"/>
      <c r="B186"/>
      <c r="C186"/>
      <c r="D186" s="32"/>
      <c r="E186" s="32"/>
      <c r="F186" s="32"/>
    </row>
    <row r="187" spans="1:6">
      <c r="A187"/>
      <c r="B187"/>
      <c r="C187"/>
      <c r="D187" s="32"/>
      <c r="E187" s="32"/>
      <c r="F187" s="32"/>
    </row>
    <row r="188" spans="1:6">
      <c r="A188"/>
      <c r="B188"/>
      <c r="C188"/>
      <c r="D188" s="32"/>
      <c r="E188" s="32"/>
      <c r="F188" s="32"/>
    </row>
    <row r="189" spans="1:6">
      <c r="A189"/>
      <c r="B189"/>
      <c r="C189"/>
      <c r="D189" s="32"/>
      <c r="E189" s="32"/>
      <c r="F189" s="32"/>
    </row>
    <row r="190" spans="1:6">
      <c r="A190"/>
      <c r="B190"/>
      <c r="C190"/>
      <c r="D190" s="32"/>
      <c r="E190" s="32"/>
      <c r="F190" s="32"/>
    </row>
    <row r="191" spans="1:6">
      <c r="A191"/>
      <c r="B191"/>
      <c r="C191"/>
      <c r="D191" s="32"/>
      <c r="E191" s="32"/>
      <c r="F191" s="32"/>
    </row>
    <row r="192" spans="1:6">
      <c r="A192"/>
      <c r="B192"/>
      <c r="C192"/>
      <c r="D192" s="32"/>
      <c r="E192" s="32"/>
      <c r="F192" s="32"/>
    </row>
    <row r="193" spans="1:6">
      <c r="A193"/>
      <c r="B193"/>
      <c r="C193"/>
      <c r="D193" s="32"/>
      <c r="E193" s="32"/>
      <c r="F193" s="32"/>
    </row>
    <row r="194" spans="1:6">
      <c r="A194"/>
      <c r="B194"/>
      <c r="C194"/>
      <c r="D194" s="32"/>
      <c r="E194" s="32"/>
      <c r="F194" s="32"/>
    </row>
    <row r="195" spans="1:6">
      <c r="A195"/>
      <c r="B195"/>
      <c r="C195"/>
      <c r="D195" s="32"/>
      <c r="E195" s="32"/>
      <c r="F195" s="32"/>
    </row>
    <row r="196" spans="1:6">
      <c r="A196"/>
      <c r="B196"/>
      <c r="C196"/>
      <c r="D196" s="32"/>
      <c r="E196" s="32"/>
      <c r="F196" s="32"/>
    </row>
    <row r="197" spans="1:6">
      <c r="A197"/>
      <c r="B197"/>
      <c r="C197"/>
      <c r="D197" s="32"/>
      <c r="E197" s="32"/>
      <c r="F197" s="32"/>
    </row>
    <row r="198" spans="1:6">
      <c r="A198"/>
      <c r="B198"/>
      <c r="C198"/>
      <c r="D198" s="32"/>
      <c r="E198" s="32"/>
      <c r="F198" s="32"/>
    </row>
    <row r="199" spans="1:6">
      <c r="A199"/>
      <c r="B199"/>
      <c r="C199"/>
      <c r="D199" s="32"/>
      <c r="E199" s="32"/>
      <c r="F199" s="32"/>
    </row>
    <row r="200" spans="1:6">
      <c r="A200"/>
      <c r="B200"/>
      <c r="C200"/>
      <c r="D200" s="32"/>
      <c r="E200" s="32"/>
      <c r="F200" s="32"/>
    </row>
    <row r="201" spans="1:6">
      <c r="A201"/>
      <c r="B201"/>
      <c r="C201"/>
      <c r="D201" s="32"/>
      <c r="E201" s="32"/>
      <c r="F201" s="32"/>
    </row>
    <row r="202" spans="1:6">
      <c r="A202"/>
      <c r="B202"/>
      <c r="C202"/>
      <c r="D202" s="32"/>
      <c r="E202" s="32"/>
      <c r="F202" s="32"/>
    </row>
    <row r="203" spans="1:6">
      <c r="A203"/>
      <c r="B203"/>
      <c r="C203"/>
      <c r="D203" s="32"/>
      <c r="E203" s="32"/>
      <c r="F203" s="32"/>
    </row>
    <row r="204" spans="1:6">
      <c r="A204"/>
      <c r="B204"/>
      <c r="C204"/>
      <c r="D204" s="32"/>
      <c r="E204" s="32"/>
      <c r="F204" s="32"/>
    </row>
    <row r="205" spans="1:6">
      <c r="A205"/>
      <c r="B205"/>
      <c r="C205"/>
      <c r="D205" s="32"/>
      <c r="E205" s="32"/>
      <c r="F205" s="32"/>
    </row>
    <row r="206" spans="1:6">
      <c r="A206"/>
      <c r="B206"/>
      <c r="C206"/>
      <c r="D206" s="32"/>
      <c r="E206" s="32"/>
      <c r="F206" s="32"/>
    </row>
    <row r="207" spans="1:6">
      <c r="A207"/>
      <c r="B207"/>
      <c r="C207"/>
      <c r="D207" s="32"/>
      <c r="E207" s="32"/>
      <c r="F207" s="32"/>
    </row>
    <row r="208" spans="1:6">
      <c r="A208"/>
      <c r="B208"/>
      <c r="C208"/>
      <c r="D208" s="32"/>
      <c r="E208" s="32"/>
      <c r="F208" s="32"/>
    </row>
    <row r="209" spans="1:6">
      <c r="A209"/>
      <c r="B209"/>
      <c r="C209"/>
      <c r="D209" s="32"/>
      <c r="E209" s="32"/>
      <c r="F209" s="32"/>
    </row>
    <row r="210" spans="1:6">
      <c r="A210"/>
      <c r="B210"/>
      <c r="C210"/>
      <c r="D210" s="32"/>
      <c r="E210" s="32"/>
      <c r="F210" s="32"/>
    </row>
    <row r="211" spans="1:6">
      <c r="A211"/>
      <c r="B211"/>
      <c r="C211"/>
      <c r="D211" s="32"/>
      <c r="E211" s="32"/>
      <c r="F211" s="32"/>
    </row>
    <row r="212" spans="1:6">
      <c r="A212"/>
      <c r="B212"/>
      <c r="C212"/>
      <c r="D212" s="32"/>
      <c r="E212" s="32"/>
      <c r="F212" s="32"/>
    </row>
    <row r="213" spans="1:6">
      <c r="A213"/>
      <c r="B213"/>
      <c r="C213"/>
      <c r="D213" s="32"/>
      <c r="E213" s="32"/>
      <c r="F213" s="32"/>
    </row>
    <row r="214" spans="1:6">
      <c r="A214"/>
      <c r="B214"/>
      <c r="C214"/>
      <c r="D214" s="32"/>
      <c r="E214" s="32"/>
      <c r="F214" s="32"/>
    </row>
    <row r="215" spans="1:6">
      <c r="A215"/>
      <c r="B215"/>
      <c r="C215"/>
      <c r="D215" s="32"/>
      <c r="E215" s="32"/>
      <c r="F215" s="32"/>
    </row>
    <row r="216" spans="1:6">
      <c r="A216"/>
      <c r="B216"/>
      <c r="C216"/>
      <c r="D216" s="32"/>
      <c r="E216" s="32"/>
      <c r="F216" s="32"/>
    </row>
    <row r="217" spans="1:6">
      <c r="A217"/>
      <c r="B217"/>
      <c r="C217"/>
      <c r="D217" s="32"/>
      <c r="E217" s="32"/>
      <c r="F217" s="32"/>
    </row>
    <row r="218" spans="1:6">
      <c r="A218"/>
      <c r="B218"/>
      <c r="C218"/>
      <c r="D218" s="32"/>
      <c r="E218" s="32"/>
      <c r="F218" s="32"/>
    </row>
    <row r="219" spans="1:6">
      <c r="A219"/>
      <c r="B219"/>
      <c r="C219"/>
      <c r="D219" s="32"/>
      <c r="E219" s="32"/>
      <c r="F219" s="32"/>
    </row>
    <row r="220" spans="1:6">
      <c r="A220"/>
      <c r="B220"/>
      <c r="C220"/>
      <c r="D220" s="32"/>
      <c r="E220" s="32"/>
      <c r="F220" s="32"/>
    </row>
    <row r="221" spans="1:6">
      <c r="A221"/>
      <c r="B221"/>
      <c r="C221"/>
      <c r="D221" s="32"/>
      <c r="E221" s="32"/>
      <c r="F221" s="32"/>
    </row>
    <row r="222" spans="1:6">
      <c r="A222"/>
      <c r="B222"/>
      <c r="C222"/>
      <c r="D222" s="32"/>
      <c r="E222" s="32"/>
      <c r="F222" s="32"/>
    </row>
    <row r="223" spans="1:6">
      <c r="A223"/>
      <c r="B223"/>
      <c r="C223"/>
      <c r="D223" s="32"/>
      <c r="E223" s="32"/>
      <c r="F223" s="32"/>
    </row>
    <row r="224" spans="1:6">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79" fitToHeight="5" orientation="portrait" horizontalDpi="1200" verticalDpi="120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77F1-49D8-2440-9FAB-CCEF7ABA8140}">
  <sheetPr>
    <tabColor rgb="FFFFFF00"/>
    <pageSetUpPr fitToPage="1"/>
  </sheetPr>
  <dimension ref="A1:I1568"/>
  <sheetViews>
    <sheetView topLeftCell="A15" zoomScaleNormal="100" workbookViewId="0">
      <selection activeCell="A41" sqref="A41"/>
    </sheetView>
  </sheetViews>
  <sheetFormatPr defaultColWidth="8.85546875" defaultRowHeight="14.45"/>
  <cols>
    <col min="1" max="1" width="57.140625" style="43" customWidth="1"/>
    <col min="2" max="5" width="10" style="60" customWidth="1"/>
    <col min="6" max="6" width="10" style="61" customWidth="1"/>
    <col min="7" max="9" width="10" style="32" customWidth="1"/>
    <col min="10"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9" ht="23.45" customHeight="1">
      <c r="A1" s="166" t="str">
        <f>CONCATENATE("FAC25. ",B4," - IT Service Demand")</f>
        <v>FAC25. Media Operations - IT Service Demand</v>
      </c>
      <c r="B1" s="166"/>
      <c r="C1" s="166"/>
      <c r="D1" s="32"/>
      <c r="E1" s="32"/>
      <c r="F1" s="32"/>
    </row>
    <row r="2" spans="1:9">
      <c r="A2" s="56" t="s">
        <v>0</v>
      </c>
      <c r="B2" t="s">
        <v>222</v>
      </c>
    </row>
    <row r="3" spans="1:9">
      <c r="A3" s="56" t="s">
        <v>11</v>
      </c>
      <c r="B3" t="s">
        <v>222</v>
      </c>
    </row>
    <row r="4" spans="1:9">
      <c r="A4" s="56" t="s">
        <v>2</v>
      </c>
      <c r="B4" t="s">
        <v>384</v>
      </c>
    </row>
    <row r="6" spans="1:9">
      <c r="A6" s="56" t="s">
        <v>428</v>
      </c>
      <c r="B6" s="103" t="s">
        <v>186</v>
      </c>
      <c r="F6" s="60"/>
      <c r="G6" s="60"/>
      <c r="H6" s="60"/>
      <c r="I6" s="60"/>
    </row>
    <row r="7" spans="1:9" ht="28.9">
      <c r="A7" s="76" t="s">
        <v>218</v>
      </c>
      <c r="B7" s="60" t="s">
        <v>208</v>
      </c>
      <c r="C7" s="60" t="s">
        <v>211</v>
      </c>
      <c r="D7" s="60" t="s">
        <v>212</v>
      </c>
      <c r="E7" s="60" t="s">
        <v>213</v>
      </c>
      <c r="F7" s="60" t="s">
        <v>214</v>
      </c>
      <c r="G7" s="60" t="s">
        <v>19</v>
      </c>
      <c r="H7" s="60">
        <v>974</v>
      </c>
      <c r="I7" s="104" t="s">
        <v>202</v>
      </c>
    </row>
    <row r="8" spans="1:9">
      <c r="A8" s="43" t="s">
        <v>194</v>
      </c>
      <c r="F8" s="60"/>
      <c r="G8" s="60"/>
      <c r="H8" s="60"/>
      <c r="I8" s="61"/>
    </row>
    <row r="9" spans="1:9">
      <c r="A9" s="57" t="s">
        <v>259</v>
      </c>
      <c r="F9" s="60"/>
      <c r="G9" s="60"/>
      <c r="H9" s="60"/>
      <c r="I9" s="61"/>
    </row>
    <row r="10" spans="1:9">
      <c r="A10" s="58" t="s">
        <v>261</v>
      </c>
      <c r="F10" s="60"/>
      <c r="G10" s="60"/>
      <c r="H10" s="60"/>
      <c r="I10" s="61"/>
    </row>
    <row r="11" spans="1:9">
      <c r="A11" s="71" t="s">
        <v>47</v>
      </c>
      <c r="B11" s="60">
        <v>80</v>
      </c>
      <c r="C11" s="60">
        <v>80</v>
      </c>
      <c r="D11" s="60">
        <v>80</v>
      </c>
      <c r="E11" s="60">
        <v>80</v>
      </c>
      <c r="F11" s="60"/>
      <c r="G11" s="60"/>
      <c r="H11" s="60">
        <v>80</v>
      </c>
      <c r="I11" s="61">
        <v>400</v>
      </c>
    </row>
    <row r="12" spans="1:9">
      <c r="A12" s="71" t="s">
        <v>252</v>
      </c>
      <c r="B12" s="60">
        <v>154</v>
      </c>
      <c r="C12" s="60">
        <v>154</v>
      </c>
      <c r="D12" s="60">
        <v>154</v>
      </c>
      <c r="E12" s="60">
        <v>154</v>
      </c>
      <c r="F12" s="60">
        <v>154</v>
      </c>
      <c r="G12" s="60"/>
      <c r="H12" s="60">
        <v>154</v>
      </c>
      <c r="I12" s="61">
        <v>924</v>
      </c>
    </row>
    <row r="13" spans="1:9">
      <c r="A13" s="71" t="s">
        <v>256</v>
      </c>
      <c r="F13" s="60">
        <v>80</v>
      </c>
      <c r="G13" s="60"/>
      <c r="H13" s="60"/>
      <c r="I13" s="61">
        <v>80</v>
      </c>
    </row>
    <row r="14" spans="1:9">
      <c r="A14" s="58" t="s">
        <v>262</v>
      </c>
      <c r="F14" s="60"/>
      <c r="G14" s="60"/>
      <c r="H14" s="60"/>
      <c r="I14" s="61"/>
    </row>
    <row r="15" spans="1:9">
      <c r="A15" s="71" t="s">
        <v>47</v>
      </c>
      <c r="B15" s="60">
        <v>6</v>
      </c>
      <c r="C15" s="60">
        <v>6</v>
      </c>
      <c r="D15" s="60">
        <v>6</v>
      </c>
      <c r="E15" s="60">
        <v>6</v>
      </c>
      <c r="F15" s="60"/>
      <c r="G15" s="60"/>
      <c r="H15" s="60">
        <v>6</v>
      </c>
      <c r="I15" s="61">
        <v>30</v>
      </c>
    </row>
    <row r="16" spans="1:9">
      <c r="A16" s="71" t="s">
        <v>256</v>
      </c>
      <c r="F16" s="60">
        <v>6</v>
      </c>
      <c r="G16" s="60"/>
      <c r="H16" s="60"/>
      <c r="I16" s="61">
        <v>6</v>
      </c>
    </row>
    <row r="17" spans="1:9">
      <c r="A17" s="58" t="s">
        <v>263</v>
      </c>
      <c r="F17" s="60"/>
      <c r="G17" s="60"/>
      <c r="H17" s="60"/>
      <c r="I17" s="61"/>
    </row>
    <row r="18" spans="1:9">
      <c r="A18" s="71" t="s">
        <v>47</v>
      </c>
      <c r="B18" s="60">
        <v>6</v>
      </c>
      <c r="C18" s="60">
        <v>6</v>
      </c>
      <c r="D18" s="60">
        <v>6</v>
      </c>
      <c r="E18" s="60">
        <v>6</v>
      </c>
      <c r="F18" s="60"/>
      <c r="G18" s="60"/>
      <c r="H18" s="60">
        <v>6</v>
      </c>
      <c r="I18" s="61">
        <v>30</v>
      </c>
    </row>
    <row r="19" spans="1:9">
      <c r="A19" s="71" t="s">
        <v>256</v>
      </c>
      <c r="F19" s="60">
        <v>6</v>
      </c>
      <c r="G19" s="60"/>
      <c r="H19" s="60"/>
      <c r="I19" s="61">
        <v>6</v>
      </c>
    </row>
    <row r="20" spans="1:9">
      <c r="A20" s="58" t="s">
        <v>264</v>
      </c>
      <c r="F20" s="60"/>
      <c r="G20" s="60"/>
      <c r="H20" s="60"/>
      <c r="I20" s="61"/>
    </row>
    <row r="21" spans="1:9">
      <c r="A21" s="71" t="s">
        <v>47</v>
      </c>
      <c r="B21" s="60">
        <v>8</v>
      </c>
      <c r="C21" s="60">
        <v>8</v>
      </c>
      <c r="D21" s="60">
        <v>8</v>
      </c>
      <c r="E21" s="60">
        <v>8</v>
      </c>
      <c r="F21" s="60"/>
      <c r="G21" s="60"/>
      <c r="H21" s="60">
        <v>8</v>
      </c>
      <c r="I21" s="61">
        <v>40</v>
      </c>
    </row>
    <row r="22" spans="1:9">
      <c r="A22" s="71" t="s">
        <v>256</v>
      </c>
      <c r="F22" s="60">
        <v>8</v>
      </c>
      <c r="G22" s="60"/>
      <c r="H22" s="60"/>
      <c r="I22" s="61">
        <v>8</v>
      </c>
    </row>
    <row r="23" spans="1:9">
      <c r="A23" s="57" t="s">
        <v>268</v>
      </c>
      <c r="F23" s="60"/>
      <c r="G23" s="60"/>
      <c r="H23" s="60"/>
      <c r="I23" s="61"/>
    </row>
    <row r="24" spans="1:9">
      <c r="A24" s="58" t="s">
        <v>269</v>
      </c>
      <c r="F24" s="60"/>
      <c r="G24" s="60"/>
      <c r="H24" s="60"/>
      <c r="I24" s="61"/>
    </row>
    <row r="25" spans="1:9">
      <c r="A25" s="71" t="s">
        <v>252</v>
      </c>
      <c r="B25" s="60">
        <v>100</v>
      </c>
      <c r="C25" s="60">
        <v>100</v>
      </c>
      <c r="D25" s="60">
        <v>100</v>
      </c>
      <c r="F25" s="60">
        <v>100</v>
      </c>
      <c r="G25" s="60"/>
      <c r="H25" s="60">
        <v>100</v>
      </c>
      <c r="I25" s="61">
        <v>500</v>
      </c>
    </row>
    <row r="26" spans="1:9">
      <c r="A26" s="58" t="s">
        <v>270</v>
      </c>
      <c r="F26" s="60"/>
      <c r="G26" s="60"/>
      <c r="H26" s="60"/>
      <c r="I26" s="61"/>
    </row>
    <row r="27" spans="1:9">
      <c r="A27" s="71" t="s">
        <v>252</v>
      </c>
      <c r="B27" s="60">
        <v>2</v>
      </c>
      <c r="C27" s="60">
        <v>2</v>
      </c>
      <c r="D27" s="60">
        <v>2</v>
      </c>
      <c r="E27" s="60">
        <v>2</v>
      </c>
      <c r="F27" s="60">
        <v>2</v>
      </c>
      <c r="G27" s="60"/>
      <c r="H27" s="60">
        <v>2</v>
      </c>
      <c r="I27" s="61">
        <v>12</v>
      </c>
    </row>
    <row r="28" spans="1:9">
      <c r="A28" s="58" t="s">
        <v>271</v>
      </c>
      <c r="F28" s="60"/>
      <c r="G28" s="60"/>
      <c r="H28" s="60"/>
      <c r="I28" s="61"/>
    </row>
    <row r="29" spans="1:9">
      <c r="A29" s="71" t="s">
        <v>59</v>
      </c>
      <c r="B29" s="60">
        <v>1</v>
      </c>
      <c r="C29" s="60">
        <v>1</v>
      </c>
      <c r="D29" s="60">
        <v>1</v>
      </c>
      <c r="E29" s="60">
        <v>1</v>
      </c>
      <c r="F29" s="60">
        <v>1</v>
      </c>
      <c r="G29" s="60"/>
      <c r="H29" s="60">
        <v>1</v>
      </c>
      <c r="I29" s="61">
        <v>6</v>
      </c>
    </row>
    <row r="30" spans="1:9">
      <c r="A30" s="71" t="s">
        <v>252</v>
      </c>
      <c r="B30" s="60">
        <v>150</v>
      </c>
      <c r="C30" s="60">
        <v>150</v>
      </c>
      <c r="D30" s="60">
        <v>150</v>
      </c>
      <c r="E30" s="60">
        <v>150</v>
      </c>
      <c r="F30" s="60">
        <v>150</v>
      </c>
      <c r="G30" s="60"/>
      <c r="H30" s="60">
        <v>150</v>
      </c>
      <c r="I30" s="61">
        <v>900</v>
      </c>
    </row>
    <row r="31" spans="1:9">
      <c r="A31" s="58" t="s">
        <v>358</v>
      </c>
      <c r="F31" s="60"/>
      <c r="G31" s="60"/>
      <c r="H31" s="60"/>
      <c r="I31" s="61"/>
    </row>
    <row r="32" spans="1:9">
      <c r="A32" s="71" t="s">
        <v>47</v>
      </c>
      <c r="B32" s="60">
        <v>20</v>
      </c>
      <c r="C32" s="60">
        <v>18</v>
      </c>
      <c r="D32" s="60">
        <v>45</v>
      </c>
      <c r="E32" s="60">
        <v>30</v>
      </c>
      <c r="F32" s="60"/>
      <c r="G32" s="60"/>
      <c r="H32" s="60"/>
      <c r="I32" s="61">
        <v>113</v>
      </c>
    </row>
    <row r="33" spans="1:9">
      <c r="A33" s="71" t="s">
        <v>59</v>
      </c>
      <c r="B33" s="60">
        <v>1</v>
      </c>
      <c r="C33" s="60">
        <v>1</v>
      </c>
      <c r="D33" s="60">
        <v>1</v>
      </c>
      <c r="E33" s="60">
        <v>2</v>
      </c>
      <c r="F33" s="60">
        <v>1</v>
      </c>
      <c r="G33" s="60"/>
      <c r="H33" s="60"/>
      <c r="I33" s="61">
        <v>6</v>
      </c>
    </row>
    <row r="34" spans="1:9">
      <c r="A34" s="71" t="s">
        <v>252</v>
      </c>
      <c r="B34" s="60">
        <v>32</v>
      </c>
      <c r="C34" s="60">
        <v>34</v>
      </c>
      <c r="D34" s="60">
        <v>90</v>
      </c>
      <c r="E34" s="60">
        <v>150</v>
      </c>
      <c r="F34" s="60">
        <v>150</v>
      </c>
      <c r="G34" s="60"/>
      <c r="H34" s="60"/>
      <c r="I34" s="61">
        <v>456</v>
      </c>
    </row>
    <row r="35" spans="1:9">
      <c r="A35" s="71" t="s">
        <v>256</v>
      </c>
      <c r="F35" s="60">
        <v>55</v>
      </c>
      <c r="G35" s="60"/>
      <c r="H35" s="60"/>
      <c r="I35" s="61">
        <v>55</v>
      </c>
    </row>
    <row r="36" spans="1:9">
      <c r="A36" s="58" t="s">
        <v>272</v>
      </c>
      <c r="F36" s="60"/>
      <c r="G36" s="60"/>
      <c r="H36" s="60"/>
      <c r="I36" s="61"/>
    </row>
    <row r="37" spans="1:9">
      <c r="A37" s="71" t="s">
        <v>252</v>
      </c>
      <c r="B37" s="60">
        <v>150</v>
      </c>
      <c r="C37" s="60">
        <v>150</v>
      </c>
      <c r="D37" s="60">
        <v>150</v>
      </c>
      <c r="E37" s="60">
        <v>150</v>
      </c>
      <c r="F37" s="60">
        <v>150</v>
      </c>
      <c r="G37" s="60"/>
      <c r="H37" s="60">
        <v>150</v>
      </c>
      <c r="I37" s="61">
        <v>900</v>
      </c>
    </row>
    <row r="38" spans="1:9">
      <c r="A38" s="71" t="s">
        <v>273</v>
      </c>
      <c r="B38" s="60">
        <v>1</v>
      </c>
      <c r="C38" s="60">
        <v>1</v>
      </c>
      <c r="D38" s="60">
        <v>1</v>
      </c>
      <c r="E38" s="60">
        <v>1</v>
      </c>
      <c r="F38" s="60">
        <v>1</v>
      </c>
      <c r="G38" s="60"/>
      <c r="H38" s="60">
        <v>1</v>
      </c>
      <c r="I38" s="61">
        <v>6</v>
      </c>
    </row>
    <row r="39" spans="1:9">
      <c r="A39" s="58" t="s">
        <v>274</v>
      </c>
      <c r="F39" s="60"/>
      <c r="G39" s="60"/>
      <c r="H39" s="60"/>
      <c r="I39" s="61"/>
    </row>
    <row r="40" spans="1:9">
      <c r="A40" s="71" t="s">
        <v>33</v>
      </c>
      <c r="B40" s="60">
        <v>2</v>
      </c>
      <c r="C40" s="60">
        <v>2</v>
      </c>
      <c r="D40" s="60">
        <v>2</v>
      </c>
      <c r="E40" s="60">
        <v>2</v>
      </c>
      <c r="F40" s="60">
        <v>2</v>
      </c>
      <c r="G40" s="60"/>
      <c r="H40" s="60">
        <v>2</v>
      </c>
      <c r="I40" s="61">
        <v>12</v>
      </c>
    </row>
    <row r="41" spans="1:9">
      <c r="A41" s="71" t="s">
        <v>252</v>
      </c>
      <c r="B41" s="60">
        <v>5</v>
      </c>
      <c r="C41" s="60">
        <v>5</v>
      </c>
      <c r="D41" s="60">
        <v>5</v>
      </c>
      <c r="E41" s="60">
        <v>5</v>
      </c>
      <c r="F41" s="60">
        <v>5</v>
      </c>
      <c r="G41" s="60"/>
      <c r="H41" s="60">
        <v>5</v>
      </c>
      <c r="I41" s="61">
        <v>30</v>
      </c>
    </row>
    <row r="42" spans="1:9">
      <c r="A42" s="58" t="s">
        <v>275</v>
      </c>
      <c r="F42" s="60"/>
      <c r="G42" s="60"/>
      <c r="H42" s="60"/>
      <c r="I42" s="61"/>
    </row>
    <row r="43" spans="1:9">
      <c r="A43" s="71" t="s">
        <v>47</v>
      </c>
      <c r="B43" s="60">
        <v>40</v>
      </c>
      <c r="C43" s="60">
        <v>60</v>
      </c>
      <c r="D43" s="60">
        <v>40</v>
      </c>
      <c r="E43" s="60">
        <v>60</v>
      </c>
      <c r="F43" s="60"/>
      <c r="G43" s="60"/>
      <c r="H43" s="60"/>
      <c r="I43" s="61">
        <v>200</v>
      </c>
    </row>
    <row r="44" spans="1:9">
      <c r="A44" s="71" t="s">
        <v>59</v>
      </c>
      <c r="B44" s="60">
        <v>6</v>
      </c>
      <c r="C44" s="60">
        <v>6</v>
      </c>
      <c r="D44" s="60">
        <v>6</v>
      </c>
      <c r="E44" s="60">
        <v>5</v>
      </c>
      <c r="F44" s="60"/>
      <c r="G44" s="60"/>
      <c r="H44" s="60">
        <v>6</v>
      </c>
      <c r="I44" s="61">
        <v>29</v>
      </c>
    </row>
    <row r="45" spans="1:9">
      <c r="A45" s="71" t="s">
        <v>252</v>
      </c>
      <c r="B45" s="60">
        <v>150</v>
      </c>
      <c r="C45" s="60">
        <v>300</v>
      </c>
      <c r="D45" s="60">
        <v>300</v>
      </c>
      <c r="E45" s="60">
        <v>300</v>
      </c>
      <c r="F45" s="60">
        <v>300</v>
      </c>
      <c r="G45" s="60"/>
      <c r="H45" s="60">
        <v>300</v>
      </c>
      <c r="I45" s="61">
        <v>1650</v>
      </c>
    </row>
    <row r="46" spans="1:9">
      <c r="A46" s="71" t="s">
        <v>340</v>
      </c>
      <c r="F46" s="60">
        <v>8</v>
      </c>
      <c r="G46" s="60"/>
      <c r="H46" s="60"/>
      <c r="I46" s="61">
        <v>8</v>
      </c>
    </row>
    <row r="47" spans="1:9">
      <c r="A47" s="71" t="s">
        <v>280</v>
      </c>
      <c r="F47" s="60">
        <v>62</v>
      </c>
      <c r="G47" s="60"/>
      <c r="H47" s="60"/>
      <c r="I47" s="61">
        <v>62</v>
      </c>
    </row>
    <row r="48" spans="1:9">
      <c r="A48" s="58" t="s">
        <v>276</v>
      </c>
      <c r="F48" s="60"/>
      <c r="G48" s="60"/>
      <c r="H48" s="60"/>
      <c r="I48" s="61"/>
    </row>
    <row r="49" spans="1:9">
      <c r="A49" s="71" t="s">
        <v>47</v>
      </c>
      <c r="F49" s="60"/>
      <c r="G49" s="60"/>
      <c r="H49" s="60">
        <v>40</v>
      </c>
      <c r="I49" s="61">
        <v>40</v>
      </c>
    </row>
    <row r="50" spans="1:9">
      <c r="A50" s="58" t="s">
        <v>277</v>
      </c>
      <c r="F50" s="60"/>
      <c r="G50" s="60"/>
      <c r="H50" s="60"/>
      <c r="I50" s="61"/>
    </row>
    <row r="51" spans="1:9">
      <c r="A51" s="71" t="s">
        <v>47</v>
      </c>
      <c r="F51" s="60"/>
      <c r="G51" s="60"/>
      <c r="H51" s="60">
        <v>40</v>
      </c>
      <c r="I51" s="61">
        <v>40</v>
      </c>
    </row>
    <row r="52" spans="1:9">
      <c r="A52" s="57" t="s">
        <v>278</v>
      </c>
      <c r="F52" s="60"/>
      <c r="G52" s="60"/>
      <c r="H52" s="60"/>
      <c r="I52" s="61"/>
    </row>
    <row r="53" spans="1:9">
      <c r="A53" s="58" t="s">
        <v>285</v>
      </c>
      <c r="F53" s="60"/>
      <c r="G53" s="60"/>
      <c r="H53" s="60"/>
      <c r="I53" s="61"/>
    </row>
    <row r="54" spans="1:9">
      <c r="A54" s="71" t="s">
        <v>47</v>
      </c>
      <c r="B54" s="60">
        <v>157</v>
      </c>
      <c r="C54" s="60">
        <v>213</v>
      </c>
      <c r="D54" s="60">
        <v>154</v>
      </c>
      <c r="E54" s="60">
        <v>230</v>
      </c>
      <c r="F54" s="60"/>
      <c r="G54" s="60"/>
      <c r="H54" s="60">
        <v>170</v>
      </c>
      <c r="I54" s="61">
        <v>924</v>
      </c>
    </row>
    <row r="55" spans="1:9">
      <c r="A55" s="71" t="s">
        <v>282</v>
      </c>
      <c r="B55" s="60">
        <v>60</v>
      </c>
      <c r="C55" s="60">
        <v>79</v>
      </c>
      <c r="D55" s="60">
        <v>60</v>
      </c>
      <c r="E55" s="60">
        <v>81</v>
      </c>
      <c r="F55" s="60">
        <v>93</v>
      </c>
      <c r="G55" s="60"/>
      <c r="H55" s="60">
        <v>58</v>
      </c>
      <c r="I55" s="61">
        <v>431</v>
      </c>
    </row>
    <row r="56" spans="1:9">
      <c r="A56" s="71" t="s">
        <v>252</v>
      </c>
      <c r="B56" s="60">
        <v>500</v>
      </c>
      <c r="C56" s="60">
        <v>500</v>
      </c>
      <c r="D56" s="60">
        <v>500</v>
      </c>
      <c r="E56" s="60">
        <v>500</v>
      </c>
      <c r="F56" s="60">
        <v>700</v>
      </c>
      <c r="G56" s="60"/>
      <c r="H56" s="60">
        <v>500</v>
      </c>
      <c r="I56" s="61">
        <v>3200</v>
      </c>
    </row>
    <row r="57" spans="1:9">
      <c r="A57" s="71" t="s">
        <v>280</v>
      </c>
      <c r="F57" s="60">
        <v>245</v>
      </c>
      <c r="G57" s="60"/>
      <c r="H57" s="60"/>
      <c r="I57" s="61">
        <v>245</v>
      </c>
    </row>
    <row r="58" spans="1:9">
      <c r="A58" s="58" t="s">
        <v>287</v>
      </c>
      <c r="F58" s="60"/>
      <c r="G58" s="60"/>
      <c r="H58" s="60"/>
      <c r="I58" s="61"/>
    </row>
    <row r="59" spans="1:9">
      <c r="A59" s="71" t="s">
        <v>47</v>
      </c>
      <c r="B59" s="60">
        <v>10</v>
      </c>
      <c r="C59" s="60">
        <v>10</v>
      </c>
      <c r="D59" s="60">
        <v>10</v>
      </c>
      <c r="E59" s="60">
        <v>8</v>
      </c>
      <c r="F59" s="60"/>
      <c r="G59" s="60"/>
      <c r="H59" s="60">
        <v>10</v>
      </c>
      <c r="I59" s="61">
        <v>48</v>
      </c>
    </row>
    <row r="60" spans="1:9">
      <c r="A60" s="71" t="s">
        <v>256</v>
      </c>
      <c r="F60" s="60">
        <v>10</v>
      </c>
      <c r="G60" s="60"/>
      <c r="H60" s="60"/>
      <c r="I60" s="61">
        <v>10</v>
      </c>
    </row>
    <row r="61" spans="1:9">
      <c r="A61" s="57" t="s">
        <v>305</v>
      </c>
      <c r="F61" s="60"/>
      <c r="G61" s="60"/>
      <c r="H61" s="60"/>
      <c r="I61" s="61"/>
    </row>
    <row r="62" spans="1:9">
      <c r="A62" s="58" t="s">
        <v>385</v>
      </c>
      <c r="F62" s="60"/>
      <c r="G62" s="60"/>
      <c r="H62" s="60"/>
      <c r="I62" s="61"/>
    </row>
    <row r="63" spans="1:9">
      <c r="A63" s="71" t="s">
        <v>59</v>
      </c>
      <c r="C63" s="60">
        <v>0</v>
      </c>
      <c r="D63" s="60">
        <v>0</v>
      </c>
      <c r="E63" s="60">
        <v>0</v>
      </c>
      <c r="F63" s="60"/>
      <c r="G63" s="60"/>
      <c r="H63" s="60"/>
      <c r="I63" s="61">
        <v>0</v>
      </c>
    </row>
    <row r="64" spans="1:9">
      <c r="A64" s="71" t="s">
        <v>252</v>
      </c>
      <c r="C64" s="60">
        <v>0</v>
      </c>
      <c r="D64" s="60">
        <v>0</v>
      </c>
      <c r="E64" s="60">
        <v>0</v>
      </c>
      <c r="F64" s="60"/>
      <c r="G64" s="60"/>
      <c r="H64" s="60"/>
      <c r="I64" s="61">
        <v>0</v>
      </c>
    </row>
    <row r="65" spans="1:9">
      <c r="A65" s="58" t="s">
        <v>366</v>
      </c>
      <c r="F65" s="60"/>
      <c r="G65" s="60"/>
      <c r="H65" s="60"/>
      <c r="I65" s="61"/>
    </row>
    <row r="66" spans="1:9">
      <c r="A66" s="71" t="s">
        <v>28</v>
      </c>
      <c r="C66" s="60">
        <v>1</v>
      </c>
      <c r="D66" s="60">
        <v>1</v>
      </c>
      <c r="E66" s="60">
        <v>1</v>
      </c>
      <c r="F66" s="60">
        <v>1</v>
      </c>
      <c r="G66" s="60"/>
      <c r="H66" s="60"/>
      <c r="I66" s="61">
        <v>4</v>
      </c>
    </row>
    <row r="67" spans="1:9">
      <c r="A67" s="71" t="s">
        <v>59</v>
      </c>
      <c r="B67" s="60">
        <v>1</v>
      </c>
      <c r="C67" s="60">
        <v>1</v>
      </c>
      <c r="D67" s="60">
        <v>1</v>
      </c>
      <c r="E67" s="60">
        <v>1</v>
      </c>
      <c r="F67" s="60">
        <v>1</v>
      </c>
      <c r="G67" s="60"/>
      <c r="H67" s="60"/>
      <c r="I67" s="61">
        <v>5</v>
      </c>
    </row>
    <row r="68" spans="1:9">
      <c r="A68" s="71" t="s">
        <v>252</v>
      </c>
      <c r="C68" s="60">
        <v>4</v>
      </c>
      <c r="D68" s="60">
        <v>4</v>
      </c>
      <c r="E68" s="60">
        <v>4</v>
      </c>
      <c r="F68" s="60">
        <v>4</v>
      </c>
      <c r="G68" s="60"/>
      <c r="H68" s="60"/>
      <c r="I68" s="61">
        <v>16</v>
      </c>
    </row>
    <row r="69" spans="1:9">
      <c r="A69" s="71" t="s">
        <v>209</v>
      </c>
      <c r="C69" s="60">
        <v>1</v>
      </c>
      <c r="D69" s="60">
        <v>1</v>
      </c>
      <c r="E69" s="60">
        <v>1</v>
      </c>
      <c r="F69" s="60">
        <v>1</v>
      </c>
      <c r="G69" s="60"/>
      <c r="H69" s="60"/>
      <c r="I69" s="61">
        <v>4</v>
      </c>
    </row>
    <row r="70" spans="1:9">
      <c r="A70" s="58" t="s">
        <v>314</v>
      </c>
      <c r="F70" s="60"/>
      <c r="G70" s="60"/>
      <c r="H70" s="60"/>
      <c r="I70" s="61"/>
    </row>
    <row r="71" spans="1:9">
      <c r="A71" s="71" t="s">
        <v>23</v>
      </c>
      <c r="B71" s="60">
        <v>1</v>
      </c>
      <c r="F71" s="60"/>
      <c r="G71" s="60"/>
      <c r="H71" s="60">
        <v>1</v>
      </c>
      <c r="I71" s="61">
        <v>2</v>
      </c>
    </row>
    <row r="72" spans="1:9">
      <c r="A72" s="71" t="s">
        <v>59</v>
      </c>
      <c r="F72" s="60"/>
      <c r="G72" s="60"/>
      <c r="H72" s="60">
        <v>1</v>
      </c>
      <c r="I72" s="61">
        <v>1</v>
      </c>
    </row>
    <row r="73" spans="1:9">
      <c r="A73" s="71" t="s">
        <v>252</v>
      </c>
      <c r="B73" s="60">
        <v>4</v>
      </c>
      <c r="F73" s="60"/>
      <c r="G73" s="60"/>
      <c r="H73" s="60">
        <v>4</v>
      </c>
      <c r="I73" s="61">
        <v>8</v>
      </c>
    </row>
    <row r="74" spans="1:9">
      <c r="A74" s="71" t="s">
        <v>209</v>
      </c>
      <c r="B74" s="60">
        <v>1</v>
      </c>
      <c r="F74" s="60"/>
      <c r="G74" s="60"/>
      <c r="H74" s="60">
        <v>1</v>
      </c>
      <c r="I74" s="61">
        <v>2</v>
      </c>
    </row>
    <row r="75" spans="1:9">
      <c r="A75" s="58" t="s">
        <v>363</v>
      </c>
      <c r="F75" s="60"/>
      <c r="G75" s="60"/>
      <c r="H75" s="60"/>
      <c r="I75" s="61"/>
    </row>
    <row r="76" spans="1:9">
      <c r="A76" s="71" t="s">
        <v>59</v>
      </c>
      <c r="F76" s="60">
        <v>0</v>
      </c>
      <c r="G76" s="60"/>
      <c r="H76" s="60"/>
      <c r="I76" s="61">
        <v>0</v>
      </c>
    </row>
    <row r="77" spans="1:9">
      <c r="A77" s="71" t="s">
        <v>252</v>
      </c>
      <c r="F77" s="60">
        <v>4</v>
      </c>
      <c r="G77" s="60"/>
      <c r="H77" s="60"/>
      <c r="I77" s="61">
        <v>4</v>
      </c>
    </row>
    <row r="78" spans="1:9">
      <c r="A78" s="57" t="s">
        <v>347</v>
      </c>
      <c r="F78" s="60"/>
      <c r="G78" s="60"/>
      <c r="H78" s="60"/>
      <c r="I78" s="61"/>
    </row>
    <row r="79" spans="1:9">
      <c r="A79" s="58" t="s">
        <v>348</v>
      </c>
      <c r="F79" s="60"/>
      <c r="G79" s="60"/>
      <c r="H79" s="60"/>
      <c r="I79" s="61"/>
    </row>
    <row r="80" spans="1:9">
      <c r="A80" s="71" t="s">
        <v>165</v>
      </c>
      <c r="F80" s="60"/>
      <c r="G80" s="60">
        <v>8</v>
      </c>
      <c r="H80" s="60"/>
      <c r="I80" s="61">
        <v>8</v>
      </c>
    </row>
    <row r="81" spans="1:9">
      <c r="A81" s="57" t="s">
        <v>345</v>
      </c>
      <c r="F81" s="60"/>
      <c r="G81" s="60"/>
      <c r="H81" s="60"/>
      <c r="I81" s="61"/>
    </row>
    <row r="82" spans="1:9">
      <c r="A82" s="58" t="s">
        <v>471</v>
      </c>
      <c r="F82" s="60"/>
      <c r="G82" s="60"/>
      <c r="H82" s="60"/>
      <c r="I82" s="61"/>
    </row>
    <row r="83" spans="1:9">
      <c r="A83" s="71" t="s">
        <v>252</v>
      </c>
      <c r="F83" s="60"/>
      <c r="G83" s="60">
        <v>5</v>
      </c>
      <c r="H83" s="60"/>
      <c r="I83" s="61">
        <v>5</v>
      </c>
    </row>
    <row r="84" spans="1:9">
      <c r="A84" s="58" t="s">
        <v>472</v>
      </c>
      <c r="F84" s="60"/>
      <c r="G84" s="60"/>
      <c r="H84" s="60"/>
      <c r="I84" s="61"/>
    </row>
    <row r="85" spans="1:9">
      <c r="A85" s="71" t="s">
        <v>252</v>
      </c>
      <c r="F85" s="60"/>
      <c r="G85" s="60">
        <v>10</v>
      </c>
      <c r="H85" s="60"/>
      <c r="I85" s="61">
        <v>10</v>
      </c>
    </row>
    <row r="86" spans="1:9">
      <c r="A86" s="58" t="s">
        <v>473</v>
      </c>
      <c r="F86" s="60"/>
      <c r="G86" s="60"/>
      <c r="H86" s="60"/>
      <c r="I86" s="61"/>
    </row>
    <row r="87" spans="1:9">
      <c r="A87" s="71" t="s">
        <v>252</v>
      </c>
      <c r="F87" s="60"/>
      <c r="G87" s="60">
        <v>10</v>
      </c>
      <c r="H87" s="60"/>
      <c r="I87" s="61">
        <v>10</v>
      </c>
    </row>
    <row r="88" spans="1:9">
      <c r="A88" s="58" t="s">
        <v>269</v>
      </c>
      <c r="F88" s="60"/>
      <c r="G88" s="60"/>
      <c r="H88" s="60"/>
      <c r="I88" s="61"/>
    </row>
    <row r="89" spans="1:9">
      <c r="A89" s="71" t="s">
        <v>59</v>
      </c>
      <c r="F89" s="60"/>
      <c r="G89" s="60">
        <v>4</v>
      </c>
      <c r="H89" s="60"/>
      <c r="I89" s="61">
        <v>4</v>
      </c>
    </row>
    <row r="90" spans="1:9">
      <c r="A90" s="71" t="s">
        <v>252</v>
      </c>
      <c r="F90" s="60"/>
      <c r="G90" s="60">
        <v>80</v>
      </c>
      <c r="H90" s="60"/>
      <c r="I90" s="61">
        <v>80</v>
      </c>
    </row>
    <row r="91" spans="1:9">
      <c r="A91" s="58" t="s">
        <v>360</v>
      </c>
      <c r="F91" s="60"/>
      <c r="G91" s="60"/>
      <c r="H91" s="60"/>
      <c r="I91" s="61"/>
    </row>
    <row r="92" spans="1:9">
      <c r="A92" s="71" t="s">
        <v>33</v>
      </c>
      <c r="F92" s="60"/>
      <c r="G92" s="60">
        <v>5</v>
      </c>
      <c r="H92" s="60"/>
      <c r="I92" s="61">
        <v>5</v>
      </c>
    </row>
    <row r="93" spans="1:9">
      <c r="A93" s="71" t="s">
        <v>47</v>
      </c>
      <c r="F93" s="60"/>
      <c r="G93" s="60">
        <v>5</v>
      </c>
      <c r="H93" s="60"/>
      <c r="I93" s="61">
        <v>5</v>
      </c>
    </row>
    <row r="94" spans="1:9">
      <c r="A94" s="71" t="s">
        <v>59</v>
      </c>
      <c r="F94" s="60"/>
      <c r="G94" s="60">
        <v>1</v>
      </c>
      <c r="H94" s="60"/>
      <c r="I94" s="61">
        <v>1</v>
      </c>
    </row>
    <row r="95" spans="1:9">
      <c r="A95" s="71" t="s">
        <v>252</v>
      </c>
      <c r="F95" s="60"/>
      <c r="G95" s="60">
        <v>10</v>
      </c>
      <c r="H95" s="60"/>
      <c r="I95" s="61">
        <v>10</v>
      </c>
    </row>
    <row r="96" spans="1:9">
      <c r="A96" s="58" t="s">
        <v>361</v>
      </c>
      <c r="F96" s="60"/>
      <c r="G96" s="60"/>
      <c r="H96" s="60"/>
      <c r="I96" s="61"/>
    </row>
    <row r="97" spans="1:9">
      <c r="A97" s="71" t="s">
        <v>47</v>
      </c>
      <c r="F97" s="60"/>
      <c r="G97" s="60">
        <v>70</v>
      </c>
      <c r="H97" s="60"/>
      <c r="I97" s="61">
        <v>70</v>
      </c>
    </row>
    <row r="98" spans="1:9">
      <c r="A98" s="71" t="s">
        <v>59</v>
      </c>
      <c r="F98" s="60"/>
      <c r="G98" s="60">
        <v>8</v>
      </c>
      <c r="H98" s="60"/>
      <c r="I98" s="61">
        <v>8</v>
      </c>
    </row>
    <row r="99" spans="1:9">
      <c r="A99" s="71" t="s">
        <v>252</v>
      </c>
      <c r="F99" s="60"/>
      <c r="G99" s="60">
        <v>350</v>
      </c>
      <c r="H99" s="60"/>
      <c r="I99" s="61">
        <v>350</v>
      </c>
    </row>
    <row r="100" spans="1:9">
      <c r="A100" s="71" t="s">
        <v>362</v>
      </c>
      <c r="F100" s="60"/>
      <c r="G100" s="60">
        <v>1</v>
      </c>
      <c r="H100" s="60"/>
      <c r="I100" s="61">
        <v>1</v>
      </c>
    </row>
    <row r="101" spans="1:9">
      <c r="A101" s="58" t="s">
        <v>474</v>
      </c>
      <c r="F101" s="60"/>
      <c r="G101" s="60"/>
      <c r="H101" s="60"/>
      <c r="I101" s="61"/>
    </row>
    <row r="102" spans="1:9">
      <c r="A102" s="71" t="s">
        <v>252</v>
      </c>
      <c r="F102" s="60"/>
      <c r="G102" s="60">
        <v>10</v>
      </c>
      <c r="H102" s="60"/>
      <c r="I102" s="61">
        <v>10</v>
      </c>
    </row>
    <row r="103" spans="1:9">
      <c r="A103" s="58" t="s">
        <v>363</v>
      </c>
      <c r="F103" s="60"/>
      <c r="G103" s="60"/>
      <c r="H103" s="60"/>
      <c r="I103" s="61"/>
    </row>
    <row r="104" spans="1:9">
      <c r="A104" s="71" t="s">
        <v>47</v>
      </c>
      <c r="F104" s="60"/>
      <c r="G104" s="60">
        <v>0</v>
      </c>
      <c r="H104" s="60"/>
      <c r="I104" s="61">
        <v>0</v>
      </c>
    </row>
    <row r="105" spans="1:9">
      <c r="A105" s="71" t="s">
        <v>28</v>
      </c>
      <c r="F105" s="60"/>
      <c r="G105" s="60">
        <v>1</v>
      </c>
      <c r="H105" s="60"/>
      <c r="I105" s="61">
        <v>1</v>
      </c>
    </row>
    <row r="106" spans="1:9">
      <c r="A106" s="71" t="s">
        <v>59</v>
      </c>
      <c r="F106" s="60"/>
      <c r="G106" s="60">
        <v>1</v>
      </c>
      <c r="H106" s="60"/>
      <c r="I106" s="61">
        <v>1</v>
      </c>
    </row>
    <row r="107" spans="1:9">
      <c r="A107" s="71" t="s">
        <v>252</v>
      </c>
      <c r="F107" s="60"/>
      <c r="G107" s="60">
        <v>30</v>
      </c>
      <c r="H107" s="60"/>
      <c r="I107" s="61">
        <v>30</v>
      </c>
    </row>
    <row r="108" spans="1:9">
      <c r="A108" s="58" t="s">
        <v>475</v>
      </c>
      <c r="F108" s="60"/>
      <c r="G108" s="60"/>
      <c r="H108" s="60"/>
      <c r="I108" s="61"/>
    </row>
    <row r="109" spans="1:9">
      <c r="A109" s="71" t="s">
        <v>47</v>
      </c>
      <c r="F109" s="60"/>
      <c r="G109" s="60">
        <v>6</v>
      </c>
      <c r="H109" s="60"/>
      <c r="I109" s="61">
        <v>6</v>
      </c>
    </row>
    <row r="110" spans="1:9">
      <c r="A110" s="71" t="s">
        <v>252</v>
      </c>
      <c r="F110" s="60"/>
      <c r="G110" s="60">
        <v>10</v>
      </c>
      <c r="H110" s="60"/>
      <c r="I110" s="61">
        <v>10</v>
      </c>
    </row>
    <row r="111" spans="1:9">
      <c r="A111" s="58" t="s">
        <v>272</v>
      </c>
      <c r="F111" s="60"/>
      <c r="G111" s="60"/>
      <c r="H111" s="60"/>
      <c r="I111" s="61"/>
    </row>
    <row r="112" spans="1:9">
      <c r="A112" s="71" t="s">
        <v>252</v>
      </c>
      <c r="F112" s="60"/>
      <c r="G112" s="60">
        <v>200</v>
      </c>
      <c r="H112" s="60"/>
      <c r="I112" s="61">
        <v>200</v>
      </c>
    </row>
    <row r="113" spans="1:9">
      <c r="A113" s="71" t="s">
        <v>273</v>
      </c>
      <c r="F113" s="60"/>
      <c r="G113" s="60">
        <v>1</v>
      </c>
      <c r="H113" s="60"/>
      <c r="I113" s="61">
        <v>1</v>
      </c>
    </row>
    <row r="114" spans="1:9">
      <c r="A114" s="43" t="s">
        <v>202</v>
      </c>
      <c r="B114" s="60">
        <v>1648</v>
      </c>
      <c r="C114" s="60">
        <v>1893</v>
      </c>
      <c r="D114" s="60">
        <v>1878</v>
      </c>
      <c r="E114" s="60">
        <v>1938</v>
      </c>
      <c r="F114" s="60">
        <v>2300</v>
      </c>
      <c r="G114" s="60">
        <v>826</v>
      </c>
      <c r="H114" s="60">
        <v>1796</v>
      </c>
      <c r="I114" s="61">
        <v>12279</v>
      </c>
    </row>
    <row r="115" spans="1:9">
      <c r="A115"/>
      <c r="B115" s="32"/>
      <c r="C115" s="32"/>
      <c r="D115" s="32"/>
      <c r="E115" s="32"/>
      <c r="F115" s="32"/>
    </row>
    <row r="116" spans="1:9">
      <c r="A116"/>
      <c r="B116" s="32"/>
      <c r="C116" s="32"/>
      <c r="D116" s="32"/>
      <c r="E116" s="32"/>
      <c r="F116" s="32"/>
    </row>
    <row r="117" spans="1:9">
      <c r="A117"/>
      <c r="B117" s="32"/>
      <c r="C117" s="32"/>
      <c r="D117" s="32"/>
      <c r="E117" s="32"/>
      <c r="F117" s="32"/>
    </row>
    <row r="118" spans="1:9">
      <c r="A118"/>
      <c r="B118" s="32"/>
      <c r="C118" s="32"/>
      <c r="D118" s="32"/>
      <c r="E118" s="32"/>
      <c r="F118" s="32"/>
    </row>
    <row r="119" spans="1:9">
      <c r="A119"/>
      <c r="B119" s="32"/>
      <c r="C119" s="32"/>
      <c r="D119" s="32"/>
      <c r="E119" s="32"/>
      <c r="F119" s="32"/>
    </row>
    <row r="120" spans="1:9">
      <c r="A120"/>
      <c r="B120" s="32"/>
      <c r="C120" s="32"/>
      <c r="D120" s="32"/>
      <c r="E120" s="32"/>
      <c r="F120" s="32"/>
    </row>
    <row r="121" spans="1:9">
      <c r="A121"/>
      <c r="B121" s="32"/>
      <c r="C121" s="32"/>
      <c r="D121" s="32"/>
      <c r="E121" s="32"/>
      <c r="F121" s="32"/>
    </row>
    <row r="122" spans="1:9">
      <c r="A122"/>
      <c r="B122" s="32"/>
      <c r="C122" s="32"/>
      <c r="D122" s="32"/>
      <c r="E122" s="32"/>
      <c r="F122" s="32"/>
    </row>
    <row r="123" spans="1:9">
      <c r="A123"/>
      <c r="B123" s="32"/>
      <c r="C123" s="32"/>
      <c r="D123" s="32"/>
      <c r="E123" s="32"/>
      <c r="F123" s="32"/>
    </row>
    <row r="124" spans="1:9">
      <c r="A124"/>
      <c r="B124" s="32"/>
      <c r="C124" s="32"/>
      <c r="D124" s="32"/>
      <c r="E124" s="32"/>
      <c r="F124" s="32"/>
    </row>
    <row r="125" spans="1:9">
      <c r="A125"/>
      <c r="B125" s="32"/>
      <c r="C125" s="32"/>
      <c r="D125" s="32"/>
      <c r="E125" s="32"/>
      <c r="F125" s="32"/>
    </row>
    <row r="126" spans="1:9">
      <c r="A126"/>
      <c r="B126" s="32"/>
      <c r="C126" s="32"/>
      <c r="D126" s="32"/>
      <c r="E126" s="32"/>
      <c r="F126" s="32"/>
    </row>
    <row r="127" spans="1:9">
      <c r="A127"/>
      <c r="B127" s="32"/>
      <c r="C127" s="32"/>
      <c r="D127" s="32"/>
      <c r="E127" s="32"/>
      <c r="F127" s="32"/>
    </row>
    <row r="128" spans="1:9">
      <c r="A128"/>
      <c r="B128" s="32"/>
      <c r="C128" s="32"/>
      <c r="D128" s="32"/>
      <c r="E128" s="32"/>
      <c r="F128" s="32"/>
    </row>
    <row r="129" spans="2:9" customFormat="1">
      <c r="B129" s="32"/>
      <c r="C129" s="32"/>
      <c r="D129" s="32"/>
      <c r="E129" s="32"/>
      <c r="F129" s="32"/>
      <c r="G129" s="32"/>
      <c r="H129" s="32"/>
      <c r="I129" s="32"/>
    </row>
    <row r="130" spans="2:9" customFormat="1">
      <c r="B130" s="32"/>
      <c r="C130" s="32"/>
      <c r="D130" s="32"/>
      <c r="E130" s="32"/>
      <c r="F130" s="32"/>
      <c r="G130" s="32"/>
      <c r="H130" s="32"/>
      <c r="I130" s="32"/>
    </row>
    <row r="131" spans="2:9" customFormat="1">
      <c r="B131" s="32"/>
      <c r="C131" s="32"/>
      <c r="D131" s="32"/>
      <c r="E131" s="32"/>
      <c r="F131" s="32"/>
      <c r="G131" s="32"/>
      <c r="H131" s="32"/>
      <c r="I131" s="32"/>
    </row>
    <row r="132" spans="2:9" customFormat="1">
      <c r="B132" s="32"/>
      <c r="C132" s="32"/>
      <c r="D132" s="32"/>
      <c r="E132" s="32"/>
      <c r="F132" s="32"/>
      <c r="G132" s="32"/>
      <c r="H132" s="32"/>
      <c r="I132" s="32"/>
    </row>
    <row r="133" spans="2:9" customFormat="1">
      <c r="B133" s="32"/>
      <c r="C133" s="32"/>
      <c r="D133" s="32"/>
      <c r="E133" s="32"/>
      <c r="F133" s="32"/>
      <c r="G133" s="32"/>
      <c r="H133" s="32"/>
      <c r="I133" s="32"/>
    </row>
    <row r="134" spans="2:9" customFormat="1">
      <c r="B134" s="32"/>
      <c r="C134" s="32"/>
      <c r="D134" s="32"/>
      <c r="E134" s="32"/>
      <c r="F134" s="32"/>
      <c r="G134" s="32"/>
      <c r="H134" s="32"/>
      <c r="I134" s="32"/>
    </row>
    <row r="135" spans="2:9" customFormat="1">
      <c r="B135" s="32"/>
      <c r="C135" s="32"/>
      <c r="D135" s="32"/>
      <c r="E135" s="32"/>
      <c r="F135" s="32"/>
      <c r="G135" s="32"/>
      <c r="H135" s="32"/>
      <c r="I135" s="32"/>
    </row>
    <row r="136" spans="2:9" customFormat="1">
      <c r="B136" s="32"/>
      <c r="C136" s="32"/>
      <c r="D136" s="32"/>
      <c r="E136" s="32"/>
      <c r="F136" s="32"/>
      <c r="G136" s="32"/>
      <c r="H136" s="32"/>
      <c r="I136" s="32"/>
    </row>
    <row r="137" spans="2:9" customFormat="1">
      <c r="B137" s="32"/>
      <c r="C137" s="32"/>
      <c r="D137" s="32"/>
      <c r="E137" s="32"/>
      <c r="F137" s="32"/>
      <c r="G137" s="32"/>
      <c r="H137" s="32"/>
      <c r="I137" s="32"/>
    </row>
    <row r="138" spans="2:9" customFormat="1">
      <c r="B138" s="32"/>
      <c r="C138" s="32"/>
      <c r="D138" s="32"/>
      <c r="E138" s="32"/>
      <c r="F138" s="32"/>
      <c r="G138" s="32"/>
      <c r="H138" s="32"/>
      <c r="I138" s="32"/>
    </row>
    <row r="139" spans="2:9" customFormat="1">
      <c r="B139" s="32"/>
      <c r="C139" s="32"/>
      <c r="D139" s="32"/>
      <c r="E139" s="32"/>
      <c r="F139" s="32"/>
      <c r="G139" s="32"/>
      <c r="H139" s="32"/>
      <c r="I139" s="32"/>
    </row>
    <row r="140" spans="2:9" customFormat="1">
      <c r="B140" s="32"/>
      <c r="C140" s="32"/>
      <c r="D140" s="32"/>
      <c r="E140" s="32"/>
      <c r="F140" s="32"/>
      <c r="G140" s="32"/>
      <c r="H140" s="32"/>
      <c r="I140" s="32"/>
    </row>
    <row r="141" spans="2:9" customFormat="1">
      <c r="B141" s="32"/>
      <c r="C141" s="32"/>
      <c r="D141" s="32"/>
      <c r="E141" s="32"/>
      <c r="F141" s="32"/>
      <c r="G141" s="32"/>
      <c r="H141" s="32"/>
      <c r="I141" s="32"/>
    </row>
    <row r="142" spans="2:9" customFormat="1">
      <c r="B142" s="32"/>
      <c r="C142" s="32"/>
      <c r="D142" s="32"/>
      <c r="E142" s="32"/>
      <c r="F142" s="32"/>
      <c r="G142" s="32"/>
      <c r="H142" s="32"/>
      <c r="I142" s="32"/>
    </row>
    <row r="143" spans="2:9" customFormat="1">
      <c r="B143" s="32"/>
      <c r="C143" s="32"/>
      <c r="D143" s="32"/>
      <c r="E143" s="32"/>
      <c r="F143" s="32"/>
      <c r="G143" s="32"/>
      <c r="H143" s="32"/>
      <c r="I143" s="32"/>
    </row>
    <row r="144" spans="2:9" customFormat="1">
      <c r="B144" s="32"/>
      <c r="C144" s="32"/>
      <c r="D144" s="32"/>
      <c r="E144" s="32"/>
      <c r="F144" s="32"/>
      <c r="G144" s="32"/>
      <c r="H144" s="32"/>
      <c r="I144" s="32"/>
    </row>
    <row r="145" spans="2:9" customFormat="1">
      <c r="B145" s="32"/>
      <c r="C145" s="32"/>
      <c r="D145" s="32"/>
      <c r="E145" s="32"/>
      <c r="F145" s="32"/>
      <c r="G145" s="32"/>
      <c r="H145" s="32"/>
      <c r="I145" s="32"/>
    </row>
    <row r="146" spans="2:9" customFormat="1">
      <c r="B146" s="32"/>
      <c r="C146" s="32"/>
      <c r="D146" s="32"/>
      <c r="E146" s="32"/>
      <c r="F146" s="32"/>
      <c r="G146" s="32"/>
      <c r="H146" s="32"/>
      <c r="I146" s="32"/>
    </row>
    <row r="147" spans="2:9" customFormat="1">
      <c r="B147" s="32"/>
      <c r="C147" s="32"/>
      <c r="D147" s="32"/>
      <c r="E147" s="32"/>
      <c r="F147" s="32"/>
      <c r="G147" s="32"/>
      <c r="H147" s="32"/>
      <c r="I147" s="32"/>
    </row>
    <row r="148" spans="2:9" customFormat="1">
      <c r="B148" s="32"/>
      <c r="C148" s="32"/>
      <c r="D148" s="32"/>
      <c r="E148" s="32"/>
      <c r="F148" s="32"/>
      <c r="G148" s="32"/>
      <c r="H148" s="32"/>
      <c r="I148" s="32"/>
    </row>
    <row r="149" spans="2:9" customFormat="1">
      <c r="B149" s="32"/>
      <c r="C149" s="32"/>
      <c r="D149" s="32"/>
      <c r="E149" s="32"/>
      <c r="F149" s="32"/>
      <c r="G149" s="32"/>
      <c r="H149" s="32"/>
      <c r="I149" s="32"/>
    </row>
    <row r="150" spans="2:9" customFormat="1">
      <c r="B150" s="32"/>
      <c r="C150" s="32"/>
      <c r="D150" s="32"/>
      <c r="E150" s="32"/>
      <c r="F150" s="32"/>
      <c r="G150" s="32"/>
      <c r="H150" s="32"/>
      <c r="I150" s="32"/>
    </row>
    <row r="151" spans="2:9" customFormat="1">
      <c r="B151" s="32"/>
      <c r="C151" s="32"/>
      <c r="D151" s="32"/>
      <c r="E151" s="32"/>
      <c r="F151" s="32"/>
      <c r="G151" s="32"/>
      <c r="H151" s="32"/>
      <c r="I151" s="32"/>
    </row>
    <row r="152" spans="2:9" customFormat="1">
      <c r="B152" s="32"/>
      <c r="C152" s="32"/>
      <c r="D152" s="32"/>
      <c r="E152" s="32"/>
      <c r="F152" s="32"/>
      <c r="G152" s="32"/>
      <c r="H152" s="32"/>
      <c r="I152" s="32"/>
    </row>
    <row r="153" spans="2:9" customFormat="1">
      <c r="B153" s="32"/>
      <c r="C153" s="32"/>
      <c r="D153" s="32"/>
      <c r="E153" s="32"/>
      <c r="F153" s="32"/>
      <c r="G153" s="32"/>
      <c r="H153" s="32"/>
      <c r="I153" s="32"/>
    </row>
    <row r="154" spans="2:9" customFormat="1">
      <c r="B154" s="32"/>
      <c r="C154" s="32"/>
      <c r="D154" s="32"/>
      <c r="E154" s="32"/>
      <c r="F154" s="32"/>
      <c r="G154" s="32"/>
      <c r="H154" s="32"/>
      <c r="I154" s="32"/>
    </row>
    <row r="155" spans="2:9" customFormat="1">
      <c r="B155" s="32"/>
      <c r="C155" s="32"/>
      <c r="D155" s="32"/>
      <c r="E155" s="32"/>
      <c r="F155" s="32"/>
      <c r="G155" s="32"/>
      <c r="H155" s="32"/>
      <c r="I155" s="32"/>
    </row>
    <row r="156" spans="2:9" customFormat="1">
      <c r="B156" s="32"/>
      <c r="C156" s="32"/>
      <c r="D156" s="32"/>
      <c r="E156" s="32"/>
      <c r="F156" s="32"/>
      <c r="G156" s="32"/>
      <c r="H156" s="32"/>
      <c r="I156" s="32"/>
    </row>
    <row r="157" spans="2:9" customFormat="1">
      <c r="B157" s="32"/>
      <c r="C157" s="32"/>
      <c r="D157" s="32"/>
      <c r="E157" s="32"/>
      <c r="F157" s="32"/>
      <c r="G157" s="32"/>
      <c r="H157" s="32"/>
      <c r="I157" s="32"/>
    </row>
    <row r="158" spans="2:9" customFormat="1">
      <c r="B158" s="32"/>
      <c r="C158" s="32"/>
      <c r="D158" s="32"/>
      <c r="E158" s="32"/>
      <c r="F158" s="32"/>
      <c r="G158" s="32"/>
      <c r="H158" s="32"/>
      <c r="I158" s="32"/>
    </row>
    <row r="159" spans="2:9" customFormat="1">
      <c r="B159" s="32"/>
      <c r="C159" s="32"/>
      <c r="D159" s="32"/>
      <c r="E159" s="32"/>
      <c r="F159" s="32"/>
      <c r="G159" s="32"/>
      <c r="H159" s="32"/>
      <c r="I159" s="32"/>
    </row>
    <row r="160" spans="2:9" customFormat="1">
      <c r="B160" s="32"/>
      <c r="C160" s="32"/>
      <c r="D160" s="32"/>
      <c r="E160" s="32"/>
      <c r="F160" s="32"/>
      <c r="G160" s="32"/>
      <c r="H160" s="32"/>
      <c r="I160" s="32"/>
    </row>
    <row r="161" spans="2:9" customFormat="1">
      <c r="B161" s="32"/>
      <c r="C161" s="32"/>
      <c r="D161" s="32"/>
      <c r="E161" s="32"/>
      <c r="F161" s="32"/>
      <c r="G161" s="32"/>
      <c r="H161" s="32"/>
      <c r="I161" s="32"/>
    </row>
    <row r="162" spans="2:9" customFormat="1">
      <c r="B162" s="32"/>
      <c r="C162" s="32"/>
      <c r="D162" s="32"/>
      <c r="E162" s="32"/>
      <c r="F162" s="32"/>
      <c r="G162" s="32"/>
      <c r="H162" s="32"/>
      <c r="I162" s="32"/>
    </row>
    <row r="163" spans="2:9" customFormat="1">
      <c r="B163" s="32"/>
      <c r="C163" s="32"/>
      <c r="D163" s="32"/>
      <c r="E163" s="32"/>
      <c r="F163" s="32"/>
      <c r="G163" s="32"/>
      <c r="H163" s="32"/>
      <c r="I163" s="32"/>
    </row>
    <row r="164" spans="2:9" customFormat="1">
      <c r="B164" s="32"/>
      <c r="C164" s="32"/>
      <c r="D164" s="32"/>
      <c r="E164" s="32"/>
      <c r="F164" s="32"/>
      <c r="G164" s="32"/>
      <c r="H164" s="32"/>
      <c r="I164" s="32"/>
    </row>
    <row r="165" spans="2:9" customFormat="1">
      <c r="B165" s="32"/>
      <c r="C165" s="32"/>
      <c r="D165" s="32"/>
      <c r="E165" s="32"/>
      <c r="F165" s="32"/>
      <c r="G165" s="32"/>
      <c r="H165" s="32"/>
      <c r="I165" s="32"/>
    </row>
    <row r="166" spans="2:9" customFormat="1">
      <c r="B166" s="32"/>
      <c r="C166" s="32"/>
      <c r="D166" s="32"/>
      <c r="E166" s="32"/>
      <c r="F166" s="32"/>
      <c r="G166" s="32"/>
      <c r="H166" s="32"/>
      <c r="I166" s="32"/>
    </row>
    <row r="167" spans="2:9" customFormat="1">
      <c r="B167" s="32"/>
      <c r="C167" s="32"/>
      <c r="D167" s="32"/>
      <c r="E167" s="32"/>
      <c r="F167" s="32"/>
      <c r="G167" s="32"/>
      <c r="H167" s="32"/>
      <c r="I167" s="32"/>
    </row>
    <row r="168" spans="2:9" customFormat="1">
      <c r="B168" s="32"/>
      <c r="C168" s="32"/>
      <c r="D168" s="32"/>
      <c r="E168" s="32"/>
      <c r="F168" s="32"/>
      <c r="G168" s="32"/>
      <c r="H168" s="32"/>
      <c r="I168" s="32"/>
    </row>
    <row r="169" spans="2:9" customFormat="1">
      <c r="B169" s="32"/>
      <c r="C169" s="32"/>
      <c r="D169" s="32"/>
      <c r="E169" s="32"/>
      <c r="F169" s="32"/>
      <c r="G169" s="32"/>
      <c r="H169" s="32"/>
      <c r="I169" s="32"/>
    </row>
    <row r="170" spans="2:9" customFormat="1">
      <c r="B170" s="32"/>
      <c r="C170" s="32"/>
      <c r="D170" s="32"/>
      <c r="E170" s="32"/>
      <c r="F170" s="32"/>
      <c r="G170" s="32"/>
      <c r="H170" s="32"/>
      <c r="I170" s="32"/>
    </row>
    <row r="171" spans="2:9" customFormat="1">
      <c r="B171" s="32"/>
      <c r="C171" s="32"/>
      <c r="D171" s="32"/>
      <c r="E171" s="32"/>
      <c r="F171" s="32"/>
      <c r="G171" s="32"/>
      <c r="H171" s="32"/>
      <c r="I171" s="32"/>
    </row>
    <row r="172" spans="2:9" customFormat="1">
      <c r="B172" s="32"/>
      <c r="C172" s="32"/>
      <c r="D172" s="32"/>
      <c r="E172" s="32"/>
      <c r="F172" s="32"/>
      <c r="G172" s="32"/>
      <c r="H172" s="32"/>
      <c r="I172" s="32"/>
    </row>
    <row r="173" spans="2:9" customFormat="1">
      <c r="B173" s="32"/>
      <c r="C173" s="32"/>
      <c r="D173" s="32"/>
      <c r="E173" s="32"/>
      <c r="F173" s="32"/>
      <c r="G173" s="32"/>
      <c r="H173" s="32"/>
      <c r="I173" s="32"/>
    </row>
    <row r="174" spans="2:9" customFormat="1">
      <c r="B174" s="32"/>
      <c r="C174" s="32"/>
      <c r="D174" s="32"/>
      <c r="E174" s="32"/>
      <c r="F174" s="32"/>
      <c r="G174" s="32"/>
      <c r="H174" s="32"/>
      <c r="I174" s="32"/>
    </row>
    <row r="175" spans="2:9" customFormat="1">
      <c r="B175" s="32"/>
      <c r="C175" s="32"/>
      <c r="D175" s="32"/>
      <c r="E175" s="32"/>
      <c r="F175" s="32"/>
      <c r="G175" s="32"/>
      <c r="H175" s="32"/>
      <c r="I175" s="32"/>
    </row>
    <row r="176" spans="2:9" customFormat="1">
      <c r="B176" s="32"/>
      <c r="C176" s="32"/>
      <c r="D176" s="32"/>
      <c r="E176" s="32"/>
      <c r="F176" s="32"/>
      <c r="G176" s="32"/>
      <c r="H176" s="32"/>
      <c r="I176" s="32"/>
    </row>
    <row r="177" spans="2:9" customFormat="1">
      <c r="B177" s="32"/>
      <c r="C177" s="32"/>
      <c r="D177" s="32"/>
      <c r="E177" s="32"/>
      <c r="F177" s="32"/>
      <c r="G177" s="32"/>
      <c r="H177" s="32"/>
      <c r="I177" s="32"/>
    </row>
    <row r="178" spans="2:9" customFormat="1">
      <c r="B178" s="32"/>
      <c r="C178" s="32"/>
      <c r="D178" s="32"/>
      <c r="E178" s="32"/>
      <c r="F178" s="32"/>
      <c r="G178" s="32"/>
      <c r="H178" s="32"/>
      <c r="I178" s="32"/>
    </row>
    <row r="179" spans="2:9" customFormat="1">
      <c r="B179" s="32"/>
      <c r="C179" s="32"/>
      <c r="D179" s="32"/>
      <c r="E179" s="32"/>
      <c r="F179" s="32"/>
      <c r="G179" s="32"/>
      <c r="H179" s="32"/>
      <c r="I179" s="32"/>
    </row>
    <row r="180" spans="2:9" customFormat="1">
      <c r="B180" s="32"/>
      <c r="C180" s="32"/>
      <c r="D180" s="32"/>
      <c r="E180" s="32"/>
      <c r="F180" s="32"/>
      <c r="G180" s="32"/>
      <c r="H180" s="32"/>
      <c r="I180" s="32"/>
    </row>
    <row r="181" spans="2:9" customFormat="1">
      <c r="B181" s="32"/>
      <c r="C181" s="32"/>
      <c r="D181" s="32"/>
      <c r="E181" s="32"/>
      <c r="F181" s="32"/>
      <c r="G181" s="32"/>
      <c r="H181" s="32"/>
      <c r="I181" s="32"/>
    </row>
    <row r="182" spans="2:9" customFormat="1">
      <c r="B182" s="32"/>
      <c r="C182" s="32"/>
      <c r="D182" s="32"/>
      <c r="E182" s="32"/>
      <c r="F182" s="32"/>
      <c r="G182" s="32"/>
      <c r="H182" s="32"/>
      <c r="I182" s="32"/>
    </row>
    <row r="183" spans="2:9" customFormat="1">
      <c r="B183" s="32"/>
      <c r="C183" s="32"/>
      <c r="D183" s="32"/>
      <c r="E183" s="32"/>
      <c r="F183" s="32"/>
      <c r="G183" s="32"/>
      <c r="H183" s="32"/>
      <c r="I183" s="32"/>
    </row>
    <row r="184" spans="2:9" customFormat="1">
      <c r="B184" s="32"/>
      <c r="C184" s="32"/>
      <c r="D184" s="32"/>
      <c r="E184" s="32"/>
      <c r="F184" s="32"/>
      <c r="G184" s="32"/>
      <c r="H184" s="32"/>
      <c r="I184" s="32"/>
    </row>
    <row r="185" spans="2:9" customFormat="1">
      <c r="B185" s="32"/>
      <c r="C185" s="32"/>
      <c r="D185" s="32"/>
      <c r="E185" s="32"/>
      <c r="F185" s="32"/>
      <c r="G185" s="32"/>
      <c r="H185" s="32"/>
      <c r="I185" s="32"/>
    </row>
    <row r="186" spans="2:9" customFormat="1">
      <c r="B186" s="32"/>
      <c r="C186" s="32"/>
      <c r="D186" s="32"/>
      <c r="E186" s="32"/>
      <c r="F186" s="32"/>
      <c r="G186" s="32"/>
      <c r="H186" s="32"/>
      <c r="I186" s="32"/>
    </row>
    <row r="187" spans="2:9" customFormat="1">
      <c r="B187" s="32"/>
      <c r="C187" s="32"/>
      <c r="D187" s="32"/>
      <c r="E187" s="32"/>
      <c r="F187" s="32"/>
      <c r="G187" s="32"/>
      <c r="H187" s="32"/>
      <c r="I187" s="32"/>
    </row>
    <row r="188" spans="2:9" customFormat="1">
      <c r="B188" s="32"/>
      <c r="C188" s="32"/>
      <c r="D188" s="32"/>
      <c r="E188" s="32"/>
      <c r="F188" s="32"/>
      <c r="G188" s="32"/>
      <c r="H188" s="32"/>
      <c r="I188" s="32"/>
    </row>
    <row r="189" spans="2:9" customFormat="1">
      <c r="B189" s="32"/>
      <c r="C189" s="32"/>
      <c r="D189" s="32"/>
      <c r="E189" s="32"/>
      <c r="F189" s="32"/>
      <c r="G189" s="32"/>
      <c r="H189" s="32"/>
      <c r="I189" s="32"/>
    </row>
    <row r="190" spans="2:9" customFormat="1">
      <c r="B190" s="32"/>
      <c r="C190" s="32"/>
      <c r="D190" s="32"/>
      <c r="E190" s="32"/>
      <c r="F190" s="32"/>
      <c r="G190" s="32"/>
      <c r="H190" s="32"/>
      <c r="I190" s="32"/>
    </row>
    <row r="191" spans="2:9" customFormat="1">
      <c r="B191" s="32"/>
      <c r="C191" s="32"/>
      <c r="D191" s="32"/>
      <c r="E191" s="32"/>
      <c r="F191" s="32"/>
      <c r="G191" s="32"/>
      <c r="H191" s="32"/>
      <c r="I191" s="32"/>
    </row>
    <row r="192" spans="2:9" customFormat="1">
      <c r="B192" s="32"/>
      <c r="C192" s="32"/>
      <c r="D192" s="32"/>
      <c r="E192" s="32"/>
      <c r="F192" s="32"/>
      <c r="G192" s="32"/>
      <c r="H192" s="32"/>
      <c r="I192" s="32"/>
    </row>
    <row r="193" spans="2:9" customFormat="1">
      <c r="B193" s="32"/>
      <c r="C193" s="32"/>
      <c r="D193" s="32"/>
      <c r="E193" s="32"/>
      <c r="F193" s="32"/>
      <c r="G193" s="32"/>
      <c r="H193" s="32"/>
      <c r="I193" s="32"/>
    </row>
    <row r="194" spans="2:9" customFormat="1">
      <c r="B194" s="32"/>
      <c r="C194" s="32"/>
      <c r="D194" s="32"/>
      <c r="E194" s="32"/>
      <c r="F194" s="32"/>
      <c r="G194" s="32"/>
      <c r="H194" s="32"/>
      <c r="I194" s="32"/>
    </row>
    <row r="195" spans="2:9" customFormat="1">
      <c r="B195" s="32"/>
      <c r="C195" s="32"/>
      <c r="D195" s="32"/>
      <c r="E195" s="32"/>
      <c r="F195" s="32"/>
      <c r="G195" s="32"/>
      <c r="H195" s="32"/>
      <c r="I195" s="32"/>
    </row>
    <row r="196" spans="2:9" customFormat="1">
      <c r="B196" s="32"/>
      <c r="C196" s="32"/>
      <c r="D196" s="32"/>
      <c r="E196" s="32"/>
      <c r="F196" s="32"/>
      <c r="G196" s="32"/>
      <c r="H196" s="32"/>
      <c r="I196" s="32"/>
    </row>
    <row r="197" spans="2:9" customFormat="1">
      <c r="B197" s="32"/>
      <c r="C197" s="32"/>
      <c r="D197" s="32"/>
      <c r="E197" s="32"/>
      <c r="F197" s="32"/>
      <c r="G197" s="32"/>
      <c r="H197" s="32"/>
      <c r="I197" s="32"/>
    </row>
    <row r="198" spans="2:9" customFormat="1">
      <c r="B198" s="32"/>
      <c r="C198" s="32"/>
      <c r="D198" s="32"/>
      <c r="E198" s="32"/>
      <c r="F198" s="32"/>
      <c r="G198" s="32"/>
      <c r="H198" s="32"/>
      <c r="I198" s="32"/>
    </row>
    <row r="199" spans="2:9" customFormat="1">
      <c r="B199" s="32"/>
      <c r="C199" s="32"/>
      <c r="D199" s="32"/>
      <c r="E199" s="32"/>
      <c r="F199" s="32"/>
      <c r="G199" s="32"/>
      <c r="H199" s="32"/>
      <c r="I199" s="32"/>
    </row>
    <row r="200" spans="2:9" customFormat="1">
      <c r="B200" s="32"/>
      <c r="C200" s="32"/>
      <c r="D200" s="32"/>
      <c r="E200" s="32"/>
      <c r="F200" s="32"/>
      <c r="G200" s="32"/>
      <c r="H200" s="32"/>
      <c r="I200" s="32"/>
    </row>
    <row r="201" spans="2:9" customFormat="1">
      <c r="B201" s="32"/>
      <c r="C201" s="32"/>
      <c r="D201" s="32"/>
      <c r="E201" s="32"/>
      <c r="F201" s="32"/>
      <c r="G201" s="32"/>
      <c r="H201" s="32"/>
      <c r="I201" s="32"/>
    </row>
    <row r="202" spans="2:9" customFormat="1">
      <c r="B202" s="32"/>
      <c r="C202" s="32"/>
      <c r="D202" s="32"/>
      <c r="E202" s="32"/>
      <c r="F202" s="32"/>
      <c r="G202" s="32"/>
      <c r="H202" s="32"/>
      <c r="I202" s="32"/>
    </row>
    <row r="203" spans="2:9" customFormat="1">
      <c r="B203" s="32"/>
      <c r="C203" s="32"/>
      <c r="D203" s="32"/>
      <c r="E203" s="32"/>
      <c r="F203" s="32"/>
      <c r="G203" s="32"/>
      <c r="H203" s="32"/>
      <c r="I203" s="32"/>
    </row>
    <row r="204" spans="2:9" customFormat="1">
      <c r="B204" s="32"/>
      <c r="C204" s="32"/>
      <c r="D204" s="32"/>
      <c r="E204" s="32"/>
      <c r="F204" s="32"/>
      <c r="G204" s="32"/>
      <c r="H204" s="32"/>
      <c r="I204" s="32"/>
    </row>
    <row r="205" spans="2:9" customFormat="1">
      <c r="B205" s="32"/>
      <c r="C205" s="32"/>
      <c r="D205" s="32"/>
      <c r="E205" s="32"/>
      <c r="F205" s="32"/>
      <c r="G205" s="32"/>
      <c r="H205" s="32"/>
      <c r="I205" s="32"/>
    </row>
    <row r="206" spans="2:9" customFormat="1">
      <c r="B206" s="32"/>
      <c r="C206" s="32"/>
      <c r="D206" s="32"/>
      <c r="E206" s="32"/>
      <c r="F206" s="32"/>
      <c r="G206" s="32"/>
      <c r="H206" s="32"/>
      <c r="I206" s="32"/>
    </row>
    <row r="207" spans="2:9" customFormat="1">
      <c r="B207" s="32"/>
      <c r="C207" s="32"/>
      <c r="D207" s="32"/>
      <c r="E207" s="32"/>
      <c r="F207" s="32"/>
      <c r="G207" s="32"/>
      <c r="H207" s="32"/>
      <c r="I207" s="32"/>
    </row>
    <row r="208" spans="2:9" customFormat="1">
      <c r="B208" s="32"/>
      <c r="C208" s="32"/>
      <c r="D208" s="32"/>
      <c r="E208" s="32"/>
      <c r="F208" s="32"/>
      <c r="G208" s="32"/>
      <c r="H208" s="32"/>
      <c r="I208" s="32"/>
    </row>
    <row r="209" spans="2:9" customFormat="1">
      <c r="B209" s="32"/>
      <c r="C209" s="32"/>
      <c r="D209" s="32"/>
      <c r="E209" s="32"/>
      <c r="F209" s="32"/>
      <c r="G209" s="32"/>
      <c r="H209" s="32"/>
      <c r="I209" s="32"/>
    </row>
    <row r="210" spans="2:9" customFormat="1">
      <c r="B210" s="32"/>
      <c r="C210" s="32"/>
      <c r="D210" s="32"/>
      <c r="E210" s="32"/>
      <c r="F210" s="32"/>
      <c r="G210" s="32"/>
      <c r="H210" s="32"/>
      <c r="I210" s="32"/>
    </row>
    <row r="211" spans="2:9" customFormat="1">
      <c r="B211" s="32"/>
      <c r="C211" s="32"/>
      <c r="D211" s="32"/>
      <c r="E211" s="32"/>
      <c r="F211" s="32"/>
      <c r="G211" s="32"/>
      <c r="H211" s="32"/>
      <c r="I211" s="32"/>
    </row>
    <row r="212" spans="2:9" customFormat="1">
      <c r="B212" s="32"/>
      <c r="C212" s="32"/>
      <c r="D212" s="32"/>
      <c r="E212" s="32"/>
      <c r="F212" s="32"/>
      <c r="G212" s="32"/>
      <c r="H212" s="32"/>
      <c r="I212" s="32"/>
    </row>
    <row r="213" spans="2:9" customFormat="1">
      <c r="B213" s="32"/>
      <c r="C213" s="32"/>
      <c r="D213" s="32"/>
      <c r="E213" s="32"/>
      <c r="F213" s="32"/>
      <c r="G213" s="32"/>
      <c r="H213" s="32"/>
      <c r="I213" s="32"/>
    </row>
    <row r="214" spans="2:9" customFormat="1">
      <c r="B214" s="32"/>
      <c r="C214" s="32"/>
      <c r="D214" s="32"/>
      <c r="E214" s="32"/>
      <c r="F214" s="32"/>
      <c r="G214" s="32"/>
      <c r="H214" s="32"/>
      <c r="I214" s="32"/>
    </row>
    <row r="215" spans="2:9" customFormat="1">
      <c r="B215" s="32"/>
      <c r="C215" s="32"/>
      <c r="D215" s="32"/>
      <c r="E215" s="32"/>
      <c r="F215" s="32"/>
      <c r="G215" s="32"/>
      <c r="H215" s="32"/>
      <c r="I215" s="32"/>
    </row>
    <row r="216" spans="2:9" customFormat="1">
      <c r="B216" s="32"/>
      <c r="C216" s="32"/>
      <c r="D216" s="32"/>
      <c r="E216" s="32"/>
      <c r="F216" s="32"/>
      <c r="G216" s="32"/>
      <c r="H216" s="32"/>
      <c r="I216" s="32"/>
    </row>
    <row r="217" spans="2:9" customFormat="1">
      <c r="B217" s="32"/>
      <c r="C217" s="32"/>
      <c r="D217" s="32"/>
      <c r="E217" s="32"/>
      <c r="F217" s="32"/>
      <c r="G217" s="32"/>
      <c r="H217" s="32"/>
      <c r="I217" s="32"/>
    </row>
    <row r="218" spans="2:9" customFormat="1">
      <c r="B218" s="32"/>
      <c r="C218" s="32"/>
      <c r="D218" s="32"/>
      <c r="E218" s="32"/>
      <c r="F218" s="32"/>
      <c r="G218" s="32"/>
      <c r="H218" s="32"/>
      <c r="I218" s="32"/>
    </row>
    <row r="219" spans="2:9" customFormat="1">
      <c r="B219" s="32"/>
      <c r="C219" s="32"/>
      <c r="D219" s="32"/>
      <c r="E219" s="32"/>
      <c r="F219" s="32"/>
      <c r="G219" s="32"/>
      <c r="H219" s="32"/>
      <c r="I219" s="32"/>
    </row>
    <row r="220" spans="2:9" customFormat="1">
      <c r="B220" s="32"/>
      <c r="C220" s="32"/>
      <c r="D220" s="32"/>
      <c r="E220" s="32"/>
      <c r="F220" s="32"/>
      <c r="G220" s="32"/>
      <c r="H220" s="32"/>
      <c r="I220" s="32"/>
    </row>
    <row r="221" spans="2:9" customFormat="1">
      <c r="B221" s="32"/>
      <c r="C221" s="32"/>
      <c r="D221" s="32"/>
      <c r="E221" s="32"/>
      <c r="F221" s="32"/>
      <c r="G221" s="32"/>
      <c r="H221" s="32"/>
      <c r="I221" s="32"/>
    </row>
    <row r="222" spans="2:9" customFormat="1">
      <c r="B222" s="32"/>
      <c r="C222" s="32"/>
      <c r="D222" s="32"/>
      <c r="E222" s="32"/>
      <c r="F222" s="32"/>
      <c r="G222" s="32"/>
      <c r="H222" s="32"/>
      <c r="I222" s="32"/>
    </row>
    <row r="223" spans="2:9" customFormat="1">
      <c r="B223" s="32"/>
      <c r="C223" s="32"/>
      <c r="D223" s="32"/>
      <c r="E223" s="32"/>
      <c r="F223" s="32"/>
      <c r="G223" s="32"/>
      <c r="H223" s="32"/>
      <c r="I223" s="32"/>
    </row>
    <row r="224" spans="2:9" customFormat="1">
      <c r="B224" s="32"/>
      <c r="C224" s="32"/>
      <c r="D224" s="32"/>
      <c r="E224" s="32"/>
      <c r="F224" s="32"/>
      <c r="G224" s="32"/>
      <c r="H224" s="32"/>
      <c r="I224" s="32"/>
    </row>
    <row r="225" spans="2:9" customFormat="1">
      <c r="B225" s="32"/>
      <c r="C225" s="32"/>
      <c r="D225" s="32"/>
      <c r="E225" s="32"/>
      <c r="F225" s="32"/>
      <c r="G225" s="32"/>
      <c r="H225" s="32"/>
      <c r="I225" s="32"/>
    </row>
    <row r="226" spans="2:9" customFormat="1">
      <c r="B226" s="32"/>
      <c r="C226" s="32"/>
      <c r="D226" s="32"/>
      <c r="E226" s="32"/>
      <c r="F226" s="32"/>
      <c r="G226" s="32"/>
      <c r="H226" s="32"/>
      <c r="I226" s="32"/>
    </row>
    <row r="227" spans="2:9" customFormat="1">
      <c r="B227" s="32"/>
      <c r="C227" s="32"/>
      <c r="D227" s="32"/>
      <c r="E227" s="32"/>
      <c r="F227" s="32"/>
      <c r="G227" s="32"/>
      <c r="H227" s="32"/>
      <c r="I227" s="32"/>
    </row>
    <row r="228" spans="2:9" customFormat="1">
      <c r="B228" s="32"/>
      <c r="C228" s="32"/>
      <c r="D228" s="32"/>
      <c r="E228" s="32"/>
      <c r="F228" s="32"/>
      <c r="G228" s="32"/>
      <c r="H228" s="32"/>
      <c r="I228" s="32"/>
    </row>
    <row r="229" spans="2:9" customFormat="1">
      <c r="B229" s="32"/>
      <c r="C229" s="32"/>
      <c r="D229" s="32"/>
      <c r="E229" s="32"/>
      <c r="F229" s="32"/>
      <c r="G229" s="32"/>
      <c r="H229" s="32"/>
      <c r="I229" s="32"/>
    </row>
    <row r="230" spans="2:9" customFormat="1">
      <c r="B230" s="32"/>
      <c r="C230" s="32"/>
      <c r="D230" s="32"/>
      <c r="E230" s="32"/>
      <c r="F230" s="32"/>
      <c r="G230" s="32"/>
      <c r="H230" s="32"/>
      <c r="I230" s="32"/>
    </row>
    <row r="231" spans="2:9" customFormat="1">
      <c r="B231" s="32"/>
      <c r="C231" s="32"/>
      <c r="D231" s="32"/>
      <c r="E231" s="32"/>
      <c r="F231" s="32"/>
      <c r="G231" s="32"/>
      <c r="H231" s="32"/>
      <c r="I231" s="32"/>
    </row>
    <row r="232" spans="2:9" customFormat="1">
      <c r="B232" s="32"/>
      <c r="C232" s="32"/>
      <c r="D232" s="32"/>
      <c r="E232" s="32"/>
      <c r="F232" s="32"/>
      <c r="G232" s="32"/>
      <c r="H232" s="32"/>
      <c r="I232" s="32"/>
    </row>
    <row r="233" spans="2:9" customFormat="1">
      <c r="B233" s="32"/>
      <c r="C233" s="32"/>
      <c r="D233" s="32"/>
      <c r="E233" s="32"/>
      <c r="F233" s="32"/>
      <c r="G233" s="32"/>
      <c r="H233" s="32"/>
      <c r="I233" s="32"/>
    </row>
    <row r="234" spans="2:9" customFormat="1">
      <c r="B234" s="32"/>
      <c r="C234" s="32"/>
      <c r="D234" s="32"/>
      <c r="E234" s="32"/>
      <c r="F234" s="32"/>
      <c r="G234" s="32"/>
      <c r="H234" s="32"/>
      <c r="I234" s="32"/>
    </row>
    <row r="235" spans="2:9" customFormat="1">
      <c r="B235" s="32"/>
      <c r="C235" s="32"/>
      <c r="D235" s="32"/>
      <c r="E235" s="32"/>
      <c r="F235" s="32"/>
      <c r="G235" s="32"/>
      <c r="H235" s="32"/>
      <c r="I235" s="32"/>
    </row>
    <row r="236" spans="2:9" customFormat="1">
      <c r="B236" s="32"/>
      <c r="C236" s="32"/>
      <c r="D236" s="32"/>
      <c r="E236" s="32"/>
      <c r="F236" s="32"/>
      <c r="G236" s="32"/>
      <c r="H236" s="32"/>
      <c r="I236" s="32"/>
    </row>
    <row r="237" spans="2:9" customFormat="1">
      <c r="B237" s="32"/>
      <c r="C237" s="32"/>
      <c r="D237" s="32"/>
      <c r="E237" s="32"/>
      <c r="F237" s="32"/>
      <c r="G237" s="32"/>
      <c r="H237" s="32"/>
      <c r="I237" s="32"/>
    </row>
    <row r="238" spans="2:9" customFormat="1">
      <c r="B238" s="32"/>
      <c r="C238" s="32"/>
      <c r="D238" s="32"/>
      <c r="E238" s="32"/>
      <c r="F238" s="32"/>
      <c r="G238" s="32"/>
      <c r="H238" s="32"/>
      <c r="I238" s="32"/>
    </row>
    <row r="239" spans="2:9" customFormat="1">
      <c r="B239" s="32"/>
      <c r="C239" s="32"/>
      <c r="D239" s="32"/>
      <c r="E239" s="32"/>
      <c r="F239" s="32"/>
      <c r="G239" s="32"/>
      <c r="H239" s="32"/>
      <c r="I239" s="32"/>
    </row>
    <row r="240" spans="2:9" customFormat="1">
      <c r="B240" s="32"/>
      <c r="C240" s="32"/>
      <c r="D240" s="32"/>
      <c r="E240" s="32"/>
      <c r="F240" s="32"/>
      <c r="G240" s="32"/>
      <c r="H240" s="32"/>
      <c r="I240" s="32"/>
    </row>
    <row r="241" spans="2:9" customFormat="1">
      <c r="B241" s="32"/>
      <c r="C241" s="32"/>
      <c r="D241" s="32"/>
      <c r="E241" s="32"/>
      <c r="F241" s="32"/>
      <c r="G241" s="32"/>
      <c r="H241" s="32"/>
      <c r="I241" s="32"/>
    </row>
    <row r="242" spans="2:9" customFormat="1">
      <c r="B242" s="32"/>
      <c r="C242" s="32"/>
      <c r="D242" s="32"/>
      <c r="E242" s="32"/>
      <c r="F242" s="32"/>
      <c r="G242" s="32"/>
      <c r="H242" s="32"/>
      <c r="I242" s="32"/>
    </row>
    <row r="243" spans="2:9" customFormat="1">
      <c r="B243" s="32"/>
      <c r="C243" s="32"/>
      <c r="D243" s="32"/>
      <c r="E243" s="32"/>
      <c r="F243" s="32"/>
      <c r="G243" s="32"/>
      <c r="H243" s="32"/>
      <c r="I243" s="32"/>
    </row>
    <row r="244" spans="2:9" customFormat="1">
      <c r="B244" s="32"/>
      <c r="C244" s="32"/>
      <c r="D244" s="32"/>
      <c r="E244" s="32"/>
      <c r="F244" s="32"/>
      <c r="G244" s="32"/>
      <c r="H244" s="32"/>
      <c r="I244" s="32"/>
    </row>
    <row r="245" spans="2:9" customFormat="1">
      <c r="B245" s="32"/>
      <c r="C245" s="32"/>
      <c r="D245" s="32"/>
      <c r="E245" s="32"/>
      <c r="F245" s="32"/>
      <c r="G245" s="32"/>
      <c r="H245" s="32"/>
      <c r="I245" s="32"/>
    </row>
    <row r="246" spans="2:9" customFormat="1">
      <c r="B246" s="32"/>
      <c r="C246" s="32"/>
      <c r="D246" s="32"/>
      <c r="E246" s="32"/>
      <c r="F246" s="32"/>
      <c r="G246" s="32"/>
      <c r="H246" s="32"/>
      <c r="I246" s="32"/>
    </row>
    <row r="247" spans="2:9" customFormat="1">
      <c r="B247" s="32"/>
      <c r="C247" s="32"/>
      <c r="D247" s="32"/>
      <c r="E247" s="32"/>
      <c r="F247" s="32"/>
      <c r="G247" s="32"/>
      <c r="H247" s="32"/>
      <c r="I247" s="32"/>
    </row>
    <row r="248" spans="2:9" customFormat="1">
      <c r="B248" s="32"/>
      <c r="C248" s="32"/>
      <c r="D248" s="32"/>
      <c r="E248" s="32"/>
      <c r="F248" s="32"/>
      <c r="G248" s="32"/>
      <c r="H248" s="32"/>
      <c r="I248" s="32"/>
    </row>
    <row r="249" spans="2:9" customFormat="1">
      <c r="B249" s="32"/>
      <c r="C249" s="32"/>
      <c r="D249" s="32"/>
      <c r="E249" s="32"/>
      <c r="F249" s="32"/>
      <c r="G249" s="32"/>
      <c r="H249" s="32"/>
      <c r="I249" s="32"/>
    </row>
    <row r="250" spans="2:9" customFormat="1">
      <c r="B250" s="32"/>
      <c r="C250" s="32"/>
      <c r="D250" s="32"/>
      <c r="E250" s="32"/>
      <c r="F250" s="32"/>
      <c r="G250" s="32"/>
      <c r="H250" s="32"/>
      <c r="I250" s="32"/>
    </row>
    <row r="251" spans="2:9" customFormat="1">
      <c r="B251" s="32"/>
      <c r="C251" s="32"/>
      <c r="D251" s="32"/>
      <c r="E251" s="32"/>
      <c r="F251" s="32"/>
      <c r="G251" s="32"/>
      <c r="H251" s="32"/>
      <c r="I251" s="32"/>
    </row>
    <row r="252" spans="2:9" customFormat="1">
      <c r="B252" s="32"/>
      <c r="C252" s="32"/>
      <c r="D252" s="32"/>
      <c r="E252" s="32"/>
      <c r="F252" s="32"/>
      <c r="G252" s="32"/>
      <c r="H252" s="32"/>
      <c r="I252" s="32"/>
    </row>
    <row r="253" spans="2:9" customFormat="1">
      <c r="B253" s="32"/>
      <c r="C253" s="32"/>
      <c r="D253" s="32"/>
      <c r="E253" s="32"/>
      <c r="F253" s="32"/>
      <c r="G253" s="32"/>
      <c r="H253" s="32"/>
      <c r="I253" s="32"/>
    </row>
    <row r="254" spans="2:9" customFormat="1">
      <c r="B254" s="32"/>
      <c r="C254" s="32"/>
      <c r="D254" s="32"/>
      <c r="E254" s="32"/>
      <c r="F254" s="32"/>
      <c r="G254" s="32"/>
      <c r="H254" s="32"/>
      <c r="I254" s="32"/>
    </row>
    <row r="255" spans="2:9" customFormat="1">
      <c r="B255" s="32"/>
      <c r="C255" s="32"/>
      <c r="D255" s="32"/>
      <c r="E255" s="32"/>
      <c r="F255" s="32"/>
      <c r="G255" s="32"/>
      <c r="H255" s="32"/>
      <c r="I255" s="32"/>
    </row>
    <row r="256" spans="2:9" customFormat="1">
      <c r="B256" s="32"/>
      <c r="C256" s="32"/>
      <c r="D256" s="32"/>
      <c r="E256" s="32"/>
      <c r="F256" s="32"/>
      <c r="G256" s="32"/>
      <c r="H256" s="32"/>
      <c r="I256" s="32"/>
    </row>
    <row r="257" spans="2:9" customFormat="1">
      <c r="B257" s="32"/>
      <c r="C257" s="32"/>
      <c r="D257" s="32"/>
      <c r="E257" s="32"/>
      <c r="F257" s="32"/>
      <c r="G257" s="32"/>
      <c r="H257" s="32"/>
      <c r="I257" s="32"/>
    </row>
    <row r="258" spans="2:9" customFormat="1">
      <c r="B258" s="32"/>
      <c r="C258" s="32"/>
      <c r="D258" s="32"/>
      <c r="E258" s="32"/>
      <c r="F258" s="32"/>
      <c r="G258" s="32"/>
      <c r="H258" s="32"/>
      <c r="I258" s="32"/>
    </row>
    <row r="259" spans="2:9" customFormat="1">
      <c r="B259" s="32"/>
      <c r="C259" s="32"/>
      <c r="D259" s="32"/>
      <c r="E259" s="32"/>
      <c r="F259" s="32"/>
      <c r="G259" s="32"/>
      <c r="H259" s="32"/>
      <c r="I259" s="32"/>
    </row>
    <row r="260" spans="2:9" customFormat="1">
      <c r="B260" s="32"/>
      <c r="C260" s="32"/>
      <c r="D260" s="32"/>
      <c r="E260" s="32"/>
      <c r="F260" s="32"/>
      <c r="G260" s="32"/>
      <c r="H260" s="32"/>
      <c r="I260" s="32"/>
    </row>
    <row r="261" spans="2:9" customFormat="1">
      <c r="B261" s="32"/>
      <c r="C261" s="32"/>
      <c r="D261" s="32"/>
      <c r="E261" s="32"/>
      <c r="F261" s="32"/>
      <c r="G261" s="32"/>
      <c r="H261" s="32"/>
      <c r="I261" s="32"/>
    </row>
    <row r="262" spans="2:9" customFormat="1">
      <c r="B262" s="32"/>
      <c r="C262" s="32"/>
      <c r="D262" s="32"/>
      <c r="E262" s="32"/>
      <c r="F262" s="32"/>
      <c r="G262" s="32"/>
      <c r="H262" s="32"/>
      <c r="I262" s="32"/>
    </row>
    <row r="263" spans="2:9" customFormat="1">
      <c r="B263" s="32"/>
      <c r="C263" s="32"/>
      <c r="D263" s="32"/>
      <c r="E263" s="32"/>
      <c r="F263" s="32"/>
      <c r="G263" s="32"/>
      <c r="H263" s="32"/>
      <c r="I263" s="32"/>
    </row>
    <row r="264" spans="2:9" customFormat="1">
      <c r="B264" s="32"/>
      <c r="C264" s="32"/>
      <c r="D264" s="32"/>
      <c r="E264" s="32"/>
      <c r="F264" s="32"/>
      <c r="G264" s="32"/>
      <c r="H264" s="32"/>
      <c r="I264" s="32"/>
    </row>
    <row r="265" spans="2:9" customFormat="1">
      <c r="B265" s="32"/>
      <c r="C265" s="32"/>
      <c r="D265" s="32"/>
      <c r="E265" s="32"/>
      <c r="F265" s="32"/>
      <c r="G265" s="32"/>
      <c r="H265" s="32"/>
      <c r="I265" s="32"/>
    </row>
    <row r="266" spans="2:9" customFormat="1">
      <c r="B266" s="32"/>
      <c r="C266" s="32"/>
      <c r="D266" s="32"/>
      <c r="E266" s="32"/>
      <c r="F266" s="32"/>
      <c r="G266" s="32"/>
      <c r="H266" s="32"/>
      <c r="I266" s="32"/>
    </row>
    <row r="267" spans="2:9" customFormat="1">
      <c r="B267" s="32"/>
      <c r="C267" s="32"/>
      <c r="D267" s="32"/>
      <c r="E267" s="32"/>
      <c r="F267" s="32"/>
      <c r="G267" s="32"/>
      <c r="H267" s="32"/>
      <c r="I267" s="32"/>
    </row>
    <row r="268" spans="2:9" customFormat="1">
      <c r="B268" s="32"/>
      <c r="C268" s="32"/>
      <c r="D268" s="32"/>
      <c r="E268" s="32"/>
      <c r="F268" s="32"/>
      <c r="G268" s="32"/>
      <c r="H268" s="32"/>
      <c r="I268" s="32"/>
    </row>
    <row r="269" spans="2:9" customFormat="1">
      <c r="B269" s="32"/>
      <c r="C269" s="32"/>
      <c r="D269" s="32"/>
      <c r="E269" s="32"/>
      <c r="F269" s="32"/>
      <c r="G269" s="32"/>
      <c r="H269" s="32"/>
      <c r="I269" s="32"/>
    </row>
    <row r="270" spans="2:9" customFormat="1">
      <c r="B270" s="32"/>
      <c r="C270" s="32"/>
      <c r="D270" s="32"/>
      <c r="E270" s="32"/>
      <c r="F270" s="32"/>
      <c r="G270" s="32"/>
      <c r="H270" s="32"/>
      <c r="I270" s="32"/>
    </row>
    <row r="271" spans="2:9" customFormat="1">
      <c r="B271" s="32"/>
      <c r="C271" s="32"/>
      <c r="D271" s="32"/>
      <c r="E271" s="32"/>
      <c r="F271" s="32"/>
      <c r="G271" s="32"/>
      <c r="H271" s="32"/>
      <c r="I271" s="32"/>
    </row>
    <row r="272" spans="2:9" customFormat="1">
      <c r="B272" s="32"/>
      <c r="C272" s="32"/>
      <c r="D272" s="32"/>
      <c r="E272" s="32"/>
      <c r="F272" s="32"/>
      <c r="G272" s="32"/>
      <c r="H272" s="32"/>
      <c r="I272" s="32"/>
    </row>
    <row r="273" spans="2:9" customFormat="1">
      <c r="B273" s="32"/>
      <c r="C273" s="32"/>
      <c r="D273" s="32"/>
      <c r="E273" s="32"/>
      <c r="F273" s="32"/>
      <c r="G273" s="32"/>
      <c r="H273" s="32"/>
      <c r="I273" s="32"/>
    </row>
    <row r="274" spans="2:9" customFormat="1">
      <c r="B274" s="32"/>
      <c r="C274" s="32"/>
      <c r="D274" s="32"/>
      <c r="E274" s="32"/>
      <c r="F274" s="32"/>
      <c r="G274" s="32"/>
      <c r="H274" s="32"/>
      <c r="I274" s="32"/>
    </row>
    <row r="275" spans="2:9" customFormat="1">
      <c r="B275" s="32"/>
      <c r="C275" s="32"/>
      <c r="D275" s="32"/>
      <c r="E275" s="32"/>
      <c r="F275" s="32"/>
      <c r="G275" s="32"/>
      <c r="H275" s="32"/>
      <c r="I275" s="32"/>
    </row>
    <row r="276" spans="2:9" customFormat="1">
      <c r="B276" s="32"/>
      <c r="C276" s="32"/>
      <c r="D276" s="32"/>
      <c r="E276" s="32"/>
      <c r="F276" s="32"/>
      <c r="G276" s="32"/>
      <c r="H276" s="32"/>
      <c r="I276" s="32"/>
    </row>
    <row r="277" spans="2:9" customFormat="1">
      <c r="B277" s="32"/>
      <c r="C277" s="32"/>
      <c r="D277" s="32"/>
      <c r="E277" s="32"/>
      <c r="F277" s="32"/>
      <c r="G277" s="32"/>
      <c r="H277" s="32"/>
      <c r="I277" s="32"/>
    </row>
    <row r="278" spans="2:9" customFormat="1">
      <c r="B278" s="32"/>
      <c r="C278" s="32"/>
      <c r="D278" s="32"/>
      <c r="E278" s="32"/>
      <c r="F278" s="32"/>
      <c r="G278" s="32"/>
      <c r="H278" s="32"/>
      <c r="I278" s="32"/>
    </row>
    <row r="279" spans="2:9" customFormat="1">
      <c r="B279" s="32"/>
      <c r="C279" s="32"/>
      <c r="D279" s="32"/>
      <c r="E279" s="32"/>
      <c r="F279" s="32"/>
      <c r="G279" s="32"/>
      <c r="H279" s="32"/>
      <c r="I279" s="32"/>
    </row>
    <row r="280" spans="2:9" customFormat="1">
      <c r="B280" s="32"/>
      <c r="C280" s="32"/>
      <c r="D280" s="32"/>
      <c r="E280" s="32"/>
      <c r="F280" s="32"/>
      <c r="G280" s="32"/>
      <c r="H280" s="32"/>
      <c r="I280" s="32"/>
    </row>
    <row r="281" spans="2:9" customFormat="1">
      <c r="B281" s="32"/>
      <c r="C281" s="32"/>
      <c r="D281" s="32"/>
      <c r="E281" s="32"/>
      <c r="F281" s="32"/>
      <c r="G281" s="32"/>
      <c r="H281" s="32"/>
      <c r="I281" s="32"/>
    </row>
    <row r="282" spans="2:9" customFormat="1">
      <c r="B282" s="32"/>
      <c r="C282" s="32"/>
      <c r="D282" s="32"/>
      <c r="E282" s="32"/>
      <c r="F282" s="32"/>
      <c r="G282" s="32"/>
      <c r="H282" s="32"/>
      <c r="I282" s="32"/>
    </row>
    <row r="283" spans="2:9" customFormat="1">
      <c r="B283" s="32"/>
      <c r="C283" s="32"/>
      <c r="D283" s="32"/>
      <c r="E283" s="32"/>
      <c r="F283" s="32"/>
      <c r="G283" s="32"/>
      <c r="H283" s="32"/>
      <c r="I283" s="32"/>
    </row>
    <row r="284" spans="2:9" customFormat="1">
      <c r="B284" s="32"/>
      <c r="C284" s="32"/>
      <c r="D284" s="32"/>
      <c r="E284" s="32"/>
      <c r="F284" s="32"/>
      <c r="G284" s="32"/>
      <c r="H284" s="32"/>
      <c r="I284" s="32"/>
    </row>
    <row r="285" spans="2:9" customFormat="1">
      <c r="B285" s="32"/>
      <c r="C285" s="32"/>
      <c r="D285" s="32"/>
      <c r="E285" s="32"/>
      <c r="F285" s="32"/>
      <c r="G285" s="32"/>
      <c r="H285" s="32"/>
      <c r="I285" s="32"/>
    </row>
    <row r="286" spans="2:9" customFormat="1">
      <c r="B286" s="32"/>
      <c r="C286" s="32"/>
      <c r="D286" s="32"/>
      <c r="E286" s="32"/>
      <c r="F286" s="32"/>
      <c r="G286" s="32"/>
      <c r="H286" s="32"/>
      <c r="I286" s="32"/>
    </row>
    <row r="287" spans="2:9" customFormat="1">
      <c r="B287" s="32"/>
      <c r="C287" s="32"/>
      <c r="D287" s="32"/>
      <c r="E287" s="32"/>
      <c r="F287" s="32"/>
      <c r="G287" s="32"/>
      <c r="H287" s="32"/>
      <c r="I287" s="32"/>
    </row>
    <row r="288" spans="2:9" customFormat="1">
      <c r="B288" s="32"/>
      <c r="C288" s="32"/>
      <c r="D288" s="32"/>
      <c r="E288" s="32"/>
      <c r="F288" s="32"/>
      <c r="G288" s="32"/>
      <c r="H288" s="32"/>
      <c r="I288" s="32"/>
    </row>
    <row r="289" spans="2:9" customFormat="1">
      <c r="B289" s="32"/>
      <c r="C289" s="32"/>
      <c r="D289" s="32"/>
      <c r="E289" s="32"/>
      <c r="F289" s="32"/>
      <c r="G289" s="32"/>
      <c r="H289" s="32"/>
      <c r="I289" s="32"/>
    </row>
    <row r="290" spans="2:9" customFormat="1">
      <c r="B290" s="32"/>
      <c r="C290" s="32"/>
      <c r="D290" s="32"/>
      <c r="E290" s="32"/>
      <c r="F290" s="32"/>
      <c r="G290" s="32"/>
      <c r="H290" s="32"/>
      <c r="I290" s="32"/>
    </row>
    <row r="291" spans="2:9" customFormat="1">
      <c r="B291" s="32"/>
      <c r="C291" s="32"/>
      <c r="D291" s="32"/>
      <c r="E291" s="32"/>
      <c r="F291" s="32"/>
      <c r="G291" s="32"/>
      <c r="H291" s="32"/>
      <c r="I291" s="32"/>
    </row>
    <row r="292" spans="2:9" customFormat="1">
      <c r="B292" s="32"/>
      <c r="C292" s="32"/>
      <c r="D292" s="32"/>
      <c r="E292" s="32"/>
      <c r="F292" s="32"/>
      <c r="G292" s="32"/>
      <c r="H292" s="32"/>
      <c r="I292" s="32"/>
    </row>
    <row r="293" spans="2:9" customFormat="1">
      <c r="B293" s="32"/>
      <c r="C293" s="32"/>
      <c r="D293" s="32"/>
      <c r="E293" s="32"/>
      <c r="F293" s="32"/>
      <c r="G293" s="32"/>
      <c r="H293" s="32"/>
      <c r="I293" s="32"/>
    </row>
    <row r="294" spans="2:9" customFormat="1">
      <c r="B294" s="32"/>
      <c r="C294" s="32"/>
      <c r="D294" s="32"/>
      <c r="E294" s="32"/>
      <c r="F294" s="32"/>
      <c r="G294" s="32"/>
      <c r="H294" s="32"/>
      <c r="I294" s="32"/>
    </row>
    <row r="295" spans="2:9" customFormat="1">
      <c r="B295" s="32"/>
      <c r="C295" s="32"/>
      <c r="D295" s="32"/>
      <c r="E295" s="32"/>
      <c r="F295" s="32"/>
      <c r="G295" s="32"/>
      <c r="H295" s="32"/>
      <c r="I295" s="32"/>
    </row>
    <row r="296" spans="2:9" customFormat="1">
      <c r="B296" s="32"/>
      <c r="C296" s="32"/>
      <c r="D296" s="32"/>
      <c r="E296" s="32"/>
      <c r="F296" s="32"/>
      <c r="G296" s="32"/>
      <c r="H296" s="32"/>
      <c r="I296" s="32"/>
    </row>
    <row r="297" spans="2:9" customFormat="1">
      <c r="B297" s="32"/>
      <c r="C297" s="32"/>
      <c r="D297" s="32"/>
      <c r="E297" s="32"/>
      <c r="F297" s="32"/>
      <c r="G297" s="32"/>
      <c r="H297" s="32"/>
      <c r="I297" s="32"/>
    </row>
    <row r="298" spans="2:9" customFormat="1">
      <c r="B298" s="32"/>
      <c r="C298" s="32"/>
      <c r="D298" s="32"/>
      <c r="E298" s="32"/>
      <c r="F298" s="32"/>
      <c r="G298" s="32"/>
      <c r="H298" s="32"/>
      <c r="I298" s="32"/>
    </row>
    <row r="299" spans="2:9" customFormat="1">
      <c r="B299" s="32"/>
      <c r="C299" s="32"/>
      <c r="D299" s="32"/>
      <c r="E299" s="32"/>
      <c r="F299" s="32"/>
      <c r="G299" s="32"/>
      <c r="H299" s="32"/>
      <c r="I299" s="32"/>
    </row>
    <row r="300" spans="2:9" customFormat="1">
      <c r="B300" s="32"/>
      <c r="C300" s="32"/>
      <c r="D300" s="32"/>
      <c r="E300" s="32"/>
      <c r="F300" s="32"/>
      <c r="G300" s="32"/>
      <c r="H300" s="32"/>
      <c r="I300" s="32"/>
    </row>
    <row r="301" spans="2:9" customFormat="1">
      <c r="B301" s="32"/>
      <c r="C301" s="32"/>
      <c r="D301" s="32"/>
      <c r="E301" s="32"/>
      <c r="F301" s="32"/>
      <c r="G301" s="32"/>
      <c r="H301" s="32"/>
      <c r="I301" s="32"/>
    </row>
    <row r="302" spans="2:9" customFormat="1">
      <c r="B302" s="32"/>
      <c r="C302" s="32"/>
      <c r="D302" s="32"/>
      <c r="E302" s="32"/>
      <c r="F302" s="32"/>
      <c r="G302" s="32"/>
      <c r="H302" s="32"/>
      <c r="I302" s="32"/>
    </row>
    <row r="303" spans="2:9" customFormat="1">
      <c r="B303" s="32"/>
      <c r="C303" s="32"/>
      <c r="D303" s="32"/>
      <c r="E303" s="32"/>
      <c r="F303" s="32"/>
      <c r="G303" s="32"/>
      <c r="H303" s="32"/>
      <c r="I303" s="32"/>
    </row>
    <row r="304" spans="2:9" customFormat="1">
      <c r="B304" s="32"/>
      <c r="C304" s="32"/>
      <c r="D304" s="32"/>
      <c r="E304" s="32"/>
      <c r="F304" s="32"/>
      <c r="G304" s="32"/>
      <c r="H304" s="32"/>
      <c r="I304" s="32"/>
    </row>
    <row r="305" spans="2:9" customFormat="1">
      <c r="B305" s="32"/>
      <c r="C305" s="32"/>
      <c r="D305" s="32"/>
      <c r="E305" s="32"/>
      <c r="F305" s="32"/>
      <c r="G305" s="32"/>
      <c r="H305" s="32"/>
      <c r="I305" s="32"/>
    </row>
    <row r="306" spans="2:9" customFormat="1">
      <c r="B306" s="32"/>
      <c r="C306" s="32"/>
      <c r="D306" s="32"/>
      <c r="E306" s="32"/>
      <c r="F306" s="32"/>
      <c r="G306" s="32"/>
      <c r="H306" s="32"/>
      <c r="I306" s="32"/>
    </row>
    <row r="307" spans="2:9" customFormat="1">
      <c r="B307" s="32"/>
      <c r="C307" s="32"/>
      <c r="D307" s="32"/>
      <c r="E307" s="32"/>
      <c r="F307" s="32"/>
      <c r="G307" s="32"/>
      <c r="H307" s="32"/>
      <c r="I307" s="32"/>
    </row>
    <row r="308" spans="2:9" customFormat="1">
      <c r="B308" s="32"/>
      <c r="C308" s="32"/>
      <c r="D308" s="32"/>
      <c r="E308" s="32"/>
      <c r="F308" s="32"/>
      <c r="G308" s="32"/>
      <c r="H308" s="32"/>
      <c r="I308" s="32"/>
    </row>
    <row r="309" spans="2:9" customFormat="1">
      <c r="B309" s="32"/>
      <c r="C309" s="32"/>
      <c r="D309" s="32"/>
      <c r="E309" s="32"/>
      <c r="F309" s="32"/>
      <c r="G309" s="32"/>
      <c r="H309" s="32"/>
      <c r="I309" s="32"/>
    </row>
    <row r="310" spans="2:9" customFormat="1">
      <c r="B310" s="32"/>
      <c r="C310" s="32"/>
      <c r="D310" s="32"/>
      <c r="E310" s="32"/>
      <c r="F310" s="32"/>
      <c r="G310" s="32"/>
      <c r="H310" s="32"/>
      <c r="I310" s="32"/>
    </row>
    <row r="311" spans="2:9" customFormat="1">
      <c r="B311" s="32"/>
      <c r="C311" s="32"/>
      <c r="D311" s="32"/>
      <c r="E311" s="32"/>
      <c r="F311" s="32"/>
      <c r="G311" s="32"/>
      <c r="H311" s="32"/>
      <c r="I311" s="32"/>
    </row>
    <row r="312" spans="2:9" customFormat="1">
      <c r="B312" s="32"/>
      <c r="C312" s="32"/>
      <c r="D312" s="32"/>
      <c r="E312" s="32"/>
      <c r="F312" s="32"/>
      <c r="G312" s="32"/>
      <c r="H312" s="32"/>
      <c r="I312" s="32"/>
    </row>
    <row r="313" spans="2:9" customFormat="1">
      <c r="B313" s="32"/>
      <c r="C313" s="32"/>
      <c r="D313" s="32"/>
      <c r="E313" s="32"/>
      <c r="F313" s="32"/>
      <c r="G313" s="32"/>
      <c r="H313" s="32"/>
      <c r="I313" s="32"/>
    </row>
    <row r="314" spans="2:9" customFormat="1">
      <c r="B314" s="32"/>
      <c r="C314" s="32"/>
      <c r="D314" s="32"/>
      <c r="E314" s="32"/>
      <c r="F314" s="32"/>
      <c r="G314" s="32"/>
      <c r="H314" s="32"/>
      <c r="I314" s="32"/>
    </row>
    <row r="315" spans="2:9" customFormat="1">
      <c r="B315" s="32"/>
      <c r="C315" s="32"/>
      <c r="D315" s="32"/>
      <c r="E315" s="32"/>
      <c r="F315" s="32"/>
      <c r="G315" s="32"/>
      <c r="H315" s="32"/>
      <c r="I315" s="32"/>
    </row>
    <row r="316" spans="2:9" customFormat="1">
      <c r="B316" s="32"/>
      <c r="C316" s="32"/>
      <c r="D316" s="32"/>
      <c r="E316" s="32"/>
      <c r="F316" s="32"/>
      <c r="G316" s="32"/>
      <c r="H316" s="32"/>
      <c r="I316" s="32"/>
    </row>
    <row r="317" spans="2:9" customFormat="1">
      <c r="B317" s="32"/>
      <c r="C317" s="32"/>
      <c r="D317" s="32"/>
      <c r="E317" s="32"/>
      <c r="F317" s="32"/>
      <c r="G317" s="32"/>
      <c r="H317" s="32"/>
      <c r="I317" s="32"/>
    </row>
    <row r="318" spans="2:9" customFormat="1">
      <c r="B318" s="32"/>
      <c r="C318" s="32"/>
      <c r="D318" s="32"/>
      <c r="E318" s="32"/>
      <c r="F318" s="32"/>
      <c r="G318" s="32"/>
      <c r="H318" s="32"/>
      <c r="I318" s="32"/>
    </row>
    <row r="319" spans="2:9" customFormat="1">
      <c r="B319" s="32"/>
      <c r="C319" s="32"/>
      <c r="D319" s="32"/>
      <c r="E319" s="32"/>
      <c r="F319" s="32"/>
      <c r="G319" s="32"/>
      <c r="H319" s="32"/>
      <c r="I319" s="32"/>
    </row>
    <row r="320" spans="2:9" customFormat="1">
      <c r="B320" s="32"/>
      <c r="C320" s="32"/>
      <c r="D320" s="32"/>
      <c r="E320" s="32"/>
      <c r="F320" s="32"/>
      <c r="G320" s="32"/>
      <c r="H320" s="32"/>
      <c r="I320" s="32"/>
    </row>
    <row r="321" spans="2:9" customFormat="1">
      <c r="B321" s="32"/>
      <c r="C321" s="32"/>
      <c r="D321" s="32"/>
      <c r="E321" s="32"/>
      <c r="F321" s="32"/>
      <c r="G321" s="32"/>
      <c r="H321" s="32"/>
      <c r="I321" s="32"/>
    </row>
    <row r="322" spans="2:9" customFormat="1">
      <c r="B322" s="32"/>
      <c r="C322" s="32"/>
      <c r="D322" s="32"/>
      <c r="E322" s="32"/>
      <c r="F322" s="32"/>
      <c r="G322" s="32"/>
      <c r="H322" s="32"/>
      <c r="I322" s="32"/>
    </row>
    <row r="323" spans="2:9" customFormat="1">
      <c r="B323" s="32"/>
      <c r="C323" s="32"/>
      <c r="D323" s="32"/>
      <c r="E323" s="32"/>
      <c r="F323" s="32"/>
      <c r="G323" s="32"/>
      <c r="H323" s="32"/>
      <c r="I323" s="32"/>
    </row>
    <row r="324" spans="2:9" customFormat="1">
      <c r="B324" s="32"/>
      <c r="C324" s="32"/>
      <c r="D324" s="32"/>
      <c r="E324" s="32"/>
      <c r="F324" s="32"/>
      <c r="G324" s="32"/>
      <c r="H324" s="32"/>
      <c r="I324" s="32"/>
    </row>
    <row r="325" spans="2:9" customFormat="1">
      <c r="B325" s="32"/>
      <c r="C325" s="32"/>
      <c r="D325" s="32"/>
      <c r="E325" s="32"/>
      <c r="F325" s="32"/>
      <c r="G325" s="32"/>
      <c r="H325" s="32"/>
      <c r="I325" s="32"/>
    </row>
    <row r="326" spans="2:9" customFormat="1">
      <c r="B326" s="32"/>
      <c r="C326" s="32"/>
      <c r="D326" s="32"/>
      <c r="E326" s="32"/>
      <c r="F326" s="32"/>
      <c r="G326" s="32"/>
      <c r="H326" s="32"/>
      <c r="I326" s="32"/>
    </row>
    <row r="327" spans="2:9" customFormat="1">
      <c r="B327" s="32"/>
      <c r="C327" s="32"/>
      <c r="D327" s="32"/>
      <c r="E327" s="32"/>
      <c r="F327" s="32"/>
      <c r="G327" s="32"/>
      <c r="H327" s="32"/>
      <c r="I327" s="32"/>
    </row>
    <row r="328" spans="2:9" customFormat="1">
      <c r="B328" s="32"/>
      <c r="C328" s="32"/>
      <c r="D328" s="32"/>
      <c r="E328" s="32"/>
      <c r="F328" s="32"/>
      <c r="G328" s="32"/>
      <c r="H328" s="32"/>
      <c r="I328" s="32"/>
    </row>
    <row r="329" spans="2:9" customFormat="1">
      <c r="B329" s="32"/>
      <c r="C329" s="32"/>
      <c r="D329" s="32"/>
      <c r="E329" s="32"/>
      <c r="F329" s="32"/>
      <c r="G329" s="32"/>
      <c r="H329" s="32"/>
      <c r="I329" s="32"/>
    </row>
    <row r="330" spans="2:9" customFormat="1">
      <c r="B330" s="32"/>
      <c r="C330" s="32"/>
      <c r="D330" s="32"/>
      <c r="E330" s="32"/>
      <c r="F330" s="32"/>
      <c r="G330" s="32"/>
      <c r="H330" s="32"/>
      <c r="I330" s="32"/>
    </row>
    <row r="331" spans="2:9" customFormat="1">
      <c r="B331" s="32"/>
      <c r="C331" s="32"/>
      <c r="D331" s="32"/>
      <c r="E331" s="32"/>
      <c r="F331" s="32"/>
      <c r="G331" s="32"/>
      <c r="H331" s="32"/>
      <c r="I331" s="32"/>
    </row>
    <row r="332" spans="2:9" customFormat="1">
      <c r="B332" s="32"/>
      <c r="C332" s="32"/>
      <c r="D332" s="32"/>
      <c r="E332" s="32"/>
      <c r="F332" s="32"/>
      <c r="G332" s="32"/>
      <c r="H332" s="32"/>
      <c r="I332" s="32"/>
    </row>
    <row r="333" spans="2:9" customFormat="1">
      <c r="B333" s="32"/>
      <c r="C333" s="32"/>
      <c r="D333" s="32"/>
      <c r="E333" s="32"/>
      <c r="F333" s="32"/>
      <c r="G333" s="32"/>
      <c r="H333" s="32"/>
      <c r="I333" s="32"/>
    </row>
    <row r="334" spans="2:9" customFormat="1">
      <c r="B334" s="32"/>
      <c r="C334" s="32"/>
      <c r="D334" s="32"/>
      <c r="E334" s="32"/>
      <c r="F334" s="32"/>
      <c r="G334" s="32"/>
      <c r="H334" s="32"/>
      <c r="I334" s="32"/>
    </row>
    <row r="335" spans="2:9" customFormat="1">
      <c r="B335" s="32"/>
      <c r="C335" s="32"/>
      <c r="D335" s="32"/>
      <c r="E335" s="32"/>
      <c r="F335" s="32"/>
      <c r="G335" s="32"/>
      <c r="H335" s="32"/>
      <c r="I335" s="32"/>
    </row>
    <row r="336" spans="2:9" customFormat="1">
      <c r="B336" s="32"/>
      <c r="C336" s="32"/>
      <c r="D336" s="32"/>
      <c r="E336" s="32"/>
      <c r="F336" s="32"/>
      <c r="G336" s="32"/>
      <c r="H336" s="32"/>
      <c r="I336" s="32"/>
    </row>
    <row r="337" spans="2:9" customFormat="1">
      <c r="B337" s="32"/>
      <c r="C337" s="32"/>
      <c r="D337" s="32"/>
      <c r="E337" s="32"/>
      <c r="F337" s="32"/>
      <c r="G337" s="32"/>
      <c r="H337" s="32"/>
      <c r="I337" s="32"/>
    </row>
    <row r="338" spans="2:9" customFormat="1">
      <c r="B338" s="32"/>
      <c r="C338" s="32"/>
      <c r="D338" s="32"/>
      <c r="E338" s="32"/>
      <c r="F338" s="32"/>
      <c r="G338" s="32"/>
      <c r="H338" s="32"/>
      <c r="I338" s="32"/>
    </row>
    <row r="339" spans="2:9" customFormat="1">
      <c r="B339" s="32"/>
      <c r="C339" s="32"/>
      <c r="D339" s="32"/>
      <c r="E339" s="32"/>
      <c r="F339" s="32"/>
      <c r="G339" s="32"/>
      <c r="H339" s="32"/>
      <c r="I339" s="32"/>
    </row>
    <row r="340" spans="2:9" customFormat="1">
      <c r="B340" s="32"/>
      <c r="C340" s="32"/>
      <c r="D340" s="32"/>
      <c r="E340" s="32"/>
      <c r="F340" s="32"/>
      <c r="G340" s="32"/>
      <c r="H340" s="32"/>
      <c r="I340" s="32"/>
    </row>
    <row r="341" spans="2:9" customFormat="1">
      <c r="B341" s="32"/>
      <c r="C341" s="32"/>
      <c r="D341" s="32"/>
      <c r="E341" s="32"/>
      <c r="F341" s="32"/>
      <c r="G341" s="32"/>
      <c r="H341" s="32"/>
      <c r="I341" s="32"/>
    </row>
    <row r="342" spans="2:9" customFormat="1">
      <c r="B342" s="32"/>
      <c r="C342" s="32"/>
      <c r="D342" s="32"/>
      <c r="E342" s="32"/>
      <c r="F342" s="32"/>
      <c r="G342" s="32"/>
      <c r="H342" s="32"/>
      <c r="I342" s="32"/>
    </row>
    <row r="343" spans="2:9" customFormat="1">
      <c r="B343" s="32"/>
      <c r="C343" s="32"/>
      <c r="D343" s="32"/>
      <c r="E343" s="32"/>
      <c r="F343" s="32"/>
      <c r="G343" s="32"/>
      <c r="H343" s="32"/>
      <c r="I343" s="32"/>
    </row>
    <row r="344" spans="2:9" customFormat="1">
      <c r="B344" s="32"/>
      <c r="C344" s="32"/>
      <c r="D344" s="32"/>
      <c r="E344" s="32"/>
      <c r="F344" s="32"/>
      <c r="G344" s="32"/>
      <c r="H344" s="32"/>
      <c r="I344" s="32"/>
    </row>
    <row r="345" spans="2:9" customFormat="1">
      <c r="B345" s="32"/>
      <c r="C345" s="32"/>
      <c r="D345" s="32"/>
      <c r="E345" s="32"/>
      <c r="F345" s="32"/>
      <c r="G345" s="32"/>
      <c r="H345" s="32"/>
      <c r="I345" s="32"/>
    </row>
    <row r="346" spans="2:9" customFormat="1">
      <c r="B346" s="32"/>
      <c r="C346" s="32"/>
      <c r="D346" s="32"/>
      <c r="E346" s="32"/>
      <c r="F346" s="32"/>
      <c r="G346" s="32"/>
      <c r="H346" s="32"/>
      <c r="I346" s="32"/>
    </row>
    <row r="347" spans="2:9" customFormat="1">
      <c r="B347" s="32"/>
      <c r="C347" s="32"/>
      <c r="D347" s="32"/>
      <c r="E347" s="32"/>
      <c r="F347" s="32"/>
      <c r="G347" s="32"/>
      <c r="H347" s="32"/>
      <c r="I347" s="32"/>
    </row>
    <row r="348" spans="2:9" customFormat="1">
      <c r="B348" s="32"/>
      <c r="C348" s="32"/>
      <c r="D348" s="32"/>
      <c r="E348" s="32"/>
      <c r="F348" s="32"/>
      <c r="G348" s="32"/>
      <c r="H348" s="32"/>
      <c r="I348" s="32"/>
    </row>
    <row r="349" spans="2:9" customFormat="1">
      <c r="B349" s="32"/>
      <c r="C349" s="32"/>
      <c r="D349" s="32"/>
      <c r="E349" s="32"/>
      <c r="F349" s="32"/>
      <c r="G349" s="32"/>
      <c r="H349" s="32"/>
      <c r="I349" s="32"/>
    </row>
    <row r="350" spans="2:9" customFormat="1">
      <c r="B350" s="32"/>
      <c r="C350" s="32"/>
      <c r="D350" s="32"/>
      <c r="E350" s="32"/>
      <c r="F350" s="32"/>
      <c r="G350" s="32"/>
      <c r="H350" s="32"/>
      <c r="I350" s="32"/>
    </row>
    <row r="351" spans="2:9" customFormat="1">
      <c r="B351" s="32"/>
      <c r="C351" s="32"/>
      <c r="D351" s="32"/>
      <c r="E351" s="32"/>
      <c r="F351" s="32"/>
      <c r="G351" s="32"/>
      <c r="H351" s="32"/>
      <c r="I351" s="32"/>
    </row>
    <row r="352" spans="2:9" customFormat="1">
      <c r="B352" s="32"/>
      <c r="C352" s="32"/>
      <c r="D352" s="32"/>
      <c r="E352" s="32"/>
      <c r="F352" s="32"/>
      <c r="G352" s="32"/>
      <c r="H352" s="32"/>
      <c r="I352" s="32"/>
    </row>
    <row r="353" spans="2:9" customFormat="1">
      <c r="B353" s="32"/>
      <c r="C353" s="32"/>
      <c r="D353" s="32"/>
      <c r="E353" s="32"/>
      <c r="F353" s="32"/>
      <c r="G353" s="32"/>
      <c r="H353" s="32"/>
      <c r="I353" s="32"/>
    </row>
    <row r="354" spans="2:9" customFormat="1">
      <c r="B354" s="32"/>
      <c r="C354" s="32"/>
      <c r="D354" s="32"/>
      <c r="E354" s="32"/>
      <c r="F354" s="32"/>
      <c r="G354" s="32"/>
      <c r="H354" s="32"/>
      <c r="I354" s="32"/>
    </row>
    <row r="355" spans="2:9" customFormat="1">
      <c r="B355" s="32"/>
      <c r="C355" s="32"/>
      <c r="D355" s="32"/>
      <c r="E355" s="32"/>
      <c r="F355" s="32"/>
      <c r="G355" s="32"/>
      <c r="H355" s="32"/>
      <c r="I355" s="32"/>
    </row>
    <row r="356" spans="2:9" customFormat="1">
      <c r="B356" s="32"/>
      <c r="C356" s="32"/>
      <c r="D356" s="32"/>
      <c r="E356" s="32"/>
      <c r="F356" s="32"/>
      <c r="G356" s="32"/>
      <c r="H356" s="32"/>
      <c r="I356" s="32"/>
    </row>
    <row r="357" spans="2:9" customFormat="1">
      <c r="B357" s="32"/>
      <c r="C357" s="32"/>
      <c r="D357" s="32"/>
      <c r="E357" s="32"/>
      <c r="F357" s="32"/>
      <c r="G357" s="32"/>
      <c r="H357" s="32"/>
      <c r="I357" s="32"/>
    </row>
    <row r="358" spans="2:9" customFormat="1">
      <c r="B358" s="32"/>
      <c r="C358" s="32"/>
      <c r="D358" s="32"/>
      <c r="E358" s="32"/>
      <c r="F358" s="32"/>
      <c r="G358" s="32"/>
      <c r="H358" s="32"/>
      <c r="I358" s="32"/>
    </row>
    <row r="359" spans="2:9" customFormat="1">
      <c r="B359" s="32"/>
      <c r="C359" s="32"/>
      <c r="D359" s="32"/>
      <c r="E359" s="32"/>
      <c r="F359" s="32"/>
      <c r="G359" s="32"/>
      <c r="H359" s="32"/>
      <c r="I359" s="32"/>
    </row>
    <row r="360" spans="2:9" customFormat="1">
      <c r="B360" s="32"/>
      <c r="C360" s="32"/>
      <c r="D360" s="32"/>
      <c r="E360" s="32"/>
      <c r="F360" s="32"/>
      <c r="G360" s="32"/>
      <c r="H360" s="32"/>
      <c r="I360" s="32"/>
    </row>
    <row r="361" spans="2:9" customFormat="1">
      <c r="B361" s="32"/>
      <c r="C361" s="32"/>
      <c r="D361" s="32"/>
      <c r="E361" s="32"/>
      <c r="F361" s="32"/>
      <c r="G361" s="32"/>
      <c r="H361" s="32"/>
      <c r="I361" s="32"/>
    </row>
    <row r="362" spans="2:9" customFormat="1">
      <c r="B362" s="32"/>
      <c r="C362" s="32"/>
      <c r="D362" s="32"/>
      <c r="E362" s="32"/>
      <c r="F362" s="32"/>
      <c r="G362" s="32"/>
      <c r="H362" s="32"/>
      <c r="I362" s="32"/>
    </row>
    <row r="363" spans="2:9" customFormat="1">
      <c r="B363" s="32"/>
      <c r="C363" s="32"/>
      <c r="D363" s="32"/>
      <c r="E363" s="32"/>
      <c r="F363" s="32"/>
      <c r="G363" s="32"/>
      <c r="H363" s="32"/>
      <c r="I363" s="32"/>
    </row>
    <row r="364" spans="2:9" customFormat="1">
      <c r="B364" s="32"/>
      <c r="C364" s="32"/>
      <c r="D364" s="32"/>
      <c r="E364" s="32"/>
      <c r="F364" s="32"/>
      <c r="G364" s="32"/>
      <c r="H364" s="32"/>
      <c r="I364" s="32"/>
    </row>
    <row r="365" spans="2:9" customFormat="1">
      <c r="B365" s="32"/>
      <c r="C365" s="32"/>
      <c r="D365" s="32"/>
      <c r="E365" s="32"/>
      <c r="F365" s="32"/>
      <c r="G365" s="32"/>
      <c r="H365" s="32"/>
      <c r="I365" s="32"/>
    </row>
    <row r="366" spans="2:9" customFormat="1">
      <c r="B366" s="32"/>
      <c r="C366" s="32"/>
      <c r="D366" s="32"/>
      <c r="E366" s="32"/>
      <c r="F366" s="32"/>
      <c r="G366" s="32"/>
      <c r="H366" s="32"/>
      <c r="I366" s="32"/>
    </row>
    <row r="367" spans="2:9" customFormat="1">
      <c r="B367" s="32"/>
      <c r="C367" s="32"/>
      <c r="D367" s="32"/>
      <c r="E367" s="32"/>
      <c r="F367" s="32"/>
      <c r="G367" s="32"/>
      <c r="H367" s="32"/>
      <c r="I367" s="32"/>
    </row>
    <row r="368" spans="2:9" customFormat="1">
      <c r="B368" s="32"/>
      <c r="C368" s="32"/>
      <c r="D368" s="32"/>
      <c r="E368" s="32"/>
      <c r="F368" s="32"/>
      <c r="G368" s="32"/>
      <c r="H368" s="32"/>
      <c r="I368" s="32"/>
    </row>
    <row r="369" spans="2:9" customFormat="1">
      <c r="B369" s="32"/>
      <c r="C369" s="32"/>
      <c r="D369" s="32"/>
      <c r="E369" s="32"/>
      <c r="F369" s="32"/>
      <c r="G369" s="32"/>
      <c r="H369" s="32"/>
      <c r="I369" s="32"/>
    </row>
    <row r="370" spans="2:9" customFormat="1">
      <c r="B370" s="32"/>
      <c r="C370" s="32"/>
      <c r="D370" s="32"/>
      <c r="E370" s="32"/>
      <c r="F370" s="32"/>
      <c r="G370" s="32"/>
      <c r="H370" s="32"/>
      <c r="I370" s="32"/>
    </row>
    <row r="371" spans="2:9" customFormat="1">
      <c r="B371" s="32"/>
      <c r="C371" s="32"/>
      <c r="D371" s="32"/>
      <c r="E371" s="32"/>
      <c r="F371" s="32"/>
      <c r="G371" s="32"/>
      <c r="H371" s="32"/>
      <c r="I371" s="32"/>
    </row>
    <row r="372" spans="2:9" customFormat="1">
      <c r="B372" s="32"/>
      <c r="C372" s="32"/>
      <c r="D372" s="32"/>
      <c r="E372" s="32"/>
      <c r="F372" s="32"/>
      <c r="G372" s="32"/>
      <c r="H372" s="32"/>
      <c r="I372" s="32"/>
    </row>
    <row r="373" spans="2:9" customFormat="1">
      <c r="B373" s="32"/>
      <c r="C373" s="32"/>
      <c r="D373" s="32"/>
      <c r="E373" s="32"/>
      <c r="F373" s="32"/>
      <c r="G373" s="32"/>
      <c r="H373" s="32"/>
      <c r="I373" s="32"/>
    </row>
    <row r="374" spans="2:9" customFormat="1">
      <c r="B374" s="32"/>
      <c r="C374" s="32"/>
      <c r="D374" s="32"/>
      <c r="E374" s="32"/>
      <c r="F374" s="32"/>
      <c r="G374" s="32"/>
      <c r="H374" s="32"/>
      <c r="I374" s="32"/>
    </row>
    <row r="375" spans="2:9" customFormat="1">
      <c r="B375" s="32"/>
      <c r="C375" s="32"/>
      <c r="D375" s="32"/>
      <c r="E375" s="32"/>
      <c r="F375" s="32"/>
      <c r="G375" s="32"/>
      <c r="H375" s="32"/>
      <c r="I375" s="32"/>
    </row>
    <row r="376" spans="2:9" customFormat="1">
      <c r="B376" s="32"/>
      <c r="C376" s="32"/>
      <c r="D376" s="32"/>
      <c r="E376" s="32"/>
      <c r="F376" s="32"/>
      <c r="G376" s="32"/>
      <c r="H376" s="32"/>
      <c r="I376" s="32"/>
    </row>
    <row r="377" spans="2:9" customFormat="1">
      <c r="B377" s="32"/>
      <c r="C377" s="32"/>
      <c r="D377" s="32"/>
      <c r="E377" s="32"/>
      <c r="F377" s="32"/>
      <c r="G377" s="32"/>
      <c r="H377" s="32"/>
      <c r="I377" s="32"/>
    </row>
    <row r="378" spans="2:9" customFormat="1">
      <c r="B378" s="32"/>
      <c r="C378" s="32"/>
      <c r="D378" s="32"/>
      <c r="E378" s="32"/>
      <c r="F378" s="32"/>
      <c r="G378" s="32"/>
      <c r="H378" s="32"/>
      <c r="I378" s="32"/>
    </row>
    <row r="379" spans="2:9" customFormat="1">
      <c r="B379" s="32"/>
      <c r="C379" s="32"/>
      <c r="D379" s="32"/>
      <c r="E379" s="32"/>
      <c r="F379" s="32"/>
      <c r="G379" s="32"/>
      <c r="H379" s="32"/>
      <c r="I379" s="32"/>
    </row>
    <row r="380" spans="2:9" customFormat="1">
      <c r="B380" s="32"/>
      <c r="C380" s="32"/>
      <c r="D380" s="32"/>
      <c r="E380" s="32"/>
      <c r="F380" s="32"/>
      <c r="G380" s="32"/>
      <c r="H380" s="32"/>
      <c r="I380" s="32"/>
    </row>
    <row r="381" spans="2:9" customFormat="1">
      <c r="B381" s="32"/>
      <c r="C381" s="32"/>
      <c r="D381" s="32"/>
      <c r="E381" s="32"/>
      <c r="F381" s="32"/>
      <c r="G381" s="32"/>
      <c r="H381" s="32"/>
      <c r="I381" s="32"/>
    </row>
    <row r="382" spans="2:9" customFormat="1">
      <c r="B382" s="32"/>
      <c r="C382" s="32"/>
      <c r="D382" s="32"/>
      <c r="E382" s="32"/>
      <c r="F382" s="32"/>
      <c r="G382" s="32"/>
      <c r="H382" s="32"/>
      <c r="I382" s="32"/>
    </row>
    <row r="383" spans="2:9" customFormat="1">
      <c r="B383" s="32"/>
      <c r="C383" s="32"/>
      <c r="D383" s="32"/>
      <c r="E383" s="32"/>
      <c r="F383" s="32"/>
      <c r="G383" s="32"/>
      <c r="H383" s="32"/>
      <c r="I383" s="32"/>
    </row>
    <row r="384" spans="2:9" customFormat="1">
      <c r="B384" s="32"/>
      <c r="C384" s="32"/>
      <c r="D384" s="32"/>
      <c r="E384" s="32"/>
      <c r="F384" s="32"/>
      <c r="G384" s="32"/>
      <c r="H384" s="32"/>
      <c r="I384" s="32"/>
    </row>
    <row r="385" spans="2:9" customFormat="1">
      <c r="B385" s="32"/>
      <c r="C385" s="32"/>
      <c r="D385" s="32"/>
      <c r="E385" s="32"/>
      <c r="F385" s="32"/>
      <c r="G385" s="32"/>
      <c r="H385" s="32"/>
      <c r="I385" s="32"/>
    </row>
    <row r="386" spans="2:9" customFormat="1">
      <c r="B386" s="32"/>
      <c r="C386" s="32"/>
      <c r="D386" s="32"/>
      <c r="E386" s="32"/>
      <c r="F386" s="32"/>
      <c r="G386" s="32"/>
      <c r="H386" s="32"/>
      <c r="I386" s="32"/>
    </row>
    <row r="387" spans="2:9" customFormat="1">
      <c r="B387" s="32"/>
      <c r="C387" s="32"/>
      <c r="D387" s="32"/>
      <c r="E387" s="32"/>
      <c r="F387" s="32"/>
      <c r="G387" s="32"/>
      <c r="H387" s="32"/>
      <c r="I387" s="32"/>
    </row>
    <row r="388" spans="2:9" customFormat="1">
      <c r="B388" s="32"/>
      <c r="C388" s="32"/>
      <c r="D388" s="32"/>
      <c r="E388" s="32"/>
      <c r="F388" s="32"/>
      <c r="G388" s="32"/>
      <c r="H388" s="32"/>
      <c r="I388" s="32"/>
    </row>
    <row r="389" spans="2:9" customFormat="1">
      <c r="B389" s="32"/>
      <c r="C389" s="32"/>
      <c r="D389" s="32"/>
      <c r="E389" s="32"/>
      <c r="F389" s="32"/>
      <c r="G389" s="32"/>
      <c r="H389" s="32"/>
      <c r="I389" s="32"/>
    </row>
    <row r="390" spans="2:9" customFormat="1">
      <c r="B390" s="32"/>
      <c r="C390" s="32"/>
      <c r="D390" s="32"/>
      <c r="E390" s="32"/>
      <c r="F390" s="32"/>
      <c r="G390" s="32"/>
      <c r="H390" s="32"/>
      <c r="I390" s="32"/>
    </row>
    <row r="391" spans="2:9" customFormat="1">
      <c r="B391" s="32"/>
      <c r="C391" s="32"/>
      <c r="D391" s="32"/>
      <c r="E391" s="32"/>
      <c r="F391" s="32"/>
      <c r="G391" s="32"/>
      <c r="H391" s="32"/>
      <c r="I391" s="32"/>
    </row>
    <row r="392" spans="2:9" customFormat="1">
      <c r="B392" s="32"/>
      <c r="C392" s="32"/>
      <c r="D392" s="32"/>
      <c r="E392" s="32"/>
      <c r="F392" s="32"/>
      <c r="G392" s="32"/>
      <c r="H392" s="32"/>
      <c r="I392" s="32"/>
    </row>
    <row r="393" spans="2:9" customFormat="1">
      <c r="B393" s="32"/>
      <c r="C393" s="32"/>
      <c r="D393" s="32"/>
      <c r="E393" s="32"/>
      <c r="F393" s="32"/>
      <c r="G393" s="32"/>
      <c r="H393" s="32"/>
      <c r="I393" s="32"/>
    </row>
    <row r="394" spans="2:9" customFormat="1">
      <c r="B394" s="32"/>
      <c r="C394" s="32"/>
      <c r="D394" s="32"/>
      <c r="E394" s="32"/>
      <c r="F394" s="32"/>
      <c r="G394" s="32"/>
      <c r="H394" s="32"/>
      <c r="I394" s="32"/>
    </row>
    <row r="395" spans="2:9" customFormat="1">
      <c r="B395" s="32"/>
      <c r="C395" s="32"/>
      <c r="D395" s="32"/>
      <c r="E395" s="32"/>
      <c r="F395" s="32"/>
      <c r="G395" s="32"/>
      <c r="H395" s="32"/>
      <c r="I395" s="32"/>
    </row>
    <row r="396" spans="2:9" customFormat="1">
      <c r="B396" s="32"/>
      <c r="C396" s="32"/>
      <c r="D396" s="32"/>
      <c r="E396" s="32"/>
      <c r="F396" s="32"/>
      <c r="G396" s="32"/>
      <c r="H396" s="32"/>
      <c r="I396" s="32"/>
    </row>
    <row r="397" spans="2:9" customFormat="1">
      <c r="B397" s="32"/>
      <c r="C397" s="32"/>
      <c r="D397" s="32"/>
      <c r="E397" s="32"/>
      <c r="F397" s="32"/>
      <c r="G397" s="32"/>
      <c r="H397" s="32"/>
      <c r="I397" s="32"/>
    </row>
    <row r="398" spans="2:9" customFormat="1">
      <c r="B398" s="32"/>
      <c r="C398" s="32"/>
      <c r="D398" s="32"/>
      <c r="E398" s="32"/>
      <c r="F398" s="32"/>
      <c r="G398" s="32"/>
      <c r="H398" s="32"/>
      <c r="I398" s="32"/>
    </row>
    <row r="399" spans="2:9" customFormat="1">
      <c r="B399" s="32"/>
      <c r="C399" s="32"/>
      <c r="D399" s="32"/>
      <c r="E399" s="32"/>
      <c r="F399" s="32"/>
      <c r="G399" s="32"/>
      <c r="H399" s="32"/>
      <c r="I399" s="32"/>
    </row>
    <row r="400" spans="2:9" customFormat="1">
      <c r="B400" s="32"/>
      <c r="C400" s="32"/>
      <c r="D400" s="32"/>
      <c r="E400" s="32"/>
      <c r="F400" s="32"/>
      <c r="G400" s="32"/>
      <c r="H400" s="32"/>
      <c r="I400" s="32"/>
    </row>
    <row r="401" spans="2:9" customFormat="1">
      <c r="B401" s="32"/>
      <c r="C401" s="32"/>
      <c r="D401" s="32"/>
      <c r="E401" s="32"/>
      <c r="F401" s="32"/>
      <c r="G401" s="32"/>
      <c r="H401" s="32"/>
      <c r="I401" s="32"/>
    </row>
    <row r="402" spans="2:9" customFormat="1">
      <c r="B402" s="32"/>
      <c r="C402" s="32"/>
      <c r="D402" s="32"/>
      <c r="E402" s="32"/>
      <c r="F402" s="32"/>
      <c r="G402" s="32"/>
      <c r="H402" s="32"/>
      <c r="I402" s="32"/>
    </row>
    <row r="403" spans="2:9" customFormat="1">
      <c r="B403" s="32"/>
      <c r="C403" s="32"/>
      <c r="D403" s="32"/>
      <c r="E403" s="32"/>
      <c r="F403" s="32"/>
      <c r="G403" s="32"/>
      <c r="H403" s="32"/>
      <c r="I403" s="32"/>
    </row>
    <row r="404" spans="2:9" customFormat="1">
      <c r="B404" s="32"/>
      <c r="C404" s="32"/>
      <c r="D404" s="32"/>
      <c r="E404" s="32"/>
      <c r="F404" s="32"/>
      <c r="G404" s="32"/>
      <c r="H404" s="32"/>
      <c r="I404" s="32"/>
    </row>
    <row r="405" spans="2:9" customFormat="1">
      <c r="B405" s="32"/>
      <c r="C405" s="32"/>
      <c r="D405" s="32"/>
      <c r="E405" s="32"/>
      <c r="F405" s="32"/>
      <c r="G405" s="32"/>
      <c r="H405" s="32"/>
      <c r="I405" s="32"/>
    </row>
    <row r="406" spans="2:9" customFormat="1">
      <c r="B406" s="32"/>
      <c r="C406" s="32"/>
      <c r="D406" s="32"/>
      <c r="E406" s="32"/>
      <c r="F406" s="32"/>
      <c r="G406" s="32"/>
      <c r="H406" s="32"/>
      <c r="I406" s="32"/>
    </row>
    <row r="407" spans="2:9" customFormat="1">
      <c r="B407" s="32"/>
      <c r="C407" s="32"/>
      <c r="D407" s="32"/>
      <c r="E407" s="32"/>
      <c r="F407" s="32"/>
      <c r="G407" s="32"/>
      <c r="H407" s="32"/>
      <c r="I407" s="32"/>
    </row>
    <row r="408" spans="2:9" customFormat="1">
      <c r="B408" s="32"/>
      <c r="C408" s="32"/>
      <c r="D408" s="32"/>
      <c r="E408" s="32"/>
      <c r="F408" s="32"/>
      <c r="G408" s="32"/>
      <c r="H408" s="32"/>
      <c r="I408" s="32"/>
    </row>
    <row r="409" spans="2:9" customFormat="1">
      <c r="B409" s="32"/>
      <c r="C409" s="32"/>
      <c r="D409" s="32"/>
      <c r="E409" s="32"/>
      <c r="F409" s="32"/>
      <c r="G409" s="32"/>
      <c r="H409" s="32"/>
      <c r="I409" s="32"/>
    </row>
    <row r="410" spans="2:9" customFormat="1">
      <c r="B410" s="32"/>
      <c r="C410" s="32"/>
      <c r="D410" s="32"/>
      <c r="E410" s="32"/>
      <c r="F410" s="32"/>
      <c r="G410" s="32"/>
      <c r="H410" s="32"/>
      <c r="I410" s="32"/>
    </row>
    <row r="411" spans="2:9" customFormat="1">
      <c r="B411" s="32"/>
      <c r="C411" s="32"/>
      <c r="D411" s="32"/>
      <c r="E411" s="32"/>
      <c r="F411" s="32"/>
      <c r="G411" s="32"/>
      <c r="H411" s="32"/>
      <c r="I411" s="32"/>
    </row>
    <row r="412" spans="2:9" customFormat="1">
      <c r="B412" s="32"/>
      <c r="C412" s="32"/>
      <c r="D412" s="32"/>
      <c r="E412" s="32"/>
      <c r="F412" s="32"/>
      <c r="G412" s="32"/>
      <c r="H412" s="32"/>
      <c r="I412" s="32"/>
    </row>
    <row r="413" spans="2:9" customFormat="1">
      <c r="B413" s="32"/>
      <c r="C413" s="32"/>
      <c r="D413" s="32"/>
      <c r="E413" s="32"/>
      <c r="F413" s="32"/>
      <c r="G413" s="32"/>
      <c r="H413" s="32"/>
      <c r="I413" s="32"/>
    </row>
    <row r="414" spans="2:9" customFormat="1">
      <c r="B414" s="32"/>
      <c r="C414" s="32"/>
      <c r="D414" s="32"/>
      <c r="E414" s="32"/>
      <c r="F414" s="32"/>
      <c r="G414" s="32"/>
      <c r="H414" s="32"/>
      <c r="I414" s="32"/>
    </row>
    <row r="415" spans="2:9" customFormat="1">
      <c r="B415" s="32"/>
      <c r="C415" s="32"/>
      <c r="D415" s="32"/>
      <c r="E415" s="32"/>
      <c r="F415" s="32"/>
      <c r="G415" s="32"/>
      <c r="H415" s="32"/>
      <c r="I415" s="32"/>
    </row>
    <row r="416" spans="2:9" customFormat="1">
      <c r="B416" s="32"/>
      <c r="C416" s="32"/>
      <c r="D416" s="32"/>
      <c r="E416" s="32"/>
      <c r="F416" s="32"/>
      <c r="G416" s="32"/>
      <c r="H416" s="32"/>
      <c r="I416" s="32"/>
    </row>
    <row r="417" spans="2:9" customFormat="1">
      <c r="B417" s="32"/>
      <c r="C417" s="32"/>
      <c r="D417" s="32"/>
      <c r="E417" s="32"/>
      <c r="F417" s="32"/>
      <c r="G417" s="32"/>
      <c r="H417" s="32"/>
      <c r="I417" s="32"/>
    </row>
    <row r="418" spans="2:9" customFormat="1">
      <c r="B418" s="32"/>
      <c r="C418" s="32"/>
      <c r="D418" s="32"/>
      <c r="E418" s="32"/>
      <c r="F418" s="32"/>
      <c r="G418" s="32"/>
      <c r="H418" s="32"/>
      <c r="I418" s="32"/>
    </row>
    <row r="419" spans="2:9" customFormat="1">
      <c r="B419" s="32"/>
      <c r="C419" s="32"/>
      <c r="D419" s="32"/>
      <c r="E419" s="32"/>
      <c r="F419" s="32"/>
      <c r="G419" s="32"/>
      <c r="H419" s="32"/>
      <c r="I419" s="32"/>
    </row>
    <row r="420" spans="2:9" customFormat="1">
      <c r="B420" s="32"/>
      <c r="C420" s="32"/>
      <c r="D420" s="32"/>
      <c r="E420" s="32"/>
      <c r="F420" s="32"/>
      <c r="G420" s="32"/>
      <c r="H420" s="32"/>
      <c r="I420" s="32"/>
    </row>
    <row r="421" spans="2:9" customFormat="1">
      <c r="B421" s="32"/>
      <c r="C421" s="32"/>
      <c r="D421" s="32"/>
      <c r="E421" s="32"/>
      <c r="F421" s="32"/>
      <c r="G421" s="32"/>
      <c r="H421" s="32"/>
      <c r="I421" s="32"/>
    </row>
    <row r="422" spans="2:9" customFormat="1">
      <c r="B422" s="32"/>
      <c r="C422" s="32"/>
      <c r="D422" s="32"/>
      <c r="E422" s="32"/>
      <c r="F422" s="32"/>
      <c r="G422" s="32"/>
      <c r="H422" s="32"/>
      <c r="I422" s="32"/>
    </row>
    <row r="423" spans="2:9" customFormat="1">
      <c r="B423" s="32"/>
      <c r="C423" s="32"/>
      <c r="D423" s="32"/>
      <c r="E423" s="32"/>
      <c r="F423" s="32"/>
      <c r="G423" s="32"/>
      <c r="H423" s="32"/>
      <c r="I423" s="32"/>
    </row>
    <row r="424" spans="2:9" customFormat="1">
      <c r="B424" s="32"/>
      <c r="C424" s="32"/>
      <c r="D424" s="32"/>
      <c r="E424" s="32"/>
      <c r="F424" s="32"/>
      <c r="G424" s="32"/>
      <c r="H424" s="32"/>
      <c r="I424" s="32"/>
    </row>
    <row r="425" spans="2:9" customFormat="1">
      <c r="B425" s="32"/>
      <c r="C425" s="32"/>
      <c r="D425" s="32"/>
      <c r="E425" s="32"/>
      <c r="F425" s="32"/>
      <c r="G425" s="32"/>
      <c r="H425" s="32"/>
      <c r="I425" s="32"/>
    </row>
    <row r="426" spans="2:9" customFormat="1">
      <c r="B426" s="32"/>
      <c r="C426" s="32"/>
      <c r="D426" s="32"/>
      <c r="E426" s="32"/>
      <c r="F426" s="32"/>
      <c r="G426" s="32"/>
      <c r="H426" s="32"/>
      <c r="I426" s="32"/>
    </row>
    <row r="427" spans="2:9" customFormat="1">
      <c r="B427" s="32"/>
      <c r="C427" s="32"/>
      <c r="D427" s="32"/>
      <c r="E427" s="32"/>
      <c r="F427" s="32"/>
      <c r="G427" s="32"/>
      <c r="H427" s="32"/>
      <c r="I427" s="32"/>
    </row>
    <row r="428" spans="2:9" customFormat="1">
      <c r="B428" s="32"/>
      <c r="C428" s="32"/>
      <c r="D428" s="32"/>
      <c r="E428" s="32"/>
      <c r="F428" s="32"/>
      <c r="G428" s="32"/>
      <c r="H428" s="32"/>
      <c r="I428" s="32"/>
    </row>
    <row r="429" spans="2:9" customFormat="1">
      <c r="B429" s="32"/>
      <c r="C429" s="32"/>
      <c r="D429" s="32"/>
      <c r="E429" s="32"/>
      <c r="F429" s="32"/>
      <c r="G429" s="32"/>
      <c r="H429" s="32"/>
      <c r="I429" s="32"/>
    </row>
    <row r="430" spans="2:9" customFormat="1">
      <c r="B430" s="32"/>
      <c r="C430" s="32"/>
      <c r="D430" s="32"/>
      <c r="E430" s="32"/>
      <c r="F430" s="32"/>
      <c r="G430" s="32"/>
      <c r="H430" s="32"/>
      <c r="I430" s="32"/>
    </row>
    <row r="431" spans="2:9" customFormat="1">
      <c r="B431" s="32"/>
      <c r="C431" s="32"/>
      <c r="D431" s="32"/>
      <c r="E431" s="32"/>
      <c r="F431" s="32"/>
      <c r="G431" s="32"/>
      <c r="H431" s="32"/>
      <c r="I431" s="32"/>
    </row>
    <row r="432" spans="2:9" customFormat="1">
      <c r="B432" s="32"/>
      <c r="C432" s="32"/>
      <c r="D432" s="32"/>
      <c r="E432" s="32"/>
      <c r="F432" s="32"/>
      <c r="G432" s="32"/>
      <c r="H432" s="32"/>
      <c r="I432" s="32"/>
    </row>
    <row r="433" spans="2:9" customFormat="1">
      <c r="B433" s="32"/>
      <c r="C433" s="32"/>
      <c r="D433" s="32"/>
      <c r="E433" s="32"/>
      <c r="F433" s="32"/>
      <c r="G433" s="32"/>
      <c r="H433" s="32"/>
      <c r="I433" s="32"/>
    </row>
    <row r="434" spans="2:9" customFormat="1">
      <c r="B434" s="32"/>
      <c r="C434" s="32"/>
      <c r="D434" s="32"/>
      <c r="E434" s="32"/>
      <c r="F434" s="32"/>
      <c r="G434" s="32"/>
      <c r="H434" s="32"/>
      <c r="I434" s="32"/>
    </row>
    <row r="435" spans="2:9" customFormat="1">
      <c r="B435" s="32"/>
      <c r="C435" s="32"/>
      <c r="D435" s="32"/>
      <c r="E435" s="32"/>
      <c r="F435" s="32"/>
      <c r="G435" s="32"/>
      <c r="H435" s="32"/>
      <c r="I435" s="32"/>
    </row>
    <row r="436" spans="2:9" customFormat="1">
      <c r="B436" s="32"/>
      <c r="C436" s="32"/>
      <c r="D436" s="32"/>
      <c r="E436" s="32"/>
      <c r="F436" s="32"/>
      <c r="G436" s="32"/>
      <c r="H436" s="32"/>
      <c r="I436" s="32"/>
    </row>
    <row r="437" spans="2:9" customFormat="1">
      <c r="B437" s="32"/>
      <c r="C437" s="32"/>
      <c r="D437" s="32"/>
      <c r="E437" s="32"/>
      <c r="F437" s="32"/>
      <c r="G437" s="32"/>
      <c r="H437" s="32"/>
      <c r="I437" s="32"/>
    </row>
    <row r="438" spans="2:9" customFormat="1">
      <c r="B438" s="32"/>
      <c r="C438" s="32"/>
      <c r="D438" s="32"/>
      <c r="E438" s="32"/>
      <c r="F438" s="32"/>
      <c r="G438" s="32"/>
      <c r="H438" s="32"/>
      <c r="I438" s="32"/>
    </row>
    <row r="439" spans="2:9" customFormat="1">
      <c r="B439" s="32"/>
      <c r="C439" s="32"/>
      <c r="D439" s="32"/>
      <c r="E439" s="32"/>
      <c r="F439" s="32"/>
      <c r="G439" s="32"/>
      <c r="H439" s="32"/>
      <c r="I439" s="32"/>
    </row>
    <row r="440" spans="2:9" customFormat="1">
      <c r="B440" s="32"/>
      <c r="C440" s="32"/>
      <c r="D440" s="32"/>
      <c r="E440" s="32"/>
      <c r="F440" s="32"/>
      <c r="G440" s="32"/>
      <c r="H440" s="32"/>
      <c r="I440" s="32"/>
    </row>
    <row r="441" spans="2:9" customFormat="1">
      <c r="B441" s="32"/>
      <c r="C441" s="32"/>
      <c r="D441" s="32"/>
      <c r="E441" s="32"/>
      <c r="F441" s="32"/>
      <c r="G441" s="32"/>
      <c r="H441" s="32"/>
      <c r="I441" s="32"/>
    </row>
    <row r="442" spans="2:9" customFormat="1">
      <c r="B442" s="32"/>
      <c r="C442" s="32"/>
      <c r="D442" s="32"/>
      <c r="E442" s="32"/>
      <c r="F442" s="32"/>
      <c r="G442" s="32"/>
      <c r="H442" s="32"/>
      <c r="I442" s="32"/>
    </row>
    <row r="443" spans="2:9" customFormat="1">
      <c r="B443" s="32"/>
      <c r="C443" s="32"/>
      <c r="D443" s="32"/>
      <c r="E443" s="32"/>
      <c r="F443" s="32"/>
      <c r="G443" s="32"/>
      <c r="H443" s="32"/>
      <c r="I443" s="32"/>
    </row>
    <row r="444" spans="2:9" customFormat="1">
      <c r="B444" s="32"/>
      <c r="C444" s="32"/>
      <c r="D444" s="32"/>
      <c r="E444" s="32"/>
      <c r="F444" s="32"/>
      <c r="G444" s="32"/>
      <c r="H444" s="32"/>
      <c r="I444" s="32"/>
    </row>
    <row r="445" spans="2:9" customFormat="1">
      <c r="B445" s="32"/>
      <c r="C445" s="32"/>
      <c r="D445" s="32"/>
      <c r="E445" s="32"/>
      <c r="F445" s="32"/>
      <c r="G445" s="32"/>
      <c r="H445" s="32"/>
      <c r="I445" s="32"/>
    </row>
    <row r="446" spans="2:9" customFormat="1">
      <c r="B446" s="32"/>
      <c r="C446" s="32"/>
      <c r="D446" s="32"/>
      <c r="E446" s="32"/>
      <c r="F446" s="32"/>
      <c r="G446" s="32"/>
      <c r="H446" s="32"/>
      <c r="I446" s="32"/>
    </row>
    <row r="447" spans="2:9" customFormat="1">
      <c r="B447" s="32"/>
      <c r="C447" s="32"/>
      <c r="D447" s="32"/>
      <c r="E447" s="32"/>
      <c r="F447" s="32"/>
      <c r="G447" s="32"/>
      <c r="H447" s="32"/>
      <c r="I447" s="32"/>
    </row>
    <row r="448" spans="2:9" customFormat="1">
      <c r="B448" s="32"/>
      <c r="C448" s="32"/>
      <c r="D448" s="32"/>
      <c r="E448" s="32"/>
      <c r="F448" s="32"/>
      <c r="G448" s="32"/>
      <c r="H448" s="32"/>
      <c r="I448" s="32"/>
    </row>
    <row r="449" spans="2:9" customFormat="1">
      <c r="B449" s="32"/>
      <c r="C449" s="32"/>
      <c r="D449" s="32"/>
      <c r="E449" s="32"/>
      <c r="F449" s="32"/>
      <c r="G449" s="32"/>
      <c r="H449" s="32"/>
      <c r="I449" s="32"/>
    </row>
    <row r="450" spans="2:9" customFormat="1">
      <c r="B450" s="32"/>
      <c r="C450" s="32"/>
      <c r="D450" s="32"/>
      <c r="E450" s="32"/>
      <c r="F450" s="32"/>
      <c r="G450" s="32"/>
      <c r="H450" s="32"/>
      <c r="I450" s="32"/>
    </row>
    <row r="451" spans="2:9" customFormat="1">
      <c r="B451" s="32"/>
      <c r="C451" s="32"/>
      <c r="D451" s="32"/>
      <c r="E451" s="32"/>
      <c r="F451" s="32"/>
      <c r="G451" s="32"/>
      <c r="H451" s="32"/>
      <c r="I451" s="32"/>
    </row>
    <row r="452" spans="2:9" customFormat="1">
      <c r="B452" s="32"/>
      <c r="C452" s="32"/>
      <c r="D452" s="32"/>
      <c r="E452" s="32"/>
      <c r="F452" s="32"/>
      <c r="G452" s="32"/>
      <c r="H452" s="32"/>
      <c r="I452" s="32"/>
    </row>
    <row r="453" spans="2:9" customFormat="1">
      <c r="B453" s="32"/>
      <c r="C453" s="32"/>
      <c r="D453" s="32"/>
      <c r="E453" s="32"/>
      <c r="F453" s="32"/>
      <c r="G453" s="32"/>
      <c r="H453" s="32"/>
      <c r="I453" s="32"/>
    </row>
    <row r="454" spans="2:9" customFormat="1">
      <c r="B454" s="32"/>
      <c r="C454" s="32"/>
      <c r="D454" s="32"/>
      <c r="E454" s="32"/>
      <c r="F454" s="32"/>
      <c r="G454" s="32"/>
      <c r="H454" s="32"/>
      <c r="I454" s="32"/>
    </row>
    <row r="455" spans="2:9" customFormat="1">
      <c r="B455" s="32"/>
      <c r="C455" s="32"/>
      <c r="D455" s="32"/>
      <c r="E455" s="32"/>
      <c r="F455" s="32"/>
      <c r="G455" s="32"/>
      <c r="H455" s="32"/>
      <c r="I455" s="32"/>
    </row>
    <row r="456" spans="2:9" customFormat="1">
      <c r="B456" s="32"/>
      <c r="C456" s="32"/>
      <c r="D456" s="32"/>
      <c r="E456" s="32"/>
      <c r="F456" s="32"/>
      <c r="G456" s="32"/>
      <c r="H456" s="32"/>
      <c r="I456" s="32"/>
    </row>
    <row r="457" spans="2:9" customFormat="1">
      <c r="B457" s="32"/>
      <c r="C457" s="32"/>
      <c r="D457" s="32"/>
      <c r="E457" s="32"/>
      <c r="F457" s="32"/>
      <c r="G457" s="32"/>
      <c r="H457" s="32"/>
      <c r="I457" s="32"/>
    </row>
    <row r="458" spans="2:9" customFormat="1">
      <c r="B458" s="32"/>
      <c r="C458" s="32"/>
      <c r="D458" s="32"/>
      <c r="E458" s="32"/>
      <c r="F458" s="32"/>
      <c r="G458" s="32"/>
      <c r="H458" s="32"/>
      <c r="I458" s="32"/>
    </row>
    <row r="459" spans="2:9" customFormat="1">
      <c r="B459" s="32"/>
      <c r="C459" s="32"/>
      <c r="D459" s="32"/>
      <c r="E459" s="32"/>
      <c r="F459" s="32"/>
      <c r="G459" s="32"/>
      <c r="H459" s="32"/>
      <c r="I459" s="32"/>
    </row>
    <row r="460" spans="2:9" customFormat="1">
      <c r="B460" s="32"/>
      <c r="C460" s="32"/>
      <c r="D460" s="32"/>
      <c r="E460" s="32"/>
      <c r="F460" s="32"/>
      <c r="G460" s="32"/>
      <c r="H460" s="32"/>
      <c r="I460" s="32"/>
    </row>
    <row r="461" spans="2:9" customFormat="1">
      <c r="B461" s="32"/>
      <c r="C461" s="32"/>
      <c r="D461" s="32"/>
      <c r="E461" s="32"/>
      <c r="F461" s="32"/>
      <c r="G461" s="32"/>
      <c r="H461" s="32"/>
      <c r="I461" s="32"/>
    </row>
    <row r="462" spans="2:9" customFormat="1">
      <c r="B462" s="32"/>
      <c r="C462" s="32"/>
      <c r="D462" s="32"/>
      <c r="E462" s="32"/>
      <c r="F462" s="32"/>
      <c r="G462" s="32"/>
      <c r="H462" s="32"/>
      <c r="I462" s="32"/>
    </row>
    <row r="463" spans="2:9" customFormat="1">
      <c r="B463" s="32"/>
      <c r="C463" s="32"/>
      <c r="D463" s="32"/>
      <c r="E463" s="32"/>
      <c r="F463" s="32"/>
      <c r="G463" s="32"/>
      <c r="H463" s="32"/>
      <c r="I463" s="32"/>
    </row>
    <row r="464" spans="2:9" customFormat="1">
      <c r="B464" s="32"/>
      <c r="C464" s="32"/>
      <c r="D464" s="32"/>
      <c r="E464" s="32"/>
      <c r="F464" s="32"/>
      <c r="G464" s="32"/>
      <c r="H464" s="32"/>
      <c r="I464" s="32"/>
    </row>
    <row r="465" spans="2:9" customFormat="1">
      <c r="B465" s="32"/>
      <c r="C465" s="32"/>
      <c r="D465" s="32"/>
      <c r="E465" s="32"/>
      <c r="F465" s="32"/>
      <c r="G465" s="32"/>
      <c r="H465" s="32"/>
      <c r="I465" s="32"/>
    </row>
    <row r="466" spans="2:9" customFormat="1">
      <c r="B466" s="32"/>
      <c r="C466" s="32"/>
      <c r="D466" s="32"/>
      <c r="E466" s="32"/>
      <c r="F466" s="32"/>
      <c r="G466" s="32"/>
      <c r="H466" s="32"/>
      <c r="I466" s="32"/>
    </row>
    <row r="467" spans="2:9" customFormat="1">
      <c r="B467" s="32"/>
      <c r="C467" s="32"/>
      <c r="D467" s="32"/>
      <c r="E467" s="32"/>
      <c r="F467" s="32"/>
      <c r="G467" s="32"/>
      <c r="H467" s="32"/>
      <c r="I467" s="32"/>
    </row>
    <row r="468" spans="2:9" customFormat="1">
      <c r="B468" s="32"/>
      <c r="C468" s="32"/>
      <c r="D468" s="32"/>
      <c r="E468" s="32"/>
      <c r="F468" s="32"/>
      <c r="G468" s="32"/>
      <c r="H468" s="32"/>
      <c r="I468" s="32"/>
    </row>
    <row r="469" spans="2:9" customFormat="1">
      <c r="B469" s="32"/>
      <c r="C469" s="32"/>
      <c r="D469" s="32"/>
      <c r="E469" s="32"/>
      <c r="F469" s="32"/>
      <c r="G469" s="32"/>
      <c r="H469" s="32"/>
      <c r="I469" s="32"/>
    </row>
    <row r="470" spans="2:9" customFormat="1">
      <c r="B470" s="32"/>
      <c r="C470" s="32"/>
      <c r="D470" s="32"/>
      <c r="E470" s="32"/>
      <c r="F470" s="32"/>
      <c r="G470" s="32"/>
      <c r="H470" s="32"/>
      <c r="I470" s="32"/>
    </row>
    <row r="471" spans="2:9" customFormat="1">
      <c r="B471" s="32"/>
      <c r="C471" s="32"/>
      <c r="D471" s="32"/>
      <c r="E471" s="32"/>
      <c r="F471" s="32"/>
      <c r="G471" s="32"/>
      <c r="H471" s="32"/>
      <c r="I471" s="32"/>
    </row>
    <row r="472" spans="2:9" customFormat="1">
      <c r="B472" s="32"/>
      <c r="C472" s="32"/>
      <c r="D472" s="32"/>
      <c r="E472" s="32"/>
      <c r="F472" s="32"/>
      <c r="G472" s="32"/>
      <c r="H472" s="32"/>
      <c r="I472" s="32"/>
    </row>
    <row r="473" spans="2:9" customFormat="1">
      <c r="B473" s="32"/>
      <c r="C473" s="32"/>
      <c r="D473" s="32"/>
      <c r="E473" s="32"/>
      <c r="F473" s="32"/>
      <c r="G473" s="32"/>
      <c r="H473" s="32"/>
      <c r="I473" s="32"/>
    </row>
    <row r="474" spans="2:9" customFormat="1">
      <c r="B474" s="32"/>
      <c r="C474" s="32"/>
      <c r="D474" s="32"/>
      <c r="E474" s="32"/>
      <c r="F474" s="32"/>
      <c r="G474" s="32"/>
      <c r="H474" s="32"/>
      <c r="I474" s="32"/>
    </row>
    <row r="475" spans="2:9" customFormat="1">
      <c r="B475" s="32"/>
      <c r="C475" s="32"/>
      <c r="D475" s="32"/>
      <c r="E475" s="32"/>
      <c r="F475" s="32"/>
      <c r="G475" s="32"/>
      <c r="H475" s="32"/>
      <c r="I475" s="32"/>
    </row>
    <row r="476" spans="2:9" customFormat="1">
      <c r="B476" s="32"/>
      <c r="C476" s="32"/>
      <c r="D476" s="32"/>
      <c r="E476" s="32"/>
      <c r="F476" s="32"/>
      <c r="G476" s="32"/>
      <c r="H476" s="32"/>
      <c r="I476" s="32"/>
    </row>
    <row r="477" spans="2:9" customFormat="1">
      <c r="B477" s="32"/>
      <c r="C477" s="32"/>
      <c r="D477" s="32"/>
      <c r="E477" s="32"/>
      <c r="F477" s="32"/>
      <c r="G477" s="32"/>
      <c r="H477" s="32"/>
      <c r="I477" s="32"/>
    </row>
    <row r="478" spans="2:9" customFormat="1">
      <c r="B478" s="32"/>
      <c r="C478" s="32"/>
      <c r="D478" s="32"/>
      <c r="E478" s="32"/>
      <c r="F478" s="32"/>
      <c r="G478" s="32"/>
      <c r="H478" s="32"/>
      <c r="I478" s="32"/>
    </row>
    <row r="479" spans="2:9" customFormat="1">
      <c r="B479" s="32"/>
      <c r="C479" s="32"/>
      <c r="D479" s="32"/>
      <c r="E479" s="32"/>
      <c r="F479" s="32"/>
      <c r="G479" s="32"/>
      <c r="H479" s="32"/>
      <c r="I479" s="32"/>
    </row>
    <row r="480" spans="2:9" customFormat="1">
      <c r="B480" s="32"/>
      <c r="C480" s="32"/>
      <c r="D480" s="32"/>
      <c r="E480" s="32"/>
      <c r="F480" s="32"/>
      <c r="G480" s="32"/>
      <c r="H480" s="32"/>
      <c r="I480" s="32"/>
    </row>
    <row r="481" spans="2:9" customFormat="1">
      <c r="B481" s="32"/>
      <c r="C481" s="32"/>
      <c r="D481" s="32"/>
      <c r="E481" s="32"/>
      <c r="F481" s="32"/>
      <c r="G481" s="32"/>
      <c r="H481" s="32"/>
      <c r="I481" s="32"/>
    </row>
    <row r="482" spans="2:9" customFormat="1">
      <c r="B482" s="32"/>
      <c r="C482" s="32"/>
      <c r="D482" s="32"/>
      <c r="E482" s="32"/>
      <c r="F482" s="32"/>
      <c r="G482" s="32"/>
      <c r="H482" s="32"/>
      <c r="I482" s="32"/>
    </row>
    <row r="483" spans="2:9" customFormat="1">
      <c r="B483" s="32"/>
      <c r="C483" s="32"/>
      <c r="D483" s="32"/>
      <c r="E483" s="32"/>
      <c r="F483" s="32"/>
      <c r="G483" s="32"/>
      <c r="H483" s="32"/>
      <c r="I483" s="32"/>
    </row>
    <row r="484" spans="2:9" customFormat="1">
      <c r="B484" s="32"/>
      <c r="C484" s="32"/>
      <c r="D484" s="32"/>
      <c r="E484" s="32"/>
      <c r="F484" s="32"/>
      <c r="G484" s="32"/>
      <c r="H484" s="32"/>
      <c r="I484" s="32"/>
    </row>
    <row r="485" spans="2:9" customFormat="1">
      <c r="B485" s="32"/>
      <c r="C485" s="32"/>
      <c r="D485" s="32"/>
      <c r="E485" s="32"/>
      <c r="F485" s="32"/>
      <c r="G485" s="32"/>
      <c r="H485" s="32"/>
      <c r="I485" s="32"/>
    </row>
    <row r="486" spans="2:9" customFormat="1">
      <c r="B486" s="32"/>
      <c r="C486" s="32"/>
      <c r="D486" s="32"/>
      <c r="E486" s="32"/>
      <c r="F486" s="32"/>
      <c r="G486" s="32"/>
      <c r="H486" s="32"/>
      <c r="I486" s="32"/>
    </row>
    <row r="487" spans="2:9" customFormat="1">
      <c r="B487" s="32"/>
      <c r="C487" s="32"/>
      <c r="D487" s="32"/>
      <c r="E487" s="32"/>
      <c r="F487" s="32"/>
      <c r="G487" s="32"/>
      <c r="H487" s="32"/>
      <c r="I487" s="32"/>
    </row>
    <row r="488" spans="2:9" customFormat="1">
      <c r="B488" s="32"/>
      <c r="C488" s="32"/>
      <c r="D488" s="32"/>
      <c r="E488" s="32"/>
      <c r="F488" s="32"/>
      <c r="G488" s="32"/>
      <c r="H488" s="32"/>
      <c r="I488" s="32"/>
    </row>
    <row r="489" spans="2:9" customFormat="1">
      <c r="B489" s="32"/>
      <c r="C489" s="32"/>
      <c r="D489" s="32"/>
      <c r="E489" s="32"/>
      <c r="F489" s="32"/>
      <c r="G489" s="32"/>
      <c r="H489" s="32"/>
      <c r="I489" s="32"/>
    </row>
    <row r="490" spans="2:9" customFormat="1">
      <c r="B490" s="32"/>
      <c r="C490" s="32"/>
      <c r="D490" s="32"/>
      <c r="E490" s="32"/>
      <c r="F490" s="32"/>
      <c r="G490" s="32"/>
      <c r="H490" s="32"/>
      <c r="I490" s="32"/>
    </row>
    <row r="491" spans="2:9" customFormat="1">
      <c r="B491" s="32"/>
      <c r="C491" s="32"/>
      <c r="D491" s="32"/>
      <c r="E491" s="32"/>
      <c r="F491" s="32"/>
      <c r="G491" s="32"/>
      <c r="H491" s="32"/>
      <c r="I491" s="32"/>
    </row>
    <row r="492" spans="2:9" customFormat="1">
      <c r="B492" s="32"/>
      <c r="C492" s="32"/>
      <c r="D492" s="32"/>
      <c r="E492" s="32"/>
      <c r="F492" s="32"/>
      <c r="G492" s="32"/>
      <c r="H492" s="32"/>
      <c r="I492" s="32"/>
    </row>
    <row r="493" spans="2:9" customFormat="1">
      <c r="B493" s="32"/>
      <c r="C493" s="32"/>
      <c r="D493" s="32"/>
      <c r="E493" s="32"/>
      <c r="F493" s="32"/>
      <c r="G493" s="32"/>
      <c r="H493" s="32"/>
      <c r="I493" s="32"/>
    </row>
    <row r="494" spans="2:9" customFormat="1">
      <c r="B494" s="32"/>
      <c r="C494" s="32"/>
      <c r="D494" s="32"/>
      <c r="E494" s="32"/>
      <c r="F494" s="32"/>
      <c r="G494" s="32"/>
      <c r="H494" s="32"/>
      <c r="I494" s="32"/>
    </row>
    <row r="495" spans="2:9" customFormat="1">
      <c r="B495" s="32"/>
      <c r="C495" s="32"/>
      <c r="D495" s="32"/>
      <c r="E495" s="32"/>
      <c r="F495" s="32"/>
      <c r="G495" s="32"/>
      <c r="H495" s="32"/>
      <c r="I495" s="32"/>
    </row>
    <row r="496" spans="2:9" customFormat="1">
      <c r="B496" s="32"/>
      <c r="C496" s="32"/>
      <c r="D496" s="32"/>
      <c r="E496" s="32"/>
      <c r="F496" s="32"/>
      <c r="G496" s="32"/>
      <c r="H496" s="32"/>
      <c r="I496" s="32"/>
    </row>
    <row r="497" spans="2:9" customFormat="1">
      <c r="B497" s="32"/>
      <c r="C497" s="32"/>
      <c r="D497" s="32"/>
      <c r="E497" s="32"/>
      <c r="F497" s="32"/>
      <c r="G497" s="32"/>
      <c r="H497" s="32"/>
      <c r="I497" s="32"/>
    </row>
    <row r="498" spans="2:9" customFormat="1">
      <c r="B498" s="32"/>
      <c r="C498" s="32"/>
      <c r="D498" s="32"/>
      <c r="E498" s="32"/>
      <c r="F498" s="32"/>
      <c r="G498" s="32"/>
      <c r="H498" s="32"/>
      <c r="I498" s="32"/>
    </row>
    <row r="499" spans="2:9" customFormat="1">
      <c r="B499" s="32"/>
      <c r="C499" s="32"/>
      <c r="D499" s="32"/>
      <c r="E499" s="32"/>
      <c r="F499" s="32"/>
      <c r="G499" s="32"/>
      <c r="H499" s="32"/>
      <c r="I499" s="32"/>
    </row>
    <row r="500" spans="2:9" customFormat="1">
      <c r="B500" s="32"/>
      <c r="C500" s="32"/>
      <c r="D500" s="32"/>
      <c r="E500" s="32"/>
      <c r="F500" s="32"/>
      <c r="G500" s="32"/>
      <c r="H500" s="32"/>
      <c r="I500" s="32"/>
    </row>
    <row r="501" spans="2:9" customFormat="1">
      <c r="B501" s="32"/>
      <c r="C501" s="32"/>
      <c r="D501" s="32"/>
      <c r="E501" s="32"/>
      <c r="F501" s="32"/>
      <c r="G501" s="32"/>
      <c r="H501" s="32"/>
      <c r="I501" s="32"/>
    </row>
    <row r="502" spans="2:9" customFormat="1">
      <c r="B502" s="32"/>
      <c r="C502" s="32"/>
      <c r="D502" s="32"/>
      <c r="E502" s="32"/>
      <c r="F502" s="32"/>
      <c r="G502" s="32"/>
      <c r="H502" s="32"/>
      <c r="I502" s="32"/>
    </row>
    <row r="503" spans="2:9" customFormat="1">
      <c r="B503" s="32"/>
      <c r="C503" s="32"/>
      <c r="D503" s="32"/>
      <c r="E503" s="32"/>
      <c r="F503" s="32"/>
      <c r="G503" s="32"/>
      <c r="H503" s="32"/>
      <c r="I503" s="32"/>
    </row>
    <row r="504" spans="2:9" customFormat="1">
      <c r="B504" s="32"/>
      <c r="C504" s="32"/>
      <c r="D504" s="32"/>
      <c r="E504" s="32"/>
      <c r="F504" s="32"/>
      <c r="G504" s="32"/>
      <c r="H504" s="32"/>
      <c r="I504" s="32"/>
    </row>
    <row r="505" spans="2:9" customFormat="1">
      <c r="B505" s="32"/>
      <c r="C505" s="32"/>
      <c r="D505" s="32"/>
      <c r="E505" s="32"/>
      <c r="F505" s="32"/>
      <c r="G505" s="32"/>
      <c r="H505" s="32"/>
      <c r="I505" s="32"/>
    </row>
    <row r="506" spans="2:9" customFormat="1">
      <c r="B506" s="32"/>
      <c r="C506" s="32"/>
      <c r="D506" s="32"/>
      <c r="E506" s="32"/>
      <c r="F506" s="32"/>
      <c r="G506" s="32"/>
      <c r="H506" s="32"/>
      <c r="I506" s="32"/>
    </row>
    <row r="507" spans="2:9" customFormat="1">
      <c r="B507" s="32"/>
      <c r="C507" s="32"/>
      <c r="D507" s="32"/>
      <c r="E507" s="32"/>
      <c r="F507" s="32"/>
      <c r="G507" s="32"/>
      <c r="H507" s="32"/>
      <c r="I507" s="32"/>
    </row>
    <row r="508" spans="2:9" customFormat="1">
      <c r="B508" s="32"/>
      <c r="C508" s="32"/>
      <c r="D508" s="32"/>
      <c r="E508" s="32"/>
      <c r="F508" s="32"/>
      <c r="G508" s="32"/>
      <c r="H508" s="32"/>
      <c r="I508" s="32"/>
    </row>
    <row r="509" spans="2:9" customFormat="1">
      <c r="B509" s="32"/>
      <c r="C509" s="32"/>
      <c r="D509" s="32"/>
      <c r="E509" s="32"/>
      <c r="F509" s="32"/>
      <c r="G509" s="32"/>
      <c r="H509" s="32"/>
      <c r="I509" s="32"/>
    </row>
    <row r="510" spans="2:9" customFormat="1">
      <c r="B510" s="32"/>
      <c r="C510" s="32"/>
      <c r="D510" s="32"/>
      <c r="E510" s="32"/>
      <c r="F510" s="32"/>
      <c r="G510" s="32"/>
      <c r="H510" s="32"/>
      <c r="I510" s="32"/>
    </row>
    <row r="511" spans="2:9" customFormat="1">
      <c r="B511" s="32"/>
      <c r="C511" s="32"/>
      <c r="D511" s="32"/>
      <c r="E511" s="32"/>
      <c r="F511" s="32"/>
      <c r="G511" s="32"/>
      <c r="H511" s="32"/>
      <c r="I511" s="32"/>
    </row>
    <row r="512" spans="2:9" customFormat="1">
      <c r="B512" s="32"/>
      <c r="C512" s="32"/>
      <c r="D512" s="32"/>
      <c r="E512" s="32"/>
      <c r="F512" s="32"/>
      <c r="G512" s="32"/>
      <c r="H512" s="32"/>
      <c r="I512" s="32"/>
    </row>
    <row r="513" spans="2:9" customFormat="1">
      <c r="B513" s="32"/>
      <c r="C513" s="32"/>
      <c r="D513" s="32"/>
      <c r="E513" s="32"/>
      <c r="F513" s="32"/>
      <c r="G513" s="32"/>
      <c r="H513" s="32"/>
      <c r="I513" s="32"/>
    </row>
    <row r="514" spans="2:9" customFormat="1">
      <c r="B514" s="32"/>
      <c r="C514" s="32"/>
      <c r="D514" s="32"/>
      <c r="E514" s="32"/>
      <c r="F514" s="32"/>
      <c r="G514" s="32"/>
      <c r="H514" s="32"/>
      <c r="I514" s="32"/>
    </row>
    <row r="515" spans="2:9" customFormat="1">
      <c r="B515" s="32"/>
      <c r="C515" s="32"/>
      <c r="D515" s="32"/>
      <c r="E515" s="32"/>
      <c r="F515" s="32"/>
      <c r="G515" s="32"/>
      <c r="H515" s="32"/>
      <c r="I515" s="32"/>
    </row>
    <row r="516" spans="2:9" customFormat="1">
      <c r="B516" s="32"/>
      <c r="C516" s="32"/>
      <c r="D516" s="32"/>
      <c r="E516" s="32"/>
      <c r="F516" s="32"/>
      <c r="G516" s="32"/>
      <c r="H516" s="32"/>
      <c r="I516" s="32"/>
    </row>
    <row r="517" spans="2:9" customFormat="1">
      <c r="B517" s="32"/>
      <c r="C517" s="32"/>
      <c r="D517" s="32"/>
      <c r="E517" s="32"/>
      <c r="F517" s="32"/>
      <c r="G517" s="32"/>
      <c r="H517" s="32"/>
      <c r="I517" s="32"/>
    </row>
    <row r="518" spans="2:9" customFormat="1">
      <c r="B518" s="32"/>
      <c r="C518" s="32"/>
      <c r="D518" s="32"/>
      <c r="E518" s="32"/>
      <c r="F518" s="32"/>
      <c r="G518" s="32"/>
      <c r="H518" s="32"/>
      <c r="I518" s="32"/>
    </row>
    <row r="519" spans="2:9" customFormat="1">
      <c r="B519" s="32"/>
      <c r="C519" s="32"/>
      <c r="D519" s="32"/>
      <c r="E519" s="32"/>
      <c r="F519" s="32"/>
      <c r="G519" s="32"/>
      <c r="H519" s="32"/>
      <c r="I519" s="32"/>
    </row>
    <row r="520" spans="2:9" customFormat="1">
      <c r="B520" s="32"/>
      <c r="C520" s="32"/>
      <c r="D520" s="32"/>
      <c r="E520" s="32"/>
      <c r="F520" s="32"/>
      <c r="G520" s="32"/>
      <c r="H520" s="32"/>
      <c r="I520" s="32"/>
    </row>
    <row r="521" spans="2:9" customFormat="1">
      <c r="B521" s="32"/>
      <c r="C521" s="32"/>
      <c r="D521" s="32"/>
      <c r="E521" s="32"/>
      <c r="F521" s="32"/>
      <c r="G521" s="32"/>
      <c r="H521" s="32"/>
      <c r="I521" s="32"/>
    </row>
    <row r="522" spans="2:9" customFormat="1">
      <c r="B522" s="32"/>
      <c r="C522" s="32"/>
      <c r="D522" s="32"/>
      <c r="E522" s="32"/>
      <c r="F522" s="32"/>
      <c r="G522" s="32"/>
      <c r="H522" s="32"/>
      <c r="I522" s="32"/>
    </row>
    <row r="523" spans="2:9" customFormat="1">
      <c r="B523" s="32"/>
      <c r="C523" s="32"/>
      <c r="D523" s="32"/>
      <c r="E523" s="32"/>
      <c r="F523" s="32"/>
      <c r="G523" s="32"/>
      <c r="H523" s="32"/>
      <c r="I523" s="32"/>
    </row>
    <row r="524" spans="2:9" customFormat="1">
      <c r="B524" s="32"/>
      <c r="C524" s="32"/>
      <c r="D524" s="32"/>
      <c r="E524" s="32"/>
      <c r="F524" s="32"/>
      <c r="G524" s="32"/>
      <c r="H524" s="32"/>
      <c r="I524" s="32"/>
    </row>
    <row r="525" spans="2:9" customFormat="1">
      <c r="B525" s="32"/>
      <c r="C525" s="32"/>
      <c r="D525" s="32"/>
      <c r="E525" s="32"/>
      <c r="F525" s="32"/>
      <c r="G525" s="32"/>
      <c r="H525" s="32"/>
      <c r="I525" s="32"/>
    </row>
    <row r="526" spans="2:9" customFormat="1">
      <c r="B526" s="32"/>
      <c r="C526" s="32"/>
      <c r="D526" s="32"/>
      <c r="E526" s="32"/>
      <c r="F526" s="32"/>
      <c r="G526" s="32"/>
      <c r="H526" s="32"/>
      <c r="I526" s="32"/>
    </row>
    <row r="527" spans="2:9" customFormat="1">
      <c r="B527" s="32"/>
      <c r="C527" s="32"/>
      <c r="D527" s="32"/>
      <c r="E527" s="32"/>
      <c r="F527" s="32"/>
      <c r="G527" s="32"/>
      <c r="H527" s="32"/>
      <c r="I527" s="32"/>
    </row>
    <row r="528" spans="2:9" customFormat="1">
      <c r="B528" s="32"/>
      <c r="C528" s="32"/>
      <c r="D528" s="32"/>
      <c r="E528" s="32"/>
      <c r="F528" s="32"/>
      <c r="G528" s="32"/>
      <c r="H528" s="32"/>
      <c r="I528" s="32"/>
    </row>
    <row r="529" spans="2:9" customFormat="1">
      <c r="B529" s="32"/>
      <c r="C529" s="32"/>
      <c r="D529" s="32"/>
      <c r="E529" s="32"/>
      <c r="F529" s="32"/>
      <c r="G529" s="32"/>
      <c r="H529" s="32"/>
      <c r="I529" s="32"/>
    </row>
    <row r="530" spans="2:9" customFormat="1">
      <c r="B530" s="32"/>
      <c r="C530" s="32"/>
      <c r="D530" s="32"/>
      <c r="E530" s="32"/>
      <c r="F530" s="32"/>
      <c r="G530" s="32"/>
      <c r="H530" s="32"/>
      <c r="I530" s="32"/>
    </row>
    <row r="531" spans="2:9" customFormat="1">
      <c r="B531" s="32"/>
      <c r="C531" s="32"/>
      <c r="D531" s="32"/>
      <c r="E531" s="32"/>
      <c r="F531" s="32"/>
      <c r="G531" s="32"/>
      <c r="H531" s="32"/>
      <c r="I531" s="32"/>
    </row>
    <row r="532" spans="2:9" customFormat="1">
      <c r="B532" s="32"/>
      <c r="C532" s="32"/>
      <c r="D532" s="32"/>
      <c r="E532" s="32"/>
      <c r="F532" s="32"/>
      <c r="G532" s="32"/>
      <c r="H532" s="32"/>
      <c r="I532" s="32"/>
    </row>
    <row r="533" spans="2:9" customFormat="1">
      <c r="B533" s="32"/>
      <c r="C533" s="32"/>
      <c r="D533" s="32"/>
      <c r="E533" s="32"/>
      <c r="F533" s="32"/>
      <c r="G533" s="32"/>
      <c r="H533" s="32"/>
      <c r="I533" s="32"/>
    </row>
    <row r="534" spans="2:9" customFormat="1">
      <c r="B534" s="32"/>
      <c r="C534" s="32"/>
      <c r="D534" s="32"/>
      <c r="E534" s="32"/>
      <c r="F534" s="32"/>
      <c r="G534" s="32"/>
      <c r="H534" s="32"/>
      <c r="I534" s="32"/>
    </row>
    <row r="535" spans="2:9" customFormat="1">
      <c r="B535" s="32"/>
      <c r="C535" s="32"/>
      <c r="D535" s="32"/>
      <c r="E535" s="32"/>
      <c r="F535" s="32"/>
      <c r="G535" s="32"/>
      <c r="H535" s="32"/>
      <c r="I535" s="32"/>
    </row>
    <row r="536" spans="2:9" customFormat="1">
      <c r="B536" s="32"/>
      <c r="C536" s="32"/>
      <c r="D536" s="32"/>
      <c r="E536" s="32"/>
      <c r="F536" s="32"/>
      <c r="G536" s="32"/>
      <c r="H536" s="32"/>
      <c r="I536" s="32"/>
    </row>
    <row r="537" spans="2:9" customFormat="1">
      <c r="B537" s="32"/>
      <c r="C537" s="32"/>
      <c r="D537" s="32"/>
      <c r="E537" s="32"/>
      <c r="F537" s="32"/>
      <c r="G537" s="32"/>
      <c r="H537" s="32"/>
      <c r="I537" s="32"/>
    </row>
    <row r="538" spans="2:9" customFormat="1">
      <c r="B538" s="32"/>
      <c r="C538" s="32"/>
      <c r="D538" s="32"/>
      <c r="E538" s="32"/>
      <c r="F538" s="32"/>
      <c r="G538" s="32"/>
      <c r="H538" s="32"/>
      <c r="I538" s="32"/>
    </row>
    <row r="539" spans="2:9" customFormat="1">
      <c r="B539" s="32"/>
      <c r="C539" s="32"/>
      <c r="D539" s="32"/>
      <c r="E539" s="32"/>
      <c r="F539" s="32"/>
      <c r="G539" s="32"/>
      <c r="H539" s="32"/>
      <c r="I539" s="32"/>
    </row>
    <row r="540" spans="2:9" customFormat="1">
      <c r="B540" s="32"/>
      <c r="C540" s="32"/>
      <c r="D540" s="32"/>
      <c r="E540" s="32"/>
      <c r="F540" s="32"/>
      <c r="G540" s="32"/>
      <c r="H540" s="32"/>
      <c r="I540" s="32"/>
    </row>
    <row r="541" spans="2:9" customFormat="1">
      <c r="B541" s="32"/>
      <c r="C541" s="32"/>
      <c r="D541" s="32"/>
      <c r="E541" s="32"/>
      <c r="F541" s="32"/>
      <c r="G541" s="32"/>
      <c r="H541" s="32"/>
      <c r="I541" s="32"/>
    </row>
    <row r="542" spans="2:9" customFormat="1">
      <c r="B542" s="32"/>
      <c r="C542" s="32"/>
      <c r="D542" s="32"/>
      <c r="E542" s="32"/>
      <c r="F542" s="32"/>
      <c r="G542" s="32"/>
      <c r="H542" s="32"/>
      <c r="I542" s="32"/>
    </row>
    <row r="543" spans="2:9" customFormat="1">
      <c r="B543" s="32"/>
      <c r="C543" s="32"/>
      <c r="D543" s="32"/>
      <c r="E543" s="32"/>
      <c r="F543" s="32"/>
      <c r="G543" s="32"/>
      <c r="H543" s="32"/>
      <c r="I543" s="32"/>
    </row>
    <row r="544" spans="2:9" customFormat="1">
      <c r="B544" s="32"/>
      <c r="C544" s="32"/>
      <c r="D544" s="32"/>
      <c r="E544" s="32"/>
      <c r="F544" s="32"/>
      <c r="G544" s="32"/>
      <c r="H544" s="32"/>
      <c r="I544" s="32"/>
    </row>
    <row r="545" spans="2:9" customFormat="1">
      <c r="B545" s="32"/>
      <c r="C545" s="32"/>
      <c r="D545" s="32"/>
      <c r="E545" s="32"/>
      <c r="F545" s="32"/>
      <c r="G545" s="32"/>
      <c r="H545" s="32"/>
      <c r="I545" s="32"/>
    </row>
    <row r="546" spans="2:9" customFormat="1">
      <c r="B546" s="32"/>
      <c r="C546" s="32"/>
      <c r="D546" s="32"/>
      <c r="E546" s="32"/>
      <c r="F546" s="32"/>
      <c r="G546" s="32"/>
      <c r="H546" s="32"/>
      <c r="I546" s="32"/>
    </row>
    <row r="547" spans="2:9" customFormat="1">
      <c r="B547" s="32"/>
      <c r="C547" s="32"/>
      <c r="D547" s="32"/>
      <c r="E547" s="32"/>
      <c r="F547" s="32"/>
      <c r="G547" s="32"/>
      <c r="H547" s="32"/>
      <c r="I547" s="32"/>
    </row>
    <row r="548" spans="2:9" customFormat="1">
      <c r="B548" s="32"/>
      <c r="C548" s="32"/>
      <c r="D548" s="32"/>
      <c r="E548" s="32"/>
      <c r="F548" s="32"/>
      <c r="G548" s="32"/>
      <c r="H548" s="32"/>
      <c r="I548" s="32"/>
    </row>
    <row r="549" spans="2:9" customFormat="1">
      <c r="B549" s="32"/>
      <c r="C549" s="32"/>
      <c r="D549" s="32"/>
      <c r="E549" s="32"/>
      <c r="F549" s="32"/>
      <c r="G549" s="32"/>
      <c r="H549" s="32"/>
      <c r="I549" s="32"/>
    </row>
    <row r="550" spans="2:9" customFormat="1">
      <c r="B550" s="32"/>
      <c r="C550" s="32"/>
      <c r="D550" s="32"/>
      <c r="E550" s="32"/>
      <c r="F550" s="32"/>
      <c r="G550" s="32"/>
      <c r="H550" s="32"/>
      <c r="I550" s="32"/>
    </row>
    <row r="551" spans="2:9" customFormat="1">
      <c r="B551" s="32"/>
      <c r="C551" s="32"/>
      <c r="D551" s="32"/>
      <c r="E551" s="32"/>
      <c r="F551" s="32"/>
      <c r="G551" s="32"/>
      <c r="H551" s="32"/>
      <c r="I551" s="32"/>
    </row>
    <row r="552" spans="2:9" customFormat="1">
      <c r="B552" s="32"/>
      <c r="C552" s="32"/>
      <c r="D552" s="32"/>
      <c r="E552" s="32"/>
      <c r="F552" s="32"/>
      <c r="G552" s="32"/>
      <c r="H552" s="32"/>
      <c r="I552" s="32"/>
    </row>
    <row r="553" spans="2:9" customFormat="1">
      <c r="B553" s="32"/>
      <c r="C553" s="32"/>
      <c r="D553" s="32"/>
      <c r="E553" s="32"/>
      <c r="F553" s="32"/>
      <c r="G553" s="32"/>
      <c r="H553" s="32"/>
      <c r="I553" s="32"/>
    </row>
    <row r="554" spans="2:9" customFormat="1">
      <c r="B554" s="32"/>
      <c r="C554" s="32"/>
      <c r="D554" s="32"/>
      <c r="E554" s="32"/>
      <c r="F554" s="32"/>
      <c r="G554" s="32"/>
      <c r="H554" s="32"/>
      <c r="I554" s="32"/>
    </row>
    <row r="555" spans="2:9" customFormat="1">
      <c r="B555" s="32"/>
      <c r="C555" s="32"/>
      <c r="D555" s="32"/>
      <c r="E555" s="32"/>
      <c r="F555" s="32"/>
      <c r="G555" s="32"/>
      <c r="H555" s="32"/>
      <c r="I555" s="32"/>
    </row>
    <row r="556" spans="2:9" customFormat="1">
      <c r="B556" s="32"/>
      <c r="C556" s="32"/>
      <c r="D556" s="32"/>
      <c r="E556" s="32"/>
      <c r="F556" s="32"/>
      <c r="G556" s="32"/>
      <c r="H556" s="32"/>
      <c r="I556" s="32"/>
    </row>
    <row r="557" spans="2:9" customFormat="1">
      <c r="B557" s="32"/>
      <c r="C557" s="32"/>
      <c r="D557" s="32"/>
      <c r="E557" s="32"/>
      <c r="F557" s="32"/>
      <c r="G557" s="32"/>
      <c r="H557" s="32"/>
      <c r="I557" s="32"/>
    </row>
    <row r="558" spans="2:9" customFormat="1">
      <c r="B558" s="32"/>
      <c r="C558" s="32"/>
      <c r="D558" s="32"/>
      <c r="E558" s="32"/>
      <c r="F558" s="32"/>
      <c r="G558" s="32"/>
      <c r="H558" s="32"/>
      <c r="I558" s="32"/>
    </row>
    <row r="559" spans="2:9" customFormat="1">
      <c r="B559" s="32"/>
      <c r="C559" s="32"/>
      <c r="D559" s="32"/>
      <c r="E559" s="32"/>
      <c r="F559" s="32"/>
      <c r="G559" s="32"/>
      <c r="H559" s="32"/>
      <c r="I559" s="32"/>
    </row>
    <row r="560" spans="2:9" customFormat="1">
      <c r="B560" s="32"/>
      <c r="C560" s="32"/>
      <c r="D560" s="32"/>
      <c r="E560" s="32"/>
      <c r="F560" s="32"/>
      <c r="G560" s="32"/>
      <c r="H560" s="32"/>
      <c r="I560" s="32"/>
    </row>
    <row r="561" spans="2:9" customFormat="1">
      <c r="B561" s="32"/>
      <c r="C561" s="32"/>
      <c r="D561" s="32"/>
      <c r="E561" s="32"/>
      <c r="F561" s="32"/>
      <c r="G561" s="32"/>
      <c r="H561" s="32"/>
      <c r="I561" s="32"/>
    </row>
    <row r="562" spans="2:9" customFormat="1">
      <c r="B562" s="32"/>
      <c r="C562" s="32"/>
      <c r="D562" s="32"/>
      <c r="E562" s="32"/>
      <c r="F562" s="32"/>
      <c r="G562" s="32"/>
      <c r="H562" s="32"/>
      <c r="I562" s="32"/>
    </row>
    <row r="563" spans="2:9" customFormat="1">
      <c r="B563" s="32"/>
      <c r="C563" s="32"/>
      <c r="D563" s="32"/>
      <c r="E563" s="32"/>
      <c r="F563" s="32"/>
      <c r="G563" s="32"/>
      <c r="H563" s="32"/>
      <c r="I563" s="32"/>
    </row>
    <row r="564" spans="2:9" customFormat="1">
      <c r="B564" s="32"/>
      <c r="C564" s="32"/>
      <c r="D564" s="32"/>
      <c r="E564" s="32"/>
      <c r="F564" s="32"/>
      <c r="G564" s="32"/>
      <c r="H564" s="32"/>
      <c r="I564" s="32"/>
    </row>
    <row r="565" spans="2:9" customFormat="1">
      <c r="B565" s="32"/>
      <c r="C565" s="32"/>
      <c r="D565" s="32"/>
      <c r="E565" s="32"/>
      <c r="F565" s="32"/>
      <c r="G565" s="32"/>
      <c r="H565" s="32"/>
      <c r="I565" s="32"/>
    </row>
    <row r="566" spans="2:9" customFormat="1">
      <c r="B566" s="32"/>
      <c r="C566" s="32"/>
      <c r="D566" s="32"/>
      <c r="E566" s="32"/>
      <c r="F566" s="32"/>
      <c r="G566" s="32"/>
      <c r="H566" s="32"/>
      <c r="I566" s="32"/>
    </row>
    <row r="567" spans="2:9" customFormat="1">
      <c r="B567" s="32"/>
      <c r="C567" s="32"/>
      <c r="D567" s="32"/>
      <c r="E567" s="32"/>
      <c r="F567" s="32"/>
      <c r="G567" s="32"/>
      <c r="H567" s="32"/>
      <c r="I567" s="32"/>
    </row>
    <row r="568" spans="2:9" customFormat="1">
      <c r="B568" s="32"/>
      <c r="C568" s="32"/>
      <c r="D568" s="32"/>
      <c r="E568" s="32"/>
      <c r="F568" s="32"/>
      <c r="G568" s="32"/>
      <c r="H568" s="32"/>
      <c r="I568" s="32"/>
    </row>
    <row r="569" spans="2:9" customFormat="1">
      <c r="B569" s="32"/>
      <c r="C569" s="32"/>
      <c r="D569" s="32"/>
      <c r="E569" s="32"/>
      <c r="F569" s="32"/>
      <c r="G569" s="32"/>
      <c r="H569" s="32"/>
      <c r="I569" s="32"/>
    </row>
    <row r="570" spans="2:9" customFormat="1">
      <c r="B570" s="32"/>
      <c r="C570" s="32"/>
      <c r="D570" s="32"/>
      <c r="E570" s="32"/>
      <c r="F570" s="32"/>
      <c r="G570" s="32"/>
      <c r="H570" s="32"/>
      <c r="I570" s="32"/>
    </row>
    <row r="571" spans="2:9" customFormat="1">
      <c r="B571" s="32"/>
      <c r="C571" s="32"/>
      <c r="D571" s="32"/>
      <c r="E571" s="32"/>
      <c r="F571" s="32"/>
      <c r="G571" s="32"/>
      <c r="H571" s="32"/>
      <c r="I571" s="32"/>
    </row>
    <row r="572" spans="2:9" customFormat="1">
      <c r="B572" s="32"/>
      <c r="C572" s="32"/>
      <c r="D572" s="32"/>
      <c r="E572" s="32"/>
      <c r="F572" s="32"/>
      <c r="G572" s="32"/>
      <c r="H572" s="32"/>
      <c r="I572" s="32"/>
    </row>
    <row r="573" spans="2:9" customFormat="1">
      <c r="B573" s="32"/>
      <c r="C573" s="32"/>
      <c r="D573" s="32"/>
      <c r="E573" s="32"/>
      <c r="F573" s="32"/>
      <c r="G573" s="32"/>
      <c r="H573" s="32"/>
      <c r="I573" s="32"/>
    </row>
    <row r="574" spans="2:9" customFormat="1">
      <c r="B574" s="32"/>
      <c r="C574" s="32"/>
      <c r="D574" s="32"/>
      <c r="E574" s="32"/>
      <c r="F574" s="32"/>
      <c r="G574" s="32"/>
      <c r="H574" s="32"/>
      <c r="I574" s="32"/>
    </row>
    <row r="575" spans="2:9" customFormat="1">
      <c r="B575" s="32"/>
      <c r="C575" s="32"/>
      <c r="D575" s="32"/>
      <c r="E575" s="32"/>
      <c r="F575" s="32"/>
      <c r="G575" s="32"/>
      <c r="H575" s="32"/>
      <c r="I575" s="32"/>
    </row>
    <row r="576" spans="2:9" customFormat="1">
      <c r="B576" s="32"/>
      <c r="C576" s="32"/>
      <c r="D576" s="32"/>
      <c r="E576" s="32"/>
      <c r="F576" s="32"/>
      <c r="G576" s="32"/>
      <c r="H576" s="32"/>
      <c r="I576" s="32"/>
    </row>
    <row r="577" spans="2:9" customFormat="1">
      <c r="B577" s="32"/>
      <c r="C577" s="32"/>
      <c r="D577" s="32"/>
      <c r="E577" s="32"/>
      <c r="F577" s="32"/>
      <c r="G577" s="32"/>
      <c r="H577" s="32"/>
      <c r="I577" s="32"/>
    </row>
    <row r="578" spans="2:9" customFormat="1">
      <c r="B578" s="32"/>
      <c r="C578" s="32"/>
      <c r="D578" s="32"/>
      <c r="E578" s="32"/>
      <c r="F578" s="32"/>
      <c r="G578" s="32"/>
      <c r="H578" s="32"/>
      <c r="I578" s="32"/>
    </row>
    <row r="579" spans="2:9" customFormat="1">
      <c r="B579" s="32"/>
      <c r="C579" s="32"/>
      <c r="D579" s="32"/>
      <c r="E579" s="32"/>
      <c r="F579" s="32"/>
      <c r="G579" s="32"/>
      <c r="H579" s="32"/>
      <c r="I579" s="32"/>
    </row>
    <row r="580" spans="2:9" customFormat="1">
      <c r="B580" s="32"/>
      <c r="C580" s="32"/>
      <c r="D580" s="32"/>
      <c r="E580" s="32"/>
      <c r="F580" s="32"/>
      <c r="G580" s="32"/>
      <c r="H580" s="32"/>
      <c r="I580" s="32"/>
    </row>
    <row r="581" spans="2:9" customFormat="1">
      <c r="B581" s="32"/>
      <c r="C581" s="32"/>
      <c r="D581" s="32"/>
      <c r="E581" s="32"/>
      <c r="F581" s="32"/>
      <c r="G581" s="32"/>
      <c r="H581" s="32"/>
      <c r="I581" s="32"/>
    </row>
    <row r="582" spans="2:9" customFormat="1">
      <c r="B582" s="32"/>
      <c r="C582" s="32"/>
      <c r="D582" s="32"/>
      <c r="E582" s="32"/>
      <c r="F582" s="32"/>
      <c r="G582" s="32"/>
      <c r="H582" s="32"/>
      <c r="I582" s="32"/>
    </row>
    <row r="583" spans="2:9" customFormat="1">
      <c r="B583" s="32"/>
      <c r="C583" s="32"/>
      <c r="D583" s="32"/>
      <c r="E583" s="32"/>
      <c r="F583" s="32"/>
      <c r="G583" s="32"/>
      <c r="H583" s="32"/>
      <c r="I583" s="32"/>
    </row>
    <row r="584" spans="2:9" customFormat="1">
      <c r="B584" s="32"/>
      <c r="C584" s="32"/>
      <c r="D584" s="32"/>
      <c r="E584" s="32"/>
      <c r="F584" s="32"/>
      <c r="G584" s="32"/>
      <c r="H584" s="32"/>
      <c r="I584" s="32"/>
    </row>
    <row r="585" spans="2:9" customFormat="1">
      <c r="B585" s="32"/>
      <c r="C585" s="32"/>
      <c r="D585" s="32"/>
      <c r="E585" s="32"/>
      <c r="F585" s="32"/>
      <c r="G585" s="32"/>
      <c r="H585" s="32"/>
      <c r="I585" s="32"/>
    </row>
    <row r="586" spans="2:9" customFormat="1">
      <c r="B586" s="32"/>
      <c r="C586" s="32"/>
      <c r="D586" s="32"/>
      <c r="E586" s="32"/>
      <c r="F586" s="32"/>
      <c r="G586" s="32"/>
      <c r="H586" s="32"/>
      <c r="I586" s="32"/>
    </row>
    <row r="587" spans="2:9" customFormat="1">
      <c r="B587" s="32"/>
      <c r="C587" s="32"/>
      <c r="D587" s="32"/>
      <c r="E587" s="32"/>
      <c r="F587" s="32"/>
      <c r="G587" s="32"/>
      <c r="H587" s="32"/>
      <c r="I587" s="32"/>
    </row>
    <row r="588" spans="2:9" customFormat="1">
      <c r="B588" s="32"/>
      <c r="C588" s="32"/>
      <c r="D588" s="32"/>
      <c r="E588" s="32"/>
      <c r="F588" s="32"/>
      <c r="G588" s="32"/>
      <c r="H588" s="32"/>
      <c r="I588" s="32"/>
    </row>
    <row r="589" spans="2:9" customFormat="1">
      <c r="B589" s="32"/>
      <c r="C589" s="32"/>
      <c r="D589" s="32"/>
      <c r="E589" s="32"/>
      <c r="F589" s="32"/>
      <c r="G589" s="32"/>
      <c r="H589" s="32"/>
      <c r="I589" s="32"/>
    </row>
    <row r="590" spans="2:9" customFormat="1">
      <c r="B590" s="32"/>
      <c r="C590" s="32"/>
      <c r="D590" s="32"/>
      <c r="E590" s="32"/>
      <c r="F590" s="32"/>
      <c r="G590" s="32"/>
      <c r="H590" s="32"/>
      <c r="I590" s="32"/>
    </row>
    <row r="591" spans="2:9" customFormat="1">
      <c r="B591" s="32"/>
      <c r="C591" s="32"/>
      <c r="D591" s="32"/>
      <c r="E591" s="32"/>
      <c r="F591" s="32"/>
      <c r="G591" s="32"/>
      <c r="H591" s="32"/>
      <c r="I591" s="32"/>
    </row>
    <row r="592" spans="2:9" customFormat="1">
      <c r="B592" s="32"/>
      <c r="C592" s="32"/>
      <c r="D592" s="32"/>
      <c r="E592" s="32"/>
      <c r="F592" s="32"/>
      <c r="G592" s="32"/>
      <c r="H592" s="32"/>
      <c r="I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260F-2AA9-4C63-9150-538760065F4D}">
  <sheetPr>
    <tabColor rgb="FFFFFF00"/>
    <pageSetUpPr fitToPage="1"/>
  </sheetPr>
  <dimension ref="A1:G1568"/>
  <sheetViews>
    <sheetView zoomScaleNormal="100" workbookViewId="0">
      <selection activeCell="A28" sqref="A28"/>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66" t="s">
        <v>476</v>
      </c>
      <c r="B1" s="166"/>
      <c r="C1" s="166"/>
      <c r="D1" s="32"/>
      <c r="E1" s="32"/>
      <c r="F1" s="32"/>
    </row>
    <row r="2" spans="1:7" hidden="1">
      <c r="A2" s="56" t="s">
        <v>3</v>
      </c>
      <c r="B2" s="60" t="s">
        <v>222</v>
      </c>
    </row>
    <row r="3" spans="1:7" hidden="1">
      <c r="A3" s="56" t="s">
        <v>0</v>
      </c>
      <c r="B3" t="s">
        <v>222</v>
      </c>
    </row>
    <row r="4" spans="1:7" hidden="1">
      <c r="A4" s="56" t="s">
        <v>11</v>
      </c>
      <c r="B4" t="s">
        <v>185</v>
      </c>
    </row>
    <row r="6" spans="1:7" ht="28.9">
      <c r="A6" s="76" t="s">
        <v>218</v>
      </c>
      <c r="B6" t="s">
        <v>428</v>
      </c>
      <c r="C6" s="104" t="s">
        <v>451</v>
      </c>
      <c r="D6"/>
      <c r="E6"/>
      <c r="F6"/>
      <c r="G6"/>
    </row>
    <row r="7" spans="1:7">
      <c r="A7" s="43" t="s">
        <v>71</v>
      </c>
      <c r="D7"/>
      <c r="E7"/>
      <c r="F7"/>
      <c r="G7"/>
    </row>
    <row r="8" spans="1:7">
      <c r="A8" s="57" t="s">
        <v>351</v>
      </c>
      <c r="D8"/>
      <c r="E8"/>
      <c r="F8"/>
      <c r="G8"/>
    </row>
    <row r="9" spans="1:7">
      <c r="A9" s="58" t="s">
        <v>156</v>
      </c>
      <c r="D9"/>
      <c r="E9"/>
      <c r="F9"/>
      <c r="G9"/>
    </row>
    <row r="10" spans="1:7">
      <c r="A10" s="71" t="s">
        <v>28</v>
      </c>
      <c r="B10" s="60">
        <v>1</v>
      </c>
      <c r="D10"/>
      <c r="F10"/>
      <c r="G10"/>
    </row>
    <row r="11" spans="1:7">
      <c r="A11" s="71" t="s">
        <v>23</v>
      </c>
      <c r="B11" s="60">
        <v>0</v>
      </c>
      <c r="D11"/>
      <c r="F11"/>
      <c r="G11"/>
    </row>
    <row r="12" spans="1:7">
      <c r="A12" s="57" t="s">
        <v>138</v>
      </c>
      <c r="D12"/>
      <c r="F12"/>
      <c r="G12"/>
    </row>
    <row r="13" spans="1:7">
      <c r="A13" s="58" t="s">
        <v>195</v>
      </c>
      <c r="D13"/>
      <c r="F13"/>
      <c r="G13"/>
    </row>
    <row r="14" spans="1:7">
      <c r="A14" s="71" t="s">
        <v>28</v>
      </c>
      <c r="B14" s="60">
        <v>0</v>
      </c>
      <c r="C14" s="60">
        <v>1</v>
      </c>
      <c r="D14"/>
      <c r="F14"/>
      <c r="G14"/>
    </row>
    <row r="15" spans="1:7">
      <c r="A15" s="71" t="s">
        <v>23</v>
      </c>
      <c r="B15" s="60">
        <v>4</v>
      </c>
      <c r="C15" s="60">
        <v>1</v>
      </c>
      <c r="D15"/>
      <c r="F15"/>
      <c r="G15"/>
    </row>
    <row r="16" spans="1:7">
      <c r="A16" s="57" t="s">
        <v>477</v>
      </c>
      <c r="D16"/>
      <c r="E16"/>
      <c r="F16"/>
      <c r="G16"/>
    </row>
    <row r="17" spans="1:5" customFormat="1">
      <c r="A17" s="58" t="s">
        <v>137</v>
      </c>
      <c r="B17" s="60"/>
      <c r="C17" s="60"/>
      <c r="D17" s="60"/>
    </row>
    <row r="18" spans="1:5" customFormat="1">
      <c r="A18" s="71" t="s">
        <v>23</v>
      </c>
      <c r="B18" s="60">
        <v>1</v>
      </c>
      <c r="C18" s="60"/>
    </row>
    <row r="19" spans="1:5" customFormat="1"/>
    <row r="20" spans="1:5" customFormat="1"/>
    <row r="21" spans="1:5" customFormat="1"/>
    <row r="22" spans="1:5" customFormat="1"/>
    <row r="23" spans="1:5" customFormat="1">
      <c r="E23" s="60"/>
    </row>
    <row r="24" spans="1:5" customFormat="1"/>
    <row r="25" spans="1:5" customFormat="1">
      <c r="E25" t="s">
        <v>87</v>
      </c>
    </row>
    <row r="26" spans="1:5" customFormat="1">
      <c r="E26" s="60"/>
    </row>
    <row r="27" spans="1:5" customFormat="1">
      <c r="E27" s="60"/>
    </row>
    <row r="28" spans="1:5" customFormat="1">
      <c r="E28" s="60"/>
    </row>
    <row r="29" spans="1:5" customFormat="1"/>
    <row r="30" spans="1:5" customFormat="1"/>
    <row r="31" spans="1:5" customFormat="1"/>
    <row r="32" spans="1:5"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1:7">
      <c r="A65"/>
      <c r="B65"/>
      <c r="C65"/>
      <c r="D65"/>
      <c r="E65"/>
      <c r="F65"/>
      <c r="G65"/>
    </row>
    <row r="66" spans="1:7">
      <c r="A66"/>
      <c r="B66"/>
      <c r="C66"/>
      <c r="D66"/>
      <c r="E66"/>
      <c r="F66"/>
      <c r="G66"/>
    </row>
    <row r="67" spans="1:7">
      <c r="A67"/>
      <c r="B67"/>
      <c r="C67"/>
      <c r="D67" s="32"/>
      <c r="E67" s="32"/>
      <c r="F67" s="32"/>
    </row>
    <row r="68" spans="1:7">
      <c r="A68"/>
      <c r="B68"/>
      <c r="C68"/>
      <c r="D68" s="32"/>
      <c r="E68" s="32"/>
      <c r="F68" s="32"/>
    </row>
    <row r="69" spans="1:7">
      <c r="A69"/>
      <c r="B69"/>
      <c r="C69"/>
      <c r="D69" s="32"/>
      <c r="E69" s="32"/>
      <c r="F69" s="32"/>
    </row>
    <row r="70" spans="1:7">
      <c r="A70"/>
      <c r="B70"/>
      <c r="C70"/>
      <c r="D70" s="32"/>
      <c r="E70" s="32"/>
      <c r="F70" s="32"/>
    </row>
    <row r="71" spans="1:7">
      <c r="A71"/>
      <c r="B71"/>
      <c r="C71"/>
      <c r="D71" s="32"/>
      <c r="E71" s="32"/>
      <c r="F71" s="32"/>
    </row>
    <row r="72" spans="1:7">
      <c r="A72"/>
      <c r="B72"/>
      <c r="C72"/>
      <c r="D72" s="32"/>
      <c r="E72" s="32"/>
      <c r="F72" s="32"/>
    </row>
    <row r="73" spans="1:7">
      <c r="A73"/>
      <c r="B73"/>
      <c r="C73"/>
      <c r="D73" s="32"/>
      <c r="E73" s="32"/>
      <c r="F73" s="32"/>
    </row>
    <row r="74" spans="1:7">
      <c r="A74"/>
      <c r="B74"/>
      <c r="C74"/>
      <c r="D74" s="32"/>
      <c r="E74" s="32"/>
      <c r="F74" s="32"/>
    </row>
    <row r="75" spans="1:7">
      <c r="A75"/>
      <c r="B75"/>
      <c r="C75"/>
      <c r="D75" s="32"/>
      <c r="E75" s="32"/>
      <c r="F75" s="32"/>
    </row>
    <row r="76" spans="1:7">
      <c r="A76"/>
      <c r="B76"/>
      <c r="C76"/>
      <c r="D76" s="32"/>
      <c r="E76" s="32"/>
      <c r="F76" s="32"/>
    </row>
    <row r="77" spans="1:7">
      <c r="A77"/>
      <c r="B77"/>
      <c r="C77"/>
      <c r="D77" s="32"/>
      <c r="E77" s="32"/>
      <c r="F77" s="32"/>
    </row>
    <row r="78" spans="1:7">
      <c r="A78"/>
      <c r="B78"/>
      <c r="C78"/>
      <c r="D78" s="32"/>
      <c r="E78" s="32"/>
      <c r="F78" s="32"/>
    </row>
    <row r="79" spans="1:7">
      <c r="A79"/>
      <c r="B79"/>
      <c r="C79"/>
      <c r="D79" s="32"/>
      <c r="E79" s="32"/>
      <c r="F79" s="32"/>
    </row>
    <row r="80" spans="1:7">
      <c r="A80"/>
      <c r="B80"/>
      <c r="C80"/>
      <c r="D80" s="32"/>
      <c r="E80" s="32"/>
      <c r="F80" s="32"/>
    </row>
    <row r="81" spans="1:6">
      <c r="A81"/>
      <c r="B81"/>
      <c r="C81"/>
      <c r="D81" s="32"/>
      <c r="E81" s="32"/>
      <c r="F81" s="32"/>
    </row>
    <row r="82" spans="1:6">
      <c r="A82"/>
      <c r="B82"/>
      <c r="C82"/>
      <c r="D82" s="32"/>
      <c r="E82" s="32"/>
      <c r="F82" s="32"/>
    </row>
    <row r="83" spans="1:6">
      <c r="A83"/>
      <c r="B83"/>
      <c r="C83"/>
      <c r="D83" s="32"/>
      <c r="E83" s="32"/>
      <c r="F83" s="32"/>
    </row>
    <row r="84" spans="1:6">
      <c r="A84"/>
      <c r="B84"/>
      <c r="C84"/>
      <c r="D84" s="32"/>
      <c r="E84" s="32"/>
      <c r="F84" s="32"/>
    </row>
    <row r="85" spans="1:6">
      <c r="A85"/>
      <c r="B85"/>
      <c r="C85"/>
      <c r="D85" s="32"/>
      <c r="E85" s="32"/>
      <c r="F85" s="32"/>
    </row>
    <row r="86" spans="1:6">
      <c r="A86"/>
      <c r="B86"/>
      <c r="C86"/>
      <c r="D86" s="32"/>
      <c r="E86" s="32"/>
      <c r="F86" s="32"/>
    </row>
    <row r="87" spans="1:6">
      <c r="A87"/>
      <c r="B87"/>
      <c r="C87"/>
      <c r="D87" s="32"/>
      <c r="E87" s="32"/>
      <c r="F87" s="32"/>
    </row>
    <row r="88" spans="1:6">
      <c r="A88"/>
      <c r="B88"/>
      <c r="C88"/>
      <c r="D88" s="32"/>
      <c r="E88" s="32"/>
      <c r="F88" s="32"/>
    </row>
    <row r="89" spans="1:6">
      <c r="A89"/>
      <c r="B89"/>
      <c r="C89"/>
      <c r="D89" s="32"/>
      <c r="E89" s="32"/>
      <c r="F89" s="32"/>
    </row>
    <row r="90" spans="1:6">
      <c r="A90"/>
      <c r="B90"/>
      <c r="C90"/>
      <c r="D90" s="32"/>
      <c r="E90" s="32"/>
      <c r="F90" s="32"/>
    </row>
    <row r="91" spans="1:6">
      <c r="A91"/>
      <c r="B91"/>
      <c r="C91"/>
      <c r="D91" s="32"/>
      <c r="E91" s="32"/>
      <c r="F91" s="32"/>
    </row>
    <row r="92" spans="1:6">
      <c r="A92"/>
      <c r="B92"/>
      <c r="C92"/>
      <c r="D92" s="32"/>
      <c r="E92" s="32"/>
      <c r="F92" s="32"/>
    </row>
    <row r="93" spans="1:6">
      <c r="A93"/>
      <c r="B93"/>
      <c r="C93"/>
      <c r="D93" s="32"/>
      <c r="E93" s="32"/>
      <c r="F93" s="32"/>
    </row>
    <row r="94" spans="1:6">
      <c r="A94"/>
      <c r="B94"/>
      <c r="C94"/>
      <c r="D94" s="32"/>
      <c r="E94" s="32"/>
      <c r="F94" s="32"/>
    </row>
    <row r="95" spans="1:6">
      <c r="A95"/>
      <c r="B95"/>
      <c r="C95"/>
      <c r="D95" s="32"/>
      <c r="E95" s="32"/>
      <c r="F95" s="32"/>
    </row>
    <row r="96" spans="1:6">
      <c r="A96"/>
      <c r="B96"/>
      <c r="C96"/>
      <c r="D96" s="32"/>
      <c r="E96" s="32"/>
      <c r="F96" s="32"/>
    </row>
    <row r="97" spans="1:6">
      <c r="A97"/>
      <c r="B97"/>
      <c r="C97"/>
      <c r="D97" s="32"/>
      <c r="E97" s="32"/>
      <c r="F97" s="32"/>
    </row>
    <row r="98" spans="1:6">
      <c r="A98"/>
      <c r="B98"/>
      <c r="C98"/>
      <c r="D98" s="32"/>
      <c r="E98" s="32"/>
      <c r="F98" s="32"/>
    </row>
    <row r="99" spans="1:6">
      <c r="A99"/>
      <c r="B99"/>
      <c r="C99"/>
      <c r="D99" s="32"/>
      <c r="E99" s="32"/>
      <c r="F99" s="32"/>
    </row>
    <row r="100" spans="1:6">
      <c r="A100"/>
      <c r="B100"/>
      <c r="C100"/>
      <c r="D100" s="32"/>
      <c r="E100" s="32"/>
      <c r="F100" s="32"/>
    </row>
    <row r="101" spans="1:6">
      <c r="A101"/>
      <c r="B101"/>
      <c r="C101"/>
      <c r="D101" s="32"/>
      <c r="E101" s="32"/>
      <c r="F101" s="32"/>
    </row>
    <row r="102" spans="1:6">
      <c r="A102"/>
      <c r="B102"/>
      <c r="C102"/>
      <c r="D102" s="32"/>
      <c r="E102" s="32"/>
      <c r="F102" s="32"/>
    </row>
    <row r="103" spans="1:6">
      <c r="A103"/>
      <c r="B103"/>
      <c r="C103"/>
      <c r="D103" s="32"/>
      <c r="E103" s="32"/>
      <c r="F103" s="32"/>
    </row>
    <row r="104" spans="1:6">
      <c r="A104"/>
      <c r="B104"/>
      <c r="C104"/>
      <c r="D104" s="32"/>
      <c r="E104" s="32"/>
      <c r="F104" s="32"/>
    </row>
    <row r="105" spans="1:6">
      <c r="A105"/>
      <c r="B105"/>
      <c r="C105"/>
      <c r="D105" s="32"/>
      <c r="E105" s="32"/>
      <c r="F105" s="32"/>
    </row>
    <row r="106" spans="1:6">
      <c r="A106"/>
      <c r="B106"/>
      <c r="C106"/>
      <c r="D106" s="32"/>
      <c r="E106" s="32"/>
      <c r="F106" s="32"/>
    </row>
    <row r="107" spans="1:6">
      <c r="A107"/>
      <c r="B107"/>
      <c r="C107"/>
      <c r="D107" s="32"/>
      <c r="E107" s="32"/>
      <c r="F107" s="32"/>
    </row>
    <row r="108" spans="1:6">
      <c r="A108"/>
      <c r="B108"/>
      <c r="C108"/>
      <c r="D108" s="32"/>
      <c r="E108" s="32"/>
      <c r="F108" s="32"/>
    </row>
    <row r="109" spans="1:6">
      <c r="A109"/>
      <c r="B109"/>
      <c r="C109"/>
      <c r="D109" s="32"/>
      <c r="E109" s="32"/>
      <c r="F109" s="32"/>
    </row>
    <row r="110" spans="1:6">
      <c r="A110"/>
      <c r="B110"/>
      <c r="C110"/>
      <c r="D110" s="32"/>
      <c r="E110" s="32"/>
      <c r="F110" s="32"/>
    </row>
    <row r="111" spans="1:6">
      <c r="A111"/>
      <c r="B111"/>
      <c r="C111"/>
      <c r="D111" s="32"/>
      <c r="E111" s="32"/>
      <c r="F111" s="32"/>
    </row>
    <row r="112" spans="1:6">
      <c r="A112"/>
      <c r="B112"/>
      <c r="C112"/>
      <c r="D112" s="32"/>
      <c r="E112" s="32"/>
      <c r="F112" s="32"/>
    </row>
    <row r="113" spans="1:6">
      <c r="A113"/>
      <c r="B113"/>
      <c r="C113"/>
      <c r="D113" s="32"/>
      <c r="E113" s="32"/>
      <c r="F113" s="32"/>
    </row>
    <row r="114" spans="1:6">
      <c r="A114"/>
      <c r="B114"/>
      <c r="C114"/>
      <c r="D114" s="32"/>
      <c r="E114" s="32"/>
      <c r="F114" s="32"/>
    </row>
    <row r="115" spans="1:6">
      <c r="A115"/>
      <c r="B115"/>
      <c r="C115"/>
      <c r="D115" s="32"/>
      <c r="E115" s="32"/>
      <c r="F115" s="32"/>
    </row>
    <row r="116" spans="1:6">
      <c r="A116"/>
      <c r="B116"/>
      <c r="C116"/>
      <c r="D116" s="32"/>
      <c r="E116" s="32"/>
      <c r="F116" s="32"/>
    </row>
    <row r="117" spans="1:6">
      <c r="A117"/>
      <c r="B117"/>
      <c r="C117"/>
      <c r="D117" s="32"/>
      <c r="E117" s="32"/>
      <c r="F117" s="32"/>
    </row>
    <row r="118" spans="1:6">
      <c r="A118"/>
      <c r="B118"/>
      <c r="C118"/>
      <c r="D118" s="32"/>
      <c r="E118" s="32"/>
      <c r="F118" s="32"/>
    </row>
    <row r="119" spans="1:6">
      <c r="A119"/>
      <c r="B119"/>
      <c r="C119"/>
      <c r="D119" s="32"/>
      <c r="E119" s="32"/>
      <c r="F119" s="32"/>
    </row>
    <row r="120" spans="1:6">
      <c r="A120"/>
      <c r="B120"/>
      <c r="C120"/>
      <c r="D120" s="32"/>
      <c r="E120" s="32"/>
      <c r="F120" s="32"/>
    </row>
    <row r="121" spans="1:6">
      <c r="A121"/>
      <c r="B121"/>
      <c r="C121"/>
      <c r="D121" s="32"/>
      <c r="E121" s="32"/>
      <c r="F121" s="32"/>
    </row>
    <row r="122" spans="1:6">
      <c r="A122"/>
      <c r="B122"/>
      <c r="C122"/>
      <c r="D122" s="32"/>
      <c r="E122" s="32"/>
      <c r="F122" s="32"/>
    </row>
    <row r="123" spans="1:6">
      <c r="A123"/>
      <c r="B123"/>
      <c r="C123"/>
      <c r="D123" s="32"/>
      <c r="E123" s="32"/>
      <c r="F123" s="32"/>
    </row>
    <row r="124" spans="1:6">
      <c r="A124"/>
      <c r="B124"/>
      <c r="C124"/>
      <c r="D124" s="32"/>
      <c r="E124" s="32"/>
      <c r="F124" s="32"/>
    </row>
    <row r="125" spans="1:6">
      <c r="A125"/>
      <c r="B125"/>
      <c r="C125"/>
      <c r="D125" s="32"/>
      <c r="E125" s="32"/>
      <c r="F125" s="32"/>
    </row>
    <row r="126" spans="1:6">
      <c r="A126"/>
      <c r="B126"/>
      <c r="C126"/>
      <c r="D126" s="32"/>
      <c r="E126" s="32"/>
      <c r="F126" s="32"/>
    </row>
    <row r="127" spans="1:6">
      <c r="A127"/>
      <c r="B127"/>
      <c r="C127"/>
      <c r="D127" s="32"/>
      <c r="E127" s="32"/>
      <c r="F127" s="32"/>
    </row>
    <row r="128" spans="1:6">
      <c r="A128"/>
      <c r="B128"/>
      <c r="C128"/>
      <c r="D128" s="32"/>
      <c r="E128" s="32"/>
      <c r="F128" s="32"/>
    </row>
    <row r="129" spans="1:6">
      <c r="A129"/>
      <c r="B129"/>
      <c r="C129"/>
      <c r="D129" s="32"/>
      <c r="E129" s="32"/>
      <c r="F129" s="32"/>
    </row>
    <row r="130" spans="1:6">
      <c r="A130"/>
      <c r="B130"/>
      <c r="C130"/>
      <c r="D130" s="32"/>
      <c r="E130" s="32"/>
      <c r="F130" s="32"/>
    </row>
    <row r="131" spans="1:6">
      <c r="A131"/>
      <c r="B131"/>
      <c r="C131"/>
      <c r="D131" s="32"/>
      <c r="E131" s="32"/>
      <c r="F131" s="32"/>
    </row>
    <row r="132" spans="1:6">
      <c r="A132"/>
      <c r="B132"/>
      <c r="C132"/>
      <c r="D132" s="32"/>
      <c r="E132" s="32"/>
      <c r="F132" s="32"/>
    </row>
    <row r="133" spans="1:6">
      <c r="A133"/>
      <c r="B133"/>
      <c r="C133"/>
      <c r="D133" s="32"/>
      <c r="E133" s="32"/>
      <c r="F133" s="32"/>
    </row>
    <row r="134" spans="1:6">
      <c r="A134"/>
      <c r="B134"/>
      <c r="C134"/>
      <c r="D134" s="32"/>
      <c r="E134" s="32"/>
      <c r="F134" s="32"/>
    </row>
    <row r="135" spans="1:6">
      <c r="A135"/>
      <c r="B135"/>
      <c r="C135"/>
      <c r="D135" s="32"/>
      <c r="E135" s="32"/>
      <c r="F135" s="32"/>
    </row>
    <row r="136" spans="1:6">
      <c r="A136"/>
      <c r="B136"/>
      <c r="C136"/>
      <c r="D136" s="32"/>
      <c r="E136" s="32"/>
      <c r="F136" s="32"/>
    </row>
    <row r="137" spans="1:6">
      <c r="A137"/>
      <c r="B137"/>
      <c r="C137"/>
      <c r="D137" s="32"/>
      <c r="E137" s="32"/>
      <c r="F137" s="32"/>
    </row>
    <row r="138" spans="1:6">
      <c r="A138"/>
      <c r="B138"/>
      <c r="C138"/>
      <c r="D138" s="32"/>
      <c r="E138" s="32"/>
      <c r="F138" s="32"/>
    </row>
    <row r="139" spans="1:6">
      <c r="A139"/>
      <c r="B139"/>
      <c r="C139"/>
      <c r="D139" s="32"/>
      <c r="E139" s="32"/>
      <c r="F139" s="32"/>
    </row>
    <row r="140" spans="1:6">
      <c r="A140"/>
      <c r="B140"/>
      <c r="C140"/>
      <c r="D140" s="32"/>
      <c r="E140" s="32"/>
      <c r="F140" s="32"/>
    </row>
    <row r="141" spans="1:6">
      <c r="A141"/>
      <c r="B141"/>
      <c r="C141"/>
      <c r="D141" s="32"/>
      <c r="E141" s="32"/>
      <c r="F141" s="32"/>
    </row>
    <row r="142" spans="1:6">
      <c r="A142"/>
      <c r="B142"/>
      <c r="C142"/>
      <c r="D142" s="32"/>
      <c r="E142" s="32"/>
      <c r="F142" s="32"/>
    </row>
    <row r="143" spans="1:6">
      <c r="A143"/>
      <c r="B143"/>
      <c r="C143"/>
      <c r="D143" s="32"/>
      <c r="E143" s="32"/>
      <c r="F143" s="32"/>
    </row>
    <row r="144" spans="1:6">
      <c r="A144"/>
      <c r="B144"/>
      <c r="C144"/>
      <c r="D144" s="32"/>
      <c r="E144" s="32"/>
      <c r="F144" s="32"/>
    </row>
    <row r="145" spans="1:6">
      <c r="A145"/>
      <c r="B145"/>
      <c r="C145"/>
      <c r="D145" s="32"/>
      <c r="E145" s="32"/>
      <c r="F145" s="32"/>
    </row>
    <row r="146" spans="1:6">
      <c r="A146"/>
      <c r="B146"/>
      <c r="C146"/>
      <c r="D146" s="32"/>
      <c r="E146" s="32"/>
      <c r="F146" s="32"/>
    </row>
    <row r="147" spans="1:6">
      <c r="A147"/>
      <c r="B147"/>
      <c r="C147"/>
      <c r="D147" s="32"/>
      <c r="E147" s="32"/>
      <c r="F147" s="32"/>
    </row>
    <row r="148" spans="1:6">
      <c r="A148"/>
      <c r="B148"/>
      <c r="C148"/>
      <c r="D148" s="32"/>
      <c r="E148" s="32"/>
      <c r="F148" s="32"/>
    </row>
    <row r="149" spans="1:6">
      <c r="A149"/>
      <c r="B149"/>
      <c r="C149"/>
      <c r="D149" s="32"/>
      <c r="E149" s="32"/>
      <c r="F149" s="32"/>
    </row>
    <row r="150" spans="1:6">
      <c r="A150"/>
      <c r="B150"/>
      <c r="C150"/>
      <c r="D150" s="32"/>
      <c r="E150" s="32"/>
      <c r="F150" s="32"/>
    </row>
    <row r="151" spans="1:6">
      <c r="A151"/>
      <c r="B151"/>
      <c r="C151"/>
      <c r="D151" s="32"/>
      <c r="E151" s="32"/>
      <c r="F151" s="32"/>
    </row>
    <row r="152" spans="1:6">
      <c r="A152"/>
      <c r="B152"/>
      <c r="C152"/>
      <c r="D152" s="32"/>
      <c r="E152" s="32"/>
      <c r="F152" s="32"/>
    </row>
    <row r="153" spans="1:6">
      <c r="A153"/>
      <c r="B153"/>
      <c r="C153"/>
      <c r="D153" s="32"/>
      <c r="E153" s="32"/>
      <c r="F153" s="32"/>
    </row>
    <row r="154" spans="1:6">
      <c r="A154"/>
      <c r="B154"/>
      <c r="C154"/>
      <c r="D154" s="32"/>
      <c r="E154" s="32"/>
      <c r="F154" s="32"/>
    </row>
    <row r="155" spans="1:6">
      <c r="A155"/>
      <c r="B155"/>
      <c r="C155"/>
      <c r="D155" s="32"/>
      <c r="E155" s="32"/>
      <c r="F155" s="32"/>
    </row>
    <row r="156" spans="1:6">
      <c r="A156"/>
      <c r="B156"/>
      <c r="C156"/>
      <c r="D156" s="32"/>
      <c r="E156" s="32"/>
      <c r="F156" s="32"/>
    </row>
    <row r="157" spans="1:6">
      <c r="A157"/>
      <c r="B157"/>
      <c r="C157"/>
      <c r="D157" s="32"/>
      <c r="E157" s="32"/>
      <c r="F157" s="32"/>
    </row>
    <row r="158" spans="1:6">
      <c r="A158"/>
      <c r="B158"/>
      <c r="C158"/>
      <c r="D158" s="32"/>
      <c r="E158" s="32"/>
      <c r="F158" s="32"/>
    </row>
    <row r="159" spans="1:6">
      <c r="A159"/>
      <c r="B159"/>
      <c r="C159"/>
      <c r="D159" s="32"/>
      <c r="E159" s="32"/>
      <c r="F159" s="32"/>
    </row>
    <row r="160" spans="1:6">
      <c r="A160"/>
      <c r="B160"/>
      <c r="C160"/>
      <c r="D160" s="32"/>
      <c r="E160" s="32"/>
      <c r="F160" s="32"/>
    </row>
    <row r="161" spans="1:6">
      <c r="A161"/>
      <c r="B161"/>
      <c r="C161"/>
      <c r="D161" s="32"/>
      <c r="E161" s="32"/>
      <c r="F161" s="32"/>
    </row>
    <row r="162" spans="1:6">
      <c r="A162"/>
      <c r="B162"/>
      <c r="C162"/>
      <c r="D162" s="32"/>
      <c r="E162" s="32"/>
      <c r="F162" s="32"/>
    </row>
    <row r="163" spans="1:6">
      <c r="A163"/>
      <c r="B163"/>
      <c r="C163"/>
      <c r="D163" s="32"/>
      <c r="E163" s="32"/>
      <c r="F163" s="32"/>
    </row>
    <row r="164" spans="1:6">
      <c r="A164"/>
      <c r="B164"/>
      <c r="C164"/>
      <c r="D164" s="32"/>
      <c r="E164" s="32"/>
      <c r="F164" s="32"/>
    </row>
    <row r="165" spans="1:6">
      <c r="A165"/>
      <c r="B165"/>
      <c r="C165"/>
      <c r="D165" s="32"/>
      <c r="E165" s="32"/>
      <c r="F165" s="32"/>
    </row>
    <row r="166" spans="1:6">
      <c r="A166"/>
      <c r="B166"/>
      <c r="C166"/>
      <c r="D166" s="32"/>
      <c r="E166" s="32"/>
      <c r="F166" s="32"/>
    </row>
    <row r="167" spans="1:6">
      <c r="A167"/>
      <c r="B167"/>
      <c r="C167"/>
      <c r="D167" s="32"/>
      <c r="E167" s="32"/>
      <c r="F167" s="32"/>
    </row>
    <row r="168" spans="1:6">
      <c r="A168"/>
      <c r="B168"/>
      <c r="C168"/>
      <c r="D168" s="32"/>
      <c r="E168" s="32"/>
      <c r="F168" s="32"/>
    </row>
    <row r="169" spans="1:6">
      <c r="A169"/>
      <c r="B169"/>
      <c r="C169"/>
      <c r="D169" s="32"/>
      <c r="E169" s="32"/>
      <c r="F169" s="32"/>
    </row>
    <row r="170" spans="1:6">
      <c r="A170"/>
      <c r="B170"/>
      <c r="C170"/>
      <c r="D170" s="32"/>
      <c r="E170" s="32"/>
      <c r="F170" s="32"/>
    </row>
    <row r="171" spans="1:6">
      <c r="A171"/>
      <c r="B171"/>
      <c r="C171"/>
      <c r="D171" s="32"/>
      <c r="E171" s="32"/>
      <c r="F171" s="32"/>
    </row>
    <row r="172" spans="1:6">
      <c r="A172"/>
      <c r="B172"/>
      <c r="C172"/>
      <c r="D172" s="32"/>
      <c r="E172" s="32"/>
      <c r="F172" s="32"/>
    </row>
    <row r="173" spans="1:6">
      <c r="A173"/>
      <c r="B173"/>
      <c r="C173"/>
      <c r="D173" s="32"/>
      <c r="E173" s="32"/>
      <c r="F173" s="32"/>
    </row>
    <row r="174" spans="1:6">
      <c r="A174"/>
      <c r="B174"/>
      <c r="C174"/>
      <c r="D174" s="32"/>
      <c r="E174" s="32"/>
      <c r="F174" s="32"/>
    </row>
    <row r="175" spans="1:6">
      <c r="A175"/>
      <c r="B175"/>
      <c r="C175"/>
      <c r="D175" s="32"/>
      <c r="E175" s="32"/>
      <c r="F175" s="32"/>
    </row>
    <row r="176" spans="1:6">
      <c r="A176"/>
      <c r="B176"/>
      <c r="C176"/>
      <c r="D176" s="32"/>
      <c r="E176" s="32"/>
      <c r="F176" s="32"/>
    </row>
    <row r="177" spans="1:6">
      <c r="A177"/>
      <c r="B177"/>
      <c r="C177"/>
      <c r="D177" s="32"/>
      <c r="E177" s="32"/>
      <c r="F177" s="32"/>
    </row>
    <row r="178" spans="1:6">
      <c r="A178"/>
      <c r="B178"/>
      <c r="C178"/>
      <c r="D178" s="32"/>
      <c r="E178" s="32"/>
      <c r="F178" s="32"/>
    </row>
    <row r="179" spans="1:6">
      <c r="A179"/>
      <c r="B179"/>
      <c r="C179"/>
      <c r="D179" s="32"/>
      <c r="E179" s="32"/>
      <c r="F179" s="32"/>
    </row>
    <row r="180" spans="1:6">
      <c r="A180"/>
      <c r="B180"/>
      <c r="C180"/>
      <c r="D180" s="32"/>
      <c r="E180" s="32"/>
      <c r="F180" s="32"/>
    </row>
    <row r="181" spans="1:6">
      <c r="A181"/>
      <c r="B181"/>
      <c r="C181"/>
      <c r="D181" s="32"/>
      <c r="E181" s="32"/>
      <c r="F181" s="32"/>
    </row>
    <row r="182" spans="1:6">
      <c r="A182"/>
      <c r="B182"/>
      <c r="C182"/>
      <c r="D182" s="32"/>
      <c r="E182" s="32"/>
      <c r="F182" s="32"/>
    </row>
    <row r="183" spans="1:6">
      <c r="A183"/>
      <c r="B183"/>
      <c r="C183"/>
      <c r="D183" s="32"/>
      <c r="E183" s="32"/>
      <c r="F183" s="32"/>
    </row>
    <row r="184" spans="1:6">
      <c r="A184"/>
      <c r="B184"/>
      <c r="C184"/>
      <c r="D184" s="32"/>
      <c r="E184" s="32"/>
      <c r="F184" s="32"/>
    </row>
    <row r="185" spans="1:6">
      <c r="A185"/>
      <c r="B185"/>
      <c r="C185"/>
      <c r="D185" s="32"/>
      <c r="E185" s="32"/>
      <c r="F185" s="32"/>
    </row>
    <row r="186" spans="1:6">
      <c r="A186"/>
      <c r="B186"/>
      <c r="C186"/>
      <c r="D186" s="32"/>
      <c r="E186" s="32"/>
      <c r="F186" s="32"/>
    </row>
    <row r="187" spans="1:6">
      <c r="A187"/>
      <c r="B187"/>
      <c r="C187"/>
      <c r="D187" s="32"/>
      <c r="E187" s="32"/>
      <c r="F187" s="32"/>
    </row>
    <row r="188" spans="1:6">
      <c r="A188"/>
      <c r="B188"/>
      <c r="C188"/>
      <c r="D188" s="32"/>
      <c r="E188" s="32"/>
      <c r="F188" s="32"/>
    </row>
    <row r="189" spans="1:6">
      <c r="A189"/>
      <c r="B189"/>
      <c r="C189"/>
      <c r="D189" s="32"/>
      <c r="E189" s="32"/>
      <c r="F189" s="32"/>
    </row>
    <row r="190" spans="1:6">
      <c r="A190"/>
      <c r="B190"/>
      <c r="C190"/>
      <c r="D190" s="32"/>
      <c r="E190" s="32"/>
      <c r="F190" s="32"/>
    </row>
    <row r="191" spans="1:6">
      <c r="A191"/>
      <c r="B191"/>
      <c r="C191"/>
      <c r="D191" s="32"/>
      <c r="E191" s="32"/>
      <c r="F191" s="32"/>
    </row>
    <row r="192" spans="1:6">
      <c r="A192"/>
      <c r="B192"/>
      <c r="C192"/>
      <c r="D192" s="32"/>
      <c r="E192" s="32"/>
      <c r="F192" s="32"/>
    </row>
    <row r="193" spans="1:6">
      <c r="A193"/>
      <c r="B193"/>
      <c r="C193"/>
      <c r="D193" s="32"/>
      <c r="E193" s="32"/>
      <c r="F193" s="32"/>
    </row>
    <row r="194" spans="1:6">
      <c r="A194"/>
      <c r="B194"/>
      <c r="C194"/>
      <c r="D194" s="32"/>
      <c r="E194" s="32"/>
      <c r="F194" s="32"/>
    </row>
    <row r="195" spans="1:6">
      <c r="A195"/>
      <c r="B195"/>
      <c r="C195"/>
      <c r="D195" s="32"/>
      <c r="E195" s="32"/>
      <c r="F195" s="32"/>
    </row>
    <row r="196" spans="1:6">
      <c r="A196"/>
      <c r="B196"/>
      <c r="C196"/>
      <c r="D196" s="32"/>
      <c r="E196" s="32"/>
      <c r="F196" s="32"/>
    </row>
    <row r="197" spans="1:6">
      <c r="A197"/>
      <c r="B197"/>
      <c r="C197"/>
      <c r="D197" s="32"/>
      <c r="E197" s="32"/>
      <c r="F197" s="32"/>
    </row>
    <row r="198" spans="1:6">
      <c r="A198"/>
      <c r="B198"/>
      <c r="C198"/>
      <c r="D198" s="32"/>
      <c r="E198" s="32"/>
      <c r="F198" s="32"/>
    </row>
    <row r="199" spans="1:6">
      <c r="A199"/>
      <c r="B199"/>
      <c r="C199"/>
      <c r="D199" s="32"/>
      <c r="E199" s="32"/>
      <c r="F199" s="32"/>
    </row>
    <row r="200" spans="1:6">
      <c r="A200"/>
      <c r="B200"/>
      <c r="C200"/>
      <c r="D200" s="32"/>
      <c r="E200" s="32"/>
      <c r="F200" s="32"/>
    </row>
    <row r="201" spans="1:6">
      <c r="A201"/>
      <c r="B201"/>
      <c r="C201"/>
      <c r="D201" s="32"/>
      <c r="E201" s="32"/>
      <c r="F201" s="32"/>
    </row>
    <row r="202" spans="1:6">
      <c r="A202"/>
      <c r="B202"/>
      <c r="C202"/>
      <c r="D202" s="32"/>
      <c r="E202" s="32"/>
      <c r="F202" s="32"/>
    </row>
    <row r="203" spans="1:6">
      <c r="A203"/>
      <c r="B203"/>
      <c r="C203"/>
      <c r="D203" s="32"/>
      <c r="E203" s="32"/>
      <c r="F203" s="32"/>
    </row>
    <row r="204" spans="1:6">
      <c r="A204"/>
      <c r="B204"/>
      <c r="C204"/>
      <c r="D204" s="32"/>
      <c r="E204" s="32"/>
      <c r="F204" s="32"/>
    </row>
    <row r="205" spans="1:6">
      <c r="A205"/>
      <c r="B205"/>
      <c r="C205"/>
      <c r="D205" s="32"/>
      <c r="E205" s="32"/>
      <c r="F205" s="32"/>
    </row>
    <row r="206" spans="1:6">
      <c r="A206"/>
      <c r="B206"/>
      <c r="C206"/>
      <c r="D206" s="32"/>
      <c r="E206" s="32"/>
      <c r="F206" s="32"/>
    </row>
    <row r="207" spans="1:6">
      <c r="A207"/>
      <c r="B207"/>
      <c r="C207"/>
      <c r="D207" s="32"/>
      <c r="E207" s="32"/>
      <c r="F207" s="32"/>
    </row>
    <row r="208" spans="1:6">
      <c r="A208"/>
      <c r="B208"/>
      <c r="C208"/>
      <c r="D208" s="32"/>
      <c r="E208" s="32"/>
      <c r="F208" s="32"/>
    </row>
    <row r="209" spans="1:6">
      <c r="A209"/>
      <c r="B209"/>
      <c r="C209"/>
      <c r="D209" s="32"/>
      <c r="E209" s="32"/>
      <c r="F209" s="32"/>
    </row>
    <row r="210" spans="1:6">
      <c r="A210"/>
      <c r="B210"/>
      <c r="C210"/>
      <c r="D210" s="32"/>
      <c r="E210" s="32"/>
      <c r="F210" s="32"/>
    </row>
    <row r="211" spans="1:6">
      <c r="A211"/>
      <c r="B211"/>
      <c r="C211"/>
      <c r="D211" s="32"/>
      <c r="E211" s="32"/>
      <c r="F211" s="32"/>
    </row>
    <row r="212" spans="1:6">
      <c r="A212"/>
      <c r="B212"/>
      <c r="C212"/>
      <c r="D212" s="32"/>
      <c r="E212" s="32"/>
      <c r="F212" s="32"/>
    </row>
    <row r="213" spans="1:6">
      <c r="A213"/>
      <c r="B213"/>
      <c r="C213"/>
      <c r="D213" s="32"/>
      <c r="E213" s="32"/>
      <c r="F213" s="32"/>
    </row>
    <row r="214" spans="1:6">
      <c r="A214"/>
      <c r="B214"/>
      <c r="C214"/>
      <c r="D214" s="32"/>
      <c r="E214" s="32"/>
      <c r="F214" s="32"/>
    </row>
    <row r="215" spans="1:6">
      <c r="A215"/>
      <c r="B215"/>
      <c r="C215"/>
      <c r="D215" s="32"/>
      <c r="E215" s="32"/>
      <c r="F215" s="32"/>
    </row>
    <row r="216" spans="1:6">
      <c r="A216"/>
      <c r="B216"/>
      <c r="C216"/>
      <c r="D216" s="32"/>
      <c r="E216" s="32"/>
      <c r="F216" s="32"/>
    </row>
    <row r="217" spans="1:6">
      <c r="A217"/>
      <c r="B217"/>
      <c r="C217"/>
      <c r="D217" s="32"/>
      <c r="E217" s="32"/>
      <c r="F217" s="32"/>
    </row>
    <row r="218" spans="1:6">
      <c r="A218"/>
      <c r="B218"/>
      <c r="C218"/>
      <c r="D218" s="32"/>
      <c r="E218" s="32"/>
      <c r="F218" s="32"/>
    </row>
    <row r="219" spans="1:6">
      <c r="A219"/>
      <c r="B219"/>
      <c r="C219"/>
      <c r="D219" s="32"/>
      <c r="E219" s="32"/>
      <c r="F219" s="32"/>
    </row>
    <row r="220" spans="1:6">
      <c r="A220"/>
      <c r="B220"/>
      <c r="C220"/>
      <c r="D220" s="32"/>
      <c r="E220" s="32"/>
      <c r="F220" s="32"/>
    </row>
    <row r="221" spans="1:6">
      <c r="A221"/>
      <c r="B221"/>
      <c r="C221"/>
      <c r="D221" s="32"/>
      <c r="E221" s="32"/>
      <c r="F221" s="32"/>
    </row>
    <row r="222" spans="1:6">
      <c r="A222"/>
      <c r="B222"/>
      <c r="C222"/>
      <c r="D222" s="32"/>
      <c r="E222" s="32"/>
      <c r="F222" s="32"/>
    </row>
    <row r="223" spans="1:6">
      <c r="A223"/>
      <c r="B223"/>
      <c r="C223"/>
      <c r="D223" s="32"/>
      <c r="E223" s="32"/>
      <c r="F223" s="32"/>
    </row>
    <row r="224" spans="1:6">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E9A9C-2E39-4DDB-9A08-53B798883D62}">
  <sheetPr>
    <tabColor rgb="FFFFFF00"/>
    <pageSetUpPr fitToPage="1"/>
  </sheetPr>
  <dimension ref="A1:G1568"/>
  <sheetViews>
    <sheetView topLeftCell="A11" zoomScaleNormal="100" workbookViewId="0">
      <selection activeCell="A9" sqref="A9"/>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66" t="s">
        <v>450</v>
      </c>
      <c r="B1" s="166"/>
      <c r="C1" s="166"/>
      <c r="D1" s="32"/>
      <c r="E1" s="32"/>
      <c r="F1" s="32"/>
    </row>
    <row r="2" spans="1:7">
      <c r="A2" s="56" t="s">
        <v>3</v>
      </c>
      <c r="B2" s="60" t="s">
        <v>212</v>
      </c>
    </row>
    <row r="3" spans="1:7">
      <c r="A3" s="56" t="s">
        <v>0</v>
      </c>
      <c r="B3" t="s">
        <v>203</v>
      </c>
    </row>
    <row r="4" spans="1:7">
      <c r="A4" s="56" t="s">
        <v>11</v>
      </c>
      <c r="B4" t="s">
        <v>185</v>
      </c>
    </row>
    <row r="6" spans="1:7" ht="28.9">
      <c r="A6" s="76" t="s">
        <v>218</v>
      </c>
      <c r="B6" t="s">
        <v>428</v>
      </c>
      <c r="C6" s="104" t="s">
        <v>451</v>
      </c>
      <c r="D6"/>
      <c r="E6"/>
      <c r="F6"/>
      <c r="G6"/>
    </row>
    <row r="7" spans="1:7">
      <c r="A7" s="43" t="s">
        <v>253</v>
      </c>
      <c r="B7" s="60">
        <v>1</v>
      </c>
      <c r="D7"/>
      <c r="E7"/>
      <c r="F7"/>
      <c r="G7"/>
    </row>
    <row r="8" spans="1:7">
      <c r="A8" s="57" t="s">
        <v>254</v>
      </c>
      <c r="B8" s="60">
        <v>1</v>
      </c>
      <c r="D8"/>
      <c r="E8"/>
      <c r="F8"/>
      <c r="G8"/>
    </row>
    <row r="9" spans="1:7">
      <c r="A9" s="58" t="s">
        <v>191</v>
      </c>
      <c r="D9"/>
      <c r="E9"/>
      <c r="F9"/>
      <c r="G9"/>
    </row>
    <row r="10" spans="1:7">
      <c r="A10" s="71" t="s">
        <v>23</v>
      </c>
      <c r="B10" s="60">
        <v>1</v>
      </c>
      <c r="D10"/>
      <c r="F10"/>
      <c r="G10"/>
    </row>
    <row r="11" spans="1:7">
      <c r="A11" s="43" t="s">
        <v>268</v>
      </c>
      <c r="B11" s="60">
        <v>2</v>
      </c>
      <c r="D11"/>
      <c r="F11"/>
      <c r="G11"/>
    </row>
    <row r="12" spans="1:7">
      <c r="A12" s="57" t="s">
        <v>274</v>
      </c>
      <c r="B12" s="60">
        <v>2</v>
      </c>
      <c r="D12"/>
      <c r="F12"/>
      <c r="G12"/>
    </row>
    <row r="13" spans="1:7">
      <c r="A13" s="58" t="s">
        <v>194</v>
      </c>
      <c r="D13"/>
      <c r="F13"/>
      <c r="G13"/>
    </row>
    <row r="14" spans="1:7">
      <c r="A14" s="71" t="s">
        <v>33</v>
      </c>
      <c r="B14" s="60">
        <v>2</v>
      </c>
      <c r="D14"/>
      <c r="F14"/>
      <c r="G14"/>
    </row>
    <row r="15" spans="1:7">
      <c r="A15" s="43" t="s">
        <v>288</v>
      </c>
      <c r="B15" s="60">
        <v>14</v>
      </c>
      <c r="C15" s="60">
        <v>5</v>
      </c>
      <c r="D15"/>
      <c r="F15"/>
      <c r="G15"/>
    </row>
    <row r="16" spans="1:7">
      <c r="A16" s="57" t="s">
        <v>432</v>
      </c>
      <c r="B16" s="60">
        <v>0</v>
      </c>
      <c r="C16" s="60">
        <v>4</v>
      </c>
      <c r="D16"/>
      <c r="E16"/>
      <c r="F16"/>
      <c r="G16"/>
    </row>
    <row r="17" spans="1:5" customFormat="1">
      <c r="A17" s="58" t="s">
        <v>189</v>
      </c>
      <c r="B17" s="60"/>
      <c r="C17" s="60"/>
      <c r="D17" s="60"/>
    </row>
    <row r="18" spans="1:5" customFormat="1">
      <c r="A18" s="71" t="s">
        <v>37</v>
      </c>
      <c r="B18" s="60">
        <v>0</v>
      </c>
      <c r="C18" s="60">
        <v>2</v>
      </c>
    </row>
    <row r="19" spans="1:5" customFormat="1">
      <c r="A19" s="71" t="s">
        <v>33</v>
      </c>
      <c r="B19" s="60">
        <v>0</v>
      </c>
      <c r="C19" s="60">
        <v>2</v>
      </c>
    </row>
    <row r="20" spans="1:5" customFormat="1">
      <c r="A20" s="57" t="s">
        <v>315</v>
      </c>
      <c r="B20" s="60">
        <v>1</v>
      </c>
      <c r="C20" s="60"/>
    </row>
    <row r="21" spans="1:5" customFormat="1">
      <c r="A21" s="58" t="s">
        <v>63</v>
      </c>
      <c r="B21" s="60"/>
      <c r="C21" s="60"/>
    </row>
    <row r="22" spans="1:5" customFormat="1">
      <c r="A22" s="71" t="s">
        <v>23</v>
      </c>
      <c r="B22" s="60">
        <v>1</v>
      </c>
      <c r="C22" s="60"/>
    </row>
    <row r="23" spans="1:5" customFormat="1">
      <c r="A23" s="57" t="s">
        <v>452</v>
      </c>
      <c r="B23" s="60">
        <v>4</v>
      </c>
      <c r="C23" s="60"/>
      <c r="E23" s="60"/>
    </row>
    <row r="24" spans="1:5" customFormat="1">
      <c r="A24" s="58" t="s">
        <v>189</v>
      </c>
      <c r="B24" s="60"/>
      <c r="C24" s="60"/>
    </row>
    <row r="25" spans="1:5" customFormat="1">
      <c r="A25" s="71" t="s">
        <v>37</v>
      </c>
      <c r="B25" s="60">
        <v>2</v>
      </c>
      <c r="C25" s="60"/>
      <c r="E25" t="s">
        <v>87</v>
      </c>
    </row>
    <row r="26" spans="1:5" customFormat="1">
      <c r="A26" s="71" t="s">
        <v>33</v>
      </c>
      <c r="B26" s="60">
        <v>2</v>
      </c>
      <c r="C26" s="60"/>
      <c r="E26" s="60"/>
    </row>
    <row r="27" spans="1:5" customFormat="1">
      <c r="A27" s="57" t="s">
        <v>292</v>
      </c>
      <c r="B27" s="60">
        <v>1</v>
      </c>
      <c r="C27" s="60"/>
      <c r="E27" s="60"/>
    </row>
    <row r="28" spans="1:5" customFormat="1">
      <c r="A28" s="58" t="s">
        <v>90</v>
      </c>
      <c r="B28" s="60"/>
      <c r="C28" s="60"/>
      <c r="E28" s="60"/>
    </row>
    <row r="29" spans="1:5" customFormat="1">
      <c r="A29" s="71" t="s">
        <v>23</v>
      </c>
      <c r="B29" s="60">
        <v>1</v>
      </c>
      <c r="C29" s="60"/>
    </row>
    <row r="30" spans="1:5" customFormat="1">
      <c r="A30" s="57" t="s">
        <v>478</v>
      </c>
      <c r="B30" s="60">
        <v>5</v>
      </c>
      <c r="C30" s="60"/>
    </row>
    <row r="31" spans="1:5" customFormat="1">
      <c r="A31" s="58" t="s">
        <v>90</v>
      </c>
      <c r="B31" s="60"/>
      <c r="C31" s="60"/>
    </row>
    <row r="32" spans="1:5" customFormat="1">
      <c r="A32" s="71" t="s">
        <v>33</v>
      </c>
      <c r="B32" s="160">
        <v>5</v>
      </c>
      <c r="C32" s="60"/>
    </row>
    <row r="33" spans="1:3" customFormat="1">
      <c r="A33" s="57" t="s">
        <v>324</v>
      </c>
      <c r="B33" s="60">
        <v>3</v>
      </c>
      <c r="C33" s="60">
        <v>1</v>
      </c>
    </row>
    <row r="34" spans="1:3" customFormat="1">
      <c r="A34" s="58" t="s">
        <v>182</v>
      </c>
      <c r="B34" s="60"/>
      <c r="C34" s="60"/>
    </row>
    <row r="35" spans="1:3" customFormat="1">
      <c r="A35" s="71" t="s">
        <v>23</v>
      </c>
      <c r="B35" s="60">
        <v>3</v>
      </c>
      <c r="C35" s="60">
        <v>1</v>
      </c>
    </row>
    <row r="36" spans="1:3" customFormat="1">
      <c r="A36" s="43" t="s">
        <v>296</v>
      </c>
      <c r="B36" s="60">
        <v>0</v>
      </c>
      <c r="C36" s="60">
        <v>9</v>
      </c>
    </row>
    <row r="37" spans="1:3" customFormat="1">
      <c r="A37" s="57" t="s">
        <v>327</v>
      </c>
      <c r="B37" s="60">
        <v>0</v>
      </c>
      <c r="C37" s="60">
        <v>1</v>
      </c>
    </row>
    <row r="38" spans="1:3" customFormat="1">
      <c r="A38" s="58" t="s">
        <v>192</v>
      </c>
      <c r="B38" s="60"/>
      <c r="C38" s="60"/>
    </row>
    <row r="39" spans="1:3" customFormat="1">
      <c r="A39" s="71" t="s">
        <v>23</v>
      </c>
      <c r="B39" s="60">
        <v>0</v>
      </c>
      <c r="C39" s="60">
        <v>1</v>
      </c>
    </row>
    <row r="40" spans="1:3" customFormat="1">
      <c r="A40" s="57" t="s">
        <v>304</v>
      </c>
      <c r="B40" s="60">
        <v>0</v>
      </c>
      <c r="C40" s="60">
        <v>8</v>
      </c>
    </row>
    <row r="41" spans="1:3" customFormat="1">
      <c r="A41" s="58" t="s">
        <v>156</v>
      </c>
      <c r="B41" s="60"/>
      <c r="C41" s="60"/>
    </row>
    <row r="42" spans="1:3" customFormat="1">
      <c r="A42" s="71" t="s">
        <v>33</v>
      </c>
      <c r="B42" s="60">
        <v>0</v>
      </c>
      <c r="C42" s="60">
        <v>8</v>
      </c>
    </row>
    <row r="43" spans="1:3" customFormat="1">
      <c r="A43" s="43" t="s">
        <v>305</v>
      </c>
      <c r="B43" s="60">
        <v>10</v>
      </c>
      <c r="C43" s="60">
        <v>3</v>
      </c>
    </row>
    <row r="44" spans="1:3" customFormat="1">
      <c r="A44" s="57" t="s">
        <v>307</v>
      </c>
      <c r="B44" s="60">
        <v>1</v>
      </c>
      <c r="C44" s="60"/>
    </row>
    <row r="45" spans="1:3" customFormat="1">
      <c r="A45" s="58" t="s">
        <v>188</v>
      </c>
      <c r="B45" s="60"/>
      <c r="C45" s="60"/>
    </row>
    <row r="46" spans="1:3" customFormat="1">
      <c r="A46" s="71" t="s">
        <v>23</v>
      </c>
      <c r="B46" s="60">
        <v>1</v>
      </c>
      <c r="C46" s="60"/>
    </row>
    <row r="47" spans="1:3" customFormat="1">
      <c r="A47" s="57" t="s">
        <v>365</v>
      </c>
      <c r="B47" s="60">
        <v>1</v>
      </c>
      <c r="C47" s="60"/>
    </row>
    <row r="48" spans="1:3" customFormat="1">
      <c r="A48" s="58" t="s">
        <v>190</v>
      </c>
      <c r="B48" s="60"/>
      <c r="C48" s="60"/>
    </row>
    <row r="49" spans="1:3" customFormat="1">
      <c r="A49" s="71" t="s">
        <v>77</v>
      </c>
      <c r="B49" s="60">
        <v>1</v>
      </c>
      <c r="C49" s="60"/>
    </row>
    <row r="50" spans="1:3" customFormat="1">
      <c r="A50" s="57" t="s">
        <v>311</v>
      </c>
      <c r="B50" s="60">
        <v>2</v>
      </c>
      <c r="C50" s="60"/>
    </row>
    <row r="51" spans="1:3" customFormat="1">
      <c r="A51" s="58" t="s">
        <v>207</v>
      </c>
      <c r="B51" s="60"/>
      <c r="C51" s="60"/>
    </row>
    <row r="52" spans="1:3" customFormat="1">
      <c r="A52" s="71" t="s">
        <v>77</v>
      </c>
      <c r="B52" s="60">
        <v>1</v>
      </c>
      <c r="C52" s="60"/>
    </row>
    <row r="53" spans="1:3" customFormat="1">
      <c r="A53" s="58" t="s">
        <v>198</v>
      </c>
      <c r="B53" s="60"/>
      <c r="C53" s="60"/>
    </row>
    <row r="54" spans="1:3" customFormat="1">
      <c r="A54" s="71" t="s">
        <v>28</v>
      </c>
      <c r="B54" s="60">
        <v>1</v>
      </c>
      <c r="C54" s="60"/>
    </row>
    <row r="55" spans="1:3" customFormat="1">
      <c r="A55" s="57" t="s">
        <v>313</v>
      </c>
      <c r="B55" s="60">
        <v>0</v>
      </c>
      <c r="C55" s="60">
        <v>1</v>
      </c>
    </row>
    <row r="56" spans="1:3" customFormat="1">
      <c r="A56" s="58" t="s">
        <v>190</v>
      </c>
      <c r="B56" s="60"/>
      <c r="C56" s="60"/>
    </row>
    <row r="57" spans="1:3" customFormat="1">
      <c r="A57" s="71" t="s">
        <v>23</v>
      </c>
      <c r="B57" s="60">
        <v>0</v>
      </c>
      <c r="C57" s="60">
        <v>1</v>
      </c>
    </row>
    <row r="58" spans="1:3" customFormat="1">
      <c r="A58" s="57" t="s">
        <v>366</v>
      </c>
      <c r="B58" s="60">
        <v>2</v>
      </c>
      <c r="C58" s="60"/>
    </row>
    <row r="59" spans="1:3" customFormat="1">
      <c r="A59" s="58" t="s">
        <v>194</v>
      </c>
      <c r="B59" s="60"/>
      <c r="C59" s="60"/>
    </row>
    <row r="60" spans="1:3" customFormat="1">
      <c r="A60" s="71" t="s">
        <v>28</v>
      </c>
      <c r="B60" s="60">
        <v>1</v>
      </c>
      <c r="C60" s="60"/>
    </row>
    <row r="61" spans="1:3" customFormat="1">
      <c r="A61" s="71" t="s">
        <v>209</v>
      </c>
      <c r="B61" s="60">
        <v>1</v>
      </c>
      <c r="C61" s="60"/>
    </row>
    <row r="62" spans="1:3" customFormat="1">
      <c r="A62" s="57" t="s">
        <v>320</v>
      </c>
      <c r="B62" s="60">
        <v>0</v>
      </c>
      <c r="C62" s="60"/>
    </row>
    <row r="63" spans="1:3" customFormat="1">
      <c r="A63" s="58" t="s">
        <v>156</v>
      </c>
      <c r="B63" s="60"/>
      <c r="C63" s="60"/>
    </row>
    <row r="64" spans="1:3" customFormat="1">
      <c r="A64" s="71" t="s">
        <v>23</v>
      </c>
      <c r="B64" s="60">
        <v>0</v>
      </c>
      <c r="C64" s="60"/>
    </row>
    <row r="65" spans="1:7">
      <c r="A65" s="57" t="s">
        <v>321</v>
      </c>
      <c r="B65" s="60">
        <v>1</v>
      </c>
      <c r="C65" s="60">
        <v>2</v>
      </c>
      <c r="D65"/>
      <c r="E65"/>
      <c r="F65"/>
      <c r="G65"/>
    </row>
    <row r="66" spans="1:7">
      <c r="A66" s="58" t="s">
        <v>156</v>
      </c>
      <c r="D66"/>
      <c r="E66"/>
      <c r="F66"/>
      <c r="G66"/>
    </row>
    <row r="67" spans="1:7">
      <c r="A67" s="71" t="s">
        <v>33</v>
      </c>
      <c r="B67" s="60">
        <v>1</v>
      </c>
      <c r="C67" s="60">
        <v>2</v>
      </c>
      <c r="D67" s="32"/>
      <c r="E67" s="32"/>
      <c r="F67" s="32"/>
    </row>
    <row r="68" spans="1:7">
      <c r="A68" s="57" t="s">
        <v>425</v>
      </c>
      <c r="B68" s="60">
        <v>1</v>
      </c>
      <c r="D68" s="32"/>
      <c r="E68" s="32"/>
      <c r="F68" s="32"/>
    </row>
    <row r="69" spans="1:7">
      <c r="A69" s="58" t="s">
        <v>197</v>
      </c>
      <c r="D69" s="32"/>
      <c r="E69" s="32"/>
      <c r="F69" s="32"/>
    </row>
    <row r="70" spans="1:7">
      <c r="A70" s="71" t="s">
        <v>23</v>
      </c>
      <c r="B70" s="60">
        <v>1</v>
      </c>
      <c r="D70" s="32"/>
      <c r="E70" s="32"/>
      <c r="F70" s="32"/>
    </row>
    <row r="71" spans="1:7">
      <c r="A71" s="57" t="s">
        <v>421</v>
      </c>
      <c r="B71" s="60">
        <v>0</v>
      </c>
      <c r="D71" s="32"/>
      <c r="E71" s="32"/>
      <c r="F71" s="32"/>
    </row>
    <row r="72" spans="1:7">
      <c r="A72" s="58" t="s">
        <v>156</v>
      </c>
      <c r="D72" s="32"/>
      <c r="E72" s="32"/>
      <c r="F72" s="32"/>
    </row>
    <row r="73" spans="1:7">
      <c r="A73" s="71" t="s">
        <v>28</v>
      </c>
      <c r="B73" s="60">
        <v>0</v>
      </c>
      <c r="D73" s="32"/>
      <c r="E73" s="32"/>
      <c r="F73" s="32"/>
    </row>
    <row r="74" spans="1:7">
      <c r="A74" s="57" t="s">
        <v>323</v>
      </c>
      <c r="B74" s="60">
        <v>1</v>
      </c>
      <c r="D74" s="32"/>
      <c r="E74" s="32"/>
      <c r="F74" s="32"/>
    </row>
    <row r="75" spans="1:7">
      <c r="A75" s="58" t="s">
        <v>198</v>
      </c>
      <c r="D75" s="32"/>
      <c r="E75" s="32"/>
      <c r="F75" s="32"/>
    </row>
    <row r="76" spans="1:7">
      <c r="A76" s="71" t="s">
        <v>28</v>
      </c>
      <c r="B76" s="60">
        <v>1</v>
      </c>
      <c r="D76" s="32"/>
      <c r="E76" s="32"/>
      <c r="F76" s="32"/>
    </row>
    <row r="77" spans="1:7">
      <c r="A77" s="57" t="s">
        <v>301</v>
      </c>
      <c r="B77" s="60">
        <v>1</v>
      </c>
      <c r="D77" s="32"/>
      <c r="E77" s="32"/>
      <c r="F77" s="32"/>
    </row>
    <row r="78" spans="1:7">
      <c r="A78" s="58" t="s">
        <v>199</v>
      </c>
      <c r="D78" s="32"/>
      <c r="E78" s="32"/>
      <c r="F78" s="32"/>
    </row>
    <row r="79" spans="1:7">
      <c r="A79" s="71" t="s">
        <v>23</v>
      </c>
      <c r="B79" s="60">
        <v>1</v>
      </c>
      <c r="D79" s="32"/>
      <c r="E79" s="32"/>
      <c r="F79" s="32"/>
    </row>
    <row r="80" spans="1:7">
      <c r="A80" s="43" t="s">
        <v>325</v>
      </c>
      <c r="B80" s="60">
        <v>33</v>
      </c>
      <c r="C80" s="60">
        <v>31</v>
      </c>
      <c r="D80" s="32"/>
      <c r="E80" s="32"/>
      <c r="F80" s="32"/>
    </row>
    <row r="81" spans="1:6">
      <c r="A81" s="57" t="s">
        <v>479</v>
      </c>
      <c r="B81" s="60">
        <v>5</v>
      </c>
      <c r="D81" s="32"/>
      <c r="E81" s="32"/>
      <c r="F81" s="32"/>
    </row>
    <row r="82" spans="1:6">
      <c r="A82" s="58" t="s">
        <v>137</v>
      </c>
      <c r="D82" s="32"/>
      <c r="E82" s="32"/>
      <c r="F82" s="32"/>
    </row>
    <row r="83" spans="1:6">
      <c r="A83" s="71" t="s">
        <v>41</v>
      </c>
      <c r="B83" s="60">
        <v>5</v>
      </c>
      <c r="D83" s="32"/>
      <c r="E83" s="32"/>
      <c r="F83" s="32"/>
    </row>
    <row r="84" spans="1:6">
      <c r="A84" s="57" t="s">
        <v>327</v>
      </c>
      <c r="B84" s="60">
        <v>1</v>
      </c>
      <c r="C84" s="60">
        <v>2</v>
      </c>
      <c r="D84" s="32"/>
      <c r="E84" s="32"/>
      <c r="F84" s="32"/>
    </row>
    <row r="85" spans="1:6">
      <c r="A85" s="58" t="s">
        <v>192</v>
      </c>
      <c r="D85" s="32"/>
      <c r="E85" s="32"/>
      <c r="F85" s="32"/>
    </row>
    <row r="86" spans="1:6">
      <c r="A86" s="71" t="s">
        <v>33</v>
      </c>
      <c r="B86" s="60">
        <v>1</v>
      </c>
      <c r="C86" s="60">
        <v>2</v>
      </c>
      <c r="D86" s="32"/>
      <c r="E86" s="32"/>
      <c r="F86" s="32"/>
    </row>
    <row r="87" spans="1:6">
      <c r="A87" s="57" t="s">
        <v>330</v>
      </c>
      <c r="B87" s="60">
        <v>1</v>
      </c>
      <c r="C87" s="60">
        <v>26</v>
      </c>
      <c r="D87" s="32"/>
      <c r="E87" s="32"/>
      <c r="F87" s="32"/>
    </row>
    <row r="88" spans="1:6">
      <c r="A88" s="58" t="s">
        <v>156</v>
      </c>
      <c r="D88" s="32"/>
      <c r="E88" s="32"/>
      <c r="F88" s="32"/>
    </row>
    <row r="89" spans="1:6">
      <c r="A89" s="71" t="s">
        <v>33</v>
      </c>
      <c r="B89" s="60">
        <v>0</v>
      </c>
      <c r="C89" s="60">
        <v>24</v>
      </c>
      <c r="D89" s="32"/>
      <c r="E89" s="32"/>
      <c r="F89" s="32"/>
    </row>
    <row r="90" spans="1:6">
      <c r="A90" s="71" t="s">
        <v>23</v>
      </c>
      <c r="B90" s="60">
        <v>1</v>
      </c>
      <c r="C90" s="60">
        <v>2</v>
      </c>
      <c r="D90" s="32"/>
      <c r="E90" s="32"/>
      <c r="F90" s="32"/>
    </row>
    <row r="91" spans="1:6">
      <c r="A91" s="57" t="s">
        <v>331</v>
      </c>
      <c r="B91" s="60">
        <v>12</v>
      </c>
      <c r="C91" s="60">
        <v>3</v>
      </c>
      <c r="D91" s="32"/>
      <c r="E91" s="32"/>
      <c r="F91" s="32"/>
    </row>
    <row r="92" spans="1:6">
      <c r="A92" s="58" t="s">
        <v>18</v>
      </c>
      <c r="D92" s="32"/>
      <c r="E92" s="32"/>
      <c r="F92" s="32"/>
    </row>
    <row r="93" spans="1:6">
      <c r="A93" s="71" t="s">
        <v>37</v>
      </c>
      <c r="B93" s="60">
        <v>2</v>
      </c>
      <c r="D93" s="32"/>
      <c r="E93" s="32"/>
      <c r="F93" s="32"/>
    </row>
    <row r="94" spans="1:6">
      <c r="A94" s="71" t="s">
        <v>33</v>
      </c>
      <c r="B94" s="60">
        <v>4</v>
      </c>
      <c r="D94" s="32"/>
      <c r="E94" s="32"/>
      <c r="F94" s="32"/>
    </row>
    <row r="95" spans="1:6">
      <c r="A95" s="71" t="s">
        <v>23</v>
      </c>
      <c r="B95" s="60">
        <v>2</v>
      </c>
      <c r="C95" s="60">
        <v>3</v>
      </c>
      <c r="D95" s="32"/>
      <c r="E95" s="32"/>
      <c r="F95" s="32"/>
    </row>
    <row r="96" spans="1:6">
      <c r="A96" s="71" t="s">
        <v>210</v>
      </c>
      <c r="B96" s="60">
        <v>4</v>
      </c>
      <c r="D96" s="32"/>
      <c r="E96" s="32"/>
      <c r="F96" s="32"/>
    </row>
    <row r="97" spans="1:6">
      <c r="A97" s="57" t="s">
        <v>353</v>
      </c>
      <c r="B97" s="60">
        <v>14</v>
      </c>
      <c r="D97" s="32"/>
      <c r="E97" s="32"/>
      <c r="F97" s="32"/>
    </row>
    <row r="98" spans="1:6">
      <c r="A98" s="58" t="s">
        <v>199</v>
      </c>
      <c r="D98" s="32"/>
      <c r="E98" s="32"/>
      <c r="F98" s="32"/>
    </row>
    <row r="99" spans="1:6">
      <c r="A99" s="71" t="s">
        <v>37</v>
      </c>
      <c r="B99" s="60">
        <v>7</v>
      </c>
      <c r="D99" s="32"/>
      <c r="E99" s="32"/>
      <c r="F99" s="32"/>
    </row>
    <row r="100" spans="1:6">
      <c r="A100" s="71" t="s">
        <v>33</v>
      </c>
      <c r="B100" s="60">
        <v>7</v>
      </c>
      <c r="D100" s="32"/>
      <c r="E100" s="32"/>
      <c r="F100" s="32"/>
    </row>
    <row r="101" spans="1:6">
      <c r="A101" s="43" t="s">
        <v>336</v>
      </c>
      <c r="B101" s="60">
        <v>1</v>
      </c>
      <c r="D101" s="32"/>
      <c r="E101" s="32"/>
      <c r="F101" s="32"/>
    </row>
    <row r="102" spans="1:6">
      <c r="A102" s="57" t="s">
        <v>427</v>
      </c>
      <c r="B102" s="60">
        <v>1</v>
      </c>
      <c r="D102" s="32"/>
      <c r="E102" s="32"/>
      <c r="F102" s="32"/>
    </row>
    <row r="103" spans="1:6">
      <c r="A103" s="58" t="s">
        <v>193</v>
      </c>
      <c r="D103" s="32"/>
      <c r="E103" s="32"/>
      <c r="F103" s="32"/>
    </row>
    <row r="104" spans="1:6">
      <c r="A104" s="71" t="s">
        <v>23</v>
      </c>
      <c r="B104" s="60">
        <v>1</v>
      </c>
      <c r="D104" s="32"/>
      <c r="E104" s="32"/>
      <c r="F104" s="32"/>
    </row>
    <row r="105" spans="1:6">
      <c r="A105"/>
      <c r="B105"/>
      <c r="C105"/>
      <c r="D105" s="32"/>
      <c r="E105" s="32"/>
      <c r="F105" s="32"/>
    </row>
    <row r="106" spans="1:6">
      <c r="A106"/>
      <c r="B106"/>
      <c r="C106"/>
      <c r="D106" s="32"/>
      <c r="E106" s="32"/>
      <c r="F106" s="32"/>
    </row>
    <row r="107" spans="1:6">
      <c r="A107"/>
      <c r="B107"/>
      <c r="C107"/>
      <c r="D107" s="32"/>
      <c r="E107" s="32"/>
      <c r="F107" s="32"/>
    </row>
    <row r="108" spans="1:6">
      <c r="A108"/>
      <c r="B108"/>
      <c r="C108"/>
      <c r="D108" s="32"/>
      <c r="E108" s="32"/>
      <c r="F108" s="32"/>
    </row>
    <row r="109" spans="1:6">
      <c r="A109"/>
      <c r="B109"/>
      <c r="C109"/>
      <c r="D109" s="32"/>
      <c r="E109" s="32"/>
      <c r="F109" s="32"/>
    </row>
    <row r="110" spans="1:6">
      <c r="A110"/>
      <c r="B110"/>
      <c r="C110"/>
      <c r="D110" s="32"/>
      <c r="E110" s="32"/>
      <c r="F110" s="32"/>
    </row>
    <row r="111" spans="1:6">
      <c r="A111"/>
      <c r="B111"/>
      <c r="C111"/>
      <c r="D111" s="32"/>
      <c r="E111" s="32"/>
      <c r="F111" s="32"/>
    </row>
    <row r="112" spans="1:6">
      <c r="A112"/>
      <c r="B112"/>
      <c r="C112"/>
      <c r="D112" s="32"/>
      <c r="E112" s="32"/>
      <c r="F112" s="32"/>
    </row>
    <row r="113" spans="1:6">
      <c r="A113"/>
      <c r="B113"/>
      <c r="C113"/>
      <c r="D113" s="32"/>
      <c r="E113" s="32"/>
      <c r="F113" s="32"/>
    </row>
    <row r="114" spans="1:6">
      <c r="A114"/>
      <c r="B114"/>
      <c r="C114"/>
      <c r="D114" s="32"/>
      <c r="E114" s="32"/>
      <c r="F114" s="32"/>
    </row>
    <row r="115" spans="1:6">
      <c r="A115"/>
      <c r="B115"/>
      <c r="C115"/>
      <c r="D115" s="32"/>
      <c r="E115" s="32"/>
      <c r="F115" s="32"/>
    </row>
    <row r="116" spans="1:6">
      <c r="A116"/>
      <c r="B116"/>
      <c r="C116"/>
      <c r="D116" s="32"/>
      <c r="E116" s="32"/>
      <c r="F116" s="32"/>
    </row>
    <row r="117" spans="1:6">
      <c r="A117"/>
      <c r="B117"/>
      <c r="C117"/>
      <c r="D117" s="32"/>
      <c r="E117" s="32"/>
      <c r="F117" s="32"/>
    </row>
    <row r="118" spans="1:6">
      <c r="A118"/>
      <c r="B118"/>
      <c r="C118"/>
      <c r="D118" s="32"/>
      <c r="E118" s="32"/>
      <c r="F118" s="32"/>
    </row>
    <row r="119" spans="1:6">
      <c r="A119"/>
      <c r="B119"/>
      <c r="C119"/>
      <c r="D119" s="32"/>
      <c r="E119" s="32"/>
      <c r="F119" s="32"/>
    </row>
    <row r="120" spans="1:6">
      <c r="A120"/>
      <c r="B120"/>
      <c r="C120"/>
      <c r="D120" s="32"/>
      <c r="E120" s="32"/>
      <c r="F120" s="32"/>
    </row>
    <row r="121" spans="1:6">
      <c r="A121"/>
      <c r="B121"/>
      <c r="C121"/>
      <c r="D121" s="32"/>
      <c r="E121" s="32"/>
      <c r="F121" s="32"/>
    </row>
    <row r="122" spans="1:6">
      <c r="A122"/>
      <c r="B122"/>
      <c r="C122"/>
      <c r="D122" s="32"/>
      <c r="E122" s="32"/>
      <c r="F122" s="32"/>
    </row>
    <row r="123" spans="1:6">
      <c r="A123"/>
      <c r="B123"/>
      <c r="C123"/>
      <c r="D123" s="32"/>
      <c r="E123" s="32"/>
      <c r="F123" s="32"/>
    </row>
    <row r="124" spans="1:6">
      <c r="A124"/>
      <c r="B124"/>
      <c r="C124"/>
      <c r="D124" s="32"/>
      <c r="E124" s="32"/>
      <c r="F124" s="32"/>
    </row>
    <row r="125" spans="1:6">
      <c r="A125"/>
      <c r="B125"/>
      <c r="C125"/>
      <c r="D125" s="32"/>
      <c r="E125" s="32"/>
      <c r="F125" s="32"/>
    </row>
    <row r="126" spans="1:6">
      <c r="A126"/>
      <c r="B126"/>
      <c r="C126"/>
      <c r="D126" s="32"/>
      <c r="E126" s="32"/>
      <c r="F126" s="32"/>
    </row>
    <row r="127" spans="1:6">
      <c r="A127"/>
      <c r="B127"/>
      <c r="C127"/>
      <c r="D127" s="32"/>
      <c r="E127" s="32"/>
      <c r="F127" s="32"/>
    </row>
    <row r="128" spans="1:6">
      <c r="A128"/>
      <c r="B128"/>
      <c r="C128"/>
      <c r="D128" s="32"/>
      <c r="E128" s="32"/>
      <c r="F128" s="32"/>
    </row>
    <row r="129" spans="1:6">
      <c r="A129"/>
      <c r="B129"/>
      <c r="C129"/>
      <c r="D129" s="32"/>
      <c r="E129" s="32"/>
      <c r="F129" s="32"/>
    </row>
    <row r="130" spans="1:6">
      <c r="A130"/>
      <c r="B130"/>
      <c r="C130"/>
      <c r="D130" s="32"/>
      <c r="E130" s="32"/>
      <c r="F130" s="32"/>
    </row>
    <row r="131" spans="1:6">
      <c r="A131"/>
      <c r="B131"/>
      <c r="C131"/>
      <c r="D131" s="32"/>
      <c r="E131" s="32"/>
      <c r="F131" s="32"/>
    </row>
    <row r="132" spans="1:6">
      <c r="A132"/>
      <c r="B132"/>
      <c r="C132"/>
      <c r="D132" s="32"/>
      <c r="E132" s="32"/>
      <c r="F132" s="32"/>
    </row>
    <row r="133" spans="1:6">
      <c r="A133"/>
      <c r="B133"/>
      <c r="C133"/>
      <c r="D133" s="32"/>
      <c r="E133" s="32"/>
      <c r="F133" s="32"/>
    </row>
    <row r="134" spans="1:6">
      <c r="A134"/>
      <c r="B134"/>
      <c r="C134"/>
      <c r="D134" s="32"/>
      <c r="E134" s="32"/>
      <c r="F134" s="32"/>
    </row>
    <row r="135" spans="1:6">
      <c r="A135"/>
      <c r="B135"/>
      <c r="C135"/>
      <c r="D135" s="32"/>
      <c r="E135" s="32"/>
      <c r="F135" s="32"/>
    </row>
    <row r="136" spans="1:6">
      <c r="A136"/>
      <c r="B136"/>
      <c r="C136"/>
      <c r="D136" s="32"/>
      <c r="E136" s="32"/>
      <c r="F136" s="32"/>
    </row>
    <row r="137" spans="1:6">
      <c r="A137"/>
      <c r="B137"/>
      <c r="C137"/>
      <c r="D137" s="32"/>
      <c r="E137" s="32"/>
      <c r="F137" s="32"/>
    </row>
    <row r="138" spans="1:6">
      <c r="A138"/>
      <c r="B138"/>
      <c r="C138"/>
      <c r="D138" s="32"/>
      <c r="E138" s="32"/>
      <c r="F138" s="32"/>
    </row>
    <row r="139" spans="1:6">
      <c r="A139"/>
      <c r="B139"/>
      <c r="C139"/>
      <c r="D139" s="32"/>
      <c r="E139" s="32"/>
      <c r="F139" s="32"/>
    </row>
    <row r="140" spans="1:6">
      <c r="A140"/>
      <c r="B140"/>
      <c r="C140"/>
      <c r="D140" s="32"/>
      <c r="E140" s="32"/>
      <c r="F140" s="32"/>
    </row>
    <row r="141" spans="1:6">
      <c r="A141"/>
      <c r="B141"/>
      <c r="C141"/>
      <c r="D141" s="32"/>
      <c r="E141" s="32"/>
      <c r="F141" s="32"/>
    </row>
    <row r="142" spans="1:6">
      <c r="A142"/>
      <c r="B142"/>
      <c r="C142"/>
      <c r="D142" s="32"/>
      <c r="E142" s="32"/>
      <c r="F142" s="32"/>
    </row>
    <row r="143" spans="1:6">
      <c r="A143"/>
      <c r="B143"/>
      <c r="C143"/>
      <c r="D143" s="32"/>
      <c r="E143" s="32"/>
      <c r="F143" s="32"/>
    </row>
    <row r="144" spans="1:6">
      <c r="A144"/>
      <c r="B144"/>
      <c r="C144"/>
      <c r="D144" s="32"/>
      <c r="E144" s="32"/>
      <c r="F144" s="32"/>
    </row>
    <row r="145" spans="1:6">
      <c r="A145"/>
      <c r="B145"/>
      <c r="C145"/>
      <c r="D145" s="32"/>
      <c r="E145" s="32"/>
      <c r="F145" s="32"/>
    </row>
    <row r="146" spans="1:6">
      <c r="A146"/>
      <c r="B146"/>
      <c r="C146"/>
      <c r="D146" s="32"/>
      <c r="E146" s="32"/>
      <c r="F146" s="32"/>
    </row>
    <row r="147" spans="1:6">
      <c r="A147"/>
      <c r="B147"/>
      <c r="C147"/>
      <c r="D147" s="32"/>
      <c r="E147" s="32"/>
      <c r="F147" s="32"/>
    </row>
    <row r="148" spans="1:6">
      <c r="A148"/>
      <c r="B148"/>
      <c r="C148"/>
      <c r="D148" s="32"/>
      <c r="E148" s="32"/>
      <c r="F148" s="32"/>
    </row>
    <row r="149" spans="1:6">
      <c r="A149"/>
      <c r="B149"/>
      <c r="C149"/>
      <c r="D149" s="32"/>
      <c r="E149" s="32"/>
      <c r="F149" s="32"/>
    </row>
    <row r="150" spans="1:6">
      <c r="A150"/>
      <c r="B150"/>
      <c r="C150"/>
      <c r="D150" s="32"/>
      <c r="E150" s="32"/>
      <c r="F150" s="32"/>
    </row>
    <row r="151" spans="1:6">
      <c r="A151"/>
      <c r="B151"/>
      <c r="C151"/>
      <c r="D151" s="32"/>
      <c r="E151" s="32"/>
      <c r="F151" s="32"/>
    </row>
    <row r="152" spans="1:6">
      <c r="A152"/>
      <c r="B152"/>
      <c r="C152"/>
      <c r="D152" s="32"/>
      <c r="E152" s="32"/>
      <c r="F152" s="32"/>
    </row>
    <row r="153" spans="1:6">
      <c r="A153"/>
      <c r="B153"/>
      <c r="C153"/>
      <c r="D153" s="32"/>
      <c r="E153" s="32"/>
      <c r="F153" s="32"/>
    </row>
    <row r="154" spans="1:6">
      <c r="A154"/>
      <c r="B154"/>
      <c r="C154"/>
      <c r="D154" s="32"/>
      <c r="E154" s="32"/>
      <c r="F154" s="32"/>
    </row>
    <row r="155" spans="1:6">
      <c r="A155"/>
      <c r="B155"/>
      <c r="C155"/>
      <c r="D155" s="32"/>
      <c r="E155" s="32"/>
      <c r="F155" s="32"/>
    </row>
    <row r="156" spans="1:6">
      <c r="A156"/>
      <c r="B156"/>
      <c r="C156"/>
      <c r="D156" s="32"/>
      <c r="E156" s="32"/>
      <c r="F156" s="32"/>
    </row>
    <row r="157" spans="1:6">
      <c r="A157"/>
      <c r="B157"/>
      <c r="C157"/>
      <c r="D157" s="32"/>
      <c r="E157" s="32"/>
      <c r="F157" s="32"/>
    </row>
    <row r="158" spans="1:6">
      <c r="A158"/>
      <c r="B158"/>
      <c r="C158"/>
      <c r="D158" s="32"/>
      <c r="E158" s="32"/>
      <c r="F158" s="32"/>
    </row>
    <row r="159" spans="1:6">
      <c r="A159"/>
      <c r="B159"/>
      <c r="C159"/>
      <c r="D159" s="32"/>
      <c r="E159" s="32"/>
      <c r="F159" s="32"/>
    </row>
    <row r="160" spans="1:6">
      <c r="A160"/>
      <c r="B160"/>
      <c r="C160"/>
      <c r="D160" s="32"/>
      <c r="E160" s="32"/>
      <c r="F160" s="32"/>
    </row>
    <row r="161" spans="1:6">
      <c r="A161"/>
      <c r="B161"/>
      <c r="C161"/>
      <c r="D161" s="32"/>
      <c r="E161" s="32"/>
      <c r="F161" s="32"/>
    </row>
    <row r="162" spans="1:6">
      <c r="A162"/>
      <c r="B162"/>
      <c r="C162"/>
      <c r="D162" s="32"/>
      <c r="E162" s="32"/>
      <c r="F162" s="32"/>
    </row>
    <row r="163" spans="1:6">
      <c r="A163"/>
      <c r="B163"/>
      <c r="C163"/>
      <c r="D163" s="32"/>
      <c r="E163" s="32"/>
      <c r="F163" s="32"/>
    </row>
    <row r="164" spans="1:6">
      <c r="A164"/>
      <c r="B164"/>
      <c r="C164"/>
      <c r="D164" s="32"/>
      <c r="E164" s="32"/>
      <c r="F164" s="32"/>
    </row>
    <row r="165" spans="1:6">
      <c r="A165"/>
      <c r="B165"/>
      <c r="C165"/>
      <c r="D165" s="32"/>
      <c r="E165" s="32"/>
      <c r="F165" s="32"/>
    </row>
    <row r="166" spans="1:6">
      <c r="A166"/>
      <c r="B166"/>
      <c r="C166"/>
      <c r="D166" s="32"/>
      <c r="E166" s="32"/>
      <c r="F166" s="32"/>
    </row>
    <row r="167" spans="1:6">
      <c r="A167"/>
      <c r="B167"/>
      <c r="C167"/>
      <c r="D167" s="32"/>
      <c r="E167" s="32"/>
      <c r="F167" s="32"/>
    </row>
    <row r="168" spans="1:6">
      <c r="A168"/>
      <c r="B168"/>
      <c r="C168"/>
      <c r="D168" s="32"/>
      <c r="E168" s="32"/>
      <c r="F168" s="32"/>
    </row>
    <row r="169" spans="1:6">
      <c r="A169"/>
      <c r="B169"/>
      <c r="C169"/>
      <c r="D169" s="32"/>
      <c r="E169" s="32"/>
      <c r="F169" s="32"/>
    </row>
    <row r="170" spans="1:6">
      <c r="A170"/>
      <c r="B170"/>
      <c r="C170"/>
      <c r="D170" s="32"/>
      <c r="E170" s="32"/>
      <c r="F170" s="32"/>
    </row>
    <row r="171" spans="1:6">
      <c r="A171"/>
      <c r="B171"/>
      <c r="C171"/>
      <c r="D171" s="32"/>
      <c r="E171" s="32"/>
      <c r="F171" s="32"/>
    </row>
    <row r="172" spans="1:6">
      <c r="A172"/>
      <c r="B172"/>
      <c r="C172"/>
      <c r="D172" s="32"/>
      <c r="E172" s="32"/>
      <c r="F172" s="32"/>
    </row>
    <row r="173" spans="1:6">
      <c r="A173"/>
      <c r="B173"/>
      <c r="C173"/>
      <c r="D173" s="32"/>
      <c r="E173" s="32"/>
      <c r="F173" s="32"/>
    </row>
    <row r="174" spans="1:6">
      <c r="A174"/>
      <c r="B174"/>
      <c r="C174"/>
      <c r="D174" s="32"/>
      <c r="E174" s="32"/>
      <c r="F174" s="32"/>
    </row>
    <row r="175" spans="1:6">
      <c r="A175"/>
      <c r="B175"/>
      <c r="C175"/>
      <c r="D175" s="32"/>
      <c r="E175" s="32"/>
      <c r="F175" s="32"/>
    </row>
    <row r="176" spans="1:6">
      <c r="A176"/>
      <c r="B176"/>
      <c r="C176"/>
      <c r="D176" s="32"/>
      <c r="E176" s="32"/>
      <c r="F176" s="32"/>
    </row>
    <row r="177" spans="1:6">
      <c r="A177"/>
      <c r="B177"/>
      <c r="C177"/>
      <c r="D177" s="32"/>
      <c r="E177" s="32"/>
      <c r="F177" s="32"/>
    </row>
    <row r="178" spans="1:6">
      <c r="A178"/>
      <c r="B178"/>
      <c r="C178"/>
      <c r="D178" s="32"/>
      <c r="E178" s="32"/>
      <c r="F178" s="32"/>
    </row>
    <row r="179" spans="1:6">
      <c r="A179"/>
      <c r="B179"/>
      <c r="C179"/>
      <c r="D179" s="32"/>
      <c r="E179" s="32"/>
      <c r="F179" s="32"/>
    </row>
    <row r="180" spans="1:6">
      <c r="A180"/>
      <c r="B180"/>
      <c r="C180"/>
      <c r="D180" s="32"/>
      <c r="E180" s="32"/>
      <c r="F180" s="32"/>
    </row>
    <row r="181" spans="1:6">
      <c r="A181"/>
      <c r="B181"/>
      <c r="C181"/>
      <c r="D181" s="32"/>
      <c r="E181" s="32"/>
      <c r="F181" s="32"/>
    </row>
    <row r="182" spans="1:6">
      <c r="A182"/>
      <c r="B182"/>
      <c r="C182"/>
      <c r="D182" s="32"/>
      <c r="E182" s="32"/>
      <c r="F182" s="32"/>
    </row>
    <row r="183" spans="1:6">
      <c r="A183"/>
      <c r="B183"/>
      <c r="C183"/>
      <c r="D183" s="32"/>
      <c r="E183" s="32"/>
      <c r="F183" s="32"/>
    </row>
    <row r="184" spans="1:6">
      <c r="A184"/>
      <c r="B184"/>
      <c r="C184"/>
      <c r="D184" s="32"/>
      <c r="E184" s="32"/>
      <c r="F184" s="32"/>
    </row>
    <row r="185" spans="1:6">
      <c r="A185"/>
      <c r="B185"/>
      <c r="C185"/>
      <c r="D185" s="32"/>
      <c r="E185" s="32"/>
      <c r="F185" s="32"/>
    </row>
    <row r="186" spans="1:6">
      <c r="A186"/>
      <c r="B186"/>
      <c r="C186"/>
      <c r="D186" s="32"/>
      <c r="E186" s="32"/>
      <c r="F186" s="32"/>
    </row>
    <row r="187" spans="1:6">
      <c r="A187"/>
      <c r="B187"/>
      <c r="C187"/>
      <c r="D187" s="32"/>
      <c r="E187" s="32"/>
      <c r="F187" s="32"/>
    </row>
    <row r="188" spans="1:6">
      <c r="A188"/>
      <c r="B188"/>
      <c r="C188"/>
      <c r="D188" s="32"/>
      <c r="E188" s="32"/>
      <c r="F188" s="32"/>
    </row>
    <row r="189" spans="1:6">
      <c r="A189"/>
      <c r="B189"/>
      <c r="C189"/>
      <c r="D189" s="32"/>
      <c r="E189" s="32"/>
      <c r="F189" s="32"/>
    </row>
    <row r="190" spans="1:6">
      <c r="A190"/>
      <c r="B190"/>
      <c r="C190"/>
      <c r="D190" s="32"/>
      <c r="E190" s="32"/>
      <c r="F190" s="32"/>
    </row>
    <row r="191" spans="1:6">
      <c r="A191"/>
      <c r="B191"/>
      <c r="C191"/>
      <c r="D191" s="32"/>
      <c r="E191" s="32"/>
      <c r="F191" s="32"/>
    </row>
    <row r="192" spans="1:6">
      <c r="A192"/>
      <c r="B192"/>
      <c r="C192"/>
      <c r="D192" s="32"/>
      <c r="E192" s="32"/>
      <c r="F192" s="32"/>
    </row>
    <row r="193" spans="1:6">
      <c r="A193"/>
      <c r="B193"/>
      <c r="C193"/>
      <c r="D193" s="32"/>
      <c r="E193" s="32"/>
      <c r="F193" s="32"/>
    </row>
    <row r="194" spans="1:6">
      <c r="A194"/>
      <c r="B194"/>
      <c r="C194"/>
      <c r="D194" s="32"/>
      <c r="E194" s="32"/>
      <c r="F194" s="32"/>
    </row>
    <row r="195" spans="1:6">
      <c r="A195"/>
      <c r="B195"/>
      <c r="C195"/>
      <c r="D195" s="32"/>
      <c r="E195" s="32"/>
      <c r="F195" s="32"/>
    </row>
    <row r="196" spans="1:6">
      <c r="A196"/>
      <c r="B196"/>
      <c r="C196"/>
      <c r="D196" s="32"/>
      <c r="E196" s="32"/>
      <c r="F196" s="32"/>
    </row>
    <row r="197" spans="1:6">
      <c r="A197"/>
      <c r="B197"/>
      <c r="C197"/>
      <c r="D197" s="32"/>
      <c r="E197" s="32"/>
      <c r="F197" s="32"/>
    </row>
    <row r="198" spans="1:6">
      <c r="A198"/>
      <c r="B198"/>
      <c r="C198"/>
      <c r="D198" s="32"/>
      <c r="E198" s="32"/>
      <c r="F198" s="32"/>
    </row>
    <row r="199" spans="1:6">
      <c r="A199"/>
      <c r="B199"/>
      <c r="C199"/>
      <c r="D199" s="32"/>
      <c r="E199" s="32"/>
      <c r="F199" s="32"/>
    </row>
    <row r="200" spans="1:6">
      <c r="A200"/>
      <c r="B200"/>
      <c r="C200"/>
      <c r="D200" s="32"/>
      <c r="E200" s="32"/>
      <c r="F200" s="32"/>
    </row>
    <row r="201" spans="1:6">
      <c r="A201"/>
      <c r="B201"/>
      <c r="C201"/>
      <c r="D201" s="32"/>
      <c r="E201" s="32"/>
      <c r="F201" s="32"/>
    </row>
    <row r="202" spans="1:6">
      <c r="A202"/>
      <c r="B202"/>
      <c r="C202"/>
      <c r="D202" s="32"/>
      <c r="E202" s="32"/>
      <c r="F202" s="32"/>
    </row>
    <row r="203" spans="1:6">
      <c r="A203"/>
      <c r="B203"/>
      <c r="C203"/>
      <c r="D203" s="32"/>
      <c r="E203" s="32"/>
      <c r="F203" s="32"/>
    </row>
    <row r="204" spans="1:6">
      <c r="A204"/>
      <c r="B204"/>
      <c r="C204"/>
      <c r="D204" s="32"/>
      <c r="E204" s="32"/>
      <c r="F204" s="32"/>
    </row>
    <row r="205" spans="1:6">
      <c r="A205"/>
      <c r="B205"/>
      <c r="C205"/>
      <c r="D205" s="32"/>
      <c r="E205" s="32"/>
      <c r="F205" s="32"/>
    </row>
    <row r="206" spans="1:6">
      <c r="A206"/>
      <c r="B206"/>
      <c r="C206"/>
      <c r="D206" s="32"/>
      <c r="E206" s="32"/>
      <c r="F206" s="32"/>
    </row>
    <row r="207" spans="1:6">
      <c r="A207"/>
      <c r="B207"/>
      <c r="C207"/>
      <c r="D207" s="32"/>
      <c r="E207" s="32"/>
      <c r="F207" s="32"/>
    </row>
    <row r="208" spans="1:6">
      <c r="A208"/>
      <c r="B208"/>
      <c r="C208"/>
      <c r="D208" s="32"/>
      <c r="E208" s="32"/>
      <c r="F208" s="32"/>
    </row>
    <row r="209" spans="1:6">
      <c r="A209"/>
      <c r="B209"/>
      <c r="C209"/>
      <c r="D209" s="32"/>
      <c r="E209" s="32"/>
      <c r="F209" s="32"/>
    </row>
    <row r="210" spans="1:6">
      <c r="A210"/>
      <c r="B210"/>
      <c r="C210"/>
      <c r="D210" s="32"/>
      <c r="E210" s="32"/>
      <c r="F210" s="32"/>
    </row>
    <row r="211" spans="1:6">
      <c r="A211"/>
      <c r="B211"/>
      <c r="C211"/>
      <c r="D211" s="32"/>
      <c r="E211" s="32"/>
      <c r="F211" s="32"/>
    </row>
    <row r="212" spans="1:6">
      <c r="A212"/>
      <c r="B212"/>
      <c r="C212"/>
      <c r="D212" s="32"/>
      <c r="E212" s="32"/>
      <c r="F212" s="32"/>
    </row>
    <row r="213" spans="1:6">
      <c r="A213"/>
      <c r="B213"/>
      <c r="C213"/>
      <c r="D213" s="32"/>
      <c r="E213" s="32"/>
      <c r="F213" s="32"/>
    </row>
    <row r="214" spans="1:6">
      <c r="A214"/>
      <c r="B214"/>
      <c r="C214"/>
      <c r="D214" s="32"/>
      <c r="E214" s="32"/>
      <c r="F214" s="32"/>
    </row>
    <row r="215" spans="1:6">
      <c r="A215"/>
      <c r="B215"/>
      <c r="C215"/>
      <c r="D215" s="32"/>
      <c r="E215" s="32"/>
      <c r="F215" s="32"/>
    </row>
    <row r="216" spans="1:6">
      <c r="A216"/>
      <c r="B216"/>
      <c r="C216"/>
      <c r="D216" s="32"/>
      <c r="E216" s="32"/>
      <c r="F216" s="32"/>
    </row>
    <row r="217" spans="1:6">
      <c r="A217"/>
      <c r="B217"/>
      <c r="C217"/>
      <c r="D217" s="32"/>
      <c r="E217" s="32"/>
      <c r="F217" s="32"/>
    </row>
    <row r="218" spans="1:6">
      <c r="A218"/>
      <c r="B218"/>
      <c r="C218"/>
      <c r="D218" s="32"/>
      <c r="E218" s="32"/>
      <c r="F218" s="32"/>
    </row>
    <row r="219" spans="1:6">
      <c r="A219"/>
      <c r="B219"/>
      <c r="C219"/>
      <c r="D219" s="32"/>
      <c r="E219" s="32"/>
      <c r="F219" s="32"/>
    </row>
    <row r="220" spans="1:6">
      <c r="A220"/>
      <c r="B220"/>
      <c r="C220"/>
      <c r="D220" s="32"/>
      <c r="E220" s="32"/>
      <c r="F220" s="32"/>
    </row>
    <row r="221" spans="1:6">
      <c r="A221"/>
      <c r="B221"/>
      <c r="C221"/>
      <c r="D221" s="32"/>
      <c r="E221" s="32"/>
      <c r="F221" s="32"/>
    </row>
    <row r="222" spans="1:6">
      <c r="A222"/>
      <c r="B222"/>
      <c r="C222"/>
      <c r="D222" s="32"/>
      <c r="E222" s="32"/>
      <c r="F222" s="32"/>
    </row>
    <row r="223" spans="1:6">
      <c r="A223"/>
      <c r="B223"/>
      <c r="C223"/>
      <c r="D223" s="32"/>
      <c r="E223" s="32"/>
      <c r="F223" s="32"/>
    </row>
    <row r="224" spans="1:6">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A580"/>
      <c r="B580"/>
      <c r="C580"/>
      <c r="D580" s="32"/>
      <c r="E580" s="32"/>
      <c r="F580" s="32"/>
    </row>
    <row r="581" spans="1:6">
      <c r="A581"/>
      <c r="B581"/>
      <c r="C581"/>
      <c r="D581" s="32"/>
      <c r="E581" s="32"/>
      <c r="F581" s="32"/>
    </row>
    <row r="582" spans="1:6">
      <c r="A582"/>
      <c r="B582"/>
      <c r="C582"/>
      <c r="D582" s="32"/>
      <c r="E582" s="32"/>
      <c r="F582" s="32"/>
    </row>
    <row r="583" spans="1:6">
      <c r="A583"/>
      <c r="B583"/>
      <c r="C583"/>
      <c r="D583" s="32"/>
      <c r="E583" s="32"/>
      <c r="F583" s="32"/>
    </row>
    <row r="584" spans="1:6">
      <c r="A584"/>
      <c r="B584"/>
      <c r="C584"/>
      <c r="D584" s="32"/>
      <c r="E584" s="32"/>
      <c r="F584" s="32"/>
    </row>
    <row r="585" spans="1:6">
      <c r="A585"/>
      <c r="B585"/>
      <c r="C585"/>
      <c r="D585" s="32"/>
      <c r="E585" s="32"/>
      <c r="F585" s="32"/>
    </row>
    <row r="586" spans="1:6">
      <c r="A586"/>
      <c r="B586"/>
      <c r="C586"/>
      <c r="D586" s="32"/>
      <c r="E586" s="32"/>
      <c r="F586" s="32"/>
    </row>
    <row r="587" spans="1:6">
      <c r="A587"/>
      <c r="B587"/>
      <c r="C587"/>
      <c r="D587" s="32"/>
      <c r="E587" s="32"/>
      <c r="F587" s="32"/>
    </row>
    <row r="588" spans="1:6">
      <c r="A588"/>
      <c r="B588"/>
      <c r="C588"/>
      <c r="D588" s="32"/>
      <c r="E588" s="32"/>
      <c r="F588" s="32"/>
    </row>
    <row r="589" spans="1:6">
      <c r="A589"/>
      <c r="B589"/>
      <c r="C589"/>
      <c r="D589" s="32"/>
      <c r="E589" s="32"/>
      <c r="F589" s="32"/>
    </row>
    <row r="590" spans="1:6">
      <c r="A590"/>
      <c r="B590"/>
      <c r="C590"/>
      <c r="D590" s="32"/>
      <c r="E590" s="32"/>
      <c r="F590" s="32"/>
    </row>
    <row r="591" spans="1:6">
      <c r="A591"/>
      <c r="B591"/>
      <c r="C591"/>
      <c r="D591" s="32"/>
      <c r="E591" s="32"/>
      <c r="F591" s="32"/>
    </row>
    <row r="592" spans="1:6">
      <c r="A592"/>
      <c r="B592"/>
      <c r="C592"/>
      <c r="D592" s="32"/>
      <c r="E592" s="32"/>
      <c r="F592" s="32"/>
    </row>
    <row r="593" spans="1:6">
      <c r="A593"/>
      <c r="B593"/>
      <c r="C593"/>
      <c r="D593" s="32"/>
      <c r="E593" s="32"/>
      <c r="F593" s="32"/>
    </row>
    <row r="594" spans="1:6">
      <c r="A594"/>
      <c r="B594"/>
      <c r="C594"/>
      <c r="D594" s="32"/>
      <c r="E594" s="32"/>
      <c r="F594" s="32"/>
    </row>
    <row r="595" spans="1:6">
      <c r="A595"/>
      <c r="B595"/>
      <c r="C595"/>
      <c r="D595" s="32"/>
      <c r="E595" s="32"/>
      <c r="F595" s="32"/>
    </row>
    <row r="596" spans="1:6">
      <c r="A596"/>
      <c r="B596"/>
      <c r="C596"/>
      <c r="D596" s="32"/>
      <c r="E596" s="32"/>
      <c r="F596" s="32"/>
    </row>
    <row r="597" spans="1:6">
      <c r="A597"/>
      <c r="B597"/>
      <c r="C597"/>
      <c r="D597" s="32"/>
      <c r="E597" s="32"/>
      <c r="F597" s="32"/>
    </row>
    <row r="598" spans="1:6">
      <c r="A598"/>
      <c r="B598"/>
      <c r="C598"/>
      <c r="D598" s="32"/>
      <c r="E598" s="32"/>
      <c r="F598" s="32"/>
    </row>
    <row r="599" spans="1:6">
      <c r="A599"/>
      <c r="B599"/>
      <c r="C599"/>
      <c r="D599" s="32"/>
      <c r="E599" s="32"/>
      <c r="F599" s="32"/>
    </row>
    <row r="600" spans="1:6">
      <c r="A600"/>
      <c r="B600"/>
      <c r="C600"/>
      <c r="D600" s="32"/>
      <c r="E600" s="32"/>
      <c r="F600" s="32"/>
    </row>
    <row r="601" spans="1:6">
      <c r="A601"/>
      <c r="B601"/>
      <c r="C601"/>
      <c r="D601" s="32"/>
      <c r="E601" s="32"/>
      <c r="F601" s="32"/>
    </row>
    <row r="602" spans="1:6">
      <c r="A602"/>
      <c r="B602"/>
      <c r="C602"/>
      <c r="D602" s="32"/>
      <c r="E602" s="32"/>
      <c r="F602" s="32"/>
    </row>
    <row r="603" spans="1:6">
      <c r="A603"/>
      <c r="B603"/>
      <c r="C603"/>
      <c r="D603" s="32"/>
      <c r="E603" s="32"/>
      <c r="F603" s="32"/>
    </row>
    <row r="604" spans="1:6">
      <c r="A604"/>
      <c r="B604"/>
      <c r="C604"/>
      <c r="D604" s="32"/>
      <c r="E604" s="32"/>
      <c r="F604" s="32"/>
    </row>
    <row r="605" spans="1:6">
      <c r="A605"/>
      <c r="B605"/>
      <c r="C605"/>
      <c r="D605" s="32"/>
      <c r="E605" s="32"/>
      <c r="F605" s="32"/>
    </row>
    <row r="606" spans="1:6">
      <c r="A606"/>
      <c r="B606"/>
      <c r="C606"/>
      <c r="D606" s="32"/>
      <c r="E606" s="32"/>
      <c r="F606" s="32"/>
    </row>
    <row r="607" spans="1:6">
      <c r="A607"/>
      <c r="B607"/>
      <c r="C607"/>
      <c r="D607" s="32"/>
      <c r="E607" s="32"/>
      <c r="F607" s="32"/>
    </row>
    <row r="608" spans="1:6">
      <c r="A608"/>
      <c r="B608"/>
      <c r="C608"/>
      <c r="D608" s="32"/>
      <c r="E608" s="32"/>
      <c r="F608" s="32"/>
    </row>
    <row r="609" spans="1:6">
      <c r="A609"/>
      <c r="B609"/>
      <c r="C609"/>
      <c r="D609" s="32"/>
      <c r="E609" s="32"/>
      <c r="F609" s="32"/>
    </row>
    <row r="610" spans="1:6">
      <c r="A610"/>
      <c r="B610"/>
      <c r="C610"/>
      <c r="D610" s="32"/>
      <c r="E610" s="32"/>
      <c r="F610" s="32"/>
    </row>
    <row r="611" spans="1:6">
      <c r="A611"/>
      <c r="B611"/>
      <c r="C611"/>
      <c r="D611" s="32"/>
      <c r="E611" s="32"/>
      <c r="F611" s="32"/>
    </row>
    <row r="612" spans="1:6">
      <c r="A612"/>
      <c r="B612"/>
      <c r="C612"/>
      <c r="D612" s="32"/>
      <c r="E612" s="32"/>
      <c r="F612" s="32"/>
    </row>
    <row r="613" spans="1:6">
      <c r="A613"/>
      <c r="B613"/>
      <c r="C613"/>
      <c r="D613" s="32"/>
      <c r="E613" s="32"/>
      <c r="F613" s="32"/>
    </row>
    <row r="614" spans="1:6">
      <c r="A614"/>
      <c r="B614"/>
      <c r="C614"/>
      <c r="D614" s="32"/>
      <c r="E614" s="32"/>
      <c r="F614" s="32"/>
    </row>
    <row r="615" spans="1:6">
      <c r="A615"/>
      <c r="B615"/>
      <c r="C615"/>
      <c r="D615" s="32"/>
      <c r="E615" s="32"/>
      <c r="F615" s="32"/>
    </row>
    <row r="616" spans="1:6">
      <c r="A616"/>
      <c r="B616"/>
      <c r="C616"/>
      <c r="D616" s="32"/>
      <c r="E616" s="32"/>
      <c r="F616" s="32"/>
    </row>
    <row r="617" spans="1:6">
      <c r="A617"/>
      <c r="B617"/>
      <c r="C617"/>
      <c r="D617" s="32"/>
      <c r="E617" s="32"/>
      <c r="F617" s="32"/>
    </row>
    <row r="618" spans="1:6">
      <c r="A618"/>
      <c r="B618"/>
      <c r="C618"/>
      <c r="D618" s="32"/>
      <c r="E618" s="32"/>
      <c r="F618" s="32"/>
    </row>
    <row r="619" spans="1:6">
      <c r="A619"/>
      <c r="B619"/>
      <c r="C619"/>
      <c r="D619" s="32"/>
      <c r="E619" s="32"/>
      <c r="F619" s="32"/>
    </row>
    <row r="620" spans="1:6">
      <c r="A620"/>
      <c r="B620"/>
      <c r="C620"/>
      <c r="D620" s="32"/>
      <c r="E620" s="32"/>
      <c r="F620" s="32"/>
    </row>
    <row r="621" spans="1:6">
      <c r="A621"/>
      <c r="B621"/>
      <c r="C621"/>
      <c r="D621" s="32"/>
      <c r="E621" s="32"/>
      <c r="F621" s="32"/>
    </row>
    <row r="622" spans="1:6">
      <c r="A622"/>
      <c r="B622"/>
      <c r="C622"/>
      <c r="D622" s="32"/>
      <c r="E622" s="32"/>
      <c r="F622" s="32"/>
    </row>
    <row r="623" spans="1:6">
      <c r="A623"/>
      <c r="B623"/>
      <c r="C623"/>
      <c r="D623" s="32"/>
      <c r="E623" s="32"/>
      <c r="F623" s="32"/>
    </row>
    <row r="624" spans="1:6">
      <c r="A624"/>
      <c r="B624"/>
      <c r="C624"/>
      <c r="D624" s="32"/>
      <c r="E624" s="32"/>
      <c r="F624" s="32"/>
    </row>
    <row r="625" spans="1:6">
      <c r="A625"/>
      <c r="B625"/>
      <c r="C625"/>
      <c r="D625" s="32"/>
      <c r="E625" s="32"/>
      <c r="F625" s="32"/>
    </row>
    <row r="626" spans="1:6">
      <c r="A626"/>
      <c r="B626"/>
      <c r="C626"/>
      <c r="D626" s="32"/>
      <c r="E626" s="32"/>
      <c r="F626" s="32"/>
    </row>
    <row r="627" spans="1:6">
      <c r="A627"/>
      <c r="B627"/>
      <c r="C627"/>
      <c r="D627" s="32"/>
      <c r="E627" s="32"/>
      <c r="F627" s="32"/>
    </row>
    <row r="628" spans="1:6">
      <c r="A628"/>
      <c r="B628"/>
      <c r="C628"/>
      <c r="D628" s="32"/>
      <c r="E628" s="32"/>
      <c r="F628" s="32"/>
    </row>
    <row r="629" spans="1:6">
      <c r="A629"/>
      <c r="B629"/>
      <c r="C629"/>
      <c r="D629" s="32"/>
      <c r="E629" s="32"/>
      <c r="F629" s="32"/>
    </row>
    <row r="630" spans="1:6">
      <c r="A630"/>
      <c r="B630"/>
      <c r="C630"/>
      <c r="D630" s="32"/>
      <c r="E630" s="32"/>
      <c r="F630" s="32"/>
    </row>
    <row r="631" spans="1:6">
      <c r="A631"/>
      <c r="B631"/>
      <c r="C631"/>
      <c r="D631" s="32"/>
      <c r="E631" s="32"/>
      <c r="F631" s="32"/>
    </row>
    <row r="632" spans="1:6">
      <c r="A632"/>
      <c r="B632"/>
      <c r="C632"/>
      <c r="D632" s="32"/>
      <c r="E632" s="32"/>
      <c r="F632" s="32"/>
    </row>
    <row r="633" spans="1:6">
      <c r="A633"/>
      <c r="B633"/>
      <c r="C633"/>
      <c r="D633" s="32"/>
      <c r="E633" s="32"/>
      <c r="F633" s="32"/>
    </row>
    <row r="634" spans="1:6">
      <c r="A634"/>
      <c r="B634"/>
      <c r="C634"/>
      <c r="D634" s="32"/>
      <c r="E634" s="32"/>
      <c r="F634" s="32"/>
    </row>
    <row r="635" spans="1:6">
      <c r="A635"/>
      <c r="B635"/>
      <c r="C635"/>
      <c r="D635" s="32"/>
      <c r="E635" s="32"/>
      <c r="F635" s="32"/>
    </row>
    <row r="636" spans="1:6">
      <c r="A636"/>
      <c r="B636"/>
      <c r="C636"/>
      <c r="D636" s="32"/>
      <c r="E636" s="32"/>
      <c r="F636" s="32"/>
    </row>
    <row r="637" spans="1:6">
      <c r="A637"/>
      <c r="B637"/>
      <c r="C637"/>
      <c r="D637" s="32"/>
      <c r="E637" s="32"/>
      <c r="F637" s="32"/>
    </row>
    <row r="638" spans="1:6">
      <c r="A638"/>
      <c r="B638"/>
      <c r="C638"/>
      <c r="D638" s="32"/>
      <c r="E638" s="32"/>
      <c r="F638" s="32"/>
    </row>
    <row r="639" spans="1:6">
      <c r="A639"/>
      <c r="B639"/>
      <c r="C639"/>
      <c r="D639" s="32"/>
      <c r="E639" s="32"/>
      <c r="F639" s="32"/>
    </row>
    <row r="640" spans="1:6">
      <c r="A640"/>
      <c r="B640"/>
      <c r="C640"/>
      <c r="D640" s="32"/>
      <c r="E640" s="32"/>
      <c r="F640" s="32"/>
    </row>
    <row r="641" spans="1:6">
      <c r="A641"/>
      <c r="B641"/>
      <c r="C641"/>
      <c r="D641" s="32"/>
      <c r="E641" s="32"/>
      <c r="F641" s="32"/>
    </row>
    <row r="642" spans="1:6">
      <c r="A642"/>
      <c r="B642"/>
      <c r="C642"/>
      <c r="D642" s="32"/>
      <c r="E642" s="32"/>
      <c r="F642" s="32"/>
    </row>
    <row r="643" spans="1:6">
      <c r="A643"/>
      <c r="B643"/>
      <c r="C643"/>
      <c r="D643" s="32"/>
      <c r="E643" s="32"/>
      <c r="F643" s="32"/>
    </row>
    <row r="644" spans="1:6">
      <c r="A644"/>
      <c r="B644"/>
      <c r="C644"/>
      <c r="D644" s="32"/>
      <c r="E644" s="32"/>
      <c r="F644" s="32"/>
    </row>
    <row r="645" spans="1:6">
      <c r="A645"/>
      <c r="B645"/>
      <c r="C645"/>
      <c r="D645" s="32"/>
      <c r="E645" s="32"/>
      <c r="F645" s="32"/>
    </row>
    <row r="646" spans="1:6">
      <c r="A646"/>
      <c r="B646"/>
      <c r="C646"/>
      <c r="D646" s="32"/>
      <c r="E646" s="32"/>
      <c r="F646" s="32"/>
    </row>
    <row r="647" spans="1:6">
      <c r="A647"/>
      <c r="B647"/>
      <c r="C647"/>
      <c r="D647" s="32"/>
      <c r="E647" s="32"/>
      <c r="F647" s="32"/>
    </row>
    <row r="648" spans="1:6">
      <c r="A648"/>
      <c r="B648"/>
      <c r="C648"/>
      <c r="D648" s="32"/>
      <c r="E648" s="32"/>
      <c r="F648" s="32"/>
    </row>
    <row r="649" spans="1:6">
      <c r="A649"/>
      <c r="B649"/>
      <c r="C649"/>
      <c r="D649" s="32"/>
      <c r="E649" s="32"/>
      <c r="F649" s="32"/>
    </row>
    <row r="650" spans="1:6">
      <c r="A650"/>
      <c r="B650"/>
      <c r="C650"/>
      <c r="D650" s="32"/>
      <c r="E650" s="32"/>
      <c r="F650" s="32"/>
    </row>
    <row r="651" spans="1:6">
      <c r="A651"/>
      <c r="B651"/>
      <c r="C651"/>
      <c r="D651" s="32"/>
      <c r="E651" s="32"/>
      <c r="F651" s="32"/>
    </row>
    <row r="652" spans="1:6">
      <c r="A652"/>
      <c r="B652"/>
      <c r="C652"/>
      <c r="D652" s="32"/>
      <c r="E652" s="32"/>
      <c r="F652" s="32"/>
    </row>
    <row r="653" spans="1:6">
      <c r="A653"/>
      <c r="B653"/>
      <c r="C653"/>
      <c r="D653" s="32"/>
      <c r="E653" s="32"/>
      <c r="F653" s="32"/>
    </row>
    <row r="654" spans="1:6">
      <c r="A654"/>
      <c r="B654"/>
      <c r="C654"/>
      <c r="D654" s="32"/>
      <c r="E654" s="32"/>
      <c r="F654" s="32"/>
    </row>
    <row r="655" spans="1:6">
      <c r="A655"/>
      <c r="B655"/>
      <c r="C655"/>
      <c r="D655" s="32"/>
      <c r="E655" s="32"/>
      <c r="F655" s="32"/>
    </row>
    <row r="656" spans="1:6">
      <c r="A656"/>
      <c r="B656"/>
      <c r="C656"/>
      <c r="D656" s="32"/>
      <c r="E656" s="32"/>
      <c r="F656" s="32"/>
    </row>
    <row r="657" spans="1:6">
      <c r="A657"/>
      <c r="B657"/>
      <c r="C657"/>
      <c r="D657" s="32"/>
      <c r="E657" s="32"/>
      <c r="F657" s="32"/>
    </row>
    <row r="658" spans="1:6">
      <c r="A658"/>
      <c r="B658"/>
      <c r="C658"/>
      <c r="D658" s="32"/>
      <c r="E658" s="32"/>
      <c r="F658" s="32"/>
    </row>
    <row r="659" spans="1:6">
      <c r="A659"/>
      <c r="B659"/>
      <c r="C659"/>
      <c r="D659" s="32"/>
      <c r="E659" s="32"/>
      <c r="F659" s="32"/>
    </row>
    <row r="660" spans="1:6">
      <c r="A660"/>
      <c r="B660"/>
      <c r="C660"/>
      <c r="D660" s="32"/>
      <c r="E660" s="32"/>
      <c r="F660" s="32"/>
    </row>
    <row r="661" spans="1:6">
      <c r="A661"/>
      <c r="B661"/>
      <c r="C661"/>
      <c r="D661" s="32"/>
      <c r="E661" s="32"/>
      <c r="F661" s="32"/>
    </row>
    <row r="662" spans="1:6">
      <c r="A662"/>
      <c r="B662"/>
      <c r="C662"/>
      <c r="D662" s="32"/>
      <c r="E662" s="32"/>
      <c r="F662" s="32"/>
    </row>
    <row r="663" spans="1:6">
      <c r="A663"/>
      <c r="B663"/>
      <c r="C663"/>
      <c r="D663" s="32"/>
      <c r="E663" s="32"/>
      <c r="F663" s="32"/>
    </row>
    <row r="664" spans="1:6">
      <c r="A664"/>
      <c r="B664"/>
      <c r="C664"/>
      <c r="D664" s="32"/>
      <c r="E664" s="32"/>
      <c r="F664" s="32"/>
    </row>
    <row r="665" spans="1:6">
      <c r="A665"/>
      <c r="B665"/>
      <c r="C665"/>
      <c r="D665" s="32"/>
      <c r="E665" s="32"/>
      <c r="F665" s="32"/>
    </row>
    <row r="666" spans="1:6">
      <c r="A666"/>
      <c r="B666"/>
      <c r="C666"/>
      <c r="D666" s="32"/>
      <c r="E666" s="32"/>
      <c r="F666" s="32"/>
    </row>
    <row r="667" spans="1:6">
      <c r="B667" s="32"/>
      <c r="C667" s="32"/>
      <c r="D667" s="32"/>
      <c r="E667" s="32"/>
      <c r="F667" s="32"/>
    </row>
    <row r="668" spans="1:6">
      <c r="B668" s="32"/>
      <c r="C668" s="32"/>
      <c r="D668" s="32"/>
      <c r="E668" s="32"/>
      <c r="F668" s="32"/>
    </row>
    <row r="669" spans="1:6">
      <c r="B669" s="32"/>
      <c r="C669" s="32"/>
      <c r="D669" s="32"/>
      <c r="E669" s="32"/>
      <c r="F669" s="32"/>
    </row>
    <row r="670" spans="1:6">
      <c r="B670" s="32"/>
      <c r="C670" s="32"/>
      <c r="D670" s="32"/>
      <c r="E670" s="32"/>
      <c r="F670" s="32"/>
    </row>
    <row r="671" spans="1:6">
      <c r="B671" s="32"/>
      <c r="C671" s="32"/>
      <c r="D671" s="32"/>
      <c r="E671" s="32"/>
      <c r="F671" s="32"/>
    </row>
    <row r="672" spans="1: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53DD-B72A-415B-8BC7-BFEDF7A29431}">
  <sheetPr>
    <tabColor rgb="FFFFFF00"/>
    <pageSetUpPr fitToPage="1"/>
  </sheetPr>
  <dimension ref="A1:G1568"/>
  <sheetViews>
    <sheetView zoomScaleNormal="100" workbookViewId="0">
      <selection activeCell="B13" sqref="B13"/>
    </sheetView>
  </sheetViews>
  <sheetFormatPr defaultColWidth="8.85546875" defaultRowHeight="14.45"/>
  <cols>
    <col min="1" max="1" width="57.140625" style="43" customWidth="1"/>
    <col min="2" max="2" width="16.42578125" style="60" customWidth="1"/>
    <col min="3" max="5" width="13.42578125" style="60" customWidth="1"/>
    <col min="6" max="6" width="13.42578125" style="61" customWidth="1"/>
    <col min="7" max="7" width="13.42578125" style="32" customWidth="1"/>
    <col min="8" max="8" width="21.140625" customWidth="1"/>
    <col min="9"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66" t="s">
        <v>480</v>
      </c>
      <c r="B1" s="166"/>
      <c r="C1" s="166"/>
      <c r="D1" s="32"/>
      <c r="E1" s="114" t="s">
        <v>449</v>
      </c>
      <c r="F1" s="32"/>
    </row>
    <row r="2" spans="1:7">
      <c r="A2"/>
      <c r="B2"/>
    </row>
    <row r="3" spans="1:7">
      <c r="A3" s="56" t="s">
        <v>11</v>
      </c>
      <c r="B3" t="s">
        <v>185</v>
      </c>
    </row>
    <row r="4" spans="1:7">
      <c r="A4" s="103" t="s">
        <v>1</v>
      </c>
      <c r="B4" s="43" t="s">
        <v>222</v>
      </c>
    </row>
    <row r="6" spans="1:7">
      <c r="A6" s="56" t="s">
        <v>428</v>
      </c>
      <c r="B6" s="56" t="s">
        <v>186</v>
      </c>
      <c r="F6" s="60"/>
      <c r="G6" s="60"/>
    </row>
    <row r="7" spans="1:7">
      <c r="A7" s="76" t="s">
        <v>218</v>
      </c>
      <c r="B7" s="105" t="s">
        <v>208</v>
      </c>
      <c r="C7" s="105" t="s">
        <v>211</v>
      </c>
      <c r="D7" s="105" t="s">
        <v>212</v>
      </c>
      <c r="E7" s="105" t="s">
        <v>213</v>
      </c>
      <c r="F7" s="105" t="s">
        <v>214</v>
      </c>
      <c r="G7" s="104" t="s">
        <v>202</v>
      </c>
    </row>
    <row r="8" spans="1:7">
      <c r="A8" s="43" t="s">
        <v>219</v>
      </c>
      <c r="F8" s="60"/>
      <c r="G8" s="61"/>
    </row>
    <row r="9" spans="1:7">
      <c r="A9" s="113" t="s">
        <v>246</v>
      </c>
      <c r="B9" s="60">
        <v>7</v>
      </c>
      <c r="C9" s="60">
        <v>13</v>
      </c>
      <c r="D9" s="60">
        <v>7</v>
      </c>
      <c r="E9" s="60">
        <v>7</v>
      </c>
      <c r="F9" s="60">
        <v>7</v>
      </c>
      <c r="G9" s="61">
        <v>41</v>
      </c>
    </row>
    <row r="10" spans="1:7">
      <c r="A10" s="58" t="s">
        <v>309</v>
      </c>
      <c r="F10" s="60"/>
      <c r="G10" s="61"/>
    </row>
    <row r="11" spans="1:7">
      <c r="A11" s="71" t="s">
        <v>47</v>
      </c>
      <c r="C11" s="60">
        <v>2</v>
      </c>
      <c r="F11" s="60"/>
      <c r="G11" s="61">
        <v>2</v>
      </c>
    </row>
    <row r="12" spans="1:7">
      <c r="A12" s="58" t="s">
        <v>310</v>
      </c>
      <c r="F12" s="60"/>
      <c r="G12" s="61"/>
    </row>
    <row r="13" spans="1:7">
      <c r="A13" s="71" t="s">
        <v>47</v>
      </c>
      <c r="C13" s="60">
        <v>2</v>
      </c>
      <c r="F13" s="60"/>
      <c r="G13" s="61">
        <v>2</v>
      </c>
    </row>
    <row r="14" spans="1:7">
      <c r="A14" s="58" t="s">
        <v>443</v>
      </c>
      <c r="F14" s="60"/>
      <c r="G14" s="61"/>
    </row>
    <row r="15" spans="1:7">
      <c r="A15" s="71" t="s">
        <v>47</v>
      </c>
      <c r="C15" s="60">
        <v>2</v>
      </c>
      <c r="F15" s="60"/>
      <c r="G15" s="61">
        <v>2</v>
      </c>
    </row>
    <row r="16" spans="1:7">
      <c r="A16" s="58" t="s">
        <v>249</v>
      </c>
      <c r="F16" s="60"/>
      <c r="G16" s="61"/>
    </row>
    <row r="17" spans="1:7">
      <c r="A17" s="71" t="s">
        <v>47</v>
      </c>
      <c r="B17" s="60">
        <v>3</v>
      </c>
      <c r="C17" s="60">
        <v>3</v>
      </c>
      <c r="D17" s="60">
        <v>3</v>
      </c>
      <c r="E17" s="60">
        <v>3</v>
      </c>
      <c r="F17" s="60">
        <v>3</v>
      </c>
      <c r="G17" s="61">
        <v>15</v>
      </c>
    </row>
    <row r="18" spans="1:7">
      <c r="A18" s="58" t="s">
        <v>250</v>
      </c>
      <c r="F18" s="60"/>
      <c r="G18" s="61"/>
    </row>
    <row r="19" spans="1:7">
      <c r="A19" s="71" t="s">
        <v>47</v>
      </c>
      <c r="B19" s="60">
        <v>4</v>
      </c>
      <c r="C19" s="60">
        <v>4</v>
      </c>
      <c r="D19" s="60">
        <v>4</v>
      </c>
      <c r="E19" s="60">
        <v>4</v>
      </c>
      <c r="F19" s="60">
        <v>4</v>
      </c>
      <c r="G19" s="61">
        <v>20</v>
      </c>
    </row>
    <row r="20" spans="1:7">
      <c r="A20" s="113" t="s">
        <v>259</v>
      </c>
      <c r="B20" s="60">
        <v>103</v>
      </c>
      <c r="C20" s="60">
        <v>103</v>
      </c>
      <c r="D20" s="60">
        <v>103</v>
      </c>
      <c r="E20" s="60">
        <v>103</v>
      </c>
      <c r="F20" s="60">
        <v>3</v>
      </c>
      <c r="G20" s="61">
        <v>415</v>
      </c>
    </row>
    <row r="21" spans="1:7">
      <c r="A21" s="58" t="s">
        <v>260</v>
      </c>
      <c r="F21" s="60"/>
      <c r="G21" s="61"/>
    </row>
    <row r="22" spans="1:7">
      <c r="A22" s="71" t="s">
        <v>47</v>
      </c>
      <c r="B22" s="60">
        <v>1</v>
      </c>
      <c r="C22" s="60">
        <v>1</v>
      </c>
      <c r="D22" s="60">
        <v>1</v>
      </c>
      <c r="E22" s="60">
        <v>1</v>
      </c>
      <c r="F22" s="60">
        <v>1</v>
      </c>
      <c r="G22" s="61">
        <v>5</v>
      </c>
    </row>
    <row r="23" spans="1:7">
      <c r="A23" s="58" t="s">
        <v>261</v>
      </c>
      <c r="F23" s="60"/>
      <c r="G23" s="61"/>
    </row>
    <row r="24" spans="1:7">
      <c r="A24" s="71" t="s">
        <v>47</v>
      </c>
      <c r="B24" s="60">
        <v>80</v>
      </c>
      <c r="C24" s="60">
        <v>80</v>
      </c>
      <c r="D24" s="60">
        <v>80</v>
      </c>
      <c r="E24" s="60">
        <v>80</v>
      </c>
      <c r="F24" s="60"/>
      <c r="G24" s="61">
        <v>320</v>
      </c>
    </row>
    <row r="25" spans="1:7">
      <c r="A25" s="58" t="s">
        <v>262</v>
      </c>
      <c r="F25" s="60"/>
      <c r="G25" s="61"/>
    </row>
    <row r="26" spans="1:7">
      <c r="A26" s="71" t="s">
        <v>47</v>
      </c>
      <c r="B26" s="60">
        <v>6</v>
      </c>
      <c r="C26" s="60">
        <v>6</v>
      </c>
      <c r="D26" s="60">
        <v>6</v>
      </c>
      <c r="E26" s="60">
        <v>6</v>
      </c>
      <c r="F26" s="60"/>
      <c r="G26" s="61">
        <v>24</v>
      </c>
    </row>
    <row r="27" spans="1:7">
      <c r="A27" s="58" t="s">
        <v>263</v>
      </c>
      <c r="F27" s="60"/>
      <c r="G27" s="61"/>
    </row>
    <row r="28" spans="1:7">
      <c r="A28" s="71" t="s">
        <v>47</v>
      </c>
      <c r="B28" s="60">
        <v>6</v>
      </c>
      <c r="C28" s="60">
        <v>6</v>
      </c>
      <c r="D28" s="60">
        <v>6</v>
      </c>
      <c r="E28" s="60">
        <v>6</v>
      </c>
      <c r="F28" s="60"/>
      <c r="G28" s="61">
        <v>24</v>
      </c>
    </row>
    <row r="29" spans="1:7">
      <c r="A29" s="58" t="s">
        <v>264</v>
      </c>
      <c r="F29" s="60"/>
      <c r="G29" s="61"/>
    </row>
    <row r="30" spans="1:7">
      <c r="A30" s="71" t="s">
        <v>47</v>
      </c>
      <c r="B30" s="60">
        <v>8</v>
      </c>
      <c r="C30" s="60">
        <v>8</v>
      </c>
      <c r="D30" s="60">
        <v>8</v>
      </c>
      <c r="E30" s="60">
        <v>8</v>
      </c>
      <c r="F30" s="60"/>
      <c r="G30" s="61">
        <v>32</v>
      </c>
    </row>
    <row r="31" spans="1:7">
      <c r="A31" s="58" t="s">
        <v>267</v>
      </c>
      <c r="F31" s="60"/>
      <c r="G31" s="61"/>
    </row>
    <row r="32" spans="1:7">
      <c r="A32" s="71" t="s">
        <v>47</v>
      </c>
      <c r="B32" s="60">
        <v>2</v>
      </c>
      <c r="C32" s="60">
        <v>2</v>
      </c>
      <c r="D32" s="60">
        <v>2</v>
      </c>
      <c r="E32" s="60">
        <v>2</v>
      </c>
      <c r="F32" s="60">
        <v>2</v>
      </c>
      <c r="G32" s="61">
        <v>10</v>
      </c>
    </row>
    <row r="33" spans="1:7">
      <c r="A33" s="57" t="s">
        <v>268</v>
      </c>
      <c r="B33" s="60">
        <v>60</v>
      </c>
      <c r="C33" s="60">
        <v>78</v>
      </c>
      <c r="D33" s="60">
        <v>85</v>
      </c>
      <c r="E33" s="60">
        <v>90</v>
      </c>
      <c r="F33" s="60"/>
      <c r="G33" s="61">
        <v>313</v>
      </c>
    </row>
    <row r="34" spans="1:7">
      <c r="A34" s="58" t="s">
        <v>358</v>
      </c>
      <c r="F34" s="60"/>
      <c r="G34" s="61"/>
    </row>
    <row r="35" spans="1:7">
      <c r="A35" s="71" t="s">
        <v>47</v>
      </c>
      <c r="B35" s="60">
        <v>20</v>
      </c>
      <c r="C35" s="60">
        <v>18</v>
      </c>
      <c r="D35" s="60">
        <v>45</v>
      </c>
      <c r="E35" s="60">
        <v>30</v>
      </c>
      <c r="F35" s="60"/>
      <c r="G35" s="61">
        <v>113</v>
      </c>
    </row>
    <row r="36" spans="1:7">
      <c r="A36" s="58" t="s">
        <v>275</v>
      </c>
      <c r="F36" s="60"/>
      <c r="G36" s="61"/>
    </row>
    <row r="37" spans="1:7">
      <c r="A37" s="71" t="s">
        <v>47</v>
      </c>
      <c r="B37" s="60">
        <v>40</v>
      </c>
      <c r="C37" s="60">
        <v>60</v>
      </c>
      <c r="D37" s="60">
        <v>40</v>
      </c>
      <c r="E37" s="60">
        <v>60</v>
      </c>
      <c r="F37" s="60"/>
      <c r="G37" s="61">
        <v>200</v>
      </c>
    </row>
    <row r="38" spans="1:7">
      <c r="A38" s="113" t="s">
        <v>278</v>
      </c>
      <c r="B38" s="60">
        <v>10</v>
      </c>
      <c r="C38" s="60">
        <v>10</v>
      </c>
      <c r="D38" s="60">
        <v>164</v>
      </c>
      <c r="E38" s="60">
        <v>8</v>
      </c>
      <c r="F38" s="60"/>
      <c r="G38" s="61">
        <v>192</v>
      </c>
    </row>
    <row r="39" spans="1:7">
      <c r="A39" s="58" t="s">
        <v>285</v>
      </c>
      <c r="F39" s="60"/>
      <c r="G39" s="61"/>
    </row>
    <row r="40" spans="1:7">
      <c r="A40" s="71" t="s">
        <v>47</v>
      </c>
      <c r="D40" s="60">
        <v>154</v>
      </c>
      <c r="F40" s="60"/>
      <c r="G40" s="61">
        <v>154</v>
      </c>
    </row>
    <row r="41" spans="1:7">
      <c r="A41" s="58" t="s">
        <v>287</v>
      </c>
      <c r="B41" s="60">
        <v>10</v>
      </c>
      <c r="C41" s="60">
        <v>10</v>
      </c>
      <c r="D41" s="60">
        <v>10</v>
      </c>
      <c r="E41" s="60">
        <v>8</v>
      </c>
      <c r="F41" s="60"/>
      <c r="G41" s="61">
        <v>38</v>
      </c>
    </row>
    <row r="42" spans="1:7">
      <c r="A42" s="57" t="s">
        <v>296</v>
      </c>
      <c r="B42" s="60">
        <v>8</v>
      </c>
      <c r="C42" s="60">
        <v>12</v>
      </c>
      <c r="D42" s="60">
        <v>8</v>
      </c>
      <c r="E42" s="60">
        <v>8</v>
      </c>
      <c r="F42" s="60">
        <v>12</v>
      </c>
      <c r="G42" s="61">
        <v>48</v>
      </c>
    </row>
    <row r="43" spans="1:7">
      <c r="A43" s="58" t="s">
        <v>304</v>
      </c>
      <c r="B43" s="60">
        <v>8</v>
      </c>
      <c r="D43" s="60">
        <v>8</v>
      </c>
      <c r="E43" s="60">
        <v>8</v>
      </c>
      <c r="F43" s="60"/>
      <c r="G43" s="61">
        <v>24</v>
      </c>
    </row>
    <row r="44" spans="1:7">
      <c r="A44" s="58" t="s">
        <v>352</v>
      </c>
      <c r="C44" s="60">
        <v>12</v>
      </c>
      <c r="F44" s="60">
        <v>12</v>
      </c>
      <c r="G44" s="61">
        <v>24</v>
      </c>
    </row>
    <row r="45" spans="1:7">
      <c r="A45" s="57" t="s">
        <v>305</v>
      </c>
      <c r="B45" s="60">
        <v>17</v>
      </c>
      <c r="C45" s="60">
        <v>13</v>
      </c>
      <c r="D45" s="60">
        <v>17</v>
      </c>
      <c r="E45" s="60">
        <v>16</v>
      </c>
      <c r="F45" s="60">
        <v>19</v>
      </c>
      <c r="G45" s="61">
        <v>82</v>
      </c>
    </row>
    <row r="46" spans="1:7">
      <c r="A46" s="58" t="s">
        <v>307</v>
      </c>
      <c r="F46" s="60"/>
      <c r="G46" s="61"/>
    </row>
    <row r="47" spans="1:7">
      <c r="A47" s="71" t="s">
        <v>47</v>
      </c>
      <c r="B47" s="60">
        <v>2</v>
      </c>
      <c r="C47" s="60">
        <v>2</v>
      </c>
      <c r="D47" s="60">
        <v>2</v>
      </c>
      <c r="E47" s="60">
        <v>2</v>
      </c>
      <c r="F47" s="60">
        <v>2</v>
      </c>
      <c r="G47" s="61">
        <v>10</v>
      </c>
    </row>
    <row r="48" spans="1:7">
      <c r="A48" s="58" t="s">
        <v>309</v>
      </c>
      <c r="F48" s="60"/>
      <c r="G48" s="61"/>
    </row>
    <row r="49" spans="1:7">
      <c r="A49" s="71" t="s">
        <v>47</v>
      </c>
      <c r="B49" s="60">
        <v>2</v>
      </c>
      <c r="D49" s="60">
        <v>2</v>
      </c>
      <c r="E49" s="60">
        <v>2</v>
      </c>
      <c r="F49" s="60">
        <v>2</v>
      </c>
      <c r="G49" s="61">
        <v>8</v>
      </c>
    </row>
    <row r="50" spans="1:7">
      <c r="A50" s="58" t="s">
        <v>310</v>
      </c>
      <c r="F50" s="60"/>
      <c r="G50" s="61"/>
    </row>
    <row r="51" spans="1:7">
      <c r="A51" s="71" t="s">
        <v>47</v>
      </c>
      <c r="B51" s="60">
        <v>2</v>
      </c>
      <c r="D51" s="60">
        <v>2</v>
      </c>
      <c r="E51" s="60">
        <v>2</v>
      </c>
      <c r="F51" s="60">
        <v>2</v>
      </c>
      <c r="G51" s="61">
        <v>8</v>
      </c>
    </row>
    <row r="52" spans="1:7">
      <c r="A52" s="58" t="s">
        <v>312</v>
      </c>
      <c r="B52" s="60">
        <v>2</v>
      </c>
      <c r="D52" s="60">
        <v>2</v>
      </c>
      <c r="E52" s="60">
        <v>2</v>
      </c>
      <c r="F52" s="60">
        <v>2</v>
      </c>
      <c r="G52" s="61">
        <v>8</v>
      </c>
    </row>
    <row r="53" spans="1:7">
      <c r="A53" s="58" t="s">
        <v>313</v>
      </c>
      <c r="B53" s="60">
        <v>1</v>
      </c>
      <c r="C53" s="60">
        <v>1</v>
      </c>
      <c r="D53" s="60">
        <v>1</v>
      </c>
      <c r="E53" s="60">
        <v>1</v>
      </c>
      <c r="F53" s="60">
        <v>1</v>
      </c>
      <c r="G53" s="61">
        <v>5</v>
      </c>
    </row>
    <row r="54" spans="1:7">
      <c r="A54" s="58" t="s">
        <v>321</v>
      </c>
      <c r="B54" s="60">
        <v>2</v>
      </c>
      <c r="C54" s="60">
        <v>2</v>
      </c>
      <c r="D54" s="60">
        <v>2</v>
      </c>
      <c r="E54" s="60">
        <v>2</v>
      </c>
      <c r="F54" s="60">
        <v>2</v>
      </c>
      <c r="G54" s="61">
        <v>10</v>
      </c>
    </row>
    <row r="55" spans="1:7">
      <c r="A55" s="58" t="s">
        <v>317</v>
      </c>
      <c r="F55" s="60"/>
      <c r="G55" s="61"/>
    </row>
    <row r="56" spans="1:7">
      <c r="A56" s="71" t="s">
        <v>47</v>
      </c>
      <c r="B56" s="60">
        <v>6</v>
      </c>
      <c r="C56" s="60">
        <v>8</v>
      </c>
      <c r="D56" s="60">
        <v>6</v>
      </c>
      <c r="E56" s="60">
        <v>5</v>
      </c>
      <c r="F56" s="60">
        <v>8</v>
      </c>
      <c r="G56" s="61">
        <v>33</v>
      </c>
    </row>
    <row r="57" spans="1:7">
      <c r="A57" s="113" t="s">
        <v>325</v>
      </c>
      <c r="B57" s="60">
        <v>6</v>
      </c>
      <c r="C57" s="60">
        <v>6</v>
      </c>
      <c r="D57" s="60">
        <v>6</v>
      </c>
      <c r="E57" s="60">
        <v>6</v>
      </c>
      <c r="F57" s="60">
        <v>6</v>
      </c>
      <c r="G57" s="61">
        <v>30</v>
      </c>
    </row>
    <row r="58" spans="1:7">
      <c r="A58" s="58" t="s">
        <v>331</v>
      </c>
      <c r="F58" s="60"/>
      <c r="G58" s="61"/>
    </row>
    <row r="59" spans="1:7">
      <c r="A59" s="71" t="s">
        <v>47</v>
      </c>
      <c r="B59" s="60">
        <v>6</v>
      </c>
      <c r="C59" s="60">
        <v>6</v>
      </c>
      <c r="D59" s="60">
        <v>6</v>
      </c>
      <c r="E59" s="60">
        <v>6</v>
      </c>
      <c r="F59" s="60">
        <v>6</v>
      </c>
      <c r="G59" s="61">
        <v>30</v>
      </c>
    </row>
    <row r="60" spans="1:7">
      <c r="A60"/>
      <c r="B60"/>
      <c r="C60"/>
      <c r="D60"/>
      <c r="E60"/>
      <c r="F60"/>
      <c r="G60"/>
    </row>
    <row r="61" spans="1:7">
      <c r="A61"/>
      <c r="B61"/>
      <c r="C61"/>
      <c r="D61"/>
      <c r="E61"/>
      <c r="F61"/>
      <c r="G61"/>
    </row>
    <row r="62" spans="1:7">
      <c r="A62"/>
      <c r="B62"/>
      <c r="C62"/>
      <c r="D62"/>
      <c r="E62"/>
      <c r="F62"/>
      <c r="G62"/>
    </row>
    <row r="63" spans="1:7">
      <c r="A63"/>
      <c r="B63"/>
      <c r="C63"/>
      <c r="D63"/>
      <c r="E63"/>
      <c r="F63"/>
      <c r="G63"/>
    </row>
    <row r="64" spans="1:7">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spans="1:7">
      <c r="A209"/>
      <c r="B209"/>
      <c r="C209"/>
      <c r="D209"/>
      <c r="E209"/>
      <c r="F209"/>
      <c r="G209"/>
    </row>
    <row r="210" spans="1:7">
      <c r="A210"/>
      <c r="B210"/>
      <c r="C210"/>
      <c r="D210"/>
      <c r="E210"/>
      <c r="F210"/>
      <c r="G210"/>
    </row>
    <row r="211" spans="1:7">
      <c r="A211"/>
      <c r="B211"/>
      <c r="C211"/>
      <c r="D211"/>
      <c r="E211"/>
      <c r="F211"/>
      <c r="G211"/>
    </row>
    <row r="212" spans="1:7">
      <c r="A212"/>
      <c r="B212"/>
      <c r="C212"/>
      <c r="D212"/>
      <c r="E212"/>
      <c r="F212"/>
      <c r="G212"/>
    </row>
    <row r="213" spans="1:7">
      <c r="A213"/>
      <c r="B213"/>
      <c r="C213"/>
      <c r="D213"/>
      <c r="E213"/>
      <c r="F213"/>
      <c r="G213"/>
    </row>
    <row r="214" spans="1:7">
      <c r="A214"/>
      <c r="B214"/>
      <c r="C214"/>
      <c r="D214" s="32"/>
      <c r="E214" s="32"/>
      <c r="F214" s="32"/>
    </row>
    <row r="215" spans="1:7">
      <c r="A215"/>
      <c r="B215"/>
      <c r="C215"/>
      <c r="D215" s="32"/>
      <c r="E215" s="32"/>
      <c r="F215" s="32"/>
    </row>
    <row r="216" spans="1:7">
      <c r="A216"/>
      <c r="B216"/>
      <c r="C216"/>
      <c r="D216" s="32"/>
      <c r="E216" s="32"/>
      <c r="F216" s="32"/>
    </row>
    <row r="217" spans="1:7">
      <c r="A217"/>
      <c r="B217"/>
      <c r="C217"/>
      <c r="D217" s="32"/>
      <c r="E217" s="32"/>
      <c r="F217" s="32"/>
    </row>
    <row r="218" spans="1:7">
      <c r="A218"/>
      <c r="B218"/>
      <c r="C218"/>
      <c r="D218" s="32"/>
      <c r="E218" s="32"/>
      <c r="F218" s="32"/>
    </row>
    <row r="219" spans="1:7">
      <c r="A219"/>
      <c r="B219"/>
      <c r="C219"/>
      <c r="D219" s="32"/>
      <c r="E219" s="32"/>
      <c r="F219" s="32"/>
    </row>
    <row r="220" spans="1:7">
      <c r="A220"/>
      <c r="B220"/>
      <c r="C220"/>
      <c r="D220" s="32"/>
      <c r="E220" s="32"/>
      <c r="F220" s="32"/>
    </row>
    <row r="221" spans="1:7">
      <c r="A221"/>
      <c r="B221"/>
      <c r="C221"/>
      <c r="D221" s="32"/>
      <c r="E221" s="32"/>
      <c r="F221" s="32"/>
    </row>
    <row r="222" spans="1:7">
      <c r="A222"/>
      <c r="B222"/>
      <c r="C222"/>
      <c r="D222" s="32"/>
      <c r="E222" s="32"/>
      <c r="F222" s="32"/>
    </row>
    <row r="223" spans="1:7">
      <c r="A223"/>
      <c r="B223"/>
      <c r="C223"/>
      <c r="D223" s="32"/>
      <c r="E223" s="32"/>
      <c r="F223" s="32"/>
    </row>
    <row r="224" spans="1:7">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73" fitToHeight="5" orientation="portrait" horizontalDpi="1200" verticalDpi="1200"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0029-F1B3-40EA-B08E-C9D1BFC06EA0}">
  <dimension ref="B1:K55"/>
  <sheetViews>
    <sheetView topLeftCell="G44" workbookViewId="0">
      <selection activeCell="G44" sqref="G44"/>
    </sheetView>
  </sheetViews>
  <sheetFormatPr defaultColWidth="8.85546875" defaultRowHeight="14.45"/>
  <cols>
    <col min="2" max="2" width="25.42578125" bestFit="1" customWidth="1"/>
    <col min="3" max="3" width="55.42578125" bestFit="1" customWidth="1"/>
    <col min="4" max="4" width="11" bestFit="1" customWidth="1"/>
    <col min="5" max="5" width="10.42578125" bestFit="1" customWidth="1"/>
    <col min="6" max="6" width="13.42578125" bestFit="1" customWidth="1"/>
    <col min="7" max="7" width="40.42578125" bestFit="1" customWidth="1"/>
    <col min="8" max="8" width="9.42578125" bestFit="1" customWidth="1"/>
    <col min="9" max="9" width="69.42578125" bestFit="1" customWidth="1"/>
    <col min="10" max="10" width="18.42578125" bestFit="1" customWidth="1"/>
    <col min="11" max="11" width="39" bestFit="1" customWidth="1"/>
  </cols>
  <sheetData>
    <row r="1" spans="2:11">
      <c r="B1" t="s">
        <v>481</v>
      </c>
      <c r="F1" t="s">
        <v>482</v>
      </c>
    </row>
    <row r="2" spans="2:11" ht="18">
      <c r="B2" s="1" t="s">
        <v>6</v>
      </c>
      <c r="C2" s="2" t="s">
        <v>483</v>
      </c>
      <c r="D2" s="3" t="s">
        <v>14</v>
      </c>
      <c r="F2" t="s">
        <v>6</v>
      </c>
      <c r="G2" s="4" t="s">
        <v>484</v>
      </c>
      <c r="H2" s="4" t="s">
        <v>14</v>
      </c>
      <c r="I2" s="5" t="s">
        <v>485</v>
      </c>
      <c r="J2" s="5" t="s">
        <v>486</v>
      </c>
      <c r="K2" s="5" t="s">
        <v>487</v>
      </c>
    </row>
    <row r="3" spans="2:11">
      <c r="B3" s="6" t="s">
        <v>488</v>
      </c>
      <c r="C3" s="6" t="s">
        <v>489</v>
      </c>
      <c r="D3" s="7" t="s">
        <v>490</v>
      </c>
      <c r="F3" t="s">
        <v>110</v>
      </c>
      <c r="G3" s="8" t="s">
        <v>111</v>
      </c>
      <c r="H3" s="8" t="s">
        <v>112</v>
      </c>
      <c r="I3" t="s">
        <v>491</v>
      </c>
      <c r="K3" t="s">
        <v>110</v>
      </c>
    </row>
    <row r="4" spans="2:11">
      <c r="B4" s="6" t="s">
        <v>488</v>
      </c>
      <c r="C4" s="6" t="s">
        <v>492</v>
      </c>
      <c r="D4" s="7" t="s">
        <v>493</v>
      </c>
      <c r="F4" t="s">
        <v>110</v>
      </c>
      <c r="G4" s="8" t="s">
        <v>134</v>
      </c>
      <c r="H4" s="8" t="s">
        <v>135</v>
      </c>
      <c r="I4" t="s">
        <v>494</v>
      </c>
      <c r="K4" t="s">
        <v>110</v>
      </c>
    </row>
    <row r="5" spans="2:11">
      <c r="B5" s="6" t="s">
        <v>440</v>
      </c>
      <c r="C5" s="9" t="s">
        <v>59</v>
      </c>
      <c r="D5" s="10" t="s">
        <v>60</v>
      </c>
      <c r="F5" t="s">
        <v>110</v>
      </c>
      <c r="G5" s="8" t="s">
        <v>115</v>
      </c>
      <c r="H5" s="8" t="s">
        <v>116</v>
      </c>
      <c r="I5" t="s">
        <v>495</v>
      </c>
      <c r="K5" t="s">
        <v>110</v>
      </c>
    </row>
    <row r="6" spans="2:11">
      <c r="B6" s="6" t="s">
        <v>440</v>
      </c>
      <c r="C6" s="6" t="s">
        <v>496</v>
      </c>
      <c r="D6" s="10" t="s">
        <v>497</v>
      </c>
      <c r="F6" t="s">
        <v>58</v>
      </c>
      <c r="G6" s="8" t="s">
        <v>59</v>
      </c>
      <c r="H6" s="8" t="s">
        <v>60</v>
      </c>
      <c r="I6" t="s">
        <v>498</v>
      </c>
      <c r="K6" t="s">
        <v>110</v>
      </c>
    </row>
    <row r="7" spans="2:11">
      <c r="B7" s="6" t="s">
        <v>440</v>
      </c>
      <c r="C7" s="9" t="s">
        <v>499</v>
      </c>
      <c r="D7" s="10" t="s">
        <v>500</v>
      </c>
      <c r="F7" t="s">
        <v>58</v>
      </c>
      <c r="G7" s="8" t="s">
        <v>282</v>
      </c>
      <c r="H7" s="8" t="s">
        <v>497</v>
      </c>
      <c r="I7" t="s">
        <v>501</v>
      </c>
      <c r="K7" t="s">
        <v>110</v>
      </c>
    </row>
    <row r="8" spans="2:11">
      <c r="B8" s="6" t="s">
        <v>502</v>
      </c>
      <c r="C8" s="9" t="s">
        <v>503</v>
      </c>
      <c r="D8" s="7" t="s">
        <v>112</v>
      </c>
      <c r="F8" t="s">
        <v>32</v>
      </c>
      <c r="G8" s="8" t="s">
        <v>37</v>
      </c>
      <c r="H8" s="8" t="s">
        <v>38</v>
      </c>
      <c r="K8" t="s">
        <v>203</v>
      </c>
    </row>
    <row r="9" spans="2:11">
      <c r="B9" s="6" t="s">
        <v>502</v>
      </c>
      <c r="C9" s="6" t="s">
        <v>504</v>
      </c>
      <c r="D9" s="10" t="s">
        <v>505</v>
      </c>
      <c r="F9" t="s">
        <v>32</v>
      </c>
      <c r="G9" s="8" t="s">
        <v>33</v>
      </c>
      <c r="H9" s="8" t="s">
        <v>34</v>
      </c>
      <c r="I9" t="s">
        <v>506</v>
      </c>
      <c r="J9" s="7" t="s">
        <v>507</v>
      </c>
      <c r="K9" t="s">
        <v>203</v>
      </c>
    </row>
    <row r="10" spans="2:11">
      <c r="B10" s="6" t="s">
        <v>508</v>
      </c>
      <c r="C10" s="6" t="s">
        <v>509</v>
      </c>
      <c r="D10" s="10" t="s">
        <v>510</v>
      </c>
      <c r="F10" t="s">
        <v>32</v>
      </c>
      <c r="G10" s="8" t="s">
        <v>94</v>
      </c>
      <c r="H10" s="8" t="s">
        <v>95</v>
      </c>
      <c r="I10" t="s">
        <v>511</v>
      </c>
      <c r="K10" t="s">
        <v>203</v>
      </c>
    </row>
    <row r="11" spans="2:11">
      <c r="B11" s="6" t="s">
        <v>508</v>
      </c>
      <c r="C11" s="6" t="s">
        <v>512</v>
      </c>
      <c r="D11" s="7" t="s">
        <v>513</v>
      </c>
      <c r="F11" t="s">
        <v>32</v>
      </c>
      <c r="G11" s="8" t="s">
        <v>41</v>
      </c>
      <c r="H11" s="8" t="s">
        <v>42</v>
      </c>
      <c r="I11" t="s">
        <v>495</v>
      </c>
      <c r="K11" t="s">
        <v>203</v>
      </c>
    </row>
    <row r="12" spans="2:11">
      <c r="B12" s="6" t="s">
        <v>508</v>
      </c>
      <c r="C12" s="6" t="s">
        <v>514</v>
      </c>
      <c r="D12" s="7" t="s">
        <v>507</v>
      </c>
      <c r="F12" t="s">
        <v>46</v>
      </c>
      <c r="G12" s="8" t="s">
        <v>47</v>
      </c>
      <c r="H12" s="8" t="s">
        <v>48</v>
      </c>
      <c r="I12" t="s">
        <v>515</v>
      </c>
      <c r="K12" t="s">
        <v>219</v>
      </c>
    </row>
    <row r="13" spans="2:11">
      <c r="B13" s="6" t="s">
        <v>516</v>
      </c>
      <c r="C13" s="9" t="s">
        <v>517</v>
      </c>
      <c r="D13" s="10" t="s">
        <v>518</v>
      </c>
      <c r="F13" t="s">
        <v>46</v>
      </c>
      <c r="G13" t="s">
        <v>148</v>
      </c>
      <c r="H13" s="8" t="s">
        <v>149</v>
      </c>
      <c r="I13" t="s">
        <v>495</v>
      </c>
      <c r="K13" t="s">
        <v>219</v>
      </c>
    </row>
    <row r="14" spans="2:11">
      <c r="B14" s="6" t="s">
        <v>516</v>
      </c>
      <c r="C14" s="6" t="s">
        <v>519</v>
      </c>
      <c r="D14" s="7" t="s">
        <v>166</v>
      </c>
      <c r="F14" t="s">
        <v>22</v>
      </c>
      <c r="G14" s="8" t="s">
        <v>23</v>
      </c>
      <c r="H14" s="8" t="s">
        <v>24</v>
      </c>
      <c r="I14" t="s">
        <v>520</v>
      </c>
      <c r="K14" t="s">
        <v>203</v>
      </c>
    </row>
    <row r="15" spans="2:11">
      <c r="B15" s="6" t="s">
        <v>521</v>
      </c>
      <c r="C15" s="9" t="s">
        <v>522</v>
      </c>
      <c r="D15" s="10" t="s">
        <v>523</v>
      </c>
      <c r="F15" t="s">
        <v>22</v>
      </c>
      <c r="G15" t="s">
        <v>28</v>
      </c>
      <c r="H15" s="8" t="s">
        <v>29</v>
      </c>
      <c r="I15" t="s">
        <v>524</v>
      </c>
      <c r="K15" t="s">
        <v>203</v>
      </c>
    </row>
    <row r="16" spans="2:11">
      <c r="B16" s="6" t="s">
        <v>521</v>
      </c>
      <c r="C16" s="9" t="s">
        <v>525</v>
      </c>
      <c r="D16" s="7" t="s">
        <v>526</v>
      </c>
      <c r="F16" t="s">
        <v>22</v>
      </c>
      <c r="G16" s="8" t="s">
        <v>77</v>
      </c>
      <c r="H16" s="8" t="s">
        <v>78</v>
      </c>
      <c r="I16" t="s">
        <v>527</v>
      </c>
      <c r="K16" t="s">
        <v>203</v>
      </c>
    </row>
    <row r="17" spans="2:11">
      <c r="B17" s="6" t="s">
        <v>521</v>
      </c>
      <c r="C17" s="6" t="s">
        <v>528</v>
      </c>
      <c r="D17" s="10" t="s">
        <v>529</v>
      </c>
      <c r="F17" t="s">
        <v>22</v>
      </c>
      <c r="G17" s="8" t="s">
        <v>530</v>
      </c>
      <c r="H17" s="8" t="s">
        <v>531</v>
      </c>
      <c r="I17" t="s">
        <v>532</v>
      </c>
      <c r="K17" t="s">
        <v>203</v>
      </c>
    </row>
    <row r="18" spans="2:11">
      <c r="B18" s="6" t="s">
        <v>521</v>
      </c>
      <c r="C18" s="6" t="s">
        <v>533</v>
      </c>
      <c r="D18" s="10" t="s">
        <v>534</v>
      </c>
      <c r="F18" t="s">
        <v>84</v>
      </c>
      <c r="G18" s="8" t="s">
        <v>165</v>
      </c>
      <c r="H18" s="8" t="s">
        <v>166</v>
      </c>
      <c r="I18" t="s">
        <v>535</v>
      </c>
      <c r="K18" t="s">
        <v>220</v>
      </c>
    </row>
    <row r="19" spans="2:11">
      <c r="B19" s="6" t="s">
        <v>521</v>
      </c>
      <c r="C19" s="6" t="s">
        <v>536</v>
      </c>
      <c r="D19" s="10" t="s">
        <v>537</v>
      </c>
      <c r="F19" t="s">
        <v>84</v>
      </c>
      <c r="G19" s="8" t="s">
        <v>85</v>
      </c>
      <c r="H19" s="8" t="s">
        <v>86</v>
      </c>
      <c r="I19" t="s">
        <v>538</v>
      </c>
      <c r="K19" t="s">
        <v>220</v>
      </c>
    </row>
    <row r="20" spans="2:11">
      <c r="B20" s="6" t="s">
        <v>521</v>
      </c>
      <c r="C20" s="6" t="s">
        <v>539</v>
      </c>
      <c r="D20" s="10" t="s">
        <v>540</v>
      </c>
      <c r="F20" s="8" t="s">
        <v>84</v>
      </c>
      <c r="G20" s="8" t="s">
        <v>101</v>
      </c>
      <c r="H20" s="8" t="s">
        <v>102</v>
      </c>
      <c r="I20" t="s">
        <v>495</v>
      </c>
      <c r="K20" t="s">
        <v>220</v>
      </c>
    </row>
    <row r="21" spans="2:11">
      <c r="B21" s="6" t="s">
        <v>521</v>
      </c>
      <c r="C21" s="9" t="s">
        <v>541</v>
      </c>
      <c r="D21" s="10" t="s">
        <v>542</v>
      </c>
      <c r="F21" t="s">
        <v>52</v>
      </c>
      <c r="G21" s="8" t="s">
        <v>53</v>
      </c>
      <c r="H21" s="8" t="s">
        <v>54</v>
      </c>
      <c r="I21" t="s">
        <v>543</v>
      </c>
      <c r="J21" s="10" t="s">
        <v>523</v>
      </c>
      <c r="K21" t="s">
        <v>219</v>
      </c>
    </row>
    <row r="22" spans="2:11">
      <c r="B22" s="6" t="s">
        <v>521</v>
      </c>
      <c r="C22" s="9" t="s">
        <v>544</v>
      </c>
      <c r="D22" s="10" t="s">
        <v>48</v>
      </c>
      <c r="F22" t="s">
        <v>52</v>
      </c>
      <c r="G22" s="8" t="s">
        <v>233</v>
      </c>
      <c r="H22" s="8" t="s">
        <v>545</v>
      </c>
      <c r="I22" t="s">
        <v>546</v>
      </c>
      <c r="K22" t="s">
        <v>219</v>
      </c>
    </row>
    <row r="23" spans="2:11">
      <c r="B23" s="6" t="s">
        <v>521</v>
      </c>
      <c r="C23" s="9" t="s">
        <v>547</v>
      </c>
      <c r="D23" s="10" t="s">
        <v>548</v>
      </c>
      <c r="F23" t="s">
        <v>52</v>
      </c>
      <c r="G23" s="8" t="s">
        <v>295</v>
      </c>
      <c r="H23" s="8" t="s">
        <v>549</v>
      </c>
      <c r="I23" t="s">
        <v>546</v>
      </c>
      <c r="K23" t="s">
        <v>219</v>
      </c>
    </row>
    <row r="24" spans="2:11">
      <c r="B24" s="6" t="s">
        <v>521</v>
      </c>
      <c r="C24" s="6" t="s">
        <v>550</v>
      </c>
      <c r="D24" s="7" t="s">
        <v>551</v>
      </c>
      <c r="F24" t="s">
        <v>52</v>
      </c>
      <c r="G24" s="8" t="s">
        <v>252</v>
      </c>
      <c r="H24" s="8" t="s">
        <v>552</v>
      </c>
      <c r="I24" t="s">
        <v>553</v>
      </c>
      <c r="K24" t="s">
        <v>219</v>
      </c>
    </row>
    <row r="25" spans="2:11">
      <c r="B25" s="6" t="s">
        <v>521</v>
      </c>
      <c r="C25" s="9" t="s">
        <v>554</v>
      </c>
      <c r="D25" s="10" t="s">
        <v>555</v>
      </c>
      <c r="F25" t="s">
        <v>52</v>
      </c>
      <c r="G25" s="8" t="s">
        <v>236</v>
      </c>
      <c r="H25" s="8" t="s">
        <v>556</v>
      </c>
      <c r="I25" t="s">
        <v>557</v>
      </c>
      <c r="J25" s="7" t="s">
        <v>526</v>
      </c>
      <c r="K25" t="s">
        <v>219</v>
      </c>
    </row>
    <row r="26" spans="2:11">
      <c r="B26" s="6" t="s">
        <v>521</v>
      </c>
      <c r="C26" s="9" t="s">
        <v>558</v>
      </c>
      <c r="D26" s="10" t="s">
        <v>559</v>
      </c>
      <c r="F26" s="8" t="s">
        <v>52</v>
      </c>
      <c r="G26" s="8" t="s">
        <v>560</v>
      </c>
      <c r="H26" s="8" t="s">
        <v>561</v>
      </c>
      <c r="I26" t="s">
        <v>562</v>
      </c>
      <c r="K26" t="s">
        <v>219</v>
      </c>
    </row>
    <row r="27" spans="2:11">
      <c r="B27" s="6" t="s">
        <v>521</v>
      </c>
      <c r="C27" s="6" t="s">
        <v>563</v>
      </c>
      <c r="D27" s="7" t="s">
        <v>564</v>
      </c>
      <c r="F27" s="8" t="s">
        <v>110</v>
      </c>
      <c r="G27" s="8" t="s">
        <v>273</v>
      </c>
      <c r="H27" s="8" t="s">
        <v>386</v>
      </c>
      <c r="K27" t="s">
        <v>110</v>
      </c>
    </row>
    <row r="28" spans="2:11">
      <c r="B28" s="6" t="s">
        <v>521</v>
      </c>
      <c r="C28" s="6" t="s">
        <v>565</v>
      </c>
      <c r="D28" s="7" t="s">
        <v>566</v>
      </c>
      <c r="F28" s="8" t="s">
        <v>84</v>
      </c>
      <c r="G28" s="8" t="s">
        <v>221</v>
      </c>
      <c r="H28" s="8"/>
      <c r="K28" t="s">
        <v>220</v>
      </c>
    </row>
    <row r="29" spans="2:11">
      <c r="B29" s="6" t="s">
        <v>521</v>
      </c>
      <c r="C29" s="6" t="s">
        <v>567</v>
      </c>
      <c r="D29" s="7" t="s">
        <v>568</v>
      </c>
      <c r="F29" s="8" t="s">
        <v>84</v>
      </c>
      <c r="G29" s="8" t="s">
        <v>228</v>
      </c>
      <c r="H29" s="8"/>
      <c r="K29" t="s">
        <v>220</v>
      </c>
    </row>
    <row r="30" spans="2:11">
      <c r="B30" s="6" t="s">
        <v>521</v>
      </c>
      <c r="C30" s="6" t="s">
        <v>569</v>
      </c>
      <c r="D30" s="7" t="s">
        <v>570</v>
      </c>
      <c r="F30" s="8" t="s">
        <v>58</v>
      </c>
      <c r="G30" s="8" t="s">
        <v>340</v>
      </c>
      <c r="H30" s="8" t="s">
        <v>571</v>
      </c>
      <c r="I30" t="s">
        <v>572</v>
      </c>
      <c r="K30" t="s">
        <v>110</v>
      </c>
    </row>
    <row r="31" spans="2:11">
      <c r="B31" s="6" t="s">
        <v>521</v>
      </c>
      <c r="C31" s="6" t="s">
        <v>573</v>
      </c>
      <c r="D31" s="7" t="s">
        <v>574</v>
      </c>
      <c r="F31" s="8" t="s">
        <v>32</v>
      </c>
      <c r="G31" s="8" t="s">
        <v>210</v>
      </c>
      <c r="H31" s="8" t="s">
        <v>575</v>
      </c>
      <c r="K31" t="s">
        <v>203</v>
      </c>
    </row>
    <row r="32" spans="2:11">
      <c r="B32" s="6" t="s">
        <v>521</v>
      </c>
      <c r="C32" s="6" t="s">
        <v>576</v>
      </c>
      <c r="D32" s="10" t="s">
        <v>577</v>
      </c>
      <c r="F32" s="8" t="s">
        <v>32</v>
      </c>
      <c r="G32" s="8" t="s">
        <v>209</v>
      </c>
      <c r="H32" s="8" t="s">
        <v>578</v>
      </c>
      <c r="K32" t="s">
        <v>203</v>
      </c>
    </row>
    <row r="33" spans="2:11">
      <c r="B33" s="6" t="s">
        <v>521</v>
      </c>
      <c r="C33" s="6" t="s">
        <v>579</v>
      </c>
      <c r="D33" s="7" t="s">
        <v>580</v>
      </c>
      <c r="F33" s="8" t="s">
        <v>32</v>
      </c>
      <c r="G33" s="8" t="s">
        <v>216</v>
      </c>
      <c r="H33" s="8" t="s">
        <v>575</v>
      </c>
      <c r="K33" t="s">
        <v>203</v>
      </c>
    </row>
    <row r="34" spans="2:11">
      <c r="B34" s="6" t="s">
        <v>581</v>
      </c>
      <c r="C34" s="9" t="s">
        <v>582</v>
      </c>
      <c r="D34" s="10" t="s">
        <v>95</v>
      </c>
      <c r="F34" s="8" t="s">
        <v>52</v>
      </c>
      <c r="G34" s="8" t="s">
        <v>298</v>
      </c>
      <c r="H34" s="8"/>
    </row>
    <row r="35" spans="2:11">
      <c r="B35" s="6" t="s">
        <v>581</v>
      </c>
      <c r="C35" s="9" t="s">
        <v>583</v>
      </c>
      <c r="D35" s="10" t="s">
        <v>584</v>
      </c>
      <c r="F35" s="8" t="s">
        <v>46</v>
      </c>
      <c r="G35" s="8" t="s">
        <v>585</v>
      </c>
      <c r="H35" s="8"/>
    </row>
    <row r="36" spans="2:11">
      <c r="B36" s="6" t="s">
        <v>581</v>
      </c>
      <c r="C36" s="6" t="s">
        <v>586</v>
      </c>
      <c r="D36" s="7" t="s">
        <v>587</v>
      </c>
      <c r="F36" s="8" t="s">
        <v>46</v>
      </c>
      <c r="G36" s="8" t="s">
        <v>248</v>
      </c>
      <c r="H36" s="8"/>
    </row>
    <row r="37" spans="2:11">
      <c r="B37" s="6" t="s">
        <v>581</v>
      </c>
      <c r="C37" s="9" t="s">
        <v>588</v>
      </c>
      <c r="D37" s="10" t="s">
        <v>38</v>
      </c>
      <c r="F37" s="8" t="s">
        <v>46</v>
      </c>
      <c r="G37" s="8" t="s">
        <v>335</v>
      </c>
      <c r="H37" s="8"/>
    </row>
    <row r="38" spans="2:11">
      <c r="B38" s="6" t="s">
        <v>581</v>
      </c>
      <c r="C38" s="6" t="s">
        <v>589</v>
      </c>
      <c r="D38" s="10" t="s">
        <v>135</v>
      </c>
      <c r="F38" s="8" t="s">
        <v>46</v>
      </c>
      <c r="G38" s="8" t="s">
        <v>280</v>
      </c>
      <c r="H38" s="8"/>
    </row>
    <row r="39" spans="2:11">
      <c r="B39" s="6" t="s">
        <v>581</v>
      </c>
      <c r="C39" s="6" t="s">
        <v>590</v>
      </c>
      <c r="D39" s="7" t="s">
        <v>591</v>
      </c>
      <c r="F39" s="8" t="s">
        <v>46</v>
      </c>
      <c r="G39" s="8" t="s">
        <v>256</v>
      </c>
      <c r="H39" s="8"/>
    </row>
    <row r="40" spans="2:11">
      <c r="B40" s="6" t="s">
        <v>592</v>
      </c>
      <c r="C40" s="6" t="s">
        <v>593</v>
      </c>
      <c r="D40" s="10" t="s">
        <v>594</v>
      </c>
      <c r="F40" s="8" t="s">
        <v>46</v>
      </c>
      <c r="G40" s="8" t="s">
        <v>595</v>
      </c>
      <c r="H40" s="8"/>
    </row>
    <row r="41" spans="2:11">
      <c r="B41" s="6" t="s">
        <v>596</v>
      </c>
      <c r="C41" s="9" t="s">
        <v>597</v>
      </c>
      <c r="D41" s="7" t="s">
        <v>24</v>
      </c>
      <c r="F41" s="8" t="s">
        <v>46</v>
      </c>
      <c r="G41" s="8" t="s">
        <v>598</v>
      </c>
      <c r="H41" s="8"/>
    </row>
    <row r="42" spans="2:11">
      <c r="B42" s="6" t="s">
        <v>596</v>
      </c>
      <c r="C42" s="6" t="s">
        <v>599</v>
      </c>
      <c r="D42" s="7" t="s">
        <v>600</v>
      </c>
      <c r="F42" s="8" t="s">
        <v>110</v>
      </c>
      <c r="G42" s="8" t="s">
        <v>362</v>
      </c>
      <c r="H42" s="8" t="s">
        <v>601</v>
      </c>
    </row>
    <row r="43" spans="2:11">
      <c r="B43" s="6" t="s">
        <v>596</v>
      </c>
      <c r="C43" s="6" t="s">
        <v>602</v>
      </c>
      <c r="D43" s="7" t="s">
        <v>29</v>
      </c>
      <c r="F43" s="8" t="s">
        <v>52</v>
      </c>
      <c r="G43" s="8" t="s">
        <v>333</v>
      </c>
      <c r="H43" s="8"/>
    </row>
    <row r="44" spans="2:11">
      <c r="B44" s="6" t="s">
        <v>603</v>
      </c>
      <c r="C44" s="6" t="s">
        <v>604</v>
      </c>
      <c r="D44" s="10" t="s">
        <v>605</v>
      </c>
    </row>
    <row r="45" spans="2:11">
      <c r="B45" s="6" t="s">
        <v>603</v>
      </c>
      <c r="C45" s="6" t="s">
        <v>606</v>
      </c>
      <c r="D45" s="7" t="s">
        <v>86</v>
      </c>
    </row>
    <row r="46" spans="2:11">
      <c r="B46" s="6" t="s">
        <v>603</v>
      </c>
      <c r="C46" s="6" t="s">
        <v>607</v>
      </c>
      <c r="D46" s="7" t="s">
        <v>608</v>
      </c>
    </row>
    <row r="47" spans="2:11">
      <c r="B47" s="6" t="s">
        <v>603</v>
      </c>
      <c r="C47" s="6" t="s">
        <v>609</v>
      </c>
      <c r="D47" s="7" t="s">
        <v>610</v>
      </c>
    </row>
    <row r="49" spans="6:11">
      <c r="F49" t="s">
        <v>611</v>
      </c>
      <c r="J49" t="s">
        <v>612</v>
      </c>
    </row>
    <row r="50" spans="6:11">
      <c r="F50" t="s">
        <v>613</v>
      </c>
      <c r="G50" t="s">
        <v>614</v>
      </c>
      <c r="J50" t="s">
        <v>615</v>
      </c>
      <c r="K50" t="s">
        <v>616</v>
      </c>
    </row>
    <row r="51" spans="6:11">
      <c r="F51" t="s">
        <v>110</v>
      </c>
      <c r="G51" t="s">
        <v>617</v>
      </c>
      <c r="J51" t="s">
        <v>615</v>
      </c>
      <c r="K51" t="s">
        <v>618</v>
      </c>
    </row>
    <row r="52" spans="6:11">
      <c r="F52" t="s">
        <v>220</v>
      </c>
      <c r="G52" t="s">
        <v>619</v>
      </c>
      <c r="J52" t="s">
        <v>615</v>
      </c>
      <c r="K52" t="s">
        <v>620</v>
      </c>
    </row>
    <row r="53" spans="6:11">
      <c r="F53" t="s">
        <v>203</v>
      </c>
      <c r="G53" t="s">
        <v>621</v>
      </c>
    </row>
    <row r="54" spans="6:11">
      <c r="F54" t="s">
        <v>219</v>
      </c>
      <c r="G54" t="s">
        <v>46</v>
      </c>
    </row>
    <row r="55" spans="6:11">
      <c r="F55" t="s">
        <v>622</v>
      </c>
      <c r="G55" t="s">
        <v>623</v>
      </c>
    </row>
  </sheetData>
  <autoFilter ref="B2:D58" xr:uid="{079159FA-0095-4956-94FE-505516F843BC}"/>
  <conditionalFormatting sqref="D3:D47 H3:H43">
    <cfRule type="duplicateValues" dxfId="96" priority="52"/>
  </conditionalFormatting>
  <conditionalFormatting sqref="D3:D47">
    <cfRule type="duplicateValues" dxfId="95" priority="8"/>
  </conditionalFormatting>
  <conditionalFormatting sqref="J9">
    <cfRule type="duplicateValues" dxfId="94" priority="3"/>
    <cfRule type="duplicateValues" dxfId="93" priority="4"/>
  </conditionalFormatting>
  <conditionalFormatting sqref="J21">
    <cfRule type="duplicateValues" dxfId="92" priority="5"/>
    <cfRule type="duplicateValues" dxfId="91" priority="6"/>
  </conditionalFormatting>
  <conditionalFormatting sqref="J25">
    <cfRule type="duplicateValues" dxfId="90" priority="1"/>
    <cfRule type="duplicateValues" dxfId="89" priority="2"/>
  </conditionalFormatting>
  <dataValidations count="1">
    <dataValidation allowBlank="1" showInputMessage="1" showErrorMessage="1" sqref="F2:F20 F30:F33 F35:F41" xr:uid="{452C4679-33B8-4A8A-BCFE-FBB88427DA93}"/>
  </dataValidations>
  <pageMargins left="0.7" right="0.7" top="0.75" bottom="0.75" header="0.3" footer="0.3"/>
  <pageSetup orientation="portrait"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AE25-88D8-406D-92CB-2AD078384410}">
  <sheetPr>
    <tabColor rgb="FFFF0000"/>
    <pageSetUpPr fitToPage="1"/>
  </sheetPr>
  <dimension ref="A1:R1236"/>
  <sheetViews>
    <sheetView tabSelected="1" zoomScale="120" zoomScaleNormal="120" workbookViewId="0">
      <selection activeCell="P320" sqref="P320"/>
    </sheetView>
  </sheetViews>
  <sheetFormatPr defaultColWidth="8.85546875" defaultRowHeight="15" customHeight="1"/>
  <cols>
    <col min="1" max="1" width="12.42578125" bestFit="1" customWidth="1"/>
    <col min="2" max="2" width="10" bestFit="1" customWidth="1"/>
    <col min="3" max="3" width="5.42578125" bestFit="1" customWidth="1"/>
    <col min="4" max="4" width="31" bestFit="1" customWidth="1"/>
    <col min="5" max="5" width="15" bestFit="1" customWidth="1"/>
    <col min="6" max="6" width="23.85546875" bestFit="1" customWidth="1"/>
    <col min="7" max="7" width="60.85546875" bestFit="1" customWidth="1"/>
    <col min="8" max="8" width="14.42578125" bestFit="1" customWidth="1"/>
    <col min="9" max="9" width="37.42578125" bestFit="1" customWidth="1"/>
    <col min="10" max="10" width="16.140625" bestFit="1" customWidth="1"/>
    <col min="11" max="11" width="14" customWidth="1"/>
    <col min="12" max="12" width="17.42578125" bestFit="1" customWidth="1"/>
    <col min="13" max="13" width="13" bestFit="1" customWidth="1"/>
    <col min="14" max="14" width="12" bestFit="1" customWidth="1"/>
    <col min="15" max="15" width="36.42578125" bestFit="1" customWidth="1"/>
    <col min="16" max="16" width="60.42578125" customWidth="1"/>
    <col min="17" max="17" width="94.42578125" customWidth="1"/>
    <col min="18" max="18" width="10" bestFit="1" customWidth="1"/>
  </cols>
  <sheetData>
    <row r="1" spans="1:18" ht="121.5" customHeight="1">
      <c r="A1">
        <f>COUNTIF(A4:A1409,TRUE)</f>
        <v>618</v>
      </c>
    </row>
    <row r="2" spans="1:18" ht="18" hidden="1">
      <c r="B2" s="39" t="s">
        <v>624</v>
      </c>
      <c r="J2" s="39"/>
    </row>
    <row r="3" spans="1:18" ht="15.6">
      <c r="A3" s="37" t="s">
        <v>223</v>
      </c>
      <c r="B3" s="37" t="s">
        <v>0</v>
      </c>
      <c r="C3" t="s">
        <v>1</v>
      </c>
      <c r="D3" t="s">
        <v>2</v>
      </c>
      <c r="E3" s="24" t="s">
        <v>3</v>
      </c>
      <c r="F3" s="24" t="s">
        <v>4</v>
      </c>
      <c r="G3" s="25" t="s">
        <v>5</v>
      </c>
      <c r="H3" s="24" t="s">
        <v>6</v>
      </c>
      <c r="I3" s="24" t="s">
        <v>7</v>
      </c>
      <c r="J3" s="24" t="s">
        <v>368</v>
      </c>
      <c r="K3" s="25" t="s">
        <v>10</v>
      </c>
      <c r="L3" s="25" t="s">
        <v>11</v>
      </c>
      <c r="M3" s="25" t="s">
        <v>12</v>
      </c>
      <c r="N3" s="25" t="s">
        <v>13</v>
      </c>
      <c r="O3" s="26" t="s">
        <v>14</v>
      </c>
      <c r="P3" s="27" t="s">
        <v>15</v>
      </c>
      <c r="Q3" s="25" t="s">
        <v>16</v>
      </c>
      <c r="R3" s="37" t="s">
        <v>17</v>
      </c>
    </row>
    <row r="4" spans="1:18" ht="14.45">
      <c r="A4" s="106" t="b">
        <v>0</v>
      </c>
      <c r="B4" t="str" cm="1">
        <f t="array" ref="B4">_xlfn.SINGLE(_xlfn._xlws.FILTER(t_ServiceCatalogue[Onwer],t_ServiceCatalogue[Category]=t_fac25_requirements[[#This Row],[Category]],""))</f>
        <v>NW</v>
      </c>
      <c r="C4" t="s">
        <v>436</v>
      </c>
      <c r="D4" t="str">
        <f>_xlfn._xlws.FILTER(t_Contact[FA Name],t_Contact[FA]=t_fac25_requirements[[#This Row],[FA]],"")</f>
        <v>Food &amp; Beverage Concessions</v>
      </c>
      <c r="E4" s="28" t="s">
        <v>214</v>
      </c>
      <c r="F4" s="28" t="s">
        <v>296</v>
      </c>
      <c r="G4" s="28" t="s">
        <v>297</v>
      </c>
      <c r="H4" s="28" t="s">
        <v>52</v>
      </c>
      <c r="I4" s="28" t="s">
        <v>298</v>
      </c>
      <c r="J4" s="28" t="s">
        <v>370</v>
      </c>
      <c r="K4" s="29"/>
      <c r="L4" s="29">
        <v>54</v>
      </c>
      <c r="M4" s="30">
        <v>45981</v>
      </c>
      <c r="N4" s="30">
        <v>46010</v>
      </c>
      <c r="O4" s="43" t="s">
        <v>54</v>
      </c>
      <c r="P4" s="55" t="s">
        <v>625</v>
      </c>
      <c r="Q4" s="28" t="s">
        <v>626</v>
      </c>
      <c r="R4" t="s">
        <v>627</v>
      </c>
    </row>
    <row r="5" spans="1:18" ht="14.45">
      <c r="A5" s="106" t="b">
        <v>0</v>
      </c>
      <c r="B5" t="str" cm="1">
        <f t="array" ref="B5">_xlfn.SINGLE(_xlfn._xlws.FILTER(t_ServiceCatalogue[Onwer],t_ServiceCatalogue[Category]=t_fac25_requirements[[#This Row],[Category]],""))</f>
        <v>NW</v>
      </c>
      <c r="C5" t="s">
        <v>436</v>
      </c>
      <c r="D5" t="str">
        <f>_xlfn._xlws.FILTER(t_Contact[FA Name],t_Contact[FA]=t_fac25_requirements[[#This Row],[FA]],"")</f>
        <v>Food &amp; Beverage Concessions</v>
      </c>
      <c r="E5" s="28" t="s">
        <v>211</v>
      </c>
      <c r="F5" s="28" t="s">
        <v>296</v>
      </c>
      <c r="G5" s="28" t="s">
        <v>297</v>
      </c>
      <c r="H5" s="28" t="s">
        <v>52</v>
      </c>
      <c r="I5" s="28" t="s">
        <v>298</v>
      </c>
      <c r="J5" s="28" t="s">
        <v>370</v>
      </c>
      <c r="K5" s="29"/>
      <c r="L5" s="29">
        <v>31</v>
      </c>
      <c r="M5" s="30">
        <v>45981</v>
      </c>
      <c r="N5" s="30">
        <v>46010</v>
      </c>
      <c r="O5" s="43" t="s">
        <v>54</v>
      </c>
      <c r="P5" s="55" t="s">
        <v>625</v>
      </c>
      <c r="Q5" s="28" t="s">
        <v>626</v>
      </c>
      <c r="R5" t="s">
        <v>628</v>
      </c>
    </row>
    <row r="6" spans="1:18" ht="14.45">
      <c r="A6" s="106" t="b">
        <v>0</v>
      </c>
      <c r="B6" t="str" cm="1">
        <f t="array" ref="B6">_xlfn.SINGLE(_xlfn._xlws.FILTER(t_ServiceCatalogue[Onwer],t_ServiceCatalogue[Category]=t_fac25_requirements[[#This Row],[Category]],""))</f>
        <v>NW</v>
      </c>
      <c r="C6" t="s">
        <v>436</v>
      </c>
      <c r="D6" t="str">
        <f>_xlfn._xlws.FILTER(t_Contact[FA Name],t_Contact[FA]=t_fac25_requirements[[#This Row],[FA]],"")</f>
        <v>Food &amp; Beverage Concessions</v>
      </c>
      <c r="E6" s="43">
        <v>974</v>
      </c>
      <c r="F6" s="28" t="s">
        <v>296</v>
      </c>
      <c r="G6" s="28" t="s">
        <v>297</v>
      </c>
      <c r="H6" s="28" t="s">
        <v>52</v>
      </c>
      <c r="I6" s="28" t="s">
        <v>298</v>
      </c>
      <c r="J6" s="28" t="s">
        <v>370</v>
      </c>
      <c r="K6" s="29"/>
      <c r="L6" s="29">
        <v>34</v>
      </c>
      <c r="M6" s="30">
        <v>45981</v>
      </c>
      <c r="N6" s="30">
        <v>46010</v>
      </c>
      <c r="O6" s="43" t="s">
        <v>54</v>
      </c>
      <c r="P6" s="55" t="s">
        <v>625</v>
      </c>
      <c r="Q6" s="28" t="s">
        <v>626</v>
      </c>
      <c r="R6" t="s">
        <v>629</v>
      </c>
    </row>
    <row r="7" spans="1:18" ht="14.45">
      <c r="A7" s="106" t="b">
        <v>1</v>
      </c>
      <c r="B7" t="str" cm="1">
        <f t="array" ref="B7">_xlfn.SINGLE(_xlfn._xlws.FILTER(t_ServiceCatalogue[Onwer],t_ServiceCatalogue[Category]=t_fac25_requirements[[#This Row],[Category]],""))</f>
        <v>NW</v>
      </c>
      <c r="C7" t="s">
        <v>436</v>
      </c>
      <c r="D7" t="str">
        <f>_xlfn._xlws.FILTER(t_Contact[FA Name],t_Contact[FA]=t_fac25_requirements[[#This Row],[FA]],"")</f>
        <v>Food &amp; Beverage Concessions</v>
      </c>
      <c r="E7" s="28" t="s">
        <v>208</v>
      </c>
      <c r="F7" s="28" t="s">
        <v>296</v>
      </c>
      <c r="G7" s="28" t="s">
        <v>297</v>
      </c>
      <c r="H7" s="28" t="s">
        <v>52</v>
      </c>
      <c r="I7" s="28" t="s">
        <v>298</v>
      </c>
      <c r="J7" s="28" t="s">
        <v>370</v>
      </c>
      <c r="K7" s="29"/>
      <c r="L7" s="29">
        <v>27</v>
      </c>
      <c r="M7" s="30">
        <v>45981</v>
      </c>
      <c r="N7" s="30">
        <v>46010</v>
      </c>
      <c r="O7" s="43" t="s">
        <v>54</v>
      </c>
      <c r="P7" s="55" t="s">
        <v>625</v>
      </c>
      <c r="Q7" s="28" t="s">
        <v>626</v>
      </c>
      <c r="R7" t="s">
        <v>630</v>
      </c>
    </row>
    <row r="8" spans="1:18" ht="14.45">
      <c r="A8" s="106" t="b">
        <v>0</v>
      </c>
      <c r="B8" t="str" cm="1">
        <f t="array" ref="B8">_xlfn.SINGLE(_xlfn._xlws.FILTER(t_ServiceCatalogue[Onwer],t_ServiceCatalogue[Category]=t_fac25_requirements[[#This Row],[Category]],""))</f>
        <v>NW</v>
      </c>
      <c r="C8" t="s">
        <v>436</v>
      </c>
      <c r="D8" t="str">
        <f>_xlfn._xlws.FILTER(t_Contact[FA Name],t_Contact[FA]=t_fac25_requirements[[#This Row],[FA]],"")</f>
        <v>Food &amp; Beverage Concessions</v>
      </c>
      <c r="E8" s="28" t="s">
        <v>212</v>
      </c>
      <c r="F8" s="28" t="s">
        <v>296</v>
      </c>
      <c r="G8" s="28" t="s">
        <v>297</v>
      </c>
      <c r="H8" s="28" t="s">
        <v>52</v>
      </c>
      <c r="I8" s="28" t="s">
        <v>298</v>
      </c>
      <c r="J8" s="28" t="s">
        <v>370</v>
      </c>
      <c r="K8" s="29"/>
      <c r="L8" s="29">
        <v>28</v>
      </c>
      <c r="M8" s="30">
        <v>45981</v>
      </c>
      <c r="N8" s="30">
        <v>46010</v>
      </c>
      <c r="O8" s="43" t="s">
        <v>54</v>
      </c>
      <c r="P8" s="55" t="s">
        <v>625</v>
      </c>
      <c r="Q8" s="28" t="s">
        <v>626</v>
      </c>
      <c r="R8" t="s">
        <v>631</v>
      </c>
    </row>
    <row r="9" spans="1:18" ht="14.45">
      <c r="A9" s="106" t="b">
        <v>0</v>
      </c>
      <c r="B9" t="str" cm="1">
        <f t="array" ref="B9">_xlfn.SINGLE(_xlfn._xlws.FILTER(t_ServiceCatalogue[Onwer],t_ServiceCatalogue[Category]=t_fac25_requirements[[#This Row],[Category]],""))</f>
        <v>NW</v>
      </c>
      <c r="C9" t="s">
        <v>436</v>
      </c>
      <c r="D9" t="str">
        <f>_xlfn._xlws.FILTER(t_Contact[FA Name],t_Contact[FA]=t_fac25_requirements[[#This Row],[FA]],"")</f>
        <v>Food &amp; Beverage Concessions</v>
      </c>
      <c r="E9" s="28" t="s">
        <v>213</v>
      </c>
      <c r="F9" s="28" t="s">
        <v>296</v>
      </c>
      <c r="G9" s="28" t="s">
        <v>297</v>
      </c>
      <c r="H9" s="28" t="s">
        <v>52</v>
      </c>
      <c r="I9" s="28" t="s">
        <v>298</v>
      </c>
      <c r="J9" s="28" t="s">
        <v>370</v>
      </c>
      <c r="K9" s="29"/>
      <c r="L9" s="29">
        <v>31</v>
      </c>
      <c r="M9" s="30">
        <v>45981</v>
      </c>
      <c r="N9" s="30">
        <v>46010</v>
      </c>
      <c r="O9" s="43" t="s">
        <v>54</v>
      </c>
      <c r="P9" s="70" t="s">
        <v>625</v>
      </c>
      <c r="Q9" s="28" t="s">
        <v>626</v>
      </c>
      <c r="R9" t="s">
        <v>632</v>
      </c>
    </row>
    <row r="10" spans="1:18" ht="14.45">
      <c r="A10" s="106" t="b">
        <v>1</v>
      </c>
      <c r="B10" t="str" cm="1">
        <f t="array" ref="B10">_xlfn.SINGLE(_xlfn._xlws.FILTER(t_ServiceCatalogue[Onwer],t_ServiceCatalogue[Category]=t_fac25_requirements[[#This Row],[Category]],""))</f>
        <v>NW</v>
      </c>
      <c r="C10" t="s">
        <v>198</v>
      </c>
      <c r="D10" t="str">
        <f>_xlfn._xlws.FILTER(t_Contact[FA Name],t_Contact[FA]=t_fac25_requirements[[#This Row],[FA]],"")</f>
        <v>Venue Management</v>
      </c>
      <c r="E10" s="28" t="s">
        <v>19</v>
      </c>
      <c r="F10" s="28" t="s">
        <v>71</v>
      </c>
      <c r="G10" s="28" t="s">
        <v>138</v>
      </c>
      <c r="H10" s="28" t="s">
        <v>52</v>
      </c>
      <c r="I10" s="28" t="s">
        <v>53</v>
      </c>
      <c r="J10" s="28" t="s">
        <v>370</v>
      </c>
      <c r="K10" s="29"/>
      <c r="L10" s="29">
        <v>1</v>
      </c>
      <c r="M10" s="30">
        <v>45931</v>
      </c>
      <c r="N10" s="30">
        <v>46009</v>
      </c>
      <c r="O10" s="43" t="s">
        <v>54</v>
      </c>
      <c r="P10" s="63" t="s">
        <v>87</v>
      </c>
      <c r="Q10" s="28"/>
      <c r="R10" t="s">
        <v>633</v>
      </c>
    </row>
    <row r="11" spans="1:18" ht="14.45">
      <c r="A11" s="106" t="b">
        <v>1</v>
      </c>
      <c r="B11" t="str" cm="1">
        <f t="array" ref="B11">_xlfn.SINGLE(_xlfn._xlws.FILTER(t_ServiceCatalogue[Onwer],t_ServiceCatalogue[Category]=t_fac25_requirements[[#This Row],[Category]],""))</f>
        <v>EU</v>
      </c>
      <c r="C11" t="s">
        <v>198</v>
      </c>
      <c r="D11" t="str">
        <f>_xlfn._xlws.FILTER(t_Contact[FA Name],t_Contact[FA]=t_fac25_requirements[[#This Row],[FA]],"")</f>
        <v>Venue Management</v>
      </c>
      <c r="E11" s="28" t="s">
        <v>19</v>
      </c>
      <c r="F11" s="28" t="s">
        <v>71</v>
      </c>
      <c r="G11" s="28" t="s">
        <v>138</v>
      </c>
      <c r="H11" s="28" t="s">
        <v>22</v>
      </c>
      <c r="I11" s="28" t="s">
        <v>77</v>
      </c>
      <c r="J11" s="28" t="s">
        <v>370</v>
      </c>
      <c r="K11" s="29"/>
      <c r="L11" s="29">
        <v>2</v>
      </c>
      <c r="M11" s="30">
        <v>45931</v>
      </c>
      <c r="N11" s="30">
        <v>46009</v>
      </c>
      <c r="O11" s="43" t="s">
        <v>29</v>
      </c>
      <c r="P11" s="55" t="s">
        <v>634</v>
      </c>
      <c r="Q11" s="28"/>
      <c r="R11" t="s">
        <v>635</v>
      </c>
    </row>
    <row r="12" spans="1:18" ht="14.45">
      <c r="A12" s="106" t="b">
        <v>1</v>
      </c>
      <c r="B12" t="str" cm="1">
        <f t="array" ref="B12">_xlfn.SINGLE(_xlfn._xlws.FILTER(t_ServiceCatalogue[Onwer],t_ServiceCatalogue[Category]=t_fac25_requirements[[#This Row],[Category]],""))</f>
        <v>EU</v>
      </c>
      <c r="C12" t="s">
        <v>189</v>
      </c>
      <c r="D12" t="str">
        <f>_xlfn._xlws.FILTER(t_Contact[FA Name],t_Contact[FA]=t_fac25_requirements[[#This Row],[FA]],"")</f>
        <v>Catering</v>
      </c>
      <c r="E12" t="s">
        <v>19</v>
      </c>
      <c r="F12" s="28" t="s">
        <v>71</v>
      </c>
      <c r="G12" t="s">
        <v>636</v>
      </c>
      <c r="H12" t="s">
        <v>32</v>
      </c>
      <c r="I12" s="28" t="s">
        <v>33</v>
      </c>
      <c r="J12" s="28" t="s">
        <v>637</v>
      </c>
      <c r="K12" s="29">
        <v>1</v>
      </c>
      <c r="L12" s="29">
        <v>0</v>
      </c>
      <c r="M12" s="30">
        <v>45931</v>
      </c>
      <c r="N12" s="30">
        <v>46009</v>
      </c>
      <c r="O12" s="43" t="s">
        <v>34</v>
      </c>
      <c r="P12" s="55" t="s">
        <v>638</v>
      </c>
      <c r="Q12" t="s">
        <v>639</v>
      </c>
      <c r="R12" t="s">
        <v>640</v>
      </c>
    </row>
    <row r="13" spans="1:18" ht="14.45">
      <c r="A13" s="106" t="b">
        <v>1</v>
      </c>
      <c r="B13" t="str" cm="1">
        <f t="array" ref="B13">_xlfn.SINGLE(_xlfn._xlws.FILTER(t_ServiceCatalogue[Onwer],t_ServiceCatalogue[Category]=t_fac25_requirements[[#This Row],[Category]],""))</f>
        <v>EU</v>
      </c>
      <c r="C13" t="s">
        <v>189</v>
      </c>
      <c r="D13" t="str">
        <f>_xlfn._xlws.FILTER(t_Contact[FA Name],t_Contact[FA]=t_fac25_requirements[[#This Row],[FA]],"")</f>
        <v>Catering</v>
      </c>
      <c r="E13" t="s">
        <v>19</v>
      </c>
      <c r="F13" s="28" t="s">
        <v>71</v>
      </c>
      <c r="G13" t="s">
        <v>636</v>
      </c>
      <c r="H13" t="s">
        <v>32</v>
      </c>
      <c r="I13" s="28" t="s">
        <v>37</v>
      </c>
      <c r="J13" s="28" t="s">
        <v>637</v>
      </c>
      <c r="K13" s="29">
        <v>1</v>
      </c>
      <c r="L13" s="29">
        <v>0</v>
      </c>
      <c r="M13" s="30">
        <v>45931</v>
      </c>
      <c r="N13" s="30">
        <v>46009</v>
      </c>
      <c r="O13" s="43" t="s">
        <v>38</v>
      </c>
      <c r="P13" s="55" t="s">
        <v>638</v>
      </c>
      <c r="Q13" t="s">
        <v>639</v>
      </c>
      <c r="R13" t="s">
        <v>641</v>
      </c>
    </row>
    <row r="14" spans="1:18" ht="18.75" customHeight="1">
      <c r="A14" s="106" t="b">
        <v>1</v>
      </c>
      <c r="B14" t="str" cm="1">
        <f t="array" ref="B14">_xlfn.SINGLE(_xlfn._xlws.FILTER(t_ServiceCatalogue[Onwer],t_ServiceCatalogue[Category]=t_fac25_requirements[[#This Row],[Category]],""))</f>
        <v>AV</v>
      </c>
      <c r="C14" t="s">
        <v>63</v>
      </c>
      <c r="D14" t="str">
        <f>_xlfn._xlws.FILTER(t_Contact[FA Name],t_Contact[FA]=t_fac25_requirements[[#This Row],[FA]],"")</f>
        <v>Logistics</v>
      </c>
      <c r="E14" t="s">
        <v>19</v>
      </c>
      <c r="F14" t="s">
        <v>71</v>
      </c>
      <c r="G14" t="s">
        <v>72</v>
      </c>
      <c r="H14" t="s">
        <v>110</v>
      </c>
      <c r="I14" t="s">
        <v>111</v>
      </c>
      <c r="J14" s="28" t="s">
        <v>370</v>
      </c>
      <c r="K14" s="32">
        <v>3</v>
      </c>
      <c r="L14" s="32">
        <v>2</v>
      </c>
      <c r="M14" s="30">
        <v>45942</v>
      </c>
      <c r="N14" s="30">
        <v>46022</v>
      </c>
      <c r="O14" s="43" t="s">
        <v>60</v>
      </c>
      <c r="P14" s="70" t="s">
        <v>642</v>
      </c>
      <c r="Q14" t="s">
        <v>73</v>
      </c>
      <c r="R14" t="s">
        <v>643</v>
      </c>
    </row>
    <row r="15" spans="1:18" ht="14.45">
      <c r="A15" s="106" t="b">
        <v>1</v>
      </c>
      <c r="B15" t="str" cm="1">
        <f t="array" ref="B15">_xlfn.SINGLE(_xlfn._xlws.FILTER(t_ServiceCatalogue[Onwer],t_ServiceCatalogue[Category]=t_fac25_requirements[[#This Row],[Category]],""))</f>
        <v>NW</v>
      </c>
      <c r="C15" t="s">
        <v>63</v>
      </c>
      <c r="D15" t="str">
        <f>_xlfn._xlws.FILTER(t_Contact[FA Name],t_Contact[FA]=t_fac25_requirements[[#This Row],[FA]],"")</f>
        <v>Logistics</v>
      </c>
      <c r="E15" t="s">
        <v>19</v>
      </c>
      <c r="F15" t="s">
        <v>71</v>
      </c>
      <c r="G15" t="s">
        <v>72</v>
      </c>
      <c r="H15" t="s">
        <v>46</v>
      </c>
      <c r="I15" t="s">
        <v>47</v>
      </c>
      <c r="J15" s="28" t="s">
        <v>370</v>
      </c>
      <c r="K15" s="32"/>
      <c r="L15" s="32">
        <v>1</v>
      </c>
      <c r="M15" s="30">
        <v>45942</v>
      </c>
      <c r="N15" s="30">
        <v>46022</v>
      </c>
      <c r="O15" s="43" t="s">
        <v>48</v>
      </c>
      <c r="P15" s="55" t="s">
        <v>644</v>
      </c>
      <c r="Q15" t="s">
        <v>75</v>
      </c>
      <c r="R15" t="s">
        <v>645</v>
      </c>
    </row>
    <row r="16" spans="1:18" ht="14.45">
      <c r="A16" s="106" t="b">
        <v>1</v>
      </c>
      <c r="B16" t="str" cm="1">
        <f t="array" ref="B16">_xlfn.SINGLE(_xlfn._xlws.FILTER(t_ServiceCatalogue[Onwer],t_ServiceCatalogue[Category]=t_fac25_requirements[[#This Row],[Category]],""))</f>
        <v>EU</v>
      </c>
      <c r="C16" t="s">
        <v>207</v>
      </c>
      <c r="D16" t="str">
        <f>_xlfn._xlws.FILTER(t_Contact[FA Name],t_Contact[FA]=t_fac25_requirements[[#This Row],[FA]],"")</f>
        <v>Power</v>
      </c>
      <c r="E16" s="28" t="s">
        <v>211</v>
      </c>
      <c r="F16" s="28" t="s">
        <v>305</v>
      </c>
      <c r="G16" s="28" t="s">
        <v>311</v>
      </c>
      <c r="H16" s="28" t="s">
        <v>22</v>
      </c>
      <c r="I16" s="28" t="s">
        <v>77</v>
      </c>
      <c r="J16" s="28" t="s">
        <v>370</v>
      </c>
      <c r="K16" s="29"/>
      <c r="L16" s="29">
        <v>1</v>
      </c>
      <c r="M16" s="31">
        <v>45970</v>
      </c>
      <c r="N16" s="30">
        <v>46010</v>
      </c>
      <c r="O16" s="43" t="s">
        <v>78</v>
      </c>
      <c r="P16" s="63" t="s">
        <v>87</v>
      </c>
      <c r="Q16" s="28"/>
      <c r="R16" t="s">
        <v>646</v>
      </c>
    </row>
    <row r="17" spans="1:18" ht="14.45">
      <c r="A17" s="106" t="b">
        <v>1</v>
      </c>
      <c r="B17" t="str" cm="1">
        <f t="array" ref="B17">_xlfn.SINGLE(_xlfn._xlws.FILTER(t_ServiceCatalogue[Onwer],t_ServiceCatalogue[Category]=t_fac25_requirements[[#This Row],[Category]],""))</f>
        <v>NW</v>
      </c>
      <c r="C17" t="s">
        <v>207</v>
      </c>
      <c r="D17" t="str">
        <f>_xlfn._xlws.FILTER(t_Contact[FA Name],t_Contact[FA]=t_fac25_requirements[[#This Row],[FA]],"")</f>
        <v>Power</v>
      </c>
      <c r="E17" s="28" t="s">
        <v>211</v>
      </c>
      <c r="F17" s="28" t="s">
        <v>305</v>
      </c>
      <c r="G17" s="28" t="s">
        <v>311</v>
      </c>
      <c r="H17" s="28" t="s">
        <v>52</v>
      </c>
      <c r="I17" s="28" t="s">
        <v>53</v>
      </c>
      <c r="J17" s="28" t="s">
        <v>370</v>
      </c>
      <c r="K17" s="29"/>
      <c r="L17" s="29">
        <v>1</v>
      </c>
      <c r="M17" s="31">
        <v>45970</v>
      </c>
      <c r="N17" s="30">
        <v>46010</v>
      </c>
      <c r="O17" s="43" t="s">
        <v>54</v>
      </c>
      <c r="P17" s="63" t="s">
        <v>87</v>
      </c>
      <c r="Q17" s="28"/>
      <c r="R17" t="s">
        <v>647</v>
      </c>
    </row>
    <row r="18" spans="1:18" ht="14.45">
      <c r="A18" s="106" t="b">
        <v>1</v>
      </c>
      <c r="B18" t="str" cm="1">
        <f t="array" ref="B18">_xlfn.SINGLE(_xlfn._xlws.FILTER(t_ServiceCatalogue[Onwer],t_ServiceCatalogue[Category]=t_fac25_requirements[[#This Row],[Category]],""))</f>
        <v>EU</v>
      </c>
      <c r="C18" t="s">
        <v>207</v>
      </c>
      <c r="D18" t="str">
        <f>_xlfn._xlws.FILTER(t_Contact[FA Name],t_Contact[FA]=t_fac25_requirements[[#This Row],[FA]],"")</f>
        <v>Power</v>
      </c>
      <c r="E18" s="28" t="s">
        <v>214</v>
      </c>
      <c r="F18" s="28" t="s">
        <v>305</v>
      </c>
      <c r="G18" s="28" t="s">
        <v>311</v>
      </c>
      <c r="H18" s="28" t="s">
        <v>22</v>
      </c>
      <c r="I18" s="28" t="s">
        <v>77</v>
      </c>
      <c r="J18" s="28" t="s">
        <v>370</v>
      </c>
      <c r="K18" s="29"/>
      <c r="L18" s="29">
        <v>1</v>
      </c>
      <c r="M18" s="31">
        <v>45970</v>
      </c>
      <c r="N18" s="30">
        <v>46010</v>
      </c>
      <c r="O18" s="43" t="s">
        <v>78</v>
      </c>
      <c r="P18" s="63" t="s">
        <v>87</v>
      </c>
      <c r="Q18" s="28"/>
      <c r="R18" t="s">
        <v>648</v>
      </c>
    </row>
    <row r="19" spans="1:18" ht="14.45">
      <c r="A19" s="106" t="b">
        <v>1</v>
      </c>
      <c r="B19" t="str" cm="1">
        <f t="array" ref="B19">_xlfn.SINGLE(_xlfn._xlws.FILTER(t_ServiceCatalogue[Onwer],t_ServiceCatalogue[Category]=t_fac25_requirements[[#This Row],[Category]],""))</f>
        <v>NW</v>
      </c>
      <c r="C19" t="s">
        <v>207</v>
      </c>
      <c r="D19" t="str">
        <f>_xlfn._xlws.FILTER(t_Contact[FA Name],t_Contact[FA]=t_fac25_requirements[[#This Row],[FA]],"")</f>
        <v>Power</v>
      </c>
      <c r="E19" s="28" t="s">
        <v>214</v>
      </c>
      <c r="F19" s="28" t="s">
        <v>305</v>
      </c>
      <c r="G19" s="28" t="s">
        <v>311</v>
      </c>
      <c r="H19" s="28" t="s">
        <v>52</v>
      </c>
      <c r="I19" s="28" t="s">
        <v>53</v>
      </c>
      <c r="J19" s="28" t="s">
        <v>370</v>
      </c>
      <c r="K19" s="29"/>
      <c r="L19" s="29">
        <v>1</v>
      </c>
      <c r="M19" s="31">
        <v>45970</v>
      </c>
      <c r="N19" s="30">
        <v>46010</v>
      </c>
      <c r="O19" s="43" t="s">
        <v>54</v>
      </c>
      <c r="P19" s="63" t="s">
        <v>87</v>
      </c>
      <c r="Q19" s="28"/>
      <c r="R19" t="s">
        <v>649</v>
      </c>
    </row>
    <row r="20" spans="1:18" ht="14.45">
      <c r="A20" s="106" t="b">
        <v>1</v>
      </c>
      <c r="B20" t="str" cm="1">
        <f t="array" ref="B20">_xlfn.SINGLE(_xlfn._xlws.FILTER(t_ServiceCatalogue[Onwer],t_ServiceCatalogue[Category]=t_fac25_requirements[[#This Row],[Category]],""))</f>
        <v>EU</v>
      </c>
      <c r="C20" t="s">
        <v>207</v>
      </c>
      <c r="D20" t="str">
        <f>_xlfn._xlws.FILTER(t_Contact[FA Name],t_Contact[FA]=t_fac25_requirements[[#This Row],[FA]],"")</f>
        <v>Power</v>
      </c>
      <c r="E20" s="43">
        <v>974</v>
      </c>
      <c r="F20" t="s">
        <v>305</v>
      </c>
      <c r="G20" t="s">
        <v>311</v>
      </c>
      <c r="H20" t="s">
        <v>22</v>
      </c>
      <c r="I20" t="s">
        <v>77</v>
      </c>
      <c r="J20" s="28" t="s">
        <v>370</v>
      </c>
      <c r="K20" s="32"/>
      <c r="L20" s="32">
        <v>1</v>
      </c>
      <c r="M20" s="31">
        <v>45970</v>
      </c>
      <c r="N20" s="30">
        <v>46010</v>
      </c>
      <c r="O20" s="43" t="s">
        <v>78</v>
      </c>
      <c r="P20" s="63" t="s">
        <v>87</v>
      </c>
      <c r="R20" t="s">
        <v>650</v>
      </c>
    </row>
    <row r="21" spans="1:18" ht="14.45">
      <c r="A21" s="106" t="b">
        <v>1</v>
      </c>
      <c r="B21" t="str" cm="1">
        <f t="array" ref="B21">_xlfn.SINGLE(_xlfn._xlws.FILTER(t_ServiceCatalogue[Onwer],t_ServiceCatalogue[Category]=t_fac25_requirements[[#This Row],[Category]],""))</f>
        <v>NW</v>
      </c>
      <c r="C21" t="s">
        <v>207</v>
      </c>
      <c r="D21" t="str">
        <f>_xlfn._xlws.FILTER(t_Contact[FA Name],t_Contact[FA]=t_fac25_requirements[[#This Row],[FA]],"")</f>
        <v>Power</v>
      </c>
      <c r="E21" s="43">
        <v>974</v>
      </c>
      <c r="F21" t="s">
        <v>305</v>
      </c>
      <c r="G21" t="s">
        <v>311</v>
      </c>
      <c r="H21" t="s">
        <v>52</v>
      </c>
      <c r="I21" t="s">
        <v>53</v>
      </c>
      <c r="J21" s="28" t="s">
        <v>370</v>
      </c>
      <c r="K21" s="32"/>
      <c r="L21" s="32">
        <v>1</v>
      </c>
      <c r="M21" s="31">
        <v>45970</v>
      </c>
      <c r="N21" s="30">
        <v>46010</v>
      </c>
      <c r="O21" s="43" t="s">
        <v>54</v>
      </c>
      <c r="P21" s="63" t="s">
        <v>87</v>
      </c>
      <c r="R21" t="s">
        <v>651</v>
      </c>
    </row>
    <row r="22" spans="1:18" ht="14.45">
      <c r="A22" s="106" t="b">
        <v>1</v>
      </c>
      <c r="B22" t="str" cm="1">
        <f t="array" ref="B22">_xlfn.SINGLE(_xlfn._xlws.FILTER(t_ServiceCatalogue[Onwer],t_ServiceCatalogue[Category]=t_fac25_requirements[[#This Row],[Category]],""))</f>
        <v>EU</v>
      </c>
      <c r="C22" t="s">
        <v>207</v>
      </c>
      <c r="D22" t="str">
        <f>_xlfn._xlws.FILTER(t_Contact[FA Name],t_Contact[FA]=t_fac25_requirements[[#This Row],[FA]],"")</f>
        <v>Power</v>
      </c>
      <c r="E22" t="s">
        <v>208</v>
      </c>
      <c r="F22" t="s">
        <v>305</v>
      </c>
      <c r="G22" t="s">
        <v>311</v>
      </c>
      <c r="H22" t="s">
        <v>22</v>
      </c>
      <c r="I22" t="s">
        <v>77</v>
      </c>
      <c r="J22" s="28" t="s">
        <v>370</v>
      </c>
      <c r="K22" s="32"/>
      <c r="L22" s="32">
        <v>1</v>
      </c>
      <c r="M22" s="31">
        <v>45970</v>
      </c>
      <c r="N22" s="30">
        <v>46010</v>
      </c>
      <c r="O22" s="43" t="s">
        <v>78</v>
      </c>
      <c r="P22" s="63" t="s">
        <v>87</v>
      </c>
      <c r="R22" t="s">
        <v>652</v>
      </c>
    </row>
    <row r="23" spans="1:18" ht="14.45">
      <c r="A23" s="106" t="b">
        <v>1</v>
      </c>
      <c r="B23" t="str" cm="1">
        <f t="array" ref="B23">_xlfn.SINGLE(_xlfn._xlws.FILTER(t_ServiceCatalogue[Onwer],t_ServiceCatalogue[Category]=t_fac25_requirements[[#This Row],[Category]],""))</f>
        <v>NW</v>
      </c>
      <c r="C23" t="s">
        <v>207</v>
      </c>
      <c r="D23" t="str">
        <f>_xlfn._xlws.FILTER(t_Contact[FA Name],t_Contact[FA]=t_fac25_requirements[[#This Row],[FA]],"")</f>
        <v>Power</v>
      </c>
      <c r="E23" t="s">
        <v>208</v>
      </c>
      <c r="F23" t="s">
        <v>305</v>
      </c>
      <c r="G23" t="s">
        <v>311</v>
      </c>
      <c r="H23" t="s">
        <v>52</v>
      </c>
      <c r="I23" t="s">
        <v>53</v>
      </c>
      <c r="J23" s="28" t="s">
        <v>370</v>
      </c>
      <c r="K23" s="32"/>
      <c r="L23" s="32">
        <v>1</v>
      </c>
      <c r="M23" s="31">
        <v>45970</v>
      </c>
      <c r="N23" s="30">
        <v>46010</v>
      </c>
      <c r="O23" s="43" t="s">
        <v>54</v>
      </c>
      <c r="P23" s="63" t="s">
        <v>87</v>
      </c>
      <c r="R23" t="s">
        <v>653</v>
      </c>
    </row>
    <row r="24" spans="1:18" ht="14.45">
      <c r="A24" s="106" t="b">
        <v>1</v>
      </c>
      <c r="B24" t="str" cm="1">
        <f t="array" ref="B24">_xlfn.SINGLE(_xlfn._xlws.FILTER(t_ServiceCatalogue[Onwer],t_ServiceCatalogue[Category]=t_fac25_requirements[[#This Row],[Category]],""))</f>
        <v>EU</v>
      </c>
      <c r="C24" t="s">
        <v>207</v>
      </c>
      <c r="D24" t="str">
        <f>_xlfn._xlws.FILTER(t_Contact[FA Name],t_Contact[FA]=t_fac25_requirements[[#This Row],[FA]],"")</f>
        <v>Power</v>
      </c>
      <c r="E24" t="s">
        <v>212</v>
      </c>
      <c r="F24" t="s">
        <v>305</v>
      </c>
      <c r="G24" t="s">
        <v>311</v>
      </c>
      <c r="H24" t="s">
        <v>22</v>
      </c>
      <c r="I24" t="s">
        <v>77</v>
      </c>
      <c r="J24" s="28" t="s">
        <v>370</v>
      </c>
      <c r="K24" s="32"/>
      <c r="L24" s="32">
        <v>1</v>
      </c>
      <c r="M24" s="31">
        <v>45970</v>
      </c>
      <c r="N24" s="30">
        <v>46010</v>
      </c>
      <c r="O24" s="43" t="s">
        <v>78</v>
      </c>
      <c r="P24" s="63" t="s">
        <v>87</v>
      </c>
      <c r="R24" t="s">
        <v>654</v>
      </c>
    </row>
    <row r="25" spans="1:18" ht="14.45">
      <c r="A25" s="106" t="b">
        <v>1</v>
      </c>
      <c r="B25" t="str" cm="1">
        <f t="array" ref="B25">_xlfn.SINGLE(_xlfn._xlws.FILTER(t_ServiceCatalogue[Onwer],t_ServiceCatalogue[Category]=t_fac25_requirements[[#This Row],[Category]],""))</f>
        <v>NW</v>
      </c>
      <c r="C25" t="s">
        <v>207</v>
      </c>
      <c r="D25" t="str">
        <f>_xlfn._xlws.FILTER(t_Contact[FA Name],t_Contact[FA]=t_fac25_requirements[[#This Row],[FA]],"")</f>
        <v>Power</v>
      </c>
      <c r="E25" t="s">
        <v>212</v>
      </c>
      <c r="F25" t="s">
        <v>305</v>
      </c>
      <c r="G25" t="s">
        <v>311</v>
      </c>
      <c r="H25" t="s">
        <v>52</v>
      </c>
      <c r="I25" t="s">
        <v>53</v>
      </c>
      <c r="J25" s="28" t="s">
        <v>370</v>
      </c>
      <c r="K25" s="32"/>
      <c r="L25" s="32">
        <v>1</v>
      </c>
      <c r="M25" s="31">
        <v>45970</v>
      </c>
      <c r="N25" s="30">
        <v>46010</v>
      </c>
      <c r="O25" s="43" t="s">
        <v>54</v>
      </c>
      <c r="P25" s="63" t="s">
        <v>87</v>
      </c>
      <c r="R25" t="s">
        <v>655</v>
      </c>
    </row>
    <row r="26" spans="1:18" ht="14.45">
      <c r="A26" s="106" t="b">
        <v>1</v>
      </c>
      <c r="B26" t="str" cm="1">
        <f t="array" ref="B26">_xlfn.SINGLE(_xlfn._xlws.FILTER(t_ServiceCatalogue[Onwer],t_ServiceCatalogue[Category]=t_fac25_requirements[[#This Row],[Category]],""))</f>
        <v>EU</v>
      </c>
      <c r="C26" t="s">
        <v>207</v>
      </c>
      <c r="D26" t="str">
        <f>_xlfn._xlws.FILTER(t_Contact[FA Name],t_Contact[FA]=t_fac25_requirements[[#This Row],[FA]],"")</f>
        <v>Power</v>
      </c>
      <c r="E26" t="s">
        <v>213</v>
      </c>
      <c r="F26" t="s">
        <v>305</v>
      </c>
      <c r="G26" t="s">
        <v>311</v>
      </c>
      <c r="H26" t="s">
        <v>22</v>
      </c>
      <c r="I26" t="s">
        <v>77</v>
      </c>
      <c r="J26" s="28" t="s">
        <v>370</v>
      </c>
      <c r="K26" s="32"/>
      <c r="L26" s="32">
        <v>1</v>
      </c>
      <c r="M26" s="31">
        <v>45970</v>
      </c>
      <c r="N26" s="30">
        <v>46010</v>
      </c>
      <c r="O26" s="43" t="s">
        <v>78</v>
      </c>
      <c r="P26" s="63" t="s">
        <v>87</v>
      </c>
      <c r="R26" t="s">
        <v>656</v>
      </c>
    </row>
    <row r="27" spans="1:18" ht="14.45">
      <c r="A27" s="106" t="b">
        <v>1</v>
      </c>
      <c r="B27" t="str" cm="1">
        <f t="array" ref="B27">_xlfn.SINGLE(_xlfn._xlws.FILTER(t_ServiceCatalogue[Onwer],t_ServiceCatalogue[Category]=t_fac25_requirements[[#This Row],[Category]],""))</f>
        <v>NW</v>
      </c>
      <c r="C27" t="s">
        <v>207</v>
      </c>
      <c r="D27" t="str">
        <f>_xlfn._xlws.FILTER(t_Contact[FA Name],t_Contact[FA]=t_fac25_requirements[[#This Row],[FA]],"")</f>
        <v>Power</v>
      </c>
      <c r="E27" t="s">
        <v>213</v>
      </c>
      <c r="F27" t="s">
        <v>305</v>
      </c>
      <c r="G27" t="s">
        <v>311</v>
      </c>
      <c r="H27" t="s">
        <v>52</v>
      </c>
      <c r="I27" t="s">
        <v>53</v>
      </c>
      <c r="J27" s="28" t="s">
        <v>370</v>
      </c>
      <c r="K27" s="32"/>
      <c r="L27" s="32">
        <v>1</v>
      </c>
      <c r="M27" s="31">
        <v>45970</v>
      </c>
      <c r="N27" s="30">
        <v>46010</v>
      </c>
      <c r="O27" s="43" t="s">
        <v>54</v>
      </c>
      <c r="P27" s="63" t="s">
        <v>87</v>
      </c>
      <c r="R27" t="s">
        <v>657</v>
      </c>
    </row>
    <row r="28" spans="1:18" ht="14.45">
      <c r="A28" s="106" t="b">
        <v>1</v>
      </c>
      <c r="B28" t="str" cm="1">
        <f t="array" ref="B28">_xlfn.SINGLE(_xlfn._xlws.FILTER(t_ServiceCatalogue[Onwer],t_ServiceCatalogue[Category]=t_fac25_requirements[[#This Row],[Category]],""))</f>
        <v>EU</v>
      </c>
      <c r="C28" t="s">
        <v>190</v>
      </c>
      <c r="D28" t="str">
        <f>_xlfn._xlws.FILTER(t_Contact[FA Name],t_Contact[FA]=t_fac25_requirements[[#This Row],[FA]],"")</f>
        <v>Ceremonies &amp; Infotainment</v>
      </c>
      <c r="E28" t="s">
        <v>214</v>
      </c>
      <c r="F28" t="s">
        <v>305</v>
      </c>
      <c r="G28" t="s">
        <v>313</v>
      </c>
      <c r="H28" t="s">
        <v>22</v>
      </c>
      <c r="I28" t="s">
        <v>23</v>
      </c>
      <c r="J28" s="28" t="s">
        <v>637</v>
      </c>
      <c r="K28" s="32">
        <v>1</v>
      </c>
      <c r="L28" s="32">
        <v>0</v>
      </c>
      <c r="M28" s="31">
        <v>45962</v>
      </c>
      <c r="N28" s="30">
        <v>46009</v>
      </c>
      <c r="O28" s="43" t="s">
        <v>24</v>
      </c>
      <c r="P28" s="55" t="s">
        <v>658</v>
      </c>
      <c r="Q28" t="s">
        <v>659</v>
      </c>
      <c r="R28" t="s">
        <v>660</v>
      </c>
    </row>
    <row r="29" spans="1:18" ht="14.45">
      <c r="A29" s="106" t="b">
        <v>1</v>
      </c>
      <c r="B29" t="str" cm="1">
        <f t="array" ref="B29">_xlfn.SINGLE(_xlfn._xlws.FILTER(t_ServiceCatalogue[Onwer],t_ServiceCatalogue[Category]=t_fac25_requirements[[#This Row],[Category]],""))</f>
        <v>EU</v>
      </c>
      <c r="C29" t="s">
        <v>190</v>
      </c>
      <c r="D29" t="str">
        <f>_xlfn._xlws.FILTER(t_Contact[FA Name],t_Contact[FA]=t_fac25_requirements[[#This Row],[FA]],"")</f>
        <v>Ceremonies &amp; Infotainment</v>
      </c>
      <c r="E29" t="s">
        <v>211</v>
      </c>
      <c r="F29" t="s">
        <v>305</v>
      </c>
      <c r="G29" t="s">
        <v>313</v>
      </c>
      <c r="H29" t="s">
        <v>22</v>
      </c>
      <c r="I29" t="s">
        <v>23</v>
      </c>
      <c r="J29" s="28" t="s">
        <v>637</v>
      </c>
      <c r="K29" s="32">
        <v>1</v>
      </c>
      <c r="L29" s="32">
        <v>0</v>
      </c>
      <c r="M29" s="31">
        <v>45962</v>
      </c>
      <c r="N29" s="30">
        <v>46009</v>
      </c>
      <c r="O29" s="43" t="s">
        <v>24</v>
      </c>
      <c r="P29" s="55" t="s">
        <v>658</v>
      </c>
      <c r="Q29" t="s">
        <v>659</v>
      </c>
      <c r="R29" t="s">
        <v>661</v>
      </c>
    </row>
    <row r="30" spans="1:18" ht="14.45">
      <c r="A30" s="106" t="b">
        <v>1</v>
      </c>
      <c r="B30" t="str" cm="1">
        <f t="array" ref="B30">_xlfn.SINGLE(_xlfn._xlws.FILTER(t_ServiceCatalogue[Onwer],t_ServiceCatalogue[Category]=t_fac25_requirements[[#This Row],[Category]],""))</f>
        <v>EU</v>
      </c>
      <c r="C30" t="s">
        <v>190</v>
      </c>
      <c r="D30" t="str">
        <f>_xlfn._xlws.FILTER(t_Contact[FA Name],t_Contact[FA]=t_fac25_requirements[[#This Row],[FA]],"")</f>
        <v>Ceremonies &amp; Infotainment</v>
      </c>
      <c r="E30" s="43">
        <v>974</v>
      </c>
      <c r="F30" t="s">
        <v>305</v>
      </c>
      <c r="G30" t="s">
        <v>313</v>
      </c>
      <c r="H30" t="s">
        <v>22</v>
      </c>
      <c r="I30" t="s">
        <v>23</v>
      </c>
      <c r="J30" s="28" t="s">
        <v>637</v>
      </c>
      <c r="K30" s="32">
        <v>1</v>
      </c>
      <c r="L30" s="32">
        <v>0</v>
      </c>
      <c r="M30" s="31">
        <v>45962</v>
      </c>
      <c r="N30" s="30">
        <v>46009</v>
      </c>
      <c r="O30" s="43" t="s">
        <v>24</v>
      </c>
      <c r="P30" s="55" t="s">
        <v>658</v>
      </c>
      <c r="Q30" t="s">
        <v>659</v>
      </c>
      <c r="R30" t="s">
        <v>662</v>
      </c>
    </row>
    <row r="31" spans="1:18" ht="14.45">
      <c r="A31" s="106" t="b">
        <v>1</v>
      </c>
      <c r="B31" t="str" cm="1">
        <f t="array" ref="B31">_xlfn.SINGLE(_xlfn._xlws.FILTER(t_ServiceCatalogue[Onwer],t_ServiceCatalogue[Category]=t_fac25_requirements[[#This Row],[Category]],""))</f>
        <v>EU</v>
      </c>
      <c r="C31" t="s">
        <v>190</v>
      </c>
      <c r="D31" t="str">
        <f>_xlfn._xlws.FILTER(t_Contact[FA Name],t_Contact[FA]=t_fac25_requirements[[#This Row],[FA]],"")</f>
        <v>Ceremonies &amp; Infotainment</v>
      </c>
      <c r="E31" t="s">
        <v>208</v>
      </c>
      <c r="F31" t="s">
        <v>305</v>
      </c>
      <c r="G31" t="s">
        <v>313</v>
      </c>
      <c r="H31" t="s">
        <v>22</v>
      </c>
      <c r="I31" t="s">
        <v>23</v>
      </c>
      <c r="J31" s="28" t="s">
        <v>637</v>
      </c>
      <c r="K31" s="32">
        <v>1</v>
      </c>
      <c r="L31" s="32">
        <v>0</v>
      </c>
      <c r="M31" s="31">
        <v>45962</v>
      </c>
      <c r="N31" s="30">
        <v>46011</v>
      </c>
      <c r="O31" s="43" t="s">
        <v>24</v>
      </c>
      <c r="P31" s="55" t="s">
        <v>658</v>
      </c>
      <c r="Q31" t="s">
        <v>659</v>
      </c>
      <c r="R31" t="s">
        <v>663</v>
      </c>
    </row>
    <row r="32" spans="1:18" ht="14.45">
      <c r="A32" s="106" t="b">
        <v>1</v>
      </c>
      <c r="B32" t="str" cm="1">
        <f t="array" ref="B32">_xlfn.SINGLE(_xlfn._xlws.FILTER(t_ServiceCatalogue[Onwer],t_ServiceCatalogue[Category]=t_fac25_requirements[[#This Row],[Category]],""))</f>
        <v>EU</v>
      </c>
      <c r="C32" t="s">
        <v>190</v>
      </c>
      <c r="D32" t="str">
        <f>_xlfn._xlws.FILTER(t_Contact[FA Name],t_Contact[FA]=t_fac25_requirements[[#This Row],[FA]],"")</f>
        <v>Ceremonies &amp; Infotainment</v>
      </c>
      <c r="E32" t="s">
        <v>212</v>
      </c>
      <c r="F32" t="s">
        <v>305</v>
      </c>
      <c r="G32" t="s">
        <v>313</v>
      </c>
      <c r="H32" t="s">
        <v>22</v>
      </c>
      <c r="I32" t="s">
        <v>23</v>
      </c>
      <c r="J32" s="28" t="s">
        <v>637</v>
      </c>
      <c r="K32" s="32">
        <v>1</v>
      </c>
      <c r="L32" s="32">
        <v>0</v>
      </c>
      <c r="M32" s="31">
        <v>45962</v>
      </c>
      <c r="N32" s="30">
        <v>46009</v>
      </c>
      <c r="O32" s="43" t="s">
        <v>24</v>
      </c>
      <c r="P32" s="55" t="s">
        <v>658</v>
      </c>
      <c r="Q32" t="s">
        <v>659</v>
      </c>
      <c r="R32" t="s">
        <v>664</v>
      </c>
    </row>
    <row r="33" spans="1:18" ht="14.45">
      <c r="A33" s="106" t="b">
        <v>1</v>
      </c>
      <c r="B33" t="str" cm="1">
        <f t="array" ref="B33">_xlfn.SINGLE(_xlfn._xlws.FILTER(t_ServiceCatalogue[Onwer],t_ServiceCatalogue[Category]=t_fac25_requirements[[#This Row],[Category]],""))</f>
        <v>EU</v>
      </c>
      <c r="C33" t="s">
        <v>190</v>
      </c>
      <c r="D33" t="str">
        <f>_xlfn._xlws.FILTER(t_Contact[FA Name],t_Contact[FA]=t_fac25_requirements[[#This Row],[FA]],"")</f>
        <v>Ceremonies &amp; Infotainment</v>
      </c>
      <c r="E33" t="s">
        <v>213</v>
      </c>
      <c r="F33" t="s">
        <v>305</v>
      </c>
      <c r="G33" t="s">
        <v>313</v>
      </c>
      <c r="H33" t="s">
        <v>22</v>
      </c>
      <c r="I33" t="s">
        <v>23</v>
      </c>
      <c r="J33" s="28" t="s">
        <v>637</v>
      </c>
      <c r="K33" s="32">
        <v>1</v>
      </c>
      <c r="L33" s="32">
        <v>0</v>
      </c>
      <c r="M33" s="31">
        <v>45962</v>
      </c>
      <c r="N33" s="30">
        <v>46009</v>
      </c>
      <c r="O33" s="43" t="s">
        <v>24</v>
      </c>
      <c r="P33" s="55" t="s">
        <v>658</v>
      </c>
      <c r="Q33" t="s">
        <v>659</v>
      </c>
      <c r="R33" t="s">
        <v>665</v>
      </c>
    </row>
    <row r="34" spans="1:18" ht="14.45">
      <c r="A34" s="106" t="b">
        <v>0</v>
      </c>
      <c r="B34" t="str" cm="1">
        <f t="array" ref="B34">_xlfn.SINGLE(_xlfn._xlws.FILTER(t_ServiceCatalogue[Onwer],t_ServiceCatalogue[Category]=t_fac25_requirements[[#This Row],[Category]],""))</f>
        <v>EU</v>
      </c>
      <c r="C34" t="s">
        <v>190</v>
      </c>
      <c r="D34" t="str">
        <f>_xlfn._xlws.FILTER(t_Contact[FA Name],t_Contact[FA]=t_fac25_requirements[[#This Row],[FA]],"")</f>
        <v>Ceremonies &amp; Infotainment</v>
      </c>
      <c r="E34" t="s">
        <v>214</v>
      </c>
      <c r="F34" t="s">
        <v>305</v>
      </c>
      <c r="G34" t="s">
        <v>365</v>
      </c>
      <c r="H34" t="s">
        <v>22</v>
      </c>
      <c r="I34" t="s">
        <v>77</v>
      </c>
      <c r="J34" t="s">
        <v>370</v>
      </c>
      <c r="K34" s="32"/>
      <c r="L34" s="32">
        <v>1</v>
      </c>
      <c r="M34" s="31">
        <v>45962</v>
      </c>
      <c r="N34" s="30">
        <v>46016</v>
      </c>
      <c r="O34" s="43" t="s">
        <v>78</v>
      </c>
      <c r="P34" s="55" t="s">
        <v>666</v>
      </c>
      <c r="Q34" t="s">
        <v>667</v>
      </c>
      <c r="R34" t="s">
        <v>668</v>
      </c>
    </row>
    <row r="35" spans="1:18" ht="14.45">
      <c r="A35" s="106" t="b">
        <v>0</v>
      </c>
      <c r="B35" t="str" cm="1">
        <f t="array" ref="B35">_xlfn.SINGLE(_xlfn._xlws.FILTER(t_ServiceCatalogue[Onwer],t_ServiceCatalogue[Category]=t_fac25_requirements[[#This Row],[Category]],""))</f>
        <v>EU</v>
      </c>
      <c r="C35" t="s">
        <v>190</v>
      </c>
      <c r="D35" t="str">
        <f>_xlfn._xlws.FILTER(t_Contact[FA Name],t_Contact[FA]=t_fac25_requirements[[#This Row],[FA]],"")</f>
        <v>Ceremonies &amp; Infotainment</v>
      </c>
      <c r="E35" t="s">
        <v>211</v>
      </c>
      <c r="F35" t="s">
        <v>305</v>
      </c>
      <c r="G35" t="s">
        <v>365</v>
      </c>
      <c r="H35" t="s">
        <v>22</v>
      </c>
      <c r="I35" t="s">
        <v>77</v>
      </c>
      <c r="J35" t="s">
        <v>370</v>
      </c>
      <c r="K35" s="32"/>
      <c r="L35" s="32">
        <v>1</v>
      </c>
      <c r="M35" s="31">
        <v>45962</v>
      </c>
      <c r="N35" s="30">
        <v>46009</v>
      </c>
      <c r="O35" s="43" t="s">
        <v>78</v>
      </c>
      <c r="P35" s="55" t="s">
        <v>666</v>
      </c>
      <c r="Q35" t="s">
        <v>667</v>
      </c>
      <c r="R35" t="s">
        <v>669</v>
      </c>
    </row>
    <row r="36" spans="1:18" ht="14.45">
      <c r="A36" s="106" t="b">
        <v>1</v>
      </c>
      <c r="B36" t="str" cm="1">
        <f t="array" ref="B36">_xlfn.SINGLE(_xlfn._xlws.FILTER(t_ServiceCatalogue[Onwer],t_ServiceCatalogue[Category]=t_fac25_requirements[[#This Row],[Category]],""))</f>
        <v>EU</v>
      </c>
      <c r="C36" t="s">
        <v>190</v>
      </c>
      <c r="D36" t="str">
        <f>_xlfn._xlws.FILTER(t_Contact[FA Name],t_Contact[FA]=t_fac25_requirements[[#This Row],[FA]],"")</f>
        <v>Ceremonies &amp; Infotainment</v>
      </c>
      <c r="E36" s="43">
        <v>974</v>
      </c>
      <c r="F36" t="s">
        <v>305</v>
      </c>
      <c r="G36" t="s">
        <v>365</v>
      </c>
      <c r="H36" t="s">
        <v>22</v>
      </c>
      <c r="I36" t="s">
        <v>77</v>
      </c>
      <c r="J36" t="s">
        <v>370</v>
      </c>
      <c r="K36" s="32"/>
      <c r="L36" s="32">
        <v>1</v>
      </c>
      <c r="M36" s="31">
        <v>45962</v>
      </c>
      <c r="N36" s="30">
        <v>46009</v>
      </c>
      <c r="O36" s="43" t="s">
        <v>78</v>
      </c>
      <c r="P36" s="55" t="s">
        <v>666</v>
      </c>
      <c r="Q36" t="s">
        <v>667</v>
      </c>
      <c r="R36" t="s">
        <v>670</v>
      </c>
    </row>
    <row r="37" spans="1:18" ht="14.45">
      <c r="A37" s="106" t="b">
        <v>1</v>
      </c>
      <c r="B37" t="str" cm="1">
        <f t="array" ref="B37">_xlfn.SINGLE(_xlfn._xlws.FILTER(t_ServiceCatalogue[Onwer],t_ServiceCatalogue[Category]=t_fac25_requirements[[#This Row],[Category]],""))</f>
        <v>EU</v>
      </c>
      <c r="C37" t="s">
        <v>190</v>
      </c>
      <c r="D37" t="str">
        <f>_xlfn._xlws.FILTER(t_Contact[FA Name],t_Contact[FA]=t_fac25_requirements[[#This Row],[FA]],"")</f>
        <v>Ceremonies &amp; Infotainment</v>
      </c>
      <c r="E37" t="s">
        <v>208</v>
      </c>
      <c r="F37" t="s">
        <v>305</v>
      </c>
      <c r="G37" t="s">
        <v>365</v>
      </c>
      <c r="H37" t="s">
        <v>22</v>
      </c>
      <c r="I37" t="s">
        <v>77</v>
      </c>
      <c r="J37" t="s">
        <v>370</v>
      </c>
      <c r="K37" s="32"/>
      <c r="L37" s="32">
        <v>1</v>
      </c>
      <c r="M37" s="31">
        <v>45962</v>
      </c>
      <c r="N37" s="30">
        <v>46009</v>
      </c>
      <c r="O37" s="43" t="s">
        <v>78</v>
      </c>
      <c r="P37" s="55" t="s">
        <v>666</v>
      </c>
      <c r="Q37" t="s">
        <v>667</v>
      </c>
      <c r="R37" t="s">
        <v>671</v>
      </c>
    </row>
    <row r="38" spans="1:18" ht="14.45">
      <c r="A38" s="106" t="b">
        <v>0</v>
      </c>
      <c r="B38" t="str" cm="1">
        <f t="array" ref="B38">_xlfn.SINGLE(_xlfn._xlws.FILTER(t_ServiceCatalogue[Onwer],t_ServiceCatalogue[Category]=t_fac25_requirements[[#This Row],[Category]],""))</f>
        <v>EU</v>
      </c>
      <c r="C38" t="s">
        <v>190</v>
      </c>
      <c r="D38" t="str">
        <f>_xlfn._xlws.FILTER(t_Contact[FA Name],t_Contact[FA]=t_fac25_requirements[[#This Row],[FA]],"")</f>
        <v>Ceremonies &amp; Infotainment</v>
      </c>
      <c r="E38" t="s">
        <v>212</v>
      </c>
      <c r="F38" t="s">
        <v>305</v>
      </c>
      <c r="G38" t="s">
        <v>365</v>
      </c>
      <c r="H38" t="s">
        <v>22</v>
      </c>
      <c r="I38" t="s">
        <v>77</v>
      </c>
      <c r="J38" t="s">
        <v>370</v>
      </c>
      <c r="K38" s="32"/>
      <c r="L38" s="32">
        <v>1</v>
      </c>
      <c r="M38" s="31">
        <v>45962</v>
      </c>
      <c r="N38" s="30">
        <v>46009</v>
      </c>
      <c r="O38" s="43" t="s">
        <v>78</v>
      </c>
      <c r="P38" s="55" t="s">
        <v>666</v>
      </c>
      <c r="Q38" t="s">
        <v>667</v>
      </c>
      <c r="R38" t="s">
        <v>672</v>
      </c>
    </row>
    <row r="39" spans="1:18" ht="14.45">
      <c r="A39" s="106" t="b">
        <v>0</v>
      </c>
      <c r="B39" t="str" cm="1">
        <f t="array" ref="B39">_xlfn.SINGLE(_xlfn._xlws.FILTER(t_ServiceCatalogue[Onwer],t_ServiceCatalogue[Category]=t_fac25_requirements[[#This Row],[Category]],""))</f>
        <v>EU</v>
      </c>
      <c r="C39" t="s">
        <v>190</v>
      </c>
      <c r="D39" t="str">
        <f>_xlfn._xlws.FILTER(t_Contact[FA Name],t_Contact[FA]=t_fac25_requirements[[#This Row],[FA]],"")</f>
        <v>Ceremonies &amp; Infotainment</v>
      </c>
      <c r="E39" t="s">
        <v>213</v>
      </c>
      <c r="F39" t="s">
        <v>305</v>
      </c>
      <c r="G39" t="s">
        <v>365</v>
      </c>
      <c r="H39" t="s">
        <v>22</v>
      </c>
      <c r="I39" t="s">
        <v>77</v>
      </c>
      <c r="J39" t="s">
        <v>370</v>
      </c>
      <c r="K39" s="32"/>
      <c r="L39" s="32">
        <v>1</v>
      </c>
      <c r="M39" s="31">
        <v>45962</v>
      </c>
      <c r="N39" s="30">
        <v>46009</v>
      </c>
      <c r="O39" s="43" t="s">
        <v>78</v>
      </c>
      <c r="P39" s="55" t="s">
        <v>666</v>
      </c>
      <c r="Q39" t="s">
        <v>667</v>
      </c>
      <c r="R39" t="s">
        <v>673</v>
      </c>
    </row>
    <row r="40" spans="1:18" ht="14.45">
      <c r="A40" s="106" t="b">
        <v>0</v>
      </c>
      <c r="B40" t="str" cm="1">
        <f t="array" ref="B40">_xlfn.SINGLE(_xlfn._xlws.FILTER(t_ServiceCatalogue[Onwer],t_ServiceCatalogue[Category]=t_fac25_requirements[[#This Row],[Category]],""))</f>
        <v>NW</v>
      </c>
      <c r="C40" t="s">
        <v>190</v>
      </c>
      <c r="D40" t="str">
        <f>_xlfn._xlws.FILTER(t_Contact[FA Name],t_Contact[FA]=t_fac25_requirements[[#This Row],[FA]],"")</f>
        <v>Ceremonies &amp; Infotainment</v>
      </c>
      <c r="E40" t="s">
        <v>214</v>
      </c>
      <c r="F40" t="s">
        <v>305</v>
      </c>
      <c r="G40" t="s">
        <v>313</v>
      </c>
      <c r="H40" t="s">
        <v>52</v>
      </c>
      <c r="I40" t="s">
        <v>53</v>
      </c>
      <c r="J40" s="28" t="s">
        <v>370</v>
      </c>
      <c r="K40" s="32"/>
      <c r="L40" s="32">
        <v>1</v>
      </c>
      <c r="M40" s="31">
        <v>45962</v>
      </c>
      <c r="N40" s="30">
        <v>46009</v>
      </c>
      <c r="O40" s="43" t="s">
        <v>54</v>
      </c>
      <c r="P40" s="63" t="s">
        <v>87</v>
      </c>
      <c r="Q40" t="s">
        <v>674</v>
      </c>
      <c r="R40" t="s">
        <v>675</v>
      </c>
    </row>
    <row r="41" spans="1:18" ht="14.45">
      <c r="A41" s="106" t="b">
        <v>0</v>
      </c>
      <c r="B41" t="str" cm="1">
        <f t="array" ref="B41">_xlfn.SINGLE(_xlfn._xlws.FILTER(t_ServiceCatalogue[Onwer],t_ServiceCatalogue[Category]=t_fac25_requirements[[#This Row],[Category]],""))</f>
        <v>NW</v>
      </c>
      <c r="C41" t="s">
        <v>190</v>
      </c>
      <c r="D41" t="str">
        <f>_xlfn._xlws.FILTER(t_Contact[FA Name],t_Contact[FA]=t_fac25_requirements[[#This Row],[FA]],"")</f>
        <v>Ceremonies &amp; Infotainment</v>
      </c>
      <c r="E41" t="s">
        <v>211</v>
      </c>
      <c r="F41" t="s">
        <v>305</v>
      </c>
      <c r="G41" t="s">
        <v>313</v>
      </c>
      <c r="H41" t="s">
        <v>52</v>
      </c>
      <c r="I41" t="s">
        <v>53</v>
      </c>
      <c r="J41" s="28" t="s">
        <v>370</v>
      </c>
      <c r="K41" s="32"/>
      <c r="L41" s="32">
        <v>1</v>
      </c>
      <c r="M41" s="31">
        <v>45962</v>
      </c>
      <c r="N41" s="30">
        <v>46009</v>
      </c>
      <c r="O41" s="43" t="s">
        <v>54</v>
      </c>
      <c r="P41" s="63" t="s">
        <v>87</v>
      </c>
      <c r="Q41" t="s">
        <v>674</v>
      </c>
      <c r="R41" t="s">
        <v>676</v>
      </c>
    </row>
    <row r="42" spans="1:18" ht="14.45">
      <c r="A42" s="106" t="b">
        <v>0</v>
      </c>
      <c r="B42" t="str" cm="1">
        <f t="array" ref="B42">_xlfn.SINGLE(_xlfn._xlws.FILTER(t_ServiceCatalogue[Onwer],t_ServiceCatalogue[Category]=t_fac25_requirements[[#This Row],[Category]],""))</f>
        <v>NW</v>
      </c>
      <c r="C42" t="s">
        <v>190</v>
      </c>
      <c r="D42" t="str">
        <f>_xlfn._xlws.FILTER(t_Contact[FA Name],t_Contact[FA]=t_fac25_requirements[[#This Row],[FA]],"")</f>
        <v>Ceremonies &amp; Infotainment</v>
      </c>
      <c r="E42" s="43">
        <v>974</v>
      </c>
      <c r="F42" t="s">
        <v>305</v>
      </c>
      <c r="G42" s="28" t="s">
        <v>313</v>
      </c>
      <c r="H42" s="28" t="s">
        <v>52</v>
      </c>
      <c r="I42" s="28" t="s">
        <v>53</v>
      </c>
      <c r="J42" s="28" t="s">
        <v>370</v>
      </c>
      <c r="K42" s="29"/>
      <c r="L42" s="29">
        <v>1</v>
      </c>
      <c r="M42" s="30">
        <v>45962</v>
      </c>
      <c r="N42" s="30">
        <v>46009</v>
      </c>
      <c r="O42" s="43" t="s">
        <v>54</v>
      </c>
      <c r="P42" s="63" t="s">
        <v>87</v>
      </c>
      <c r="Q42" t="s">
        <v>674</v>
      </c>
      <c r="R42" t="s">
        <v>677</v>
      </c>
    </row>
    <row r="43" spans="1:18" ht="14.45">
      <c r="A43" s="106" t="b">
        <v>0</v>
      </c>
      <c r="B43" t="str" cm="1">
        <f t="array" ref="B43">_xlfn.SINGLE(_xlfn._xlws.FILTER(t_ServiceCatalogue[Onwer],t_ServiceCatalogue[Category]=t_fac25_requirements[[#This Row],[Category]],""))</f>
        <v>NW</v>
      </c>
      <c r="C43" t="s">
        <v>190</v>
      </c>
      <c r="D43" t="str">
        <f>_xlfn._xlws.FILTER(t_Contact[FA Name],t_Contact[FA]=t_fac25_requirements[[#This Row],[FA]],"")</f>
        <v>Ceremonies &amp; Infotainment</v>
      </c>
      <c r="E43" s="28" t="s">
        <v>208</v>
      </c>
      <c r="F43" t="s">
        <v>305</v>
      </c>
      <c r="G43" s="28" t="s">
        <v>313</v>
      </c>
      <c r="H43" s="28" t="s">
        <v>52</v>
      </c>
      <c r="I43" s="28" t="s">
        <v>53</v>
      </c>
      <c r="J43" s="28" t="s">
        <v>370</v>
      </c>
      <c r="K43" s="29"/>
      <c r="L43" s="29">
        <v>1</v>
      </c>
      <c r="M43" s="30">
        <v>45962</v>
      </c>
      <c r="N43" s="30">
        <v>46009</v>
      </c>
      <c r="O43" s="43" t="s">
        <v>54</v>
      </c>
      <c r="P43" s="63" t="s">
        <v>87</v>
      </c>
      <c r="Q43" t="s">
        <v>674</v>
      </c>
      <c r="R43" t="s">
        <v>678</v>
      </c>
    </row>
    <row r="44" spans="1:18" ht="14.45">
      <c r="A44" s="106" t="b">
        <v>0</v>
      </c>
      <c r="B44" t="str" cm="1">
        <f t="array" ref="B44">_xlfn.SINGLE(_xlfn._xlws.FILTER(t_ServiceCatalogue[Onwer],t_ServiceCatalogue[Category]=t_fac25_requirements[[#This Row],[Category]],""))</f>
        <v>NW</v>
      </c>
      <c r="C44" t="s">
        <v>190</v>
      </c>
      <c r="D44" t="str">
        <f>_xlfn._xlws.FILTER(t_Contact[FA Name],t_Contact[FA]=t_fac25_requirements[[#This Row],[FA]],"")</f>
        <v>Ceremonies &amp; Infotainment</v>
      </c>
      <c r="E44" s="28" t="s">
        <v>212</v>
      </c>
      <c r="F44" t="s">
        <v>305</v>
      </c>
      <c r="G44" s="28" t="s">
        <v>313</v>
      </c>
      <c r="H44" s="28" t="s">
        <v>52</v>
      </c>
      <c r="I44" s="28" t="s">
        <v>53</v>
      </c>
      <c r="J44" s="28" t="s">
        <v>370</v>
      </c>
      <c r="K44" s="29"/>
      <c r="L44" s="29">
        <v>1</v>
      </c>
      <c r="M44" s="30">
        <v>45962</v>
      </c>
      <c r="N44" s="30">
        <v>46009</v>
      </c>
      <c r="O44" s="43" t="s">
        <v>54</v>
      </c>
      <c r="P44" s="63"/>
      <c r="Q44" t="s">
        <v>674</v>
      </c>
      <c r="R44" t="s">
        <v>679</v>
      </c>
    </row>
    <row r="45" spans="1:18" ht="14.45">
      <c r="A45" s="106" t="b">
        <v>0</v>
      </c>
      <c r="B45" t="str" cm="1">
        <f t="array" ref="B45">_xlfn.SINGLE(_xlfn._xlws.FILTER(t_ServiceCatalogue[Onwer],t_ServiceCatalogue[Category]=t_fac25_requirements[[#This Row],[Category]],""))</f>
        <v>NW</v>
      </c>
      <c r="C45" t="s">
        <v>190</v>
      </c>
      <c r="D45" t="str">
        <f>_xlfn._xlws.FILTER(t_Contact[FA Name],t_Contact[FA]=t_fac25_requirements[[#This Row],[FA]],"")</f>
        <v>Ceremonies &amp; Infotainment</v>
      </c>
      <c r="E45" s="28" t="s">
        <v>213</v>
      </c>
      <c r="F45" t="s">
        <v>305</v>
      </c>
      <c r="G45" s="28" t="s">
        <v>313</v>
      </c>
      <c r="H45" s="28" t="s">
        <v>52</v>
      </c>
      <c r="I45" s="28" t="s">
        <v>53</v>
      </c>
      <c r="J45" s="28" t="s">
        <v>370</v>
      </c>
      <c r="K45" s="29"/>
      <c r="L45" s="29">
        <v>1</v>
      </c>
      <c r="M45" s="30">
        <v>45962</v>
      </c>
      <c r="N45" s="30">
        <v>46009</v>
      </c>
      <c r="O45" s="43" t="s">
        <v>54</v>
      </c>
      <c r="P45" s="63" t="s">
        <v>87</v>
      </c>
      <c r="Q45" t="s">
        <v>674</v>
      </c>
      <c r="R45" t="s">
        <v>680</v>
      </c>
    </row>
    <row r="46" spans="1:18" ht="14.45">
      <c r="A46" s="106" t="b">
        <v>0</v>
      </c>
      <c r="B46" t="str" cm="1">
        <f t="array" ref="B46">_xlfn.SINGLE(_xlfn._xlws.FILTER(t_ServiceCatalogue[Onwer],t_ServiceCatalogue[Category]=t_fac25_requirements[[#This Row],[Category]],""))</f>
        <v>NW</v>
      </c>
      <c r="C46" t="s">
        <v>190</v>
      </c>
      <c r="D46" t="str">
        <f>_xlfn._xlws.FILTER(t_Contact[FA Name],t_Contact[FA]=t_fac25_requirements[[#This Row],[FA]],"")</f>
        <v>Ceremonies &amp; Infotainment</v>
      </c>
      <c r="E46" s="28" t="s">
        <v>214</v>
      </c>
      <c r="F46" t="s">
        <v>305</v>
      </c>
      <c r="G46" s="28" t="s">
        <v>365</v>
      </c>
      <c r="H46" s="28" t="s">
        <v>52</v>
      </c>
      <c r="I46" s="28" t="s">
        <v>53</v>
      </c>
      <c r="J46" s="28" t="s">
        <v>370</v>
      </c>
      <c r="K46" s="29"/>
      <c r="L46" s="29">
        <v>1</v>
      </c>
      <c r="M46" s="30">
        <v>45962</v>
      </c>
      <c r="N46" s="30">
        <v>46009</v>
      </c>
      <c r="O46" s="43" t="s">
        <v>54</v>
      </c>
      <c r="P46" s="63" t="s">
        <v>87</v>
      </c>
      <c r="Q46" t="s">
        <v>674</v>
      </c>
      <c r="R46" t="s">
        <v>681</v>
      </c>
    </row>
    <row r="47" spans="1:18" ht="14.45">
      <c r="A47" s="106" t="b">
        <v>0</v>
      </c>
      <c r="B47" t="str" cm="1">
        <f t="array" ref="B47">_xlfn.SINGLE(_xlfn._xlws.FILTER(t_ServiceCatalogue[Onwer],t_ServiceCatalogue[Category]=t_fac25_requirements[[#This Row],[Category]],""))</f>
        <v>NW</v>
      </c>
      <c r="C47" t="s">
        <v>190</v>
      </c>
      <c r="D47" t="str">
        <f>_xlfn._xlws.FILTER(t_Contact[FA Name],t_Contact[FA]=t_fac25_requirements[[#This Row],[FA]],"")</f>
        <v>Ceremonies &amp; Infotainment</v>
      </c>
      <c r="E47" s="28" t="s">
        <v>214</v>
      </c>
      <c r="F47" t="s">
        <v>305</v>
      </c>
      <c r="G47" s="28" t="s">
        <v>435</v>
      </c>
      <c r="H47" s="28" t="s">
        <v>52</v>
      </c>
      <c r="I47" s="28" t="s">
        <v>53</v>
      </c>
      <c r="J47" s="28" t="s">
        <v>370</v>
      </c>
      <c r="K47" s="29"/>
      <c r="L47" s="29">
        <v>1</v>
      </c>
      <c r="M47" s="30">
        <v>45962</v>
      </c>
      <c r="N47" s="30">
        <v>46009</v>
      </c>
      <c r="O47" s="43" t="s">
        <v>54</v>
      </c>
      <c r="P47" s="63" t="s">
        <v>87</v>
      </c>
      <c r="R47" t="s">
        <v>682</v>
      </c>
    </row>
    <row r="48" spans="1:18" ht="14.45">
      <c r="A48" s="106" t="b">
        <v>1</v>
      </c>
      <c r="B48" t="str" cm="1">
        <f t="array" ref="B48">_xlfn.SINGLE(_xlfn._xlws.FILTER(t_ServiceCatalogue[Onwer],t_ServiceCatalogue[Category]=t_fac25_requirements[[#This Row],[Category]],""))</f>
        <v>NW</v>
      </c>
      <c r="C48" t="s">
        <v>190</v>
      </c>
      <c r="D48" t="str">
        <f>_xlfn._xlws.FILTER(t_Contact[FA Name],t_Contact[FA]=t_fac25_requirements[[#This Row],[FA]],"")</f>
        <v>Ceremonies &amp; Infotainment</v>
      </c>
      <c r="E48" s="28" t="s">
        <v>214</v>
      </c>
      <c r="F48" t="s">
        <v>305</v>
      </c>
      <c r="G48" s="28" t="s">
        <v>434</v>
      </c>
      <c r="H48" s="28" t="s">
        <v>52</v>
      </c>
      <c r="I48" s="28" t="s">
        <v>53</v>
      </c>
      <c r="J48" s="28" t="s">
        <v>637</v>
      </c>
      <c r="K48" s="29">
        <v>1</v>
      </c>
      <c r="L48" s="29">
        <v>0</v>
      </c>
      <c r="M48" s="30">
        <v>45962</v>
      </c>
      <c r="N48" s="30">
        <v>46009</v>
      </c>
      <c r="O48" s="43" t="s">
        <v>54</v>
      </c>
      <c r="P48" s="55" t="s">
        <v>683</v>
      </c>
      <c r="R48" t="s">
        <v>684</v>
      </c>
    </row>
    <row r="49" spans="1:18" ht="14.45">
      <c r="A49" s="106" t="b">
        <v>0</v>
      </c>
      <c r="B49" t="str" cm="1">
        <f t="array" ref="B49">_xlfn.SINGLE(_xlfn._xlws.FILTER(t_ServiceCatalogue[Onwer],t_ServiceCatalogue[Category]=t_fac25_requirements[[#This Row],[Category]],""))</f>
        <v>NW</v>
      </c>
      <c r="C49" t="s">
        <v>190</v>
      </c>
      <c r="D49" t="str">
        <f>_xlfn._xlws.FILTER(t_Contact[FA Name],t_Contact[FA]=t_fac25_requirements[[#This Row],[FA]],"")</f>
        <v>Ceremonies &amp; Infotainment</v>
      </c>
      <c r="E49" s="28" t="s">
        <v>211</v>
      </c>
      <c r="F49" t="s">
        <v>305</v>
      </c>
      <c r="G49" s="28" t="s">
        <v>685</v>
      </c>
      <c r="H49" s="28" t="s">
        <v>52</v>
      </c>
      <c r="I49" s="28" t="s">
        <v>53</v>
      </c>
      <c r="J49" s="28" t="s">
        <v>370</v>
      </c>
      <c r="K49" s="29"/>
      <c r="L49" s="29">
        <v>1</v>
      </c>
      <c r="M49" s="30">
        <v>45962</v>
      </c>
      <c r="N49" s="30">
        <v>46009</v>
      </c>
      <c r="O49" s="43" t="s">
        <v>54</v>
      </c>
      <c r="P49" s="63" t="s">
        <v>87</v>
      </c>
      <c r="R49" t="s">
        <v>686</v>
      </c>
    </row>
    <row r="50" spans="1:18" ht="14.45">
      <c r="A50" s="106" t="b">
        <v>0</v>
      </c>
      <c r="B50" t="str" cm="1">
        <f t="array" ref="B50">_xlfn.SINGLE(_xlfn._xlws.FILTER(t_ServiceCatalogue[Onwer],t_ServiceCatalogue[Category]=t_fac25_requirements[[#This Row],[Category]],""))</f>
        <v>NW</v>
      </c>
      <c r="C50" t="s">
        <v>190</v>
      </c>
      <c r="D50" t="str">
        <f>_xlfn._xlws.FILTER(t_Contact[FA Name],t_Contact[FA]=t_fac25_requirements[[#This Row],[FA]],"")</f>
        <v>Ceremonies &amp; Infotainment</v>
      </c>
      <c r="E50" s="43">
        <v>974</v>
      </c>
      <c r="F50" t="s">
        <v>305</v>
      </c>
      <c r="G50" s="28" t="s">
        <v>308</v>
      </c>
      <c r="H50" s="28" t="s">
        <v>52</v>
      </c>
      <c r="I50" s="28" t="s">
        <v>53</v>
      </c>
      <c r="J50" s="28" t="s">
        <v>370</v>
      </c>
      <c r="K50" s="29"/>
      <c r="L50" s="29">
        <v>1</v>
      </c>
      <c r="M50" s="30">
        <v>45962</v>
      </c>
      <c r="N50" s="30">
        <v>46009</v>
      </c>
      <c r="O50" s="43" t="s">
        <v>54</v>
      </c>
      <c r="P50" s="63" t="s">
        <v>87</v>
      </c>
      <c r="R50" t="s">
        <v>687</v>
      </c>
    </row>
    <row r="51" spans="1:18" ht="14.45">
      <c r="A51" s="106" t="b">
        <v>0</v>
      </c>
      <c r="B51" t="str" cm="1">
        <f t="array" ref="B51">_xlfn.SINGLE(_xlfn._xlws.FILTER(t_ServiceCatalogue[Onwer],t_ServiceCatalogue[Category]=t_fac25_requirements[[#This Row],[Category]],""))</f>
        <v>NW</v>
      </c>
      <c r="C51" t="s">
        <v>190</v>
      </c>
      <c r="D51" t="str">
        <f>_xlfn._xlws.FILTER(t_Contact[FA Name],t_Contact[FA]=t_fac25_requirements[[#This Row],[FA]],"")</f>
        <v>Ceremonies &amp; Infotainment</v>
      </c>
      <c r="E51" s="28" t="s">
        <v>208</v>
      </c>
      <c r="F51" t="s">
        <v>305</v>
      </c>
      <c r="G51" s="28" t="s">
        <v>685</v>
      </c>
      <c r="H51" s="28" t="s">
        <v>52</v>
      </c>
      <c r="I51" s="28" t="s">
        <v>53</v>
      </c>
      <c r="J51" s="28" t="s">
        <v>370</v>
      </c>
      <c r="K51" s="29"/>
      <c r="L51" s="29">
        <v>1</v>
      </c>
      <c r="M51" s="30">
        <v>45962</v>
      </c>
      <c r="N51" s="30">
        <v>46009</v>
      </c>
      <c r="O51" s="43" t="s">
        <v>54</v>
      </c>
      <c r="P51" s="63" t="s">
        <v>87</v>
      </c>
      <c r="R51" t="s">
        <v>688</v>
      </c>
    </row>
    <row r="52" spans="1:18" ht="14.45">
      <c r="A52" s="106" t="b">
        <v>0</v>
      </c>
      <c r="B52" t="str" cm="1">
        <f t="array" ref="B52">_xlfn.SINGLE(_xlfn._xlws.FILTER(t_ServiceCatalogue[Onwer],t_ServiceCatalogue[Category]=t_fac25_requirements[[#This Row],[Category]],""))</f>
        <v>NW</v>
      </c>
      <c r="C52" t="s">
        <v>190</v>
      </c>
      <c r="D52" t="str">
        <f>_xlfn._xlws.FILTER(t_Contact[FA Name],t_Contact[FA]=t_fac25_requirements[[#This Row],[FA]],"")</f>
        <v>Ceremonies &amp; Infotainment</v>
      </c>
      <c r="E52" s="28" t="s">
        <v>212</v>
      </c>
      <c r="F52" t="s">
        <v>305</v>
      </c>
      <c r="G52" s="28" t="s">
        <v>685</v>
      </c>
      <c r="H52" s="28" t="s">
        <v>52</v>
      </c>
      <c r="I52" s="28" t="s">
        <v>53</v>
      </c>
      <c r="J52" s="28" t="s">
        <v>370</v>
      </c>
      <c r="K52" s="29"/>
      <c r="L52" s="29">
        <v>1</v>
      </c>
      <c r="M52" s="30">
        <v>45962</v>
      </c>
      <c r="N52" s="30">
        <v>46009</v>
      </c>
      <c r="O52" s="43" t="s">
        <v>54</v>
      </c>
      <c r="P52" s="63" t="s">
        <v>87</v>
      </c>
      <c r="R52" t="s">
        <v>689</v>
      </c>
    </row>
    <row r="53" spans="1:18" ht="14.45">
      <c r="A53" s="106" t="b">
        <v>0</v>
      </c>
      <c r="B53" t="str" cm="1">
        <f t="array" ref="B53">_xlfn.SINGLE(_xlfn._xlws.FILTER(t_ServiceCatalogue[Onwer],t_ServiceCatalogue[Category]=t_fac25_requirements[[#This Row],[Category]],""))</f>
        <v>NW</v>
      </c>
      <c r="C53" t="s">
        <v>190</v>
      </c>
      <c r="D53" t="str">
        <f>_xlfn._xlws.FILTER(t_Contact[FA Name],t_Contact[FA]=t_fac25_requirements[[#This Row],[FA]],"")</f>
        <v>Ceremonies &amp; Infotainment</v>
      </c>
      <c r="E53" s="28" t="s">
        <v>213</v>
      </c>
      <c r="F53" t="s">
        <v>305</v>
      </c>
      <c r="G53" s="28" t="s">
        <v>685</v>
      </c>
      <c r="H53" s="28" t="s">
        <v>52</v>
      </c>
      <c r="I53" s="28" t="s">
        <v>53</v>
      </c>
      <c r="J53" s="28" t="s">
        <v>370</v>
      </c>
      <c r="K53" s="29"/>
      <c r="L53" s="29">
        <v>1</v>
      </c>
      <c r="M53" s="30">
        <v>45962</v>
      </c>
      <c r="N53" s="30">
        <v>46009</v>
      </c>
      <c r="O53" s="43" t="s">
        <v>54</v>
      </c>
      <c r="P53" s="63" t="s">
        <v>87</v>
      </c>
      <c r="Q53" s="28"/>
      <c r="R53" t="s">
        <v>690</v>
      </c>
    </row>
    <row r="54" spans="1:18" ht="14.45">
      <c r="A54" s="106" t="b">
        <v>0</v>
      </c>
      <c r="B54" t="str" cm="1">
        <f t="array" ref="B54">_xlfn.SINGLE(_xlfn._xlws.FILTER(t_ServiceCatalogue[Onwer],t_ServiceCatalogue[Category]=t_fac25_requirements[[#This Row],[Category]],""))</f>
        <v>AV</v>
      </c>
      <c r="C54" t="s">
        <v>190</v>
      </c>
      <c r="D54" t="str">
        <f>_xlfn._xlws.FILTER(t_Contact[FA Name],t_Contact[FA]=t_fac25_requirements[[#This Row],[FA]],"")</f>
        <v>Ceremonies &amp; Infotainment</v>
      </c>
      <c r="E54" s="28" t="s">
        <v>211</v>
      </c>
      <c r="F54" t="s">
        <v>305</v>
      </c>
      <c r="G54" s="28" t="s">
        <v>365</v>
      </c>
      <c r="H54" s="28" t="s">
        <v>58</v>
      </c>
      <c r="I54" s="28" t="s">
        <v>59</v>
      </c>
      <c r="J54" s="28" t="s">
        <v>370</v>
      </c>
      <c r="K54" s="29"/>
      <c r="L54" s="29">
        <v>1</v>
      </c>
      <c r="M54" s="30">
        <v>45991</v>
      </c>
      <c r="N54" s="30">
        <v>46009</v>
      </c>
      <c r="O54" s="43" t="s">
        <v>60</v>
      </c>
      <c r="P54" s="55" t="s">
        <v>375</v>
      </c>
      <c r="Q54" s="28"/>
      <c r="R54" t="s">
        <v>376</v>
      </c>
    </row>
    <row r="55" spans="1:18" ht="14.45">
      <c r="A55" s="106" t="b">
        <v>0</v>
      </c>
      <c r="B55" t="str" cm="1">
        <f t="array" ref="B55">_xlfn.SINGLE(_xlfn._xlws.FILTER(t_ServiceCatalogue[Onwer],t_ServiceCatalogue[Category]=t_fac25_requirements[[#This Row],[Category]],""))</f>
        <v>AV</v>
      </c>
      <c r="C55" t="s">
        <v>190</v>
      </c>
      <c r="D55" t="str">
        <f>_xlfn._xlws.FILTER(t_Contact[FA Name],t_Contact[FA]=t_fac25_requirements[[#This Row],[FA]],"")</f>
        <v>Ceremonies &amp; Infotainment</v>
      </c>
      <c r="E55" s="28" t="s">
        <v>214</v>
      </c>
      <c r="F55" t="s">
        <v>305</v>
      </c>
      <c r="G55" s="28" t="s">
        <v>365</v>
      </c>
      <c r="H55" s="28" t="s">
        <v>58</v>
      </c>
      <c r="I55" s="28" t="s">
        <v>59</v>
      </c>
      <c r="J55" s="28" t="s">
        <v>370</v>
      </c>
      <c r="K55" s="29"/>
      <c r="L55" s="29">
        <v>1</v>
      </c>
      <c r="M55" s="30">
        <v>46006</v>
      </c>
      <c r="N55" s="30">
        <v>46009</v>
      </c>
      <c r="O55" s="43" t="s">
        <v>60</v>
      </c>
      <c r="P55" s="55" t="s">
        <v>375</v>
      </c>
      <c r="Q55" s="28"/>
      <c r="R55" t="s">
        <v>691</v>
      </c>
    </row>
    <row r="56" spans="1:18" ht="14.45">
      <c r="A56" s="106" t="b">
        <v>0</v>
      </c>
      <c r="B56" t="str" cm="1">
        <f t="array" ref="B56">_xlfn.SINGLE(_xlfn._xlws.FILTER(t_ServiceCatalogue[Onwer],t_ServiceCatalogue[Category]=t_fac25_requirements[[#This Row],[Category]],""))</f>
        <v>NW</v>
      </c>
      <c r="C56" t="s">
        <v>198</v>
      </c>
      <c r="D56" t="str">
        <f>_xlfn._xlws.FILTER(t_Contact[FA Name],t_Contact[FA]=t_fac25_requirements[[#This Row],[FA]],"")</f>
        <v>Venue Management</v>
      </c>
      <c r="E56" s="28" t="s">
        <v>214</v>
      </c>
      <c r="F56" s="28" t="s">
        <v>305</v>
      </c>
      <c r="G56" s="28" t="s">
        <v>311</v>
      </c>
      <c r="H56" s="28" t="s">
        <v>52</v>
      </c>
      <c r="I56" s="28" t="s">
        <v>53</v>
      </c>
      <c r="J56" s="28" t="s">
        <v>370</v>
      </c>
      <c r="K56" s="29"/>
      <c r="L56" s="29">
        <v>1</v>
      </c>
      <c r="M56" s="30">
        <v>45901</v>
      </c>
      <c r="N56" s="30">
        <v>46022</v>
      </c>
      <c r="O56" s="43" t="s">
        <v>54</v>
      </c>
      <c r="P56" s="55" t="s">
        <v>692</v>
      </c>
      <c r="Q56" s="28"/>
      <c r="R56" t="s">
        <v>693</v>
      </c>
    </row>
    <row r="57" spans="1:18" ht="14.45">
      <c r="A57" s="106" t="b">
        <v>0</v>
      </c>
      <c r="B57" t="str" cm="1">
        <f t="array" ref="B57">_xlfn.SINGLE(_xlfn._xlws.FILTER(t_ServiceCatalogue[Onwer],t_ServiceCatalogue[Category]=t_fac25_requirements[[#This Row],[Category]],""))</f>
        <v>NW</v>
      </c>
      <c r="C57" t="s">
        <v>198</v>
      </c>
      <c r="D57" t="str">
        <f>_xlfn._xlws.FILTER(t_Contact[FA Name],t_Contact[FA]=t_fac25_requirements[[#This Row],[FA]],"")</f>
        <v>Venue Management</v>
      </c>
      <c r="E57" s="33" t="s">
        <v>214</v>
      </c>
      <c r="F57" s="33" t="s">
        <v>305</v>
      </c>
      <c r="G57" s="28" t="s">
        <v>323</v>
      </c>
      <c r="H57" s="33" t="s">
        <v>52</v>
      </c>
      <c r="I57" s="33" t="s">
        <v>53</v>
      </c>
      <c r="J57" s="28" t="s">
        <v>370</v>
      </c>
      <c r="K57" s="34"/>
      <c r="L57" s="34">
        <v>1</v>
      </c>
      <c r="M57" s="30">
        <v>45901</v>
      </c>
      <c r="N57" s="30">
        <v>46022</v>
      </c>
      <c r="O57" s="43" t="s">
        <v>54</v>
      </c>
      <c r="P57" s="55" t="s">
        <v>692</v>
      </c>
      <c r="Q57" s="33"/>
      <c r="R57" t="s">
        <v>694</v>
      </c>
    </row>
    <row r="58" spans="1:18" ht="14.45">
      <c r="A58" s="106" t="b">
        <v>0</v>
      </c>
      <c r="B58" t="str" cm="1">
        <f t="array" ref="B58">_xlfn.SINGLE(_xlfn._xlws.FILTER(t_ServiceCatalogue[Onwer],t_ServiceCatalogue[Category]=t_fac25_requirements[[#This Row],[Category]],""))</f>
        <v>NW</v>
      </c>
      <c r="C58" t="s">
        <v>198</v>
      </c>
      <c r="D58" t="str">
        <f>_xlfn._xlws.FILTER(t_Contact[FA Name],t_Contact[FA]=t_fac25_requirements[[#This Row],[FA]],"")</f>
        <v>Venue Management</v>
      </c>
      <c r="E58" s="33" t="s">
        <v>214</v>
      </c>
      <c r="F58" s="33" t="s">
        <v>296</v>
      </c>
      <c r="G58" s="28" t="s">
        <v>299</v>
      </c>
      <c r="H58" s="33" t="s">
        <v>52</v>
      </c>
      <c r="I58" s="33" t="s">
        <v>53</v>
      </c>
      <c r="J58" s="28" t="s">
        <v>370</v>
      </c>
      <c r="K58" s="34">
        <v>0</v>
      </c>
      <c r="L58" s="34">
        <v>1</v>
      </c>
      <c r="M58" s="30">
        <v>45901</v>
      </c>
      <c r="N58" s="30">
        <v>46022</v>
      </c>
      <c r="O58" s="43" t="s">
        <v>54</v>
      </c>
      <c r="P58" s="55" t="s">
        <v>695</v>
      </c>
      <c r="Q58" s="33"/>
      <c r="R58" t="s">
        <v>696</v>
      </c>
    </row>
    <row r="59" spans="1:18" ht="14.45">
      <c r="A59" s="106" t="b">
        <v>1</v>
      </c>
      <c r="B59" t="str" cm="1">
        <f t="array" ref="B59">_xlfn.SINGLE(_xlfn._xlws.FILTER(t_ServiceCatalogue[Onwer],t_ServiceCatalogue[Category]=t_fac25_requirements[[#This Row],[Category]],""))</f>
        <v>AV</v>
      </c>
      <c r="C59" t="s">
        <v>198</v>
      </c>
      <c r="D59" t="str">
        <f>_xlfn._xlws.FILTER(t_Contact[FA Name],t_Contact[FA]=t_fac25_requirements[[#This Row],[FA]],"")</f>
        <v>Venue Management</v>
      </c>
      <c r="E59" s="33" t="s">
        <v>214</v>
      </c>
      <c r="F59" s="33" t="s">
        <v>288</v>
      </c>
      <c r="G59" s="28" t="s">
        <v>290</v>
      </c>
      <c r="H59" s="33" t="s">
        <v>58</v>
      </c>
      <c r="I59" s="33" t="s">
        <v>59</v>
      </c>
      <c r="J59" s="28" t="s">
        <v>407</v>
      </c>
      <c r="K59" s="34"/>
      <c r="L59" s="34">
        <v>1</v>
      </c>
      <c r="M59" s="30">
        <v>45984</v>
      </c>
      <c r="N59" s="30">
        <v>46009</v>
      </c>
      <c r="O59" s="43" t="s">
        <v>60</v>
      </c>
      <c r="P59" s="55" t="s">
        <v>408</v>
      </c>
      <c r="Q59" s="33"/>
      <c r="R59" t="s">
        <v>697</v>
      </c>
    </row>
    <row r="60" spans="1:18" ht="14.45">
      <c r="A60" s="106" t="b">
        <v>1</v>
      </c>
      <c r="B60" t="str" cm="1">
        <f t="array" ref="B60">_xlfn.SINGLE(_xlfn._xlws.FILTER(t_ServiceCatalogue[Onwer],t_ServiceCatalogue[Category]=t_fac25_requirements[[#This Row],[Category]],""))</f>
        <v>AV</v>
      </c>
      <c r="C60" t="s">
        <v>198</v>
      </c>
      <c r="D60" t="str">
        <f>_xlfn._xlws.FILTER(t_Contact[FA Name],t_Contact[FA]=t_fac25_requirements[[#This Row],[FA]],"")</f>
        <v>Venue Management</v>
      </c>
      <c r="E60" s="33" t="s">
        <v>214</v>
      </c>
      <c r="F60" s="33" t="s">
        <v>288</v>
      </c>
      <c r="G60" s="28" t="s">
        <v>272</v>
      </c>
      <c r="H60" s="33" t="s">
        <v>110</v>
      </c>
      <c r="I60" s="33" t="s">
        <v>111</v>
      </c>
      <c r="J60" s="28" t="s">
        <v>370</v>
      </c>
      <c r="K60" s="34"/>
      <c r="L60" s="34">
        <v>1</v>
      </c>
      <c r="M60" s="30">
        <v>45901</v>
      </c>
      <c r="N60" s="30">
        <v>46012</v>
      </c>
      <c r="O60" s="43" t="s">
        <v>112</v>
      </c>
      <c r="P60" s="63" t="s">
        <v>87</v>
      </c>
      <c r="Q60" s="33" t="s">
        <v>698</v>
      </c>
      <c r="R60" t="s">
        <v>699</v>
      </c>
    </row>
    <row r="61" spans="1:18" ht="14.45">
      <c r="A61" s="106" t="b">
        <v>1</v>
      </c>
      <c r="B61" t="str" cm="1">
        <f t="array" ref="B61">_xlfn.SINGLE(_xlfn._xlws.FILTER(t_ServiceCatalogue[Onwer],t_ServiceCatalogue[Category]=t_fac25_requirements[[#This Row],[Category]],""))</f>
        <v>EU</v>
      </c>
      <c r="C61" t="s">
        <v>198</v>
      </c>
      <c r="D61" t="str">
        <f>_xlfn._xlws.FILTER(t_Contact[FA Name],t_Contact[FA]=t_fac25_requirements[[#This Row],[FA]],"")</f>
        <v>Venue Management</v>
      </c>
      <c r="E61" s="33" t="s">
        <v>214</v>
      </c>
      <c r="F61" s="33" t="s">
        <v>305</v>
      </c>
      <c r="G61" s="28" t="s">
        <v>311</v>
      </c>
      <c r="H61" s="33" t="s">
        <v>22</v>
      </c>
      <c r="I61" s="35" t="s">
        <v>28</v>
      </c>
      <c r="J61" s="28" t="s">
        <v>370</v>
      </c>
      <c r="K61" s="36"/>
      <c r="L61" s="36">
        <v>1</v>
      </c>
      <c r="M61" s="30">
        <v>45962</v>
      </c>
      <c r="N61" s="30">
        <v>46012</v>
      </c>
      <c r="O61" s="43" t="s">
        <v>29</v>
      </c>
      <c r="P61" s="63" t="s">
        <v>87</v>
      </c>
      <c r="Q61" s="33" t="s">
        <v>700</v>
      </c>
      <c r="R61" t="s">
        <v>701</v>
      </c>
    </row>
    <row r="62" spans="1:18" ht="14.45">
      <c r="A62" s="106" t="b">
        <v>1</v>
      </c>
      <c r="B62" t="str" cm="1">
        <f t="array" ref="B62">_xlfn.SINGLE(_xlfn._xlws.FILTER(t_ServiceCatalogue[Onwer],t_ServiceCatalogue[Category]=t_fac25_requirements[[#This Row],[Category]],""))</f>
        <v>EU</v>
      </c>
      <c r="C62" t="s">
        <v>198</v>
      </c>
      <c r="D62" t="str">
        <f>_xlfn._xlws.FILTER(t_Contact[FA Name],t_Contact[FA]=t_fac25_requirements[[#This Row],[FA]],"")</f>
        <v>Venue Management</v>
      </c>
      <c r="E62" s="33" t="s">
        <v>214</v>
      </c>
      <c r="F62" s="33" t="s">
        <v>305</v>
      </c>
      <c r="G62" s="28" t="s">
        <v>323</v>
      </c>
      <c r="H62" s="33" t="s">
        <v>22</v>
      </c>
      <c r="I62" s="33" t="s">
        <v>28</v>
      </c>
      <c r="J62" s="28" t="s">
        <v>370</v>
      </c>
      <c r="K62" s="34"/>
      <c r="L62" s="34">
        <v>1</v>
      </c>
      <c r="M62" s="30">
        <v>45962</v>
      </c>
      <c r="N62" s="30">
        <v>46012</v>
      </c>
      <c r="O62" s="43" t="s">
        <v>29</v>
      </c>
      <c r="P62" s="63" t="s">
        <v>87</v>
      </c>
      <c r="Q62" s="33" t="s">
        <v>702</v>
      </c>
      <c r="R62" t="s">
        <v>703</v>
      </c>
    </row>
    <row r="63" spans="1:18" ht="14.45">
      <c r="A63" s="106" t="b">
        <v>1</v>
      </c>
      <c r="B63" t="str" cm="1">
        <f t="array" ref="B63">_xlfn.SINGLE(_xlfn._xlws.FILTER(t_ServiceCatalogue[Onwer],t_ServiceCatalogue[Category]=t_fac25_requirements[[#This Row],[Category]],""))</f>
        <v>NW</v>
      </c>
      <c r="C63" t="s">
        <v>198</v>
      </c>
      <c r="D63" t="str">
        <f>_xlfn._xlws.FILTER(t_Contact[FA Name],t_Contact[FA]=t_fac25_requirements[[#This Row],[FA]],"")</f>
        <v>Venue Management</v>
      </c>
      <c r="E63" s="33" t="s">
        <v>208</v>
      </c>
      <c r="F63" s="33" t="s">
        <v>305</v>
      </c>
      <c r="G63" s="28" t="s">
        <v>311</v>
      </c>
      <c r="H63" s="33" t="s">
        <v>52</v>
      </c>
      <c r="I63" s="33" t="s">
        <v>53</v>
      </c>
      <c r="J63" s="28" t="s">
        <v>370</v>
      </c>
      <c r="K63" s="34"/>
      <c r="L63" s="34">
        <v>1</v>
      </c>
      <c r="M63" s="30">
        <v>45901</v>
      </c>
      <c r="N63" s="30">
        <v>46022</v>
      </c>
      <c r="O63" s="43" t="s">
        <v>54</v>
      </c>
      <c r="P63" s="55" t="s">
        <v>692</v>
      </c>
      <c r="Q63" s="33"/>
      <c r="R63" t="s">
        <v>704</v>
      </c>
    </row>
    <row r="64" spans="1:18" ht="14.45">
      <c r="A64" s="106" t="b">
        <v>1</v>
      </c>
      <c r="B64" t="str" cm="1">
        <f t="array" ref="B64">_xlfn.SINGLE(_xlfn._xlws.FILTER(t_ServiceCatalogue[Onwer],t_ServiceCatalogue[Category]=t_fac25_requirements[[#This Row],[Category]],""))</f>
        <v>NW</v>
      </c>
      <c r="C64" t="s">
        <v>198</v>
      </c>
      <c r="D64" t="str">
        <f>_xlfn._xlws.FILTER(t_Contact[FA Name],t_Contact[FA]=t_fac25_requirements[[#This Row],[FA]],"")</f>
        <v>Venue Management</v>
      </c>
      <c r="E64" s="33" t="s">
        <v>208</v>
      </c>
      <c r="F64" s="33" t="s">
        <v>305</v>
      </c>
      <c r="G64" s="28" t="s">
        <v>323</v>
      </c>
      <c r="H64" s="33" t="s">
        <v>52</v>
      </c>
      <c r="I64" s="33" t="s">
        <v>53</v>
      </c>
      <c r="J64" s="28" t="s">
        <v>370</v>
      </c>
      <c r="K64" s="34"/>
      <c r="L64" s="34">
        <v>1</v>
      </c>
      <c r="M64" s="30">
        <v>45901</v>
      </c>
      <c r="N64" s="30">
        <v>46022</v>
      </c>
      <c r="O64" s="43" t="s">
        <v>54</v>
      </c>
      <c r="P64" s="55" t="s">
        <v>692</v>
      </c>
      <c r="Q64" s="33"/>
      <c r="R64" t="s">
        <v>705</v>
      </c>
    </row>
    <row r="65" spans="1:18" ht="14.45">
      <c r="A65" s="106" t="b">
        <v>1</v>
      </c>
      <c r="B65" t="str" cm="1">
        <f t="array" ref="B65">_xlfn.SINGLE(_xlfn._xlws.FILTER(t_ServiceCatalogue[Onwer],t_ServiceCatalogue[Category]=t_fac25_requirements[[#This Row],[Category]],""))</f>
        <v>NW</v>
      </c>
      <c r="C65" t="s">
        <v>198</v>
      </c>
      <c r="D65" t="str">
        <f>_xlfn._xlws.FILTER(t_Contact[FA Name],t_Contact[FA]=t_fac25_requirements[[#This Row],[FA]],"")</f>
        <v>Venue Management</v>
      </c>
      <c r="E65" s="33" t="s">
        <v>208</v>
      </c>
      <c r="F65" s="33" t="s">
        <v>296</v>
      </c>
      <c r="G65" s="28" t="s">
        <v>299</v>
      </c>
      <c r="H65" s="33" t="s">
        <v>52</v>
      </c>
      <c r="I65" s="33" t="s">
        <v>53</v>
      </c>
      <c r="J65" s="28" t="s">
        <v>370</v>
      </c>
      <c r="K65" s="34"/>
      <c r="L65" s="34">
        <v>1</v>
      </c>
      <c r="M65" s="30">
        <v>45901</v>
      </c>
      <c r="N65" s="30">
        <v>46022</v>
      </c>
      <c r="O65" s="43" t="s">
        <v>54</v>
      </c>
      <c r="P65" s="55" t="s">
        <v>695</v>
      </c>
      <c r="Q65" s="33"/>
      <c r="R65" t="s">
        <v>706</v>
      </c>
    </row>
    <row r="66" spans="1:18" ht="14.45">
      <c r="A66" s="106" t="b">
        <v>1</v>
      </c>
      <c r="B66" t="str" cm="1">
        <f t="array" ref="B66">_xlfn.SINGLE(_xlfn._xlws.FILTER(t_ServiceCatalogue[Onwer],t_ServiceCatalogue[Category]=t_fac25_requirements[[#This Row],[Category]],""))</f>
        <v>AV</v>
      </c>
      <c r="C66" t="s">
        <v>198</v>
      </c>
      <c r="D66" t="str">
        <f>_xlfn._xlws.FILTER(t_Contact[FA Name],t_Contact[FA]=t_fac25_requirements[[#This Row],[FA]],"")</f>
        <v>Venue Management</v>
      </c>
      <c r="E66" s="33" t="s">
        <v>208</v>
      </c>
      <c r="F66" s="33" t="s">
        <v>288</v>
      </c>
      <c r="G66" s="28" t="s">
        <v>290</v>
      </c>
      <c r="H66" s="28" t="s">
        <v>58</v>
      </c>
      <c r="I66" s="28" t="s">
        <v>59</v>
      </c>
      <c r="J66" s="28" t="s">
        <v>407</v>
      </c>
      <c r="K66" s="29"/>
      <c r="L66" s="29">
        <v>1</v>
      </c>
      <c r="M66" s="30">
        <v>45984</v>
      </c>
      <c r="N66" s="30">
        <v>46009</v>
      </c>
      <c r="O66" s="43" t="s">
        <v>60</v>
      </c>
      <c r="P66" s="55" t="s">
        <v>408</v>
      </c>
      <c r="Q66" s="28"/>
      <c r="R66" t="s">
        <v>707</v>
      </c>
    </row>
    <row r="67" spans="1:18" ht="14.45">
      <c r="A67" s="106" t="b">
        <v>1</v>
      </c>
      <c r="B67" t="str" cm="1">
        <f t="array" ref="B67">_xlfn.SINGLE(_xlfn._xlws.FILTER(t_ServiceCatalogue[Onwer],t_ServiceCatalogue[Category]=t_fac25_requirements[[#This Row],[Category]],""))</f>
        <v>AV</v>
      </c>
      <c r="C67" t="s">
        <v>198</v>
      </c>
      <c r="D67" t="str">
        <f>_xlfn._xlws.FILTER(t_Contact[FA Name],t_Contact[FA]=t_fac25_requirements[[#This Row],[FA]],"")</f>
        <v>Venue Management</v>
      </c>
      <c r="E67" s="33" t="s">
        <v>208</v>
      </c>
      <c r="F67" s="33" t="s">
        <v>288</v>
      </c>
      <c r="G67" s="28" t="s">
        <v>272</v>
      </c>
      <c r="H67" s="28" t="s">
        <v>110</v>
      </c>
      <c r="I67" s="28" t="s">
        <v>111</v>
      </c>
      <c r="J67" s="28" t="s">
        <v>370</v>
      </c>
      <c r="K67" s="29"/>
      <c r="L67" s="29">
        <v>1</v>
      </c>
      <c r="M67" s="30">
        <v>45901</v>
      </c>
      <c r="N67" s="30">
        <v>46012</v>
      </c>
      <c r="O67" s="43" t="s">
        <v>112</v>
      </c>
      <c r="P67" s="63" t="s">
        <v>87</v>
      </c>
      <c r="Q67" s="33" t="s">
        <v>698</v>
      </c>
      <c r="R67" t="s">
        <v>708</v>
      </c>
    </row>
    <row r="68" spans="1:18" ht="14.45">
      <c r="A68" s="106" t="b">
        <v>1</v>
      </c>
      <c r="B68" t="str" cm="1">
        <f t="array" ref="B68">_xlfn.SINGLE(_xlfn._xlws.FILTER(t_ServiceCatalogue[Onwer],t_ServiceCatalogue[Category]=t_fac25_requirements[[#This Row],[Category]],""))</f>
        <v>EU</v>
      </c>
      <c r="C68" t="s">
        <v>198</v>
      </c>
      <c r="D68" t="str">
        <f>_xlfn._xlws.FILTER(t_Contact[FA Name],t_Contact[FA]=t_fac25_requirements[[#This Row],[FA]],"")</f>
        <v>Venue Management</v>
      </c>
      <c r="E68" s="33" t="s">
        <v>208</v>
      </c>
      <c r="F68" s="33" t="s">
        <v>305</v>
      </c>
      <c r="G68" s="28" t="s">
        <v>311</v>
      </c>
      <c r="H68" s="28" t="s">
        <v>22</v>
      </c>
      <c r="I68" s="28" t="s">
        <v>28</v>
      </c>
      <c r="J68" s="28" t="s">
        <v>370</v>
      </c>
      <c r="K68" s="29"/>
      <c r="L68" s="29">
        <v>1</v>
      </c>
      <c r="M68" s="30">
        <v>45962</v>
      </c>
      <c r="N68" s="30">
        <v>46012</v>
      </c>
      <c r="O68" s="43" t="s">
        <v>29</v>
      </c>
      <c r="P68" s="63" t="s">
        <v>87</v>
      </c>
      <c r="Q68" s="33" t="s">
        <v>700</v>
      </c>
      <c r="R68" t="s">
        <v>709</v>
      </c>
    </row>
    <row r="69" spans="1:18" ht="14.45">
      <c r="A69" s="106" t="b">
        <v>1</v>
      </c>
      <c r="B69" t="str" cm="1">
        <f t="array" ref="B69">_xlfn.SINGLE(_xlfn._xlws.FILTER(t_ServiceCatalogue[Onwer],t_ServiceCatalogue[Category]=t_fac25_requirements[[#This Row],[Category]],""))</f>
        <v>EU</v>
      </c>
      <c r="C69" t="s">
        <v>198</v>
      </c>
      <c r="D69" t="str">
        <f>_xlfn._xlws.FILTER(t_Contact[FA Name],t_Contact[FA]=t_fac25_requirements[[#This Row],[FA]],"")</f>
        <v>Venue Management</v>
      </c>
      <c r="E69" s="33" t="s">
        <v>208</v>
      </c>
      <c r="F69" s="33" t="s">
        <v>305</v>
      </c>
      <c r="G69" s="28" t="s">
        <v>323</v>
      </c>
      <c r="H69" s="28" t="s">
        <v>22</v>
      </c>
      <c r="I69" s="28" t="s">
        <v>28</v>
      </c>
      <c r="J69" s="28" t="s">
        <v>370</v>
      </c>
      <c r="K69" s="29"/>
      <c r="L69" s="29">
        <v>1</v>
      </c>
      <c r="M69" s="30">
        <v>45962</v>
      </c>
      <c r="N69" s="30">
        <v>46012</v>
      </c>
      <c r="O69" s="43" t="s">
        <v>29</v>
      </c>
      <c r="P69" s="63" t="s">
        <v>87</v>
      </c>
      <c r="Q69" s="33" t="s">
        <v>702</v>
      </c>
      <c r="R69" t="s">
        <v>710</v>
      </c>
    </row>
    <row r="70" spans="1:18" ht="14.45">
      <c r="A70" s="106" t="b">
        <v>1</v>
      </c>
      <c r="B70" t="str" cm="1">
        <f t="array" ref="B70">_xlfn.SINGLE(_xlfn._xlws.FILTER(t_ServiceCatalogue[Onwer],t_ServiceCatalogue[Category]=t_fac25_requirements[[#This Row],[Category]],""))</f>
        <v>NW</v>
      </c>
      <c r="C70" t="s">
        <v>198</v>
      </c>
      <c r="D70" t="str">
        <f>_xlfn._xlws.FILTER(t_Contact[FA Name],t_Contact[FA]=t_fac25_requirements[[#This Row],[FA]],"")</f>
        <v>Venue Management</v>
      </c>
      <c r="E70" s="33" t="s">
        <v>208</v>
      </c>
      <c r="F70" s="33" t="s">
        <v>325</v>
      </c>
      <c r="G70" s="28" t="s">
        <v>326</v>
      </c>
      <c r="H70" s="28" t="s">
        <v>52</v>
      </c>
      <c r="I70" s="28" t="s">
        <v>53</v>
      </c>
      <c r="J70" s="28" t="s">
        <v>370</v>
      </c>
      <c r="K70" s="29"/>
      <c r="L70" s="29">
        <v>1</v>
      </c>
      <c r="M70" s="30">
        <v>45901</v>
      </c>
      <c r="N70" s="30">
        <v>46022</v>
      </c>
      <c r="O70" s="43" t="s">
        <v>54</v>
      </c>
      <c r="P70" s="63" t="s">
        <v>87</v>
      </c>
      <c r="Q70" s="28" t="s">
        <v>711</v>
      </c>
      <c r="R70" t="s">
        <v>712</v>
      </c>
    </row>
    <row r="71" spans="1:18" ht="14.45">
      <c r="A71" s="106" t="b">
        <v>0</v>
      </c>
      <c r="B71" t="str" cm="1">
        <f t="array" ref="B71">_xlfn.SINGLE(_xlfn._xlws.FILTER(t_ServiceCatalogue[Onwer],t_ServiceCatalogue[Category]=t_fac25_requirements[[#This Row],[Category]],""))</f>
        <v>NW</v>
      </c>
      <c r="C71" t="s">
        <v>198</v>
      </c>
      <c r="D71" t="str">
        <f>_xlfn._xlws.FILTER(t_Contact[FA Name],t_Contact[FA]=t_fac25_requirements[[#This Row],[FA]],"")</f>
        <v>Venue Management</v>
      </c>
      <c r="E71" s="28" t="s">
        <v>211</v>
      </c>
      <c r="F71" s="28" t="s">
        <v>305</v>
      </c>
      <c r="G71" s="28" t="s">
        <v>311</v>
      </c>
      <c r="H71" s="28" t="s">
        <v>52</v>
      </c>
      <c r="I71" s="28" t="s">
        <v>53</v>
      </c>
      <c r="J71" s="28" t="s">
        <v>370</v>
      </c>
      <c r="K71" s="29"/>
      <c r="L71" s="29">
        <v>1</v>
      </c>
      <c r="M71" s="30">
        <v>45901</v>
      </c>
      <c r="N71" s="30">
        <v>46022</v>
      </c>
      <c r="O71" s="43" t="s">
        <v>54</v>
      </c>
      <c r="P71" s="55" t="s">
        <v>692</v>
      </c>
      <c r="Q71" s="33"/>
      <c r="R71" t="s">
        <v>713</v>
      </c>
    </row>
    <row r="72" spans="1:18" ht="14.45">
      <c r="A72" s="106" t="b">
        <v>0</v>
      </c>
      <c r="B72" t="str" cm="1">
        <f t="array" ref="B72">_xlfn.SINGLE(_xlfn._xlws.FILTER(t_ServiceCatalogue[Onwer],t_ServiceCatalogue[Category]=t_fac25_requirements[[#This Row],[Category]],""))</f>
        <v>NW</v>
      </c>
      <c r="C72" t="s">
        <v>198</v>
      </c>
      <c r="D72" t="str">
        <f>_xlfn._xlws.FILTER(t_Contact[FA Name],t_Contact[FA]=t_fac25_requirements[[#This Row],[FA]],"")</f>
        <v>Venue Management</v>
      </c>
      <c r="E72" s="28" t="s">
        <v>211</v>
      </c>
      <c r="F72" s="28" t="s">
        <v>305</v>
      </c>
      <c r="G72" s="28" t="s">
        <v>323</v>
      </c>
      <c r="H72" s="28" t="s">
        <v>52</v>
      </c>
      <c r="I72" s="28" t="s">
        <v>53</v>
      </c>
      <c r="J72" s="28" t="s">
        <v>370</v>
      </c>
      <c r="K72" s="29"/>
      <c r="L72" s="29">
        <v>1</v>
      </c>
      <c r="M72" s="30">
        <v>45901</v>
      </c>
      <c r="N72" s="30">
        <v>46022</v>
      </c>
      <c r="O72" s="43" t="s">
        <v>54</v>
      </c>
      <c r="P72" s="55" t="s">
        <v>692</v>
      </c>
      <c r="Q72" s="28"/>
      <c r="R72" t="s">
        <v>714</v>
      </c>
    </row>
    <row r="73" spans="1:18" ht="14.45">
      <c r="A73" s="106" t="b">
        <v>0</v>
      </c>
      <c r="B73" t="str" cm="1">
        <f t="array" ref="B73">_xlfn.SINGLE(_xlfn._xlws.FILTER(t_ServiceCatalogue[Onwer],t_ServiceCatalogue[Category]=t_fac25_requirements[[#This Row],[Category]],""))</f>
        <v>NW</v>
      </c>
      <c r="C73" t="s">
        <v>198</v>
      </c>
      <c r="D73" t="str">
        <f>_xlfn._xlws.FILTER(t_Contact[FA Name],t_Contact[FA]=t_fac25_requirements[[#This Row],[FA]],"")</f>
        <v>Venue Management</v>
      </c>
      <c r="E73" s="28" t="s">
        <v>211</v>
      </c>
      <c r="F73" s="28" t="s">
        <v>296</v>
      </c>
      <c r="G73" s="28" t="s">
        <v>299</v>
      </c>
      <c r="H73" s="28" t="s">
        <v>52</v>
      </c>
      <c r="I73" s="28" t="s">
        <v>53</v>
      </c>
      <c r="J73" s="28" t="s">
        <v>370</v>
      </c>
      <c r="K73" s="29"/>
      <c r="L73" s="29">
        <v>1</v>
      </c>
      <c r="M73" s="30">
        <v>45901</v>
      </c>
      <c r="N73" s="30">
        <v>46022</v>
      </c>
      <c r="O73" s="43" t="s">
        <v>54</v>
      </c>
      <c r="P73" s="55" t="s">
        <v>695</v>
      </c>
      <c r="Q73" s="28"/>
      <c r="R73" t="s">
        <v>715</v>
      </c>
    </row>
    <row r="74" spans="1:18" ht="14.45">
      <c r="A74" s="106" t="b">
        <v>0</v>
      </c>
      <c r="B74" t="str" cm="1">
        <f t="array" ref="B74">_xlfn.SINGLE(_xlfn._xlws.FILTER(t_ServiceCatalogue[Onwer],t_ServiceCatalogue[Category]=t_fac25_requirements[[#This Row],[Category]],""))</f>
        <v>AV</v>
      </c>
      <c r="C74" t="s">
        <v>198</v>
      </c>
      <c r="D74" t="str">
        <f>_xlfn._xlws.FILTER(t_Contact[FA Name],t_Contact[FA]=t_fac25_requirements[[#This Row],[FA]],"")</f>
        <v>Venue Management</v>
      </c>
      <c r="E74" s="28" t="s">
        <v>211</v>
      </c>
      <c r="F74" s="28" t="s">
        <v>288</v>
      </c>
      <c r="G74" s="28" t="s">
        <v>290</v>
      </c>
      <c r="H74" s="28" t="s">
        <v>58</v>
      </c>
      <c r="I74" s="28" t="s">
        <v>59</v>
      </c>
      <c r="J74" s="28" t="s">
        <v>407</v>
      </c>
      <c r="K74" s="29"/>
      <c r="L74" s="29">
        <v>1</v>
      </c>
      <c r="M74" s="30">
        <v>45984</v>
      </c>
      <c r="N74" s="30">
        <v>46009</v>
      </c>
      <c r="O74" s="43" t="s">
        <v>60</v>
      </c>
      <c r="P74" s="55" t="s">
        <v>408</v>
      </c>
      <c r="Q74" s="28"/>
      <c r="R74" t="s">
        <v>409</v>
      </c>
    </row>
    <row r="75" spans="1:18" ht="14.45">
      <c r="A75" s="106" t="b">
        <v>0</v>
      </c>
      <c r="B75" t="str" cm="1">
        <f t="array" ref="B75">_xlfn.SINGLE(_xlfn._xlws.FILTER(t_ServiceCatalogue[Onwer],t_ServiceCatalogue[Category]=t_fac25_requirements[[#This Row],[Category]],""))</f>
        <v>AV</v>
      </c>
      <c r="C75" t="s">
        <v>198</v>
      </c>
      <c r="D75" t="str">
        <f>_xlfn._xlws.FILTER(t_Contact[FA Name],t_Contact[FA]=t_fac25_requirements[[#This Row],[FA]],"")</f>
        <v>Venue Management</v>
      </c>
      <c r="E75" s="28" t="s">
        <v>211</v>
      </c>
      <c r="F75" s="28" t="s">
        <v>288</v>
      </c>
      <c r="G75" s="28" t="s">
        <v>272</v>
      </c>
      <c r="H75" s="28" t="s">
        <v>110</v>
      </c>
      <c r="I75" s="28" t="s">
        <v>111</v>
      </c>
      <c r="J75" s="28" t="s">
        <v>370</v>
      </c>
      <c r="K75" s="29"/>
      <c r="L75" s="29">
        <v>1</v>
      </c>
      <c r="M75" s="30">
        <v>45901</v>
      </c>
      <c r="N75" s="30">
        <v>46012</v>
      </c>
      <c r="O75" s="43" t="s">
        <v>112</v>
      </c>
      <c r="P75" s="63" t="s">
        <v>87</v>
      </c>
      <c r="Q75" s="28" t="s">
        <v>698</v>
      </c>
      <c r="R75" t="s">
        <v>716</v>
      </c>
    </row>
    <row r="76" spans="1:18" ht="14.45">
      <c r="A76" s="106" t="b">
        <v>0</v>
      </c>
      <c r="B76" t="str" cm="1">
        <f t="array" ref="B76">_xlfn.SINGLE(_xlfn._xlws.FILTER(t_ServiceCatalogue[Onwer],t_ServiceCatalogue[Category]=t_fac25_requirements[[#This Row],[Category]],""))</f>
        <v>EU</v>
      </c>
      <c r="C76" t="s">
        <v>198</v>
      </c>
      <c r="D76" t="str">
        <f>_xlfn._xlws.FILTER(t_Contact[FA Name],t_Contact[FA]=t_fac25_requirements[[#This Row],[FA]],"")</f>
        <v>Venue Management</v>
      </c>
      <c r="E76" s="28" t="s">
        <v>211</v>
      </c>
      <c r="F76" s="28" t="s">
        <v>305</v>
      </c>
      <c r="G76" s="28" t="s">
        <v>311</v>
      </c>
      <c r="H76" s="28" t="s">
        <v>22</v>
      </c>
      <c r="I76" s="28" t="s">
        <v>28</v>
      </c>
      <c r="J76" s="28" t="s">
        <v>370</v>
      </c>
      <c r="K76" s="29"/>
      <c r="L76" s="29">
        <v>1</v>
      </c>
      <c r="M76" s="30">
        <v>45962</v>
      </c>
      <c r="N76" s="30">
        <v>46012</v>
      </c>
      <c r="O76" s="43" t="s">
        <v>29</v>
      </c>
      <c r="P76" s="63" t="s">
        <v>87</v>
      </c>
      <c r="Q76" s="28" t="s">
        <v>700</v>
      </c>
      <c r="R76" t="s">
        <v>717</v>
      </c>
    </row>
    <row r="77" spans="1:18" ht="14.45">
      <c r="A77" s="106" t="b">
        <v>0</v>
      </c>
      <c r="B77" t="str" cm="1">
        <f t="array" ref="B77">_xlfn.SINGLE(_xlfn._xlws.FILTER(t_ServiceCatalogue[Onwer],t_ServiceCatalogue[Category]=t_fac25_requirements[[#This Row],[Category]],""))</f>
        <v>EU</v>
      </c>
      <c r="C77" t="s">
        <v>198</v>
      </c>
      <c r="D77" t="str">
        <f>_xlfn._xlws.FILTER(t_Contact[FA Name],t_Contact[FA]=t_fac25_requirements[[#This Row],[FA]],"")</f>
        <v>Venue Management</v>
      </c>
      <c r="E77" s="28" t="s">
        <v>211</v>
      </c>
      <c r="F77" s="28" t="s">
        <v>305</v>
      </c>
      <c r="G77" s="28" t="s">
        <v>323</v>
      </c>
      <c r="H77" s="28" t="s">
        <v>22</v>
      </c>
      <c r="I77" s="28" t="s">
        <v>28</v>
      </c>
      <c r="J77" s="28" t="s">
        <v>370</v>
      </c>
      <c r="K77" s="29"/>
      <c r="L77" s="29">
        <v>1</v>
      </c>
      <c r="M77" s="30">
        <v>45962</v>
      </c>
      <c r="N77" s="30">
        <v>46012</v>
      </c>
      <c r="O77" s="43" t="s">
        <v>29</v>
      </c>
      <c r="P77" s="63" t="s">
        <v>87</v>
      </c>
      <c r="Q77" s="28" t="s">
        <v>702</v>
      </c>
      <c r="R77" t="s">
        <v>718</v>
      </c>
    </row>
    <row r="78" spans="1:18" ht="14.45">
      <c r="A78" s="106" t="b">
        <v>0</v>
      </c>
      <c r="B78" t="str" cm="1">
        <f t="array" ref="B78">_xlfn.SINGLE(_xlfn._xlws.FILTER(t_ServiceCatalogue[Onwer],t_ServiceCatalogue[Category]=t_fac25_requirements[[#This Row],[Category]],""))</f>
        <v>NW</v>
      </c>
      <c r="C78" t="s">
        <v>198</v>
      </c>
      <c r="D78" t="str">
        <f>_xlfn._xlws.FILTER(t_Contact[FA Name],t_Contact[FA]=t_fac25_requirements[[#This Row],[FA]],"")</f>
        <v>Venue Management</v>
      </c>
      <c r="E78" s="43">
        <v>974</v>
      </c>
      <c r="F78" s="28" t="s">
        <v>305</v>
      </c>
      <c r="G78" s="28" t="s">
        <v>311</v>
      </c>
      <c r="H78" s="28" t="s">
        <v>52</v>
      </c>
      <c r="I78" s="28" t="s">
        <v>53</v>
      </c>
      <c r="J78" s="28" t="s">
        <v>370</v>
      </c>
      <c r="K78" s="29"/>
      <c r="L78" s="29">
        <v>1</v>
      </c>
      <c r="M78" s="30">
        <v>45901</v>
      </c>
      <c r="N78" s="30">
        <v>46022</v>
      </c>
      <c r="O78" s="43" t="s">
        <v>54</v>
      </c>
      <c r="P78" s="55" t="s">
        <v>692</v>
      </c>
      <c r="Q78" s="28"/>
      <c r="R78" t="s">
        <v>719</v>
      </c>
    </row>
    <row r="79" spans="1:18" ht="14.45">
      <c r="A79" s="106" t="b">
        <v>0</v>
      </c>
      <c r="B79" t="str" cm="1">
        <f t="array" ref="B79">_xlfn.SINGLE(_xlfn._xlws.FILTER(t_ServiceCatalogue[Onwer],t_ServiceCatalogue[Category]=t_fac25_requirements[[#This Row],[Category]],""))</f>
        <v>NW</v>
      </c>
      <c r="C79" t="s">
        <v>198</v>
      </c>
      <c r="D79" t="str">
        <f>_xlfn._xlws.FILTER(t_Contact[FA Name],t_Contact[FA]=t_fac25_requirements[[#This Row],[FA]],"")</f>
        <v>Venue Management</v>
      </c>
      <c r="E79" s="43">
        <v>974</v>
      </c>
      <c r="F79" s="28" t="s">
        <v>305</v>
      </c>
      <c r="G79" s="28" t="s">
        <v>323</v>
      </c>
      <c r="H79" s="28" t="s">
        <v>52</v>
      </c>
      <c r="I79" s="28" t="s">
        <v>53</v>
      </c>
      <c r="J79" s="28" t="s">
        <v>370</v>
      </c>
      <c r="K79" s="29"/>
      <c r="L79" s="29">
        <v>1</v>
      </c>
      <c r="M79" s="30">
        <v>45901</v>
      </c>
      <c r="N79" s="30">
        <v>46022</v>
      </c>
      <c r="O79" s="43" t="s">
        <v>54</v>
      </c>
      <c r="P79" s="55" t="s">
        <v>692</v>
      </c>
      <c r="Q79" s="28"/>
      <c r="R79" t="s">
        <v>720</v>
      </c>
    </row>
    <row r="80" spans="1:18" ht="14.45">
      <c r="A80" s="106" t="b">
        <v>0</v>
      </c>
      <c r="B80" t="str" cm="1">
        <f t="array" ref="B80">_xlfn.SINGLE(_xlfn._xlws.FILTER(t_ServiceCatalogue[Onwer],t_ServiceCatalogue[Category]=t_fac25_requirements[[#This Row],[Category]],""))</f>
        <v>NW</v>
      </c>
      <c r="C80" t="s">
        <v>198</v>
      </c>
      <c r="D80" t="str">
        <f>_xlfn._xlws.FILTER(t_Contact[FA Name],t_Contact[FA]=t_fac25_requirements[[#This Row],[FA]],"")</f>
        <v>Venue Management</v>
      </c>
      <c r="E80" s="43">
        <v>974</v>
      </c>
      <c r="F80" s="28" t="s">
        <v>296</v>
      </c>
      <c r="G80" s="28" t="s">
        <v>299</v>
      </c>
      <c r="H80" s="28" t="s">
        <v>52</v>
      </c>
      <c r="I80" s="28" t="s">
        <v>53</v>
      </c>
      <c r="J80" s="28" t="s">
        <v>370</v>
      </c>
      <c r="K80" s="29"/>
      <c r="L80" s="29">
        <v>1</v>
      </c>
      <c r="M80" s="30">
        <v>45901</v>
      </c>
      <c r="N80" s="30">
        <v>46022</v>
      </c>
      <c r="O80" s="43" t="s">
        <v>54</v>
      </c>
      <c r="P80" s="55" t="s">
        <v>695</v>
      </c>
      <c r="Q80" s="28"/>
      <c r="R80" t="s">
        <v>721</v>
      </c>
    </row>
    <row r="81" spans="1:18" ht="14.45">
      <c r="A81" s="106" t="b">
        <v>0</v>
      </c>
      <c r="B81" t="str" cm="1">
        <f t="array" ref="B81">_xlfn.SINGLE(_xlfn._xlws.FILTER(t_ServiceCatalogue[Onwer],t_ServiceCatalogue[Category]=t_fac25_requirements[[#This Row],[Category]],""))</f>
        <v>AV</v>
      </c>
      <c r="C81" t="s">
        <v>198</v>
      </c>
      <c r="D81" t="str">
        <f>_xlfn._xlws.FILTER(t_Contact[FA Name],t_Contact[FA]=t_fac25_requirements[[#This Row],[FA]],"")</f>
        <v>Venue Management</v>
      </c>
      <c r="E81" s="43">
        <v>974</v>
      </c>
      <c r="F81" s="28" t="s">
        <v>288</v>
      </c>
      <c r="G81" s="28" t="s">
        <v>290</v>
      </c>
      <c r="H81" s="28" t="s">
        <v>58</v>
      </c>
      <c r="I81" s="28" t="s">
        <v>59</v>
      </c>
      <c r="J81" s="28" t="s">
        <v>407</v>
      </c>
      <c r="K81" s="29"/>
      <c r="L81" s="29">
        <v>1</v>
      </c>
      <c r="M81" s="30">
        <v>45984</v>
      </c>
      <c r="N81" s="30">
        <v>46009</v>
      </c>
      <c r="O81" s="43" t="s">
        <v>60</v>
      </c>
      <c r="P81" s="55" t="s">
        <v>408</v>
      </c>
      <c r="Q81" s="28"/>
      <c r="R81" t="s">
        <v>722</v>
      </c>
    </row>
    <row r="82" spans="1:18" ht="14.45">
      <c r="A82" s="106" t="b">
        <v>0</v>
      </c>
      <c r="B82" t="str" cm="1">
        <f t="array" ref="B82">_xlfn.SINGLE(_xlfn._xlws.FILTER(t_ServiceCatalogue[Onwer],t_ServiceCatalogue[Category]=t_fac25_requirements[[#This Row],[Category]],""))</f>
        <v>AV</v>
      </c>
      <c r="C82" t="s">
        <v>198</v>
      </c>
      <c r="D82" t="str">
        <f>_xlfn._xlws.FILTER(t_Contact[FA Name],t_Contact[FA]=t_fac25_requirements[[#This Row],[FA]],"")</f>
        <v>Venue Management</v>
      </c>
      <c r="E82" s="43">
        <v>974</v>
      </c>
      <c r="F82" s="28" t="s">
        <v>288</v>
      </c>
      <c r="G82" s="28" t="s">
        <v>272</v>
      </c>
      <c r="H82" s="28" t="s">
        <v>110</v>
      </c>
      <c r="I82" s="28" t="s">
        <v>111</v>
      </c>
      <c r="J82" s="28" t="s">
        <v>370</v>
      </c>
      <c r="K82" s="29"/>
      <c r="L82" s="29">
        <v>1</v>
      </c>
      <c r="M82" s="30">
        <v>45901</v>
      </c>
      <c r="N82" s="30">
        <v>46012</v>
      </c>
      <c r="O82" s="43" t="s">
        <v>112</v>
      </c>
      <c r="P82" s="63" t="s">
        <v>87</v>
      </c>
      <c r="Q82" s="28" t="s">
        <v>698</v>
      </c>
      <c r="R82" t="s">
        <v>723</v>
      </c>
    </row>
    <row r="83" spans="1:18" ht="14.45">
      <c r="A83" s="106" t="b">
        <v>1</v>
      </c>
      <c r="B83" t="str" cm="1">
        <f t="array" ref="B83">_xlfn.SINGLE(_xlfn._xlws.FILTER(t_ServiceCatalogue[Onwer],t_ServiceCatalogue[Category]=t_fac25_requirements[[#This Row],[Category]],""))</f>
        <v>EU</v>
      </c>
      <c r="C83" t="s">
        <v>198</v>
      </c>
      <c r="D83" t="str">
        <f>_xlfn._xlws.FILTER(t_Contact[FA Name],t_Contact[FA]=t_fac25_requirements[[#This Row],[FA]],"")</f>
        <v>Venue Management</v>
      </c>
      <c r="E83" s="43">
        <v>974</v>
      </c>
      <c r="F83" s="28" t="s">
        <v>305</v>
      </c>
      <c r="G83" s="28" t="s">
        <v>311</v>
      </c>
      <c r="H83" s="28" t="s">
        <v>22</v>
      </c>
      <c r="I83" s="28" t="s">
        <v>28</v>
      </c>
      <c r="J83" s="28" t="s">
        <v>370</v>
      </c>
      <c r="K83" s="29"/>
      <c r="L83" s="29">
        <v>1</v>
      </c>
      <c r="M83" s="30">
        <v>45962</v>
      </c>
      <c r="N83" s="30">
        <v>46012</v>
      </c>
      <c r="O83" s="43" t="s">
        <v>29</v>
      </c>
      <c r="P83" s="63" t="s">
        <v>87</v>
      </c>
      <c r="Q83" s="28" t="s">
        <v>700</v>
      </c>
      <c r="R83" t="s">
        <v>724</v>
      </c>
    </row>
    <row r="84" spans="1:18" ht="14.45">
      <c r="A84" s="106" t="b">
        <v>1</v>
      </c>
      <c r="B84" t="str" cm="1">
        <f t="array" ref="B84">_xlfn.SINGLE(_xlfn._xlws.FILTER(t_ServiceCatalogue[Onwer],t_ServiceCatalogue[Category]=t_fac25_requirements[[#This Row],[Category]],""))</f>
        <v>EU</v>
      </c>
      <c r="C84" t="s">
        <v>198</v>
      </c>
      <c r="D84" t="str">
        <f>_xlfn._xlws.FILTER(t_Contact[FA Name],t_Contact[FA]=t_fac25_requirements[[#This Row],[FA]],"")</f>
        <v>Venue Management</v>
      </c>
      <c r="E84" s="43">
        <v>974</v>
      </c>
      <c r="F84" s="28" t="s">
        <v>305</v>
      </c>
      <c r="G84" s="28" t="s">
        <v>323</v>
      </c>
      <c r="H84" s="28" t="s">
        <v>22</v>
      </c>
      <c r="I84" s="28" t="s">
        <v>28</v>
      </c>
      <c r="J84" s="28" t="s">
        <v>370</v>
      </c>
      <c r="K84" s="29"/>
      <c r="L84" s="29">
        <v>1</v>
      </c>
      <c r="M84" s="30">
        <v>45962</v>
      </c>
      <c r="N84" s="30">
        <v>46012</v>
      </c>
      <c r="O84" s="43" t="s">
        <v>29</v>
      </c>
      <c r="P84" s="63" t="s">
        <v>87</v>
      </c>
      <c r="Q84" s="28" t="s">
        <v>702</v>
      </c>
      <c r="R84" t="s">
        <v>725</v>
      </c>
    </row>
    <row r="85" spans="1:18" ht="14.45">
      <c r="A85" s="106" t="b">
        <v>0</v>
      </c>
      <c r="B85" t="str" cm="1">
        <f t="array" ref="B85">_xlfn.SINGLE(_xlfn._xlws.FILTER(t_ServiceCatalogue[Onwer],t_ServiceCatalogue[Category]=t_fac25_requirements[[#This Row],[Category]],""))</f>
        <v>NW</v>
      </c>
      <c r="C85" t="s">
        <v>198</v>
      </c>
      <c r="D85" t="str">
        <f>_xlfn._xlws.FILTER(t_Contact[FA Name],t_Contact[FA]=t_fac25_requirements[[#This Row],[FA]],"")</f>
        <v>Venue Management</v>
      </c>
      <c r="E85" s="43">
        <v>974</v>
      </c>
      <c r="F85" t="s">
        <v>325</v>
      </c>
      <c r="G85" t="s">
        <v>326</v>
      </c>
      <c r="H85" t="s">
        <v>52</v>
      </c>
      <c r="I85" s="28" t="s">
        <v>53</v>
      </c>
      <c r="J85" s="28" t="s">
        <v>370</v>
      </c>
      <c r="K85" s="29"/>
      <c r="L85" s="29">
        <v>1</v>
      </c>
      <c r="M85" s="30">
        <v>45901</v>
      </c>
      <c r="N85" s="30">
        <v>46022</v>
      </c>
      <c r="O85" s="43" t="s">
        <v>54</v>
      </c>
      <c r="P85" s="55" t="s">
        <v>87</v>
      </c>
      <c r="Q85" t="s">
        <v>726</v>
      </c>
      <c r="R85" t="s">
        <v>727</v>
      </c>
    </row>
    <row r="86" spans="1:18" ht="14.45">
      <c r="A86" s="106" t="b">
        <v>0</v>
      </c>
      <c r="B86" t="str" cm="1">
        <f t="array" ref="B86">_xlfn.SINGLE(_xlfn._xlws.FILTER(t_ServiceCatalogue[Onwer],t_ServiceCatalogue[Category]=t_fac25_requirements[[#This Row],[Category]],""))</f>
        <v>NW</v>
      </c>
      <c r="C86" t="s">
        <v>198</v>
      </c>
      <c r="D86" t="str">
        <f>_xlfn._xlws.FILTER(t_Contact[FA Name],t_Contact[FA]=t_fac25_requirements[[#This Row],[FA]],"")</f>
        <v>Venue Management</v>
      </c>
      <c r="E86" s="28" t="s">
        <v>212</v>
      </c>
      <c r="F86" s="28" t="s">
        <v>305</v>
      </c>
      <c r="G86" s="28" t="s">
        <v>311</v>
      </c>
      <c r="H86" s="28" t="s">
        <v>52</v>
      </c>
      <c r="I86" s="28" t="s">
        <v>53</v>
      </c>
      <c r="J86" s="28" t="s">
        <v>370</v>
      </c>
      <c r="K86" s="29"/>
      <c r="L86" s="29">
        <v>1</v>
      </c>
      <c r="M86" s="30">
        <v>45901</v>
      </c>
      <c r="N86" s="30">
        <v>46022</v>
      </c>
      <c r="O86" s="43" t="s">
        <v>54</v>
      </c>
      <c r="P86" s="55" t="s">
        <v>692</v>
      </c>
      <c r="Q86" s="28"/>
      <c r="R86" t="s">
        <v>728</v>
      </c>
    </row>
    <row r="87" spans="1:18" ht="14.45">
      <c r="A87" s="106" t="b">
        <v>0</v>
      </c>
      <c r="B87" t="str" cm="1">
        <f t="array" ref="B87">_xlfn.SINGLE(_xlfn._xlws.FILTER(t_ServiceCatalogue[Onwer],t_ServiceCatalogue[Category]=t_fac25_requirements[[#This Row],[Category]],""))</f>
        <v>NW</v>
      </c>
      <c r="C87" t="s">
        <v>198</v>
      </c>
      <c r="D87" t="str">
        <f>_xlfn._xlws.FILTER(t_Contact[FA Name],t_Contact[FA]=t_fac25_requirements[[#This Row],[FA]],"")</f>
        <v>Venue Management</v>
      </c>
      <c r="E87" s="28" t="s">
        <v>212</v>
      </c>
      <c r="F87" s="28" t="s">
        <v>305</v>
      </c>
      <c r="G87" s="28" t="s">
        <v>323</v>
      </c>
      <c r="H87" s="28" t="s">
        <v>52</v>
      </c>
      <c r="I87" s="28" t="s">
        <v>53</v>
      </c>
      <c r="J87" s="28" t="s">
        <v>370</v>
      </c>
      <c r="K87" s="29"/>
      <c r="L87" s="29">
        <v>1</v>
      </c>
      <c r="M87" s="30">
        <v>45901</v>
      </c>
      <c r="N87" s="30">
        <v>46022</v>
      </c>
      <c r="O87" s="43" t="s">
        <v>54</v>
      </c>
      <c r="P87" s="55" t="s">
        <v>692</v>
      </c>
      <c r="Q87" s="28"/>
      <c r="R87" t="s">
        <v>729</v>
      </c>
    </row>
    <row r="88" spans="1:18" ht="14.45">
      <c r="A88" s="106" t="b">
        <v>0</v>
      </c>
      <c r="B88" t="str" cm="1">
        <f t="array" ref="B88">_xlfn.SINGLE(_xlfn._xlws.FILTER(t_ServiceCatalogue[Onwer],t_ServiceCatalogue[Category]=t_fac25_requirements[[#This Row],[Category]],""))</f>
        <v>NW</v>
      </c>
      <c r="C88" t="s">
        <v>198</v>
      </c>
      <c r="D88" t="str">
        <f>_xlfn._xlws.FILTER(t_Contact[FA Name],t_Contact[FA]=t_fac25_requirements[[#This Row],[FA]],"")</f>
        <v>Venue Management</v>
      </c>
      <c r="E88" s="28" t="s">
        <v>212</v>
      </c>
      <c r="F88" s="28" t="s">
        <v>296</v>
      </c>
      <c r="G88" s="28" t="s">
        <v>299</v>
      </c>
      <c r="H88" s="28" t="s">
        <v>52</v>
      </c>
      <c r="I88" s="28" t="s">
        <v>53</v>
      </c>
      <c r="J88" s="28" t="s">
        <v>370</v>
      </c>
      <c r="K88" s="29"/>
      <c r="L88" s="29">
        <v>1</v>
      </c>
      <c r="M88" s="30">
        <v>45901</v>
      </c>
      <c r="N88" s="30">
        <v>46022</v>
      </c>
      <c r="O88" s="43" t="s">
        <v>54</v>
      </c>
      <c r="P88" s="55" t="s">
        <v>695</v>
      </c>
      <c r="Q88" s="62"/>
      <c r="R88" t="s">
        <v>730</v>
      </c>
    </row>
    <row r="89" spans="1:18" ht="14.45">
      <c r="A89" s="106" t="b">
        <v>0</v>
      </c>
      <c r="B89" t="str" cm="1">
        <f t="array" ref="B89">_xlfn.SINGLE(_xlfn._xlws.FILTER(t_ServiceCatalogue[Onwer],t_ServiceCatalogue[Category]=t_fac25_requirements[[#This Row],[Category]],""))</f>
        <v>AV</v>
      </c>
      <c r="C89" t="s">
        <v>198</v>
      </c>
      <c r="D89" t="str">
        <f>_xlfn._xlws.FILTER(t_Contact[FA Name],t_Contact[FA]=t_fac25_requirements[[#This Row],[FA]],"")</f>
        <v>Venue Management</v>
      </c>
      <c r="E89" s="28" t="s">
        <v>212</v>
      </c>
      <c r="F89" s="28" t="s">
        <v>288</v>
      </c>
      <c r="G89" s="28" t="s">
        <v>290</v>
      </c>
      <c r="H89" s="28" t="s">
        <v>58</v>
      </c>
      <c r="I89" s="28" t="s">
        <v>59</v>
      </c>
      <c r="J89" s="28" t="s">
        <v>407</v>
      </c>
      <c r="K89" s="29"/>
      <c r="L89" s="29">
        <v>1</v>
      </c>
      <c r="M89" s="30">
        <v>45984</v>
      </c>
      <c r="N89" s="30">
        <v>46009</v>
      </c>
      <c r="O89" s="43" t="s">
        <v>60</v>
      </c>
      <c r="P89" s="55" t="s">
        <v>408</v>
      </c>
      <c r="Q89" s="28"/>
      <c r="R89" t="s">
        <v>731</v>
      </c>
    </row>
    <row r="90" spans="1:18" ht="14.45">
      <c r="A90" s="106" t="b">
        <v>0</v>
      </c>
      <c r="B90" t="str" cm="1">
        <f t="array" ref="B90">_xlfn.SINGLE(_xlfn._xlws.FILTER(t_ServiceCatalogue[Onwer],t_ServiceCatalogue[Category]=t_fac25_requirements[[#This Row],[Category]],""))</f>
        <v>AV</v>
      </c>
      <c r="C90" t="s">
        <v>198</v>
      </c>
      <c r="D90" t="str">
        <f>_xlfn._xlws.FILTER(t_Contact[FA Name],t_Contact[FA]=t_fac25_requirements[[#This Row],[FA]],"")</f>
        <v>Venue Management</v>
      </c>
      <c r="E90" s="28" t="s">
        <v>212</v>
      </c>
      <c r="F90" s="28" t="s">
        <v>288</v>
      </c>
      <c r="G90" s="28" t="s">
        <v>272</v>
      </c>
      <c r="H90" s="28" t="s">
        <v>110</v>
      </c>
      <c r="I90" s="28" t="s">
        <v>111</v>
      </c>
      <c r="J90" s="28" t="s">
        <v>370</v>
      </c>
      <c r="K90" s="29"/>
      <c r="L90" s="29">
        <v>1</v>
      </c>
      <c r="M90" s="30">
        <v>45901</v>
      </c>
      <c r="N90" s="30">
        <v>46012</v>
      </c>
      <c r="O90" s="43" t="s">
        <v>112</v>
      </c>
      <c r="P90" s="63" t="s">
        <v>87</v>
      </c>
      <c r="Q90" s="28" t="s">
        <v>698</v>
      </c>
      <c r="R90" t="s">
        <v>732</v>
      </c>
    </row>
    <row r="91" spans="1:18" ht="14.45">
      <c r="A91" s="106" t="b">
        <v>1</v>
      </c>
      <c r="B91" t="str" cm="1">
        <f t="array" ref="B91">_xlfn.SINGLE(_xlfn._xlws.FILTER(t_ServiceCatalogue[Onwer],t_ServiceCatalogue[Category]=t_fac25_requirements[[#This Row],[Category]],""))</f>
        <v>EU</v>
      </c>
      <c r="C91" t="s">
        <v>198</v>
      </c>
      <c r="D91" t="str">
        <f>_xlfn._xlws.FILTER(t_Contact[FA Name],t_Contact[FA]=t_fac25_requirements[[#This Row],[FA]],"")</f>
        <v>Venue Management</v>
      </c>
      <c r="E91" s="28" t="s">
        <v>212</v>
      </c>
      <c r="F91" s="28" t="s">
        <v>305</v>
      </c>
      <c r="G91" s="28" t="s">
        <v>311</v>
      </c>
      <c r="H91" s="28" t="s">
        <v>22</v>
      </c>
      <c r="I91" s="28" t="s">
        <v>28</v>
      </c>
      <c r="J91" s="28" t="s">
        <v>370</v>
      </c>
      <c r="K91" s="29"/>
      <c r="L91" s="29">
        <v>1</v>
      </c>
      <c r="M91" s="30">
        <v>45962</v>
      </c>
      <c r="N91" s="30">
        <v>46012</v>
      </c>
      <c r="O91" s="43" t="s">
        <v>29</v>
      </c>
      <c r="P91" s="63" t="s">
        <v>87</v>
      </c>
      <c r="Q91" s="28" t="s">
        <v>700</v>
      </c>
      <c r="R91" t="s">
        <v>733</v>
      </c>
    </row>
    <row r="92" spans="1:18" ht="14.45">
      <c r="A92" s="106" t="b">
        <v>1</v>
      </c>
      <c r="B92" t="str" cm="1">
        <f t="array" ref="B92">_xlfn.SINGLE(_xlfn._xlws.FILTER(t_ServiceCatalogue[Onwer],t_ServiceCatalogue[Category]=t_fac25_requirements[[#This Row],[Category]],""))</f>
        <v>EU</v>
      </c>
      <c r="C92" t="s">
        <v>198</v>
      </c>
      <c r="D92" t="str">
        <f>_xlfn._xlws.FILTER(t_Contact[FA Name],t_Contact[FA]=t_fac25_requirements[[#This Row],[FA]],"")</f>
        <v>Venue Management</v>
      </c>
      <c r="E92" s="28" t="s">
        <v>212</v>
      </c>
      <c r="F92" s="28" t="s">
        <v>305</v>
      </c>
      <c r="G92" s="28" t="s">
        <v>323</v>
      </c>
      <c r="H92" s="28" t="s">
        <v>22</v>
      </c>
      <c r="I92" s="28" t="s">
        <v>28</v>
      </c>
      <c r="J92" s="28" t="s">
        <v>370</v>
      </c>
      <c r="K92" s="29"/>
      <c r="L92" s="29">
        <v>1</v>
      </c>
      <c r="M92" s="30">
        <v>45962</v>
      </c>
      <c r="N92" s="30">
        <v>46012</v>
      </c>
      <c r="O92" s="43" t="s">
        <v>29</v>
      </c>
      <c r="P92" s="63" t="s">
        <v>87</v>
      </c>
      <c r="Q92" s="28" t="s">
        <v>702</v>
      </c>
      <c r="R92" t="s">
        <v>734</v>
      </c>
    </row>
    <row r="93" spans="1:18" ht="14.45">
      <c r="A93" s="106" t="b">
        <v>0</v>
      </c>
      <c r="B93" t="str" cm="1">
        <f t="array" ref="B93">_xlfn.SINGLE(_xlfn._xlws.FILTER(t_ServiceCatalogue[Onwer],t_ServiceCatalogue[Category]=t_fac25_requirements[[#This Row],[Category]],""))</f>
        <v>NW</v>
      </c>
      <c r="C93" t="s">
        <v>198</v>
      </c>
      <c r="D93" t="str">
        <f>_xlfn._xlws.FILTER(t_Contact[FA Name],t_Contact[FA]=t_fac25_requirements[[#This Row],[FA]],"")</f>
        <v>Venue Management</v>
      </c>
      <c r="E93" s="28" t="s">
        <v>213</v>
      </c>
      <c r="F93" s="28" t="s">
        <v>305</v>
      </c>
      <c r="G93" s="28" t="s">
        <v>311</v>
      </c>
      <c r="H93" s="28" t="s">
        <v>52</v>
      </c>
      <c r="I93" s="28" t="s">
        <v>53</v>
      </c>
      <c r="J93" s="28" t="s">
        <v>370</v>
      </c>
      <c r="K93" s="29"/>
      <c r="L93" s="29">
        <v>1</v>
      </c>
      <c r="M93" s="30">
        <v>45901</v>
      </c>
      <c r="N93" s="30">
        <v>46022</v>
      </c>
      <c r="O93" s="43" t="s">
        <v>54</v>
      </c>
      <c r="P93" s="55" t="s">
        <v>692</v>
      </c>
      <c r="Q93" s="28"/>
      <c r="R93" t="s">
        <v>735</v>
      </c>
    </row>
    <row r="94" spans="1:18" ht="14.45">
      <c r="A94" s="106" t="b">
        <v>0</v>
      </c>
      <c r="B94" t="str" cm="1">
        <f t="array" ref="B94">_xlfn.SINGLE(_xlfn._xlws.FILTER(t_ServiceCatalogue[Onwer],t_ServiceCatalogue[Category]=t_fac25_requirements[[#This Row],[Category]],""))</f>
        <v>NW</v>
      </c>
      <c r="C94" t="s">
        <v>198</v>
      </c>
      <c r="D94" t="str">
        <f>_xlfn._xlws.FILTER(t_Contact[FA Name],t_Contact[FA]=t_fac25_requirements[[#This Row],[FA]],"")</f>
        <v>Venue Management</v>
      </c>
      <c r="E94" s="28" t="s">
        <v>213</v>
      </c>
      <c r="F94" s="28" t="s">
        <v>305</v>
      </c>
      <c r="G94" s="28" t="s">
        <v>323</v>
      </c>
      <c r="H94" s="28" t="s">
        <v>52</v>
      </c>
      <c r="I94" s="28" t="s">
        <v>53</v>
      </c>
      <c r="J94" s="28" t="s">
        <v>370</v>
      </c>
      <c r="K94" s="29"/>
      <c r="L94" s="29">
        <v>1</v>
      </c>
      <c r="M94" s="30">
        <v>45901</v>
      </c>
      <c r="N94" s="30">
        <v>46022</v>
      </c>
      <c r="O94" s="43" t="s">
        <v>54</v>
      </c>
      <c r="P94" s="55" t="s">
        <v>692</v>
      </c>
      <c r="Q94" s="28"/>
      <c r="R94" t="s">
        <v>736</v>
      </c>
    </row>
    <row r="95" spans="1:18" ht="14.45">
      <c r="A95" s="106" t="b">
        <v>0</v>
      </c>
      <c r="B95" t="str" cm="1">
        <f t="array" ref="B95">_xlfn.SINGLE(_xlfn._xlws.FILTER(t_ServiceCatalogue[Onwer],t_ServiceCatalogue[Category]=t_fac25_requirements[[#This Row],[Category]],""))</f>
        <v>NW</v>
      </c>
      <c r="C95" t="s">
        <v>198</v>
      </c>
      <c r="D95" t="str">
        <f>_xlfn._xlws.FILTER(t_Contact[FA Name],t_Contact[FA]=t_fac25_requirements[[#This Row],[FA]],"")</f>
        <v>Venue Management</v>
      </c>
      <c r="E95" s="28" t="s">
        <v>213</v>
      </c>
      <c r="F95" s="28" t="s">
        <v>296</v>
      </c>
      <c r="G95" s="28" t="s">
        <v>299</v>
      </c>
      <c r="H95" s="28" t="s">
        <v>52</v>
      </c>
      <c r="I95" s="28" t="s">
        <v>53</v>
      </c>
      <c r="J95" s="28" t="s">
        <v>370</v>
      </c>
      <c r="K95" s="29"/>
      <c r="L95" s="29">
        <v>1</v>
      </c>
      <c r="M95" s="30">
        <v>45901</v>
      </c>
      <c r="N95" s="30">
        <v>46022</v>
      </c>
      <c r="O95" s="43" t="s">
        <v>54</v>
      </c>
      <c r="P95" s="55" t="s">
        <v>695</v>
      </c>
      <c r="Q95" s="28"/>
      <c r="R95" t="s">
        <v>737</v>
      </c>
    </row>
    <row r="96" spans="1:18" ht="14.45">
      <c r="A96" s="106" t="b">
        <v>0</v>
      </c>
      <c r="B96" t="str" cm="1">
        <f t="array" ref="B96">_xlfn.SINGLE(_xlfn._xlws.FILTER(t_ServiceCatalogue[Onwer],t_ServiceCatalogue[Category]=t_fac25_requirements[[#This Row],[Category]],""))</f>
        <v>AV</v>
      </c>
      <c r="C96" t="s">
        <v>198</v>
      </c>
      <c r="D96" t="str">
        <f>_xlfn._xlws.FILTER(t_Contact[FA Name],t_Contact[FA]=t_fac25_requirements[[#This Row],[FA]],"")</f>
        <v>Venue Management</v>
      </c>
      <c r="E96" s="28" t="s">
        <v>213</v>
      </c>
      <c r="F96" s="28" t="s">
        <v>288</v>
      </c>
      <c r="G96" s="28" t="s">
        <v>290</v>
      </c>
      <c r="H96" s="28" t="s">
        <v>58</v>
      </c>
      <c r="I96" s="28" t="s">
        <v>59</v>
      </c>
      <c r="J96" s="28" t="s">
        <v>407</v>
      </c>
      <c r="K96" s="29"/>
      <c r="L96" s="29">
        <v>1</v>
      </c>
      <c r="M96" s="30">
        <v>45984</v>
      </c>
      <c r="N96" s="30">
        <v>46009</v>
      </c>
      <c r="O96" s="43" t="s">
        <v>60</v>
      </c>
      <c r="P96" s="55" t="s">
        <v>408</v>
      </c>
      <c r="Q96" s="28"/>
      <c r="R96" t="s">
        <v>738</v>
      </c>
    </row>
    <row r="97" spans="1:18" ht="14.45">
      <c r="A97" s="106" t="b">
        <v>0</v>
      </c>
      <c r="B97" t="str" cm="1">
        <f t="array" ref="B97">_xlfn.SINGLE(_xlfn._xlws.FILTER(t_ServiceCatalogue[Onwer],t_ServiceCatalogue[Category]=t_fac25_requirements[[#This Row],[Category]],""))</f>
        <v>AV</v>
      </c>
      <c r="C97" t="s">
        <v>198</v>
      </c>
      <c r="D97" t="str">
        <f>_xlfn._xlws.FILTER(t_Contact[FA Name],t_Contact[FA]=t_fac25_requirements[[#This Row],[FA]],"")</f>
        <v>Venue Management</v>
      </c>
      <c r="E97" s="28" t="s">
        <v>213</v>
      </c>
      <c r="F97" s="28" t="s">
        <v>288</v>
      </c>
      <c r="G97" s="28" t="s">
        <v>272</v>
      </c>
      <c r="H97" s="28" t="s">
        <v>110</v>
      </c>
      <c r="I97" s="28" t="s">
        <v>111</v>
      </c>
      <c r="J97" s="28" t="s">
        <v>370</v>
      </c>
      <c r="K97" s="29"/>
      <c r="L97" s="29">
        <v>1</v>
      </c>
      <c r="M97" s="30">
        <v>45901</v>
      </c>
      <c r="N97" s="30">
        <v>46012</v>
      </c>
      <c r="O97" s="43" t="s">
        <v>112</v>
      </c>
      <c r="P97" s="63" t="s">
        <v>87</v>
      </c>
      <c r="Q97" s="28" t="s">
        <v>698</v>
      </c>
      <c r="R97" t="s">
        <v>739</v>
      </c>
    </row>
    <row r="98" spans="1:18" ht="14.45">
      <c r="A98" s="106" t="b">
        <v>1</v>
      </c>
      <c r="B98" t="str" cm="1">
        <f t="array" ref="B98">_xlfn.SINGLE(_xlfn._xlws.FILTER(t_ServiceCatalogue[Onwer],t_ServiceCatalogue[Category]=t_fac25_requirements[[#This Row],[Category]],""))</f>
        <v>EU</v>
      </c>
      <c r="C98" t="s">
        <v>198</v>
      </c>
      <c r="D98" t="str">
        <f>_xlfn._xlws.FILTER(t_Contact[FA Name],t_Contact[FA]=t_fac25_requirements[[#This Row],[FA]],"")</f>
        <v>Venue Management</v>
      </c>
      <c r="E98" s="28" t="s">
        <v>213</v>
      </c>
      <c r="F98" s="28" t="s">
        <v>305</v>
      </c>
      <c r="G98" s="28" t="s">
        <v>311</v>
      </c>
      <c r="H98" s="28" t="s">
        <v>22</v>
      </c>
      <c r="I98" s="28" t="s">
        <v>28</v>
      </c>
      <c r="J98" s="28" t="s">
        <v>370</v>
      </c>
      <c r="K98" s="29"/>
      <c r="L98" s="29">
        <v>1</v>
      </c>
      <c r="M98" s="30">
        <v>45962</v>
      </c>
      <c r="N98" s="30">
        <v>46012</v>
      </c>
      <c r="O98" s="43" t="s">
        <v>29</v>
      </c>
      <c r="P98" s="63" t="s">
        <v>87</v>
      </c>
      <c r="Q98" s="28" t="s">
        <v>700</v>
      </c>
      <c r="R98" t="s">
        <v>740</v>
      </c>
    </row>
    <row r="99" spans="1:18" ht="14.45">
      <c r="A99" s="106" t="b">
        <v>1</v>
      </c>
      <c r="B99" t="str" cm="1">
        <f t="array" ref="B99">_xlfn.SINGLE(_xlfn._xlws.FILTER(t_ServiceCatalogue[Onwer],t_ServiceCatalogue[Category]=t_fac25_requirements[[#This Row],[Category]],""))</f>
        <v>EU</v>
      </c>
      <c r="C99" t="s">
        <v>198</v>
      </c>
      <c r="D99" t="str">
        <f>_xlfn._xlws.FILTER(t_Contact[FA Name],t_Contact[FA]=t_fac25_requirements[[#This Row],[FA]],"")</f>
        <v>Venue Management</v>
      </c>
      <c r="E99" s="28" t="s">
        <v>213</v>
      </c>
      <c r="F99" s="28" t="s">
        <v>305</v>
      </c>
      <c r="G99" s="28" t="s">
        <v>323</v>
      </c>
      <c r="H99" s="28" t="s">
        <v>22</v>
      </c>
      <c r="I99" s="28" t="s">
        <v>28</v>
      </c>
      <c r="J99" s="28" t="s">
        <v>370</v>
      </c>
      <c r="K99" s="29"/>
      <c r="L99" s="29">
        <v>1</v>
      </c>
      <c r="M99" s="30">
        <v>45962</v>
      </c>
      <c r="N99" s="30">
        <v>46012</v>
      </c>
      <c r="O99" s="43" t="s">
        <v>29</v>
      </c>
      <c r="P99" s="63" t="s">
        <v>87</v>
      </c>
      <c r="Q99" s="28" t="s">
        <v>702</v>
      </c>
      <c r="R99" t="s">
        <v>741</v>
      </c>
    </row>
    <row r="100" spans="1:18" ht="14.45">
      <c r="A100" s="106" t="b">
        <v>1</v>
      </c>
      <c r="B100" t="str" cm="1">
        <f t="array" ref="B100">_xlfn.SINGLE(_xlfn._xlws.FILTER(t_ServiceCatalogue[Onwer],t_ServiceCatalogue[Category]=t_fac25_requirements[[#This Row],[Category]],""))</f>
        <v>NW</v>
      </c>
      <c r="C100" t="s">
        <v>198</v>
      </c>
      <c r="D100" t="str">
        <f>_xlfn._xlws.FILTER(t_Contact[FA Name],t_Contact[FA]=t_fac25_requirements[[#This Row],[FA]],"")</f>
        <v>Venue Management</v>
      </c>
      <c r="E100" s="28" t="s">
        <v>19</v>
      </c>
      <c r="F100" s="28" t="s">
        <v>345</v>
      </c>
      <c r="G100" s="28" t="s">
        <v>742</v>
      </c>
      <c r="H100" s="28" t="s">
        <v>52</v>
      </c>
      <c r="I100" s="28" t="s">
        <v>53</v>
      </c>
      <c r="J100" s="28" t="s">
        <v>370</v>
      </c>
      <c r="K100" s="29"/>
      <c r="L100" s="29">
        <v>1</v>
      </c>
      <c r="M100" s="30">
        <v>45975</v>
      </c>
      <c r="N100" s="30">
        <v>46012</v>
      </c>
      <c r="O100" s="43" t="s">
        <v>54</v>
      </c>
      <c r="P100" s="63" t="s">
        <v>87</v>
      </c>
      <c r="Q100" s="28" t="s">
        <v>743</v>
      </c>
      <c r="R100" t="s">
        <v>744</v>
      </c>
    </row>
    <row r="101" spans="1:18" ht="14.45">
      <c r="A101" s="106" t="b">
        <v>1</v>
      </c>
      <c r="B101" t="str" cm="1">
        <f t="array" ref="B101">_xlfn.SINGLE(_xlfn._xlws.FILTER(t_ServiceCatalogue[Onwer],t_ServiceCatalogue[Category]=t_fac25_requirements[[#This Row],[Category]],""))</f>
        <v>NW</v>
      </c>
      <c r="C101" t="s">
        <v>198</v>
      </c>
      <c r="D101" t="str">
        <f>_xlfn._xlws.FILTER(t_Contact[FA Name],t_Contact[FA]=t_fac25_requirements[[#This Row],[FA]],"")</f>
        <v>Venue Management</v>
      </c>
      <c r="E101" t="s">
        <v>19</v>
      </c>
      <c r="F101" s="28" t="s">
        <v>345</v>
      </c>
      <c r="G101" t="s">
        <v>311</v>
      </c>
      <c r="H101" t="s">
        <v>52</v>
      </c>
      <c r="I101" s="28" t="s">
        <v>53</v>
      </c>
      <c r="J101" s="28" t="s">
        <v>370</v>
      </c>
      <c r="K101" s="29"/>
      <c r="L101" s="29">
        <v>1</v>
      </c>
      <c r="M101" s="30">
        <v>45975</v>
      </c>
      <c r="N101" s="30">
        <v>46012</v>
      </c>
      <c r="O101" s="43" t="s">
        <v>54</v>
      </c>
      <c r="P101" s="63" t="s">
        <v>87</v>
      </c>
      <c r="R101" t="s">
        <v>745</v>
      </c>
    </row>
    <row r="102" spans="1:18" ht="14.45">
      <c r="A102" s="106" t="b">
        <v>1</v>
      </c>
      <c r="B102" t="str" cm="1">
        <f t="array" ref="B102">_xlfn.SINGLE(_xlfn._xlws.FILTER(t_ServiceCatalogue[Onwer],t_ServiceCatalogue[Category]=t_fac25_requirements[[#This Row],[Category]],""))</f>
        <v>AV</v>
      </c>
      <c r="C102" t="s">
        <v>198</v>
      </c>
      <c r="D102" t="str">
        <f>_xlfn._xlws.FILTER(t_Contact[FA Name],t_Contact[FA]=t_fac25_requirements[[#This Row],[FA]],"")</f>
        <v>Venue Management</v>
      </c>
      <c r="E102" t="s">
        <v>19</v>
      </c>
      <c r="F102" s="28" t="s">
        <v>345</v>
      </c>
      <c r="G102" t="s">
        <v>311</v>
      </c>
      <c r="H102" t="s">
        <v>58</v>
      </c>
      <c r="I102" s="28" t="s">
        <v>59</v>
      </c>
      <c r="J102" s="28" t="s">
        <v>370</v>
      </c>
      <c r="K102" s="29"/>
      <c r="L102" s="29">
        <v>1</v>
      </c>
      <c r="M102" s="30">
        <v>45975</v>
      </c>
      <c r="N102" s="30">
        <v>46012</v>
      </c>
      <c r="O102" s="43" t="s">
        <v>112</v>
      </c>
      <c r="P102" s="63" t="s">
        <v>87</v>
      </c>
      <c r="Q102" t="s">
        <v>743</v>
      </c>
      <c r="R102" t="s">
        <v>746</v>
      </c>
    </row>
    <row r="103" spans="1:18" ht="14.45">
      <c r="A103" s="106" t="b">
        <v>1</v>
      </c>
      <c r="B103" t="str" cm="1">
        <f t="array" ref="B103">_xlfn.SINGLE(_xlfn._xlws.FILTER(t_ServiceCatalogue[Onwer],t_ServiceCatalogue[Category]=t_fac25_requirements[[#This Row],[Category]],""))</f>
        <v>EU</v>
      </c>
      <c r="C103" t="s">
        <v>198</v>
      </c>
      <c r="D103" t="str">
        <f>_xlfn._xlws.FILTER(t_Contact[FA Name],t_Contact[FA]=t_fac25_requirements[[#This Row],[FA]],"")</f>
        <v>Venue Management</v>
      </c>
      <c r="E103" t="s">
        <v>19</v>
      </c>
      <c r="F103" s="28" t="s">
        <v>345</v>
      </c>
      <c r="G103" t="s">
        <v>311</v>
      </c>
      <c r="H103" t="s">
        <v>22</v>
      </c>
      <c r="I103" s="28" t="s">
        <v>28</v>
      </c>
      <c r="J103" s="28" t="s">
        <v>370</v>
      </c>
      <c r="K103" s="29"/>
      <c r="L103" s="29">
        <v>1</v>
      </c>
      <c r="M103" s="30">
        <v>45975</v>
      </c>
      <c r="N103" s="30">
        <v>46012</v>
      </c>
      <c r="O103" s="43" t="s">
        <v>29</v>
      </c>
      <c r="P103" s="63" t="s">
        <v>87</v>
      </c>
      <c r="Q103" t="s">
        <v>747</v>
      </c>
      <c r="R103" t="s">
        <v>748</v>
      </c>
    </row>
    <row r="104" spans="1:18" ht="14.45">
      <c r="A104" s="106" t="b">
        <v>1</v>
      </c>
      <c r="B104" t="str" cm="1">
        <f t="array" ref="B104">_xlfn.SINGLE(_xlfn._xlws.FILTER(t_ServiceCatalogue[Onwer],t_ServiceCatalogue[Category]=t_fac25_requirements[[#This Row],[Category]],""))</f>
        <v>AV</v>
      </c>
      <c r="C104" t="s">
        <v>198</v>
      </c>
      <c r="D104" t="str">
        <f>_xlfn._xlws.FILTER(t_Contact[FA Name],t_Contact[FA]=t_fac25_requirements[[#This Row],[FA]],"")</f>
        <v>Venue Management</v>
      </c>
      <c r="E104" t="s">
        <v>19</v>
      </c>
      <c r="F104" s="28" t="s">
        <v>345</v>
      </c>
      <c r="G104" t="s">
        <v>364</v>
      </c>
      <c r="H104" t="s">
        <v>58</v>
      </c>
      <c r="I104" s="28" t="s">
        <v>59</v>
      </c>
      <c r="J104" s="28" t="s">
        <v>370</v>
      </c>
      <c r="K104" s="29"/>
      <c r="L104" s="29">
        <v>1</v>
      </c>
      <c r="M104" s="30">
        <v>45975</v>
      </c>
      <c r="N104" s="30">
        <v>46012</v>
      </c>
      <c r="O104" s="43" t="s">
        <v>60</v>
      </c>
      <c r="P104" s="63" t="s">
        <v>87</v>
      </c>
      <c r="R104" t="s">
        <v>749</v>
      </c>
    </row>
    <row r="105" spans="1:18" ht="14.45">
      <c r="A105" s="106" t="b">
        <v>1</v>
      </c>
      <c r="B105" t="str" cm="1">
        <f t="array" ref="B105">_xlfn.SINGLE(_xlfn._xlws.FILTER(t_ServiceCatalogue[Onwer],t_ServiceCatalogue[Category]=t_fac25_requirements[[#This Row],[Category]],""))</f>
        <v>EU</v>
      </c>
      <c r="C105" t="s">
        <v>189</v>
      </c>
      <c r="D105" t="str">
        <f>_xlfn._xlws.FILTER(t_Contact[FA Name],t_Contact[FA]=t_fac25_requirements[[#This Row],[FA]],"")</f>
        <v>Catering</v>
      </c>
      <c r="E105" t="s">
        <v>214</v>
      </c>
      <c r="F105" t="s">
        <v>288</v>
      </c>
      <c r="G105" t="s">
        <v>452</v>
      </c>
      <c r="H105" t="s">
        <v>32</v>
      </c>
      <c r="I105" s="28" t="s">
        <v>33</v>
      </c>
      <c r="J105" s="28" t="s">
        <v>370</v>
      </c>
      <c r="K105" s="29">
        <v>3</v>
      </c>
      <c r="L105" s="29">
        <v>2</v>
      </c>
      <c r="M105" s="30">
        <v>45962</v>
      </c>
      <c r="N105" s="30">
        <v>46009</v>
      </c>
      <c r="O105" s="43" t="s">
        <v>34</v>
      </c>
      <c r="P105" s="55" t="s">
        <v>750</v>
      </c>
      <c r="Q105" t="s">
        <v>639</v>
      </c>
      <c r="R105" t="s">
        <v>751</v>
      </c>
    </row>
    <row r="106" spans="1:18" ht="14.45">
      <c r="A106" s="106" t="b">
        <v>1</v>
      </c>
      <c r="B106" t="str" cm="1">
        <f t="array" ref="B106">_xlfn.SINGLE(_xlfn._xlws.FILTER(t_ServiceCatalogue[Onwer],t_ServiceCatalogue[Category]=t_fac25_requirements[[#This Row],[Category]],""))</f>
        <v>EU</v>
      </c>
      <c r="C106" t="s">
        <v>189</v>
      </c>
      <c r="D106" t="str">
        <f>_xlfn._xlws.FILTER(t_Contact[FA Name],t_Contact[FA]=t_fac25_requirements[[#This Row],[FA]],"")</f>
        <v>Catering</v>
      </c>
      <c r="E106" t="s">
        <v>214</v>
      </c>
      <c r="F106" t="s">
        <v>288</v>
      </c>
      <c r="G106" t="s">
        <v>452</v>
      </c>
      <c r="H106" t="s">
        <v>32</v>
      </c>
      <c r="I106" s="28" t="s">
        <v>37</v>
      </c>
      <c r="J106" s="28" t="s">
        <v>370</v>
      </c>
      <c r="K106" s="29">
        <v>3</v>
      </c>
      <c r="L106" s="29">
        <v>2</v>
      </c>
      <c r="M106" s="30">
        <v>45962</v>
      </c>
      <c r="N106" s="30">
        <v>46009</v>
      </c>
      <c r="O106" s="43" t="s">
        <v>38</v>
      </c>
      <c r="P106" s="55" t="s">
        <v>750</v>
      </c>
      <c r="Q106" t="s">
        <v>639</v>
      </c>
      <c r="R106" t="s">
        <v>752</v>
      </c>
    </row>
    <row r="107" spans="1:18" ht="14.45">
      <c r="A107" s="106" t="b">
        <v>1</v>
      </c>
      <c r="B107" t="str" cm="1">
        <f t="array" ref="B107">_xlfn.SINGLE(_xlfn._xlws.FILTER(t_ServiceCatalogue[Onwer],t_ServiceCatalogue[Category]=t_fac25_requirements[[#This Row],[Category]],""))</f>
        <v>EU</v>
      </c>
      <c r="C107" t="s">
        <v>189</v>
      </c>
      <c r="D107" t="str">
        <f>_xlfn._xlws.FILTER(t_Contact[FA Name],t_Contact[FA]=t_fac25_requirements[[#This Row],[FA]],"")</f>
        <v>Catering</v>
      </c>
      <c r="E107" t="s">
        <v>214</v>
      </c>
      <c r="F107" t="s">
        <v>288</v>
      </c>
      <c r="G107" t="s">
        <v>432</v>
      </c>
      <c r="H107" t="s">
        <v>32</v>
      </c>
      <c r="I107" s="28" t="s">
        <v>33</v>
      </c>
      <c r="J107" s="28" t="s">
        <v>637</v>
      </c>
      <c r="K107" s="29">
        <v>3</v>
      </c>
      <c r="L107" s="29">
        <v>0</v>
      </c>
      <c r="M107" s="30">
        <v>45962</v>
      </c>
      <c r="N107" s="30">
        <v>46009</v>
      </c>
      <c r="O107" s="43" t="s">
        <v>34</v>
      </c>
      <c r="P107" s="55" t="s">
        <v>638</v>
      </c>
      <c r="Q107" t="s">
        <v>639</v>
      </c>
      <c r="R107" t="s">
        <v>753</v>
      </c>
    </row>
    <row r="108" spans="1:18" ht="14.45">
      <c r="A108" s="106" t="b">
        <v>1</v>
      </c>
      <c r="B108" t="str" cm="1">
        <f t="array" ref="B108">_xlfn.SINGLE(_xlfn._xlws.FILTER(t_ServiceCatalogue[Onwer],t_ServiceCatalogue[Category]=t_fac25_requirements[[#This Row],[Category]],""))</f>
        <v>EU</v>
      </c>
      <c r="C108" t="s">
        <v>189</v>
      </c>
      <c r="D108" t="str">
        <f>_xlfn._xlws.FILTER(t_Contact[FA Name],t_Contact[FA]=t_fac25_requirements[[#This Row],[FA]],"")</f>
        <v>Catering</v>
      </c>
      <c r="E108" t="s">
        <v>214</v>
      </c>
      <c r="F108" t="s">
        <v>288</v>
      </c>
      <c r="G108" t="s">
        <v>432</v>
      </c>
      <c r="H108" t="s">
        <v>32</v>
      </c>
      <c r="I108" s="28" t="s">
        <v>37</v>
      </c>
      <c r="J108" s="28" t="s">
        <v>637</v>
      </c>
      <c r="K108" s="29">
        <v>3</v>
      </c>
      <c r="L108" s="29">
        <v>0</v>
      </c>
      <c r="M108" s="30">
        <v>45962</v>
      </c>
      <c r="N108" s="30">
        <v>46009</v>
      </c>
      <c r="O108" s="43" t="s">
        <v>38</v>
      </c>
      <c r="P108" s="55" t="s">
        <v>638</v>
      </c>
      <c r="Q108" t="s">
        <v>639</v>
      </c>
      <c r="R108" t="s">
        <v>754</v>
      </c>
    </row>
    <row r="109" spans="1:18" ht="14.45">
      <c r="A109" s="106" t="b">
        <v>1</v>
      </c>
      <c r="B109" t="str" cm="1">
        <f t="array" ref="B109">_xlfn.SINGLE(_xlfn._xlws.FILTER(t_ServiceCatalogue[Onwer],t_ServiceCatalogue[Category]=t_fac25_requirements[[#This Row],[Category]],""))</f>
        <v>NW</v>
      </c>
      <c r="C109" t="s">
        <v>189</v>
      </c>
      <c r="D109" t="str">
        <f>_xlfn._xlws.FILTER(t_Contact[FA Name],t_Contact[FA]=t_fac25_requirements[[#This Row],[FA]],"")</f>
        <v>Catering</v>
      </c>
      <c r="E109" t="s">
        <v>214</v>
      </c>
      <c r="F109" t="s">
        <v>288</v>
      </c>
      <c r="G109" t="s">
        <v>432</v>
      </c>
      <c r="H109" t="s">
        <v>52</v>
      </c>
      <c r="I109" s="28" t="s">
        <v>53</v>
      </c>
      <c r="J109" s="28" t="s">
        <v>637</v>
      </c>
      <c r="K109" s="29">
        <v>1</v>
      </c>
      <c r="L109" s="29">
        <v>0</v>
      </c>
      <c r="M109" s="30">
        <v>45962</v>
      </c>
      <c r="N109" s="30">
        <v>46009</v>
      </c>
      <c r="O109" s="43" t="s">
        <v>54</v>
      </c>
      <c r="P109" s="55" t="s">
        <v>638</v>
      </c>
      <c r="Q109" t="s">
        <v>755</v>
      </c>
      <c r="R109" t="s">
        <v>756</v>
      </c>
    </row>
    <row r="110" spans="1:18" ht="14.45">
      <c r="A110" s="106" t="b">
        <v>1</v>
      </c>
      <c r="B110" t="str" cm="1">
        <f t="array" ref="B110">_xlfn.SINGLE(_xlfn._xlws.FILTER(t_ServiceCatalogue[Onwer],t_ServiceCatalogue[Category]=t_fac25_requirements[[#This Row],[Category]],""))</f>
        <v>EU</v>
      </c>
      <c r="C110" t="s">
        <v>189</v>
      </c>
      <c r="D110" t="str">
        <f>_xlfn._xlws.FILTER(t_Contact[FA Name],t_Contact[FA]=t_fac25_requirements[[#This Row],[FA]],"")</f>
        <v>Catering</v>
      </c>
      <c r="E110" t="s">
        <v>211</v>
      </c>
      <c r="F110" t="s">
        <v>288</v>
      </c>
      <c r="G110" t="s">
        <v>452</v>
      </c>
      <c r="H110" t="s">
        <v>32</v>
      </c>
      <c r="I110" s="28" t="s">
        <v>33</v>
      </c>
      <c r="J110" s="28" t="s">
        <v>370</v>
      </c>
      <c r="K110" s="29">
        <v>3</v>
      </c>
      <c r="L110" s="29">
        <v>2</v>
      </c>
      <c r="M110" s="30">
        <v>45962</v>
      </c>
      <c r="N110" s="30">
        <v>46009</v>
      </c>
      <c r="O110" s="43" t="s">
        <v>34</v>
      </c>
      <c r="P110" s="55" t="s">
        <v>750</v>
      </c>
      <c r="Q110" t="s">
        <v>639</v>
      </c>
      <c r="R110" t="s">
        <v>757</v>
      </c>
    </row>
    <row r="111" spans="1:18" ht="14.45">
      <c r="A111" s="106" t="b">
        <v>1</v>
      </c>
      <c r="B111" t="str" cm="1">
        <f t="array" ref="B111">_xlfn.SINGLE(_xlfn._xlws.FILTER(t_ServiceCatalogue[Onwer],t_ServiceCatalogue[Category]=t_fac25_requirements[[#This Row],[Category]],""))</f>
        <v>EU</v>
      </c>
      <c r="C111" t="s">
        <v>189</v>
      </c>
      <c r="D111" t="str">
        <f>_xlfn._xlws.FILTER(t_Contact[FA Name],t_Contact[FA]=t_fac25_requirements[[#This Row],[FA]],"")</f>
        <v>Catering</v>
      </c>
      <c r="E111" t="s">
        <v>211</v>
      </c>
      <c r="F111" t="s">
        <v>288</v>
      </c>
      <c r="G111" t="s">
        <v>452</v>
      </c>
      <c r="H111" t="s">
        <v>32</v>
      </c>
      <c r="I111" s="28" t="s">
        <v>37</v>
      </c>
      <c r="J111" s="28" t="s">
        <v>370</v>
      </c>
      <c r="K111" s="29">
        <v>3</v>
      </c>
      <c r="L111" s="29">
        <v>2</v>
      </c>
      <c r="M111" s="30">
        <v>45962</v>
      </c>
      <c r="N111" s="30">
        <v>46009</v>
      </c>
      <c r="O111" s="43" t="s">
        <v>38</v>
      </c>
      <c r="P111" s="55" t="s">
        <v>750</v>
      </c>
      <c r="Q111" t="s">
        <v>639</v>
      </c>
      <c r="R111" t="s">
        <v>758</v>
      </c>
    </row>
    <row r="112" spans="1:18" ht="14.45">
      <c r="A112" s="106" t="b">
        <v>1</v>
      </c>
      <c r="B112" t="str" cm="1">
        <f t="array" ref="B112">_xlfn.SINGLE(_xlfn._xlws.FILTER(t_ServiceCatalogue[Onwer],t_ServiceCatalogue[Category]=t_fac25_requirements[[#This Row],[Category]],""))</f>
        <v>EU</v>
      </c>
      <c r="C112" t="s">
        <v>189</v>
      </c>
      <c r="D112" t="str">
        <f>_xlfn._xlws.FILTER(t_Contact[FA Name],t_Contact[FA]=t_fac25_requirements[[#This Row],[FA]],"")</f>
        <v>Catering</v>
      </c>
      <c r="E112" t="s">
        <v>211</v>
      </c>
      <c r="F112" t="s">
        <v>288</v>
      </c>
      <c r="G112" t="s">
        <v>432</v>
      </c>
      <c r="H112" t="s">
        <v>32</v>
      </c>
      <c r="I112" s="28" t="s">
        <v>33</v>
      </c>
      <c r="J112" s="28" t="s">
        <v>637</v>
      </c>
      <c r="K112" s="29">
        <v>3</v>
      </c>
      <c r="L112" s="29">
        <v>0</v>
      </c>
      <c r="M112" s="30">
        <v>45962</v>
      </c>
      <c r="N112" s="30">
        <v>46009</v>
      </c>
      <c r="O112" s="43" t="s">
        <v>34</v>
      </c>
      <c r="P112" s="55" t="s">
        <v>638</v>
      </c>
      <c r="Q112" t="s">
        <v>639</v>
      </c>
      <c r="R112" t="s">
        <v>759</v>
      </c>
    </row>
    <row r="113" spans="1:18" ht="14.45">
      <c r="A113" s="106" t="b">
        <v>1</v>
      </c>
      <c r="B113" t="str" cm="1">
        <f t="array" ref="B113">_xlfn.SINGLE(_xlfn._xlws.FILTER(t_ServiceCatalogue[Onwer],t_ServiceCatalogue[Category]=t_fac25_requirements[[#This Row],[Category]],""))</f>
        <v>EU</v>
      </c>
      <c r="C113" t="s">
        <v>189</v>
      </c>
      <c r="D113" t="str">
        <f>_xlfn._xlws.FILTER(t_Contact[FA Name],t_Contact[FA]=t_fac25_requirements[[#This Row],[FA]],"")</f>
        <v>Catering</v>
      </c>
      <c r="E113" t="s">
        <v>211</v>
      </c>
      <c r="F113" t="s">
        <v>288</v>
      </c>
      <c r="G113" t="s">
        <v>432</v>
      </c>
      <c r="H113" t="s">
        <v>32</v>
      </c>
      <c r="I113" s="28" t="s">
        <v>37</v>
      </c>
      <c r="J113" s="28" t="s">
        <v>637</v>
      </c>
      <c r="K113" s="29">
        <v>3</v>
      </c>
      <c r="L113" s="29">
        <v>0</v>
      </c>
      <c r="M113" s="30">
        <v>45962</v>
      </c>
      <c r="N113" s="30">
        <v>46009</v>
      </c>
      <c r="O113" s="43" t="s">
        <v>38</v>
      </c>
      <c r="P113" s="55" t="s">
        <v>638</v>
      </c>
      <c r="Q113" t="s">
        <v>639</v>
      </c>
      <c r="R113" t="s">
        <v>760</v>
      </c>
    </row>
    <row r="114" spans="1:18" ht="14.45">
      <c r="A114" s="106" t="b">
        <v>1</v>
      </c>
      <c r="B114" t="str" cm="1">
        <f t="array" ref="B114">_xlfn.SINGLE(_xlfn._xlws.FILTER(t_ServiceCatalogue[Onwer],t_ServiceCatalogue[Category]=t_fac25_requirements[[#This Row],[Category]],""))</f>
        <v>NW</v>
      </c>
      <c r="C114" t="s">
        <v>189</v>
      </c>
      <c r="D114" t="str">
        <f>_xlfn._xlws.FILTER(t_Contact[FA Name],t_Contact[FA]=t_fac25_requirements[[#This Row],[FA]],"")</f>
        <v>Catering</v>
      </c>
      <c r="E114" t="s">
        <v>211</v>
      </c>
      <c r="F114" t="s">
        <v>288</v>
      </c>
      <c r="G114" t="s">
        <v>432</v>
      </c>
      <c r="H114" t="s">
        <v>52</v>
      </c>
      <c r="I114" s="28" t="s">
        <v>53</v>
      </c>
      <c r="J114" s="28" t="s">
        <v>637</v>
      </c>
      <c r="K114" s="29">
        <v>1</v>
      </c>
      <c r="L114" s="29">
        <v>0</v>
      </c>
      <c r="M114" s="30">
        <v>45962</v>
      </c>
      <c r="N114" s="30">
        <v>46009</v>
      </c>
      <c r="O114" s="43" t="s">
        <v>54</v>
      </c>
      <c r="P114" s="55" t="s">
        <v>638</v>
      </c>
      <c r="Q114" t="s">
        <v>755</v>
      </c>
      <c r="R114" t="s">
        <v>761</v>
      </c>
    </row>
    <row r="115" spans="1:18" ht="14.45">
      <c r="A115" s="106" t="b">
        <v>1</v>
      </c>
      <c r="B115" t="str" cm="1">
        <f t="array" ref="B115">_xlfn.SINGLE(_xlfn._xlws.FILTER(t_ServiceCatalogue[Onwer],t_ServiceCatalogue[Category]=t_fac25_requirements[[#This Row],[Category]],""))</f>
        <v>EU</v>
      </c>
      <c r="C115" t="s">
        <v>189</v>
      </c>
      <c r="D115" t="str">
        <f>_xlfn._xlws.FILTER(t_Contact[FA Name],t_Contact[FA]=t_fac25_requirements[[#This Row],[FA]],"")</f>
        <v>Catering</v>
      </c>
      <c r="E115" s="43">
        <v>974</v>
      </c>
      <c r="F115" t="s">
        <v>288</v>
      </c>
      <c r="G115" t="s">
        <v>452</v>
      </c>
      <c r="H115" t="s">
        <v>32</v>
      </c>
      <c r="I115" s="28" t="s">
        <v>33</v>
      </c>
      <c r="J115" s="28" t="s">
        <v>370</v>
      </c>
      <c r="K115" s="29"/>
      <c r="L115" s="29">
        <v>2</v>
      </c>
      <c r="M115" s="30">
        <v>45962</v>
      </c>
      <c r="N115" s="30">
        <v>46009</v>
      </c>
      <c r="O115" s="43" t="s">
        <v>34</v>
      </c>
      <c r="P115" s="63" t="s">
        <v>87</v>
      </c>
      <c r="Q115" t="s">
        <v>639</v>
      </c>
      <c r="R115" t="s">
        <v>762</v>
      </c>
    </row>
    <row r="116" spans="1:18" ht="14.45">
      <c r="A116" s="106" t="b">
        <v>1</v>
      </c>
      <c r="B116" t="str" cm="1">
        <f t="array" ref="B116">_xlfn.SINGLE(_xlfn._xlws.FILTER(t_ServiceCatalogue[Onwer],t_ServiceCatalogue[Category]=t_fac25_requirements[[#This Row],[Category]],""))</f>
        <v>EU</v>
      </c>
      <c r="C116" t="s">
        <v>189</v>
      </c>
      <c r="D116" t="str">
        <f>_xlfn._xlws.FILTER(t_Contact[FA Name],t_Contact[FA]=t_fac25_requirements[[#This Row],[FA]],"")</f>
        <v>Catering</v>
      </c>
      <c r="E116" s="43">
        <v>974</v>
      </c>
      <c r="F116" t="s">
        <v>288</v>
      </c>
      <c r="G116" t="s">
        <v>452</v>
      </c>
      <c r="H116" t="s">
        <v>32</v>
      </c>
      <c r="I116" s="28" t="s">
        <v>37</v>
      </c>
      <c r="J116" s="28" t="s">
        <v>370</v>
      </c>
      <c r="K116" s="29"/>
      <c r="L116" s="29">
        <v>2</v>
      </c>
      <c r="M116" s="30">
        <v>45962</v>
      </c>
      <c r="N116" s="30">
        <v>46009</v>
      </c>
      <c r="O116" s="43" t="s">
        <v>38</v>
      </c>
      <c r="P116" s="63" t="s">
        <v>87</v>
      </c>
      <c r="Q116" t="s">
        <v>639</v>
      </c>
      <c r="R116" t="s">
        <v>763</v>
      </c>
    </row>
    <row r="117" spans="1:18" ht="14.45">
      <c r="A117" s="106" t="b">
        <v>1</v>
      </c>
      <c r="B117" t="str" cm="1">
        <f t="array" ref="B117">_xlfn.SINGLE(_xlfn._xlws.FILTER(t_ServiceCatalogue[Onwer],t_ServiceCatalogue[Category]=t_fac25_requirements[[#This Row],[Category]],""))</f>
        <v>EU</v>
      </c>
      <c r="C117" t="s">
        <v>189</v>
      </c>
      <c r="D117" t="str">
        <f>_xlfn._xlws.FILTER(t_Contact[FA Name],t_Contact[FA]=t_fac25_requirements[[#This Row],[FA]],"")</f>
        <v>Catering</v>
      </c>
      <c r="E117" s="43">
        <v>974</v>
      </c>
      <c r="F117" t="s">
        <v>288</v>
      </c>
      <c r="G117" t="s">
        <v>432</v>
      </c>
      <c r="H117" t="s">
        <v>32</v>
      </c>
      <c r="I117" s="28" t="s">
        <v>33</v>
      </c>
      <c r="J117" s="28" t="s">
        <v>637</v>
      </c>
      <c r="K117" s="29">
        <v>2</v>
      </c>
      <c r="L117" s="29">
        <v>0</v>
      </c>
      <c r="M117" s="30">
        <v>45962</v>
      </c>
      <c r="N117" s="30">
        <v>46009</v>
      </c>
      <c r="O117" s="43" t="s">
        <v>34</v>
      </c>
      <c r="P117" s="55" t="s">
        <v>638</v>
      </c>
      <c r="Q117" t="s">
        <v>639</v>
      </c>
      <c r="R117" t="s">
        <v>764</v>
      </c>
    </row>
    <row r="118" spans="1:18" ht="14.45">
      <c r="A118" s="106" t="b">
        <v>1</v>
      </c>
      <c r="B118" t="str" cm="1">
        <f t="array" ref="B118">_xlfn.SINGLE(_xlfn._xlws.FILTER(t_ServiceCatalogue[Onwer],t_ServiceCatalogue[Category]=t_fac25_requirements[[#This Row],[Category]],""))</f>
        <v>EU</v>
      </c>
      <c r="C118" t="s">
        <v>189</v>
      </c>
      <c r="D118" t="str">
        <f>_xlfn._xlws.FILTER(t_Contact[FA Name],t_Contact[FA]=t_fac25_requirements[[#This Row],[FA]],"")</f>
        <v>Catering</v>
      </c>
      <c r="E118" s="43">
        <v>974</v>
      </c>
      <c r="F118" t="s">
        <v>288</v>
      </c>
      <c r="G118" t="s">
        <v>432</v>
      </c>
      <c r="H118" t="s">
        <v>32</v>
      </c>
      <c r="I118" s="28" t="s">
        <v>37</v>
      </c>
      <c r="J118" s="28" t="s">
        <v>637</v>
      </c>
      <c r="K118" s="29">
        <v>2</v>
      </c>
      <c r="L118" s="29">
        <v>0</v>
      </c>
      <c r="M118" s="30">
        <v>45962</v>
      </c>
      <c r="N118" s="30">
        <v>46009</v>
      </c>
      <c r="O118" s="43" t="s">
        <v>38</v>
      </c>
      <c r="P118" s="55" t="s">
        <v>638</v>
      </c>
      <c r="Q118" t="s">
        <v>639</v>
      </c>
      <c r="R118" t="s">
        <v>765</v>
      </c>
    </row>
    <row r="119" spans="1:18" ht="14.45">
      <c r="A119" s="106" t="b">
        <v>1</v>
      </c>
      <c r="B119" t="str" cm="1">
        <f t="array" ref="B119">_xlfn.SINGLE(_xlfn._xlws.FILTER(t_ServiceCatalogue[Onwer],t_ServiceCatalogue[Category]=t_fac25_requirements[[#This Row],[Category]],""))</f>
        <v>NW</v>
      </c>
      <c r="C119" t="s">
        <v>189</v>
      </c>
      <c r="D119" t="str">
        <f>_xlfn._xlws.FILTER(t_Contact[FA Name],t_Contact[FA]=t_fac25_requirements[[#This Row],[FA]],"")</f>
        <v>Catering</v>
      </c>
      <c r="E119" s="43">
        <v>974</v>
      </c>
      <c r="F119" t="s">
        <v>288</v>
      </c>
      <c r="G119" t="s">
        <v>432</v>
      </c>
      <c r="H119" t="s">
        <v>52</v>
      </c>
      <c r="I119" s="28" t="s">
        <v>53</v>
      </c>
      <c r="J119" s="28" t="s">
        <v>637</v>
      </c>
      <c r="K119" s="29">
        <v>1</v>
      </c>
      <c r="L119" s="29">
        <v>0</v>
      </c>
      <c r="M119" s="30">
        <v>45962</v>
      </c>
      <c r="N119" s="30">
        <v>46009</v>
      </c>
      <c r="O119" s="43" t="s">
        <v>54</v>
      </c>
      <c r="P119" s="55" t="s">
        <v>638</v>
      </c>
      <c r="Q119" t="s">
        <v>755</v>
      </c>
      <c r="R119" t="s">
        <v>766</v>
      </c>
    </row>
    <row r="120" spans="1:18" ht="14.45">
      <c r="A120" s="106" t="b">
        <v>1</v>
      </c>
      <c r="B120" t="str" cm="1">
        <f t="array" ref="B120">_xlfn.SINGLE(_xlfn._xlws.FILTER(t_ServiceCatalogue[Onwer],t_ServiceCatalogue[Category]=t_fac25_requirements[[#This Row],[Category]],""))</f>
        <v>EU</v>
      </c>
      <c r="C120" t="s">
        <v>189</v>
      </c>
      <c r="D120" t="str">
        <f>_xlfn._xlws.FILTER(t_Contact[FA Name],t_Contact[FA]=t_fac25_requirements[[#This Row],[FA]],"")</f>
        <v>Catering</v>
      </c>
      <c r="E120" t="s">
        <v>208</v>
      </c>
      <c r="F120" t="s">
        <v>288</v>
      </c>
      <c r="G120" t="s">
        <v>452</v>
      </c>
      <c r="H120" t="s">
        <v>32</v>
      </c>
      <c r="I120" s="28" t="s">
        <v>33</v>
      </c>
      <c r="J120" s="28" t="s">
        <v>370</v>
      </c>
      <c r="K120" s="29"/>
      <c r="L120" s="29">
        <v>2</v>
      </c>
      <c r="M120" s="30">
        <v>45962</v>
      </c>
      <c r="N120" s="30">
        <v>46009</v>
      </c>
      <c r="O120" s="43" t="s">
        <v>34</v>
      </c>
      <c r="P120" s="63" t="s">
        <v>87</v>
      </c>
      <c r="Q120" t="s">
        <v>639</v>
      </c>
      <c r="R120" t="s">
        <v>767</v>
      </c>
    </row>
    <row r="121" spans="1:18" ht="14.45">
      <c r="A121" s="106" t="b">
        <v>1</v>
      </c>
      <c r="B121" t="str" cm="1">
        <f t="array" ref="B121">_xlfn.SINGLE(_xlfn._xlws.FILTER(t_ServiceCatalogue[Onwer],t_ServiceCatalogue[Category]=t_fac25_requirements[[#This Row],[Category]],""))</f>
        <v>EU</v>
      </c>
      <c r="C121" t="s">
        <v>189</v>
      </c>
      <c r="D121" t="str">
        <f>_xlfn._xlws.FILTER(t_Contact[FA Name],t_Contact[FA]=t_fac25_requirements[[#This Row],[FA]],"")</f>
        <v>Catering</v>
      </c>
      <c r="E121" t="s">
        <v>208</v>
      </c>
      <c r="F121" t="s">
        <v>288</v>
      </c>
      <c r="G121" t="s">
        <v>452</v>
      </c>
      <c r="H121" t="s">
        <v>32</v>
      </c>
      <c r="I121" s="28" t="s">
        <v>37</v>
      </c>
      <c r="J121" s="28" t="s">
        <v>370</v>
      </c>
      <c r="K121" s="29"/>
      <c r="L121" s="29">
        <v>2</v>
      </c>
      <c r="M121" s="30">
        <v>45962</v>
      </c>
      <c r="N121" s="30">
        <v>46009</v>
      </c>
      <c r="O121" s="43" t="s">
        <v>38</v>
      </c>
      <c r="P121" s="63" t="s">
        <v>87</v>
      </c>
      <c r="Q121" t="s">
        <v>639</v>
      </c>
      <c r="R121" t="s">
        <v>768</v>
      </c>
    </row>
    <row r="122" spans="1:18" ht="14.45">
      <c r="A122" s="106" t="b">
        <v>1</v>
      </c>
      <c r="B122" t="str" cm="1">
        <f t="array" ref="B122">_xlfn.SINGLE(_xlfn._xlws.FILTER(t_ServiceCatalogue[Onwer],t_ServiceCatalogue[Category]=t_fac25_requirements[[#This Row],[Category]],""))</f>
        <v>EU</v>
      </c>
      <c r="C122" t="s">
        <v>189</v>
      </c>
      <c r="D122" t="str">
        <f>_xlfn._xlws.FILTER(t_Contact[FA Name],t_Contact[FA]=t_fac25_requirements[[#This Row],[FA]],"")</f>
        <v>Catering</v>
      </c>
      <c r="E122" t="s">
        <v>208</v>
      </c>
      <c r="F122" t="s">
        <v>288</v>
      </c>
      <c r="G122" t="s">
        <v>432</v>
      </c>
      <c r="H122" t="s">
        <v>32</v>
      </c>
      <c r="I122" s="28" t="s">
        <v>33</v>
      </c>
      <c r="J122" s="28" t="s">
        <v>637</v>
      </c>
      <c r="K122" s="29">
        <v>2</v>
      </c>
      <c r="L122" s="29">
        <v>0</v>
      </c>
      <c r="M122" s="30">
        <v>45962</v>
      </c>
      <c r="N122" s="30">
        <v>46009</v>
      </c>
      <c r="O122" s="43" t="s">
        <v>34</v>
      </c>
      <c r="P122" s="55" t="s">
        <v>638</v>
      </c>
      <c r="Q122" t="s">
        <v>639</v>
      </c>
      <c r="R122" t="s">
        <v>769</v>
      </c>
    </row>
    <row r="123" spans="1:18" ht="14.45">
      <c r="A123" s="106" t="b">
        <v>1</v>
      </c>
      <c r="B123" t="str" cm="1">
        <f t="array" ref="B123">_xlfn.SINGLE(_xlfn._xlws.FILTER(t_ServiceCatalogue[Onwer],t_ServiceCatalogue[Category]=t_fac25_requirements[[#This Row],[Category]],""))</f>
        <v>EU</v>
      </c>
      <c r="C123" t="s">
        <v>189</v>
      </c>
      <c r="D123" t="str">
        <f>_xlfn._xlws.FILTER(t_Contact[FA Name],t_Contact[FA]=t_fac25_requirements[[#This Row],[FA]],"")</f>
        <v>Catering</v>
      </c>
      <c r="E123" t="s">
        <v>208</v>
      </c>
      <c r="F123" t="s">
        <v>288</v>
      </c>
      <c r="G123" t="s">
        <v>432</v>
      </c>
      <c r="H123" t="s">
        <v>32</v>
      </c>
      <c r="I123" s="28" t="s">
        <v>37</v>
      </c>
      <c r="J123" s="28" t="s">
        <v>637</v>
      </c>
      <c r="K123" s="29">
        <v>2</v>
      </c>
      <c r="L123" s="29">
        <v>0</v>
      </c>
      <c r="M123" s="30">
        <v>45962</v>
      </c>
      <c r="N123" s="30">
        <v>46009</v>
      </c>
      <c r="O123" s="43" t="s">
        <v>38</v>
      </c>
      <c r="P123" s="55" t="s">
        <v>638</v>
      </c>
      <c r="Q123" t="s">
        <v>639</v>
      </c>
      <c r="R123" t="s">
        <v>770</v>
      </c>
    </row>
    <row r="124" spans="1:18" ht="14.45">
      <c r="A124" s="106" t="b">
        <v>1</v>
      </c>
      <c r="B124" t="str" cm="1">
        <f t="array" ref="B124">_xlfn.SINGLE(_xlfn._xlws.FILTER(t_ServiceCatalogue[Onwer],t_ServiceCatalogue[Category]=t_fac25_requirements[[#This Row],[Category]],""))</f>
        <v>NW</v>
      </c>
      <c r="C124" t="s">
        <v>189</v>
      </c>
      <c r="D124" t="str">
        <f>_xlfn._xlws.FILTER(t_Contact[FA Name],t_Contact[FA]=t_fac25_requirements[[#This Row],[FA]],"")</f>
        <v>Catering</v>
      </c>
      <c r="E124" t="s">
        <v>208</v>
      </c>
      <c r="F124" t="s">
        <v>288</v>
      </c>
      <c r="G124" t="s">
        <v>432</v>
      </c>
      <c r="H124" t="s">
        <v>52</v>
      </c>
      <c r="I124" s="28" t="s">
        <v>53</v>
      </c>
      <c r="J124" s="28" t="s">
        <v>637</v>
      </c>
      <c r="K124" s="29">
        <v>1</v>
      </c>
      <c r="L124" s="29">
        <v>0</v>
      </c>
      <c r="M124" s="30">
        <v>45962</v>
      </c>
      <c r="N124" s="30">
        <v>46009</v>
      </c>
      <c r="O124" s="43" t="s">
        <v>54</v>
      </c>
      <c r="P124" s="55" t="s">
        <v>638</v>
      </c>
      <c r="Q124" t="s">
        <v>755</v>
      </c>
      <c r="R124" t="s">
        <v>771</v>
      </c>
    </row>
    <row r="125" spans="1:18" ht="14.45">
      <c r="A125" s="106" t="b">
        <v>1</v>
      </c>
      <c r="B125" t="str" cm="1">
        <f t="array" ref="B125">_xlfn.SINGLE(_xlfn._xlws.FILTER(t_ServiceCatalogue[Onwer],t_ServiceCatalogue[Category]=t_fac25_requirements[[#This Row],[Category]],""))</f>
        <v>EU</v>
      </c>
      <c r="C125" t="s">
        <v>189</v>
      </c>
      <c r="D125" t="str">
        <f>_xlfn._xlws.FILTER(t_Contact[FA Name],t_Contact[FA]=t_fac25_requirements[[#This Row],[FA]],"")</f>
        <v>Catering</v>
      </c>
      <c r="E125" t="s">
        <v>212</v>
      </c>
      <c r="F125" t="s">
        <v>288</v>
      </c>
      <c r="G125" t="s">
        <v>452</v>
      </c>
      <c r="H125" t="s">
        <v>32</v>
      </c>
      <c r="I125" s="28" t="s">
        <v>33</v>
      </c>
      <c r="J125" s="28" t="s">
        <v>370</v>
      </c>
      <c r="K125" s="29"/>
      <c r="L125" s="29">
        <v>2</v>
      </c>
      <c r="M125" s="30">
        <v>45962</v>
      </c>
      <c r="N125" s="30">
        <v>46009</v>
      </c>
      <c r="O125" s="43" t="s">
        <v>34</v>
      </c>
      <c r="P125" s="63" t="s">
        <v>87</v>
      </c>
      <c r="Q125" t="s">
        <v>639</v>
      </c>
      <c r="R125" t="s">
        <v>772</v>
      </c>
    </row>
    <row r="126" spans="1:18" ht="14.45">
      <c r="A126" s="106" t="b">
        <v>1</v>
      </c>
      <c r="B126" t="str" cm="1">
        <f t="array" ref="B126">_xlfn.SINGLE(_xlfn._xlws.FILTER(t_ServiceCatalogue[Onwer],t_ServiceCatalogue[Category]=t_fac25_requirements[[#This Row],[Category]],""))</f>
        <v>EU</v>
      </c>
      <c r="C126" t="s">
        <v>189</v>
      </c>
      <c r="D126" t="str">
        <f>_xlfn._xlws.FILTER(t_Contact[FA Name],t_Contact[FA]=t_fac25_requirements[[#This Row],[FA]],"")</f>
        <v>Catering</v>
      </c>
      <c r="E126" t="s">
        <v>212</v>
      </c>
      <c r="F126" t="s">
        <v>288</v>
      </c>
      <c r="G126" t="s">
        <v>452</v>
      </c>
      <c r="H126" t="s">
        <v>32</v>
      </c>
      <c r="I126" s="28" t="s">
        <v>37</v>
      </c>
      <c r="J126" s="28" t="s">
        <v>370</v>
      </c>
      <c r="K126" s="29"/>
      <c r="L126" s="29">
        <v>2</v>
      </c>
      <c r="M126" s="30">
        <v>45962</v>
      </c>
      <c r="N126" s="30">
        <v>46009</v>
      </c>
      <c r="O126" s="43" t="s">
        <v>38</v>
      </c>
      <c r="P126" s="63" t="s">
        <v>87</v>
      </c>
      <c r="Q126" t="s">
        <v>639</v>
      </c>
      <c r="R126" t="s">
        <v>773</v>
      </c>
    </row>
    <row r="127" spans="1:18" ht="14.45">
      <c r="A127" s="106" t="b">
        <v>1</v>
      </c>
      <c r="B127" t="str" cm="1">
        <f t="array" ref="B127">_xlfn.SINGLE(_xlfn._xlws.FILTER(t_ServiceCatalogue[Onwer],t_ServiceCatalogue[Category]=t_fac25_requirements[[#This Row],[Category]],""))</f>
        <v>EU</v>
      </c>
      <c r="C127" t="s">
        <v>189</v>
      </c>
      <c r="D127" t="str">
        <f>_xlfn._xlws.FILTER(t_Contact[FA Name],t_Contact[FA]=t_fac25_requirements[[#This Row],[FA]],"")</f>
        <v>Catering</v>
      </c>
      <c r="E127" t="s">
        <v>212</v>
      </c>
      <c r="F127" t="s">
        <v>288</v>
      </c>
      <c r="G127" t="s">
        <v>432</v>
      </c>
      <c r="H127" t="s">
        <v>32</v>
      </c>
      <c r="I127" s="28" t="s">
        <v>33</v>
      </c>
      <c r="J127" s="28" t="s">
        <v>637</v>
      </c>
      <c r="K127" s="29">
        <v>2</v>
      </c>
      <c r="L127" s="29">
        <v>0</v>
      </c>
      <c r="M127" s="30">
        <v>45962</v>
      </c>
      <c r="N127" s="30">
        <v>46009</v>
      </c>
      <c r="O127" s="43" t="s">
        <v>34</v>
      </c>
      <c r="P127" s="55" t="s">
        <v>638</v>
      </c>
      <c r="Q127" t="s">
        <v>639</v>
      </c>
      <c r="R127" t="s">
        <v>774</v>
      </c>
    </row>
    <row r="128" spans="1:18" ht="14.45">
      <c r="A128" s="106" t="b">
        <v>1</v>
      </c>
      <c r="B128" t="str" cm="1">
        <f t="array" ref="B128">_xlfn.SINGLE(_xlfn._xlws.FILTER(t_ServiceCatalogue[Onwer],t_ServiceCatalogue[Category]=t_fac25_requirements[[#This Row],[Category]],""))</f>
        <v>EU</v>
      </c>
      <c r="C128" t="s">
        <v>189</v>
      </c>
      <c r="D128" t="str">
        <f>_xlfn._xlws.FILTER(t_Contact[FA Name],t_Contact[FA]=t_fac25_requirements[[#This Row],[FA]],"")</f>
        <v>Catering</v>
      </c>
      <c r="E128" t="s">
        <v>212</v>
      </c>
      <c r="F128" t="s">
        <v>288</v>
      </c>
      <c r="G128" t="s">
        <v>432</v>
      </c>
      <c r="H128" t="s">
        <v>32</v>
      </c>
      <c r="I128" s="28" t="s">
        <v>37</v>
      </c>
      <c r="J128" s="28" t="s">
        <v>637</v>
      </c>
      <c r="K128" s="29">
        <v>2</v>
      </c>
      <c r="L128" s="29">
        <v>0</v>
      </c>
      <c r="M128" s="30">
        <v>45962</v>
      </c>
      <c r="N128" s="30">
        <v>46009</v>
      </c>
      <c r="O128" s="43" t="s">
        <v>38</v>
      </c>
      <c r="P128" s="55" t="s">
        <v>638</v>
      </c>
      <c r="Q128" t="s">
        <v>639</v>
      </c>
      <c r="R128" t="s">
        <v>775</v>
      </c>
    </row>
    <row r="129" spans="1:18" ht="14.45">
      <c r="A129" s="106" t="b">
        <v>1</v>
      </c>
      <c r="B129" t="str" cm="1">
        <f t="array" ref="B129">_xlfn.SINGLE(_xlfn._xlws.FILTER(t_ServiceCatalogue[Onwer],t_ServiceCatalogue[Category]=t_fac25_requirements[[#This Row],[Category]],""))</f>
        <v>NW</v>
      </c>
      <c r="C129" t="s">
        <v>189</v>
      </c>
      <c r="D129" t="str">
        <f>_xlfn._xlws.FILTER(t_Contact[FA Name],t_Contact[FA]=t_fac25_requirements[[#This Row],[FA]],"")</f>
        <v>Catering</v>
      </c>
      <c r="E129" t="s">
        <v>212</v>
      </c>
      <c r="F129" t="s">
        <v>288</v>
      </c>
      <c r="G129" t="s">
        <v>432</v>
      </c>
      <c r="H129" t="s">
        <v>52</v>
      </c>
      <c r="I129" s="28" t="s">
        <v>53</v>
      </c>
      <c r="J129" s="28" t="s">
        <v>637</v>
      </c>
      <c r="K129" s="29">
        <v>1</v>
      </c>
      <c r="L129" s="29">
        <v>0</v>
      </c>
      <c r="M129" s="30">
        <v>45962</v>
      </c>
      <c r="N129" s="30">
        <v>46009</v>
      </c>
      <c r="O129" s="43" t="s">
        <v>54</v>
      </c>
      <c r="P129" s="55" t="s">
        <v>638</v>
      </c>
      <c r="Q129" t="s">
        <v>755</v>
      </c>
      <c r="R129" t="s">
        <v>776</v>
      </c>
    </row>
    <row r="130" spans="1:18" ht="14.45">
      <c r="A130" s="106" t="b">
        <v>1</v>
      </c>
      <c r="B130" t="str" cm="1">
        <f t="array" ref="B130">_xlfn.SINGLE(_xlfn._xlws.FILTER(t_ServiceCatalogue[Onwer],t_ServiceCatalogue[Category]=t_fac25_requirements[[#This Row],[Category]],""))</f>
        <v>EU</v>
      </c>
      <c r="C130" t="s">
        <v>189</v>
      </c>
      <c r="D130" t="str">
        <f>_xlfn._xlws.FILTER(t_Contact[FA Name],t_Contact[FA]=t_fac25_requirements[[#This Row],[FA]],"")</f>
        <v>Catering</v>
      </c>
      <c r="E130" s="28" t="s">
        <v>213</v>
      </c>
      <c r="F130" s="28" t="s">
        <v>288</v>
      </c>
      <c r="G130" s="28" t="s">
        <v>452</v>
      </c>
      <c r="H130" s="28" t="s">
        <v>32</v>
      </c>
      <c r="I130" s="28" t="s">
        <v>33</v>
      </c>
      <c r="J130" s="28" t="s">
        <v>370</v>
      </c>
      <c r="K130" s="29"/>
      <c r="L130" s="29">
        <v>2</v>
      </c>
      <c r="M130" s="30">
        <v>45962</v>
      </c>
      <c r="N130" s="30">
        <v>46009</v>
      </c>
      <c r="O130" s="43" t="s">
        <v>34</v>
      </c>
      <c r="P130" s="154" t="s">
        <v>777</v>
      </c>
      <c r="Q130" s="28" t="s">
        <v>639</v>
      </c>
      <c r="R130" t="s">
        <v>778</v>
      </c>
    </row>
    <row r="131" spans="1:18" ht="14.45">
      <c r="A131" s="106" t="b">
        <v>1</v>
      </c>
      <c r="B131" t="str" cm="1">
        <f t="array" ref="B131">_xlfn.SINGLE(_xlfn._xlws.FILTER(t_ServiceCatalogue[Onwer],t_ServiceCatalogue[Category]=t_fac25_requirements[[#This Row],[Category]],""))</f>
        <v>EU</v>
      </c>
      <c r="C131" t="s">
        <v>189</v>
      </c>
      <c r="D131" t="str">
        <f>_xlfn._xlws.FILTER(t_Contact[FA Name],t_Contact[FA]=t_fac25_requirements[[#This Row],[FA]],"")</f>
        <v>Catering</v>
      </c>
      <c r="E131" s="28" t="s">
        <v>213</v>
      </c>
      <c r="F131" s="28" t="s">
        <v>288</v>
      </c>
      <c r="G131" s="28" t="s">
        <v>452</v>
      </c>
      <c r="H131" s="28" t="s">
        <v>32</v>
      </c>
      <c r="I131" s="28" t="s">
        <v>37</v>
      </c>
      <c r="J131" s="28" t="s">
        <v>370</v>
      </c>
      <c r="K131" s="29"/>
      <c r="L131" s="29">
        <v>2</v>
      </c>
      <c r="M131" s="30">
        <v>45962</v>
      </c>
      <c r="N131" s="30">
        <v>46009</v>
      </c>
      <c r="O131" s="43" t="s">
        <v>38</v>
      </c>
      <c r="P131" s="63" t="s">
        <v>87</v>
      </c>
      <c r="Q131" s="28" t="s">
        <v>639</v>
      </c>
      <c r="R131" t="s">
        <v>779</v>
      </c>
    </row>
    <row r="132" spans="1:18" ht="14.45">
      <c r="A132" s="106" t="b">
        <v>1</v>
      </c>
      <c r="B132" t="str" cm="1">
        <f t="array" ref="B132">_xlfn.SINGLE(_xlfn._xlws.FILTER(t_ServiceCatalogue[Onwer],t_ServiceCatalogue[Category]=t_fac25_requirements[[#This Row],[Category]],""))</f>
        <v>EU</v>
      </c>
      <c r="C132" t="s">
        <v>189</v>
      </c>
      <c r="D132" t="str">
        <f>_xlfn._xlws.FILTER(t_Contact[FA Name],t_Contact[FA]=t_fac25_requirements[[#This Row],[FA]],"")</f>
        <v>Catering</v>
      </c>
      <c r="E132" t="s">
        <v>213</v>
      </c>
      <c r="F132" t="s">
        <v>288</v>
      </c>
      <c r="G132" t="s">
        <v>432</v>
      </c>
      <c r="H132" t="s">
        <v>32</v>
      </c>
      <c r="I132" s="28" t="s">
        <v>33</v>
      </c>
      <c r="J132" s="28" t="s">
        <v>637</v>
      </c>
      <c r="K132" s="29">
        <v>2</v>
      </c>
      <c r="L132" s="29">
        <v>0</v>
      </c>
      <c r="M132" s="30">
        <v>45962</v>
      </c>
      <c r="N132" s="30">
        <v>46009</v>
      </c>
      <c r="O132" s="43" t="s">
        <v>34</v>
      </c>
      <c r="P132" s="55" t="s">
        <v>638</v>
      </c>
      <c r="Q132" t="s">
        <v>639</v>
      </c>
      <c r="R132" t="s">
        <v>780</v>
      </c>
    </row>
    <row r="133" spans="1:18" ht="14.45">
      <c r="A133" s="106" t="b">
        <v>1</v>
      </c>
      <c r="B133" t="str" cm="1">
        <f t="array" ref="B133">_xlfn.SINGLE(_xlfn._xlws.FILTER(t_ServiceCatalogue[Onwer],t_ServiceCatalogue[Category]=t_fac25_requirements[[#This Row],[Category]],""))</f>
        <v>EU</v>
      </c>
      <c r="C133" t="s">
        <v>189</v>
      </c>
      <c r="D133" t="str">
        <f>_xlfn._xlws.FILTER(t_Contact[FA Name],t_Contact[FA]=t_fac25_requirements[[#This Row],[FA]],"")</f>
        <v>Catering</v>
      </c>
      <c r="E133" t="s">
        <v>213</v>
      </c>
      <c r="F133" t="s">
        <v>288</v>
      </c>
      <c r="G133" t="s">
        <v>432</v>
      </c>
      <c r="H133" t="s">
        <v>32</v>
      </c>
      <c r="I133" s="28" t="s">
        <v>37</v>
      </c>
      <c r="J133" s="28" t="s">
        <v>637</v>
      </c>
      <c r="K133" s="29">
        <v>2</v>
      </c>
      <c r="L133" s="29">
        <v>0</v>
      </c>
      <c r="M133" s="30">
        <v>45962</v>
      </c>
      <c r="N133" s="30">
        <v>46009</v>
      </c>
      <c r="O133" s="43" t="s">
        <v>38</v>
      </c>
      <c r="P133" s="55" t="s">
        <v>638</v>
      </c>
      <c r="Q133" t="s">
        <v>639</v>
      </c>
      <c r="R133" t="s">
        <v>781</v>
      </c>
    </row>
    <row r="134" spans="1:18" ht="14.45">
      <c r="A134" s="106" t="b">
        <v>1</v>
      </c>
      <c r="B134" t="str" cm="1">
        <f t="array" ref="B134">_xlfn.SINGLE(_xlfn._xlws.FILTER(t_ServiceCatalogue[Onwer],t_ServiceCatalogue[Category]=t_fac25_requirements[[#This Row],[Category]],""))</f>
        <v>NW</v>
      </c>
      <c r="C134" t="s">
        <v>189</v>
      </c>
      <c r="D134" t="str">
        <f>_xlfn._xlws.FILTER(t_Contact[FA Name],t_Contact[FA]=t_fac25_requirements[[#This Row],[FA]],"")</f>
        <v>Catering</v>
      </c>
      <c r="E134" t="s">
        <v>213</v>
      </c>
      <c r="F134" t="s">
        <v>288</v>
      </c>
      <c r="G134" t="s">
        <v>432</v>
      </c>
      <c r="H134" t="s">
        <v>52</v>
      </c>
      <c r="I134" s="28" t="s">
        <v>53</v>
      </c>
      <c r="J134" s="28" t="s">
        <v>637</v>
      </c>
      <c r="K134" s="29">
        <v>1</v>
      </c>
      <c r="L134" s="29">
        <v>0</v>
      </c>
      <c r="M134" s="30">
        <v>45962</v>
      </c>
      <c r="N134" s="30">
        <v>46009</v>
      </c>
      <c r="O134" s="43" t="s">
        <v>54</v>
      </c>
      <c r="P134" s="55" t="s">
        <v>638</v>
      </c>
      <c r="Q134" t="s">
        <v>755</v>
      </c>
      <c r="R134" t="s">
        <v>782</v>
      </c>
    </row>
    <row r="135" spans="1:18" ht="14.45">
      <c r="A135" s="106" t="b">
        <v>1</v>
      </c>
      <c r="B135" t="str" cm="1">
        <f t="array" ref="B135">_xlfn.SINGLE(_xlfn._xlws.FILTER(t_ServiceCatalogue[Onwer],t_ServiceCatalogue[Category]=t_fac25_requirements[[#This Row],[Category]],""))</f>
        <v>EU</v>
      </c>
      <c r="C135" t="s">
        <v>63</v>
      </c>
      <c r="D135" t="str">
        <f>_xlfn._xlws.FILTER(t_Contact[FA Name],t_Contact[FA]=t_fac25_requirements[[#This Row],[FA]],"")</f>
        <v>Logistics</v>
      </c>
      <c r="E135" t="s">
        <v>19</v>
      </c>
      <c r="F135" t="s">
        <v>71</v>
      </c>
      <c r="G135" t="s">
        <v>72</v>
      </c>
      <c r="H135" t="s">
        <v>22</v>
      </c>
      <c r="I135" t="s">
        <v>77</v>
      </c>
      <c r="J135" s="28" t="s">
        <v>637</v>
      </c>
      <c r="K135" s="32">
        <v>1</v>
      </c>
      <c r="L135" s="32">
        <v>0</v>
      </c>
      <c r="M135" s="30">
        <v>45942</v>
      </c>
      <c r="N135" s="30">
        <v>46022</v>
      </c>
      <c r="O135" s="43" t="s">
        <v>78</v>
      </c>
      <c r="P135" s="55" t="s">
        <v>783</v>
      </c>
      <c r="Q135" t="s">
        <v>80</v>
      </c>
      <c r="R135" t="s">
        <v>784</v>
      </c>
    </row>
    <row r="136" spans="1:18" ht="14.45">
      <c r="A136" s="106" t="b">
        <v>1</v>
      </c>
      <c r="B136" t="s">
        <v>220</v>
      </c>
      <c r="C136" t="s">
        <v>63</v>
      </c>
      <c r="D136" t="str">
        <f>_xlfn._xlws.FILTER(t_Contact[FA Name],t_Contact[FA]=t_fac25_requirements[[#This Row],[FA]],"")</f>
        <v>Logistics</v>
      </c>
      <c r="E136" t="s">
        <v>19</v>
      </c>
      <c r="F136" t="s">
        <v>71</v>
      </c>
      <c r="G136" t="s">
        <v>72</v>
      </c>
      <c r="H136" t="s">
        <v>84</v>
      </c>
      <c r="I136" t="s">
        <v>85</v>
      </c>
      <c r="J136" s="28" t="s">
        <v>370</v>
      </c>
      <c r="K136" s="32"/>
      <c r="L136" s="32">
        <v>1</v>
      </c>
      <c r="M136" s="30">
        <v>45950</v>
      </c>
      <c r="N136" s="30">
        <v>46022</v>
      </c>
      <c r="O136" s="43" t="s">
        <v>86</v>
      </c>
      <c r="P136" s="55" t="s">
        <v>785</v>
      </c>
    </row>
    <row r="137" spans="1:18" ht="14.45">
      <c r="A137" s="106" t="b">
        <v>1</v>
      </c>
      <c r="B137" t="str" cm="1">
        <f t="array" ref="B137">_xlfn.SINGLE(_xlfn._xlws.FILTER(t_ServiceCatalogue[Onwer],t_ServiceCatalogue[Category]=t_fac25_requirements[[#This Row],[Category]],""))</f>
        <v>NW</v>
      </c>
      <c r="C137" t="s">
        <v>206</v>
      </c>
      <c r="D137" t="str">
        <f>_xlfn._xlws.FILTER(t_Contact[FA Name],t_Contact[FA]=t_fac25_requirements[[#This Row],[FA]],"")</f>
        <v>Comms / Stakeholder / MER</v>
      </c>
      <c r="E137" t="s">
        <v>19</v>
      </c>
      <c r="F137" s="28" t="s">
        <v>71</v>
      </c>
      <c r="G137" t="s">
        <v>138</v>
      </c>
      <c r="H137" t="s">
        <v>52</v>
      </c>
      <c r="I137" t="s">
        <v>53</v>
      </c>
      <c r="J137" s="28" t="s">
        <v>370</v>
      </c>
      <c r="K137" s="32"/>
      <c r="L137" s="32">
        <v>100</v>
      </c>
      <c r="M137" s="30">
        <v>45981</v>
      </c>
      <c r="N137" s="30">
        <v>46009</v>
      </c>
      <c r="O137" s="43" t="s">
        <v>54</v>
      </c>
      <c r="P137" s="55" t="s">
        <v>87</v>
      </c>
      <c r="Q137" t="s">
        <v>786</v>
      </c>
      <c r="R137" t="s">
        <v>787</v>
      </c>
    </row>
    <row r="138" spans="1:18" ht="14.45">
      <c r="A138" s="106" t="b">
        <v>1</v>
      </c>
      <c r="B138" t="str" cm="1">
        <f t="array" ref="B138">_xlfn.SINGLE(_xlfn._xlws.FILTER(t_ServiceCatalogue[Onwer],t_ServiceCatalogue[Category]=t_fac25_requirements[[#This Row],[Category]],""))</f>
        <v>EU</v>
      </c>
      <c r="C138" t="s">
        <v>206</v>
      </c>
      <c r="D138" t="str">
        <f>_xlfn._xlws.FILTER(t_Contact[FA Name],t_Contact[FA]=t_fac25_requirements[[#This Row],[FA]],"")</f>
        <v>Comms / Stakeholder / MER</v>
      </c>
      <c r="E138" t="s">
        <v>19</v>
      </c>
      <c r="F138" s="28" t="s">
        <v>71</v>
      </c>
      <c r="G138" t="s">
        <v>138</v>
      </c>
      <c r="H138" t="s">
        <v>22</v>
      </c>
      <c r="I138" t="s">
        <v>77</v>
      </c>
      <c r="J138" s="28" t="s">
        <v>370</v>
      </c>
      <c r="K138" s="32"/>
      <c r="L138" s="32">
        <v>1</v>
      </c>
      <c r="M138" s="30">
        <v>45981</v>
      </c>
      <c r="N138" s="30">
        <v>46009</v>
      </c>
      <c r="O138" s="43" t="s">
        <v>78</v>
      </c>
      <c r="P138" s="55" t="s">
        <v>87</v>
      </c>
      <c r="Q138" t="s">
        <v>786</v>
      </c>
      <c r="R138" t="s">
        <v>788</v>
      </c>
    </row>
    <row r="139" spans="1:18" ht="14.45">
      <c r="A139" s="106" t="b">
        <v>1</v>
      </c>
      <c r="B139" t="str" cm="1">
        <f t="array" ref="B139">_xlfn.SINGLE(_xlfn._xlws.FILTER(t_ServiceCatalogue[Onwer],t_ServiceCatalogue[Category]=t_fac25_requirements[[#This Row],[Category]],""))</f>
        <v>EU</v>
      </c>
      <c r="C139" t="s">
        <v>196</v>
      </c>
      <c r="D139" t="str">
        <f>_xlfn._xlws.FILTER(t_Contact[FA Name],t_Contact[FA]=t_fac25_requirements[[#This Row],[FA]],"")</f>
        <v>Shukran</v>
      </c>
      <c r="E139" t="s">
        <v>19</v>
      </c>
      <c r="F139" s="28" t="s">
        <v>71</v>
      </c>
      <c r="G139" t="s">
        <v>138</v>
      </c>
      <c r="H139" t="s">
        <v>32</v>
      </c>
      <c r="I139" t="s">
        <v>33</v>
      </c>
      <c r="J139" s="28" t="s">
        <v>370</v>
      </c>
      <c r="K139" s="32"/>
      <c r="L139" s="32">
        <v>3</v>
      </c>
      <c r="M139" s="30">
        <v>45931</v>
      </c>
      <c r="N139" s="30">
        <v>46022</v>
      </c>
      <c r="O139" s="43" t="s">
        <v>34</v>
      </c>
      <c r="P139" s="55" t="s">
        <v>789</v>
      </c>
      <c r="Q139" s="112" t="s">
        <v>790</v>
      </c>
      <c r="R139" t="s">
        <v>791</v>
      </c>
    </row>
    <row r="140" spans="1:18" ht="14.45">
      <c r="A140" s="106" t="b">
        <v>1</v>
      </c>
      <c r="B140" t="str" cm="1">
        <f t="array" ref="B140">_xlfn.SINGLE(_xlfn._xlws.FILTER(t_ServiceCatalogue[Onwer],t_ServiceCatalogue[Category]=t_fac25_requirements[[#This Row],[Category]],""))</f>
        <v>EU</v>
      </c>
      <c r="C140" t="s">
        <v>196</v>
      </c>
      <c r="D140" t="str">
        <f>_xlfn._xlws.FILTER(t_Contact[FA Name],t_Contact[FA]=t_fac25_requirements[[#This Row],[FA]],"")</f>
        <v>Shukran</v>
      </c>
      <c r="E140" t="s">
        <v>19</v>
      </c>
      <c r="F140" s="28" t="s">
        <v>71</v>
      </c>
      <c r="G140" t="s">
        <v>138</v>
      </c>
      <c r="H140" t="s">
        <v>22</v>
      </c>
      <c r="I140" t="s">
        <v>77</v>
      </c>
      <c r="J140" s="28" t="s">
        <v>370</v>
      </c>
      <c r="K140" s="32"/>
      <c r="L140" s="32">
        <v>1</v>
      </c>
      <c r="M140" s="30">
        <v>45931</v>
      </c>
      <c r="N140" s="30">
        <v>46022</v>
      </c>
      <c r="O140" s="43" t="s">
        <v>24</v>
      </c>
      <c r="P140" s="55" t="s">
        <v>792</v>
      </c>
      <c r="Q140" t="s">
        <v>793</v>
      </c>
      <c r="R140" t="s">
        <v>794</v>
      </c>
    </row>
    <row r="141" spans="1:18" ht="14.45">
      <c r="A141" s="106" t="b">
        <v>0</v>
      </c>
      <c r="B141" t="str" cm="1">
        <f t="array" ref="B141">_xlfn.SINGLE(_xlfn._xlws.FILTER(t_ServiceCatalogue[Onwer],t_ServiceCatalogue[Category]=t_fac25_requirements[[#This Row],[Category]],""))</f>
        <v>NW</v>
      </c>
      <c r="C141" t="s">
        <v>188</v>
      </c>
      <c r="D141" t="str" cm="1">
        <f t="array" ref="D141">_xlfn.SINGLE(_xlfn._xlws.FILTER(t_Contact[FA Name],t_Contact[FA]=t_fac25_requirements[[#This Row],[FA]],""))</f>
        <v>Broadcast Operations</v>
      </c>
      <c r="E141" t="s">
        <v>214</v>
      </c>
      <c r="F141" t="s">
        <v>246</v>
      </c>
      <c r="G141" t="s">
        <v>250</v>
      </c>
      <c r="H141" t="s">
        <v>46</v>
      </c>
      <c r="I141" s="28" t="s">
        <v>47</v>
      </c>
      <c r="J141" s="28" t="s">
        <v>370</v>
      </c>
      <c r="K141" s="29"/>
      <c r="L141" s="29">
        <v>1</v>
      </c>
      <c r="M141" s="30">
        <v>45986</v>
      </c>
      <c r="N141" s="30">
        <v>46011</v>
      </c>
      <c r="O141" s="43" t="s">
        <v>48</v>
      </c>
      <c r="P141" s="55" t="s">
        <v>795</v>
      </c>
      <c r="R141" t="s">
        <v>796</v>
      </c>
    </row>
    <row r="142" spans="1:18" ht="43.15">
      <c r="A142" s="106" t="b">
        <v>0</v>
      </c>
      <c r="B142" t="str" cm="1">
        <f t="array" ref="B142">_xlfn.SINGLE(_xlfn._xlws.FILTER(t_ServiceCatalogue[Onwer],t_ServiceCatalogue[Category]=t_fac25_requirements[[#This Row],[Category]],""))</f>
        <v>NW</v>
      </c>
      <c r="C142" t="s">
        <v>188</v>
      </c>
      <c r="D142" t="str">
        <f>_xlfn._xlws.FILTER(t_Contact[FA Name],t_Contact[FA]=t_fac25_requirements[[#This Row],[FA]],"")</f>
        <v>Broadcast Operations</v>
      </c>
      <c r="E142" t="s">
        <v>214</v>
      </c>
      <c r="F142" t="s">
        <v>246</v>
      </c>
      <c r="G142" t="s">
        <v>250</v>
      </c>
      <c r="H142" t="s">
        <v>46</v>
      </c>
      <c r="I142" s="28" t="s">
        <v>47</v>
      </c>
      <c r="J142" s="28" t="s">
        <v>370</v>
      </c>
      <c r="K142" s="29">
        <v>5</v>
      </c>
      <c r="L142" s="29">
        <v>3</v>
      </c>
      <c r="M142" s="30">
        <v>45986</v>
      </c>
      <c r="N142" s="30">
        <v>46011</v>
      </c>
      <c r="O142" s="43" t="s">
        <v>149</v>
      </c>
      <c r="P142" s="70" t="s">
        <v>797</v>
      </c>
      <c r="Q142" t="s">
        <v>798</v>
      </c>
      <c r="R142" t="s">
        <v>799</v>
      </c>
    </row>
    <row r="143" spans="1:18" ht="14.45">
      <c r="A143" s="106" t="b">
        <v>0</v>
      </c>
      <c r="B143" t="str" cm="1">
        <f t="array" ref="B143">_xlfn.SINGLE(_xlfn._xlws.FILTER(t_ServiceCatalogue[Onwer],t_ServiceCatalogue[Category]=t_fac25_requirements[[#This Row],[Category]],""))</f>
        <v>NW</v>
      </c>
      <c r="C143" t="s">
        <v>188</v>
      </c>
      <c r="D143" t="str">
        <f>_xlfn._xlws.FILTER(t_Contact[FA Name],t_Contact[FA]=t_fac25_requirements[[#This Row],[FA]],"")</f>
        <v>Broadcast Operations</v>
      </c>
      <c r="E143" t="s">
        <v>214</v>
      </c>
      <c r="F143" t="s">
        <v>246</v>
      </c>
      <c r="G143" t="s">
        <v>249</v>
      </c>
      <c r="H143" t="s">
        <v>46</v>
      </c>
      <c r="I143" s="28" t="s">
        <v>47</v>
      </c>
      <c r="J143" s="28" t="s">
        <v>370</v>
      </c>
      <c r="K143" s="29">
        <v>6</v>
      </c>
      <c r="L143" s="29">
        <v>3</v>
      </c>
      <c r="M143" s="30">
        <v>45986</v>
      </c>
      <c r="N143" s="30">
        <v>46011</v>
      </c>
      <c r="O143" s="43" t="s">
        <v>48</v>
      </c>
      <c r="P143" s="55" t="s">
        <v>800</v>
      </c>
      <c r="Q143" t="s">
        <v>801</v>
      </c>
      <c r="R143" t="s">
        <v>802</v>
      </c>
    </row>
    <row r="144" spans="1:18" ht="14.45">
      <c r="A144" s="106" t="b">
        <v>0</v>
      </c>
      <c r="B144" t="str" cm="1">
        <f t="array" ref="B144">_xlfn.SINGLE(_xlfn._xlws.FILTER(t_ServiceCatalogue[Onwer],t_ServiceCatalogue[Category]=t_fac25_requirements[[#This Row],[Category]],""))</f>
        <v>NW</v>
      </c>
      <c r="C144" t="s">
        <v>188</v>
      </c>
      <c r="D144" t="str">
        <f>_xlfn._xlws.FILTER(t_Contact[FA Name],t_Contact[FA]=t_fac25_requirements[[#This Row],[FA]],"")</f>
        <v>Broadcast Operations</v>
      </c>
      <c r="E144" t="s">
        <v>214</v>
      </c>
      <c r="F144" t="s">
        <v>305</v>
      </c>
      <c r="G144" t="s">
        <v>312</v>
      </c>
      <c r="H144" t="s">
        <v>46</v>
      </c>
      <c r="I144" s="28" t="s">
        <v>47</v>
      </c>
      <c r="J144" s="28" t="s">
        <v>370</v>
      </c>
      <c r="K144" s="29"/>
      <c r="L144" s="29">
        <v>2</v>
      </c>
      <c r="M144" s="30">
        <v>45986</v>
      </c>
      <c r="N144" s="30">
        <v>46011</v>
      </c>
      <c r="O144" s="43" t="s">
        <v>48</v>
      </c>
      <c r="P144" s="55" t="s">
        <v>803</v>
      </c>
      <c r="R144" t="s">
        <v>804</v>
      </c>
    </row>
    <row r="145" spans="1:18" ht="14.45">
      <c r="A145" s="106" t="b">
        <v>1</v>
      </c>
      <c r="B145" t="str" cm="1">
        <f t="array" ref="B145">_xlfn.SINGLE(_xlfn._xlws.FILTER(t_ServiceCatalogue[Onwer],t_ServiceCatalogue[Category]=t_fac25_requirements[[#This Row],[Category]],""))</f>
        <v>NW</v>
      </c>
      <c r="C145" t="s">
        <v>188</v>
      </c>
      <c r="D145" t="str">
        <f>_xlfn._xlws.FILTER(t_Contact[FA Name],t_Contact[FA]=t_fac25_requirements[[#This Row],[FA]],"")</f>
        <v>Broadcast Operations</v>
      </c>
      <c r="E145" t="s">
        <v>214</v>
      </c>
      <c r="F145" t="s">
        <v>305</v>
      </c>
      <c r="G145" t="s">
        <v>312</v>
      </c>
      <c r="H145" t="s">
        <v>46</v>
      </c>
      <c r="I145" s="28" t="s">
        <v>148</v>
      </c>
      <c r="J145" s="28" t="s">
        <v>637</v>
      </c>
      <c r="K145" s="29">
        <v>1</v>
      </c>
      <c r="L145" s="29">
        <v>0</v>
      </c>
      <c r="M145" s="30">
        <v>45986</v>
      </c>
      <c r="N145" s="30">
        <v>46011</v>
      </c>
      <c r="O145" s="43" t="s">
        <v>149</v>
      </c>
      <c r="P145" s="55" t="s">
        <v>805</v>
      </c>
      <c r="Q145" t="s">
        <v>806</v>
      </c>
      <c r="R145" t="s">
        <v>807</v>
      </c>
    </row>
    <row r="146" spans="1:18" ht="14.45">
      <c r="A146" s="106" t="b">
        <v>0</v>
      </c>
      <c r="B146" t="str" cm="1">
        <f t="array" ref="B146">_xlfn.SINGLE(_xlfn._xlws.FILTER(t_ServiceCatalogue[Onwer],t_ServiceCatalogue[Category]=t_fac25_requirements[[#This Row],[Category]],""))</f>
        <v>NW</v>
      </c>
      <c r="C146" t="s">
        <v>188</v>
      </c>
      <c r="D146" t="str">
        <f>_xlfn._xlws.FILTER(t_Contact[FA Name],t_Contact[FA]=t_fac25_requirements[[#This Row],[FA]],"")</f>
        <v>Broadcast Operations</v>
      </c>
      <c r="E146" t="s">
        <v>214</v>
      </c>
      <c r="F146" t="s">
        <v>305</v>
      </c>
      <c r="G146" t="s">
        <v>307</v>
      </c>
      <c r="H146" t="s">
        <v>46</v>
      </c>
      <c r="I146" t="s">
        <v>47</v>
      </c>
      <c r="J146" s="28" t="s">
        <v>370</v>
      </c>
      <c r="K146" s="32">
        <v>6</v>
      </c>
      <c r="L146" s="32">
        <v>2</v>
      </c>
      <c r="M146" s="30">
        <v>45986</v>
      </c>
      <c r="N146" s="30">
        <v>46011</v>
      </c>
      <c r="O146" s="43" t="s">
        <v>48</v>
      </c>
      <c r="P146" s="55" t="s">
        <v>808</v>
      </c>
      <c r="R146" t="s">
        <v>809</v>
      </c>
    </row>
    <row r="147" spans="1:18" ht="14.45">
      <c r="A147" s="106" t="b">
        <v>1</v>
      </c>
      <c r="B147" t="str" cm="1">
        <f t="array" ref="B147">_xlfn.SINGLE(_xlfn._xlws.FILTER(t_ServiceCatalogue[Onwer],t_ServiceCatalogue[Category]=t_fac25_requirements[[#This Row],[Category]],""))</f>
        <v>NW</v>
      </c>
      <c r="C147" t="s">
        <v>188</v>
      </c>
      <c r="D147" t="str">
        <f>_xlfn._xlws.FILTER(t_Contact[FA Name],t_Contact[FA]=t_fac25_requirements[[#This Row],[FA]],"")</f>
        <v>Broadcast Operations</v>
      </c>
      <c r="E147" t="s">
        <v>214</v>
      </c>
      <c r="F147" t="s">
        <v>305</v>
      </c>
      <c r="G147" t="s">
        <v>307</v>
      </c>
      <c r="H147" t="s">
        <v>46</v>
      </c>
      <c r="I147" t="s">
        <v>148</v>
      </c>
      <c r="J147" s="28" t="s">
        <v>637</v>
      </c>
      <c r="K147" s="32">
        <v>1</v>
      </c>
      <c r="L147" s="32">
        <v>0</v>
      </c>
      <c r="M147" s="30">
        <v>45986</v>
      </c>
      <c r="N147" s="30">
        <v>46011</v>
      </c>
      <c r="O147" s="43" t="s">
        <v>149</v>
      </c>
      <c r="P147" s="55" t="s">
        <v>805</v>
      </c>
      <c r="Q147" t="s">
        <v>810</v>
      </c>
      <c r="R147" t="s">
        <v>811</v>
      </c>
    </row>
    <row r="148" spans="1:18" ht="14.45">
      <c r="A148" s="106" t="b">
        <v>0</v>
      </c>
      <c r="B148" t="str" cm="1">
        <f t="array" ref="B148">_xlfn.SINGLE(_xlfn._xlws.FILTER(t_ServiceCatalogue[Onwer],t_ServiceCatalogue[Category]=t_fac25_requirements[[#This Row],[Category]],""))</f>
        <v>EU</v>
      </c>
      <c r="C148" t="s">
        <v>188</v>
      </c>
      <c r="D148" t="str">
        <f>_xlfn._xlws.FILTER(t_Contact[FA Name],t_Contact[FA]=t_fac25_requirements[[#This Row],[FA]],"")</f>
        <v>Broadcast Operations</v>
      </c>
      <c r="E148" t="s">
        <v>214</v>
      </c>
      <c r="F148" t="s">
        <v>305</v>
      </c>
      <c r="G148" t="s">
        <v>307</v>
      </c>
      <c r="H148" t="s">
        <v>22</v>
      </c>
      <c r="I148" t="s">
        <v>23</v>
      </c>
      <c r="J148" s="28" t="s">
        <v>370</v>
      </c>
      <c r="K148" s="32"/>
      <c r="L148" s="32">
        <v>1</v>
      </c>
      <c r="M148" s="30">
        <v>45986</v>
      </c>
      <c r="N148" s="30">
        <v>46011</v>
      </c>
      <c r="O148" s="43" t="s">
        <v>24</v>
      </c>
      <c r="P148" s="55" t="s">
        <v>87</v>
      </c>
      <c r="Q148" t="s">
        <v>812</v>
      </c>
      <c r="R148" t="s">
        <v>813</v>
      </c>
    </row>
    <row r="149" spans="1:18" ht="14.45">
      <c r="A149" s="106" t="b">
        <v>0</v>
      </c>
      <c r="B149" t="str" cm="1">
        <f t="array" ref="B149">_xlfn.SINGLE(_xlfn._xlws.FILTER(t_ServiceCatalogue[Onwer],t_ServiceCatalogue[Category]=t_fac25_requirements[[#This Row],[Category]],""))</f>
        <v>NW</v>
      </c>
      <c r="C149" t="s">
        <v>188</v>
      </c>
      <c r="D149" t="str">
        <f>_xlfn._xlws.FILTER(t_Contact[FA Name],t_Contact[FA]=t_fac25_requirements[[#This Row],[FA]],"")</f>
        <v>Broadcast Operations</v>
      </c>
      <c r="E149" t="s">
        <v>214</v>
      </c>
      <c r="F149" t="s">
        <v>305</v>
      </c>
      <c r="G149" t="s">
        <v>317</v>
      </c>
      <c r="H149" t="s">
        <v>46</v>
      </c>
      <c r="I149" t="s">
        <v>47</v>
      </c>
      <c r="J149" s="28" t="s">
        <v>370</v>
      </c>
      <c r="K149" s="32">
        <v>5</v>
      </c>
      <c r="L149" s="32">
        <v>8</v>
      </c>
      <c r="M149" s="30">
        <v>45986</v>
      </c>
      <c r="N149" s="30">
        <v>46011</v>
      </c>
      <c r="O149" s="43" t="s">
        <v>48</v>
      </c>
      <c r="P149" s="55"/>
      <c r="Q149" t="s">
        <v>814</v>
      </c>
      <c r="R149" t="s">
        <v>815</v>
      </c>
    </row>
    <row r="150" spans="1:18" ht="14.45">
      <c r="A150" s="106" t="b">
        <v>0</v>
      </c>
      <c r="B150" t="str" cm="1">
        <f t="array" ref="B150">_xlfn.SINGLE(_xlfn._xlws.FILTER(t_ServiceCatalogue[Onwer],t_ServiceCatalogue[Category]=t_fac25_requirements[[#This Row],[Category]],""))</f>
        <v>NW</v>
      </c>
      <c r="C150" t="s">
        <v>188</v>
      </c>
      <c r="D150" t="str">
        <f>_xlfn._xlws.FILTER(t_Contact[FA Name],t_Contact[FA]=t_fac25_requirements[[#This Row],[FA]],"")</f>
        <v>Broadcast Operations</v>
      </c>
      <c r="E150" t="s">
        <v>214</v>
      </c>
      <c r="F150" t="s">
        <v>253</v>
      </c>
      <c r="G150" t="s">
        <v>255</v>
      </c>
      <c r="H150" t="s">
        <v>46</v>
      </c>
      <c r="I150" t="s">
        <v>256</v>
      </c>
      <c r="J150" s="28" t="s">
        <v>370</v>
      </c>
      <c r="K150" s="32"/>
      <c r="L150" s="32">
        <v>4</v>
      </c>
      <c r="M150" s="30">
        <v>45986</v>
      </c>
      <c r="N150" s="30">
        <v>46011</v>
      </c>
      <c r="O150" s="43" t="s">
        <v>149</v>
      </c>
      <c r="P150" s="55" t="s">
        <v>816</v>
      </c>
      <c r="Q150" t="s">
        <v>817</v>
      </c>
      <c r="R150" t="s">
        <v>818</v>
      </c>
    </row>
    <row r="151" spans="1:18" ht="14.45">
      <c r="A151" s="106" t="b">
        <v>0</v>
      </c>
      <c r="B151" t="str" cm="1">
        <f t="array" ref="B151">_xlfn.SINGLE(_xlfn._xlws.FILTER(t_ServiceCatalogue[Onwer],t_ServiceCatalogue[Category]=t_fac25_requirements[[#This Row],[Category]],""))</f>
        <v>NW</v>
      </c>
      <c r="C151" t="s">
        <v>188</v>
      </c>
      <c r="D151" t="str">
        <f>_xlfn._xlws.FILTER(t_Contact[FA Name],t_Contact[FA]=t_fac25_requirements[[#This Row],[FA]],"")</f>
        <v>Broadcast Operations</v>
      </c>
      <c r="E151" t="s">
        <v>214</v>
      </c>
      <c r="F151" t="s">
        <v>259</v>
      </c>
      <c r="G151" t="s">
        <v>265</v>
      </c>
      <c r="H151" t="s">
        <v>46</v>
      </c>
      <c r="I151" t="s">
        <v>256</v>
      </c>
      <c r="J151" s="28" t="s">
        <v>370</v>
      </c>
      <c r="K151" s="32"/>
      <c r="L151" s="32">
        <v>8</v>
      </c>
      <c r="M151" s="30">
        <v>45986</v>
      </c>
      <c r="N151" s="30">
        <v>46011</v>
      </c>
      <c r="O151" s="43" t="s">
        <v>149</v>
      </c>
      <c r="P151" s="55" t="s">
        <v>819</v>
      </c>
      <c r="Q151" t="s">
        <v>820</v>
      </c>
      <c r="R151" t="s">
        <v>821</v>
      </c>
    </row>
    <row r="152" spans="1:18" ht="14.45">
      <c r="A152" s="106" t="b">
        <v>0</v>
      </c>
      <c r="B152" t="str" cm="1">
        <f t="array" ref="B152">_xlfn.SINGLE(_xlfn._xlws.FILTER(t_ServiceCatalogue[Onwer],t_ServiceCatalogue[Category]=t_fac25_requirements[[#This Row],[Category]],""))</f>
        <v>NW</v>
      </c>
      <c r="C152" t="s">
        <v>188</v>
      </c>
      <c r="D152" t="str">
        <f>_xlfn._xlws.FILTER(t_Contact[FA Name],t_Contact[FA]=t_fac25_requirements[[#This Row],[FA]],"")</f>
        <v>Broadcast Operations</v>
      </c>
      <c r="E152" t="s">
        <v>214</v>
      </c>
      <c r="F152" t="s">
        <v>259</v>
      </c>
      <c r="G152" t="s">
        <v>266</v>
      </c>
      <c r="H152" t="s">
        <v>46</v>
      </c>
      <c r="I152" t="s">
        <v>256</v>
      </c>
      <c r="J152" s="28" t="s">
        <v>370</v>
      </c>
      <c r="K152" s="32"/>
      <c r="L152" s="32">
        <v>4</v>
      </c>
      <c r="M152" s="30">
        <v>45986</v>
      </c>
      <c r="N152" s="30">
        <v>46011</v>
      </c>
      <c r="O152" s="43" t="s">
        <v>149</v>
      </c>
      <c r="P152" s="55" t="s">
        <v>822</v>
      </c>
      <c r="Q152" t="s">
        <v>823</v>
      </c>
      <c r="R152" t="s">
        <v>824</v>
      </c>
    </row>
    <row r="153" spans="1:18" ht="14.45">
      <c r="A153" s="106" t="b">
        <v>0</v>
      </c>
      <c r="B153" t="str" cm="1">
        <f t="array" ref="B153">_xlfn.SINGLE(_xlfn._xlws.FILTER(t_ServiceCatalogue[Onwer],t_ServiceCatalogue[Category]=t_fac25_requirements[[#This Row],[Category]],""))</f>
        <v>NW</v>
      </c>
      <c r="C153" t="s">
        <v>188</v>
      </c>
      <c r="D153" t="str">
        <f>_xlfn._xlws.FILTER(t_Contact[FA Name],t_Contact[FA]=t_fac25_requirements[[#This Row],[FA]],"")</f>
        <v>Broadcast Operations</v>
      </c>
      <c r="E153" t="s">
        <v>214</v>
      </c>
      <c r="F153" t="s">
        <v>278</v>
      </c>
      <c r="G153" t="s">
        <v>284</v>
      </c>
      <c r="H153" t="s">
        <v>46</v>
      </c>
      <c r="I153" t="s">
        <v>280</v>
      </c>
      <c r="J153" s="28" t="s">
        <v>370</v>
      </c>
      <c r="K153" s="32">
        <v>40</v>
      </c>
      <c r="L153" s="32">
        <v>26</v>
      </c>
      <c r="M153" s="30">
        <v>45986</v>
      </c>
      <c r="N153" s="30">
        <v>46011</v>
      </c>
      <c r="O153" s="43" t="s">
        <v>149</v>
      </c>
      <c r="P153" s="55" t="s">
        <v>825</v>
      </c>
      <c r="Q153" t="s">
        <v>826</v>
      </c>
      <c r="R153" t="s">
        <v>827</v>
      </c>
    </row>
    <row r="154" spans="1:18" ht="14.45">
      <c r="A154" s="106" t="b">
        <v>1</v>
      </c>
      <c r="B154" t="str" cm="1">
        <f t="array" ref="B154">_xlfn.SINGLE(_xlfn._xlws.FILTER(t_ServiceCatalogue[Onwer],t_ServiceCatalogue[Category]=t_fac25_requirements[[#This Row],[Category]],""))</f>
        <v>AV</v>
      </c>
      <c r="C154" t="s">
        <v>188</v>
      </c>
      <c r="D154" t="str">
        <f>_xlfn._xlws.FILTER(t_Contact[FA Name],t_Contact[FA]=t_fac25_requirements[[#This Row],[FA]],"")</f>
        <v>Broadcast Operations</v>
      </c>
      <c r="E154" t="s">
        <v>214</v>
      </c>
      <c r="F154" t="s">
        <v>278</v>
      </c>
      <c r="G154" t="s">
        <v>284</v>
      </c>
      <c r="H154" t="s">
        <v>58</v>
      </c>
      <c r="I154" t="s">
        <v>282</v>
      </c>
      <c r="J154" s="28" t="s">
        <v>370</v>
      </c>
      <c r="K154" s="32">
        <v>20</v>
      </c>
      <c r="L154" s="32">
        <v>13</v>
      </c>
      <c r="M154" s="30">
        <v>45986</v>
      </c>
      <c r="N154" s="30">
        <v>46011</v>
      </c>
      <c r="O154" s="43" t="s">
        <v>497</v>
      </c>
      <c r="P154" s="55" t="s">
        <v>87</v>
      </c>
      <c r="Q154" t="s">
        <v>828</v>
      </c>
      <c r="R154" t="s">
        <v>829</v>
      </c>
    </row>
    <row r="155" spans="1:18" ht="14.45">
      <c r="A155" s="106" t="b">
        <v>1</v>
      </c>
      <c r="B155" t="str" cm="1">
        <f t="array" ref="B155">_xlfn.SINGLE(_xlfn._xlws.FILTER(t_ServiceCatalogue[Onwer],t_ServiceCatalogue[Category]=t_fac25_requirements[[#This Row],[Category]],""))</f>
        <v>AV</v>
      </c>
      <c r="C155" t="s">
        <v>188</v>
      </c>
      <c r="D155" t="str">
        <f>_xlfn._xlws.FILTER(t_Contact[FA Name],t_Contact[FA]=t_fac25_requirements[[#This Row],[FA]],"")</f>
        <v>Broadcast Operations</v>
      </c>
      <c r="E155" t="s">
        <v>214</v>
      </c>
      <c r="F155" t="s">
        <v>305</v>
      </c>
      <c r="G155" t="s">
        <v>307</v>
      </c>
      <c r="H155" t="s">
        <v>58</v>
      </c>
      <c r="I155" t="s">
        <v>59</v>
      </c>
      <c r="J155" s="28" t="s">
        <v>370</v>
      </c>
      <c r="K155" s="32"/>
      <c r="L155" s="32">
        <v>2</v>
      </c>
      <c r="M155" s="30">
        <v>45986</v>
      </c>
      <c r="N155" s="30">
        <v>46011</v>
      </c>
      <c r="O155" s="43" t="s">
        <v>112</v>
      </c>
      <c r="P155" s="55" t="s">
        <v>371</v>
      </c>
      <c r="R155" t="s">
        <v>830</v>
      </c>
    </row>
    <row r="156" spans="1:18" ht="14.45">
      <c r="A156" s="106" t="b">
        <v>0</v>
      </c>
      <c r="B156" t="str" cm="1">
        <f t="array" ref="B156">_xlfn.SINGLE(_xlfn._xlws.FILTER(t_ServiceCatalogue[Onwer],t_ServiceCatalogue[Category]=t_fac25_requirements[[#This Row],[Category]],""))</f>
        <v>NW</v>
      </c>
      <c r="C156" t="s">
        <v>188</v>
      </c>
      <c r="D156" t="str">
        <f>_xlfn._xlws.FILTER(t_Contact[FA Name],t_Contact[FA]=t_fac25_requirements[[#This Row],[FA]],"")</f>
        <v>Broadcast Operations</v>
      </c>
      <c r="E156" t="s">
        <v>214</v>
      </c>
      <c r="F156" t="s">
        <v>305</v>
      </c>
      <c r="G156" t="s">
        <v>309</v>
      </c>
      <c r="H156" t="s">
        <v>46</v>
      </c>
      <c r="I156" t="s">
        <v>47</v>
      </c>
      <c r="J156" s="28" t="s">
        <v>370</v>
      </c>
      <c r="K156" s="32"/>
      <c r="L156" s="32">
        <v>2</v>
      </c>
      <c r="M156" s="30">
        <v>45986</v>
      </c>
      <c r="N156" s="30">
        <v>46011</v>
      </c>
      <c r="O156" s="43" t="s">
        <v>48</v>
      </c>
      <c r="P156" s="55" t="s">
        <v>803</v>
      </c>
      <c r="R156" t="s">
        <v>831</v>
      </c>
    </row>
    <row r="157" spans="1:18" ht="14.45">
      <c r="A157" s="106" t="b">
        <v>0</v>
      </c>
      <c r="B157" t="str" cm="1">
        <f t="array" ref="B157">_xlfn.SINGLE(_xlfn._xlws.FILTER(t_ServiceCatalogue[Onwer],t_ServiceCatalogue[Category]=t_fac25_requirements[[#This Row],[Category]],""))</f>
        <v>NW</v>
      </c>
      <c r="C157" t="s">
        <v>188</v>
      </c>
      <c r="D157" t="str">
        <f>_xlfn._xlws.FILTER(t_Contact[FA Name],t_Contact[FA]=t_fac25_requirements[[#This Row],[FA]],"")</f>
        <v>Broadcast Operations</v>
      </c>
      <c r="E157" t="s">
        <v>214</v>
      </c>
      <c r="F157" t="s">
        <v>305</v>
      </c>
      <c r="G157" t="s">
        <v>310</v>
      </c>
      <c r="H157" t="s">
        <v>46</v>
      </c>
      <c r="I157" t="s">
        <v>47</v>
      </c>
      <c r="J157" s="28" t="s">
        <v>370</v>
      </c>
      <c r="K157" s="32"/>
      <c r="L157" s="32">
        <v>2</v>
      </c>
      <c r="M157" s="30">
        <v>45986</v>
      </c>
      <c r="N157" s="30">
        <v>46011</v>
      </c>
      <c r="O157" s="43" t="s">
        <v>48</v>
      </c>
      <c r="P157" s="55" t="s">
        <v>803</v>
      </c>
      <c r="R157" t="s">
        <v>832</v>
      </c>
    </row>
    <row r="158" spans="1:18" ht="14.45">
      <c r="A158" s="106" t="b">
        <v>1</v>
      </c>
      <c r="B158" t="str" cm="1">
        <f t="array" ref="B158">_xlfn.SINGLE(_xlfn._xlws.FILTER(t_ServiceCatalogue[Onwer],t_ServiceCatalogue[Category]=t_fac25_requirements[[#This Row],[Category]],""))</f>
        <v>NW</v>
      </c>
      <c r="C158" t="s">
        <v>188</v>
      </c>
      <c r="D158" t="str">
        <f>_xlfn._xlws.FILTER(t_Contact[FA Name],t_Contact[FA]=t_fac25_requirements[[#This Row],[FA]],"")</f>
        <v>Broadcast Operations</v>
      </c>
      <c r="E158" t="s">
        <v>214</v>
      </c>
      <c r="F158" t="s">
        <v>305</v>
      </c>
      <c r="G158" t="s">
        <v>833</v>
      </c>
      <c r="H158" t="s">
        <v>46</v>
      </c>
      <c r="I158" t="s">
        <v>47</v>
      </c>
      <c r="J158" s="28" t="s">
        <v>637</v>
      </c>
      <c r="K158" s="32">
        <v>2</v>
      </c>
      <c r="L158" s="32">
        <v>0</v>
      </c>
      <c r="M158" s="30">
        <v>45986</v>
      </c>
      <c r="N158" s="30">
        <v>46011</v>
      </c>
      <c r="O158" s="43" t="s">
        <v>48</v>
      </c>
      <c r="P158" s="55" t="s">
        <v>800</v>
      </c>
      <c r="Q158" t="s">
        <v>834</v>
      </c>
      <c r="R158" t="s">
        <v>835</v>
      </c>
    </row>
    <row r="159" spans="1:18" ht="14.45">
      <c r="A159" s="106" t="b">
        <v>1</v>
      </c>
      <c r="B159" t="str" cm="1">
        <f t="array" ref="B159">_xlfn.SINGLE(_xlfn._xlws.FILTER(t_ServiceCatalogue[Onwer],t_ServiceCatalogue[Category]=t_fac25_requirements[[#This Row],[Category]],""))</f>
        <v>NW</v>
      </c>
      <c r="C159" t="s">
        <v>188</v>
      </c>
      <c r="D159" t="str">
        <f>_xlfn._xlws.FILTER(t_Contact[FA Name],t_Contact[FA]=t_fac25_requirements[[#This Row],[FA]],"")</f>
        <v>Broadcast Operations</v>
      </c>
      <c r="E159" t="s">
        <v>214</v>
      </c>
      <c r="F159" t="s">
        <v>268</v>
      </c>
      <c r="G159" t="s">
        <v>272</v>
      </c>
      <c r="H159" t="s">
        <v>46</v>
      </c>
      <c r="I159" t="s">
        <v>47</v>
      </c>
      <c r="J159" s="28" t="s">
        <v>637</v>
      </c>
      <c r="K159" s="32">
        <v>2</v>
      </c>
      <c r="L159" s="32">
        <v>0</v>
      </c>
      <c r="M159" s="30">
        <v>45986</v>
      </c>
      <c r="N159" s="30">
        <v>46011</v>
      </c>
      <c r="O159" s="43" t="s">
        <v>48</v>
      </c>
      <c r="P159" s="55" t="s">
        <v>800</v>
      </c>
      <c r="Q159" t="s">
        <v>836</v>
      </c>
      <c r="R159" t="s">
        <v>837</v>
      </c>
    </row>
    <row r="160" spans="1:18" ht="14.45">
      <c r="A160" s="106" t="b">
        <v>0</v>
      </c>
      <c r="B160" t="str" cm="1">
        <f t="array" ref="B160">_xlfn.SINGLE(_xlfn._xlws.FILTER(t_ServiceCatalogue[Onwer],t_ServiceCatalogue[Category]=t_fac25_requirements[[#This Row],[Category]],""))</f>
        <v>NW</v>
      </c>
      <c r="C160" t="s">
        <v>188</v>
      </c>
      <c r="D160" t="str">
        <f>_xlfn._xlws.FILTER(t_Contact[FA Name],t_Contact[FA]=t_fac25_requirements[[#This Row],[FA]],"")</f>
        <v>Broadcast Operations</v>
      </c>
      <c r="E160" t="s">
        <v>213</v>
      </c>
      <c r="F160" t="s">
        <v>246</v>
      </c>
      <c r="G160" t="s">
        <v>250</v>
      </c>
      <c r="H160" t="s">
        <v>46</v>
      </c>
      <c r="I160" s="28" t="s">
        <v>47</v>
      </c>
      <c r="J160" s="28" t="s">
        <v>370</v>
      </c>
      <c r="K160" s="32"/>
      <c r="L160" s="32">
        <v>1</v>
      </c>
      <c r="M160" s="30">
        <v>45986</v>
      </c>
      <c r="N160" s="30">
        <v>46011</v>
      </c>
      <c r="O160" s="43" t="s">
        <v>48</v>
      </c>
      <c r="P160" s="55" t="s">
        <v>795</v>
      </c>
      <c r="R160" t="s">
        <v>838</v>
      </c>
    </row>
    <row r="161" spans="1:18" ht="43.15">
      <c r="A161" s="106" t="b">
        <v>0</v>
      </c>
      <c r="B161" t="str" cm="1">
        <f t="array" ref="B161">_xlfn.SINGLE(_xlfn._xlws.FILTER(t_ServiceCatalogue[Onwer],t_ServiceCatalogue[Category]=t_fac25_requirements[[#This Row],[Category]],""))</f>
        <v>NW</v>
      </c>
      <c r="C161" t="s">
        <v>188</v>
      </c>
      <c r="D161" t="str">
        <f>_xlfn._xlws.FILTER(t_Contact[FA Name],t_Contact[FA]=t_fac25_requirements[[#This Row],[FA]],"")</f>
        <v>Broadcast Operations</v>
      </c>
      <c r="E161" t="s">
        <v>213</v>
      </c>
      <c r="F161" t="s">
        <v>246</v>
      </c>
      <c r="G161" t="s">
        <v>250</v>
      </c>
      <c r="H161" t="s">
        <v>46</v>
      </c>
      <c r="I161" s="28" t="s">
        <v>47</v>
      </c>
      <c r="J161" s="28" t="s">
        <v>370</v>
      </c>
      <c r="K161" s="32">
        <v>5</v>
      </c>
      <c r="L161" s="29">
        <v>3</v>
      </c>
      <c r="M161" s="30">
        <v>45986</v>
      </c>
      <c r="N161" s="30">
        <v>46011</v>
      </c>
      <c r="O161" s="43" t="s">
        <v>149</v>
      </c>
      <c r="P161" s="70" t="s">
        <v>797</v>
      </c>
      <c r="Q161" t="s">
        <v>798</v>
      </c>
      <c r="R161" t="s">
        <v>839</v>
      </c>
    </row>
    <row r="162" spans="1:18" ht="14.45">
      <c r="A162" s="106" t="b">
        <v>0</v>
      </c>
      <c r="B162" t="str" cm="1">
        <f t="array" ref="B162">_xlfn.SINGLE(_xlfn._xlws.FILTER(t_ServiceCatalogue[Onwer],t_ServiceCatalogue[Category]=t_fac25_requirements[[#This Row],[Category]],""))</f>
        <v>NW</v>
      </c>
      <c r="C162" t="s">
        <v>188</v>
      </c>
      <c r="D162" t="str">
        <f>_xlfn._xlws.FILTER(t_Contact[FA Name],t_Contact[FA]=t_fac25_requirements[[#This Row],[FA]],"")</f>
        <v>Broadcast Operations</v>
      </c>
      <c r="E162" t="s">
        <v>213</v>
      </c>
      <c r="F162" t="s">
        <v>246</v>
      </c>
      <c r="G162" t="s">
        <v>249</v>
      </c>
      <c r="H162" t="s">
        <v>46</v>
      </c>
      <c r="I162" t="s">
        <v>47</v>
      </c>
      <c r="J162" s="28" t="s">
        <v>370</v>
      </c>
      <c r="K162" s="29">
        <v>6</v>
      </c>
      <c r="L162" s="29">
        <v>3</v>
      </c>
      <c r="M162" s="30">
        <v>45986</v>
      </c>
      <c r="N162" s="30">
        <v>46011</v>
      </c>
      <c r="O162" s="43" t="s">
        <v>48</v>
      </c>
      <c r="P162" s="55" t="s">
        <v>800</v>
      </c>
      <c r="Q162" t="s">
        <v>801</v>
      </c>
      <c r="R162" t="s">
        <v>840</v>
      </c>
    </row>
    <row r="163" spans="1:18" ht="14.45">
      <c r="A163" s="106" t="b">
        <v>0</v>
      </c>
      <c r="B163" t="str" cm="1">
        <f t="array" ref="B163">_xlfn.SINGLE(_xlfn._xlws.FILTER(t_ServiceCatalogue[Onwer],t_ServiceCatalogue[Category]=t_fac25_requirements[[#This Row],[Category]],""))</f>
        <v>NW</v>
      </c>
      <c r="C163" t="s">
        <v>188</v>
      </c>
      <c r="D163" t="str">
        <f>_xlfn._xlws.FILTER(t_Contact[FA Name],t_Contact[FA]=t_fac25_requirements[[#This Row],[FA]],"")</f>
        <v>Broadcast Operations</v>
      </c>
      <c r="E163" t="s">
        <v>213</v>
      </c>
      <c r="F163" t="s">
        <v>305</v>
      </c>
      <c r="G163" t="s">
        <v>312</v>
      </c>
      <c r="H163" t="s">
        <v>46</v>
      </c>
      <c r="I163" t="s">
        <v>47</v>
      </c>
      <c r="J163" s="28" t="s">
        <v>370</v>
      </c>
      <c r="K163" s="32"/>
      <c r="L163" s="32">
        <v>2</v>
      </c>
      <c r="M163" s="30">
        <v>45986</v>
      </c>
      <c r="N163" s="30">
        <v>46011</v>
      </c>
      <c r="O163" s="43" t="s">
        <v>48</v>
      </c>
      <c r="P163" s="55" t="s">
        <v>87</v>
      </c>
      <c r="R163" t="s">
        <v>841</v>
      </c>
    </row>
    <row r="164" spans="1:18" ht="14.45">
      <c r="A164" s="106" t="b">
        <v>1</v>
      </c>
      <c r="B164" t="str" cm="1">
        <f t="array" ref="B164">_xlfn.SINGLE(_xlfn._xlws.FILTER(t_ServiceCatalogue[Onwer],t_ServiceCatalogue[Category]=t_fac25_requirements[[#This Row],[Category]],""))</f>
        <v>NW</v>
      </c>
      <c r="C164" t="s">
        <v>188</v>
      </c>
      <c r="D164" t="str">
        <f>_xlfn._xlws.FILTER(t_Contact[FA Name],t_Contact[FA]=t_fac25_requirements[[#This Row],[FA]],"")</f>
        <v>Broadcast Operations</v>
      </c>
      <c r="E164" t="s">
        <v>213</v>
      </c>
      <c r="F164" t="s">
        <v>305</v>
      </c>
      <c r="G164" t="s">
        <v>312</v>
      </c>
      <c r="H164" t="s">
        <v>46</v>
      </c>
      <c r="I164" t="s">
        <v>148</v>
      </c>
      <c r="J164" s="28" t="s">
        <v>637</v>
      </c>
      <c r="K164" s="29">
        <v>1</v>
      </c>
      <c r="L164" s="29">
        <v>0</v>
      </c>
      <c r="M164" s="30">
        <v>45986</v>
      </c>
      <c r="N164" s="30">
        <v>46011</v>
      </c>
      <c r="O164" s="43" t="s">
        <v>149</v>
      </c>
      <c r="P164" s="55" t="s">
        <v>805</v>
      </c>
      <c r="Q164" t="s">
        <v>806</v>
      </c>
      <c r="R164" t="s">
        <v>842</v>
      </c>
    </row>
    <row r="165" spans="1:18" ht="14.45">
      <c r="A165" s="106" t="b">
        <v>0</v>
      </c>
      <c r="B165" t="str" cm="1">
        <f t="array" ref="B165">_xlfn.SINGLE(_xlfn._xlws.FILTER(t_ServiceCatalogue[Onwer],t_ServiceCatalogue[Category]=t_fac25_requirements[[#This Row],[Category]],""))</f>
        <v>NW</v>
      </c>
      <c r="C165" t="s">
        <v>188</v>
      </c>
      <c r="D165" t="str">
        <f>_xlfn._xlws.FILTER(t_Contact[FA Name],t_Contact[FA]=t_fac25_requirements[[#This Row],[FA]],"")</f>
        <v>Broadcast Operations</v>
      </c>
      <c r="E165" t="s">
        <v>213</v>
      </c>
      <c r="F165" t="s">
        <v>305</v>
      </c>
      <c r="G165" t="s">
        <v>307</v>
      </c>
      <c r="H165" t="s">
        <v>46</v>
      </c>
      <c r="I165" t="s">
        <v>47</v>
      </c>
      <c r="J165" s="28" t="s">
        <v>370</v>
      </c>
      <c r="K165" s="32">
        <v>6</v>
      </c>
      <c r="L165" s="32">
        <v>2</v>
      </c>
      <c r="M165" s="30">
        <v>45986</v>
      </c>
      <c r="N165" s="30">
        <v>46011</v>
      </c>
      <c r="O165" s="43" t="s">
        <v>48</v>
      </c>
      <c r="P165" s="55" t="s">
        <v>808</v>
      </c>
      <c r="R165" t="s">
        <v>843</v>
      </c>
    </row>
    <row r="166" spans="1:18" ht="14.45">
      <c r="A166" s="106" t="b">
        <v>1</v>
      </c>
      <c r="B166" t="str" cm="1">
        <f t="array" ref="B166">_xlfn.SINGLE(_xlfn._xlws.FILTER(t_ServiceCatalogue[Onwer],t_ServiceCatalogue[Category]=t_fac25_requirements[[#This Row],[Category]],""))</f>
        <v>NW</v>
      </c>
      <c r="C166" t="s">
        <v>188</v>
      </c>
      <c r="D166" t="str">
        <f>_xlfn._xlws.FILTER(t_Contact[FA Name],t_Contact[FA]=t_fac25_requirements[[#This Row],[FA]],"")</f>
        <v>Broadcast Operations</v>
      </c>
      <c r="E166" t="s">
        <v>213</v>
      </c>
      <c r="F166" t="s">
        <v>305</v>
      </c>
      <c r="G166" t="s">
        <v>307</v>
      </c>
      <c r="H166" t="s">
        <v>46</v>
      </c>
      <c r="I166" t="s">
        <v>148</v>
      </c>
      <c r="J166" s="28" t="s">
        <v>637</v>
      </c>
      <c r="K166" s="29">
        <v>1</v>
      </c>
      <c r="L166" s="29">
        <v>0</v>
      </c>
      <c r="M166" s="30">
        <v>45986</v>
      </c>
      <c r="N166" s="30">
        <v>46011</v>
      </c>
      <c r="O166" s="43" t="s">
        <v>149</v>
      </c>
      <c r="P166" s="55" t="s">
        <v>805</v>
      </c>
      <c r="Q166" t="s">
        <v>810</v>
      </c>
      <c r="R166" t="s">
        <v>844</v>
      </c>
    </row>
    <row r="167" spans="1:18" ht="14.45">
      <c r="A167" s="106" t="b">
        <v>1</v>
      </c>
      <c r="B167" t="str" cm="1">
        <f t="array" ref="B167">_xlfn.SINGLE(_xlfn._xlws.FILTER(t_ServiceCatalogue[Onwer],t_ServiceCatalogue[Category]=t_fac25_requirements[[#This Row],[Category]],""))</f>
        <v>EU</v>
      </c>
      <c r="C167" t="s">
        <v>188</v>
      </c>
      <c r="D167" t="str">
        <f>_xlfn._xlws.FILTER(t_Contact[FA Name],t_Contact[FA]=t_fac25_requirements[[#This Row],[FA]],"")</f>
        <v>Broadcast Operations</v>
      </c>
      <c r="E167" t="s">
        <v>213</v>
      </c>
      <c r="F167" t="s">
        <v>305</v>
      </c>
      <c r="G167" t="s">
        <v>307</v>
      </c>
      <c r="H167" t="s">
        <v>22</v>
      </c>
      <c r="I167" t="s">
        <v>23</v>
      </c>
      <c r="J167" s="28" t="s">
        <v>370</v>
      </c>
      <c r="K167" s="32"/>
      <c r="L167" s="32">
        <v>1</v>
      </c>
      <c r="M167" s="30">
        <v>45986</v>
      </c>
      <c r="N167" s="30">
        <v>46011</v>
      </c>
      <c r="O167" s="43" t="s">
        <v>24</v>
      </c>
      <c r="P167" s="55" t="s">
        <v>87</v>
      </c>
      <c r="Q167" t="s">
        <v>812</v>
      </c>
      <c r="R167" t="s">
        <v>845</v>
      </c>
    </row>
    <row r="168" spans="1:18" ht="14.45">
      <c r="A168" s="106" t="b">
        <v>0</v>
      </c>
      <c r="B168" t="str" cm="1">
        <f t="array" ref="B168">_xlfn.SINGLE(_xlfn._xlws.FILTER(t_ServiceCatalogue[Onwer],t_ServiceCatalogue[Category]=t_fac25_requirements[[#This Row],[Category]],""))</f>
        <v>NW</v>
      </c>
      <c r="C168" t="s">
        <v>188</v>
      </c>
      <c r="D168" t="str">
        <f>_xlfn._xlws.FILTER(t_Contact[FA Name],t_Contact[FA]=t_fac25_requirements[[#This Row],[FA]],"")</f>
        <v>Broadcast Operations</v>
      </c>
      <c r="E168" t="s">
        <v>213</v>
      </c>
      <c r="F168" t="s">
        <v>305</v>
      </c>
      <c r="G168" t="s">
        <v>317</v>
      </c>
      <c r="H168" t="s">
        <v>46</v>
      </c>
      <c r="I168" t="s">
        <v>47</v>
      </c>
      <c r="J168" s="28" t="s">
        <v>370</v>
      </c>
      <c r="K168" s="32">
        <v>5</v>
      </c>
      <c r="L168" s="32">
        <v>5</v>
      </c>
      <c r="M168" s="30">
        <v>45986</v>
      </c>
      <c r="N168" s="30">
        <v>46011</v>
      </c>
      <c r="O168" s="43" t="s">
        <v>48</v>
      </c>
      <c r="P168" s="55" t="s">
        <v>87</v>
      </c>
      <c r="Q168" t="s">
        <v>814</v>
      </c>
      <c r="R168" t="s">
        <v>846</v>
      </c>
    </row>
    <row r="169" spans="1:18" ht="14.45">
      <c r="A169" s="106" t="b">
        <v>0</v>
      </c>
      <c r="B169" t="str" cm="1">
        <f t="array" ref="B169">_xlfn.SINGLE(_xlfn._xlws.FILTER(t_ServiceCatalogue[Onwer],t_ServiceCatalogue[Category]=t_fac25_requirements[[#This Row],[Category]],""))</f>
        <v>NW</v>
      </c>
      <c r="C169" t="s">
        <v>188</v>
      </c>
      <c r="D169" t="str">
        <f>_xlfn._xlws.FILTER(t_Contact[FA Name],t_Contact[FA]=t_fac25_requirements[[#This Row],[FA]],"")</f>
        <v>Broadcast Operations</v>
      </c>
      <c r="E169" t="s">
        <v>213</v>
      </c>
      <c r="F169" t="s">
        <v>253</v>
      </c>
      <c r="G169" t="s">
        <v>255</v>
      </c>
      <c r="H169" t="s">
        <v>46</v>
      </c>
      <c r="I169" t="s">
        <v>256</v>
      </c>
      <c r="J169" s="28" t="s">
        <v>370</v>
      </c>
      <c r="K169" s="32"/>
      <c r="L169" s="32">
        <v>4</v>
      </c>
      <c r="M169" s="30">
        <v>45986</v>
      </c>
      <c r="N169" s="30">
        <v>46011</v>
      </c>
      <c r="O169" s="43" t="s">
        <v>149</v>
      </c>
      <c r="P169" s="55" t="s">
        <v>816</v>
      </c>
      <c r="Q169" t="s">
        <v>817</v>
      </c>
      <c r="R169" t="s">
        <v>847</v>
      </c>
    </row>
    <row r="170" spans="1:18" ht="14.45">
      <c r="A170" s="106" t="b">
        <v>0</v>
      </c>
      <c r="B170" t="str" cm="1">
        <f t="array" ref="B170">_xlfn.SINGLE(_xlfn._xlws.FILTER(t_ServiceCatalogue[Onwer],t_ServiceCatalogue[Category]=t_fac25_requirements[[#This Row],[Category]],""))</f>
        <v>NW</v>
      </c>
      <c r="C170" t="s">
        <v>188</v>
      </c>
      <c r="D170" t="str">
        <f>_xlfn._xlws.FILTER(t_Contact[FA Name],t_Contact[FA]=t_fac25_requirements[[#This Row],[FA]],"")</f>
        <v>Broadcast Operations</v>
      </c>
      <c r="E170" t="s">
        <v>213</v>
      </c>
      <c r="F170" t="s">
        <v>259</v>
      </c>
      <c r="G170" t="s">
        <v>265</v>
      </c>
      <c r="H170" t="s">
        <v>46</v>
      </c>
      <c r="I170" t="s">
        <v>256</v>
      </c>
      <c r="J170" s="28" t="s">
        <v>370</v>
      </c>
      <c r="K170" s="32"/>
      <c r="L170" s="32">
        <v>8</v>
      </c>
      <c r="M170" s="30">
        <v>45986</v>
      </c>
      <c r="N170" s="30">
        <v>46011</v>
      </c>
      <c r="O170" s="43" t="s">
        <v>149</v>
      </c>
      <c r="P170" s="55" t="s">
        <v>819</v>
      </c>
      <c r="Q170" t="s">
        <v>820</v>
      </c>
      <c r="R170" t="s">
        <v>848</v>
      </c>
    </row>
    <row r="171" spans="1:18" ht="14.45">
      <c r="A171" s="106" t="b">
        <v>0</v>
      </c>
      <c r="B171" t="str" cm="1">
        <f t="array" ref="B171">_xlfn.SINGLE(_xlfn._xlws.FILTER(t_ServiceCatalogue[Onwer],t_ServiceCatalogue[Category]=t_fac25_requirements[[#This Row],[Category]],""))</f>
        <v>NW</v>
      </c>
      <c r="C171" t="s">
        <v>188</v>
      </c>
      <c r="D171" t="str">
        <f>_xlfn._xlws.FILTER(t_Contact[FA Name],t_Contact[FA]=t_fac25_requirements[[#This Row],[FA]],"")</f>
        <v>Broadcast Operations</v>
      </c>
      <c r="E171" t="s">
        <v>213</v>
      </c>
      <c r="F171" t="s">
        <v>259</v>
      </c>
      <c r="G171" t="s">
        <v>266</v>
      </c>
      <c r="H171" t="s">
        <v>46</v>
      </c>
      <c r="I171" t="s">
        <v>256</v>
      </c>
      <c r="J171" s="28" t="s">
        <v>370</v>
      </c>
      <c r="K171" s="32"/>
      <c r="L171" s="32">
        <v>4</v>
      </c>
      <c r="M171" s="30">
        <v>45986</v>
      </c>
      <c r="N171" s="30">
        <v>46011</v>
      </c>
      <c r="O171" s="43" t="s">
        <v>149</v>
      </c>
      <c r="P171" s="55" t="s">
        <v>822</v>
      </c>
      <c r="Q171" t="s">
        <v>823</v>
      </c>
      <c r="R171" t="s">
        <v>849</v>
      </c>
    </row>
    <row r="172" spans="1:18" ht="14.45">
      <c r="A172" s="106" t="b">
        <v>0</v>
      </c>
      <c r="B172" t="str" cm="1">
        <f t="array" ref="B172">_xlfn.SINGLE(_xlfn._xlws.FILTER(t_ServiceCatalogue[Onwer],t_ServiceCatalogue[Category]=t_fac25_requirements[[#This Row],[Category]],""))</f>
        <v>NW</v>
      </c>
      <c r="C172" t="s">
        <v>188</v>
      </c>
      <c r="D172" t="str">
        <f>_xlfn._xlws.FILTER(t_Contact[FA Name],t_Contact[FA]=t_fac25_requirements[[#This Row],[FA]],"")</f>
        <v>Broadcast Operations</v>
      </c>
      <c r="E172" t="s">
        <v>213</v>
      </c>
      <c r="F172" t="s">
        <v>278</v>
      </c>
      <c r="G172" t="s">
        <v>284</v>
      </c>
      <c r="H172" t="s">
        <v>46</v>
      </c>
      <c r="I172" t="s">
        <v>280</v>
      </c>
      <c r="J172" s="28" t="s">
        <v>370</v>
      </c>
      <c r="K172" s="32">
        <v>40</v>
      </c>
      <c r="L172" s="32">
        <v>26</v>
      </c>
      <c r="M172" s="30">
        <v>45986</v>
      </c>
      <c r="N172" s="30">
        <v>46011</v>
      </c>
      <c r="O172" s="43" t="s">
        <v>149</v>
      </c>
      <c r="P172" s="55" t="s">
        <v>825</v>
      </c>
      <c r="Q172" t="s">
        <v>850</v>
      </c>
      <c r="R172" t="s">
        <v>851</v>
      </c>
    </row>
    <row r="173" spans="1:18" ht="14.45">
      <c r="A173" s="106" t="b">
        <v>0</v>
      </c>
      <c r="B173" t="str" cm="1">
        <f t="array" ref="B173">_xlfn.SINGLE(_xlfn._xlws.FILTER(t_ServiceCatalogue[Onwer],t_ServiceCatalogue[Category]=t_fac25_requirements[[#This Row],[Category]],""))</f>
        <v>AV</v>
      </c>
      <c r="C173" t="s">
        <v>188</v>
      </c>
      <c r="D173" t="str">
        <f>_xlfn._xlws.FILTER(t_Contact[FA Name],t_Contact[FA]=t_fac25_requirements[[#This Row],[FA]],"")</f>
        <v>Broadcast Operations</v>
      </c>
      <c r="E173" t="s">
        <v>213</v>
      </c>
      <c r="F173" t="s">
        <v>278</v>
      </c>
      <c r="G173" t="s">
        <v>284</v>
      </c>
      <c r="H173" t="s">
        <v>58</v>
      </c>
      <c r="I173" t="s">
        <v>282</v>
      </c>
      <c r="J173" s="28" t="s">
        <v>370</v>
      </c>
      <c r="K173" s="32">
        <v>20</v>
      </c>
      <c r="L173" s="32">
        <v>13</v>
      </c>
      <c r="M173" s="30">
        <v>45986</v>
      </c>
      <c r="N173" s="30">
        <v>46011</v>
      </c>
      <c r="O173" s="43" t="s">
        <v>497</v>
      </c>
      <c r="P173" s="55" t="s">
        <v>87</v>
      </c>
      <c r="Q173" t="s">
        <v>852</v>
      </c>
      <c r="R173" t="s">
        <v>853</v>
      </c>
    </row>
    <row r="174" spans="1:18" ht="14.45">
      <c r="A174" s="106" t="b">
        <v>0</v>
      </c>
      <c r="B174" t="str" cm="1">
        <f t="array" ref="B174">_xlfn.SINGLE(_xlfn._xlws.FILTER(t_ServiceCatalogue[Onwer],t_ServiceCatalogue[Category]=t_fac25_requirements[[#This Row],[Category]],""))</f>
        <v>AV</v>
      </c>
      <c r="C174" t="s">
        <v>188</v>
      </c>
      <c r="D174" t="str">
        <f>_xlfn._xlws.FILTER(t_Contact[FA Name],t_Contact[FA]=t_fac25_requirements[[#This Row],[FA]],"")</f>
        <v>Broadcast Operations</v>
      </c>
      <c r="E174" t="s">
        <v>213</v>
      </c>
      <c r="F174" t="s">
        <v>305</v>
      </c>
      <c r="G174" t="s">
        <v>307</v>
      </c>
      <c r="H174" t="s">
        <v>58</v>
      </c>
      <c r="I174" t="s">
        <v>59</v>
      </c>
      <c r="J174" s="28" t="s">
        <v>370</v>
      </c>
      <c r="K174" s="32"/>
      <c r="L174" s="32">
        <v>2</v>
      </c>
      <c r="M174" s="30">
        <v>45986</v>
      </c>
      <c r="N174" s="30">
        <v>46011</v>
      </c>
      <c r="O174" s="43" t="s">
        <v>112</v>
      </c>
      <c r="P174" s="55" t="s">
        <v>371</v>
      </c>
      <c r="R174" t="s">
        <v>854</v>
      </c>
    </row>
    <row r="175" spans="1:18" ht="14.45">
      <c r="A175" s="106" t="b">
        <v>0</v>
      </c>
      <c r="B175" t="str" cm="1">
        <f t="array" ref="B175">_xlfn.SINGLE(_xlfn._xlws.FILTER(t_ServiceCatalogue[Onwer],t_ServiceCatalogue[Category]=t_fac25_requirements[[#This Row],[Category]],""))</f>
        <v>NW</v>
      </c>
      <c r="C175" t="s">
        <v>188</v>
      </c>
      <c r="D175" t="str">
        <f>_xlfn._xlws.FILTER(t_Contact[FA Name],t_Contact[FA]=t_fac25_requirements[[#This Row],[FA]],"")</f>
        <v>Broadcast Operations</v>
      </c>
      <c r="E175" t="s">
        <v>213</v>
      </c>
      <c r="F175" t="s">
        <v>305</v>
      </c>
      <c r="G175" t="s">
        <v>309</v>
      </c>
      <c r="H175" t="s">
        <v>46</v>
      </c>
      <c r="I175" t="s">
        <v>47</v>
      </c>
      <c r="J175" s="28" t="s">
        <v>370</v>
      </c>
      <c r="K175" s="32"/>
      <c r="L175" s="32">
        <v>2</v>
      </c>
      <c r="M175" s="30">
        <v>45986</v>
      </c>
      <c r="N175" s="30">
        <v>46011</v>
      </c>
      <c r="O175" s="43" t="s">
        <v>48</v>
      </c>
      <c r="P175" s="55" t="s">
        <v>803</v>
      </c>
      <c r="R175" t="s">
        <v>855</v>
      </c>
    </row>
    <row r="176" spans="1:18" ht="14.45">
      <c r="A176" s="106" t="b">
        <v>0</v>
      </c>
      <c r="B176" t="str" cm="1">
        <f t="array" ref="B176">_xlfn.SINGLE(_xlfn._xlws.FILTER(t_ServiceCatalogue[Onwer],t_ServiceCatalogue[Category]=t_fac25_requirements[[#This Row],[Category]],""))</f>
        <v>NW</v>
      </c>
      <c r="C176" t="s">
        <v>188</v>
      </c>
      <c r="D176" t="str">
        <f>_xlfn._xlws.FILTER(t_Contact[FA Name],t_Contact[FA]=t_fac25_requirements[[#This Row],[FA]],"")</f>
        <v>Broadcast Operations</v>
      </c>
      <c r="E176" t="s">
        <v>213</v>
      </c>
      <c r="F176" t="s">
        <v>305</v>
      </c>
      <c r="G176" t="s">
        <v>310</v>
      </c>
      <c r="H176" t="s">
        <v>46</v>
      </c>
      <c r="I176" t="s">
        <v>47</v>
      </c>
      <c r="J176" s="28" t="s">
        <v>370</v>
      </c>
      <c r="K176" s="32"/>
      <c r="L176" s="32">
        <v>2</v>
      </c>
      <c r="M176" s="30">
        <v>45986</v>
      </c>
      <c r="N176" s="30">
        <v>46011</v>
      </c>
      <c r="O176" s="43" t="s">
        <v>48</v>
      </c>
      <c r="P176" s="55" t="s">
        <v>803</v>
      </c>
      <c r="R176" t="s">
        <v>856</v>
      </c>
    </row>
    <row r="177" spans="1:18" ht="14.45">
      <c r="A177" s="106" t="b">
        <v>1</v>
      </c>
      <c r="B177" t="str" cm="1">
        <f t="array" ref="B177">_xlfn.SINGLE(_xlfn._xlws.FILTER(t_ServiceCatalogue[Onwer],t_ServiceCatalogue[Category]=t_fac25_requirements[[#This Row],[Category]],""))</f>
        <v>NW</v>
      </c>
      <c r="C177" t="s">
        <v>188</v>
      </c>
      <c r="D177" t="str">
        <f>_xlfn._xlws.FILTER(t_Contact[FA Name],t_Contact[FA]=t_fac25_requirements[[#This Row],[FA]],"")</f>
        <v>Broadcast Operations</v>
      </c>
      <c r="E177" t="s">
        <v>213</v>
      </c>
      <c r="F177" t="s">
        <v>305</v>
      </c>
      <c r="G177" t="s">
        <v>833</v>
      </c>
      <c r="H177" t="s">
        <v>46</v>
      </c>
      <c r="I177" t="s">
        <v>47</v>
      </c>
      <c r="J177" s="28" t="s">
        <v>637</v>
      </c>
      <c r="K177" s="32">
        <v>2</v>
      </c>
      <c r="L177" s="32">
        <v>0</v>
      </c>
      <c r="M177" s="30">
        <v>45986</v>
      </c>
      <c r="N177" s="30">
        <v>46011</v>
      </c>
      <c r="O177" s="43" t="s">
        <v>48</v>
      </c>
      <c r="P177" s="55" t="s">
        <v>800</v>
      </c>
      <c r="Q177" t="s">
        <v>834</v>
      </c>
      <c r="R177" t="s">
        <v>857</v>
      </c>
    </row>
    <row r="178" spans="1:18" ht="14.45">
      <c r="A178" s="106" t="b">
        <v>1</v>
      </c>
      <c r="B178" t="str" cm="1">
        <f t="array" ref="B178">_xlfn.SINGLE(_xlfn._xlws.FILTER(t_ServiceCatalogue[Onwer],t_ServiceCatalogue[Category]=t_fac25_requirements[[#This Row],[Category]],""))</f>
        <v>NW</v>
      </c>
      <c r="C178" t="s">
        <v>188</v>
      </c>
      <c r="D178" t="str">
        <f>_xlfn._xlws.FILTER(t_Contact[FA Name],t_Contact[FA]=t_fac25_requirements[[#This Row],[FA]],"")</f>
        <v>Broadcast Operations</v>
      </c>
      <c r="E178" t="s">
        <v>213</v>
      </c>
      <c r="F178" t="s">
        <v>268</v>
      </c>
      <c r="G178" t="s">
        <v>272</v>
      </c>
      <c r="H178" t="s">
        <v>46</v>
      </c>
      <c r="I178" t="s">
        <v>47</v>
      </c>
      <c r="J178" s="28" t="s">
        <v>637</v>
      </c>
      <c r="K178" s="32">
        <v>2</v>
      </c>
      <c r="L178" s="32">
        <v>0</v>
      </c>
      <c r="M178" s="30">
        <v>45986</v>
      </c>
      <c r="N178" s="30">
        <v>46011</v>
      </c>
      <c r="O178" s="43" t="s">
        <v>48</v>
      </c>
      <c r="P178" s="55" t="s">
        <v>800</v>
      </c>
      <c r="Q178" t="s">
        <v>836</v>
      </c>
      <c r="R178" t="s">
        <v>858</v>
      </c>
    </row>
    <row r="179" spans="1:18" ht="14.45">
      <c r="A179" s="106" t="b">
        <v>0</v>
      </c>
      <c r="B179" t="str" cm="1">
        <f t="array" ref="B179">_xlfn.SINGLE(_xlfn._xlws.FILTER(t_ServiceCatalogue[Onwer],t_ServiceCatalogue[Category]=t_fac25_requirements[[#This Row],[Category]],""))</f>
        <v>NW</v>
      </c>
      <c r="C179" t="s">
        <v>188</v>
      </c>
      <c r="D179" t="str">
        <f>_xlfn._xlws.FILTER(t_Contact[FA Name],t_Contact[FA]=t_fac25_requirements[[#This Row],[FA]],"")</f>
        <v>Broadcast Operations</v>
      </c>
      <c r="E179" s="43">
        <v>974</v>
      </c>
      <c r="F179" t="s">
        <v>246</v>
      </c>
      <c r="G179" t="s">
        <v>250</v>
      </c>
      <c r="H179" t="s">
        <v>46</v>
      </c>
      <c r="I179" s="28" t="s">
        <v>47</v>
      </c>
      <c r="J179" s="28" t="s">
        <v>370</v>
      </c>
      <c r="K179" s="32"/>
      <c r="L179" s="32">
        <v>1</v>
      </c>
      <c r="M179" s="30">
        <v>45987</v>
      </c>
      <c r="N179" s="30">
        <v>46005</v>
      </c>
      <c r="O179" s="43" t="s">
        <v>48</v>
      </c>
      <c r="P179" s="55" t="s">
        <v>795</v>
      </c>
      <c r="R179" t="s">
        <v>859</v>
      </c>
    </row>
    <row r="180" spans="1:18" ht="43.15">
      <c r="A180" s="106" t="b">
        <v>0</v>
      </c>
      <c r="B180" t="str" cm="1">
        <f t="array" ref="B180">_xlfn.SINGLE(_xlfn._xlws.FILTER(t_ServiceCatalogue[Onwer],t_ServiceCatalogue[Category]=t_fac25_requirements[[#This Row],[Category]],""))</f>
        <v>NW</v>
      </c>
      <c r="C180" t="s">
        <v>188</v>
      </c>
      <c r="D180" t="str">
        <f>_xlfn._xlws.FILTER(t_Contact[FA Name],t_Contact[FA]=t_fac25_requirements[[#This Row],[FA]],"")</f>
        <v>Broadcast Operations</v>
      </c>
      <c r="E180" s="43">
        <v>974</v>
      </c>
      <c r="F180" t="s">
        <v>246</v>
      </c>
      <c r="G180" t="s">
        <v>250</v>
      </c>
      <c r="H180" t="s">
        <v>46</v>
      </c>
      <c r="I180" s="28" t="s">
        <v>47</v>
      </c>
      <c r="J180" s="28" t="s">
        <v>370</v>
      </c>
      <c r="K180" s="32">
        <v>5</v>
      </c>
      <c r="L180" s="29">
        <v>3</v>
      </c>
      <c r="M180" s="30">
        <v>45987</v>
      </c>
      <c r="N180" s="30">
        <v>46005</v>
      </c>
      <c r="O180" s="43" t="s">
        <v>149</v>
      </c>
      <c r="P180" s="70" t="s">
        <v>797</v>
      </c>
      <c r="Q180" t="s">
        <v>798</v>
      </c>
      <c r="R180" t="s">
        <v>860</v>
      </c>
    </row>
    <row r="181" spans="1:18" ht="14.45">
      <c r="A181" s="106" t="b">
        <v>0</v>
      </c>
      <c r="B181" t="str" cm="1">
        <f t="array" ref="B181">_xlfn.SINGLE(_xlfn._xlws.FILTER(t_ServiceCatalogue[Onwer],t_ServiceCatalogue[Category]=t_fac25_requirements[[#This Row],[Category]],""))</f>
        <v>NW</v>
      </c>
      <c r="C181" t="s">
        <v>188</v>
      </c>
      <c r="D181" t="str">
        <f>_xlfn._xlws.FILTER(t_Contact[FA Name],t_Contact[FA]=t_fac25_requirements[[#This Row],[FA]],"")</f>
        <v>Broadcast Operations</v>
      </c>
      <c r="E181" s="43">
        <v>974</v>
      </c>
      <c r="F181" t="s">
        <v>246</v>
      </c>
      <c r="G181" t="s">
        <v>249</v>
      </c>
      <c r="H181" t="s">
        <v>46</v>
      </c>
      <c r="I181" t="s">
        <v>47</v>
      </c>
      <c r="J181" s="28" t="s">
        <v>370</v>
      </c>
      <c r="K181" s="29">
        <v>6</v>
      </c>
      <c r="L181" s="29">
        <v>3</v>
      </c>
      <c r="M181" s="30">
        <v>45987</v>
      </c>
      <c r="N181" s="30">
        <v>46005</v>
      </c>
      <c r="O181" s="43" t="s">
        <v>48</v>
      </c>
      <c r="P181" s="55" t="s">
        <v>800</v>
      </c>
      <c r="Q181" t="s">
        <v>801</v>
      </c>
      <c r="R181" t="s">
        <v>861</v>
      </c>
    </row>
    <row r="182" spans="1:18" ht="14.45">
      <c r="A182" s="106" t="b">
        <v>0</v>
      </c>
      <c r="B182" t="str" cm="1">
        <f t="array" ref="B182">_xlfn.SINGLE(_xlfn._xlws.FILTER(t_ServiceCatalogue[Onwer],t_ServiceCatalogue[Category]=t_fac25_requirements[[#This Row],[Category]],""))</f>
        <v>NW</v>
      </c>
      <c r="C182" t="s">
        <v>188</v>
      </c>
      <c r="D182" t="str">
        <f>_xlfn._xlws.FILTER(t_Contact[FA Name],t_Contact[FA]=t_fac25_requirements[[#This Row],[FA]],"")</f>
        <v>Broadcast Operations</v>
      </c>
      <c r="E182" s="43">
        <v>974</v>
      </c>
      <c r="F182" t="s">
        <v>305</v>
      </c>
      <c r="G182" t="s">
        <v>312</v>
      </c>
      <c r="H182" t="s">
        <v>46</v>
      </c>
      <c r="I182" t="s">
        <v>47</v>
      </c>
      <c r="J182" s="28" t="s">
        <v>370</v>
      </c>
      <c r="K182" s="32"/>
      <c r="L182" s="32">
        <v>2</v>
      </c>
      <c r="M182" s="30">
        <v>45987</v>
      </c>
      <c r="N182" s="30">
        <v>46005</v>
      </c>
      <c r="O182" s="43" t="s">
        <v>48</v>
      </c>
      <c r="P182" s="55" t="s">
        <v>87</v>
      </c>
      <c r="R182" t="s">
        <v>862</v>
      </c>
    </row>
    <row r="183" spans="1:18" ht="14.45">
      <c r="A183" s="106" t="b">
        <v>1</v>
      </c>
      <c r="B183" t="str" cm="1">
        <f t="array" ref="B183">_xlfn.SINGLE(_xlfn._xlws.FILTER(t_ServiceCatalogue[Onwer],t_ServiceCatalogue[Category]=t_fac25_requirements[[#This Row],[Category]],""))</f>
        <v>NW</v>
      </c>
      <c r="C183" t="s">
        <v>188</v>
      </c>
      <c r="D183" t="str">
        <f>_xlfn._xlws.FILTER(t_Contact[FA Name],t_Contact[FA]=t_fac25_requirements[[#This Row],[FA]],"")</f>
        <v>Broadcast Operations</v>
      </c>
      <c r="E183" s="43">
        <v>974</v>
      </c>
      <c r="F183" t="s">
        <v>305</v>
      </c>
      <c r="G183" t="s">
        <v>312</v>
      </c>
      <c r="H183" t="s">
        <v>46</v>
      </c>
      <c r="I183" t="s">
        <v>148</v>
      </c>
      <c r="J183" s="28" t="s">
        <v>637</v>
      </c>
      <c r="K183" s="29">
        <v>1</v>
      </c>
      <c r="L183" s="29">
        <v>0</v>
      </c>
      <c r="M183" s="30">
        <v>45987</v>
      </c>
      <c r="N183" s="30">
        <v>46005</v>
      </c>
      <c r="O183" s="43" t="s">
        <v>149</v>
      </c>
      <c r="P183" s="55" t="s">
        <v>805</v>
      </c>
      <c r="Q183" t="s">
        <v>806</v>
      </c>
      <c r="R183" t="s">
        <v>863</v>
      </c>
    </row>
    <row r="184" spans="1:18" ht="14.45">
      <c r="A184" s="106" t="b">
        <v>0</v>
      </c>
      <c r="B184" t="str" cm="1">
        <f t="array" ref="B184">_xlfn.SINGLE(_xlfn._xlws.FILTER(t_ServiceCatalogue[Onwer],t_ServiceCatalogue[Category]=t_fac25_requirements[[#This Row],[Category]],""))</f>
        <v>NW</v>
      </c>
      <c r="C184" t="s">
        <v>188</v>
      </c>
      <c r="D184" t="str">
        <f>_xlfn._xlws.FILTER(t_Contact[FA Name],t_Contact[FA]=t_fac25_requirements[[#This Row],[FA]],"")</f>
        <v>Broadcast Operations</v>
      </c>
      <c r="E184" s="43">
        <v>974</v>
      </c>
      <c r="F184" t="s">
        <v>305</v>
      </c>
      <c r="G184" t="s">
        <v>307</v>
      </c>
      <c r="H184" t="s">
        <v>46</v>
      </c>
      <c r="I184" t="s">
        <v>47</v>
      </c>
      <c r="J184" s="28" t="s">
        <v>370</v>
      </c>
      <c r="K184" s="32">
        <v>6</v>
      </c>
      <c r="L184" s="32">
        <v>2</v>
      </c>
      <c r="M184" s="30">
        <v>45987</v>
      </c>
      <c r="N184" s="30">
        <v>46005</v>
      </c>
      <c r="O184" s="43" t="s">
        <v>48</v>
      </c>
      <c r="P184" s="55" t="s">
        <v>808</v>
      </c>
      <c r="R184" t="s">
        <v>864</v>
      </c>
    </row>
    <row r="185" spans="1:18" ht="14.45">
      <c r="A185" s="106" t="b">
        <v>1</v>
      </c>
      <c r="B185" t="str" cm="1">
        <f t="array" ref="B185">_xlfn.SINGLE(_xlfn._xlws.FILTER(t_ServiceCatalogue[Onwer],t_ServiceCatalogue[Category]=t_fac25_requirements[[#This Row],[Category]],""))</f>
        <v>NW</v>
      </c>
      <c r="C185" t="s">
        <v>188</v>
      </c>
      <c r="D185" t="str">
        <f>_xlfn._xlws.FILTER(t_Contact[FA Name],t_Contact[FA]=t_fac25_requirements[[#This Row],[FA]],"")</f>
        <v>Broadcast Operations</v>
      </c>
      <c r="E185" s="43">
        <v>974</v>
      </c>
      <c r="F185" t="s">
        <v>305</v>
      </c>
      <c r="G185" t="s">
        <v>307</v>
      </c>
      <c r="H185" t="s">
        <v>46</v>
      </c>
      <c r="I185" t="s">
        <v>148</v>
      </c>
      <c r="J185" s="28" t="s">
        <v>637</v>
      </c>
      <c r="K185" s="29">
        <v>1</v>
      </c>
      <c r="L185" s="29">
        <v>0</v>
      </c>
      <c r="M185" s="30">
        <v>45987</v>
      </c>
      <c r="N185" s="30">
        <v>46005</v>
      </c>
      <c r="O185" s="43" t="s">
        <v>149</v>
      </c>
      <c r="P185" s="55" t="s">
        <v>805</v>
      </c>
      <c r="Q185" t="s">
        <v>810</v>
      </c>
      <c r="R185" t="s">
        <v>865</v>
      </c>
    </row>
    <row r="186" spans="1:18" ht="14.45">
      <c r="A186" s="106" t="b">
        <v>1</v>
      </c>
      <c r="B186" t="str" cm="1">
        <f t="array" ref="B186">_xlfn.SINGLE(_xlfn._xlws.FILTER(t_ServiceCatalogue[Onwer],t_ServiceCatalogue[Category]=t_fac25_requirements[[#This Row],[Category]],""))</f>
        <v>EU</v>
      </c>
      <c r="C186" t="s">
        <v>188</v>
      </c>
      <c r="D186" t="str">
        <f>_xlfn._xlws.FILTER(t_Contact[FA Name],t_Contact[FA]=t_fac25_requirements[[#This Row],[FA]],"")</f>
        <v>Broadcast Operations</v>
      </c>
      <c r="E186" s="43">
        <v>974</v>
      </c>
      <c r="F186" t="s">
        <v>305</v>
      </c>
      <c r="G186" t="s">
        <v>307</v>
      </c>
      <c r="H186" t="s">
        <v>22</v>
      </c>
      <c r="I186" t="s">
        <v>23</v>
      </c>
      <c r="J186" s="28" t="s">
        <v>370</v>
      </c>
      <c r="K186" s="32"/>
      <c r="L186" s="32">
        <v>1</v>
      </c>
      <c r="M186" s="30">
        <v>45987</v>
      </c>
      <c r="N186" s="30">
        <v>46005</v>
      </c>
      <c r="O186" s="43" t="s">
        <v>24</v>
      </c>
      <c r="P186" s="55" t="s">
        <v>87</v>
      </c>
      <c r="Q186" t="s">
        <v>812</v>
      </c>
      <c r="R186" t="s">
        <v>866</v>
      </c>
    </row>
    <row r="187" spans="1:18" ht="14.45">
      <c r="A187" s="106" t="b">
        <v>0</v>
      </c>
      <c r="B187" t="str" cm="1">
        <f t="array" ref="B187">_xlfn.SINGLE(_xlfn._xlws.FILTER(t_ServiceCatalogue[Onwer],t_ServiceCatalogue[Category]=t_fac25_requirements[[#This Row],[Category]],""))</f>
        <v>NW</v>
      </c>
      <c r="C187" t="s">
        <v>188</v>
      </c>
      <c r="D187" t="str">
        <f>_xlfn._xlws.FILTER(t_Contact[FA Name],t_Contact[FA]=t_fac25_requirements[[#This Row],[FA]],"")</f>
        <v>Broadcast Operations</v>
      </c>
      <c r="E187" s="43">
        <v>974</v>
      </c>
      <c r="F187" t="s">
        <v>305</v>
      </c>
      <c r="G187" t="s">
        <v>317</v>
      </c>
      <c r="H187" t="s">
        <v>46</v>
      </c>
      <c r="I187" t="s">
        <v>47</v>
      </c>
      <c r="J187" s="28" t="s">
        <v>370</v>
      </c>
      <c r="K187" s="32">
        <v>5</v>
      </c>
      <c r="L187" s="32">
        <v>6</v>
      </c>
      <c r="M187" s="30">
        <v>45987</v>
      </c>
      <c r="N187" s="30">
        <v>46005</v>
      </c>
      <c r="O187" s="43" t="s">
        <v>48</v>
      </c>
      <c r="P187" s="55" t="s">
        <v>87</v>
      </c>
      <c r="Q187" t="s">
        <v>814</v>
      </c>
      <c r="R187" t="s">
        <v>867</v>
      </c>
    </row>
    <row r="188" spans="1:18" ht="14.45">
      <c r="A188" s="106" t="b">
        <v>0</v>
      </c>
      <c r="B188" t="str" cm="1">
        <f t="array" ref="B188">_xlfn.SINGLE(_xlfn._xlws.FILTER(t_ServiceCatalogue[Onwer],t_ServiceCatalogue[Category]=t_fac25_requirements[[#This Row],[Category]],""))</f>
        <v>NW</v>
      </c>
      <c r="C188" t="s">
        <v>188</v>
      </c>
      <c r="D188" t="str">
        <f>_xlfn._xlws.FILTER(t_Contact[FA Name],t_Contact[FA]=t_fac25_requirements[[#This Row],[FA]],"")</f>
        <v>Broadcast Operations</v>
      </c>
      <c r="E188" s="43">
        <v>974</v>
      </c>
      <c r="F188" t="s">
        <v>253</v>
      </c>
      <c r="G188" t="s">
        <v>255</v>
      </c>
      <c r="H188" t="s">
        <v>46</v>
      </c>
      <c r="I188" t="s">
        <v>256</v>
      </c>
      <c r="J188" s="28" t="s">
        <v>370</v>
      </c>
      <c r="K188" s="32"/>
      <c r="L188" s="32">
        <v>4</v>
      </c>
      <c r="M188" s="30">
        <v>45987</v>
      </c>
      <c r="N188" s="30">
        <v>46005</v>
      </c>
      <c r="O188" s="43" t="s">
        <v>149</v>
      </c>
      <c r="P188" s="55" t="s">
        <v>816</v>
      </c>
      <c r="Q188" t="s">
        <v>817</v>
      </c>
      <c r="R188" t="s">
        <v>868</v>
      </c>
    </row>
    <row r="189" spans="1:18" ht="14.45">
      <c r="A189" s="106" t="b">
        <v>0</v>
      </c>
      <c r="B189" t="str" cm="1">
        <f t="array" ref="B189">_xlfn.SINGLE(_xlfn._xlws.FILTER(t_ServiceCatalogue[Onwer],t_ServiceCatalogue[Category]=t_fac25_requirements[[#This Row],[Category]],""))</f>
        <v>NW</v>
      </c>
      <c r="C189" t="s">
        <v>188</v>
      </c>
      <c r="D189" t="str">
        <f>_xlfn._xlws.FILTER(t_Contact[FA Name],t_Contact[FA]=t_fac25_requirements[[#This Row],[FA]],"")</f>
        <v>Broadcast Operations</v>
      </c>
      <c r="E189" s="43">
        <v>974</v>
      </c>
      <c r="F189" t="s">
        <v>259</v>
      </c>
      <c r="G189" t="s">
        <v>265</v>
      </c>
      <c r="H189" t="s">
        <v>46</v>
      </c>
      <c r="I189" t="s">
        <v>256</v>
      </c>
      <c r="J189" s="28" t="s">
        <v>370</v>
      </c>
      <c r="K189" s="32"/>
      <c r="L189" s="32">
        <v>8</v>
      </c>
      <c r="M189" s="30">
        <v>45987</v>
      </c>
      <c r="N189" s="30">
        <v>46005</v>
      </c>
      <c r="O189" s="43" t="s">
        <v>149</v>
      </c>
      <c r="P189" s="55" t="s">
        <v>819</v>
      </c>
      <c r="Q189" t="s">
        <v>820</v>
      </c>
      <c r="R189" t="s">
        <v>869</v>
      </c>
    </row>
    <row r="190" spans="1:18" ht="14.45">
      <c r="A190" s="106" t="b">
        <v>0</v>
      </c>
      <c r="B190" t="str" cm="1">
        <f t="array" ref="B190">_xlfn.SINGLE(_xlfn._xlws.FILTER(t_ServiceCatalogue[Onwer],t_ServiceCatalogue[Category]=t_fac25_requirements[[#This Row],[Category]],""))</f>
        <v>NW</v>
      </c>
      <c r="C190" t="s">
        <v>188</v>
      </c>
      <c r="D190" t="str">
        <f>_xlfn._xlws.FILTER(t_Contact[FA Name],t_Contact[FA]=t_fac25_requirements[[#This Row],[FA]],"")</f>
        <v>Broadcast Operations</v>
      </c>
      <c r="E190" s="43">
        <v>974</v>
      </c>
      <c r="F190" t="s">
        <v>259</v>
      </c>
      <c r="G190" t="s">
        <v>266</v>
      </c>
      <c r="H190" t="s">
        <v>46</v>
      </c>
      <c r="I190" t="s">
        <v>256</v>
      </c>
      <c r="J190" s="28" t="s">
        <v>370</v>
      </c>
      <c r="K190" s="32"/>
      <c r="L190" s="32">
        <v>4</v>
      </c>
      <c r="M190" s="30">
        <v>45987</v>
      </c>
      <c r="N190" s="30">
        <v>46005</v>
      </c>
      <c r="O190" s="43" t="s">
        <v>149</v>
      </c>
      <c r="P190" s="55" t="s">
        <v>822</v>
      </c>
      <c r="Q190" t="s">
        <v>823</v>
      </c>
      <c r="R190" t="s">
        <v>870</v>
      </c>
    </row>
    <row r="191" spans="1:18" ht="14.45">
      <c r="A191" s="106" t="b">
        <v>0</v>
      </c>
      <c r="B191" t="str" cm="1">
        <f t="array" ref="B191">_xlfn.SINGLE(_xlfn._xlws.FILTER(t_ServiceCatalogue[Onwer],t_ServiceCatalogue[Category]=t_fac25_requirements[[#This Row],[Category]],""))</f>
        <v>NW</v>
      </c>
      <c r="C191" t="s">
        <v>188</v>
      </c>
      <c r="D191" t="str">
        <f>_xlfn._xlws.FILTER(t_Contact[FA Name],t_Contact[FA]=t_fac25_requirements[[#This Row],[FA]],"")</f>
        <v>Broadcast Operations</v>
      </c>
      <c r="E191" s="43">
        <v>974</v>
      </c>
      <c r="F191" t="s">
        <v>278</v>
      </c>
      <c r="G191" t="s">
        <v>284</v>
      </c>
      <c r="H191" t="s">
        <v>46</v>
      </c>
      <c r="I191" t="s">
        <v>280</v>
      </c>
      <c r="J191" s="28" t="s">
        <v>370</v>
      </c>
      <c r="K191" s="32">
        <v>40</v>
      </c>
      <c r="L191" s="32">
        <v>26</v>
      </c>
      <c r="M191" s="30">
        <v>45987</v>
      </c>
      <c r="N191" s="30">
        <v>46005</v>
      </c>
      <c r="O191" s="43" t="s">
        <v>149</v>
      </c>
      <c r="P191" s="55" t="s">
        <v>825</v>
      </c>
      <c r="Q191" t="s">
        <v>826</v>
      </c>
      <c r="R191" t="s">
        <v>871</v>
      </c>
    </row>
    <row r="192" spans="1:18" ht="14.45">
      <c r="A192" s="106" t="b">
        <v>0</v>
      </c>
      <c r="B192" t="str" cm="1">
        <f t="array" ref="B192">_xlfn.SINGLE(_xlfn._xlws.FILTER(t_ServiceCatalogue[Onwer],t_ServiceCatalogue[Category]=t_fac25_requirements[[#This Row],[Category]],""))</f>
        <v>AV</v>
      </c>
      <c r="C192" t="s">
        <v>188</v>
      </c>
      <c r="D192" t="str">
        <f>_xlfn._xlws.FILTER(t_Contact[FA Name],t_Contact[FA]=t_fac25_requirements[[#This Row],[FA]],"")</f>
        <v>Broadcast Operations</v>
      </c>
      <c r="E192" s="43">
        <v>974</v>
      </c>
      <c r="F192" t="s">
        <v>278</v>
      </c>
      <c r="G192" t="s">
        <v>284</v>
      </c>
      <c r="H192" t="s">
        <v>58</v>
      </c>
      <c r="I192" t="s">
        <v>282</v>
      </c>
      <c r="J192" s="28" t="s">
        <v>370</v>
      </c>
      <c r="K192" s="32">
        <v>20</v>
      </c>
      <c r="L192" s="32">
        <v>13</v>
      </c>
      <c r="M192" s="30">
        <v>45987</v>
      </c>
      <c r="N192" s="30">
        <v>46005</v>
      </c>
      <c r="O192" s="43" t="s">
        <v>497</v>
      </c>
      <c r="P192" s="55" t="s">
        <v>87</v>
      </c>
      <c r="Q192" t="s">
        <v>828</v>
      </c>
      <c r="R192" t="s">
        <v>872</v>
      </c>
    </row>
    <row r="193" spans="1:18" ht="14.45">
      <c r="A193" s="106" t="b">
        <v>0</v>
      </c>
      <c r="B193" t="str" cm="1">
        <f t="array" ref="B193">_xlfn.SINGLE(_xlfn._xlws.FILTER(t_ServiceCatalogue[Onwer],t_ServiceCatalogue[Category]=t_fac25_requirements[[#This Row],[Category]],""))</f>
        <v>AV</v>
      </c>
      <c r="C193" t="s">
        <v>188</v>
      </c>
      <c r="D193" t="str">
        <f>_xlfn._xlws.FILTER(t_Contact[FA Name],t_Contact[FA]=t_fac25_requirements[[#This Row],[FA]],"")</f>
        <v>Broadcast Operations</v>
      </c>
      <c r="E193" s="43">
        <v>974</v>
      </c>
      <c r="F193" t="s">
        <v>305</v>
      </c>
      <c r="G193" t="s">
        <v>307</v>
      </c>
      <c r="H193" t="s">
        <v>58</v>
      </c>
      <c r="I193" t="s">
        <v>59</v>
      </c>
      <c r="J193" s="28" t="s">
        <v>370</v>
      </c>
      <c r="K193" s="32"/>
      <c r="L193" s="32">
        <v>2</v>
      </c>
      <c r="M193" s="30">
        <v>45987</v>
      </c>
      <c r="N193" s="30">
        <v>46005</v>
      </c>
      <c r="O193" s="43" t="s">
        <v>112</v>
      </c>
      <c r="P193" s="55" t="s">
        <v>371</v>
      </c>
      <c r="R193" t="s">
        <v>873</v>
      </c>
    </row>
    <row r="194" spans="1:18" ht="14.45">
      <c r="A194" s="106" t="b">
        <v>0</v>
      </c>
      <c r="B194" t="str" cm="1">
        <f t="array" ref="B194">_xlfn.SINGLE(_xlfn._xlws.FILTER(t_ServiceCatalogue[Onwer],t_ServiceCatalogue[Category]=t_fac25_requirements[[#This Row],[Category]],""))</f>
        <v>NW</v>
      </c>
      <c r="C194" t="s">
        <v>188</v>
      </c>
      <c r="D194" t="str">
        <f>_xlfn._xlws.FILTER(t_Contact[FA Name],t_Contact[FA]=t_fac25_requirements[[#This Row],[FA]],"")</f>
        <v>Broadcast Operations</v>
      </c>
      <c r="E194" s="43">
        <v>974</v>
      </c>
      <c r="F194" t="s">
        <v>305</v>
      </c>
      <c r="G194" t="s">
        <v>309</v>
      </c>
      <c r="H194" t="s">
        <v>46</v>
      </c>
      <c r="I194" t="s">
        <v>47</v>
      </c>
      <c r="J194" s="28" t="s">
        <v>370</v>
      </c>
      <c r="K194" s="32"/>
      <c r="L194" s="32">
        <v>2</v>
      </c>
      <c r="M194" s="30">
        <v>45987</v>
      </c>
      <c r="N194" s="30">
        <v>46005</v>
      </c>
      <c r="O194" s="43" t="s">
        <v>48</v>
      </c>
      <c r="P194" s="55" t="s">
        <v>803</v>
      </c>
      <c r="R194" t="s">
        <v>874</v>
      </c>
    </row>
    <row r="195" spans="1:18" ht="14.45">
      <c r="A195" s="106" t="b">
        <v>0</v>
      </c>
      <c r="B195" t="str" cm="1">
        <f t="array" ref="B195">_xlfn.SINGLE(_xlfn._xlws.FILTER(t_ServiceCatalogue[Onwer],t_ServiceCatalogue[Category]=t_fac25_requirements[[#This Row],[Category]],""))</f>
        <v>NW</v>
      </c>
      <c r="C195" t="s">
        <v>188</v>
      </c>
      <c r="D195" t="str">
        <f>_xlfn._xlws.FILTER(t_Contact[FA Name],t_Contact[FA]=t_fac25_requirements[[#This Row],[FA]],"")</f>
        <v>Broadcast Operations</v>
      </c>
      <c r="E195" s="43">
        <v>974</v>
      </c>
      <c r="F195" t="s">
        <v>305</v>
      </c>
      <c r="G195" t="s">
        <v>310</v>
      </c>
      <c r="H195" t="s">
        <v>46</v>
      </c>
      <c r="I195" t="s">
        <v>47</v>
      </c>
      <c r="J195" s="28" t="s">
        <v>370</v>
      </c>
      <c r="K195" s="32"/>
      <c r="L195" s="32">
        <v>2</v>
      </c>
      <c r="M195" s="30">
        <v>45987</v>
      </c>
      <c r="N195" s="30">
        <v>46005</v>
      </c>
      <c r="O195" s="43" t="s">
        <v>48</v>
      </c>
      <c r="P195" s="55" t="s">
        <v>803</v>
      </c>
      <c r="R195" t="s">
        <v>875</v>
      </c>
    </row>
    <row r="196" spans="1:18" ht="14.45">
      <c r="A196" s="106" t="b">
        <v>1</v>
      </c>
      <c r="B196" t="str" cm="1">
        <f t="array" ref="B196">_xlfn.SINGLE(_xlfn._xlws.FILTER(t_ServiceCatalogue[Onwer],t_ServiceCatalogue[Category]=t_fac25_requirements[[#This Row],[Category]],""))</f>
        <v>NW</v>
      </c>
      <c r="C196" t="s">
        <v>188</v>
      </c>
      <c r="D196" t="str">
        <f>_xlfn._xlws.FILTER(t_Contact[FA Name],t_Contact[FA]=t_fac25_requirements[[#This Row],[FA]],"")</f>
        <v>Broadcast Operations</v>
      </c>
      <c r="E196" s="43">
        <v>974</v>
      </c>
      <c r="F196" t="s">
        <v>305</v>
      </c>
      <c r="G196" t="s">
        <v>833</v>
      </c>
      <c r="H196" t="s">
        <v>46</v>
      </c>
      <c r="I196" t="s">
        <v>47</v>
      </c>
      <c r="J196" s="28" t="s">
        <v>637</v>
      </c>
      <c r="K196" s="32">
        <v>2</v>
      </c>
      <c r="L196" s="32">
        <v>0</v>
      </c>
      <c r="M196" s="30">
        <v>45987</v>
      </c>
      <c r="N196" s="30">
        <v>46005</v>
      </c>
      <c r="O196" s="43" t="s">
        <v>48</v>
      </c>
      <c r="P196" s="55" t="s">
        <v>800</v>
      </c>
      <c r="Q196" t="s">
        <v>834</v>
      </c>
      <c r="R196" t="s">
        <v>876</v>
      </c>
    </row>
    <row r="197" spans="1:18" ht="14.45">
      <c r="A197" s="106" t="b">
        <v>1</v>
      </c>
      <c r="B197" t="str" cm="1">
        <f t="array" ref="B197">_xlfn.SINGLE(_xlfn._xlws.FILTER(t_ServiceCatalogue[Onwer],t_ServiceCatalogue[Category]=t_fac25_requirements[[#This Row],[Category]],""))</f>
        <v>NW</v>
      </c>
      <c r="C197" t="s">
        <v>188</v>
      </c>
      <c r="D197" t="str">
        <f>_xlfn._xlws.FILTER(t_Contact[FA Name],t_Contact[FA]=t_fac25_requirements[[#This Row],[FA]],"")</f>
        <v>Broadcast Operations</v>
      </c>
      <c r="E197" s="43">
        <v>974</v>
      </c>
      <c r="F197" t="s">
        <v>268</v>
      </c>
      <c r="G197" t="s">
        <v>272</v>
      </c>
      <c r="H197" t="s">
        <v>46</v>
      </c>
      <c r="I197" t="s">
        <v>47</v>
      </c>
      <c r="J197" s="28" t="s">
        <v>637</v>
      </c>
      <c r="K197" s="32">
        <v>2</v>
      </c>
      <c r="L197" s="32">
        <v>0</v>
      </c>
      <c r="M197" s="30">
        <v>45987</v>
      </c>
      <c r="N197" s="30">
        <v>46005</v>
      </c>
      <c r="O197" s="43" t="s">
        <v>48</v>
      </c>
      <c r="P197" s="55" t="s">
        <v>800</v>
      </c>
      <c r="Q197" t="s">
        <v>836</v>
      </c>
      <c r="R197" t="s">
        <v>877</v>
      </c>
    </row>
    <row r="198" spans="1:18" ht="14.45">
      <c r="A198" s="106" t="b">
        <v>0</v>
      </c>
      <c r="B198" t="str" cm="1">
        <f t="array" ref="B198">_xlfn.SINGLE(_xlfn._xlws.FILTER(t_ServiceCatalogue[Onwer],t_ServiceCatalogue[Category]=t_fac25_requirements[[#This Row],[Category]],""))</f>
        <v>NW</v>
      </c>
      <c r="C198" t="s">
        <v>188</v>
      </c>
      <c r="D198" t="str">
        <f>_xlfn._xlws.FILTER(t_Contact[FA Name],t_Contact[FA]=t_fac25_requirements[[#This Row],[FA]],"")</f>
        <v>Broadcast Operations</v>
      </c>
      <c r="E198" t="s">
        <v>212</v>
      </c>
      <c r="F198" t="s">
        <v>246</v>
      </c>
      <c r="G198" t="s">
        <v>250</v>
      </c>
      <c r="H198" t="s">
        <v>46</v>
      </c>
      <c r="I198" s="28" t="s">
        <v>47</v>
      </c>
      <c r="J198" s="28" t="s">
        <v>370</v>
      </c>
      <c r="K198" s="32"/>
      <c r="L198" s="32">
        <v>1</v>
      </c>
      <c r="M198" s="30">
        <v>45986</v>
      </c>
      <c r="N198" s="30">
        <v>46005</v>
      </c>
      <c r="O198" s="43" t="s">
        <v>48</v>
      </c>
      <c r="P198" s="55" t="s">
        <v>795</v>
      </c>
      <c r="R198" t="s">
        <v>878</v>
      </c>
    </row>
    <row r="199" spans="1:18" ht="43.15">
      <c r="A199" s="106" t="b">
        <v>0</v>
      </c>
      <c r="B199" t="str" cm="1">
        <f t="array" ref="B199">_xlfn.SINGLE(_xlfn._xlws.FILTER(t_ServiceCatalogue[Onwer],t_ServiceCatalogue[Category]=t_fac25_requirements[[#This Row],[Category]],""))</f>
        <v>NW</v>
      </c>
      <c r="C199" t="s">
        <v>188</v>
      </c>
      <c r="D199" t="str">
        <f>_xlfn._xlws.FILTER(t_Contact[FA Name],t_Contact[FA]=t_fac25_requirements[[#This Row],[FA]],"")</f>
        <v>Broadcast Operations</v>
      </c>
      <c r="E199" t="s">
        <v>212</v>
      </c>
      <c r="F199" t="s">
        <v>246</v>
      </c>
      <c r="G199" t="s">
        <v>250</v>
      </c>
      <c r="H199" t="s">
        <v>46</v>
      </c>
      <c r="I199" s="28" t="s">
        <v>47</v>
      </c>
      <c r="J199" s="28" t="s">
        <v>370</v>
      </c>
      <c r="K199" s="32">
        <v>5</v>
      </c>
      <c r="L199" s="29">
        <v>3</v>
      </c>
      <c r="M199" s="30">
        <v>45986</v>
      </c>
      <c r="N199" s="30">
        <v>46005</v>
      </c>
      <c r="O199" s="43" t="s">
        <v>149</v>
      </c>
      <c r="P199" s="70" t="s">
        <v>797</v>
      </c>
      <c r="Q199" t="s">
        <v>798</v>
      </c>
      <c r="R199" t="s">
        <v>879</v>
      </c>
    </row>
    <row r="200" spans="1:18" ht="14.45">
      <c r="A200" s="106" t="b">
        <v>0</v>
      </c>
      <c r="B200" t="str" cm="1">
        <f t="array" ref="B200">_xlfn.SINGLE(_xlfn._xlws.FILTER(t_ServiceCatalogue[Onwer],t_ServiceCatalogue[Category]=t_fac25_requirements[[#This Row],[Category]],""))</f>
        <v>NW</v>
      </c>
      <c r="C200" t="s">
        <v>188</v>
      </c>
      <c r="D200" t="str">
        <f>_xlfn._xlws.FILTER(t_Contact[FA Name],t_Contact[FA]=t_fac25_requirements[[#This Row],[FA]],"")</f>
        <v>Broadcast Operations</v>
      </c>
      <c r="E200" t="s">
        <v>212</v>
      </c>
      <c r="F200" t="s">
        <v>246</v>
      </c>
      <c r="G200" t="s">
        <v>249</v>
      </c>
      <c r="H200" t="s">
        <v>46</v>
      </c>
      <c r="I200" t="s">
        <v>47</v>
      </c>
      <c r="J200" s="28" t="s">
        <v>370</v>
      </c>
      <c r="K200" s="29">
        <v>6</v>
      </c>
      <c r="L200" s="29">
        <v>3</v>
      </c>
      <c r="M200" s="30">
        <v>45986</v>
      </c>
      <c r="N200" s="30">
        <v>46005</v>
      </c>
      <c r="O200" s="43" t="s">
        <v>48</v>
      </c>
      <c r="P200" s="55" t="s">
        <v>800</v>
      </c>
      <c r="Q200" t="s">
        <v>801</v>
      </c>
      <c r="R200" t="s">
        <v>880</v>
      </c>
    </row>
    <row r="201" spans="1:18" ht="14.45">
      <c r="A201" s="106" t="b">
        <v>0</v>
      </c>
      <c r="B201" t="str" cm="1">
        <f t="array" ref="B201">_xlfn.SINGLE(_xlfn._xlws.FILTER(t_ServiceCatalogue[Onwer],t_ServiceCatalogue[Category]=t_fac25_requirements[[#This Row],[Category]],""))</f>
        <v>NW</v>
      </c>
      <c r="C201" t="s">
        <v>188</v>
      </c>
      <c r="D201" t="str">
        <f>_xlfn._xlws.FILTER(t_Contact[FA Name],t_Contact[FA]=t_fac25_requirements[[#This Row],[FA]],"")</f>
        <v>Broadcast Operations</v>
      </c>
      <c r="E201" t="s">
        <v>212</v>
      </c>
      <c r="F201" t="s">
        <v>305</v>
      </c>
      <c r="G201" t="s">
        <v>312</v>
      </c>
      <c r="H201" t="s">
        <v>46</v>
      </c>
      <c r="I201" t="s">
        <v>47</v>
      </c>
      <c r="J201" s="28" t="s">
        <v>370</v>
      </c>
      <c r="K201" s="32"/>
      <c r="L201" s="32">
        <v>2</v>
      </c>
      <c r="M201" s="30">
        <v>45986</v>
      </c>
      <c r="N201" s="30">
        <v>46005</v>
      </c>
      <c r="O201" s="43" t="s">
        <v>48</v>
      </c>
      <c r="P201" s="55" t="s">
        <v>87</v>
      </c>
      <c r="R201" t="s">
        <v>881</v>
      </c>
    </row>
    <row r="202" spans="1:18" ht="14.45">
      <c r="A202" s="106" t="b">
        <v>1</v>
      </c>
      <c r="B202" t="str" cm="1">
        <f t="array" ref="B202">_xlfn.SINGLE(_xlfn._xlws.FILTER(t_ServiceCatalogue[Onwer],t_ServiceCatalogue[Category]=t_fac25_requirements[[#This Row],[Category]],""))</f>
        <v>NW</v>
      </c>
      <c r="C202" t="s">
        <v>188</v>
      </c>
      <c r="D202" t="str">
        <f>_xlfn._xlws.FILTER(t_Contact[FA Name],t_Contact[FA]=t_fac25_requirements[[#This Row],[FA]],"")</f>
        <v>Broadcast Operations</v>
      </c>
      <c r="E202" t="s">
        <v>212</v>
      </c>
      <c r="F202" t="s">
        <v>305</v>
      </c>
      <c r="G202" t="s">
        <v>312</v>
      </c>
      <c r="H202" t="s">
        <v>46</v>
      </c>
      <c r="I202" t="s">
        <v>148</v>
      </c>
      <c r="J202" s="28" t="s">
        <v>637</v>
      </c>
      <c r="K202" s="29">
        <v>1</v>
      </c>
      <c r="L202" s="29">
        <v>0</v>
      </c>
      <c r="M202" s="30">
        <v>45986</v>
      </c>
      <c r="N202" s="30">
        <v>46005</v>
      </c>
      <c r="O202" s="43" t="s">
        <v>149</v>
      </c>
      <c r="P202" s="55" t="s">
        <v>805</v>
      </c>
      <c r="Q202" t="s">
        <v>806</v>
      </c>
      <c r="R202" t="s">
        <v>882</v>
      </c>
    </row>
    <row r="203" spans="1:18" ht="14.45">
      <c r="A203" s="106" t="b">
        <v>0</v>
      </c>
      <c r="B203" t="str" cm="1">
        <f t="array" ref="B203">_xlfn.SINGLE(_xlfn._xlws.FILTER(t_ServiceCatalogue[Onwer],t_ServiceCatalogue[Category]=t_fac25_requirements[[#This Row],[Category]],""))</f>
        <v>NW</v>
      </c>
      <c r="C203" t="s">
        <v>188</v>
      </c>
      <c r="D203" t="str">
        <f>_xlfn._xlws.FILTER(t_Contact[FA Name],t_Contact[FA]=t_fac25_requirements[[#This Row],[FA]],"")</f>
        <v>Broadcast Operations</v>
      </c>
      <c r="E203" t="s">
        <v>212</v>
      </c>
      <c r="F203" t="s">
        <v>305</v>
      </c>
      <c r="G203" t="s">
        <v>307</v>
      </c>
      <c r="H203" t="s">
        <v>46</v>
      </c>
      <c r="I203" t="s">
        <v>47</v>
      </c>
      <c r="J203" s="28" t="s">
        <v>370</v>
      </c>
      <c r="K203" s="32">
        <v>6</v>
      </c>
      <c r="L203" s="32">
        <v>2</v>
      </c>
      <c r="M203" s="30">
        <v>45986</v>
      </c>
      <c r="N203" s="30">
        <v>46005</v>
      </c>
      <c r="O203" s="43" t="s">
        <v>48</v>
      </c>
      <c r="P203" s="55" t="s">
        <v>808</v>
      </c>
      <c r="R203" t="s">
        <v>883</v>
      </c>
    </row>
    <row r="204" spans="1:18" ht="14.45">
      <c r="A204" s="106" t="b">
        <v>1</v>
      </c>
      <c r="B204" t="str" cm="1">
        <f t="array" ref="B204">_xlfn.SINGLE(_xlfn._xlws.FILTER(t_ServiceCatalogue[Onwer],t_ServiceCatalogue[Category]=t_fac25_requirements[[#This Row],[Category]],""))</f>
        <v>NW</v>
      </c>
      <c r="C204" t="s">
        <v>188</v>
      </c>
      <c r="D204" t="str">
        <f>_xlfn._xlws.FILTER(t_Contact[FA Name],t_Contact[FA]=t_fac25_requirements[[#This Row],[FA]],"")</f>
        <v>Broadcast Operations</v>
      </c>
      <c r="E204" t="s">
        <v>212</v>
      </c>
      <c r="F204" t="s">
        <v>305</v>
      </c>
      <c r="G204" t="s">
        <v>307</v>
      </c>
      <c r="H204" t="s">
        <v>46</v>
      </c>
      <c r="I204" t="s">
        <v>148</v>
      </c>
      <c r="J204" s="28" t="s">
        <v>637</v>
      </c>
      <c r="K204" s="29">
        <v>1</v>
      </c>
      <c r="L204" s="29">
        <v>0</v>
      </c>
      <c r="M204" s="30">
        <v>45986</v>
      </c>
      <c r="N204" s="30">
        <v>46005</v>
      </c>
      <c r="O204" s="43" t="s">
        <v>149</v>
      </c>
      <c r="P204" s="55" t="s">
        <v>805</v>
      </c>
      <c r="Q204" t="s">
        <v>810</v>
      </c>
      <c r="R204" t="s">
        <v>884</v>
      </c>
    </row>
    <row r="205" spans="1:18" ht="14.45">
      <c r="A205" s="106" t="b">
        <v>1</v>
      </c>
      <c r="B205" t="str" cm="1">
        <f t="array" ref="B205">_xlfn.SINGLE(_xlfn._xlws.FILTER(t_ServiceCatalogue[Onwer],t_ServiceCatalogue[Category]=t_fac25_requirements[[#This Row],[Category]],""))</f>
        <v>EU</v>
      </c>
      <c r="C205" t="s">
        <v>188</v>
      </c>
      <c r="D205" t="str">
        <f>_xlfn._xlws.FILTER(t_Contact[FA Name],t_Contact[FA]=t_fac25_requirements[[#This Row],[FA]],"")</f>
        <v>Broadcast Operations</v>
      </c>
      <c r="E205" t="s">
        <v>212</v>
      </c>
      <c r="F205" t="s">
        <v>305</v>
      </c>
      <c r="G205" t="s">
        <v>307</v>
      </c>
      <c r="H205" t="s">
        <v>22</v>
      </c>
      <c r="I205" t="s">
        <v>23</v>
      </c>
      <c r="J205" s="28" t="s">
        <v>370</v>
      </c>
      <c r="K205" s="32"/>
      <c r="L205" s="32">
        <v>1</v>
      </c>
      <c r="M205" s="30">
        <v>45986</v>
      </c>
      <c r="N205" s="30">
        <v>46005</v>
      </c>
      <c r="O205" s="43" t="s">
        <v>24</v>
      </c>
      <c r="P205" s="55" t="s">
        <v>87</v>
      </c>
      <c r="Q205" t="s">
        <v>812</v>
      </c>
      <c r="R205" t="s">
        <v>885</v>
      </c>
    </row>
    <row r="206" spans="1:18" ht="14.45">
      <c r="A206" s="106" t="b">
        <v>0</v>
      </c>
      <c r="B206" t="str" cm="1">
        <f t="array" ref="B206">_xlfn.SINGLE(_xlfn._xlws.FILTER(t_ServiceCatalogue[Onwer],t_ServiceCatalogue[Category]=t_fac25_requirements[[#This Row],[Category]],""))</f>
        <v>NW</v>
      </c>
      <c r="C206" t="s">
        <v>188</v>
      </c>
      <c r="D206" t="str">
        <f>_xlfn._xlws.FILTER(t_Contact[FA Name],t_Contact[FA]=t_fac25_requirements[[#This Row],[FA]],"")</f>
        <v>Broadcast Operations</v>
      </c>
      <c r="E206" t="s">
        <v>212</v>
      </c>
      <c r="F206" t="s">
        <v>305</v>
      </c>
      <c r="G206" t="s">
        <v>317</v>
      </c>
      <c r="H206" t="s">
        <v>46</v>
      </c>
      <c r="I206" t="s">
        <v>47</v>
      </c>
      <c r="J206" s="28" t="s">
        <v>370</v>
      </c>
      <c r="K206" s="32">
        <v>5</v>
      </c>
      <c r="L206" s="32">
        <v>6</v>
      </c>
      <c r="M206" s="30">
        <v>45986</v>
      </c>
      <c r="N206" s="30">
        <v>46005</v>
      </c>
      <c r="O206" s="43" t="s">
        <v>48</v>
      </c>
      <c r="P206" s="55" t="s">
        <v>87</v>
      </c>
      <c r="Q206" t="s">
        <v>814</v>
      </c>
      <c r="R206" t="s">
        <v>886</v>
      </c>
    </row>
    <row r="207" spans="1:18" ht="14.45">
      <c r="A207" s="106" t="b">
        <v>0</v>
      </c>
      <c r="B207" t="str" cm="1">
        <f t="array" ref="B207">_xlfn.SINGLE(_xlfn._xlws.FILTER(t_ServiceCatalogue[Onwer],t_ServiceCatalogue[Category]=t_fac25_requirements[[#This Row],[Category]],""))</f>
        <v>NW</v>
      </c>
      <c r="C207" t="s">
        <v>188</v>
      </c>
      <c r="D207" t="str">
        <f>_xlfn._xlws.FILTER(t_Contact[FA Name],t_Contact[FA]=t_fac25_requirements[[#This Row],[FA]],"")</f>
        <v>Broadcast Operations</v>
      </c>
      <c r="E207" t="s">
        <v>212</v>
      </c>
      <c r="F207" t="s">
        <v>253</v>
      </c>
      <c r="G207" t="s">
        <v>255</v>
      </c>
      <c r="H207" t="s">
        <v>46</v>
      </c>
      <c r="I207" t="s">
        <v>256</v>
      </c>
      <c r="J207" s="28" t="s">
        <v>370</v>
      </c>
      <c r="K207" s="32"/>
      <c r="L207" s="32">
        <v>4</v>
      </c>
      <c r="M207" s="30">
        <v>45986</v>
      </c>
      <c r="N207" s="30">
        <v>46005</v>
      </c>
      <c r="O207" s="43" t="s">
        <v>149</v>
      </c>
      <c r="P207" s="55" t="s">
        <v>816</v>
      </c>
      <c r="Q207" t="s">
        <v>817</v>
      </c>
      <c r="R207" t="s">
        <v>887</v>
      </c>
    </row>
    <row r="208" spans="1:18" ht="14.45">
      <c r="A208" s="106" t="b">
        <v>0</v>
      </c>
      <c r="B208" t="str" cm="1">
        <f t="array" ref="B208">_xlfn.SINGLE(_xlfn._xlws.FILTER(t_ServiceCatalogue[Onwer],t_ServiceCatalogue[Category]=t_fac25_requirements[[#This Row],[Category]],""))</f>
        <v>NW</v>
      </c>
      <c r="C208" t="s">
        <v>188</v>
      </c>
      <c r="D208" t="str">
        <f>_xlfn._xlws.FILTER(t_Contact[FA Name],t_Contact[FA]=t_fac25_requirements[[#This Row],[FA]],"")</f>
        <v>Broadcast Operations</v>
      </c>
      <c r="E208" t="s">
        <v>212</v>
      </c>
      <c r="F208" t="s">
        <v>259</v>
      </c>
      <c r="G208" t="s">
        <v>265</v>
      </c>
      <c r="H208" t="s">
        <v>46</v>
      </c>
      <c r="I208" t="s">
        <v>256</v>
      </c>
      <c r="J208" s="28" t="s">
        <v>370</v>
      </c>
      <c r="K208" s="32"/>
      <c r="L208" s="32">
        <v>8</v>
      </c>
      <c r="M208" s="30">
        <v>45986</v>
      </c>
      <c r="N208" s="30">
        <v>46005</v>
      </c>
      <c r="O208" s="43" t="s">
        <v>149</v>
      </c>
      <c r="P208" s="55" t="s">
        <v>819</v>
      </c>
      <c r="Q208" t="s">
        <v>820</v>
      </c>
      <c r="R208" t="s">
        <v>888</v>
      </c>
    </row>
    <row r="209" spans="1:18" ht="14.45">
      <c r="A209" s="106" t="b">
        <v>0</v>
      </c>
      <c r="B209" t="str" cm="1">
        <f t="array" ref="B209">_xlfn.SINGLE(_xlfn._xlws.FILTER(t_ServiceCatalogue[Onwer],t_ServiceCatalogue[Category]=t_fac25_requirements[[#This Row],[Category]],""))</f>
        <v>NW</v>
      </c>
      <c r="C209" t="s">
        <v>188</v>
      </c>
      <c r="D209" t="str">
        <f>_xlfn._xlws.FILTER(t_Contact[FA Name],t_Contact[FA]=t_fac25_requirements[[#This Row],[FA]],"")</f>
        <v>Broadcast Operations</v>
      </c>
      <c r="E209" t="s">
        <v>212</v>
      </c>
      <c r="F209" t="s">
        <v>259</v>
      </c>
      <c r="G209" t="s">
        <v>266</v>
      </c>
      <c r="H209" t="s">
        <v>46</v>
      </c>
      <c r="I209" t="s">
        <v>256</v>
      </c>
      <c r="J209" s="28" t="s">
        <v>370</v>
      </c>
      <c r="K209" s="32"/>
      <c r="L209" s="32">
        <v>4</v>
      </c>
      <c r="M209" s="30">
        <v>45986</v>
      </c>
      <c r="N209" s="30">
        <v>46005</v>
      </c>
      <c r="O209" s="43" t="s">
        <v>149</v>
      </c>
      <c r="P209" s="55" t="s">
        <v>822</v>
      </c>
      <c r="Q209" t="s">
        <v>823</v>
      </c>
      <c r="R209" t="s">
        <v>889</v>
      </c>
    </row>
    <row r="210" spans="1:18" ht="14.45">
      <c r="A210" s="106" t="b">
        <v>0</v>
      </c>
      <c r="B210" t="str" cm="1">
        <f t="array" ref="B210">_xlfn.SINGLE(_xlfn._xlws.FILTER(t_ServiceCatalogue[Onwer],t_ServiceCatalogue[Category]=t_fac25_requirements[[#This Row],[Category]],""))</f>
        <v>NW</v>
      </c>
      <c r="C210" t="s">
        <v>188</v>
      </c>
      <c r="D210" t="str">
        <f>_xlfn._xlws.FILTER(t_Contact[FA Name],t_Contact[FA]=t_fac25_requirements[[#This Row],[FA]],"")</f>
        <v>Broadcast Operations</v>
      </c>
      <c r="E210" t="s">
        <v>212</v>
      </c>
      <c r="F210" t="s">
        <v>278</v>
      </c>
      <c r="G210" t="s">
        <v>284</v>
      </c>
      <c r="H210" t="s">
        <v>46</v>
      </c>
      <c r="I210" t="s">
        <v>280</v>
      </c>
      <c r="J210" s="28" t="s">
        <v>370</v>
      </c>
      <c r="K210" s="32">
        <v>40</v>
      </c>
      <c r="L210" s="32">
        <v>26</v>
      </c>
      <c r="M210" s="30">
        <v>45986</v>
      </c>
      <c r="N210" s="30">
        <v>46005</v>
      </c>
      <c r="O210" s="43" t="s">
        <v>149</v>
      </c>
      <c r="P210" s="55" t="s">
        <v>825</v>
      </c>
      <c r="Q210" t="s">
        <v>826</v>
      </c>
      <c r="R210" t="s">
        <v>890</v>
      </c>
    </row>
    <row r="211" spans="1:18" ht="14.45">
      <c r="A211" s="106" t="b">
        <v>0</v>
      </c>
      <c r="B211" t="str" cm="1">
        <f t="array" ref="B211">_xlfn.SINGLE(_xlfn._xlws.FILTER(t_ServiceCatalogue[Onwer],t_ServiceCatalogue[Category]=t_fac25_requirements[[#This Row],[Category]],""))</f>
        <v>AV</v>
      </c>
      <c r="C211" t="s">
        <v>188</v>
      </c>
      <c r="D211" t="str">
        <f>_xlfn._xlws.FILTER(t_Contact[FA Name],t_Contact[FA]=t_fac25_requirements[[#This Row],[FA]],"")</f>
        <v>Broadcast Operations</v>
      </c>
      <c r="E211" t="s">
        <v>212</v>
      </c>
      <c r="F211" t="s">
        <v>278</v>
      </c>
      <c r="G211" t="s">
        <v>284</v>
      </c>
      <c r="H211" t="s">
        <v>58</v>
      </c>
      <c r="I211" t="s">
        <v>282</v>
      </c>
      <c r="J211" s="28" t="s">
        <v>370</v>
      </c>
      <c r="K211" s="32">
        <v>20</v>
      </c>
      <c r="L211" s="32">
        <v>13</v>
      </c>
      <c r="M211" s="30">
        <v>45986</v>
      </c>
      <c r="N211" s="30">
        <v>46005</v>
      </c>
      <c r="O211" s="43" t="s">
        <v>497</v>
      </c>
      <c r="P211" s="55" t="s">
        <v>87</v>
      </c>
      <c r="Q211" t="s">
        <v>828</v>
      </c>
      <c r="R211" t="s">
        <v>891</v>
      </c>
    </row>
    <row r="212" spans="1:18" ht="14.45">
      <c r="A212" s="106" t="b">
        <v>0</v>
      </c>
      <c r="B212" t="str" cm="1">
        <f t="array" ref="B212">_xlfn.SINGLE(_xlfn._xlws.FILTER(t_ServiceCatalogue[Onwer],t_ServiceCatalogue[Category]=t_fac25_requirements[[#This Row],[Category]],""))</f>
        <v>AV</v>
      </c>
      <c r="C212" t="s">
        <v>188</v>
      </c>
      <c r="D212" t="str">
        <f>_xlfn._xlws.FILTER(t_Contact[FA Name],t_Contact[FA]=t_fac25_requirements[[#This Row],[FA]],"")</f>
        <v>Broadcast Operations</v>
      </c>
      <c r="E212" t="s">
        <v>212</v>
      </c>
      <c r="F212" t="s">
        <v>305</v>
      </c>
      <c r="G212" t="s">
        <v>307</v>
      </c>
      <c r="H212" t="s">
        <v>58</v>
      </c>
      <c r="I212" t="s">
        <v>59</v>
      </c>
      <c r="J212" s="28" t="s">
        <v>370</v>
      </c>
      <c r="K212" s="32"/>
      <c r="L212" s="32">
        <v>2</v>
      </c>
      <c r="M212" s="30">
        <v>45986</v>
      </c>
      <c r="N212" s="30">
        <v>46005</v>
      </c>
      <c r="O212" s="43" t="s">
        <v>112</v>
      </c>
      <c r="P212" s="55" t="s">
        <v>371</v>
      </c>
      <c r="R212" t="s">
        <v>892</v>
      </c>
    </row>
    <row r="213" spans="1:18" ht="14.45">
      <c r="A213" s="106" t="b">
        <v>0</v>
      </c>
      <c r="B213" t="str" cm="1">
        <f t="array" ref="B213">_xlfn.SINGLE(_xlfn._xlws.FILTER(t_ServiceCatalogue[Onwer],t_ServiceCatalogue[Category]=t_fac25_requirements[[#This Row],[Category]],""))</f>
        <v>NW</v>
      </c>
      <c r="C213" t="s">
        <v>188</v>
      </c>
      <c r="D213" t="str">
        <f>_xlfn._xlws.FILTER(t_Contact[FA Name],t_Contact[FA]=t_fac25_requirements[[#This Row],[FA]],"")</f>
        <v>Broadcast Operations</v>
      </c>
      <c r="E213" t="s">
        <v>212</v>
      </c>
      <c r="F213" t="s">
        <v>305</v>
      </c>
      <c r="G213" t="s">
        <v>309</v>
      </c>
      <c r="H213" t="s">
        <v>46</v>
      </c>
      <c r="I213" t="s">
        <v>47</v>
      </c>
      <c r="J213" s="28" t="s">
        <v>370</v>
      </c>
      <c r="K213" s="32"/>
      <c r="L213" s="32">
        <v>2</v>
      </c>
      <c r="M213" s="30">
        <v>45986</v>
      </c>
      <c r="N213" s="30">
        <v>46005</v>
      </c>
      <c r="O213" s="43" t="s">
        <v>48</v>
      </c>
      <c r="P213" s="55" t="s">
        <v>803</v>
      </c>
      <c r="R213" t="s">
        <v>893</v>
      </c>
    </row>
    <row r="214" spans="1:18" ht="14.45">
      <c r="A214" s="106" t="b">
        <v>0</v>
      </c>
      <c r="B214" t="str" cm="1">
        <f t="array" ref="B214">_xlfn.SINGLE(_xlfn._xlws.FILTER(t_ServiceCatalogue[Onwer],t_ServiceCatalogue[Category]=t_fac25_requirements[[#This Row],[Category]],""))</f>
        <v>NW</v>
      </c>
      <c r="C214" t="s">
        <v>188</v>
      </c>
      <c r="D214" t="str">
        <f>_xlfn._xlws.FILTER(t_Contact[FA Name],t_Contact[FA]=t_fac25_requirements[[#This Row],[FA]],"")</f>
        <v>Broadcast Operations</v>
      </c>
      <c r="E214" t="s">
        <v>212</v>
      </c>
      <c r="F214" t="s">
        <v>305</v>
      </c>
      <c r="G214" t="s">
        <v>310</v>
      </c>
      <c r="H214" t="s">
        <v>46</v>
      </c>
      <c r="I214" t="s">
        <v>47</v>
      </c>
      <c r="J214" s="28" t="s">
        <v>370</v>
      </c>
      <c r="K214" s="32"/>
      <c r="L214" s="32">
        <v>2</v>
      </c>
      <c r="M214" s="30">
        <v>45986</v>
      </c>
      <c r="N214" s="30">
        <v>46005</v>
      </c>
      <c r="O214" s="43" t="s">
        <v>48</v>
      </c>
      <c r="P214" s="55" t="s">
        <v>803</v>
      </c>
      <c r="R214" t="s">
        <v>894</v>
      </c>
    </row>
    <row r="215" spans="1:18" ht="14.45">
      <c r="A215" s="106" t="b">
        <v>1</v>
      </c>
      <c r="B215" t="str" cm="1">
        <f t="array" ref="B215">_xlfn.SINGLE(_xlfn._xlws.FILTER(t_ServiceCatalogue[Onwer],t_ServiceCatalogue[Category]=t_fac25_requirements[[#This Row],[Category]],""))</f>
        <v>NW</v>
      </c>
      <c r="C215" t="s">
        <v>188</v>
      </c>
      <c r="D215" t="str">
        <f>_xlfn._xlws.FILTER(t_Contact[FA Name],t_Contact[FA]=t_fac25_requirements[[#This Row],[FA]],"")</f>
        <v>Broadcast Operations</v>
      </c>
      <c r="E215" t="s">
        <v>212</v>
      </c>
      <c r="F215" t="s">
        <v>305</v>
      </c>
      <c r="G215" t="s">
        <v>833</v>
      </c>
      <c r="H215" t="s">
        <v>46</v>
      </c>
      <c r="I215" t="s">
        <v>47</v>
      </c>
      <c r="J215" s="28" t="s">
        <v>637</v>
      </c>
      <c r="K215" s="32">
        <v>2</v>
      </c>
      <c r="L215" s="32">
        <v>0</v>
      </c>
      <c r="M215" s="30">
        <v>45986</v>
      </c>
      <c r="N215" s="30">
        <v>46005</v>
      </c>
      <c r="O215" s="43" t="s">
        <v>48</v>
      </c>
      <c r="P215" s="55" t="s">
        <v>800</v>
      </c>
      <c r="Q215" t="s">
        <v>834</v>
      </c>
      <c r="R215" t="s">
        <v>895</v>
      </c>
    </row>
    <row r="216" spans="1:18" ht="14.45">
      <c r="A216" s="106" t="b">
        <v>1</v>
      </c>
      <c r="B216" t="str" cm="1">
        <f t="array" ref="B216">_xlfn.SINGLE(_xlfn._xlws.FILTER(t_ServiceCatalogue[Onwer],t_ServiceCatalogue[Category]=t_fac25_requirements[[#This Row],[Category]],""))</f>
        <v>NW</v>
      </c>
      <c r="C216" t="s">
        <v>188</v>
      </c>
      <c r="D216" t="str">
        <f>_xlfn._xlws.FILTER(t_Contact[FA Name],t_Contact[FA]=t_fac25_requirements[[#This Row],[FA]],"")</f>
        <v>Broadcast Operations</v>
      </c>
      <c r="E216" t="s">
        <v>212</v>
      </c>
      <c r="F216" t="s">
        <v>268</v>
      </c>
      <c r="G216" t="s">
        <v>272</v>
      </c>
      <c r="H216" t="s">
        <v>46</v>
      </c>
      <c r="I216" t="s">
        <v>47</v>
      </c>
      <c r="J216" s="28" t="s">
        <v>637</v>
      </c>
      <c r="K216" s="32">
        <v>2</v>
      </c>
      <c r="L216" s="32">
        <v>0</v>
      </c>
      <c r="M216" s="30">
        <v>45986</v>
      </c>
      <c r="N216" s="30">
        <v>46005</v>
      </c>
      <c r="O216" s="43" t="s">
        <v>48</v>
      </c>
      <c r="P216" s="55" t="s">
        <v>800</v>
      </c>
      <c r="Q216" t="s">
        <v>836</v>
      </c>
      <c r="R216" t="s">
        <v>896</v>
      </c>
    </row>
    <row r="217" spans="1:18" ht="14.45">
      <c r="A217" s="106" t="b">
        <v>0</v>
      </c>
      <c r="B217" t="str" cm="1">
        <f t="array" ref="B217">_xlfn.SINGLE(_xlfn._xlws.FILTER(t_ServiceCatalogue[Onwer],t_ServiceCatalogue[Category]=t_fac25_requirements[[#This Row],[Category]],""))</f>
        <v>NW</v>
      </c>
      <c r="C217" t="s">
        <v>188</v>
      </c>
      <c r="D217" t="str">
        <f>_xlfn._xlws.FILTER(t_Contact[FA Name],t_Contact[FA]=t_fac25_requirements[[#This Row],[FA]],"")</f>
        <v>Broadcast Operations</v>
      </c>
      <c r="E217" t="s">
        <v>211</v>
      </c>
      <c r="F217" t="s">
        <v>246</v>
      </c>
      <c r="G217" t="s">
        <v>250</v>
      </c>
      <c r="H217" t="s">
        <v>46</v>
      </c>
      <c r="I217" s="28" t="s">
        <v>47</v>
      </c>
      <c r="J217" s="28" t="s">
        <v>370</v>
      </c>
      <c r="K217" s="32"/>
      <c r="L217" s="32">
        <v>1</v>
      </c>
      <c r="M217" s="30">
        <v>45986</v>
      </c>
      <c r="N217" s="30">
        <v>46008</v>
      </c>
      <c r="O217" s="43" t="s">
        <v>48</v>
      </c>
      <c r="P217" s="55" t="s">
        <v>795</v>
      </c>
      <c r="R217" t="s">
        <v>897</v>
      </c>
    </row>
    <row r="218" spans="1:18" ht="43.15">
      <c r="A218" s="106" t="b">
        <v>0</v>
      </c>
      <c r="B218" t="str" cm="1">
        <f t="array" ref="B218">_xlfn.SINGLE(_xlfn._xlws.FILTER(t_ServiceCatalogue[Onwer],t_ServiceCatalogue[Category]=t_fac25_requirements[[#This Row],[Category]],""))</f>
        <v>NW</v>
      </c>
      <c r="C218" t="s">
        <v>188</v>
      </c>
      <c r="D218" t="str">
        <f>_xlfn._xlws.FILTER(t_Contact[FA Name],t_Contact[FA]=t_fac25_requirements[[#This Row],[FA]],"")</f>
        <v>Broadcast Operations</v>
      </c>
      <c r="E218" t="s">
        <v>211</v>
      </c>
      <c r="F218" t="s">
        <v>246</v>
      </c>
      <c r="G218" t="s">
        <v>250</v>
      </c>
      <c r="H218" t="s">
        <v>46</v>
      </c>
      <c r="I218" s="28" t="s">
        <v>47</v>
      </c>
      <c r="J218" s="28" t="s">
        <v>370</v>
      </c>
      <c r="K218" s="32">
        <v>5</v>
      </c>
      <c r="L218" s="29">
        <v>3</v>
      </c>
      <c r="M218" s="30">
        <v>45986</v>
      </c>
      <c r="N218" s="30">
        <v>46008</v>
      </c>
      <c r="O218" s="43" t="s">
        <v>149</v>
      </c>
      <c r="P218" s="70" t="s">
        <v>797</v>
      </c>
      <c r="Q218" t="s">
        <v>798</v>
      </c>
      <c r="R218" t="s">
        <v>898</v>
      </c>
    </row>
    <row r="219" spans="1:18" ht="14.45">
      <c r="A219" s="106" t="b">
        <v>0</v>
      </c>
      <c r="B219" t="str" cm="1">
        <f t="array" ref="B219">_xlfn.SINGLE(_xlfn._xlws.FILTER(t_ServiceCatalogue[Onwer],t_ServiceCatalogue[Category]=t_fac25_requirements[[#This Row],[Category]],""))</f>
        <v>NW</v>
      </c>
      <c r="C219" t="s">
        <v>188</v>
      </c>
      <c r="D219" t="str">
        <f>_xlfn._xlws.FILTER(t_Contact[FA Name],t_Contact[FA]=t_fac25_requirements[[#This Row],[FA]],"")</f>
        <v>Broadcast Operations</v>
      </c>
      <c r="E219" t="s">
        <v>211</v>
      </c>
      <c r="F219" t="s">
        <v>246</v>
      </c>
      <c r="G219" t="s">
        <v>249</v>
      </c>
      <c r="H219" t="s">
        <v>46</v>
      </c>
      <c r="I219" t="s">
        <v>47</v>
      </c>
      <c r="J219" s="28" t="s">
        <v>370</v>
      </c>
      <c r="K219" s="29">
        <v>6</v>
      </c>
      <c r="L219" s="29">
        <v>3</v>
      </c>
      <c r="M219" s="30">
        <v>45986</v>
      </c>
      <c r="N219" s="30">
        <v>46008</v>
      </c>
      <c r="O219" s="43" t="s">
        <v>48</v>
      </c>
      <c r="P219" s="55" t="s">
        <v>800</v>
      </c>
      <c r="Q219" t="s">
        <v>801</v>
      </c>
      <c r="R219" t="s">
        <v>899</v>
      </c>
    </row>
    <row r="220" spans="1:18" ht="14.45">
      <c r="A220" s="106" t="b">
        <v>0</v>
      </c>
      <c r="B220" t="str" cm="1">
        <f t="array" ref="B220">_xlfn.SINGLE(_xlfn._xlws.FILTER(t_ServiceCatalogue[Onwer],t_ServiceCatalogue[Category]=t_fac25_requirements[[#This Row],[Category]],""))</f>
        <v>NW</v>
      </c>
      <c r="C220" t="s">
        <v>188</v>
      </c>
      <c r="D220" t="str">
        <f>_xlfn._xlws.FILTER(t_Contact[FA Name],t_Contact[FA]=t_fac25_requirements[[#This Row],[FA]],"")</f>
        <v>Broadcast Operations</v>
      </c>
      <c r="E220" t="s">
        <v>211</v>
      </c>
      <c r="F220" t="s">
        <v>246</v>
      </c>
      <c r="G220" t="s">
        <v>443</v>
      </c>
      <c r="H220" t="s">
        <v>46</v>
      </c>
      <c r="I220" t="s">
        <v>47</v>
      </c>
      <c r="J220" s="28" t="s">
        <v>370</v>
      </c>
      <c r="K220" s="32"/>
      <c r="L220" s="32">
        <v>2</v>
      </c>
      <c r="M220" s="30">
        <v>45986</v>
      </c>
      <c r="N220" s="30">
        <v>46008</v>
      </c>
      <c r="O220" s="43" t="s">
        <v>48</v>
      </c>
      <c r="P220" s="55" t="s">
        <v>803</v>
      </c>
      <c r="R220" t="s">
        <v>900</v>
      </c>
    </row>
    <row r="221" spans="1:18" ht="14.45">
      <c r="A221" s="106" t="b">
        <v>1</v>
      </c>
      <c r="B221" t="str" cm="1">
        <f t="array" ref="B221">_xlfn.SINGLE(_xlfn._xlws.FILTER(t_ServiceCatalogue[Onwer],t_ServiceCatalogue[Category]=t_fac25_requirements[[#This Row],[Category]],""))</f>
        <v>NW</v>
      </c>
      <c r="C221" t="s">
        <v>188</v>
      </c>
      <c r="D221" t="str">
        <f>_xlfn._xlws.FILTER(t_Contact[FA Name],t_Contact[FA]=t_fac25_requirements[[#This Row],[FA]],"")</f>
        <v>Broadcast Operations</v>
      </c>
      <c r="E221" t="s">
        <v>211</v>
      </c>
      <c r="F221" t="s">
        <v>246</v>
      </c>
      <c r="G221" t="s">
        <v>443</v>
      </c>
      <c r="H221" t="s">
        <v>46</v>
      </c>
      <c r="I221" t="s">
        <v>148</v>
      </c>
      <c r="J221" s="28" t="s">
        <v>637</v>
      </c>
      <c r="K221" s="29">
        <v>1</v>
      </c>
      <c r="L221" s="29">
        <v>0</v>
      </c>
      <c r="M221" s="30">
        <v>45986</v>
      </c>
      <c r="N221" s="30">
        <v>46008</v>
      </c>
      <c r="O221" s="43" t="s">
        <v>149</v>
      </c>
      <c r="P221" s="55" t="s">
        <v>805</v>
      </c>
      <c r="Q221" t="s">
        <v>806</v>
      </c>
      <c r="R221" t="s">
        <v>901</v>
      </c>
    </row>
    <row r="222" spans="1:18" ht="14.45">
      <c r="A222" s="106" t="b">
        <v>0</v>
      </c>
      <c r="B222" t="str" cm="1">
        <f t="array" ref="B222">_xlfn.SINGLE(_xlfn._xlws.FILTER(t_ServiceCatalogue[Onwer],t_ServiceCatalogue[Category]=t_fac25_requirements[[#This Row],[Category]],""))</f>
        <v>NW</v>
      </c>
      <c r="C222" t="s">
        <v>188</v>
      </c>
      <c r="D222" t="str">
        <f>_xlfn._xlws.FILTER(t_Contact[FA Name],t_Contact[FA]=t_fac25_requirements[[#This Row],[FA]],"")</f>
        <v>Broadcast Operations</v>
      </c>
      <c r="E222" t="s">
        <v>211</v>
      </c>
      <c r="F222" t="s">
        <v>305</v>
      </c>
      <c r="G222" t="s">
        <v>307</v>
      </c>
      <c r="H222" t="s">
        <v>46</v>
      </c>
      <c r="I222" t="s">
        <v>47</v>
      </c>
      <c r="J222" s="28" t="s">
        <v>370</v>
      </c>
      <c r="K222" s="32">
        <v>6</v>
      </c>
      <c r="L222" s="32">
        <v>2</v>
      </c>
      <c r="M222" s="30">
        <v>45986</v>
      </c>
      <c r="N222" s="30">
        <v>46008</v>
      </c>
      <c r="O222" s="43" t="s">
        <v>48</v>
      </c>
      <c r="P222" s="55" t="s">
        <v>808</v>
      </c>
      <c r="R222" t="s">
        <v>902</v>
      </c>
    </row>
    <row r="223" spans="1:18" ht="14.45">
      <c r="A223" s="106" t="b">
        <v>1</v>
      </c>
      <c r="B223" t="str" cm="1">
        <f t="array" ref="B223">_xlfn.SINGLE(_xlfn._xlws.FILTER(t_ServiceCatalogue[Onwer],t_ServiceCatalogue[Category]=t_fac25_requirements[[#This Row],[Category]],""))</f>
        <v>NW</v>
      </c>
      <c r="C223" t="s">
        <v>188</v>
      </c>
      <c r="D223" t="str">
        <f>_xlfn._xlws.FILTER(t_Contact[FA Name],t_Contact[FA]=t_fac25_requirements[[#This Row],[FA]],"")</f>
        <v>Broadcast Operations</v>
      </c>
      <c r="E223" t="s">
        <v>211</v>
      </c>
      <c r="F223" t="s">
        <v>305</v>
      </c>
      <c r="G223" t="s">
        <v>307</v>
      </c>
      <c r="H223" t="s">
        <v>46</v>
      </c>
      <c r="I223" t="s">
        <v>148</v>
      </c>
      <c r="J223" s="28" t="s">
        <v>637</v>
      </c>
      <c r="K223" s="29">
        <v>1</v>
      </c>
      <c r="L223" s="29">
        <v>0</v>
      </c>
      <c r="M223" s="30">
        <v>45986</v>
      </c>
      <c r="N223" s="30">
        <v>46008</v>
      </c>
      <c r="O223" s="43" t="s">
        <v>149</v>
      </c>
      <c r="P223" s="55" t="s">
        <v>805</v>
      </c>
      <c r="Q223" t="s">
        <v>810</v>
      </c>
      <c r="R223" t="s">
        <v>903</v>
      </c>
    </row>
    <row r="224" spans="1:18" ht="14.45">
      <c r="A224" s="106" t="b">
        <v>0</v>
      </c>
      <c r="B224" t="str" cm="1">
        <f t="array" ref="B224">_xlfn.SINGLE(_xlfn._xlws.FILTER(t_ServiceCatalogue[Onwer],t_ServiceCatalogue[Category]=t_fac25_requirements[[#This Row],[Category]],""))</f>
        <v>EU</v>
      </c>
      <c r="C224" t="s">
        <v>188</v>
      </c>
      <c r="D224" t="str">
        <f>_xlfn._xlws.FILTER(t_Contact[FA Name],t_Contact[FA]=t_fac25_requirements[[#This Row],[FA]],"")</f>
        <v>Broadcast Operations</v>
      </c>
      <c r="E224" t="s">
        <v>211</v>
      </c>
      <c r="F224" t="s">
        <v>305</v>
      </c>
      <c r="G224" t="s">
        <v>307</v>
      </c>
      <c r="H224" t="s">
        <v>22</v>
      </c>
      <c r="I224" t="s">
        <v>23</v>
      </c>
      <c r="J224" s="28" t="s">
        <v>370</v>
      </c>
      <c r="K224" s="32"/>
      <c r="L224" s="32">
        <v>1</v>
      </c>
      <c r="M224" s="30">
        <v>45986</v>
      </c>
      <c r="N224" s="30">
        <v>46008</v>
      </c>
      <c r="O224" s="43" t="s">
        <v>24</v>
      </c>
      <c r="P224" s="55" t="s">
        <v>87</v>
      </c>
      <c r="Q224" t="s">
        <v>812</v>
      </c>
      <c r="R224" t="s">
        <v>904</v>
      </c>
    </row>
    <row r="225" spans="1:18" ht="14.45">
      <c r="A225" s="106" t="b">
        <v>0</v>
      </c>
      <c r="B225" t="str" cm="1">
        <f t="array" ref="B225">_xlfn.SINGLE(_xlfn._xlws.FILTER(t_ServiceCatalogue[Onwer],t_ServiceCatalogue[Category]=t_fac25_requirements[[#This Row],[Category]],""))</f>
        <v>NW</v>
      </c>
      <c r="C225" t="s">
        <v>188</v>
      </c>
      <c r="D225" t="str">
        <f>_xlfn._xlws.FILTER(t_Contact[FA Name],t_Contact[FA]=t_fac25_requirements[[#This Row],[FA]],"")</f>
        <v>Broadcast Operations</v>
      </c>
      <c r="E225" t="s">
        <v>211</v>
      </c>
      <c r="F225" t="s">
        <v>305</v>
      </c>
      <c r="G225" t="s">
        <v>317</v>
      </c>
      <c r="H225" t="s">
        <v>46</v>
      </c>
      <c r="I225" t="s">
        <v>47</v>
      </c>
      <c r="J225" s="28" t="s">
        <v>370</v>
      </c>
      <c r="K225" s="32">
        <v>5</v>
      </c>
      <c r="L225" s="32">
        <v>8</v>
      </c>
      <c r="M225" s="30">
        <v>45986</v>
      </c>
      <c r="N225" s="30">
        <v>46008</v>
      </c>
      <c r="O225" s="43" t="s">
        <v>48</v>
      </c>
      <c r="P225" s="55" t="s">
        <v>87</v>
      </c>
      <c r="Q225" t="s">
        <v>814</v>
      </c>
      <c r="R225" t="s">
        <v>905</v>
      </c>
    </row>
    <row r="226" spans="1:18" ht="14.45">
      <c r="A226" s="106" t="b">
        <v>0</v>
      </c>
      <c r="B226" t="str" cm="1">
        <f t="array" ref="B226">_xlfn.SINGLE(_xlfn._xlws.FILTER(t_ServiceCatalogue[Onwer],t_ServiceCatalogue[Category]=t_fac25_requirements[[#This Row],[Category]],""))</f>
        <v>NW</v>
      </c>
      <c r="C226" t="s">
        <v>188</v>
      </c>
      <c r="D226" t="str">
        <f>_xlfn._xlws.FILTER(t_Contact[FA Name],t_Contact[FA]=t_fac25_requirements[[#This Row],[FA]],"")</f>
        <v>Broadcast Operations</v>
      </c>
      <c r="E226" t="s">
        <v>211</v>
      </c>
      <c r="F226" t="s">
        <v>253</v>
      </c>
      <c r="G226" t="s">
        <v>255</v>
      </c>
      <c r="H226" t="s">
        <v>46</v>
      </c>
      <c r="I226" t="s">
        <v>256</v>
      </c>
      <c r="J226" s="28" t="s">
        <v>370</v>
      </c>
      <c r="K226" s="32"/>
      <c r="L226" s="32">
        <v>4</v>
      </c>
      <c r="M226" s="30">
        <v>45986</v>
      </c>
      <c r="N226" s="30">
        <v>46008</v>
      </c>
      <c r="O226" s="43" t="s">
        <v>149</v>
      </c>
      <c r="P226" s="55" t="s">
        <v>816</v>
      </c>
      <c r="Q226" t="s">
        <v>817</v>
      </c>
      <c r="R226" t="s">
        <v>906</v>
      </c>
    </row>
    <row r="227" spans="1:18" ht="14.45">
      <c r="A227" s="106" t="b">
        <v>0</v>
      </c>
      <c r="B227" t="str" cm="1">
        <f t="array" ref="B227">_xlfn.SINGLE(_xlfn._xlws.FILTER(t_ServiceCatalogue[Onwer],t_ServiceCatalogue[Category]=t_fac25_requirements[[#This Row],[Category]],""))</f>
        <v>NW</v>
      </c>
      <c r="C227" t="s">
        <v>188</v>
      </c>
      <c r="D227" t="str">
        <f>_xlfn._xlws.FILTER(t_Contact[FA Name],t_Contact[FA]=t_fac25_requirements[[#This Row],[FA]],"")</f>
        <v>Broadcast Operations</v>
      </c>
      <c r="E227" t="s">
        <v>211</v>
      </c>
      <c r="F227" t="s">
        <v>259</v>
      </c>
      <c r="G227" t="s">
        <v>265</v>
      </c>
      <c r="H227" t="s">
        <v>46</v>
      </c>
      <c r="I227" t="s">
        <v>256</v>
      </c>
      <c r="J227" s="28" t="s">
        <v>370</v>
      </c>
      <c r="K227" s="32"/>
      <c r="L227" s="32">
        <v>8</v>
      </c>
      <c r="M227" s="30">
        <v>45986</v>
      </c>
      <c r="N227" s="30">
        <v>46008</v>
      </c>
      <c r="O227" s="43" t="s">
        <v>149</v>
      </c>
      <c r="P227" s="55" t="s">
        <v>819</v>
      </c>
      <c r="Q227" t="s">
        <v>820</v>
      </c>
      <c r="R227" t="s">
        <v>907</v>
      </c>
    </row>
    <row r="228" spans="1:18" ht="14.45">
      <c r="A228" s="106" t="b">
        <v>0</v>
      </c>
      <c r="B228" t="str" cm="1">
        <f t="array" ref="B228">_xlfn.SINGLE(_xlfn._xlws.FILTER(t_ServiceCatalogue[Onwer],t_ServiceCatalogue[Category]=t_fac25_requirements[[#This Row],[Category]],""))</f>
        <v>NW</v>
      </c>
      <c r="C228" t="s">
        <v>188</v>
      </c>
      <c r="D228" t="str">
        <f>_xlfn._xlws.FILTER(t_Contact[FA Name],t_Contact[FA]=t_fac25_requirements[[#This Row],[FA]],"")</f>
        <v>Broadcast Operations</v>
      </c>
      <c r="E228" t="s">
        <v>211</v>
      </c>
      <c r="F228" t="s">
        <v>259</v>
      </c>
      <c r="G228" t="s">
        <v>266</v>
      </c>
      <c r="H228" t="s">
        <v>46</v>
      </c>
      <c r="I228" t="s">
        <v>256</v>
      </c>
      <c r="J228" s="28" t="s">
        <v>370</v>
      </c>
      <c r="K228" s="32"/>
      <c r="L228" s="32">
        <v>4</v>
      </c>
      <c r="M228" s="30">
        <v>45986</v>
      </c>
      <c r="N228" s="30">
        <v>46008</v>
      </c>
      <c r="O228" s="43" t="s">
        <v>149</v>
      </c>
      <c r="P228" s="55" t="s">
        <v>822</v>
      </c>
      <c r="Q228" t="s">
        <v>823</v>
      </c>
      <c r="R228" t="s">
        <v>908</v>
      </c>
    </row>
    <row r="229" spans="1:18" ht="14.45">
      <c r="A229" s="106" t="b">
        <v>0</v>
      </c>
      <c r="B229" t="str" cm="1">
        <f t="array" ref="B229">_xlfn.SINGLE(_xlfn._xlws.FILTER(t_ServiceCatalogue[Onwer],t_ServiceCatalogue[Category]=t_fac25_requirements[[#This Row],[Category]],""))</f>
        <v>NW</v>
      </c>
      <c r="C229" t="s">
        <v>188</v>
      </c>
      <c r="D229" t="str">
        <f>_xlfn._xlws.FILTER(t_Contact[FA Name],t_Contact[FA]=t_fac25_requirements[[#This Row],[FA]],"")</f>
        <v>Broadcast Operations</v>
      </c>
      <c r="E229" t="s">
        <v>211</v>
      </c>
      <c r="F229" t="s">
        <v>278</v>
      </c>
      <c r="G229" t="s">
        <v>284</v>
      </c>
      <c r="H229" t="s">
        <v>46</v>
      </c>
      <c r="I229" t="s">
        <v>280</v>
      </c>
      <c r="J229" s="28" t="s">
        <v>370</v>
      </c>
      <c r="K229" s="32">
        <v>40</v>
      </c>
      <c r="L229" s="32">
        <v>26</v>
      </c>
      <c r="M229" s="30">
        <v>45986</v>
      </c>
      <c r="N229" s="30">
        <v>46008</v>
      </c>
      <c r="O229" s="43" t="s">
        <v>149</v>
      </c>
      <c r="P229" s="55" t="s">
        <v>825</v>
      </c>
      <c r="Q229" t="s">
        <v>826</v>
      </c>
      <c r="R229" t="s">
        <v>909</v>
      </c>
    </row>
    <row r="230" spans="1:18" ht="14.45">
      <c r="A230" s="106" t="b">
        <v>0</v>
      </c>
      <c r="B230" t="str" cm="1">
        <f t="array" ref="B230">_xlfn.SINGLE(_xlfn._xlws.FILTER(t_ServiceCatalogue[Onwer],t_ServiceCatalogue[Category]=t_fac25_requirements[[#This Row],[Category]],""))</f>
        <v>AV</v>
      </c>
      <c r="C230" t="s">
        <v>188</v>
      </c>
      <c r="D230" t="str">
        <f>_xlfn._xlws.FILTER(t_Contact[FA Name],t_Contact[FA]=t_fac25_requirements[[#This Row],[FA]],"")</f>
        <v>Broadcast Operations</v>
      </c>
      <c r="E230" t="s">
        <v>211</v>
      </c>
      <c r="F230" t="s">
        <v>278</v>
      </c>
      <c r="G230" t="s">
        <v>284</v>
      </c>
      <c r="H230" t="s">
        <v>58</v>
      </c>
      <c r="I230" t="s">
        <v>282</v>
      </c>
      <c r="J230" s="28" t="s">
        <v>370</v>
      </c>
      <c r="K230" s="32">
        <v>20</v>
      </c>
      <c r="L230" s="32">
        <v>13</v>
      </c>
      <c r="M230" s="30">
        <v>45986</v>
      </c>
      <c r="N230" s="30">
        <v>46008</v>
      </c>
      <c r="O230" s="43" t="s">
        <v>497</v>
      </c>
      <c r="P230" s="55" t="s">
        <v>87</v>
      </c>
      <c r="Q230" t="s">
        <v>828</v>
      </c>
      <c r="R230" t="s">
        <v>910</v>
      </c>
    </row>
    <row r="231" spans="1:18" ht="14.45">
      <c r="A231" s="106" t="b">
        <v>0</v>
      </c>
      <c r="B231" t="str" cm="1">
        <f t="array" ref="B231">_xlfn.SINGLE(_xlfn._xlws.FILTER(t_ServiceCatalogue[Onwer],t_ServiceCatalogue[Category]=t_fac25_requirements[[#This Row],[Category]],""))</f>
        <v>AV</v>
      </c>
      <c r="C231" t="s">
        <v>188</v>
      </c>
      <c r="D231" t="str">
        <f>_xlfn._xlws.FILTER(t_Contact[FA Name],t_Contact[FA]=t_fac25_requirements[[#This Row],[FA]],"")</f>
        <v>Broadcast Operations</v>
      </c>
      <c r="E231" t="s">
        <v>211</v>
      </c>
      <c r="F231" t="s">
        <v>305</v>
      </c>
      <c r="G231" t="s">
        <v>307</v>
      </c>
      <c r="H231" t="s">
        <v>58</v>
      </c>
      <c r="I231" t="s">
        <v>59</v>
      </c>
      <c r="J231" s="28" t="s">
        <v>370</v>
      </c>
      <c r="K231" s="32"/>
      <c r="L231" s="32">
        <v>2</v>
      </c>
      <c r="M231" s="30">
        <v>45986</v>
      </c>
      <c r="N231" s="30">
        <v>46008</v>
      </c>
      <c r="O231" s="43" t="s">
        <v>112</v>
      </c>
      <c r="P231" s="55" t="s">
        <v>371</v>
      </c>
      <c r="R231" t="s">
        <v>372</v>
      </c>
    </row>
    <row r="232" spans="1:18" ht="14.45">
      <c r="A232" s="106" t="b">
        <v>0</v>
      </c>
      <c r="B232" t="str" cm="1">
        <f t="array" ref="B232">_xlfn.SINGLE(_xlfn._xlws.FILTER(t_ServiceCatalogue[Onwer],t_ServiceCatalogue[Category]=t_fac25_requirements[[#This Row],[Category]],""))</f>
        <v>NW</v>
      </c>
      <c r="C232" t="s">
        <v>188</v>
      </c>
      <c r="D232" t="str">
        <f>_xlfn._xlws.FILTER(t_Contact[FA Name],t_Contact[FA]=t_fac25_requirements[[#This Row],[FA]],"")</f>
        <v>Broadcast Operations</v>
      </c>
      <c r="E232" t="s">
        <v>211</v>
      </c>
      <c r="F232" t="s">
        <v>246</v>
      </c>
      <c r="G232" t="s">
        <v>309</v>
      </c>
      <c r="H232" t="s">
        <v>46</v>
      </c>
      <c r="I232" t="s">
        <v>47</v>
      </c>
      <c r="J232" s="28" t="s">
        <v>370</v>
      </c>
      <c r="K232" s="32"/>
      <c r="L232" s="32">
        <v>2</v>
      </c>
      <c r="M232" s="30">
        <v>45986</v>
      </c>
      <c r="N232" s="30">
        <v>46008</v>
      </c>
      <c r="O232" s="43" t="s">
        <v>48</v>
      </c>
      <c r="P232" s="55" t="s">
        <v>803</v>
      </c>
      <c r="R232" t="s">
        <v>911</v>
      </c>
    </row>
    <row r="233" spans="1:18" ht="14.45">
      <c r="A233" s="106" t="b">
        <v>0</v>
      </c>
      <c r="B233" t="str" cm="1">
        <f t="array" ref="B233">_xlfn.SINGLE(_xlfn._xlws.FILTER(t_ServiceCatalogue[Onwer],t_ServiceCatalogue[Category]=t_fac25_requirements[[#This Row],[Category]],""))</f>
        <v>NW</v>
      </c>
      <c r="C233" t="s">
        <v>188</v>
      </c>
      <c r="D233" t="str">
        <f>_xlfn._xlws.FILTER(t_Contact[FA Name],t_Contact[FA]=t_fac25_requirements[[#This Row],[FA]],"")</f>
        <v>Broadcast Operations</v>
      </c>
      <c r="E233" t="s">
        <v>211</v>
      </c>
      <c r="F233" t="s">
        <v>246</v>
      </c>
      <c r="G233" t="s">
        <v>310</v>
      </c>
      <c r="H233" t="s">
        <v>46</v>
      </c>
      <c r="I233" t="s">
        <v>47</v>
      </c>
      <c r="J233" s="28" t="s">
        <v>370</v>
      </c>
      <c r="K233" s="32"/>
      <c r="L233" s="32">
        <v>2</v>
      </c>
      <c r="M233" s="30">
        <v>45986</v>
      </c>
      <c r="N233" s="30">
        <v>46008</v>
      </c>
      <c r="O233" s="43" t="s">
        <v>48</v>
      </c>
      <c r="P233" s="55" t="s">
        <v>803</v>
      </c>
      <c r="R233" t="s">
        <v>912</v>
      </c>
    </row>
    <row r="234" spans="1:18" ht="14.45">
      <c r="A234" s="106" t="b">
        <v>1</v>
      </c>
      <c r="B234" t="str" cm="1">
        <f t="array" ref="B234">_xlfn.SINGLE(_xlfn._xlws.FILTER(t_ServiceCatalogue[Onwer],t_ServiceCatalogue[Category]=t_fac25_requirements[[#This Row],[Category]],""))</f>
        <v>NW</v>
      </c>
      <c r="C234" t="s">
        <v>188</v>
      </c>
      <c r="D234" t="str">
        <f>_xlfn._xlws.FILTER(t_Contact[FA Name],t_Contact[FA]=t_fac25_requirements[[#This Row],[FA]],"")</f>
        <v>Broadcast Operations</v>
      </c>
      <c r="E234" t="s">
        <v>211</v>
      </c>
      <c r="F234" t="s">
        <v>305</v>
      </c>
      <c r="G234" t="s">
        <v>833</v>
      </c>
      <c r="H234" t="s">
        <v>46</v>
      </c>
      <c r="I234" t="s">
        <v>47</v>
      </c>
      <c r="J234" s="28" t="s">
        <v>637</v>
      </c>
      <c r="K234" s="32">
        <v>2</v>
      </c>
      <c r="L234" s="32">
        <v>0</v>
      </c>
      <c r="M234" s="30">
        <v>45986</v>
      </c>
      <c r="N234" s="30">
        <v>46008</v>
      </c>
      <c r="O234" s="43" t="s">
        <v>48</v>
      </c>
      <c r="P234" s="55" t="s">
        <v>800</v>
      </c>
      <c r="Q234" t="s">
        <v>834</v>
      </c>
      <c r="R234" t="s">
        <v>913</v>
      </c>
    </row>
    <row r="235" spans="1:18" ht="14.45">
      <c r="A235" s="106" t="b">
        <v>1</v>
      </c>
      <c r="B235" t="str" cm="1">
        <f t="array" ref="B235">_xlfn.SINGLE(_xlfn._xlws.FILTER(t_ServiceCatalogue[Onwer],t_ServiceCatalogue[Category]=t_fac25_requirements[[#This Row],[Category]],""))</f>
        <v>NW</v>
      </c>
      <c r="C235" t="s">
        <v>188</v>
      </c>
      <c r="D235" t="str">
        <f>_xlfn._xlws.FILTER(t_Contact[FA Name],t_Contact[FA]=t_fac25_requirements[[#This Row],[FA]],"")</f>
        <v>Broadcast Operations</v>
      </c>
      <c r="E235" t="s">
        <v>211</v>
      </c>
      <c r="F235" t="s">
        <v>268</v>
      </c>
      <c r="G235" t="s">
        <v>272</v>
      </c>
      <c r="H235" t="s">
        <v>46</v>
      </c>
      <c r="I235" t="s">
        <v>47</v>
      </c>
      <c r="J235" s="28" t="s">
        <v>637</v>
      </c>
      <c r="K235" s="32">
        <v>2</v>
      </c>
      <c r="L235" s="32">
        <v>0</v>
      </c>
      <c r="M235" s="30">
        <v>45986</v>
      </c>
      <c r="N235" s="30">
        <v>46008</v>
      </c>
      <c r="O235" s="43" t="s">
        <v>48</v>
      </c>
      <c r="P235" s="55" t="s">
        <v>800</v>
      </c>
      <c r="Q235" t="s">
        <v>836</v>
      </c>
      <c r="R235" t="s">
        <v>914</v>
      </c>
    </row>
    <row r="236" spans="1:18" ht="14.45">
      <c r="A236" s="106" t="b">
        <v>1</v>
      </c>
      <c r="B236" t="str" cm="1">
        <f t="array" ref="B236">_xlfn.SINGLE(_xlfn._xlws.FILTER(t_ServiceCatalogue[Onwer],t_ServiceCatalogue[Category]=t_fac25_requirements[[#This Row],[Category]],""))</f>
        <v>NW</v>
      </c>
      <c r="C236" t="s">
        <v>188</v>
      </c>
      <c r="D236" t="str">
        <f>_xlfn._xlws.FILTER(t_Contact[FA Name],t_Contact[FA]=t_fac25_requirements[[#This Row],[FA]],"")</f>
        <v>Broadcast Operations</v>
      </c>
      <c r="E236" t="s">
        <v>208</v>
      </c>
      <c r="F236" t="s">
        <v>246</v>
      </c>
      <c r="G236" t="s">
        <v>250</v>
      </c>
      <c r="H236" t="s">
        <v>46</v>
      </c>
      <c r="I236" s="28" t="s">
        <v>47</v>
      </c>
      <c r="J236" s="28" t="s">
        <v>370</v>
      </c>
      <c r="K236" s="32"/>
      <c r="L236" s="32">
        <v>1</v>
      </c>
      <c r="M236" s="30">
        <v>45986</v>
      </c>
      <c r="N236" s="30">
        <v>46010</v>
      </c>
      <c r="O236" s="43" t="s">
        <v>48</v>
      </c>
      <c r="P236" s="55" t="s">
        <v>795</v>
      </c>
      <c r="R236" t="s">
        <v>915</v>
      </c>
    </row>
    <row r="237" spans="1:18" ht="43.15">
      <c r="A237" s="106" t="b">
        <v>1</v>
      </c>
      <c r="B237" t="str" cm="1">
        <f t="array" ref="B237">_xlfn.SINGLE(_xlfn._xlws.FILTER(t_ServiceCatalogue[Onwer],t_ServiceCatalogue[Category]=t_fac25_requirements[[#This Row],[Category]],""))</f>
        <v>NW</v>
      </c>
      <c r="C237" t="s">
        <v>188</v>
      </c>
      <c r="D237" t="str">
        <f>_xlfn._xlws.FILTER(t_Contact[FA Name],t_Contact[FA]=t_fac25_requirements[[#This Row],[FA]],"")</f>
        <v>Broadcast Operations</v>
      </c>
      <c r="E237" t="s">
        <v>208</v>
      </c>
      <c r="F237" t="s">
        <v>246</v>
      </c>
      <c r="G237" t="s">
        <v>250</v>
      </c>
      <c r="H237" t="s">
        <v>46</v>
      </c>
      <c r="I237" s="28" t="s">
        <v>47</v>
      </c>
      <c r="J237" s="28" t="s">
        <v>370</v>
      </c>
      <c r="K237" s="32">
        <v>5</v>
      </c>
      <c r="L237" s="29">
        <v>3</v>
      </c>
      <c r="M237" s="30">
        <v>45986</v>
      </c>
      <c r="N237" s="30">
        <v>46010</v>
      </c>
      <c r="O237" s="43" t="s">
        <v>149</v>
      </c>
      <c r="P237" s="70" t="s">
        <v>797</v>
      </c>
      <c r="Q237" t="s">
        <v>798</v>
      </c>
      <c r="R237" t="s">
        <v>916</v>
      </c>
    </row>
    <row r="238" spans="1:18" ht="14.45">
      <c r="A238" s="106" t="b">
        <v>1</v>
      </c>
      <c r="B238" t="str" cm="1">
        <f t="array" ref="B238">_xlfn.SINGLE(_xlfn._xlws.FILTER(t_ServiceCatalogue[Onwer],t_ServiceCatalogue[Category]=t_fac25_requirements[[#This Row],[Category]],""))</f>
        <v>NW</v>
      </c>
      <c r="C238" t="s">
        <v>188</v>
      </c>
      <c r="D238" t="str">
        <f>_xlfn._xlws.FILTER(t_Contact[FA Name],t_Contact[FA]=t_fac25_requirements[[#This Row],[FA]],"")</f>
        <v>Broadcast Operations</v>
      </c>
      <c r="E238" t="s">
        <v>208</v>
      </c>
      <c r="F238" t="s">
        <v>246</v>
      </c>
      <c r="G238" t="s">
        <v>249</v>
      </c>
      <c r="H238" t="s">
        <v>46</v>
      </c>
      <c r="I238" t="s">
        <v>47</v>
      </c>
      <c r="J238" s="28" t="s">
        <v>370</v>
      </c>
      <c r="K238" s="32">
        <v>6</v>
      </c>
      <c r="L238" s="32">
        <v>3</v>
      </c>
      <c r="M238" s="30">
        <v>45986</v>
      </c>
      <c r="N238" s="30">
        <v>46010</v>
      </c>
      <c r="O238" s="43" t="s">
        <v>48</v>
      </c>
      <c r="P238" s="55" t="s">
        <v>800</v>
      </c>
      <c r="Q238" t="s">
        <v>801</v>
      </c>
      <c r="R238" t="s">
        <v>917</v>
      </c>
    </row>
    <row r="239" spans="1:18" ht="14.45">
      <c r="A239" s="106" t="b">
        <v>0</v>
      </c>
      <c r="B239" t="str" cm="1">
        <f t="array" ref="B239">_xlfn.SINGLE(_xlfn._xlws.FILTER(t_ServiceCatalogue[Onwer],t_ServiceCatalogue[Category]=t_fac25_requirements[[#This Row],[Category]],""))</f>
        <v>NW</v>
      </c>
      <c r="C239" t="s">
        <v>188</v>
      </c>
      <c r="D239" t="str">
        <f>_xlfn._xlws.FILTER(t_Contact[FA Name],t_Contact[FA]=t_fac25_requirements[[#This Row],[FA]],"")</f>
        <v>Broadcast Operations</v>
      </c>
      <c r="E239" t="s">
        <v>208</v>
      </c>
      <c r="F239" t="s">
        <v>305</v>
      </c>
      <c r="G239" t="s">
        <v>312</v>
      </c>
      <c r="H239" t="s">
        <v>46</v>
      </c>
      <c r="I239" t="s">
        <v>47</v>
      </c>
      <c r="J239" s="28" t="s">
        <v>370</v>
      </c>
      <c r="K239" s="32"/>
      <c r="L239" s="32">
        <v>2</v>
      </c>
      <c r="M239" s="30">
        <v>45986</v>
      </c>
      <c r="N239" s="30">
        <v>46010</v>
      </c>
      <c r="O239" s="43" t="s">
        <v>48</v>
      </c>
      <c r="P239" s="55" t="s">
        <v>87</v>
      </c>
      <c r="R239" t="s">
        <v>918</v>
      </c>
    </row>
    <row r="240" spans="1:18" ht="14.45">
      <c r="A240" s="106" t="b">
        <v>1</v>
      </c>
      <c r="B240" t="str" cm="1">
        <f t="array" ref="B240">_xlfn.SINGLE(_xlfn._xlws.FILTER(t_ServiceCatalogue[Onwer],t_ServiceCatalogue[Category]=t_fac25_requirements[[#This Row],[Category]],""))</f>
        <v>NW</v>
      </c>
      <c r="C240" t="s">
        <v>188</v>
      </c>
      <c r="D240" t="str">
        <f>_xlfn._xlws.FILTER(t_Contact[FA Name],t_Contact[FA]=t_fac25_requirements[[#This Row],[FA]],"")</f>
        <v>Broadcast Operations</v>
      </c>
      <c r="E240" t="s">
        <v>208</v>
      </c>
      <c r="F240" t="s">
        <v>305</v>
      </c>
      <c r="G240" t="s">
        <v>312</v>
      </c>
      <c r="H240" t="s">
        <v>46</v>
      </c>
      <c r="I240" t="s">
        <v>148</v>
      </c>
      <c r="J240" s="28" t="s">
        <v>637</v>
      </c>
      <c r="K240" s="29">
        <v>1</v>
      </c>
      <c r="L240" s="29">
        <v>0</v>
      </c>
      <c r="M240" s="30">
        <v>45986</v>
      </c>
      <c r="N240" s="30">
        <v>46010</v>
      </c>
      <c r="O240" s="43" t="s">
        <v>149</v>
      </c>
      <c r="P240" s="55" t="s">
        <v>805</v>
      </c>
      <c r="Q240" t="s">
        <v>806</v>
      </c>
      <c r="R240" t="s">
        <v>919</v>
      </c>
    </row>
    <row r="241" spans="1:18" ht="14.45">
      <c r="A241" s="106" t="b">
        <v>0</v>
      </c>
      <c r="B241" t="str" cm="1">
        <f t="array" ref="B241">_xlfn.SINGLE(_xlfn._xlws.FILTER(t_ServiceCatalogue[Onwer],t_ServiceCatalogue[Category]=t_fac25_requirements[[#This Row],[Category]],""))</f>
        <v>NW</v>
      </c>
      <c r="C241" t="s">
        <v>188</v>
      </c>
      <c r="D241" t="str">
        <f>_xlfn._xlws.FILTER(t_Contact[FA Name],t_Contact[FA]=t_fac25_requirements[[#This Row],[FA]],"")</f>
        <v>Broadcast Operations</v>
      </c>
      <c r="E241" t="s">
        <v>208</v>
      </c>
      <c r="F241" t="s">
        <v>305</v>
      </c>
      <c r="G241" t="s">
        <v>307</v>
      </c>
      <c r="H241" t="s">
        <v>46</v>
      </c>
      <c r="I241" t="s">
        <v>47</v>
      </c>
      <c r="J241" s="28" t="s">
        <v>370</v>
      </c>
      <c r="K241" s="32">
        <v>6</v>
      </c>
      <c r="L241" s="32">
        <v>2</v>
      </c>
      <c r="M241" s="30">
        <v>45986</v>
      </c>
      <c r="N241" s="30">
        <v>46010</v>
      </c>
      <c r="O241" s="43" t="s">
        <v>48</v>
      </c>
      <c r="P241" s="55" t="s">
        <v>808</v>
      </c>
      <c r="R241" t="s">
        <v>920</v>
      </c>
    </row>
    <row r="242" spans="1:18" ht="14.45">
      <c r="A242" s="106" t="b">
        <v>1</v>
      </c>
      <c r="B242" t="str" cm="1">
        <f t="array" ref="B242">_xlfn.SINGLE(_xlfn._xlws.FILTER(t_ServiceCatalogue[Onwer],t_ServiceCatalogue[Category]=t_fac25_requirements[[#This Row],[Category]],""))</f>
        <v>NW</v>
      </c>
      <c r="C242" t="s">
        <v>188</v>
      </c>
      <c r="D242" t="str">
        <f>_xlfn._xlws.FILTER(t_Contact[FA Name],t_Contact[FA]=t_fac25_requirements[[#This Row],[FA]],"")</f>
        <v>Broadcast Operations</v>
      </c>
      <c r="E242" t="s">
        <v>208</v>
      </c>
      <c r="F242" t="s">
        <v>305</v>
      </c>
      <c r="G242" t="s">
        <v>307</v>
      </c>
      <c r="H242" t="s">
        <v>46</v>
      </c>
      <c r="I242" t="s">
        <v>148</v>
      </c>
      <c r="J242" s="28" t="s">
        <v>637</v>
      </c>
      <c r="K242" s="29">
        <v>1</v>
      </c>
      <c r="L242" s="29">
        <v>0</v>
      </c>
      <c r="M242" s="30">
        <v>45986</v>
      </c>
      <c r="N242" s="30">
        <v>46010</v>
      </c>
      <c r="O242" s="43" t="s">
        <v>149</v>
      </c>
      <c r="P242" s="55" t="s">
        <v>805</v>
      </c>
      <c r="Q242" t="s">
        <v>810</v>
      </c>
      <c r="R242" t="s">
        <v>921</v>
      </c>
    </row>
    <row r="243" spans="1:18" ht="14.45">
      <c r="A243" s="106" t="b">
        <v>1</v>
      </c>
      <c r="B243" t="str" cm="1">
        <f t="array" ref="B243">_xlfn.SINGLE(_xlfn._xlws.FILTER(t_ServiceCatalogue[Onwer],t_ServiceCatalogue[Category]=t_fac25_requirements[[#This Row],[Category]],""))</f>
        <v>EU</v>
      </c>
      <c r="C243" t="s">
        <v>188</v>
      </c>
      <c r="D243" t="str">
        <f>_xlfn._xlws.FILTER(t_Contact[FA Name],t_Contact[FA]=t_fac25_requirements[[#This Row],[FA]],"")</f>
        <v>Broadcast Operations</v>
      </c>
      <c r="E243" t="s">
        <v>208</v>
      </c>
      <c r="F243" t="s">
        <v>305</v>
      </c>
      <c r="G243" t="s">
        <v>307</v>
      </c>
      <c r="H243" t="s">
        <v>22</v>
      </c>
      <c r="I243" t="s">
        <v>23</v>
      </c>
      <c r="J243" s="28" t="s">
        <v>370</v>
      </c>
      <c r="K243" s="32"/>
      <c r="L243" s="32">
        <v>1</v>
      </c>
      <c r="M243" s="30">
        <v>45986</v>
      </c>
      <c r="N243" s="30">
        <v>46010</v>
      </c>
      <c r="O243" s="43" t="s">
        <v>24</v>
      </c>
      <c r="P243" s="55" t="s">
        <v>87</v>
      </c>
      <c r="Q243" t="s">
        <v>812</v>
      </c>
      <c r="R243" t="s">
        <v>922</v>
      </c>
    </row>
    <row r="244" spans="1:18" ht="14.45">
      <c r="A244" s="106" t="b">
        <v>0</v>
      </c>
      <c r="B244" t="str" cm="1">
        <f t="array" ref="B244">_xlfn.SINGLE(_xlfn._xlws.FILTER(t_ServiceCatalogue[Onwer],t_ServiceCatalogue[Category]=t_fac25_requirements[[#This Row],[Category]],""))</f>
        <v>NW</v>
      </c>
      <c r="C244" t="s">
        <v>188</v>
      </c>
      <c r="D244" t="str">
        <f>_xlfn._xlws.FILTER(t_Contact[FA Name],t_Contact[FA]=t_fac25_requirements[[#This Row],[FA]],"")</f>
        <v>Broadcast Operations</v>
      </c>
      <c r="E244" t="s">
        <v>208</v>
      </c>
      <c r="F244" t="s">
        <v>305</v>
      </c>
      <c r="G244" t="s">
        <v>317</v>
      </c>
      <c r="H244" t="s">
        <v>46</v>
      </c>
      <c r="I244" t="s">
        <v>47</v>
      </c>
      <c r="J244" s="28" t="s">
        <v>370</v>
      </c>
      <c r="K244" s="32">
        <v>5</v>
      </c>
      <c r="L244" s="32">
        <v>6</v>
      </c>
      <c r="M244" s="30">
        <v>45986</v>
      </c>
      <c r="N244" s="30">
        <v>46010</v>
      </c>
      <c r="O244" s="43" t="s">
        <v>48</v>
      </c>
      <c r="P244" s="55" t="s">
        <v>87</v>
      </c>
      <c r="Q244" t="s">
        <v>814</v>
      </c>
      <c r="R244" t="s">
        <v>923</v>
      </c>
    </row>
    <row r="245" spans="1:18" ht="14.45">
      <c r="A245" s="106" t="b">
        <v>0</v>
      </c>
      <c r="B245" t="str" cm="1">
        <f t="array" ref="B245">_xlfn.SINGLE(_xlfn._xlws.FILTER(t_ServiceCatalogue[Onwer],t_ServiceCatalogue[Category]=t_fac25_requirements[[#This Row],[Category]],""))</f>
        <v>NW</v>
      </c>
      <c r="C245" t="s">
        <v>188</v>
      </c>
      <c r="D245" t="str">
        <f>_xlfn._xlws.FILTER(t_Contact[FA Name],t_Contact[FA]=t_fac25_requirements[[#This Row],[FA]],"")</f>
        <v>Broadcast Operations</v>
      </c>
      <c r="E245" t="s">
        <v>208</v>
      </c>
      <c r="F245" t="s">
        <v>253</v>
      </c>
      <c r="G245" t="s">
        <v>255</v>
      </c>
      <c r="H245" t="s">
        <v>46</v>
      </c>
      <c r="I245" t="s">
        <v>256</v>
      </c>
      <c r="J245" s="28" t="s">
        <v>370</v>
      </c>
      <c r="K245" s="32"/>
      <c r="L245" s="32">
        <v>4</v>
      </c>
      <c r="M245" s="30">
        <v>45986</v>
      </c>
      <c r="N245" s="30">
        <v>46010</v>
      </c>
      <c r="O245" s="43" t="s">
        <v>149</v>
      </c>
      <c r="P245" s="55" t="s">
        <v>816</v>
      </c>
      <c r="Q245" t="s">
        <v>817</v>
      </c>
      <c r="R245" t="s">
        <v>924</v>
      </c>
    </row>
    <row r="246" spans="1:18" ht="14.45">
      <c r="A246" s="106" t="b">
        <v>0</v>
      </c>
      <c r="B246" t="str" cm="1">
        <f t="array" ref="B246">_xlfn.SINGLE(_xlfn._xlws.FILTER(t_ServiceCatalogue[Onwer],t_ServiceCatalogue[Category]=t_fac25_requirements[[#This Row],[Category]],""))</f>
        <v>NW</v>
      </c>
      <c r="C246" t="s">
        <v>188</v>
      </c>
      <c r="D246" t="str">
        <f>_xlfn._xlws.FILTER(t_Contact[FA Name],t_Contact[FA]=t_fac25_requirements[[#This Row],[FA]],"")</f>
        <v>Broadcast Operations</v>
      </c>
      <c r="E246" t="s">
        <v>208</v>
      </c>
      <c r="F246" t="s">
        <v>259</v>
      </c>
      <c r="G246" t="s">
        <v>265</v>
      </c>
      <c r="H246" t="s">
        <v>46</v>
      </c>
      <c r="I246" t="s">
        <v>256</v>
      </c>
      <c r="J246" s="28" t="s">
        <v>370</v>
      </c>
      <c r="K246" s="32"/>
      <c r="L246" s="32">
        <v>8</v>
      </c>
      <c r="M246" s="30">
        <v>45986</v>
      </c>
      <c r="N246" s="30">
        <v>46010</v>
      </c>
      <c r="O246" s="43" t="s">
        <v>149</v>
      </c>
      <c r="P246" s="55" t="s">
        <v>819</v>
      </c>
      <c r="Q246" t="s">
        <v>820</v>
      </c>
      <c r="R246" t="s">
        <v>925</v>
      </c>
    </row>
    <row r="247" spans="1:18" ht="14.45">
      <c r="A247" s="106" t="b">
        <v>0</v>
      </c>
      <c r="B247" t="str" cm="1">
        <f t="array" ref="B247">_xlfn.SINGLE(_xlfn._xlws.FILTER(t_ServiceCatalogue[Onwer],t_ServiceCatalogue[Category]=t_fac25_requirements[[#This Row],[Category]],""))</f>
        <v>NW</v>
      </c>
      <c r="C247" t="s">
        <v>188</v>
      </c>
      <c r="D247" t="str">
        <f>_xlfn._xlws.FILTER(t_Contact[FA Name],t_Contact[FA]=t_fac25_requirements[[#This Row],[FA]],"")</f>
        <v>Broadcast Operations</v>
      </c>
      <c r="E247" t="s">
        <v>208</v>
      </c>
      <c r="F247" t="s">
        <v>259</v>
      </c>
      <c r="H247" t="s">
        <v>46</v>
      </c>
      <c r="I247" t="s">
        <v>256</v>
      </c>
      <c r="J247" s="28" t="s">
        <v>370</v>
      </c>
      <c r="K247" s="32"/>
      <c r="L247" s="32">
        <v>4</v>
      </c>
      <c r="M247" s="30">
        <v>45986</v>
      </c>
      <c r="N247" s="30">
        <v>46010</v>
      </c>
      <c r="O247" s="43" t="s">
        <v>149</v>
      </c>
      <c r="P247" s="55" t="s">
        <v>822</v>
      </c>
      <c r="Q247" t="s">
        <v>823</v>
      </c>
      <c r="R247" t="s">
        <v>926</v>
      </c>
    </row>
    <row r="248" spans="1:18" ht="14.45">
      <c r="A248" s="106" t="b">
        <v>0</v>
      </c>
      <c r="B248" t="str" cm="1">
        <f t="array" ref="B248">_xlfn.SINGLE(_xlfn._xlws.FILTER(t_ServiceCatalogue[Onwer],t_ServiceCatalogue[Category]=t_fac25_requirements[[#This Row],[Category]],""))</f>
        <v>NW</v>
      </c>
      <c r="C248" t="s">
        <v>188</v>
      </c>
      <c r="D248" t="str">
        <f>_xlfn._xlws.FILTER(t_Contact[FA Name],t_Contact[FA]=t_fac25_requirements[[#This Row],[FA]],"")</f>
        <v>Broadcast Operations</v>
      </c>
      <c r="E248" t="s">
        <v>208</v>
      </c>
      <c r="F248" t="s">
        <v>278</v>
      </c>
      <c r="G248" t="s">
        <v>284</v>
      </c>
      <c r="H248" t="s">
        <v>46</v>
      </c>
      <c r="I248" t="s">
        <v>280</v>
      </c>
      <c r="J248" s="28" t="s">
        <v>370</v>
      </c>
      <c r="K248" s="32">
        <v>40</v>
      </c>
      <c r="L248" s="32">
        <v>26</v>
      </c>
      <c r="M248" s="30">
        <v>45986</v>
      </c>
      <c r="N248" s="30">
        <v>46010</v>
      </c>
      <c r="O248" s="43" t="s">
        <v>149</v>
      </c>
      <c r="P248" s="55" t="s">
        <v>825</v>
      </c>
      <c r="Q248" t="s">
        <v>826</v>
      </c>
      <c r="R248" t="s">
        <v>927</v>
      </c>
    </row>
    <row r="249" spans="1:18" ht="14.45">
      <c r="A249" s="106" t="b">
        <v>0</v>
      </c>
      <c r="B249" t="str" cm="1">
        <f t="array" ref="B249">_xlfn.SINGLE(_xlfn._xlws.FILTER(t_ServiceCatalogue[Onwer],t_ServiceCatalogue[Category]=t_fac25_requirements[[#This Row],[Category]],""))</f>
        <v>AV</v>
      </c>
      <c r="C249" t="s">
        <v>188</v>
      </c>
      <c r="D249" t="str">
        <f>_xlfn._xlws.FILTER(t_Contact[FA Name],t_Contact[FA]=t_fac25_requirements[[#This Row],[FA]],"")</f>
        <v>Broadcast Operations</v>
      </c>
      <c r="E249" t="s">
        <v>208</v>
      </c>
      <c r="F249" t="s">
        <v>278</v>
      </c>
      <c r="G249" t="s">
        <v>284</v>
      </c>
      <c r="H249" t="s">
        <v>58</v>
      </c>
      <c r="I249" t="s">
        <v>282</v>
      </c>
      <c r="J249" s="28" t="s">
        <v>370</v>
      </c>
      <c r="K249" s="32">
        <v>20</v>
      </c>
      <c r="L249" s="32">
        <v>13</v>
      </c>
      <c r="M249" s="30">
        <v>45986</v>
      </c>
      <c r="N249" s="30">
        <v>46010</v>
      </c>
      <c r="O249" s="43" t="s">
        <v>497</v>
      </c>
      <c r="P249" s="55" t="s">
        <v>87</v>
      </c>
      <c r="Q249" t="s">
        <v>828</v>
      </c>
      <c r="R249" t="s">
        <v>928</v>
      </c>
    </row>
    <row r="250" spans="1:18" ht="14.45">
      <c r="A250" s="106" t="b">
        <v>0</v>
      </c>
      <c r="B250" t="str" cm="1">
        <f t="array" ref="B250">_xlfn.SINGLE(_xlfn._xlws.FILTER(t_ServiceCatalogue[Onwer],t_ServiceCatalogue[Category]=t_fac25_requirements[[#This Row],[Category]],""))</f>
        <v>AV</v>
      </c>
      <c r="C250" t="s">
        <v>188</v>
      </c>
      <c r="D250" t="str">
        <f>_xlfn._xlws.FILTER(t_Contact[FA Name],t_Contact[FA]=t_fac25_requirements[[#This Row],[FA]],"")</f>
        <v>Broadcast Operations</v>
      </c>
      <c r="E250" t="s">
        <v>208</v>
      </c>
      <c r="F250" t="s">
        <v>305</v>
      </c>
      <c r="G250" t="s">
        <v>307</v>
      </c>
      <c r="H250" t="s">
        <v>58</v>
      </c>
      <c r="I250" t="s">
        <v>59</v>
      </c>
      <c r="J250" s="28" t="s">
        <v>370</v>
      </c>
      <c r="K250" s="32"/>
      <c r="L250" s="32">
        <v>2</v>
      </c>
      <c r="M250" s="30">
        <v>45986</v>
      </c>
      <c r="N250" s="30">
        <v>46010</v>
      </c>
      <c r="O250" s="43" t="s">
        <v>112</v>
      </c>
      <c r="P250" s="55" t="s">
        <v>371</v>
      </c>
      <c r="R250" t="s">
        <v>929</v>
      </c>
    </row>
    <row r="251" spans="1:18" ht="14.45">
      <c r="A251" s="106" t="b">
        <v>0</v>
      </c>
      <c r="B251" t="str" cm="1">
        <f t="array" ref="B251">_xlfn.SINGLE(_xlfn._xlws.FILTER(t_ServiceCatalogue[Onwer],t_ServiceCatalogue[Category]=t_fac25_requirements[[#This Row],[Category]],""))</f>
        <v>NW</v>
      </c>
      <c r="C251" t="s">
        <v>188</v>
      </c>
      <c r="D251" t="str">
        <f>_xlfn._xlws.FILTER(t_Contact[FA Name],t_Contact[FA]=t_fac25_requirements[[#This Row],[FA]],"")</f>
        <v>Broadcast Operations</v>
      </c>
      <c r="E251" t="s">
        <v>208</v>
      </c>
      <c r="F251" t="s">
        <v>305</v>
      </c>
      <c r="G251" t="s">
        <v>309</v>
      </c>
      <c r="H251" t="s">
        <v>46</v>
      </c>
      <c r="I251" t="s">
        <v>47</v>
      </c>
      <c r="J251" s="28" t="s">
        <v>370</v>
      </c>
      <c r="K251" s="32"/>
      <c r="L251" s="32">
        <v>2</v>
      </c>
      <c r="M251" s="30">
        <v>45986</v>
      </c>
      <c r="N251" s="30">
        <v>46010</v>
      </c>
      <c r="O251" s="43" t="s">
        <v>48</v>
      </c>
      <c r="P251" s="55" t="s">
        <v>803</v>
      </c>
      <c r="R251" t="s">
        <v>930</v>
      </c>
    </row>
    <row r="252" spans="1:18" ht="14.45">
      <c r="A252" s="106" t="b">
        <v>0</v>
      </c>
      <c r="B252" t="str" cm="1">
        <f t="array" ref="B252">_xlfn.SINGLE(_xlfn._xlws.FILTER(t_ServiceCatalogue[Onwer],t_ServiceCatalogue[Category]=t_fac25_requirements[[#This Row],[Category]],""))</f>
        <v>NW</v>
      </c>
      <c r="C252" t="s">
        <v>188</v>
      </c>
      <c r="D252" t="str">
        <f>_xlfn._xlws.FILTER(t_Contact[FA Name],t_Contact[FA]=t_fac25_requirements[[#This Row],[FA]],"")</f>
        <v>Broadcast Operations</v>
      </c>
      <c r="E252" t="s">
        <v>208</v>
      </c>
      <c r="F252" t="s">
        <v>305</v>
      </c>
      <c r="G252" t="s">
        <v>310</v>
      </c>
      <c r="H252" t="s">
        <v>46</v>
      </c>
      <c r="I252" t="s">
        <v>47</v>
      </c>
      <c r="J252" s="28" t="s">
        <v>370</v>
      </c>
      <c r="K252" s="32"/>
      <c r="L252" s="32">
        <v>2</v>
      </c>
      <c r="M252" s="30">
        <v>45986</v>
      </c>
      <c r="N252" s="30">
        <v>46010</v>
      </c>
      <c r="O252" s="43" t="s">
        <v>48</v>
      </c>
      <c r="P252" s="55" t="s">
        <v>803</v>
      </c>
      <c r="R252" t="s">
        <v>931</v>
      </c>
    </row>
    <row r="253" spans="1:18" ht="14.45">
      <c r="A253" s="106" t="b">
        <v>1</v>
      </c>
      <c r="B253" t="str" cm="1">
        <f t="array" ref="B253">_xlfn.SINGLE(_xlfn._xlws.FILTER(t_ServiceCatalogue[Onwer],t_ServiceCatalogue[Category]=t_fac25_requirements[[#This Row],[Category]],""))</f>
        <v>NW</v>
      </c>
      <c r="C253" t="s">
        <v>188</v>
      </c>
      <c r="D253" t="str">
        <f>_xlfn._xlws.FILTER(t_Contact[FA Name],t_Contact[FA]=t_fac25_requirements[[#This Row],[FA]],"")</f>
        <v>Broadcast Operations</v>
      </c>
      <c r="E253" t="s">
        <v>208</v>
      </c>
      <c r="F253" t="s">
        <v>305</v>
      </c>
      <c r="G253" t="s">
        <v>833</v>
      </c>
      <c r="H253" t="s">
        <v>46</v>
      </c>
      <c r="I253" t="s">
        <v>47</v>
      </c>
      <c r="J253" s="28" t="s">
        <v>637</v>
      </c>
      <c r="K253" s="32">
        <v>2</v>
      </c>
      <c r="L253" s="32">
        <v>0</v>
      </c>
      <c r="M253" s="30">
        <v>45986</v>
      </c>
      <c r="N253" s="30">
        <v>46010</v>
      </c>
      <c r="O253" s="43" t="s">
        <v>48</v>
      </c>
      <c r="P253" s="55" t="s">
        <v>800</v>
      </c>
      <c r="Q253" t="s">
        <v>834</v>
      </c>
      <c r="R253" t="s">
        <v>932</v>
      </c>
    </row>
    <row r="254" spans="1:18" ht="14.45">
      <c r="A254" s="106" t="b">
        <v>1</v>
      </c>
      <c r="B254" t="str" cm="1">
        <f t="array" ref="B254">_xlfn.SINGLE(_xlfn._xlws.FILTER(t_ServiceCatalogue[Onwer],t_ServiceCatalogue[Category]=t_fac25_requirements[[#This Row],[Category]],""))</f>
        <v>NW</v>
      </c>
      <c r="C254" t="s">
        <v>188</v>
      </c>
      <c r="D254" t="str">
        <f>_xlfn._xlws.FILTER(t_Contact[FA Name],t_Contact[FA]=t_fac25_requirements[[#This Row],[FA]],"")</f>
        <v>Broadcast Operations</v>
      </c>
      <c r="E254" t="s">
        <v>208</v>
      </c>
      <c r="F254" t="s">
        <v>268</v>
      </c>
      <c r="G254" t="s">
        <v>272</v>
      </c>
      <c r="H254" t="s">
        <v>46</v>
      </c>
      <c r="I254" t="s">
        <v>47</v>
      </c>
      <c r="J254" s="28" t="s">
        <v>637</v>
      </c>
      <c r="K254" s="32">
        <v>2</v>
      </c>
      <c r="L254" s="32">
        <v>0</v>
      </c>
      <c r="M254" s="30">
        <v>45986</v>
      </c>
      <c r="N254" s="30">
        <v>46010</v>
      </c>
      <c r="O254" s="43" t="s">
        <v>48</v>
      </c>
      <c r="P254" s="55" t="s">
        <v>800</v>
      </c>
      <c r="Q254" t="s">
        <v>836</v>
      </c>
      <c r="R254" t="s">
        <v>933</v>
      </c>
    </row>
    <row r="255" spans="1:18" ht="14.45">
      <c r="A255" s="106" t="b">
        <v>1</v>
      </c>
      <c r="B255" t="str" cm="1">
        <f t="array" ref="B255">_xlfn.SINGLE(_xlfn._xlws.FILTER(t_ServiceCatalogue[Onwer],t_ServiceCatalogue[Category]=t_fac25_requirements[[#This Row],[Category]],""))</f>
        <v>NW</v>
      </c>
      <c r="C255" t="s">
        <v>188</v>
      </c>
      <c r="D255" t="str">
        <f>_xlfn._xlws.FILTER(t_Contact[FA Name],t_Contact[FA]=t_fac25_requirements[[#This Row],[FA]],"")</f>
        <v>Broadcast Operations</v>
      </c>
      <c r="E255" t="s">
        <v>208</v>
      </c>
      <c r="F255" t="s">
        <v>246</v>
      </c>
      <c r="G255" t="s">
        <v>444</v>
      </c>
      <c r="H255" t="s">
        <v>46</v>
      </c>
      <c r="I255" t="s">
        <v>47</v>
      </c>
      <c r="J255" s="28" t="s">
        <v>637</v>
      </c>
      <c r="K255" s="32">
        <v>6</v>
      </c>
      <c r="L255" s="32">
        <v>0</v>
      </c>
      <c r="M255" s="30">
        <v>45986</v>
      </c>
      <c r="N255" s="30">
        <v>46010</v>
      </c>
      <c r="O255" s="43" t="s">
        <v>48</v>
      </c>
      <c r="P255" s="55" t="s">
        <v>934</v>
      </c>
      <c r="R255" t="s">
        <v>935</v>
      </c>
    </row>
    <row r="256" spans="1:18" ht="14.45">
      <c r="A256" s="106" t="b">
        <v>1</v>
      </c>
      <c r="B256" t="str" cm="1">
        <f t="array" ref="B256">_xlfn.SINGLE(_xlfn._xlws.FILTER(t_ServiceCatalogue[Onwer],t_ServiceCatalogue[Category]=t_fac25_requirements[[#This Row],[Category]],""))</f>
        <v>NW</v>
      </c>
      <c r="C256" t="s">
        <v>188</v>
      </c>
      <c r="D256" t="str">
        <f>_xlfn._xlws.FILTER(t_Contact[FA Name],t_Contact[FA]=t_fac25_requirements[[#This Row],[FA]],"")</f>
        <v>Broadcast Operations</v>
      </c>
      <c r="E256" t="s">
        <v>208</v>
      </c>
      <c r="F256" t="s">
        <v>246</v>
      </c>
      <c r="G256" t="s">
        <v>444</v>
      </c>
      <c r="H256" t="s">
        <v>46</v>
      </c>
      <c r="I256" t="s">
        <v>148</v>
      </c>
      <c r="J256" s="28" t="s">
        <v>637</v>
      </c>
      <c r="K256" s="32">
        <v>2</v>
      </c>
      <c r="L256" s="32">
        <v>0</v>
      </c>
      <c r="M256" s="30">
        <v>45986</v>
      </c>
      <c r="N256" s="30">
        <v>46010</v>
      </c>
      <c r="O256" s="43" t="s">
        <v>149</v>
      </c>
      <c r="P256" s="55" t="s">
        <v>934</v>
      </c>
      <c r="Q256" t="s">
        <v>936</v>
      </c>
      <c r="R256" t="s">
        <v>937</v>
      </c>
    </row>
    <row r="257" spans="1:18" ht="14.45">
      <c r="A257" s="106" t="b">
        <v>1</v>
      </c>
      <c r="B257" t="str" cm="1">
        <f t="array" ref="B257">_xlfn.SINGLE(_xlfn._xlws.FILTER(t_ServiceCatalogue[Onwer],t_ServiceCatalogue[Category]=t_fac25_requirements[[#This Row],[Category]],""))</f>
        <v>NW</v>
      </c>
      <c r="C257" t="s">
        <v>188</v>
      </c>
      <c r="D257" t="str">
        <f>_xlfn._xlws.FILTER(t_Contact[FA Name],t_Contact[FA]=t_fac25_requirements[[#This Row],[FA]],"")</f>
        <v>Broadcast Operations</v>
      </c>
      <c r="E257" t="s">
        <v>19</v>
      </c>
      <c r="F257" t="s">
        <v>345</v>
      </c>
      <c r="G257" t="s">
        <v>446</v>
      </c>
      <c r="H257" t="s">
        <v>46</v>
      </c>
      <c r="I257" t="s">
        <v>47</v>
      </c>
      <c r="J257" s="28" t="s">
        <v>370</v>
      </c>
      <c r="K257" s="32"/>
      <c r="L257" s="32">
        <v>1</v>
      </c>
      <c r="M257" s="30">
        <v>45986</v>
      </c>
      <c r="N257" s="30">
        <v>46011</v>
      </c>
      <c r="O257" s="43" t="s">
        <v>48</v>
      </c>
      <c r="P257" s="55" t="s">
        <v>87</v>
      </c>
      <c r="R257" t="s">
        <v>938</v>
      </c>
    </row>
    <row r="258" spans="1:18" ht="14.45">
      <c r="A258" s="106" t="b">
        <v>1</v>
      </c>
      <c r="B258" t="str" cm="1">
        <f t="array" ref="B258">_xlfn.SINGLE(_xlfn._xlws.FILTER(t_ServiceCatalogue[Onwer],t_ServiceCatalogue[Category]=t_fac25_requirements[[#This Row],[Category]],""))</f>
        <v>AV</v>
      </c>
      <c r="C258" t="s">
        <v>188</v>
      </c>
      <c r="D258" t="str">
        <f>_xlfn._xlws.FILTER(t_Contact[FA Name],t_Contact[FA]=t_fac25_requirements[[#This Row],[FA]],"")</f>
        <v>Broadcast Operations</v>
      </c>
      <c r="E258" t="s">
        <v>19</v>
      </c>
      <c r="F258" t="s">
        <v>345</v>
      </c>
      <c r="G258" t="s">
        <v>359</v>
      </c>
      <c r="H258" t="s">
        <v>58</v>
      </c>
      <c r="I258" t="s">
        <v>59</v>
      </c>
      <c r="J258" s="28" t="s">
        <v>370</v>
      </c>
      <c r="K258" s="32"/>
      <c r="L258" s="32">
        <v>1</v>
      </c>
      <c r="M258" s="30">
        <v>45986</v>
      </c>
      <c r="N258" s="30">
        <v>46011</v>
      </c>
      <c r="O258" s="43" t="s">
        <v>112</v>
      </c>
      <c r="P258" s="55" t="s">
        <v>371</v>
      </c>
      <c r="R258" t="s">
        <v>939</v>
      </c>
    </row>
    <row r="259" spans="1:18" ht="14.45">
      <c r="A259" s="106" t="b">
        <v>1</v>
      </c>
      <c r="B259" t="str" cm="1">
        <f t="array" ref="B259">_xlfn.SINGLE(_xlfn._xlws.FILTER(t_ServiceCatalogue[Onwer],t_ServiceCatalogue[Category]=t_fac25_requirements[[#This Row],[Category]],""))</f>
        <v>NW</v>
      </c>
      <c r="C259" t="s">
        <v>188</v>
      </c>
      <c r="D259" t="str">
        <f>_xlfn._xlws.FILTER(t_Contact[FA Name],t_Contact[FA]=t_fac25_requirements[[#This Row],[FA]],"")</f>
        <v>Broadcast Operations</v>
      </c>
      <c r="E259" t="s">
        <v>214</v>
      </c>
      <c r="F259" t="s">
        <v>246</v>
      </c>
      <c r="G259" t="s">
        <v>445</v>
      </c>
      <c r="H259" t="s">
        <v>46</v>
      </c>
      <c r="I259" t="s">
        <v>148</v>
      </c>
      <c r="J259" s="28" t="s">
        <v>637</v>
      </c>
      <c r="K259" s="32">
        <v>2</v>
      </c>
      <c r="L259" s="32">
        <v>0</v>
      </c>
      <c r="M259" s="30">
        <v>45986</v>
      </c>
      <c r="N259" s="30">
        <v>46011</v>
      </c>
      <c r="O259" s="43" t="s">
        <v>149</v>
      </c>
      <c r="P259" s="55" t="s">
        <v>800</v>
      </c>
      <c r="Q259" t="s">
        <v>940</v>
      </c>
      <c r="R259" t="s">
        <v>941</v>
      </c>
    </row>
    <row r="260" spans="1:18" ht="14.45">
      <c r="A260" s="106" t="b">
        <v>1</v>
      </c>
      <c r="B260" t="str" cm="1">
        <f t="array" ref="B260">_xlfn.SINGLE(_xlfn._xlws.FILTER(t_ServiceCatalogue[Onwer],t_ServiceCatalogue[Category]=t_fac25_requirements[[#This Row],[Category]],""))</f>
        <v>NW</v>
      </c>
      <c r="C260" t="s">
        <v>188</v>
      </c>
      <c r="D260" t="str">
        <f>_xlfn._xlws.FILTER(t_Contact[FA Name],t_Contact[FA]=t_fac25_requirements[[#This Row],[FA]],"")</f>
        <v>Broadcast Operations</v>
      </c>
      <c r="E260" t="s">
        <v>213</v>
      </c>
      <c r="F260" t="s">
        <v>246</v>
      </c>
      <c r="G260" t="s">
        <v>445</v>
      </c>
      <c r="H260" t="s">
        <v>46</v>
      </c>
      <c r="I260" t="s">
        <v>148</v>
      </c>
      <c r="J260" s="28" t="s">
        <v>637</v>
      </c>
      <c r="K260" s="32">
        <v>2</v>
      </c>
      <c r="L260" s="32">
        <v>0</v>
      </c>
      <c r="M260" s="30">
        <v>45981</v>
      </c>
      <c r="N260" s="30">
        <v>46011</v>
      </c>
      <c r="O260" s="43" t="s">
        <v>149</v>
      </c>
      <c r="P260" s="55" t="s">
        <v>800</v>
      </c>
      <c r="Q260" t="s">
        <v>940</v>
      </c>
      <c r="R260" t="s">
        <v>942</v>
      </c>
    </row>
    <row r="261" spans="1:18" ht="14.45">
      <c r="A261" s="106" t="b">
        <v>1</v>
      </c>
      <c r="B261" t="str" cm="1">
        <f t="array" ref="B261">_xlfn.SINGLE(_xlfn._xlws.FILTER(t_ServiceCatalogue[Onwer],t_ServiceCatalogue[Category]=t_fac25_requirements[[#This Row],[Category]],""))</f>
        <v>NW</v>
      </c>
      <c r="C261" t="s">
        <v>188</v>
      </c>
      <c r="D261" t="str">
        <f>_xlfn._xlws.FILTER(t_Contact[FA Name],t_Contact[FA]=t_fac25_requirements[[#This Row],[FA]],"")</f>
        <v>Broadcast Operations</v>
      </c>
      <c r="E261" t="s">
        <v>208</v>
      </c>
      <c r="F261" t="s">
        <v>246</v>
      </c>
      <c r="G261" t="s">
        <v>445</v>
      </c>
      <c r="H261" t="s">
        <v>46</v>
      </c>
      <c r="I261" t="s">
        <v>148</v>
      </c>
      <c r="J261" s="28" t="s">
        <v>637</v>
      </c>
      <c r="K261" s="32">
        <v>2</v>
      </c>
      <c r="L261" s="32">
        <v>0</v>
      </c>
      <c r="M261" s="30">
        <v>45986</v>
      </c>
      <c r="N261" s="30">
        <v>46010</v>
      </c>
      <c r="O261" s="43" t="s">
        <v>149</v>
      </c>
      <c r="P261" s="55" t="s">
        <v>800</v>
      </c>
      <c r="Q261" t="s">
        <v>940</v>
      </c>
      <c r="R261" t="s">
        <v>943</v>
      </c>
    </row>
    <row r="262" spans="1:18" ht="14.45">
      <c r="A262" s="106" t="b">
        <v>1</v>
      </c>
      <c r="B262" t="str" cm="1">
        <f t="array" ref="B262">_xlfn.SINGLE(_xlfn._xlws.FILTER(t_ServiceCatalogue[Onwer],t_ServiceCatalogue[Category]=t_fac25_requirements[[#This Row],[Category]],""))</f>
        <v>NW</v>
      </c>
      <c r="C262" t="s">
        <v>188</v>
      </c>
      <c r="D262" t="str">
        <f>_xlfn._xlws.FILTER(t_Contact[FA Name],t_Contact[FA]=t_fac25_requirements[[#This Row],[FA]],"")</f>
        <v>Broadcast Operations</v>
      </c>
      <c r="E262" s="43">
        <v>974</v>
      </c>
      <c r="F262" t="s">
        <v>246</v>
      </c>
      <c r="G262" t="s">
        <v>445</v>
      </c>
      <c r="H262" t="s">
        <v>46</v>
      </c>
      <c r="I262" t="s">
        <v>148</v>
      </c>
      <c r="J262" s="28" t="s">
        <v>637</v>
      </c>
      <c r="K262" s="32">
        <v>2</v>
      </c>
      <c r="L262" s="32">
        <v>0</v>
      </c>
      <c r="M262" s="30">
        <v>45987</v>
      </c>
      <c r="N262" s="30">
        <v>46005</v>
      </c>
      <c r="O262" s="43" t="s">
        <v>149</v>
      </c>
      <c r="P262" s="55" t="s">
        <v>800</v>
      </c>
      <c r="Q262" t="s">
        <v>940</v>
      </c>
      <c r="R262" t="s">
        <v>944</v>
      </c>
    </row>
    <row r="263" spans="1:18" ht="14.45">
      <c r="A263" s="106" t="b">
        <v>1</v>
      </c>
      <c r="B263" t="str" cm="1">
        <f t="array" ref="B263">_xlfn.SINGLE(_xlfn._xlws.FILTER(t_ServiceCatalogue[Onwer],t_ServiceCatalogue[Category]=t_fac25_requirements[[#This Row],[Category]],""))</f>
        <v>NW</v>
      </c>
      <c r="C263" t="s">
        <v>188</v>
      </c>
      <c r="D263" t="str">
        <f>_xlfn._xlws.FILTER(t_Contact[FA Name],t_Contact[FA]=t_fac25_requirements[[#This Row],[FA]],"")</f>
        <v>Broadcast Operations</v>
      </c>
      <c r="E263" t="s">
        <v>211</v>
      </c>
      <c r="F263" t="s">
        <v>246</v>
      </c>
      <c r="G263" t="s">
        <v>445</v>
      </c>
      <c r="H263" t="s">
        <v>46</v>
      </c>
      <c r="I263" t="s">
        <v>148</v>
      </c>
      <c r="J263" s="28" t="s">
        <v>637</v>
      </c>
      <c r="K263" s="32">
        <v>2</v>
      </c>
      <c r="L263" s="32">
        <v>0</v>
      </c>
      <c r="M263" s="30">
        <v>45986</v>
      </c>
      <c r="N263" s="30">
        <v>46008</v>
      </c>
      <c r="O263" s="43" t="s">
        <v>149</v>
      </c>
      <c r="P263" s="55" t="s">
        <v>800</v>
      </c>
      <c r="Q263" t="s">
        <v>940</v>
      </c>
      <c r="R263" t="s">
        <v>945</v>
      </c>
    </row>
    <row r="264" spans="1:18" ht="14.45">
      <c r="A264" s="106" t="b">
        <v>1</v>
      </c>
      <c r="B264" t="str" cm="1">
        <f t="array" ref="B264">_xlfn.SINGLE(_xlfn._xlws.FILTER(t_ServiceCatalogue[Onwer],t_ServiceCatalogue[Category]=t_fac25_requirements[[#This Row],[Category]],""))</f>
        <v>NW</v>
      </c>
      <c r="C264" t="s">
        <v>188</v>
      </c>
      <c r="D264" t="str">
        <f>_xlfn._xlws.FILTER(t_Contact[FA Name],t_Contact[FA]=t_fac25_requirements[[#This Row],[FA]],"")</f>
        <v>Broadcast Operations</v>
      </c>
      <c r="E264" t="s">
        <v>212</v>
      </c>
      <c r="F264" t="s">
        <v>246</v>
      </c>
      <c r="G264" t="s">
        <v>445</v>
      </c>
      <c r="H264" t="s">
        <v>46</v>
      </c>
      <c r="I264" t="s">
        <v>148</v>
      </c>
      <c r="J264" s="28" t="s">
        <v>637</v>
      </c>
      <c r="K264" s="32">
        <v>2</v>
      </c>
      <c r="L264" s="32">
        <v>0</v>
      </c>
      <c r="M264" s="30">
        <v>45986</v>
      </c>
      <c r="N264" s="30">
        <v>46005</v>
      </c>
      <c r="O264" s="43" t="s">
        <v>149</v>
      </c>
      <c r="P264" s="55" t="s">
        <v>800</v>
      </c>
      <c r="Q264" t="s">
        <v>940</v>
      </c>
      <c r="R264" t="s">
        <v>946</v>
      </c>
    </row>
    <row r="265" spans="1:18" ht="14.45">
      <c r="A265" s="106" t="b">
        <v>1</v>
      </c>
      <c r="B265" t="str" cm="1">
        <f t="array" ref="B265">_xlfn.SINGLE(_xlfn._xlws.FILTER(t_ServiceCatalogue[Onwer],t_ServiceCatalogue[Category]=t_fac25_requirements[[#This Row],[Category]],""))</f>
        <v>NW</v>
      </c>
      <c r="C265" t="s">
        <v>188</v>
      </c>
      <c r="D265" t="str">
        <f>_xlfn._xlws.FILTER(t_Contact[FA Name],t_Contact[FA]=t_fac25_requirements[[#This Row],[FA]],"")</f>
        <v>Broadcast Operations</v>
      </c>
      <c r="E265" t="s">
        <v>214</v>
      </c>
      <c r="F265" t="s">
        <v>288</v>
      </c>
      <c r="G265" t="s">
        <v>417</v>
      </c>
      <c r="H265" t="s">
        <v>46</v>
      </c>
      <c r="I265" t="s">
        <v>47</v>
      </c>
      <c r="J265" s="28" t="s">
        <v>637</v>
      </c>
      <c r="K265" s="32">
        <v>5</v>
      </c>
      <c r="L265" s="32">
        <v>0</v>
      </c>
      <c r="M265" s="30">
        <v>45986</v>
      </c>
      <c r="N265" s="30">
        <v>46011</v>
      </c>
      <c r="O265" s="43" t="s">
        <v>48</v>
      </c>
      <c r="P265" s="55" t="s">
        <v>800</v>
      </c>
      <c r="R265" t="s">
        <v>947</v>
      </c>
    </row>
    <row r="266" spans="1:18" ht="14.45">
      <c r="A266" s="106" t="b">
        <v>1</v>
      </c>
      <c r="B266" t="str" cm="1">
        <f t="array" ref="B266">_xlfn.SINGLE(_xlfn._xlws.FILTER(t_ServiceCatalogue[Onwer],t_ServiceCatalogue[Category]=t_fac25_requirements[[#This Row],[Category]],""))</f>
        <v>NW</v>
      </c>
      <c r="C266" t="s">
        <v>188</v>
      </c>
      <c r="D266" t="str">
        <f>_xlfn._xlws.FILTER(t_Contact[FA Name],t_Contact[FA]=t_fac25_requirements[[#This Row],[FA]],"")</f>
        <v>Broadcast Operations</v>
      </c>
      <c r="E266" t="s">
        <v>214</v>
      </c>
      <c r="F266" t="s">
        <v>288</v>
      </c>
      <c r="G266" t="s">
        <v>417</v>
      </c>
      <c r="H266" t="s">
        <v>46</v>
      </c>
      <c r="I266" t="s">
        <v>148</v>
      </c>
      <c r="J266" s="28" t="s">
        <v>637</v>
      </c>
      <c r="K266" s="32">
        <v>1</v>
      </c>
      <c r="L266" s="32">
        <v>0</v>
      </c>
      <c r="M266" s="30">
        <v>45986</v>
      </c>
      <c r="N266" s="30">
        <v>46011</v>
      </c>
      <c r="O266" s="43" t="s">
        <v>149</v>
      </c>
      <c r="P266" s="55" t="s">
        <v>800</v>
      </c>
      <c r="Q266" t="s">
        <v>948</v>
      </c>
      <c r="R266" t="s">
        <v>949</v>
      </c>
    </row>
    <row r="267" spans="1:18" ht="14.45">
      <c r="A267" s="106" t="b">
        <v>1</v>
      </c>
      <c r="B267" t="str" cm="1">
        <f t="array" ref="B267">_xlfn.SINGLE(_xlfn._xlws.FILTER(t_ServiceCatalogue[Onwer],t_ServiceCatalogue[Category]=t_fac25_requirements[[#This Row],[Category]],""))</f>
        <v>AV</v>
      </c>
      <c r="C267" t="s">
        <v>188</v>
      </c>
      <c r="D267" t="str">
        <f>_xlfn._xlws.FILTER(t_Contact[FA Name],t_Contact[FA]=t_fac25_requirements[[#This Row],[FA]],"")</f>
        <v>Broadcast Operations</v>
      </c>
      <c r="E267" t="s">
        <v>214</v>
      </c>
      <c r="F267" t="s">
        <v>288</v>
      </c>
      <c r="G267" t="s">
        <v>417</v>
      </c>
      <c r="H267" t="s">
        <v>110</v>
      </c>
      <c r="I267" t="s">
        <v>111</v>
      </c>
      <c r="J267" s="28" t="s">
        <v>637</v>
      </c>
      <c r="K267" s="32">
        <v>1</v>
      </c>
      <c r="L267" s="32">
        <v>0</v>
      </c>
      <c r="M267" s="30">
        <v>45986</v>
      </c>
      <c r="N267" s="30">
        <v>46011</v>
      </c>
      <c r="O267" s="43" t="s">
        <v>112</v>
      </c>
      <c r="P267" s="55" t="s">
        <v>800</v>
      </c>
      <c r="R267" t="s">
        <v>950</v>
      </c>
    </row>
    <row r="268" spans="1:18" ht="14.45">
      <c r="A268" s="106" t="b">
        <v>1</v>
      </c>
      <c r="B268" t="str" cm="1">
        <f t="array" ref="B268">_xlfn.SINGLE(_xlfn._xlws.FILTER(t_ServiceCatalogue[Onwer],t_ServiceCatalogue[Category]=t_fac25_requirements[[#This Row],[Category]],""))</f>
        <v>NW</v>
      </c>
      <c r="C268" t="s">
        <v>188</v>
      </c>
      <c r="D268" t="str">
        <f>_xlfn._xlws.FILTER(t_Contact[FA Name],t_Contact[FA]=t_fac25_requirements[[#This Row],[FA]],"")</f>
        <v>Broadcast Operations</v>
      </c>
      <c r="E268" t="s">
        <v>213</v>
      </c>
      <c r="F268" t="s">
        <v>288</v>
      </c>
      <c r="G268" t="s">
        <v>417</v>
      </c>
      <c r="H268" t="s">
        <v>46</v>
      </c>
      <c r="I268" t="s">
        <v>47</v>
      </c>
      <c r="J268" s="28" t="s">
        <v>637</v>
      </c>
      <c r="K268" s="32">
        <v>5</v>
      </c>
      <c r="L268" s="32">
        <v>0</v>
      </c>
      <c r="M268" s="30">
        <v>45981</v>
      </c>
      <c r="N268" s="30">
        <v>46011</v>
      </c>
      <c r="O268" s="43" t="s">
        <v>48</v>
      </c>
      <c r="P268" s="55" t="s">
        <v>800</v>
      </c>
      <c r="R268" t="s">
        <v>951</v>
      </c>
    </row>
    <row r="269" spans="1:18" ht="14.45">
      <c r="A269" s="106" t="b">
        <v>1</v>
      </c>
      <c r="B269" t="str" cm="1">
        <f t="array" ref="B269">_xlfn.SINGLE(_xlfn._xlws.FILTER(t_ServiceCatalogue[Onwer],t_ServiceCatalogue[Category]=t_fac25_requirements[[#This Row],[Category]],""))</f>
        <v>NW</v>
      </c>
      <c r="C269" t="s">
        <v>188</v>
      </c>
      <c r="D269" t="str">
        <f>_xlfn._xlws.FILTER(t_Contact[FA Name],t_Contact[FA]=t_fac25_requirements[[#This Row],[FA]],"")</f>
        <v>Broadcast Operations</v>
      </c>
      <c r="E269" t="s">
        <v>213</v>
      </c>
      <c r="F269" t="s">
        <v>288</v>
      </c>
      <c r="G269" t="s">
        <v>417</v>
      </c>
      <c r="H269" t="s">
        <v>46</v>
      </c>
      <c r="I269" t="s">
        <v>148</v>
      </c>
      <c r="J269" s="28" t="s">
        <v>637</v>
      </c>
      <c r="K269" s="32">
        <v>1</v>
      </c>
      <c r="L269" s="32">
        <v>0</v>
      </c>
      <c r="M269" s="30">
        <v>45981</v>
      </c>
      <c r="N269" s="30">
        <v>46011</v>
      </c>
      <c r="O269" s="43" t="s">
        <v>149</v>
      </c>
      <c r="P269" s="55" t="s">
        <v>800</v>
      </c>
      <c r="Q269" t="s">
        <v>948</v>
      </c>
      <c r="R269" t="s">
        <v>952</v>
      </c>
    </row>
    <row r="270" spans="1:18" ht="14.45">
      <c r="A270" s="106" t="b">
        <v>1</v>
      </c>
      <c r="B270" t="str" cm="1">
        <f t="array" ref="B270">_xlfn.SINGLE(_xlfn._xlws.FILTER(t_ServiceCatalogue[Onwer],t_ServiceCatalogue[Category]=t_fac25_requirements[[#This Row],[Category]],""))</f>
        <v>AV</v>
      </c>
      <c r="C270" t="s">
        <v>188</v>
      </c>
      <c r="D270" t="str">
        <f>_xlfn._xlws.FILTER(t_Contact[FA Name],t_Contact[FA]=t_fac25_requirements[[#This Row],[FA]],"")</f>
        <v>Broadcast Operations</v>
      </c>
      <c r="E270" t="s">
        <v>213</v>
      </c>
      <c r="F270" t="s">
        <v>288</v>
      </c>
      <c r="G270" t="s">
        <v>417</v>
      </c>
      <c r="H270" t="s">
        <v>110</v>
      </c>
      <c r="I270" t="s">
        <v>111</v>
      </c>
      <c r="J270" s="28" t="s">
        <v>637</v>
      </c>
      <c r="K270" s="32">
        <v>1</v>
      </c>
      <c r="L270" s="32">
        <v>0</v>
      </c>
      <c r="M270" s="30">
        <v>45981</v>
      </c>
      <c r="N270" s="30">
        <v>46011</v>
      </c>
      <c r="O270" s="43" t="s">
        <v>112</v>
      </c>
      <c r="P270" s="55" t="s">
        <v>800</v>
      </c>
      <c r="R270" t="s">
        <v>953</v>
      </c>
    </row>
    <row r="271" spans="1:18" ht="14.45">
      <c r="A271" s="106" t="b">
        <v>1</v>
      </c>
      <c r="B271" t="str" cm="1">
        <f t="array" ref="B271">_xlfn.SINGLE(_xlfn._xlws.FILTER(t_ServiceCatalogue[Onwer],t_ServiceCatalogue[Category]=t_fac25_requirements[[#This Row],[Category]],""))</f>
        <v>NW</v>
      </c>
      <c r="C271" t="s">
        <v>188</v>
      </c>
      <c r="D271" t="str">
        <f>_xlfn._xlws.FILTER(t_Contact[FA Name],t_Contact[FA]=t_fac25_requirements[[#This Row],[FA]],"")</f>
        <v>Broadcast Operations</v>
      </c>
      <c r="E271" t="s">
        <v>208</v>
      </c>
      <c r="F271" t="s">
        <v>288</v>
      </c>
      <c r="G271" t="s">
        <v>417</v>
      </c>
      <c r="H271" t="s">
        <v>46</v>
      </c>
      <c r="I271" t="s">
        <v>47</v>
      </c>
      <c r="J271" s="28" t="s">
        <v>637</v>
      </c>
      <c r="K271" s="32">
        <v>5</v>
      </c>
      <c r="L271" s="32">
        <v>0</v>
      </c>
      <c r="M271" s="30">
        <v>45986</v>
      </c>
      <c r="N271" s="30">
        <v>46010</v>
      </c>
      <c r="O271" s="43" t="s">
        <v>48</v>
      </c>
      <c r="P271" s="55" t="s">
        <v>800</v>
      </c>
      <c r="R271" t="s">
        <v>954</v>
      </c>
    </row>
    <row r="272" spans="1:18" ht="14.45">
      <c r="A272" s="106" t="b">
        <v>1</v>
      </c>
      <c r="B272" t="str" cm="1">
        <f t="array" ref="B272">_xlfn.SINGLE(_xlfn._xlws.FILTER(t_ServiceCatalogue[Onwer],t_ServiceCatalogue[Category]=t_fac25_requirements[[#This Row],[Category]],""))</f>
        <v>NW</v>
      </c>
      <c r="C272" t="s">
        <v>188</v>
      </c>
      <c r="D272" t="str">
        <f>_xlfn._xlws.FILTER(t_Contact[FA Name],t_Contact[FA]=t_fac25_requirements[[#This Row],[FA]],"")</f>
        <v>Broadcast Operations</v>
      </c>
      <c r="E272" t="s">
        <v>208</v>
      </c>
      <c r="F272" t="s">
        <v>288</v>
      </c>
      <c r="G272" t="s">
        <v>417</v>
      </c>
      <c r="H272" t="s">
        <v>46</v>
      </c>
      <c r="I272" t="s">
        <v>148</v>
      </c>
      <c r="J272" s="28" t="s">
        <v>637</v>
      </c>
      <c r="K272" s="32">
        <v>1</v>
      </c>
      <c r="L272" s="32">
        <v>0</v>
      </c>
      <c r="M272" s="30">
        <v>45986</v>
      </c>
      <c r="N272" s="30">
        <v>46010</v>
      </c>
      <c r="O272" s="43" t="s">
        <v>149</v>
      </c>
      <c r="P272" s="55" t="s">
        <v>800</v>
      </c>
      <c r="Q272" t="s">
        <v>948</v>
      </c>
      <c r="R272" t="s">
        <v>955</v>
      </c>
    </row>
    <row r="273" spans="1:18" ht="14.45">
      <c r="A273" s="106" t="b">
        <v>1</v>
      </c>
      <c r="B273" t="str" cm="1">
        <f t="array" ref="B273">_xlfn.SINGLE(_xlfn._xlws.FILTER(t_ServiceCatalogue[Onwer],t_ServiceCatalogue[Category]=t_fac25_requirements[[#This Row],[Category]],""))</f>
        <v>AV</v>
      </c>
      <c r="C273" t="s">
        <v>188</v>
      </c>
      <c r="D273" t="str">
        <f>_xlfn._xlws.FILTER(t_Contact[FA Name],t_Contact[FA]=t_fac25_requirements[[#This Row],[FA]],"")</f>
        <v>Broadcast Operations</v>
      </c>
      <c r="E273" t="s">
        <v>208</v>
      </c>
      <c r="F273" t="s">
        <v>288</v>
      </c>
      <c r="G273" t="s">
        <v>417</v>
      </c>
      <c r="H273" t="s">
        <v>110</v>
      </c>
      <c r="I273" t="s">
        <v>111</v>
      </c>
      <c r="J273" s="28" t="s">
        <v>637</v>
      </c>
      <c r="K273" s="32">
        <v>1</v>
      </c>
      <c r="L273" s="32">
        <v>0</v>
      </c>
      <c r="M273" s="30">
        <v>45986</v>
      </c>
      <c r="N273" s="30">
        <v>46010</v>
      </c>
      <c r="O273" s="43" t="s">
        <v>112</v>
      </c>
      <c r="P273" s="55" t="s">
        <v>800</v>
      </c>
      <c r="R273" t="s">
        <v>956</v>
      </c>
    </row>
    <row r="274" spans="1:18" ht="14.45">
      <c r="A274" s="106" t="b">
        <v>1</v>
      </c>
      <c r="B274" t="str" cm="1">
        <f t="array" ref="B274">_xlfn.SINGLE(_xlfn._xlws.FILTER(t_ServiceCatalogue[Onwer],t_ServiceCatalogue[Category]=t_fac25_requirements[[#This Row],[Category]],""))</f>
        <v>NW</v>
      </c>
      <c r="C274" t="s">
        <v>188</v>
      </c>
      <c r="D274" t="str">
        <f>_xlfn._xlws.FILTER(t_Contact[FA Name],t_Contact[FA]=t_fac25_requirements[[#This Row],[FA]],"")</f>
        <v>Broadcast Operations</v>
      </c>
      <c r="E274" s="43">
        <v>974</v>
      </c>
      <c r="F274" t="s">
        <v>288</v>
      </c>
      <c r="G274" t="s">
        <v>417</v>
      </c>
      <c r="H274" t="s">
        <v>46</v>
      </c>
      <c r="I274" t="s">
        <v>47</v>
      </c>
      <c r="J274" s="28" t="s">
        <v>637</v>
      </c>
      <c r="K274" s="32">
        <v>5</v>
      </c>
      <c r="L274" s="32">
        <v>0</v>
      </c>
      <c r="M274" s="30">
        <v>45987</v>
      </c>
      <c r="N274" s="30">
        <v>46005</v>
      </c>
      <c r="O274" s="43" t="s">
        <v>48</v>
      </c>
      <c r="P274" s="55" t="s">
        <v>800</v>
      </c>
      <c r="R274" t="s">
        <v>957</v>
      </c>
    </row>
    <row r="275" spans="1:18" ht="14.45">
      <c r="A275" s="106" t="b">
        <v>1</v>
      </c>
      <c r="B275" t="str" cm="1">
        <f t="array" ref="B275">_xlfn.SINGLE(_xlfn._xlws.FILTER(t_ServiceCatalogue[Onwer],t_ServiceCatalogue[Category]=t_fac25_requirements[[#This Row],[Category]],""))</f>
        <v>NW</v>
      </c>
      <c r="C275" t="s">
        <v>188</v>
      </c>
      <c r="D275" t="str">
        <f>_xlfn._xlws.FILTER(t_Contact[FA Name],t_Contact[FA]=t_fac25_requirements[[#This Row],[FA]],"")</f>
        <v>Broadcast Operations</v>
      </c>
      <c r="E275" s="43">
        <v>974</v>
      </c>
      <c r="F275" t="s">
        <v>288</v>
      </c>
      <c r="G275" t="s">
        <v>417</v>
      </c>
      <c r="H275" t="s">
        <v>46</v>
      </c>
      <c r="I275" t="s">
        <v>148</v>
      </c>
      <c r="J275" s="28" t="s">
        <v>637</v>
      </c>
      <c r="K275" s="32">
        <v>1</v>
      </c>
      <c r="L275" s="32">
        <v>0</v>
      </c>
      <c r="M275" s="30">
        <v>45987</v>
      </c>
      <c r="N275" s="30">
        <v>46005</v>
      </c>
      <c r="O275" s="43" t="s">
        <v>149</v>
      </c>
      <c r="P275" s="55" t="s">
        <v>800</v>
      </c>
      <c r="Q275" t="s">
        <v>948</v>
      </c>
      <c r="R275" t="s">
        <v>958</v>
      </c>
    </row>
    <row r="276" spans="1:18" ht="14.45">
      <c r="A276" s="106" t="b">
        <v>1</v>
      </c>
      <c r="B276" t="str" cm="1">
        <f t="array" ref="B276">_xlfn.SINGLE(_xlfn._xlws.FILTER(t_ServiceCatalogue[Onwer],t_ServiceCatalogue[Category]=t_fac25_requirements[[#This Row],[Category]],""))</f>
        <v>AV</v>
      </c>
      <c r="C276" t="s">
        <v>188</v>
      </c>
      <c r="D276" t="str">
        <f>_xlfn._xlws.FILTER(t_Contact[FA Name],t_Contact[FA]=t_fac25_requirements[[#This Row],[FA]],"")</f>
        <v>Broadcast Operations</v>
      </c>
      <c r="E276" s="43">
        <v>974</v>
      </c>
      <c r="F276" t="s">
        <v>288</v>
      </c>
      <c r="G276" t="s">
        <v>417</v>
      </c>
      <c r="H276" t="s">
        <v>110</v>
      </c>
      <c r="I276" t="s">
        <v>111</v>
      </c>
      <c r="J276" s="28" t="s">
        <v>637</v>
      </c>
      <c r="K276" s="32">
        <v>1</v>
      </c>
      <c r="L276" s="32">
        <v>0</v>
      </c>
      <c r="M276" s="30">
        <v>45987</v>
      </c>
      <c r="N276" s="30">
        <v>46005</v>
      </c>
      <c r="O276" s="43" t="s">
        <v>112</v>
      </c>
      <c r="P276" s="55" t="s">
        <v>800</v>
      </c>
      <c r="R276" t="s">
        <v>959</v>
      </c>
    </row>
    <row r="277" spans="1:18" ht="14.45">
      <c r="A277" s="106" t="b">
        <v>1</v>
      </c>
      <c r="B277" t="str" cm="1">
        <f t="array" ref="B277">_xlfn.SINGLE(_xlfn._xlws.FILTER(t_ServiceCatalogue[Onwer],t_ServiceCatalogue[Category]=t_fac25_requirements[[#This Row],[Category]],""))</f>
        <v>NW</v>
      </c>
      <c r="C277" t="s">
        <v>188</v>
      </c>
      <c r="D277" t="str">
        <f>_xlfn._xlws.FILTER(t_Contact[FA Name],t_Contact[FA]=t_fac25_requirements[[#This Row],[FA]],"")</f>
        <v>Broadcast Operations</v>
      </c>
      <c r="E277" t="s">
        <v>212</v>
      </c>
      <c r="F277" t="s">
        <v>288</v>
      </c>
      <c r="G277" t="s">
        <v>417</v>
      </c>
      <c r="H277" t="s">
        <v>46</v>
      </c>
      <c r="I277" t="s">
        <v>47</v>
      </c>
      <c r="J277" s="28" t="s">
        <v>637</v>
      </c>
      <c r="K277" s="32">
        <v>5</v>
      </c>
      <c r="L277" s="32">
        <v>0</v>
      </c>
      <c r="M277" s="30">
        <v>45986</v>
      </c>
      <c r="N277" s="30">
        <v>46005</v>
      </c>
      <c r="O277" s="43" t="s">
        <v>48</v>
      </c>
      <c r="P277" s="55" t="s">
        <v>800</v>
      </c>
      <c r="R277" t="s">
        <v>960</v>
      </c>
    </row>
    <row r="278" spans="1:18" ht="14.45">
      <c r="A278" s="106" t="b">
        <v>1</v>
      </c>
      <c r="B278" t="str" cm="1">
        <f t="array" ref="B278">_xlfn.SINGLE(_xlfn._xlws.FILTER(t_ServiceCatalogue[Onwer],t_ServiceCatalogue[Category]=t_fac25_requirements[[#This Row],[Category]],""))</f>
        <v>NW</v>
      </c>
      <c r="C278" t="s">
        <v>188</v>
      </c>
      <c r="D278" t="str">
        <f>_xlfn._xlws.FILTER(t_Contact[FA Name],t_Contact[FA]=t_fac25_requirements[[#This Row],[FA]],"")</f>
        <v>Broadcast Operations</v>
      </c>
      <c r="E278" t="s">
        <v>212</v>
      </c>
      <c r="F278" t="s">
        <v>288</v>
      </c>
      <c r="G278" t="s">
        <v>417</v>
      </c>
      <c r="H278" t="s">
        <v>46</v>
      </c>
      <c r="I278" t="s">
        <v>148</v>
      </c>
      <c r="J278" s="28" t="s">
        <v>637</v>
      </c>
      <c r="K278" s="32">
        <v>1</v>
      </c>
      <c r="L278" s="32">
        <v>0</v>
      </c>
      <c r="M278" s="30">
        <v>45986</v>
      </c>
      <c r="N278" s="30">
        <v>46005</v>
      </c>
      <c r="O278" s="43" t="s">
        <v>149</v>
      </c>
      <c r="P278" s="55" t="s">
        <v>800</v>
      </c>
      <c r="Q278" t="s">
        <v>948</v>
      </c>
      <c r="R278" t="s">
        <v>961</v>
      </c>
    </row>
    <row r="279" spans="1:18" ht="14.45">
      <c r="A279" s="106" t="b">
        <v>1</v>
      </c>
      <c r="B279" t="str" cm="1">
        <f t="array" ref="B279">_xlfn.SINGLE(_xlfn._xlws.FILTER(t_ServiceCatalogue[Onwer],t_ServiceCatalogue[Category]=t_fac25_requirements[[#This Row],[Category]],""))</f>
        <v>AV</v>
      </c>
      <c r="C279" t="s">
        <v>188</v>
      </c>
      <c r="D279" t="str">
        <f>_xlfn._xlws.FILTER(t_Contact[FA Name],t_Contact[FA]=t_fac25_requirements[[#This Row],[FA]],"")</f>
        <v>Broadcast Operations</v>
      </c>
      <c r="E279" t="s">
        <v>212</v>
      </c>
      <c r="F279" t="s">
        <v>288</v>
      </c>
      <c r="G279" t="s">
        <v>417</v>
      </c>
      <c r="H279" t="s">
        <v>110</v>
      </c>
      <c r="I279" t="s">
        <v>111</v>
      </c>
      <c r="J279" s="28" t="s">
        <v>637</v>
      </c>
      <c r="K279" s="32">
        <v>1</v>
      </c>
      <c r="L279" s="32">
        <v>0</v>
      </c>
      <c r="M279" s="30">
        <v>45986</v>
      </c>
      <c r="N279" s="30">
        <v>46005</v>
      </c>
      <c r="O279" s="43" t="s">
        <v>112</v>
      </c>
      <c r="P279" s="55" t="s">
        <v>800</v>
      </c>
      <c r="R279" t="s">
        <v>962</v>
      </c>
    </row>
    <row r="280" spans="1:18" ht="14.45">
      <c r="A280" s="106" t="b">
        <v>1</v>
      </c>
      <c r="B280" t="str" cm="1">
        <f t="array" ref="B280">_xlfn.SINGLE(_xlfn._xlws.FILTER(t_ServiceCatalogue[Onwer],t_ServiceCatalogue[Category]=t_fac25_requirements[[#This Row],[Category]],""))</f>
        <v>NW</v>
      </c>
      <c r="C280" t="s">
        <v>188</v>
      </c>
      <c r="D280" t="str">
        <f>_xlfn._xlws.FILTER(t_Contact[FA Name],t_Contact[FA]=t_fac25_requirements[[#This Row],[FA]],"")</f>
        <v>Broadcast Operations</v>
      </c>
      <c r="E280" t="s">
        <v>211</v>
      </c>
      <c r="F280" t="s">
        <v>288</v>
      </c>
      <c r="G280" t="s">
        <v>417</v>
      </c>
      <c r="H280" t="s">
        <v>46</v>
      </c>
      <c r="I280" t="s">
        <v>47</v>
      </c>
      <c r="J280" s="28" t="s">
        <v>637</v>
      </c>
      <c r="K280" s="32">
        <v>5</v>
      </c>
      <c r="L280" s="32">
        <v>0</v>
      </c>
      <c r="M280" s="30">
        <v>45986</v>
      </c>
      <c r="N280" s="30">
        <v>46008</v>
      </c>
      <c r="O280" s="43" t="s">
        <v>48</v>
      </c>
      <c r="P280" s="55" t="s">
        <v>800</v>
      </c>
      <c r="R280" t="s">
        <v>963</v>
      </c>
    </row>
    <row r="281" spans="1:18" ht="14.45">
      <c r="A281" s="106" t="b">
        <v>1</v>
      </c>
      <c r="B281" t="str" cm="1">
        <f t="array" ref="B281">_xlfn.SINGLE(_xlfn._xlws.FILTER(t_ServiceCatalogue[Onwer],t_ServiceCatalogue[Category]=t_fac25_requirements[[#This Row],[Category]],""))</f>
        <v>NW</v>
      </c>
      <c r="C281" t="s">
        <v>188</v>
      </c>
      <c r="D281" t="str">
        <f>_xlfn._xlws.FILTER(t_Contact[FA Name],t_Contact[FA]=t_fac25_requirements[[#This Row],[FA]],"")</f>
        <v>Broadcast Operations</v>
      </c>
      <c r="E281" t="s">
        <v>211</v>
      </c>
      <c r="F281" t="s">
        <v>288</v>
      </c>
      <c r="G281" t="s">
        <v>417</v>
      </c>
      <c r="H281" t="s">
        <v>46</v>
      </c>
      <c r="I281" t="s">
        <v>148</v>
      </c>
      <c r="J281" s="28" t="s">
        <v>637</v>
      </c>
      <c r="K281" s="32">
        <v>1</v>
      </c>
      <c r="L281" s="32">
        <v>0</v>
      </c>
      <c r="M281" s="30">
        <v>45986</v>
      </c>
      <c r="N281" s="30">
        <v>46008</v>
      </c>
      <c r="O281" s="43" t="s">
        <v>149</v>
      </c>
      <c r="P281" s="55" t="s">
        <v>800</v>
      </c>
      <c r="Q281" t="s">
        <v>948</v>
      </c>
      <c r="R281" t="s">
        <v>964</v>
      </c>
    </row>
    <row r="282" spans="1:18" ht="14.45">
      <c r="A282" s="106" t="b">
        <v>1</v>
      </c>
      <c r="B282" t="str" cm="1">
        <f t="array" ref="B282">_xlfn.SINGLE(_xlfn._xlws.FILTER(t_ServiceCatalogue[Onwer],t_ServiceCatalogue[Category]=t_fac25_requirements[[#This Row],[Category]],""))</f>
        <v>AV</v>
      </c>
      <c r="C282" t="s">
        <v>188</v>
      </c>
      <c r="D282" t="str">
        <f>_xlfn._xlws.FILTER(t_Contact[FA Name],t_Contact[FA]=t_fac25_requirements[[#This Row],[FA]],"")</f>
        <v>Broadcast Operations</v>
      </c>
      <c r="E282" t="s">
        <v>211</v>
      </c>
      <c r="F282" t="s">
        <v>288</v>
      </c>
      <c r="G282" t="s">
        <v>417</v>
      </c>
      <c r="H282" t="s">
        <v>110</v>
      </c>
      <c r="I282" t="s">
        <v>111</v>
      </c>
      <c r="J282" s="28" t="s">
        <v>637</v>
      </c>
      <c r="K282" s="32">
        <v>1</v>
      </c>
      <c r="L282" s="32">
        <v>0</v>
      </c>
      <c r="M282" s="30">
        <v>45986</v>
      </c>
      <c r="N282" s="30">
        <v>46008</v>
      </c>
      <c r="O282" s="43" t="s">
        <v>112</v>
      </c>
      <c r="P282" s="55" t="s">
        <v>800</v>
      </c>
      <c r="R282" t="s">
        <v>965</v>
      </c>
    </row>
    <row r="283" spans="1:18" ht="14.45">
      <c r="A283" s="106" t="b">
        <v>0</v>
      </c>
      <c r="B283" t="str" cm="1">
        <f t="array" ref="B283">_xlfn.SINGLE(_xlfn._xlws.FILTER(t_ServiceCatalogue[Onwer],t_ServiceCatalogue[Category]=t_fac25_requirements[[#This Row],[Category]],""))</f>
        <v>AV</v>
      </c>
      <c r="C283" t="s">
        <v>188</v>
      </c>
      <c r="D283" t="str">
        <f>_xlfn._xlws.FILTER(t_Contact[FA Name],t_Contact[FA]=t_fac25_requirements[[#This Row],[FA]],"")</f>
        <v>Broadcast Operations</v>
      </c>
      <c r="E283" t="s">
        <v>214</v>
      </c>
      <c r="F283" t="s">
        <v>268</v>
      </c>
      <c r="G283" t="s">
        <v>272</v>
      </c>
      <c r="H283" t="s">
        <v>110</v>
      </c>
      <c r="I283" t="s">
        <v>273</v>
      </c>
      <c r="J283" s="28" t="s">
        <v>370</v>
      </c>
      <c r="K283" s="32"/>
      <c r="L283" s="32">
        <v>1</v>
      </c>
      <c r="M283" s="30">
        <v>45986</v>
      </c>
      <c r="N283" s="30">
        <v>46011</v>
      </c>
      <c r="O283" s="43" t="s">
        <v>116</v>
      </c>
      <c r="P283" s="55" t="s">
        <v>966</v>
      </c>
      <c r="Q283" t="s">
        <v>967</v>
      </c>
      <c r="R283" t="s">
        <v>968</v>
      </c>
    </row>
    <row r="284" spans="1:18" ht="14.45">
      <c r="A284" s="106" t="b">
        <v>0</v>
      </c>
      <c r="B284" t="str" cm="1">
        <f t="array" ref="B284">_xlfn.SINGLE(_xlfn._xlws.FILTER(t_ServiceCatalogue[Onwer],t_ServiceCatalogue[Category]=t_fac25_requirements[[#This Row],[Category]],""))</f>
        <v>AV</v>
      </c>
      <c r="C284" t="s">
        <v>188</v>
      </c>
      <c r="D284" t="str">
        <f>_xlfn._xlws.FILTER(t_Contact[FA Name],t_Contact[FA]=t_fac25_requirements[[#This Row],[FA]],"")</f>
        <v>Broadcast Operations</v>
      </c>
      <c r="E284" t="s">
        <v>211</v>
      </c>
      <c r="F284" t="s">
        <v>268</v>
      </c>
      <c r="G284" t="s">
        <v>272</v>
      </c>
      <c r="H284" t="s">
        <v>110</v>
      </c>
      <c r="I284" t="s">
        <v>273</v>
      </c>
      <c r="J284" s="28" t="s">
        <v>370</v>
      </c>
      <c r="K284" s="32"/>
      <c r="L284" s="32">
        <v>1</v>
      </c>
      <c r="M284" s="30">
        <v>45986</v>
      </c>
      <c r="N284" s="30">
        <v>46008</v>
      </c>
      <c r="O284" s="43" t="s">
        <v>116</v>
      </c>
      <c r="P284" s="55" t="s">
        <v>966</v>
      </c>
      <c r="Q284" t="s">
        <v>967</v>
      </c>
      <c r="R284" t="s">
        <v>969</v>
      </c>
    </row>
    <row r="285" spans="1:18" ht="14.45">
      <c r="A285" s="106" t="b">
        <v>0</v>
      </c>
      <c r="B285" t="str" cm="1">
        <f t="array" ref="B285">_xlfn.SINGLE(_xlfn._xlws.FILTER(t_ServiceCatalogue[Onwer],t_ServiceCatalogue[Category]=t_fac25_requirements[[#This Row],[Category]],""))</f>
        <v>AV</v>
      </c>
      <c r="C285" t="s">
        <v>188</v>
      </c>
      <c r="D285" t="str">
        <f>_xlfn._xlws.FILTER(t_Contact[FA Name],t_Contact[FA]=t_fac25_requirements[[#This Row],[FA]],"")</f>
        <v>Broadcast Operations</v>
      </c>
      <c r="E285" t="s">
        <v>212</v>
      </c>
      <c r="F285" t="s">
        <v>268</v>
      </c>
      <c r="G285" t="s">
        <v>272</v>
      </c>
      <c r="H285" t="s">
        <v>110</v>
      </c>
      <c r="I285" t="s">
        <v>273</v>
      </c>
      <c r="J285" s="28" t="s">
        <v>370</v>
      </c>
      <c r="K285" s="32"/>
      <c r="L285" s="32">
        <v>1</v>
      </c>
      <c r="M285" s="30">
        <v>45986</v>
      </c>
      <c r="N285" s="30">
        <v>46005</v>
      </c>
      <c r="O285" s="43" t="s">
        <v>116</v>
      </c>
      <c r="P285" s="55" t="s">
        <v>966</v>
      </c>
      <c r="Q285" t="s">
        <v>967</v>
      </c>
      <c r="R285" t="s">
        <v>970</v>
      </c>
    </row>
    <row r="286" spans="1:18" ht="14.45">
      <c r="A286" s="106" t="b">
        <v>0</v>
      </c>
      <c r="B286" t="str" cm="1">
        <f t="array" ref="B286">_xlfn.SINGLE(_xlfn._xlws.FILTER(t_ServiceCatalogue[Onwer],t_ServiceCatalogue[Category]=t_fac25_requirements[[#This Row],[Category]],""))</f>
        <v>AV</v>
      </c>
      <c r="C286" t="s">
        <v>188</v>
      </c>
      <c r="D286" t="str">
        <f>_xlfn._xlws.FILTER(t_Contact[FA Name],t_Contact[FA]=t_fac25_requirements[[#This Row],[FA]],"")</f>
        <v>Broadcast Operations</v>
      </c>
      <c r="E286" s="43">
        <v>974</v>
      </c>
      <c r="F286" t="s">
        <v>268</v>
      </c>
      <c r="G286" t="s">
        <v>272</v>
      </c>
      <c r="H286" t="s">
        <v>110</v>
      </c>
      <c r="I286" t="s">
        <v>273</v>
      </c>
      <c r="J286" s="28" t="s">
        <v>370</v>
      </c>
      <c r="K286" s="32"/>
      <c r="L286" s="32">
        <v>1</v>
      </c>
      <c r="M286" s="30">
        <v>45986</v>
      </c>
      <c r="N286" s="30">
        <v>46005</v>
      </c>
      <c r="O286" s="43" t="s">
        <v>116</v>
      </c>
      <c r="P286" s="55" t="s">
        <v>966</v>
      </c>
      <c r="Q286" t="s">
        <v>967</v>
      </c>
      <c r="R286" t="s">
        <v>971</v>
      </c>
    </row>
    <row r="287" spans="1:18" ht="14.45">
      <c r="A287" s="106" t="b">
        <v>0</v>
      </c>
      <c r="B287" t="str" cm="1">
        <f t="array" ref="B287">_xlfn.SINGLE(_xlfn._xlws.FILTER(t_ServiceCatalogue[Onwer],t_ServiceCatalogue[Category]=t_fac25_requirements[[#This Row],[Category]],""))</f>
        <v>AV</v>
      </c>
      <c r="C287" t="s">
        <v>188</v>
      </c>
      <c r="D287" t="str">
        <f>_xlfn._xlws.FILTER(t_Contact[FA Name],t_Contact[FA]=t_fac25_requirements[[#This Row],[FA]],"")</f>
        <v>Broadcast Operations</v>
      </c>
      <c r="E287" t="s">
        <v>208</v>
      </c>
      <c r="F287" t="s">
        <v>268</v>
      </c>
      <c r="G287" t="s">
        <v>272</v>
      </c>
      <c r="H287" t="s">
        <v>110</v>
      </c>
      <c r="I287" t="s">
        <v>273</v>
      </c>
      <c r="J287" s="28" t="s">
        <v>370</v>
      </c>
      <c r="K287" s="32"/>
      <c r="L287" s="32">
        <v>1</v>
      </c>
      <c r="M287" s="30">
        <v>45986</v>
      </c>
      <c r="N287" s="30">
        <v>46010</v>
      </c>
      <c r="O287" s="43" t="s">
        <v>116</v>
      </c>
      <c r="P287" s="55" t="s">
        <v>966</v>
      </c>
      <c r="Q287" t="s">
        <v>967</v>
      </c>
      <c r="R287" t="s">
        <v>972</v>
      </c>
    </row>
    <row r="288" spans="1:18" ht="14.45">
      <c r="A288" s="106" t="b">
        <v>0</v>
      </c>
      <c r="B288" t="str" cm="1">
        <f t="array" ref="B288">_xlfn.SINGLE(_xlfn._xlws.FILTER(t_ServiceCatalogue[Onwer],t_ServiceCatalogue[Category]=t_fac25_requirements[[#This Row],[Category]],""))</f>
        <v>AV</v>
      </c>
      <c r="C288" t="s">
        <v>188</v>
      </c>
      <c r="D288" t="str">
        <f>_xlfn._xlws.FILTER(t_Contact[FA Name],t_Contact[FA]=t_fac25_requirements[[#This Row],[FA]],"")</f>
        <v>Broadcast Operations</v>
      </c>
      <c r="E288" t="s">
        <v>213</v>
      </c>
      <c r="F288" t="s">
        <v>268</v>
      </c>
      <c r="G288" t="s">
        <v>272</v>
      </c>
      <c r="H288" t="s">
        <v>110</v>
      </c>
      <c r="I288" t="s">
        <v>273</v>
      </c>
      <c r="J288" s="28" t="s">
        <v>370</v>
      </c>
      <c r="K288" s="32"/>
      <c r="L288" s="32">
        <v>1</v>
      </c>
      <c r="M288" s="30">
        <v>45986</v>
      </c>
      <c r="N288" s="30">
        <v>46011</v>
      </c>
      <c r="O288" s="43" t="s">
        <v>116</v>
      </c>
      <c r="P288" s="55" t="s">
        <v>966</v>
      </c>
      <c r="Q288" t="s">
        <v>967</v>
      </c>
      <c r="R288" t="s">
        <v>973</v>
      </c>
    </row>
    <row r="289" spans="1:18" ht="14.45">
      <c r="A289" s="106" t="b">
        <v>1</v>
      </c>
      <c r="B289" t="str" cm="1">
        <f t="array" ref="B289">_xlfn.SINGLE(_xlfn._xlws.FILTER(t_ServiceCatalogue[Onwer],t_ServiceCatalogue[Category]=t_fac25_requirements[[#This Row],[Category]],""))</f>
        <v>AV</v>
      </c>
      <c r="C289" t="s">
        <v>188</v>
      </c>
      <c r="D289" t="str">
        <f>_xlfn._xlws.FILTER(t_Contact[FA Name],t_Contact[FA]=t_fac25_requirements[[#This Row],[FA]],"")</f>
        <v>Broadcast Operations</v>
      </c>
      <c r="E289" t="s">
        <v>19</v>
      </c>
      <c r="F289" t="s">
        <v>345</v>
      </c>
      <c r="G289" t="s">
        <v>272</v>
      </c>
      <c r="H289" t="s">
        <v>110</v>
      </c>
      <c r="I289" t="s">
        <v>273</v>
      </c>
      <c r="J289" s="28" t="s">
        <v>370</v>
      </c>
      <c r="K289" s="32"/>
      <c r="L289" s="32">
        <v>1</v>
      </c>
      <c r="M289" s="30">
        <v>45986</v>
      </c>
      <c r="N289" s="30">
        <v>46011</v>
      </c>
      <c r="O289" s="43" t="s">
        <v>116</v>
      </c>
      <c r="P289" s="55" t="s">
        <v>87</v>
      </c>
      <c r="Q289" t="s">
        <v>967</v>
      </c>
      <c r="R289" t="s">
        <v>974</v>
      </c>
    </row>
    <row r="290" spans="1:18" ht="14.45">
      <c r="A290" s="106" t="b">
        <v>0</v>
      </c>
      <c r="B290" t="str" cm="1">
        <f t="array" ref="B290">_xlfn.SINGLE(_xlfn._xlws.FILTER(t_ServiceCatalogue[Onwer],t_ServiceCatalogue[Category]=t_fac25_requirements[[#This Row],[Category]],""))</f>
        <v>NW</v>
      </c>
      <c r="C290" t="s">
        <v>63</v>
      </c>
      <c r="D290" t="str">
        <f>_xlfn._xlws.FILTER(t_Contact[FA Name],t_Contact[FA]=t_fac25_requirements[[#This Row],[FA]],"")</f>
        <v>Logistics</v>
      </c>
      <c r="E290" t="s">
        <v>211</v>
      </c>
      <c r="F290" t="s">
        <v>288</v>
      </c>
      <c r="G290" t="s">
        <v>315</v>
      </c>
      <c r="H290" t="s">
        <v>52</v>
      </c>
      <c r="I290" t="s">
        <v>53</v>
      </c>
      <c r="J290" s="28" t="s">
        <v>370</v>
      </c>
      <c r="K290" s="32"/>
      <c r="L290" s="32">
        <v>4</v>
      </c>
      <c r="M290" s="30">
        <v>45968</v>
      </c>
      <c r="N290" s="30">
        <v>46019</v>
      </c>
      <c r="O290" s="43" t="s">
        <v>54</v>
      </c>
      <c r="P290" s="55" t="s">
        <v>87</v>
      </c>
      <c r="Q290" t="s">
        <v>975</v>
      </c>
      <c r="R290" t="s">
        <v>976</v>
      </c>
    </row>
    <row r="291" spans="1:18" ht="14.45">
      <c r="A291" s="106" t="b">
        <v>0</v>
      </c>
      <c r="B291" t="str" cm="1">
        <f t="array" ref="B291">_xlfn.SINGLE(_xlfn._xlws.FILTER(t_ServiceCatalogue[Onwer],t_ServiceCatalogue[Category]=t_fac25_requirements[[#This Row],[Category]],""))</f>
        <v>EU</v>
      </c>
      <c r="C291" t="s">
        <v>63</v>
      </c>
      <c r="D291" t="str">
        <f>_xlfn._xlws.FILTER(t_Contact[FA Name],t_Contact[FA]=t_fac25_requirements[[#This Row],[FA]],"")</f>
        <v>Logistics</v>
      </c>
      <c r="E291" t="s">
        <v>211</v>
      </c>
      <c r="F291" t="s">
        <v>288</v>
      </c>
      <c r="G291" t="s">
        <v>315</v>
      </c>
      <c r="H291" t="s">
        <v>22</v>
      </c>
      <c r="I291" t="s">
        <v>23</v>
      </c>
      <c r="J291" s="28" t="s">
        <v>370</v>
      </c>
      <c r="K291" s="32"/>
      <c r="L291" s="32">
        <v>1</v>
      </c>
      <c r="M291" s="30">
        <v>45968</v>
      </c>
      <c r="N291" s="30">
        <v>46019</v>
      </c>
      <c r="O291" s="43" t="s">
        <v>24</v>
      </c>
      <c r="P291" s="55" t="s">
        <v>87</v>
      </c>
      <c r="Q291" t="s">
        <v>977</v>
      </c>
      <c r="R291" t="s">
        <v>978</v>
      </c>
    </row>
    <row r="292" spans="1:18" ht="14.45">
      <c r="A292" s="106" t="b">
        <v>0</v>
      </c>
      <c r="B292" t="str" cm="1">
        <f t="array" ref="B292">_xlfn.SINGLE(_xlfn._xlws.FILTER(t_ServiceCatalogue[Onwer],t_ServiceCatalogue[Category]=t_fac25_requirements[[#This Row],[Category]],""))</f>
        <v>NW</v>
      </c>
      <c r="C292" t="s">
        <v>63</v>
      </c>
      <c r="D292" t="str">
        <f>_xlfn._xlws.FILTER(t_Contact[FA Name],t_Contact[FA]=t_fac25_requirements[[#This Row],[FA]],"")</f>
        <v>Logistics</v>
      </c>
      <c r="E292" t="s">
        <v>214</v>
      </c>
      <c r="F292" t="s">
        <v>288</v>
      </c>
      <c r="G292" t="s">
        <v>315</v>
      </c>
      <c r="H292" t="s">
        <v>52</v>
      </c>
      <c r="I292" t="s">
        <v>53</v>
      </c>
      <c r="J292" s="28" t="s">
        <v>370</v>
      </c>
      <c r="K292" s="32"/>
      <c r="L292" s="32">
        <v>4</v>
      </c>
      <c r="M292" s="30">
        <v>45969</v>
      </c>
      <c r="N292" s="30">
        <v>46022</v>
      </c>
      <c r="O292" s="43" t="s">
        <v>54</v>
      </c>
      <c r="P292" s="55" t="s">
        <v>87</v>
      </c>
      <c r="Q292" t="s">
        <v>975</v>
      </c>
      <c r="R292" t="s">
        <v>979</v>
      </c>
    </row>
    <row r="293" spans="1:18" ht="14.45">
      <c r="A293" s="106" t="b">
        <v>1</v>
      </c>
      <c r="B293" t="str" cm="1">
        <f t="array" ref="B293">_xlfn.SINGLE(_xlfn._xlws.FILTER(t_ServiceCatalogue[Onwer],t_ServiceCatalogue[Category]=t_fac25_requirements[[#This Row],[Category]],""))</f>
        <v>EU</v>
      </c>
      <c r="C293" t="s">
        <v>63</v>
      </c>
      <c r="D293" t="str">
        <f>_xlfn._xlws.FILTER(t_Contact[FA Name],t_Contact[FA]=t_fac25_requirements[[#This Row],[FA]],"")</f>
        <v>Logistics</v>
      </c>
      <c r="E293" t="s">
        <v>214</v>
      </c>
      <c r="F293" t="s">
        <v>288</v>
      </c>
      <c r="G293" t="s">
        <v>315</v>
      </c>
      <c r="H293" t="s">
        <v>22</v>
      </c>
      <c r="I293" t="s">
        <v>23</v>
      </c>
      <c r="J293" s="28" t="s">
        <v>370</v>
      </c>
      <c r="K293" s="32"/>
      <c r="L293" s="32">
        <v>1</v>
      </c>
      <c r="M293" s="30">
        <v>45969</v>
      </c>
      <c r="N293" s="30">
        <v>46022</v>
      </c>
      <c r="O293" s="43" t="s">
        <v>24</v>
      </c>
      <c r="P293" s="55" t="s">
        <v>87</v>
      </c>
      <c r="Q293" t="s">
        <v>977</v>
      </c>
      <c r="R293" t="s">
        <v>980</v>
      </c>
    </row>
    <row r="294" spans="1:18" ht="14.45">
      <c r="A294" s="106" t="b">
        <v>0</v>
      </c>
      <c r="B294" t="str" cm="1">
        <f t="array" ref="B294">_xlfn.SINGLE(_xlfn._xlws.FILTER(t_ServiceCatalogue[Onwer],t_ServiceCatalogue[Category]=t_fac25_requirements[[#This Row],[Category]],""))</f>
        <v>NW</v>
      </c>
      <c r="C294" t="s">
        <v>63</v>
      </c>
      <c r="D294" t="str">
        <f>_xlfn._xlws.FILTER(t_Contact[FA Name],t_Contact[FA]=t_fac25_requirements[[#This Row],[FA]],"")</f>
        <v>Logistics</v>
      </c>
      <c r="E294" s="43">
        <v>974</v>
      </c>
      <c r="F294" t="s">
        <v>305</v>
      </c>
      <c r="G294" t="s">
        <v>315</v>
      </c>
      <c r="H294" t="s">
        <v>52</v>
      </c>
      <c r="I294" t="s">
        <v>53</v>
      </c>
      <c r="J294" s="28" t="s">
        <v>370</v>
      </c>
      <c r="K294" s="32"/>
      <c r="L294" s="32">
        <v>4</v>
      </c>
      <c r="M294" s="30">
        <v>45969</v>
      </c>
      <c r="N294" s="30">
        <v>46011</v>
      </c>
      <c r="O294" s="43" t="s">
        <v>54</v>
      </c>
      <c r="P294" s="55" t="s">
        <v>87</v>
      </c>
      <c r="Q294" t="s">
        <v>975</v>
      </c>
      <c r="R294" t="s">
        <v>981</v>
      </c>
    </row>
    <row r="295" spans="1:18" ht="14.45">
      <c r="A295" s="106" t="b">
        <v>1</v>
      </c>
      <c r="B295" t="str" cm="1">
        <f t="array" ref="B295">_xlfn.SINGLE(_xlfn._xlws.FILTER(t_ServiceCatalogue[Onwer],t_ServiceCatalogue[Category]=t_fac25_requirements[[#This Row],[Category]],""))</f>
        <v>EU</v>
      </c>
      <c r="C295" t="s">
        <v>63</v>
      </c>
      <c r="D295" t="str">
        <f>_xlfn._xlws.FILTER(t_Contact[FA Name],t_Contact[FA]=t_fac25_requirements[[#This Row],[FA]],"")</f>
        <v>Logistics</v>
      </c>
      <c r="E295" s="43">
        <v>974</v>
      </c>
      <c r="F295" t="s">
        <v>305</v>
      </c>
      <c r="G295" t="s">
        <v>315</v>
      </c>
      <c r="H295" t="s">
        <v>22</v>
      </c>
      <c r="I295" t="s">
        <v>23</v>
      </c>
      <c r="J295" s="28" t="s">
        <v>370</v>
      </c>
      <c r="K295" s="32"/>
      <c r="L295" s="32">
        <v>1</v>
      </c>
      <c r="M295" s="30">
        <v>45969</v>
      </c>
      <c r="N295" s="30">
        <v>46011</v>
      </c>
      <c r="O295" s="43" t="s">
        <v>24</v>
      </c>
      <c r="P295" s="55" t="s">
        <v>87</v>
      </c>
      <c r="Q295" t="s">
        <v>977</v>
      </c>
      <c r="R295" t="s">
        <v>982</v>
      </c>
    </row>
    <row r="296" spans="1:18" ht="14.45">
      <c r="A296" s="106" t="b">
        <v>1</v>
      </c>
      <c r="B296" t="str" cm="1">
        <f t="array" ref="B296">_xlfn.SINGLE(_xlfn._xlws.FILTER(t_ServiceCatalogue[Onwer],t_ServiceCatalogue[Category]=t_fac25_requirements[[#This Row],[Category]],""))</f>
        <v>NW</v>
      </c>
      <c r="C296" t="s">
        <v>63</v>
      </c>
      <c r="D296" t="str">
        <f>_xlfn._xlws.FILTER(t_Contact[FA Name],t_Contact[FA]=t_fac25_requirements[[#This Row],[FA]],"")</f>
        <v>Logistics</v>
      </c>
      <c r="E296" t="s">
        <v>208</v>
      </c>
      <c r="F296" t="s">
        <v>305</v>
      </c>
      <c r="G296" t="s">
        <v>315</v>
      </c>
      <c r="H296" t="s">
        <v>52</v>
      </c>
      <c r="I296" t="s">
        <v>53</v>
      </c>
      <c r="J296" s="28" t="s">
        <v>370</v>
      </c>
      <c r="K296" s="32"/>
      <c r="L296" s="32">
        <v>4</v>
      </c>
      <c r="M296" s="30">
        <v>45969</v>
      </c>
      <c r="N296" s="30">
        <v>46019</v>
      </c>
      <c r="O296" s="43" t="s">
        <v>54</v>
      </c>
      <c r="P296" s="55" t="s">
        <v>87</v>
      </c>
      <c r="Q296" t="s">
        <v>975</v>
      </c>
      <c r="R296" t="s">
        <v>983</v>
      </c>
    </row>
    <row r="297" spans="1:18" ht="14.45">
      <c r="A297" s="106" t="b">
        <v>1</v>
      </c>
      <c r="B297" t="str" cm="1">
        <f t="array" ref="B297">_xlfn.SINGLE(_xlfn._xlws.FILTER(t_ServiceCatalogue[Onwer],t_ServiceCatalogue[Category]=t_fac25_requirements[[#This Row],[Category]],""))</f>
        <v>EU</v>
      </c>
      <c r="C297" t="s">
        <v>63</v>
      </c>
      <c r="D297" t="str">
        <f>_xlfn._xlws.FILTER(t_Contact[FA Name],t_Contact[FA]=t_fac25_requirements[[#This Row],[FA]],"")</f>
        <v>Logistics</v>
      </c>
      <c r="E297" t="s">
        <v>208</v>
      </c>
      <c r="F297" t="s">
        <v>305</v>
      </c>
      <c r="G297" t="s">
        <v>315</v>
      </c>
      <c r="H297" t="s">
        <v>22</v>
      </c>
      <c r="I297" t="s">
        <v>23</v>
      </c>
      <c r="J297" s="28" t="s">
        <v>370</v>
      </c>
      <c r="K297" s="32"/>
      <c r="L297" s="32">
        <v>1</v>
      </c>
      <c r="M297" s="30">
        <v>45969</v>
      </c>
      <c r="N297" s="30">
        <v>46019</v>
      </c>
      <c r="O297" s="43" t="s">
        <v>24</v>
      </c>
      <c r="P297" s="55" t="s">
        <v>87</v>
      </c>
      <c r="Q297" t="s">
        <v>977</v>
      </c>
      <c r="R297" t="s">
        <v>984</v>
      </c>
    </row>
    <row r="298" spans="1:18" ht="14.45">
      <c r="A298" s="106" t="b">
        <v>0</v>
      </c>
      <c r="B298" t="str" cm="1">
        <f t="array" ref="B298">_xlfn.SINGLE(_xlfn._xlws.FILTER(t_ServiceCatalogue[Onwer],t_ServiceCatalogue[Category]=t_fac25_requirements[[#This Row],[Category]],""))</f>
        <v>NW</v>
      </c>
      <c r="C298" t="s">
        <v>63</v>
      </c>
      <c r="D298" t="str">
        <f>_xlfn._xlws.FILTER(t_Contact[FA Name],t_Contact[FA]=t_fac25_requirements[[#This Row],[FA]],"")</f>
        <v>Logistics</v>
      </c>
      <c r="E298" t="s">
        <v>212</v>
      </c>
      <c r="F298" t="s">
        <v>288</v>
      </c>
      <c r="G298" t="s">
        <v>315</v>
      </c>
      <c r="H298" t="s">
        <v>52</v>
      </c>
      <c r="I298" t="s">
        <v>53</v>
      </c>
      <c r="J298" s="28" t="s">
        <v>370</v>
      </c>
      <c r="K298" s="32"/>
      <c r="L298" s="32">
        <v>4</v>
      </c>
      <c r="M298" s="30">
        <v>45969</v>
      </c>
      <c r="N298" s="30">
        <v>46016</v>
      </c>
      <c r="O298" s="43" t="s">
        <v>54</v>
      </c>
      <c r="P298" s="55" t="s">
        <v>87</v>
      </c>
      <c r="Q298" t="s">
        <v>975</v>
      </c>
      <c r="R298" t="s">
        <v>985</v>
      </c>
    </row>
    <row r="299" spans="1:18" ht="14.45">
      <c r="A299" s="106" t="b">
        <v>1</v>
      </c>
      <c r="B299" t="str" cm="1">
        <f t="array" ref="B299">_xlfn.SINGLE(_xlfn._xlws.FILTER(t_ServiceCatalogue[Onwer],t_ServiceCatalogue[Category]=t_fac25_requirements[[#This Row],[Category]],""))</f>
        <v>EU</v>
      </c>
      <c r="C299" t="s">
        <v>63</v>
      </c>
      <c r="D299" t="str">
        <f>_xlfn._xlws.FILTER(t_Contact[FA Name],t_Contact[FA]=t_fac25_requirements[[#This Row],[FA]],"")</f>
        <v>Logistics</v>
      </c>
      <c r="E299" t="s">
        <v>212</v>
      </c>
      <c r="F299" t="s">
        <v>288</v>
      </c>
      <c r="G299" t="s">
        <v>315</v>
      </c>
      <c r="H299" t="s">
        <v>22</v>
      </c>
      <c r="I299" t="s">
        <v>23</v>
      </c>
      <c r="J299" s="28" t="s">
        <v>370</v>
      </c>
      <c r="K299" s="32"/>
      <c r="L299" s="32">
        <v>1</v>
      </c>
      <c r="M299" s="30">
        <v>45969</v>
      </c>
      <c r="N299" s="30">
        <v>46016</v>
      </c>
      <c r="O299" s="43" t="s">
        <v>24</v>
      </c>
      <c r="P299" s="55" t="s">
        <v>87</v>
      </c>
      <c r="Q299" t="s">
        <v>977</v>
      </c>
      <c r="R299" t="s">
        <v>986</v>
      </c>
    </row>
    <row r="300" spans="1:18" ht="14.45">
      <c r="A300" s="106" t="b">
        <v>0</v>
      </c>
      <c r="B300" t="str" cm="1">
        <f t="array" ref="B300">_xlfn.SINGLE(_xlfn._xlws.FILTER(t_ServiceCatalogue[Onwer],t_ServiceCatalogue[Category]=t_fac25_requirements[[#This Row],[Category]],""))</f>
        <v>NW</v>
      </c>
      <c r="C300" t="s">
        <v>63</v>
      </c>
      <c r="D300" t="str">
        <f>_xlfn._xlws.FILTER(t_Contact[FA Name],t_Contact[FA]=t_fac25_requirements[[#This Row],[FA]],"")</f>
        <v>Logistics</v>
      </c>
      <c r="E300" t="s">
        <v>213</v>
      </c>
      <c r="F300" t="s">
        <v>288</v>
      </c>
      <c r="G300" t="s">
        <v>315</v>
      </c>
      <c r="H300" t="s">
        <v>52</v>
      </c>
      <c r="I300" t="s">
        <v>53</v>
      </c>
      <c r="J300" s="28" t="s">
        <v>370</v>
      </c>
      <c r="K300" s="32"/>
      <c r="L300" s="32">
        <v>4</v>
      </c>
      <c r="M300" s="30">
        <v>45963</v>
      </c>
      <c r="N300" s="30">
        <v>46022</v>
      </c>
      <c r="O300" s="43" t="s">
        <v>54</v>
      </c>
      <c r="P300" s="55" t="s">
        <v>87</v>
      </c>
      <c r="Q300" t="s">
        <v>975</v>
      </c>
      <c r="R300" t="s">
        <v>987</v>
      </c>
    </row>
    <row r="301" spans="1:18" ht="14.45">
      <c r="A301" s="106" t="b">
        <v>1</v>
      </c>
      <c r="B301" t="str" cm="1">
        <f t="array" ref="B301">_xlfn.SINGLE(_xlfn._xlws.FILTER(t_ServiceCatalogue[Onwer],t_ServiceCatalogue[Category]=t_fac25_requirements[[#This Row],[Category]],""))</f>
        <v>EU</v>
      </c>
      <c r="C301" t="s">
        <v>63</v>
      </c>
      <c r="D301" t="str">
        <f>_xlfn._xlws.FILTER(t_Contact[FA Name],t_Contact[FA]=t_fac25_requirements[[#This Row],[FA]],"")</f>
        <v>Logistics</v>
      </c>
      <c r="E301" t="s">
        <v>213</v>
      </c>
      <c r="F301" t="s">
        <v>288</v>
      </c>
      <c r="G301" t="s">
        <v>315</v>
      </c>
      <c r="H301" t="s">
        <v>22</v>
      </c>
      <c r="I301" t="s">
        <v>23</v>
      </c>
      <c r="J301" s="28" t="s">
        <v>370</v>
      </c>
      <c r="K301" s="32"/>
      <c r="L301" s="32">
        <v>1</v>
      </c>
      <c r="M301" s="30">
        <v>45963</v>
      </c>
      <c r="N301" s="30">
        <v>46022</v>
      </c>
      <c r="O301" s="43" t="s">
        <v>24</v>
      </c>
      <c r="P301" s="55" t="s">
        <v>87</v>
      </c>
      <c r="Q301" t="s">
        <v>977</v>
      </c>
      <c r="R301" t="s">
        <v>988</v>
      </c>
    </row>
    <row r="302" spans="1:18" ht="14.45">
      <c r="A302" s="106" t="b">
        <v>1</v>
      </c>
      <c r="B302" t="str" cm="1">
        <f t="array" ref="B302">_xlfn.SINGLE(_xlfn._xlws.FILTER(t_ServiceCatalogue[Onwer],t_ServiceCatalogue[Category]=t_fac25_requirements[[#This Row],[Category]],""))</f>
        <v>NW</v>
      </c>
      <c r="C302" t="s">
        <v>63</v>
      </c>
      <c r="D302" t="str">
        <f>_xlfn._xlws.FILTER(t_Contact[FA Name],t_Contact[FA]=t_fac25_requirements[[#This Row],[FA]],"")</f>
        <v>Logistics</v>
      </c>
      <c r="E302" t="s">
        <v>211</v>
      </c>
      <c r="F302" t="s">
        <v>288</v>
      </c>
      <c r="G302" t="s">
        <v>315</v>
      </c>
      <c r="H302" t="s">
        <v>46</v>
      </c>
      <c r="I302" t="s">
        <v>47</v>
      </c>
      <c r="J302" s="28" t="s">
        <v>637</v>
      </c>
      <c r="K302" s="32">
        <v>4</v>
      </c>
      <c r="L302" s="32">
        <v>0</v>
      </c>
      <c r="M302" s="30">
        <v>45968</v>
      </c>
      <c r="N302" s="30">
        <v>46019</v>
      </c>
      <c r="O302" s="43" t="s">
        <v>48</v>
      </c>
      <c r="P302" s="55" t="s">
        <v>989</v>
      </c>
      <c r="R302" t="s">
        <v>990</v>
      </c>
    </row>
    <row r="303" spans="1:18" ht="14.45">
      <c r="A303" s="106" t="b">
        <v>1</v>
      </c>
      <c r="B303" t="str" cm="1">
        <f t="array" ref="B303">_xlfn.SINGLE(_xlfn._xlws.FILTER(t_ServiceCatalogue[Onwer],t_ServiceCatalogue[Category]=t_fac25_requirements[[#This Row],[Category]],""))</f>
        <v>NW</v>
      </c>
      <c r="C303" t="s">
        <v>63</v>
      </c>
      <c r="D303" t="str">
        <f>_xlfn._xlws.FILTER(t_Contact[FA Name],t_Contact[FA]=t_fac25_requirements[[#This Row],[FA]],"")</f>
        <v>Logistics</v>
      </c>
      <c r="E303" t="s">
        <v>214</v>
      </c>
      <c r="F303" t="s">
        <v>288</v>
      </c>
      <c r="G303" t="s">
        <v>315</v>
      </c>
      <c r="H303" t="s">
        <v>46</v>
      </c>
      <c r="I303" t="s">
        <v>47</v>
      </c>
      <c r="J303" s="28" t="s">
        <v>637</v>
      </c>
      <c r="K303" s="32">
        <v>4</v>
      </c>
      <c r="L303" s="32">
        <v>0</v>
      </c>
      <c r="M303" s="30">
        <v>45969</v>
      </c>
      <c r="N303" s="30">
        <v>46022</v>
      </c>
      <c r="O303" s="43" t="s">
        <v>48</v>
      </c>
      <c r="P303" s="55" t="s">
        <v>989</v>
      </c>
      <c r="R303" t="s">
        <v>991</v>
      </c>
    </row>
    <row r="304" spans="1:18" ht="14.45">
      <c r="A304" s="106" t="b">
        <v>1</v>
      </c>
      <c r="B304" t="str" cm="1">
        <f t="array" ref="B304">_xlfn.SINGLE(_xlfn._xlws.FILTER(t_ServiceCatalogue[Onwer],t_ServiceCatalogue[Category]=t_fac25_requirements[[#This Row],[Category]],""))</f>
        <v>NW</v>
      </c>
      <c r="C304" t="s">
        <v>63</v>
      </c>
      <c r="D304" t="str">
        <f>_xlfn._xlws.FILTER(t_Contact[FA Name],t_Contact[FA]=t_fac25_requirements[[#This Row],[FA]],"")</f>
        <v>Logistics</v>
      </c>
      <c r="E304" s="43">
        <v>974</v>
      </c>
      <c r="F304" t="s">
        <v>288</v>
      </c>
      <c r="G304" t="s">
        <v>315</v>
      </c>
      <c r="H304" t="s">
        <v>46</v>
      </c>
      <c r="I304" t="s">
        <v>47</v>
      </c>
      <c r="J304" s="28" t="s">
        <v>637</v>
      </c>
      <c r="K304" s="32">
        <v>4</v>
      </c>
      <c r="L304" s="32">
        <v>0</v>
      </c>
      <c r="M304" s="30">
        <v>45969</v>
      </c>
      <c r="N304" s="30">
        <v>46011</v>
      </c>
      <c r="O304" s="43" t="s">
        <v>48</v>
      </c>
      <c r="P304" s="55" t="s">
        <v>989</v>
      </c>
      <c r="R304" t="s">
        <v>992</v>
      </c>
    </row>
    <row r="305" spans="1:18" ht="14.45">
      <c r="A305" s="106" t="b">
        <v>1</v>
      </c>
      <c r="B305" t="str" cm="1">
        <f t="array" ref="B305">_xlfn.SINGLE(_xlfn._xlws.FILTER(t_ServiceCatalogue[Onwer],t_ServiceCatalogue[Category]=t_fac25_requirements[[#This Row],[Category]],""))</f>
        <v>NW</v>
      </c>
      <c r="C305" t="s">
        <v>63</v>
      </c>
      <c r="D305" t="str">
        <f>_xlfn._xlws.FILTER(t_Contact[FA Name],t_Contact[FA]=t_fac25_requirements[[#This Row],[FA]],"")</f>
        <v>Logistics</v>
      </c>
      <c r="E305" t="s">
        <v>208</v>
      </c>
      <c r="F305" t="s">
        <v>288</v>
      </c>
      <c r="G305" t="s">
        <v>315</v>
      </c>
      <c r="H305" t="s">
        <v>46</v>
      </c>
      <c r="I305" t="s">
        <v>47</v>
      </c>
      <c r="J305" s="28" t="s">
        <v>637</v>
      </c>
      <c r="K305" s="32">
        <v>4</v>
      </c>
      <c r="L305" s="32">
        <v>0</v>
      </c>
      <c r="M305" s="30">
        <v>45969</v>
      </c>
      <c r="N305" s="30">
        <v>46019</v>
      </c>
      <c r="O305" s="43" t="s">
        <v>48</v>
      </c>
      <c r="P305" s="55" t="s">
        <v>989</v>
      </c>
      <c r="R305" t="s">
        <v>993</v>
      </c>
    </row>
    <row r="306" spans="1:18" ht="14.45">
      <c r="A306" s="106" t="b">
        <v>1</v>
      </c>
      <c r="B306" t="str" cm="1">
        <f t="array" ref="B306">_xlfn.SINGLE(_xlfn._xlws.FILTER(t_ServiceCatalogue[Onwer],t_ServiceCatalogue[Category]=t_fac25_requirements[[#This Row],[Category]],""))</f>
        <v>NW</v>
      </c>
      <c r="C306" t="s">
        <v>63</v>
      </c>
      <c r="D306" t="str">
        <f>_xlfn._xlws.FILTER(t_Contact[FA Name],t_Contact[FA]=t_fac25_requirements[[#This Row],[FA]],"")</f>
        <v>Logistics</v>
      </c>
      <c r="E306" t="s">
        <v>212</v>
      </c>
      <c r="F306" t="s">
        <v>288</v>
      </c>
      <c r="G306" t="s">
        <v>315</v>
      </c>
      <c r="H306" t="s">
        <v>46</v>
      </c>
      <c r="I306" t="s">
        <v>47</v>
      </c>
      <c r="J306" s="28" t="s">
        <v>637</v>
      </c>
      <c r="K306" s="32">
        <v>4</v>
      </c>
      <c r="L306" s="32">
        <v>0</v>
      </c>
      <c r="M306" s="30">
        <v>45969</v>
      </c>
      <c r="N306" s="30">
        <v>46016</v>
      </c>
      <c r="O306" s="43" t="s">
        <v>48</v>
      </c>
      <c r="P306" s="55" t="s">
        <v>989</v>
      </c>
      <c r="R306" t="s">
        <v>994</v>
      </c>
    </row>
    <row r="307" spans="1:18" ht="14.45">
      <c r="A307" s="106" t="b">
        <v>1</v>
      </c>
      <c r="B307" t="str" cm="1">
        <f t="array" ref="B307">_xlfn.SINGLE(_xlfn._xlws.FILTER(t_ServiceCatalogue[Onwer],t_ServiceCatalogue[Category]=t_fac25_requirements[[#This Row],[Category]],""))</f>
        <v>NW</v>
      </c>
      <c r="C307" t="s">
        <v>63</v>
      </c>
      <c r="D307" t="str">
        <f>_xlfn._xlws.FILTER(t_Contact[FA Name],t_Contact[FA]=t_fac25_requirements[[#This Row],[FA]],"")</f>
        <v>Logistics</v>
      </c>
      <c r="E307" t="s">
        <v>213</v>
      </c>
      <c r="F307" t="s">
        <v>288</v>
      </c>
      <c r="G307" t="s">
        <v>315</v>
      </c>
      <c r="H307" t="s">
        <v>46</v>
      </c>
      <c r="I307" t="s">
        <v>47</v>
      </c>
      <c r="J307" s="28" t="s">
        <v>637</v>
      </c>
      <c r="K307" s="32">
        <v>4</v>
      </c>
      <c r="L307" s="32">
        <v>0</v>
      </c>
      <c r="M307" s="30">
        <v>45963</v>
      </c>
      <c r="N307" s="30">
        <v>46022</v>
      </c>
      <c r="O307" s="43" t="s">
        <v>48</v>
      </c>
      <c r="P307" s="55" t="s">
        <v>989</v>
      </c>
      <c r="R307" t="s">
        <v>995</v>
      </c>
    </row>
    <row r="308" spans="1:18" ht="43.15">
      <c r="A308" s="106" t="b">
        <v>1</v>
      </c>
      <c r="B308" t="str" cm="1">
        <f t="array" ref="B308">_xlfn.SINGLE(_xlfn._xlws.FILTER(t_ServiceCatalogue[Onwer],t_ServiceCatalogue[Category]=t_fac25_requirements[[#This Row],[Category]],""))</f>
        <v>EU</v>
      </c>
      <c r="C308" t="s">
        <v>63</v>
      </c>
      <c r="D308" t="str">
        <f>_xlfn._xlws.FILTER(t_Contact[FA Name],t_Contact[FA]=t_fac25_requirements[[#This Row],[FA]],"")</f>
        <v>Logistics</v>
      </c>
      <c r="E308" t="s">
        <v>19</v>
      </c>
      <c r="F308" t="s">
        <v>64</v>
      </c>
      <c r="G308" t="s">
        <v>65</v>
      </c>
      <c r="H308" t="s">
        <v>32</v>
      </c>
      <c r="I308" t="s">
        <v>33</v>
      </c>
      <c r="J308" s="28" t="s">
        <v>370</v>
      </c>
      <c r="K308" s="32"/>
      <c r="L308" s="32">
        <v>1</v>
      </c>
      <c r="M308" s="30">
        <v>45962</v>
      </c>
      <c r="N308" s="30">
        <v>46004</v>
      </c>
      <c r="O308" s="43" t="s">
        <v>34</v>
      </c>
      <c r="P308" s="70" t="s">
        <v>996</v>
      </c>
      <c r="R308" t="s">
        <v>997</v>
      </c>
    </row>
    <row r="309" spans="1:18" ht="43.15">
      <c r="A309" s="106" t="b">
        <v>1</v>
      </c>
      <c r="B309" t="str" cm="1">
        <f t="array" ref="B309">_xlfn.SINGLE(_xlfn._xlws.FILTER(t_ServiceCatalogue[Onwer],t_ServiceCatalogue[Category]=t_fac25_requirements[[#This Row],[Category]],""))</f>
        <v>EU</v>
      </c>
      <c r="C309" t="s">
        <v>63</v>
      </c>
      <c r="D309" t="str">
        <f>_xlfn._xlws.FILTER(t_Contact[FA Name],t_Contact[FA]=t_fac25_requirements[[#This Row],[FA]],"")</f>
        <v>Logistics</v>
      </c>
      <c r="E309" t="s">
        <v>19</v>
      </c>
      <c r="F309" t="s">
        <v>64</v>
      </c>
      <c r="G309" t="s">
        <v>65</v>
      </c>
      <c r="H309" t="s">
        <v>22</v>
      </c>
      <c r="I309" t="s">
        <v>23</v>
      </c>
      <c r="J309" s="28" t="s">
        <v>370</v>
      </c>
      <c r="K309" s="32"/>
      <c r="L309" s="32">
        <v>1</v>
      </c>
      <c r="M309" s="30">
        <v>45962</v>
      </c>
      <c r="N309" s="30">
        <v>46004</v>
      </c>
      <c r="O309" s="43" t="s">
        <v>24</v>
      </c>
      <c r="P309" s="70" t="s">
        <v>998</v>
      </c>
      <c r="Q309" t="s">
        <v>67</v>
      </c>
      <c r="R309" t="s">
        <v>999</v>
      </c>
    </row>
    <row r="310" spans="1:18" ht="57.6">
      <c r="A310" s="106" t="b">
        <v>1</v>
      </c>
      <c r="B310" t="str" cm="1">
        <f t="array" ref="B310">_xlfn.SINGLE(_xlfn._xlws.FILTER(t_ServiceCatalogue[Onwer],t_ServiceCatalogue[Category]=t_fac25_requirements[[#This Row],[Category]],""))</f>
        <v>Telco/SIM</v>
      </c>
      <c r="C310" t="s">
        <v>63</v>
      </c>
      <c r="D310" t="str">
        <f>_xlfn._xlws.FILTER(t_Contact[FA Name],t_Contact[FA]=t_fac25_requirements[[#This Row],[FA]],"")</f>
        <v>Logistics</v>
      </c>
      <c r="E310" t="s">
        <v>19</v>
      </c>
      <c r="F310" t="s">
        <v>64</v>
      </c>
      <c r="G310" t="s">
        <v>65</v>
      </c>
      <c r="H310" t="s">
        <v>84</v>
      </c>
      <c r="I310" t="s">
        <v>165</v>
      </c>
      <c r="J310" s="28" t="s">
        <v>370</v>
      </c>
      <c r="K310" s="32"/>
      <c r="L310" s="32">
        <v>1</v>
      </c>
      <c r="M310" s="30">
        <v>45962</v>
      </c>
      <c r="N310" s="30">
        <v>46004</v>
      </c>
      <c r="O310" s="43" t="s">
        <v>166</v>
      </c>
      <c r="P310" s="70" t="s">
        <v>1000</v>
      </c>
      <c r="Q310" t="s">
        <v>69</v>
      </c>
      <c r="R310" t="s">
        <v>1001</v>
      </c>
    </row>
    <row r="311" spans="1:18" ht="28.9">
      <c r="A311" s="106" t="b">
        <v>1</v>
      </c>
      <c r="B311" t="str" cm="1">
        <f t="array" ref="B311">_xlfn.SINGLE(_xlfn._xlws.FILTER(t_ServiceCatalogue[Onwer],t_ServiceCatalogue[Category]=t_fac25_requirements[[#This Row],[Category]],""))</f>
        <v>EU</v>
      </c>
      <c r="C311" t="s">
        <v>137</v>
      </c>
      <c r="D311" t="str">
        <f>_xlfn._xlws.FILTER(t_Contact[FA Name],t_Contact[FA]=t_fac25_requirements[[#This Row],[FA]],"")</f>
        <v>Mobility</v>
      </c>
      <c r="E311" t="s">
        <v>19</v>
      </c>
      <c r="F311" s="28" t="s">
        <v>71</v>
      </c>
      <c r="G311" t="s">
        <v>477</v>
      </c>
      <c r="H311" t="s">
        <v>32</v>
      </c>
      <c r="I311" t="s">
        <v>33</v>
      </c>
      <c r="J311" s="28" t="s">
        <v>370</v>
      </c>
      <c r="K311" s="32"/>
      <c r="L311" s="32">
        <v>2</v>
      </c>
      <c r="M311" s="30">
        <v>45931</v>
      </c>
      <c r="N311" s="30">
        <v>46007</v>
      </c>
      <c r="O311" s="43" t="s">
        <v>34</v>
      </c>
      <c r="P311" s="70" t="s">
        <v>1002</v>
      </c>
      <c r="Q311" s="134" t="s">
        <v>1003</v>
      </c>
      <c r="R311" t="s">
        <v>1004</v>
      </c>
    </row>
    <row r="312" spans="1:18" ht="28.9">
      <c r="A312" s="106" t="b">
        <v>1</v>
      </c>
      <c r="B312" t="str" cm="1">
        <f t="array" ref="B312">_xlfn.SINGLE(_xlfn._xlws.FILTER(t_ServiceCatalogue[Onwer],t_ServiceCatalogue[Category]=t_fac25_requirements[[#This Row],[Category]],""))</f>
        <v>EU</v>
      </c>
      <c r="C312" t="s">
        <v>137</v>
      </c>
      <c r="D312" t="str">
        <f>_xlfn._xlws.FILTER(t_Contact[FA Name],t_Contact[FA]=t_fac25_requirements[[#This Row],[FA]],"")</f>
        <v>Mobility</v>
      </c>
      <c r="E312" t="s">
        <v>19</v>
      </c>
      <c r="F312" s="28" t="s">
        <v>71</v>
      </c>
      <c r="G312" t="s">
        <v>477</v>
      </c>
      <c r="H312" t="s">
        <v>32</v>
      </c>
      <c r="I312" t="s">
        <v>94</v>
      </c>
      <c r="J312" s="28" t="s">
        <v>370</v>
      </c>
      <c r="K312" s="32"/>
      <c r="L312" s="32">
        <v>2</v>
      </c>
      <c r="M312" s="30">
        <v>45931</v>
      </c>
      <c r="N312" s="30">
        <v>46007</v>
      </c>
      <c r="O312" s="43" t="s">
        <v>95</v>
      </c>
      <c r="P312" s="70" t="s">
        <v>1002</v>
      </c>
      <c r="R312" t="s">
        <v>1005</v>
      </c>
    </row>
    <row r="313" spans="1:18" ht="14.45">
      <c r="A313" s="106" t="b">
        <v>1</v>
      </c>
      <c r="B313" t="str" cm="1">
        <f t="array" ref="B313">_xlfn.SINGLE(_xlfn._xlws.FILTER(t_ServiceCatalogue[Onwer],t_ServiceCatalogue[Category]=t_fac25_requirements[[#This Row],[Category]],""))</f>
        <v>NW</v>
      </c>
      <c r="C313" t="s">
        <v>137</v>
      </c>
      <c r="D313" t="str">
        <f>_xlfn._xlws.FILTER(t_Contact[FA Name],t_Contact[FA]=t_fac25_requirements[[#This Row],[FA]],"")</f>
        <v>Mobility</v>
      </c>
      <c r="E313" t="s">
        <v>19</v>
      </c>
      <c r="F313" s="28" t="s">
        <v>71</v>
      </c>
      <c r="G313" t="s">
        <v>477</v>
      </c>
      <c r="H313" t="s">
        <v>52</v>
      </c>
      <c r="I313" t="s">
        <v>53</v>
      </c>
      <c r="J313" s="28" t="s">
        <v>370</v>
      </c>
      <c r="K313" s="32"/>
      <c r="L313" s="32">
        <v>1</v>
      </c>
      <c r="M313" s="30">
        <v>45931</v>
      </c>
      <c r="N313" s="30">
        <v>46007</v>
      </c>
      <c r="O313" s="43" t="s">
        <v>54</v>
      </c>
      <c r="P313" s="55" t="s">
        <v>1006</v>
      </c>
      <c r="R313" t="s">
        <v>1007</v>
      </c>
    </row>
    <row r="314" spans="1:18" ht="14.45">
      <c r="A314" s="106" t="b">
        <v>0</v>
      </c>
      <c r="B314" t="str" cm="1">
        <f t="array" ref="B314">_xlfn.SINGLE(_xlfn._xlws.FILTER(t_ServiceCatalogue[Onwer],t_ServiceCatalogue[Category]=t_fac25_requirements[[#This Row],[Category]],""))</f>
        <v>EU</v>
      </c>
      <c r="C314" t="s">
        <v>197</v>
      </c>
      <c r="D314" t="str">
        <f>_xlfn._xlws.FILTER(t_Contact[FA Name],t_Contact[FA]=t_fac25_requirements[[#This Row],[FA]],"")</f>
        <v>SSOC</v>
      </c>
      <c r="E314" t="s">
        <v>214</v>
      </c>
      <c r="F314" t="s">
        <v>305</v>
      </c>
      <c r="G314" t="s">
        <v>425</v>
      </c>
      <c r="H314" t="s">
        <v>22</v>
      </c>
      <c r="I314" t="s">
        <v>23</v>
      </c>
      <c r="J314" s="28" t="s">
        <v>370</v>
      </c>
      <c r="K314" s="32"/>
      <c r="L314" s="32">
        <v>1</v>
      </c>
      <c r="M314" s="30">
        <v>45956</v>
      </c>
      <c r="N314" s="30">
        <v>46011</v>
      </c>
      <c r="O314" s="43" t="s">
        <v>29</v>
      </c>
      <c r="P314" s="55" t="s">
        <v>1008</v>
      </c>
      <c r="Q314" t="s">
        <v>1009</v>
      </c>
      <c r="R314" t="s">
        <v>1010</v>
      </c>
    </row>
    <row r="315" spans="1:18" ht="14.45">
      <c r="A315" s="106" t="b">
        <v>1</v>
      </c>
      <c r="B315" t="str" cm="1">
        <f t="array" ref="B315">_xlfn.SINGLE(_xlfn._xlws.FILTER(t_ServiceCatalogue[Onwer],t_ServiceCatalogue[Category]=t_fac25_requirements[[#This Row],[Category]],""))</f>
        <v>AV</v>
      </c>
      <c r="C315" t="s">
        <v>197</v>
      </c>
      <c r="D315" t="str">
        <f>_xlfn._xlws.FILTER(t_Contact[FA Name],t_Contact[FA]=t_fac25_requirements[[#This Row],[FA]],"")</f>
        <v>SSOC</v>
      </c>
      <c r="E315" t="s">
        <v>214</v>
      </c>
      <c r="F315" t="s">
        <v>305</v>
      </c>
      <c r="G315" t="s">
        <v>319</v>
      </c>
      <c r="H315" t="s">
        <v>110</v>
      </c>
      <c r="I315" t="s">
        <v>111</v>
      </c>
      <c r="J315" s="28" t="s">
        <v>370</v>
      </c>
      <c r="K315" s="32"/>
      <c r="L315" s="32">
        <v>1</v>
      </c>
      <c r="M315" s="30">
        <v>45956</v>
      </c>
      <c r="N315" s="30">
        <v>46011</v>
      </c>
      <c r="O315" s="43" t="s">
        <v>112</v>
      </c>
      <c r="P315" s="55" t="s">
        <v>1011</v>
      </c>
      <c r="R315" t="s">
        <v>1012</v>
      </c>
    </row>
    <row r="316" spans="1:18" ht="14.45">
      <c r="A316" s="106" t="b">
        <v>0</v>
      </c>
      <c r="B316" t="str" cm="1">
        <f t="array" ref="B316">_xlfn.SINGLE(_xlfn._xlws.FILTER(t_ServiceCatalogue[Onwer],t_ServiceCatalogue[Category]=t_fac25_requirements[[#This Row],[Category]],""))</f>
        <v>NW</v>
      </c>
      <c r="C316" t="s">
        <v>197</v>
      </c>
      <c r="D316" t="str">
        <f>_xlfn._xlws.FILTER(t_Contact[FA Name],t_Contact[FA]=t_fac25_requirements[[#This Row],[FA]],"")</f>
        <v>SSOC</v>
      </c>
      <c r="E316" t="s">
        <v>214</v>
      </c>
      <c r="F316" t="s">
        <v>305</v>
      </c>
      <c r="G316" t="s">
        <v>318</v>
      </c>
      <c r="H316" t="s">
        <v>52</v>
      </c>
      <c r="I316" t="s">
        <v>53</v>
      </c>
      <c r="J316" s="28" t="s">
        <v>370</v>
      </c>
      <c r="K316" s="32"/>
      <c r="L316" s="32">
        <v>1</v>
      </c>
      <c r="M316" s="30">
        <v>45956</v>
      </c>
      <c r="N316" s="30">
        <v>46011</v>
      </c>
      <c r="O316" s="43" t="s">
        <v>54</v>
      </c>
      <c r="P316" s="55"/>
      <c r="R316" t="s">
        <v>1013</v>
      </c>
    </row>
    <row r="317" spans="1:18" ht="14.45">
      <c r="A317" s="106" t="b">
        <v>0</v>
      </c>
      <c r="B317" t="str" cm="1">
        <f t="array" ref="B317">_xlfn.SINGLE(_xlfn._xlws.FILTER(t_ServiceCatalogue[Onwer],t_ServiceCatalogue[Category]=t_fac25_requirements[[#This Row],[Category]],""))</f>
        <v>NW</v>
      </c>
      <c r="C317" t="s">
        <v>197</v>
      </c>
      <c r="D317" t="str">
        <f>_xlfn._xlws.FILTER(t_Contact[FA Name],t_Contact[FA]=t_fac25_requirements[[#This Row],[FA]],"")</f>
        <v>SSOC</v>
      </c>
      <c r="E317" t="s">
        <v>214</v>
      </c>
      <c r="F317" t="s">
        <v>305</v>
      </c>
      <c r="G317" t="s">
        <v>306</v>
      </c>
      <c r="H317" t="s">
        <v>52</v>
      </c>
      <c r="I317" t="s">
        <v>53</v>
      </c>
      <c r="J317" s="28" t="s">
        <v>407</v>
      </c>
      <c r="K317" s="32"/>
      <c r="L317" s="32">
        <v>1</v>
      </c>
      <c r="M317" s="30">
        <v>45956</v>
      </c>
      <c r="N317" s="30">
        <v>46011</v>
      </c>
      <c r="O317" s="43" t="s">
        <v>54</v>
      </c>
      <c r="P317" s="55" t="s">
        <v>379</v>
      </c>
      <c r="R317" t="s">
        <v>1014</v>
      </c>
    </row>
    <row r="318" spans="1:18" ht="14.45">
      <c r="A318" s="106" t="b">
        <v>0</v>
      </c>
      <c r="B318" t="str" cm="1">
        <f t="array" ref="B318">_xlfn.SINGLE(_xlfn._xlws.FILTER(t_ServiceCatalogue[Onwer],t_ServiceCatalogue[Category]=t_fac25_requirements[[#This Row],[Category]],""))</f>
        <v>NW</v>
      </c>
      <c r="C318" t="s">
        <v>197</v>
      </c>
      <c r="D318" t="str">
        <f>_xlfn._xlws.FILTER(t_Contact[FA Name],t_Contact[FA]=t_fac25_requirements[[#This Row],[FA]],"")</f>
        <v>SSOC</v>
      </c>
      <c r="E318" t="s">
        <v>214</v>
      </c>
      <c r="F318" t="s">
        <v>305</v>
      </c>
      <c r="G318" t="s">
        <v>322</v>
      </c>
      <c r="H318" t="s">
        <v>52</v>
      </c>
      <c r="I318" t="s">
        <v>53</v>
      </c>
      <c r="J318" s="28" t="s">
        <v>370</v>
      </c>
      <c r="K318" s="32"/>
      <c r="L318" s="32">
        <v>1</v>
      </c>
      <c r="M318" s="30">
        <v>45956</v>
      </c>
      <c r="N318" s="30">
        <v>46011</v>
      </c>
      <c r="O318" s="43" t="s">
        <v>54</v>
      </c>
      <c r="P318" s="55"/>
      <c r="R318" t="s">
        <v>1015</v>
      </c>
    </row>
    <row r="319" spans="1:18" ht="14.45">
      <c r="A319" s="106" t="b">
        <v>1</v>
      </c>
      <c r="B319" t="str" cm="1">
        <f t="array" ref="B319">_xlfn.SINGLE(_xlfn._xlws.FILTER(t_ServiceCatalogue[Onwer],t_ServiceCatalogue[Category]=t_fac25_requirements[[#This Row],[Category]],""))</f>
        <v>EU</v>
      </c>
      <c r="C319" t="s">
        <v>197</v>
      </c>
      <c r="D319" t="str">
        <f>_xlfn._xlws.FILTER(t_Contact[FA Name],t_Contact[FA]=t_fac25_requirements[[#This Row],[FA]],"")</f>
        <v>SSOC</v>
      </c>
      <c r="E319" t="s">
        <v>208</v>
      </c>
      <c r="F319" t="s">
        <v>305</v>
      </c>
      <c r="G319" t="s">
        <v>425</v>
      </c>
      <c r="H319" t="s">
        <v>22</v>
      </c>
      <c r="I319" t="s">
        <v>23</v>
      </c>
      <c r="J319" s="28" t="s">
        <v>370</v>
      </c>
      <c r="K319" s="32"/>
      <c r="L319" s="32">
        <v>1</v>
      </c>
      <c r="M319" s="30">
        <v>45956</v>
      </c>
      <c r="N319" s="30">
        <v>46010</v>
      </c>
      <c r="O319" s="43" t="s">
        <v>29</v>
      </c>
      <c r="P319" s="55" t="s">
        <v>1008</v>
      </c>
      <c r="Q319" t="s">
        <v>1009</v>
      </c>
      <c r="R319" t="s">
        <v>1016</v>
      </c>
    </row>
    <row r="320" spans="1:18" ht="14.45">
      <c r="A320" s="106" t="b">
        <v>0</v>
      </c>
      <c r="B320" t="str" cm="1">
        <f t="array" ref="B320">_xlfn.SINGLE(_xlfn._xlws.FILTER(t_ServiceCatalogue[Onwer],t_ServiceCatalogue[Category]=t_fac25_requirements[[#This Row],[Category]],""))</f>
        <v>AV</v>
      </c>
      <c r="C320" t="s">
        <v>197</v>
      </c>
      <c r="D320" t="str">
        <f>_xlfn._xlws.FILTER(t_Contact[FA Name],t_Contact[FA]=t_fac25_requirements[[#This Row],[FA]],"")</f>
        <v>SSOC</v>
      </c>
      <c r="E320" t="s">
        <v>208</v>
      </c>
      <c r="F320" t="s">
        <v>305</v>
      </c>
      <c r="G320" t="s">
        <v>319</v>
      </c>
      <c r="H320" t="s">
        <v>110</v>
      </c>
      <c r="I320" t="s">
        <v>111</v>
      </c>
      <c r="J320" s="28" t="s">
        <v>370</v>
      </c>
      <c r="K320" s="32"/>
      <c r="L320" s="32">
        <v>1</v>
      </c>
      <c r="M320" s="30">
        <v>45956</v>
      </c>
      <c r="N320" s="30">
        <v>46010</v>
      </c>
      <c r="O320" s="43" t="s">
        <v>112</v>
      </c>
      <c r="P320" s="55" t="s">
        <v>1011</v>
      </c>
      <c r="R320" t="s">
        <v>1017</v>
      </c>
    </row>
    <row r="321" spans="1:18" ht="14.45">
      <c r="A321" s="106" t="b">
        <v>1</v>
      </c>
      <c r="B321" t="str" cm="1">
        <f t="array" ref="B321">_xlfn.SINGLE(_xlfn._xlws.FILTER(t_ServiceCatalogue[Onwer],t_ServiceCatalogue[Category]=t_fac25_requirements[[#This Row],[Category]],""))</f>
        <v>NW</v>
      </c>
      <c r="C321" t="s">
        <v>197</v>
      </c>
      <c r="D321" t="str">
        <f>_xlfn._xlws.FILTER(t_Contact[FA Name],t_Contact[FA]=t_fac25_requirements[[#This Row],[FA]],"")</f>
        <v>SSOC</v>
      </c>
      <c r="E321" t="s">
        <v>208</v>
      </c>
      <c r="F321" t="s">
        <v>305</v>
      </c>
      <c r="G321" t="s">
        <v>318</v>
      </c>
      <c r="H321" t="s">
        <v>52</v>
      </c>
      <c r="I321" t="s">
        <v>53</v>
      </c>
      <c r="J321" s="28" t="s">
        <v>370</v>
      </c>
      <c r="K321" s="32"/>
      <c r="L321" s="32">
        <v>1</v>
      </c>
      <c r="M321" s="30">
        <v>45956</v>
      </c>
      <c r="N321" s="30">
        <v>46010</v>
      </c>
      <c r="O321" s="43" t="s">
        <v>54</v>
      </c>
      <c r="P321" s="55"/>
      <c r="R321" t="s">
        <v>1018</v>
      </c>
    </row>
    <row r="322" spans="1:18" ht="14.45">
      <c r="A322" s="106" t="b">
        <v>1</v>
      </c>
      <c r="B322" t="str" cm="1">
        <f t="array" ref="B322">_xlfn.SINGLE(_xlfn._xlws.FILTER(t_ServiceCatalogue[Onwer],t_ServiceCatalogue[Category]=t_fac25_requirements[[#This Row],[Category]],""))</f>
        <v>NW</v>
      </c>
      <c r="C322" t="s">
        <v>197</v>
      </c>
      <c r="D322" t="str">
        <f>_xlfn._xlws.FILTER(t_Contact[FA Name],t_Contact[FA]=t_fac25_requirements[[#This Row],[FA]],"")</f>
        <v>SSOC</v>
      </c>
      <c r="E322" t="s">
        <v>208</v>
      </c>
      <c r="F322" t="s">
        <v>305</v>
      </c>
      <c r="G322" t="s">
        <v>306</v>
      </c>
      <c r="H322" t="s">
        <v>52</v>
      </c>
      <c r="I322" t="s">
        <v>53</v>
      </c>
      <c r="J322" s="28" t="s">
        <v>407</v>
      </c>
      <c r="K322" s="32"/>
      <c r="L322" s="32">
        <v>1</v>
      </c>
      <c r="M322" s="30">
        <v>45956</v>
      </c>
      <c r="N322" s="30">
        <v>46010</v>
      </c>
      <c r="O322" s="43" t="s">
        <v>54</v>
      </c>
      <c r="P322" s="55" t="s">
        <v>379</v>
      </c>
      <c r="R322" t="s">
        <v>1019</v>
      </c>
    </row>
    <row r="323" spans="1:18" ht="14.45">
      <c r="A323" s="106" t="b">
        <v>1</v>
      </c>
      <c r="B323" t="str" cm="1">
        <f t="array" ref="B323">_xlfn.SINGLE(_xlfn._xlws.FILTER(t_ServiceCatalogue[Onwer],t_ServiceCatalogue[Category]=t_fac25_requirements[[#This Row],[Category]],""))</f>
        <v>NW</v>
      </c>
      <c r="C323" t="s">
        <v>197</v>
      </c>
      <c r="D323" t="str">
        <f>_xlfn._xlws.FILTER(t_Contact[FA Name],t_Contact[FA]=t_fac25_requirements[[#This Row],[FA]],"")</f>
        <v>SSOC</v>
      </c>
      <c r="E323" t="s">
        <v>208</v>
      </c>
      <c r="F323" t="s">
        <v>305</v>
      </c>
      <c r="G323" t="s">
        <v>322</v>
      </c>
      <c r="H323" t="s">
        <v>52</v>
      </c>
      <c r="I323" t="s">
        <v>53</v>
      </c>
      <c r="J323" s="28" t="s">
        <v>370</v>
      </c>
      <c r="K323" s="32"/>
      <c r="L323" s="32">
        <v>1</v>
      </c>
      <c r="M323" s="30">
        <v>45956</v>
      </c>
      <c r="N323" s="30">
        <v>46010</v>
      </c>
      <c r="O323" s="43" t="s">
        <v>54</v>
      </c>
      <c r="P323" s="55"/>
      <c r="R323" t="s">
        <v>1020</v>
      </c>
    </row>
    <row r="324" spans="1:18" ht="14.45">
      <c r="A324" s="106" t="b">
        <v>0</v>
      </c>
      <c r="B324" t="str" cm="1">
        <f t="array" ref="B324">_xlfn.SINGLE(_xlfn._xlws.FILTER(t_ServiceCatalogue[Onwer],t_ServiceCatalogue[Category]=t_fac25_requirements[[#This Row],[Category]],""))</f>
        <v>EU</v>
      </c>
      <c r="C324" t="s">
        <v>197</v>
      </c>
      <c r="D324" t="str">
        <f>_xlfn._xlws.FILTER(t_Contact[FA Name],t_Contact[FA]=t_fac25_requirements[[#This Row],[FA]],"")</f>
        <v>SSOC</v>
      </c>
      <c r="E324" t="s">
        <v>211</v>
      </c>
      <c r="F324" t="s">
        <v>305</v>
      </c>
      <c r="G324" t="s">
        <v>425</v>
      </c>
      <c r="H324" t="s">
        <v>22</v>
      </c>
      <c r="I324" t="s">
        <v>23</v>
      </c>
      <c r="J324" s="28" t="s">
        <v>370</v>
      </c>
      <c r="K324" s="32"/>
      <c r="L324" s="32">
        <v>1</v>
      </c>
      <c r="M324" s="30">
        <v>45956</v>
      </c>
      <c r="N324" s="30">
        <v>46008</v>
      </c>
      <c r="O324" s="43" t="s">
        <v>29</v>
      </c>
      <c r="P324" s="55" t="s">
        <v>1008</v>
      </c>
      <c r="Q324" t="s">
        <v>1009</v>
      </c>
      <c r="R324" t="s">
        <v>1021</v>
      </c>
    </row>
    <row r="325" spans="1:18" ht="14.45">
      <c r="A325" s="106" t="b">
        <v>0</v>
      </c>
      <c r="B325" t="str" cm="1">
        <f t="array" ref="B325">_xlfn.SINGLE(_xlfn._xlws.FILTER(t_ServiceCatalogue[Onwer],t_ServiceCatalogue[Category]=t_fac25_requirements[[#This Row],[Category]],""))</f>
        <v>AV</v>
      </c>
      <c r="C325" t="s">
        <v>197</v>
      </c>
      <c r="D325" t="str">
        <f>_xlfn._xlws.FILTER(t_Contact[FA Name],t_Contact[FA]=t_fac25_requirements[[#This Row],[FA]],"")</f>
        <v>SSOC</v>
      </c>
      <c r="E325" t="s">
        <v>211</v>
      </c>
      <c r="F325" t="s">
        <v>305</v>
      </c>
      <c r="G325" t="s">
        <v>319</v>
      </c>
      <c r="H325" t="s">
        <v>110</v>
      </c>
      <c r="I325" t="s">
        <v>111</v>
      </c>
      <c r="J325" s="28" t="s">
        <v>370</v>
      </c>
      <c r="K325" s="32"/>
      <c r="L325" s="32">
        <v>1</v>
      </c>
      <c r="M325" s="30">
        <v>45956</v>
      </c>
      <c r="N325" s="30">
        <v>46008</v>
      </c>
      <c r="O325" s="43" t="s">
        <v>112</v>
      </c>
      <c r="P325" s="55" t="s">
        <v>1011</v>
      </c>
      <c r="R325" t="s">
        <v>1022</v>
      </c>
    </row>
    <row r="326" spans="1:18" ht="14.45">
      <c r="A326" s="106" t="b">
        <v>0</v>
      </c>
      <c r="B326" t="str" cm="1">
        <f t="array" ref="B326">_xlfn.SINGLE(_xlfn._xlws.FILTER(t_ServiceCatalogue[Onwer],t_ServiceCatalogue[Category]=t_fac25_requirements[[#This Row],[Category]],""))</f>
        <v>NW</v>
      </c>
      <c r="C326" t="s">
        <v>197</v>
      </c>
      <c r="D326" t="str">
        <f>_xlfn._xlws.FILTER(t_Contact[FA Name],t_Contact[FA]=t_fac25_requirements[[#This Row],[FA]],"")</f>
        <v>SSOC</v>
      </c>
      <c r="E326" t="s">
        <v>211</v>
      </c>
      <c r="F326" t="s">
        <v>305</v>
      </c>
      <c r="G326" t="s">
        <v>318</v>
      </c>
      <c r="H326" t="s">
        <v>52</v>
      </c>
      <c r="I326" t="s">
        <v>53</v>
      </c>
      <c r="J326" s="28" t="s">
        <v>370</v>
      </c>
      <c r="K326" s="32"/>
      <c r="L326" s="32">
        <v>1</v>
      </c>
      <c r="M326" s="30">
        <v>45956</v>
      </c>
      <c r="N326" s="30">
        <v>46008</v>
      </c>
      <c r="O326" s="43" t="s">
        <v>54</v>
      </c>
      <c r="P326" s="55"/>
      <c r="R326" t="s">
        <v>1023</v>
      </c>
    </row>
    <row r="327" spans="1:18" ht="14.45">
      <c r="A327" s="106" t="b">
        <v>0</v>
      </c>
      <c r="B327" t="str" cm="1">
        <f t="array" ref="B327">_xlfn.SINGLE(_xlfn._xlws.FILTER(t_ServiceCatalogue[Onwer],t_ServiceCatalogue[Category]=t_fac25_requirements[[#This Row],[Category]],""))</f>
        <v>NW</v>
      </c>
      <c r="C327" t="s">
        <v>197</v>
      </c>
      <c r="D327" t="str">
        <f>_xlfn._xlws.FILTER(t_Contact[FA Name],t_Contact[FA]=t_fac25_requirements[[#This Row],[FA]],"")</f>
        <v>SSOC</v>
      </c>
      <c r="E327" t="s">
        <v>211</v>
      </c>
      <c r="F327" t="s">
        <v>305</v>
      </c>
      <c r="G327" t="s">
        <v>306</v>
      </c>
      <c r="H327" t="s">
        <v>52</v>
      </c>
      <c r="I327" t="s">
        <v>53</v>
      </c>
      <c r="J327" s="28" t="s">
        <v>407</v>
      </c>
      <c r="K327" s="32"/>
      <c r="L327" s="32">
        <v>1</v>
      </c>
      <c r="M327" s="30">
        <v>45956</v>
      </c>
      <c r="N327" s="30">
        <v>46008</v>
      </c>
      <c r="O327" s="43" t="s">
        <v>54</v>
      </c>
      <c r="P327" s="55" t="s">
        <v>379</v>
      </c>
      <c r="R327" t="s">
        <v>1024</v>
      </c>
    </row>
    <row r="328" spans="1:18" ht="14.45">
      <c r="A328" s="106" t="b">
        <v>0</v>
      </c>
      <c r="B328" t="str" cm="1">
        <f t="array" ref="B328">_xlfn.SINGLE(_xlfn._xlws.FILTER(t_ServiceCatalogue[Onwer],t_ServiceCatalogue[Category]=t_fac25_requirements[[#This Row],[Category]],""))</f>
        <v>NW</v>
      </c>
      <c r="C328" t="s">
        <v>197</v>
      </c>
      <c r="D328" t="str">
        <f>_xlfn._xlws.FILTER(t_Contact[FA Name],t_Contact[FA]=t_fac25_requirements[[#This Row],[FA]],"")</f>
        <v>SSOC</v>
      </c>
      <c r="E328" t="s">
        <v>211</v>
      </c>
      <c r="F328" t="s">
        <v>305</v>
      </c>
      <c r="G328" t="s">
        <v>322</v>
      </c>
      <c r="H328" t="s">
        <v>52</v>
      </c>
      <c r="I328" t="s">
        <v>53</v>
      </c>
      <c r="J328" s="28" t="s">
        <v>370</v>
      </c>
      <c r="K328" s="32"/>
      <c r="L328" s="32">
        <v>1</v>
      </c>
      <c r="M328" s="30">
        <v>45956</v>
      </c>
      <c r="N328" s="30">
        <v>46008</v>
      </c>
      <c r="O328" s="43" t="s">
        <v>54</v>
      </c>
      <c r="P328" s="55"/>
      <c r="R328" t="s">
        <v>1025</v>
      </c>
    </row>
    <row r="329" spans="1:18" ht="14.45">
      <c r="A329" s="106" t="b">
        <v>1</v>
      </c>
      <c r="B329" t="str" cm="1">
        <f t="array" ref="B329">_xlfn.SINGLE(_xlfn._xlws.FILTER(t_ServiceCatalogue[Onwer],t_ServiceCatalogue[Category]=t_fac25_requirements[[#This Row],[Category]],""))</f>
        <v>EU</v>
      </c>
      <c r="C329" t="s">
        <v>197</v>
      </c>
      <c r="D329" t="str">
        <f>_xlfn._xlws.FILTER(t_Contact[FA Name],t_Contact[FA]=t_fac25_requirements[[#This Row],[FA]],"")</f>
        <v>SSOC</v>
      </c>
      <c r="E329" s="43">
        <v>974</v>
      </c>
      <c r="F329" t="s">
        <v>305</v>
      </c>
      <c r="G329" t="s">
        <v>425</v>
      </c>
      <c r="H329" t="s">
        <v>22</v>
      </c>
      <c r="I329" t="s">
        <v>23</v>
      </c>
      <c r="J329" s="28" t="s">
        <v>370</v>
      </c>
      <c r="K329" s="32"/>
      <c r="L329" s="32">
        <v>1</v>
      </c>
      <c r="M329" s="30">
        <v>45956</v>
      </c>
      <c r="N329" s="30">
        <v>46002</v>
      </c>
      <c r="O329" s="43" t="s">
        <v>29</v>
      </c>
      <c r="P329" s="55" t="s">
        <v>1008</v>
      </c>
      <c r="Q329" t="s">
        <v>1009</v>
      </c>
      <c r="R329" t="s">
        <v>1026</v>
      </c>
    </row>
    <row r="330" spans="1:18" ht="14.45">
      <c r="A330" s="106" t="b">
        <v>0</v>
      </c>
      <c r="B330" t="str" cm="1">
        <f t="array" ref="B330">_xlfn.SINGLE(_xlfn._xlws.FILTER(t_ServiceCatalogue[Onwer],t_ServiceCatalogue[Category]=t_fac25_requirements[[#This Row],[Category]],""))</f>
        <v>AV</v>
      </c>
      <c r="C330" t="s">
        <v>197</v>
      </c>
      <c r="D330" t="str">
        <f>_xlfn._xlws.FILTER(t_Contact[FA Name],t_Contact[FA]=t_fac25_requirements[[#This Row],[FA]],"")</f>
        <v>SSOC</v>
      </c>
      <c r="E330" s="43">
        <v>974</v>
      </c>
      <c r="F330" t="s">
        <v>305</v>
      </c>
      <c r="G330" t="s">
        <v>319</v>
      </c>
      <c r="H330" t="s">
        <v>110</v>
      </c>
      <c r="I330" t="s">
        <v>111</v>
      </c>
      <c r="J330" s="28" t="s">
        <v>370</v>
      </c>
      <c r="K330" s="32"/>
      <c r="L330" s="32">
        <v>1</v>
      </c>
      <c r="M330" s="30">
        <v>45956</v>
      </c>
      <c r="N330" s="30">
        <v>46002</v>
      </c>
      <c r="O330" s="43" t="s">
        <v>112</v>
      </c>
      <c r="P330" s="55" t="s">
        <v>1011</v>
      </c>
      <c r="R330" t="s">
        <v>1027</v>
      </c>
    </row>
    <row r="331" spans="1:18" ht="14.45">
      <c r="A331" s="106" t="b">
        <v>0</v>
      </c>
      <c r="B331" t="str" cm="1">
        <f t="array" ref="B331">_xlfn.SINGLE(_xlfn._xlws.FILTER(t_ServiceCatalogue[Onwer],t_ServiceCatalogue[Category]=t_fac25_requirements[[#This Row],[Category]],""))</f>
        <v>NW</v>
      </c>
      <c r="C331" t="s">
        <v>197</v>
      </c>
      <c r="D331" t="str">
        <f>_xlfn._xlws.FILTER(t_Contact[FA Name],t_Contact[FA]=t_fac25_requirements[[#This Row],[FA]],"")</f>
        <v>SSOC</v>
      </c>
      <c r="E331" s="43">
        <v>974</v>
      </c>
      <c r="F331" t="s">
        <v>305</v>
      </c>
      <c r="G331" t="s">
        <v>318</v>
      </c>
      <c r="H331" t="s">
        <v>52</v>
      </c>
      <c r="I331" t="s">
        <v>53</v>
      </c>
      <c r="J331" s="28" t="s">
        <v>370</v>
      </c>
      <c r="K331" s="32"/>
      <c r="L331" s="32">
        <v>1</v>
      </c>
      <c r="M331" s="30">
        <v>45956</v>
      </c>
      <c r="N331" s="30">
        <v>46002</v>
      </c>
      <c r="O331" s="43" t="s">
        <v>54</v>
      </c>
      <c r="P331" s="55"/>
      <c r="R331" t="s">
        <v>1028</v>
      </c>
    </row>
    <row r="332" spans="1:18" ht="14.45">
      <c r="A332" s="106" t="b">
        <v>0</v>
      </c>
      <c r="B332" t="str" cm="1">
        <f t="array" ref="B332">_xlfn.SINGLE(_xlfn._xlws.FILTER(t_ServiceCatalogue[Onwer],t_ServiceCatalogue[Category]=t_fac25_requirements[[#This Row],[Category]],""))</f>
        <v>NW</v>
      </c>
      <c r="C332" t="s">
        <v>197</v>
      </c>
      <c r="D332" t="str">
        <f>_xlfn._xlws.FILTER(t_Contact[FA Name],t_Contact[FA]=t_fac25_requirements[[#This Row],[FA]],"")</f>
        <v>SSOC</v>
      </c>
      <c r="E332" s="43">
        <v>974</v>
      </c>
      <c r="F332" t="s">
        <v>305</v>
      </c>
      <c r="G332" t="s">
        <v>306</v>
      </c>
      <c r="H332" t="s">
        <v>52</v>
      </c>
      <c r="I332" t="s">
        <v>53</v>
      </c>
      <c r="J332" s="28" t="s">
        <v>407</v>
      </c>
      <c r="K332" s="32"/>
      <c r="L332" s="32">
        <v>1</v>
      </c>
      <c r="M332" s="30">
        <v>45956</v>
      </c>
      <c r="N332" s="30">
        <v>46002</v>
      </c>
      <c r="O332" s="43" t="s">
        <v>54</v>
      </c>
      <c r="P332" s="55" t="s">
        <v>379</v>
      </c>
      <c r="R332" t="s">
        <v>1029</v>
      </c>
    </row>
    <row r="333" spans="1:18" ht="14.45">
      <c r="A333" s="106" t="b">
        <v>0</v>
      </c>
      <c r="B333" t="str" cm="1">
        <f t="array" ref="B333">_xlfn.SINGLE(_xlfn._xlws.FILTER(t_ServiceCatalogue[Onwer],t_ServiceCatalogue[Category]=t_fac25_requirements[[#This Row],[Category]],""))</f>
        <v>NW</v>
      </c>
      <c r="C333" t="s">
        <v>197</v>
      </c>
      <c r="D333" t="str">
        <f>_xlfn._xlws.FILTER(t_Contact[FA Name],t_Contact[FA]=t_fac25_requirements[[#This Row],[FA]],"")</f>
        <v>SSOC</v>
      </c>
      <c r="E333" s="43">
        <v>974</v>
      </c>
      <c r="F333" t="s">
        <v>305</v>
      </c>
      <c r="G333" t="s">
        <v>322</v>
      </c>
      <c r="H333" t="s">
        <v>52</v>
      </c>
      <c r="I333" t="s">
        <v>53</v>
      </c>
      <c r="J333" s="28" t="s">
        <v>370</v>
      </c>
      <c r="K333" s="32"/>
      <c r="L333" s="32">
        <v>1</v>
      </c>
      <c r="M333" s="30">
        <v>45956</v>
      </c>
      <c r="N333" s="30">
        <v>46002</v>
      </c>
      <c r="O333" s="43" t="s">
        <v>54</v>
      </c>
      <c r="P333" s="55"/>
      <c r="R333" t="s">
        <v>1030</v>
      </c>
    </row>
    <row r="334" spans="1:18" ht="14.45">
      <c r="A334" s="106" t="b">
        <v>1</v>
      </c>
      <c r="B334" t="str" cm="1">
        <f t="array" ref="B334">_xlfn.SINGLE(_xlfn._xlws.FILTER(t_ServiceCatalogue[Onwer],t_ServiceCatalogue[Category]=t_fac25_requirements[[#This Row],[Category]],""))</f>
        <v>EU</v>
      </c>
      <c r="C334" t="s">
        <v>197</v>
      </c>
      <c r="D334" t="str">
        <f>_xlfn._xlws.FILTER(t_Contact[FA Name],t_Contact[FA]=t_fac25_requirements[[#This Row],[FA]],"")</f>
        <v>SSOC</v>
      </c>
      <c r="E334" t="s">
        <v>212</v>
      </c>
      <c r="F334" t="s">
        <v>305</v>
      </c>
      <c r="G334" t="s">
        <v>425</v>
      </c>
      <c r="H334" t="s">
        <v>22</v>
      </c>
      <c r="I334" t="s">
        <v>23</v>
      </c>
      <c r="J334" s="28" t="s">
        <v>370</v>
      </c>
      <c r="K334" s="32"/>
      <c r="L334" s="32">
        <v>1</v>
      </c>
      <c r="M334" s="30">
        <v>45956</v>
      </c>
      <c r="N334" s="30">
        <v>46005</v>
      </c>
      <c r="O334" s="43" t="s">
        <v>29</v>
      </c>
      <c r="P334" s="55" t="s">
        <v>1008</v>
      </c>
      <c r="Q334" t="s">
        <v>1009</v>
      </c>
      <c r="R334" t="s">
        <v>1031</v>
      </c>
    </row>
    <row r="335" spans="1:18" ht="14.45">
      <c r="A335" s="106" t="b">
        <v>0</v>
      </c>
      <c r="B335" t="str" cm="1">
        <f t="array" ref="B335">_xlfn.SINGLE(_xlfn._xlws.FILTER(t_ServiceCatalogue[Onwer],t_ServiceCatalogue[Category]=t_fac25_requirements[[#This Row],[Category]],""))</f>
        <v>AV</v>
      </c>
      <c r="C335" t="s">
        <v>197</v>
      </c>
      <c r="D335" t="str">
        <f>_xlfn._xlws.FILTER(t_Contact[FA Name],t_Contact[FA]=t_fac25_requirements[[#This Row],[FA]],"")</f>
        <v>SSOC</v>
      </c>
      <c r="E335" t="s">
        <v>212</v>
      </c>
      <c r="F335" t="s">
        <v>305</v>
      </c>
      <c r="G335" t="s">
        <v>319</v>
      </c>
      <c r="H335" t="s">
        <v>110</v>
      </c>
      <c r="I335" t="s">
        <v>111</v>
      </c>
      <c r="J335" s="28" t="s">
        <v>370</v>
      </c>
      <c r="K335" s="32"/>
      <c r="L335" s="32">
        <v>1</v>
      </c>
      <c r="M335" s="30">
        <v>45956</v>
      </c>
      <c r="N335" s="30">
        <v>46005</v>
      </c>
      <c r="O335" s="43" t="s">
        <v>112</v>
      </c>
      <c r="P335" s="55" t="s">
        <v>1011</v>
      </c>
      <c r="R335" t="s">
        <v>1032</v>
      </c>
    </row>
    <row r="336" spans="1:18" ht="14.45">
      <c r="A336" s="106" t="b">
        <v>0</v>
      </c>
      <c r="B336" t="str" cm="1">
        <f t="array" ref="B336">_xlfn.SINGLE(_xlfn._xlws.FILTER(t_ServiceCatalogue[Onwer],t_ServiceCatalogue[Category]=t_fac25_requirements[[#This Row],[Category]],""))</f>
        <v>NW</v>
      </c>
      <c r="C336" t="s">
        <v>197</v>
      </c>
      <c r="D336" t="str">
        <f>_xlfn._xlws.FILTER(t_Contact[FA Name],t_Contact[FA]=t_fac25_requirements[[#This Row],[FA]],"")</f>
        <v>SSOC</v>
      </c>
      <c r="E336" t="s">
        <v>212</v>
      </c>
      <c r="F336" t="s">
        <v>305</v>
      </c>
      <c r="G336" t="s">
        <v>318</v>
      </c>
      <c r="H336" t="s">
        <v>52</v>
      </c>
      <c r="I336" t="s">
        <v>53</v>
      </c>
      <c r="J336" s="28" t="s">
        <v>370</v>
      </c>
      <c r="K336" s="32"/>
      <c r="L336" s="32">
        <v>1</v>
      </c>
      <c r="M336" s="30">
        <v>45956</v>
      </c>
      <c r="N336" s="30">
        <v>46005</v>
      </c>
      <c r="O336" s="43" t="s">
        <v>54</v>
      </c>
      <c r="P336" s="55"/>
      <c r="R336" t="s">
        <v>1033</v>
      </c>
    </row>
    <row r="337" spans="1:18" ht="14.45">
      <c r="A337" s="106" t="b">
        <v>0</v>
      </c>
      <c r="B337" t="str" cm="1">
        <f t="array" ref="B337">_xlfn.SINGLE(_xlfn._xlws.FILTER(t_ServiceCatalogue[Onwer],t_ServiceCatalogue[Category]=t_fac25_requirements[[#This Row],[Category]],""))</f>
        <v>NW</v>
      </c>
      <c r="C337" t="s">
        <v>197</v>
      </c>
      <c r="D337" t="str">
        <f>_xlfn._xlws.FILTER(t_Contact[FA Name],t_Contact[FA]=t_fac25_requirements[[#This Row],[FA]],"")</f>
        <v>SSOC</v>
      </c>
      <c r="E337" t="s">
        <v>212</v>
      </c>
      <c r="F337" t="s">
        <v>305</v>
      </c>
      <c r="G337" t="s">
        <v>306</v>
      </c>
      <c r="H337" t="s">
        <v>52</v>
      </c>
      <c r="I337" t="s">
        <v>53</v>
      </c>
      <c r="J337" s="28" t="s">
        <v>407</v>
      </c>
      <c r="K337" s="32"/>
      <c r="L337" s="32">
        <v>1</v>
      </c>
      <c r="M337" s="30">
        <v>45956</v>
      </c>
      <c r="N337" s="30">
        <v>46005</v>
      </c>
      <c r="O337" s="43" t="s">
        <v>54</v>
      </c>
      <c r="P337" s="55" t="s">
        <v>379</v>
      </c>
      <c r="R337" t="s">
        <v>1034</v>
      </c>
    </row>
    <row r="338" spans="1:18" ht="14.45">
      <c r="A338" s="106" t="b">
        <v>0</v>
      </c>
      <c r="B338" t="str" cm="1">
        <f t="array" ref="B338">_xlfn.SINGLE(_xlfn._xlws.FILTER(t_ServiceCatalogue[Onwer],t_ServiceCatalogue[Category]=t_fac25_requirements[[#This Row],[Category]],""))</f>
        <v>NW</v>
      </c>
      <c r="C338" t="s">
        <v>197</v>
      </c>
      <c r="D338" t="str">
        <f>_xlfn._xlws.FILTER(t_Contact[FA Name],t_Contact[FA]=t_fac25_requirements[[#This Row],[FA]],"")</f>
        <v>SSOC</v>
      </c>
      <c r="E338" t="s">
        <v>212</v>
      </c>
      <c r="F338" t="s">
        <v>305</v>
      </c>
      <c r="G338" t="s">
        <v>322</v>
      </c>
      <c r="H338" t="s">
        <v>52</v>
      </c>
      <c r="I338" t="s">
        <v>53</v>
      </c>
      <c r="J338" s="28" t="s">
        <v>370</v>
      </c>
      <c r="K338" s="32"/>
      <c r="L338" s="32">
        <v>1</v>
      </c>
      <c r="M338" s="30">
        <v>45956</v>
      </c>
      <c r="N338" s="30">
        <v>46005</v>
      </c>
      <c r="O338" s="43" t="s">
        <v>54</v>
      </c>
      <c r="P338" s="55"/>
      <c r="R338" t="s">
        <v>1035</v>
      </c>
    </row>
    <row r="339" spans="1:18" ht="14.45">
      <c r="A339" s="106" t="b">
        <v>0</v>
      </c>
      <c r="B339" t="str" cm="1">
        <f t="array" ref="B339">_xlfn.SINGLE(_xlfn._xlws.FILTER(t_ServiceCatalogue[Onwer],t_ServiceCatalogue[Category]=t_fac25_requirements[[#This Row],[Category]],""))</f>
        <v>EU</v>
      </c>
      <c r="C339" t="s">
        <v>197</v>
      </c>
      <c r="D339" t="str">
        <f>_xlfn._xlws.FILTER(t_Contact[FA Name],t_Contact[FA]=t_fac25_requirements[[#This Row],[FA]],"")</f>
        <v>SSOC</v>
      </c>
      <c r="E339" t="s">
        <v>213</v>
      </c>
      <c r="F339" t="s">
        <v>305</v>
      </c>
      <c r="G339" t="s">
        <v>425</v>
      </c>
      <c r="H339" t="s">
        <v>22</v>
      </c>
      <c r="I339" t="s">
        <v>23</v>
      </c>
      <c r="J339" s="28" t="s">
        <v>370</v>
      </c>
      <c r="K339" s="32"/>
      <c r="L339" s="32">
        <v>1</v>
      </c>
      <c r="M339" s="30">
        <v>45931</v>
      </c>
      <c r="N339" s="30">
        <v>46011</v>
      </c>
      <c r="O339" s="43" t="s">
        <v>29</v>
      </c>
      <c r="P339" s="55" t="s">
        <v>1008</v>
      </c>
      <c r="Q339" t="s">
        <v>1009</v>
      </c>
      <c r="R339" t="s">
        <v>1036</v>
      </c>
    </row>
    <row r="340" spans="1:18" ht="14.45">
      <c r="A340" s="106" t="b">
        <v>0</v>
      </c>
      <c r="B340" t="str" cm="1">
        <f t="array" ref="B340">_xlfn.SINGLE(_xlfn._xlws.FILTER(t_ServiceCatalogue[Onwer],t_ServiceCatalogue[Category]=t_fac25_requirements[[#This Row],[Category]],""))</f>
        <v>AV</v>
      </c>
      <c r="C340" t="s">
        <v>197</v>
      </c>
      <c r="D340" t="str">
        <f>_xlfn._xlws.FILTER(t_Contact[FA Name],t_Contact[FA]=t_fac25_requirements[[#This Row],[FA]],"")</f>
        <v>SSOC</v>
      </c>
      <c r="E340" t="s">
        <v>213</v>
      </c>
      <c r="F340" t="s">
        <v>305</v>
      </c>
      <c r="G340" t="s">
        <v>319</v>
      </c>
      <c r="H340" t="s">
        <v>110</v>
      </c>
      <c r="I340" t="s">
        <v>111</v>
      </c>
      <c r="J340" s="28" t="s">
        <v>370</v>
      </c>
      <c r="K340" s="32"/>
      <c r="L340" s="32">
        <v>1</v>
      </c>
      <c r="M340" s="30">
        <v>45931</v>
      </c>
      <c r="N340" s="30">
        <v>46011</v>
      </c>
      <c r="O340" s="43" t="s">
        <v>112</v>
      </c>
      <c r="P340" s="55" t="s">
        <v>1011</v>
      </c>
      <c r="R340" t="s">
        <v>1037</v>
      </c>
    </row>
    <row r="341" spans="1:18" ht="14.45">
      <c r="A341" s="106" t="b">
        <v>0</v>
      </c>
      <c r="B341" t="str" cm="1">
        <f t="array" ref="B341">_xlfn.SINGLE(_xlfn._xlws.FILTER(t_ServiceCatalogue[Onwer],t_ServiceCatalogue[Category]=t_fac25_requirements[[#This Row],[Category]],""))</f>
        <v>NW</v>
      </c>
      <c r="C341" t="s">
        <v>197</v>
      </c>
      <c r="D341" t="str">
        <f>_xlfn._xlws.FILTER(t_Contact[FA Name],t_Contact[FA]=t_fac25_requirements[[#This Row],[FA]],"")</f>
        <v>SSOC</v>
      </c>
      <c r="E341" t="s">
        <v>213</v>
      </c>
      <c r="F341" t="s">
        <v>305</v>
      </c>
      <c r="G341" t="s">
        <v>318</v>
      </c>
      <c r="H341" t="s">
        <v>52</v>
      </c>
      <c r="I341" t="s">
        <v>53</v>
      </c>
      <c r="J341" s="28" t="s">
        <v>370</v>
      </c>
      <c r="K341" s="32"/>
      <c r="L341" s="32">
        <v>1</v>
      </c>
      <c r="M341" s="30">
        <v>45931</v>
      </c>
      <c r="N341" s="30">
        <v>46011</v>
      </c>
      <c r="O341" s="43" t="s">
        <v>54</v>
      </c>
      <c r="P341" s="55"/>
      <c r="R341" t="s">
        <v>1038</v>
      </c>
    </row>
    <row r="342" spans="1:18" ht="14.45">
      <c r="A342" s="106" t="b">
        <v>0</v>
      </c>
      <c r="B342" t="str" cm="1">
        <f t="array" ref="B342">_xlfn.SINGLE(_xlfn._xlws.FILTER(t_ServiceCatalogue[Onwer],t_ServiceCatalogue[Category]=t_fac25_requirements[[#This Row],[Category]],""))</f>
        <v>NW</v>
      </c>
      <c r="C342" t="s">
        <v>197</v>
      </c>
      <c r="D342" t="str">
        <f>_xlfn._xlws.FILTER(t_Contact[FA Name],t_Contact[FA]=t_fac25_requirements[[#This Row],[FA]],"")</f>
        <v>SSOC</v>
      </c>
      <c r="E342" t="s">
        <v>213</v>
      </c>
      <c r="F342" t="s">
        <v>305</v>
      </c>
      <c r="G342" t="s">
        <v>306</v>
      </c>
      <c r="H342" t="s">
        <v>52</v>
      </c>
      <c r="I342" t="s">
        <v>53</v>
      </c>
      <c r="J342" s="28" t="s">
        <v>407</v>
      </c>
      <c r="K342" s="32"/>
      <c r="L342" s="32">
        <v>1</v>
      </c>
      <c r="M342" s="30">
        <v>45931</v>
      </c>
      <c r="N342" s="30">
        <v>46011</v>
      </c>
      <c r="O342" s="43" t="s">
        <v>54</v>
      </c>
      <c r="P342" s="55" t="s">
        <v>379</v>
      </c>
      <c r="R342" t="s">
        <v>1039</v>
      </c>
    </row>
    <row r="343" spans="1:18" ht="14.45">
      <c r="A343" s="106" t="b">
        <v>0</v>
      </c>
      <c r="B343" t="str" cm="1">
        <f t="array" ref="B343">_xlfn.SINGLE(_xlfn._xlws.FILTER(t_ServiceCatalogue[Onwer],t_ServiceCatalogue[Category]=t_fac25_requirements[[#This Row],[Category]],""))</f>
        <v>NW</v>
      </c>
      <c r="C343" t="s">
        <v>197</v>
      </c>
      <c r="D343" t="str">
        <f>_xlfn._xlws.FILTER(t_Contact[FA Name],t_Contact[FA]=t_fac25_requirements[[#This Row],[FA]],"")</f>
        <v>SSOC</v>
      </c>
      <c r="E343" t="s">
        <v>213</v>
      </c>
      <c r="F343" t="s">
        <v>305</v>
      </c>
      <c r="G343" t="s">
        <v>322</v>
      </c>
      <c r="H343" t="s">
        <v>52</v>
      </c>
      <c r="I343" t="s">
        <v>53</v>
      </c>
      <c r="J343" s="28" t="s">
        <v>370</v>
      </c>
      <c r="K343" s="32"/>
      <c r="L343" s="32">
        <v>1</v>
      </c>
      <c r="M343" s="30">
        <v>45931</v>
      </c>
      <c r="N343" s="30">
        <v>46011</v>
      </c>
      <c r="O343" s="43" t="s">
        <v>54</v>
      </c>
      <c r="P343" s="55"/>
      <c r="R343" t="s">
        <v>1040</v>
      </c>
    </row>
    <row r="344" spans="1:18" ht="28.9">
      <c r="A344" s="106" t="b">
        <v>1</v>
      </c>
      <c r="B344" t="str" cm="1">
        <f t="array" ref="B344">_xlfn.SINGLE(_xlfn._xlws.FILTER(t_ServiceCatalogue[Onwer],t_ServiceCatalogue[Category]=t_fac25_requirements[[#This Row],[Category]],""))</f>
        <v>EU</v>
      </c>
      <c r="C344" t="s">
        <v>137</v>
      </c>
      <c r="D344" t="str">
        <f>_xlfn._xlws.FILTER(t_Contact[FA Name],t_Contact[FA]=t_fac25_requirements[[#This Row],[FA]],"")</f>
        <v>Mobility</v>
      </c>
      <c r="E344" t="s">
        <v>19</v>
      </c>
      <c r="F344" s="28" t="s">
        <v>71</v>
      </c>
      <c r="G344" t="s">
        <v>477</v>
      </c>
      <c r="H344" t="s">
        <v>22</v>
      </c>
      <c r="I344" t="s">
        <v>23</v>
      </c>
      <c r="J344" s="28" t="s">
        <v>370</v>
      </c>
      <c r="K344" s="32"/>
      <c r="L344" s="32">
        <v>1</v>
      </c>
      <c r="M344" s="30">
        <v>45931</v>
      </c>
      <c r="N344" s="30">
        <v>46007</v>
      </c>
      <c r="O344" s="43" t="s">
        <v>24</v>
      </c>
      <c r="P344" s="70" t="s">
        <v>1041</v>
      </c>
      <c r="Q344" s="135" t="s">
        <v>1042</v>
      </c>
      <c r="R344" t="s">
        <v>1043</v>
      </c>
    </row>
    <row r="345" spans="1:18" ht="28.9">
      <c r="A345" s="106" t="b">
        <v>1</v>
      </c>
      <c r="B345" t="str" cm="1">
        <f t="array" ref="B345">_xlfn.SINGLE(_xlfn._xlws.FILTER(t_ServiceCatalogue[Onwer],t_ServiceCatalogue[Category]=t_fac25_requirements[[#This Row],[Category]],""))</f>
        <v>EU</v>
      </c>
      <c r="C345" t="s">
        <v>137</v>
      </c>
      <c r="D345" t="str">
        <f>_xlfn._xlws.FILTER(t_Contact[FA Name],t_Contact[FA]=t_fac25_requirements[[#This Row],[FA]],"")</f>
        <v>Mobility</v>
      </c>
      <c r="E345" t="s">
        <v>19</v>
      </c>
      <c r="F345" s="28" t="s">
        <v>71</v>
      </c>
      <c r="G345" t="s">
        <v>477</v>
      </c>
      <c r="H345" t="s">
        <v>32</v>
      </c>
      <c r="I345" t="s">
        <v>37</v>
      </c>
      <c r="J345" s="28" t="s">
        <v>370</v>
      </c>
      <c r="K345" s="32"/>
      <c r="L345" s="32">
        <v>2</v>
      </c>
      <c r="M345" s="30">
        <v>45931</v>
      </c>
      <c r="N345" s="30">
        <v>46007</v>
      </c>
      <c r="O345" s="43" t="s">
        <v>38</v>
      </c>
      <c r="P345" s="70" t="s">
        <v>1002</v>
      </c>
      <c r="R345" t="s">
        <v>1044</v>
      </c>
    </row>
    <row r="346" spans="1:18" ht="14.45">
      <c r="A346" s="106" t="b">
        <v>1</v>
      </c>
      <c r="B346" t="str" cm="1">
        <f t="array" ref="B346">_xlfn.SINGLE(_xlfn._xlws.FILTER(t_ServiceCatalogue[Onwer],t_ServiceCatalogue[Category]=t_fac25_requirements[[#This Row],[Category]],""))</f>
        <v>NW</v>
      </c>
      <c r="C346" t="s">
        <v>206</v>
      </c>
      <c r="D346" t="str">
        <f>_xlfn._xlws.FILTER(t_Contact[FA Name],t_Contact[FA]=t_fac25_requirements[[#This Row],[FA]],"")</f>
        <v>Comms / Stakeholder / MER</v>
      </c>
      <c r="E346" t="s">
        <v>19</v>
      </c>
      <c r="F346" t="s">
        <v>345</v>
      </c>
      <c r="G346" t="s">
        <v>1045</v>
      </c>
      <c r="H346" t="s">
        <v>52</v>
      </c>
      <c r="I346" t="s">
        <v>252</v>
      </c>
      <c r="J346" s="28" t="s">
        <v>637</v>
      </c>
      <c r="K346" s="32">
        <v>1</v>
      </c>
      <c r="L346" s="32">
        <v>0</v>
      </c>
      <c r="M346" s="30">
        <v>45981</v>
      </c>
      <c r="N346" s="30">
        <v>46009</v>
      </c>
      <c r="O346" s="43" t="s">
        <v>552</v>
      </c>
      <c r="P346" s="55" t="s">
        <v>1046</v>
      </c>
      <c r="Q346" t="s">
        <v>786</v>
      </c>
      <c r="R346" t="s">
        <v>1047</v>
      </c>
    </row>
    <row r="347" spans="1:18" ht="14.45">
      <c r="A347" s="106" t="b">
        <v>1</v>
      </c>
      <c r="B347" t="str" cm="1">
        <f t="array" ref="B347">_xlfn.SINGLE(_xlfn._xlws.FILTER(t_ServiceCatalogue[Onwer],t_ServiceCatalogue[Category]=t_fac25_requirements[[#This Row],[Category]],""))</f>
        <v>EU</v>
      </c>
      <c r="C347" t="s">
        <v>206</v>
      </c>
      <c r="D347" t="str">
        <f>_xlfn._xlws.FILTER(t_Contact[FA Name],t_Contact[FA]=t_fac25_requirements[[#This Row],[FA]],"")</f>
        <v>Comms / Stakeholder / MER</v>
      </c>
      <c r="E347" t="s">
        <v>19</v>
      </c>
      <c r="F347" t="s">
        <v>345</v>
      </c>
      <c r="G347" t="s">
        <v>1045</v>
      </c>
      <c r="H347" t="s">
        <v>22</v>
      </c>
      <c r="I347" t="s">
        <v>77</v>
      </c>
      <c r="J347" s="28" t="s">
        <v>370</v>
      </c>
      <c r="K347" s="32"/>
      <c r="L347" s="32">
        <v>1</v>
      </c>
      <c r="M347" s="30">
        <v>45981</v>
      </c>
      <c r="N347" s="30">
        <v>46009</v>
      </c>
      <c r="O347" s="43" t="s">
        <v>78</v>
      </c>
      <c r="P347" s="55" t="s">
        <v>87</v>
      </c>
      <c r="Q347" t="s">
        <v>786</v>
      </c>
      <c r="R347" t="s">
        <v>1048</v>
      </c>
    </row>
    <row r="348" spans="1:18" ht="14.45">
      <c r="A348" s="106" t="b">
        <v>1</v>
      </c>
      <c r="B348" t="str" cm="1">
        <f t="array" ref="B348">_xlfn.SINGLE(_xlfn._xlws.FILTER(t_ServiceCatalogue[Onwer],t_ServiceCatalogue[Category]=t_fac25_requirements[[#This Row],[Category]],""))</f>
        <v>NW</v>
      </c>
      <c r="C348" t="s">
        <v>206</v>
      </c>
      <c r="D348" t="str">
        <f>_xlfn._xlws.FILTER(t_Contact[FA Name],t_Contact[FA]=t_fac25_requirements[[#This Row],[FA]],"")</f>
        <v>Comms / Stakeholder / MER</v>
      </c>
      <c r="E348" t="s">
        <v>19</v>
      </c>
      <c r="F348" t="s">
        <v>345</v>
      </c>
      <c r="G348" t="s">
        <v>1045</v>
      </c>
      <c r="H348" t="s">
        <v>52</v>
      </c>
      <c r="I348" t="s">
        <v>53</v>
      </c>
      <c r="J348" s="28" t="s">
        <v>370</v>
      </c>
      <c r="K348" s="32"/>
      <c r="L348" s="32">
        <v>1</v>
      </c>
      <c r="M348" s="30">
        <v>45981</v>
      </c>
      <c r="N348" s="30">
        <v>46009</v>
      </c>
      <c r="O348" s="43" t="s">
        <v>54</v>
      </c>
      <c r="P348" s="55" t="s">
        <v>87</v>
      </c>
      <c r="Q348" t="s">
        <v>786</v>
      </c>
      <c r="R348" t="s">
        <v>1049</v>
      </c>
    </row>
    <row r="349" spans="1:18" ht="14.45">
      <c r="A349" s="106" t="b">
        <v>1</v>
      </c>
      <c r="B349" t="str" cm="1">
        <f t="array" ref="B349">_xlfn.SINGLE(_xlfn._xlws.FILTER(t_ServiceCatalogue[Onwer],t_ServiceCatalogue[Category]=t_fac25_requirements[[#This Row],[Category]],""))</f>
        <v>NW</v>
      </c>
      <c r="C349" t="s">
        <v>206</v>
      </c>
      <c r="D349" t="str">
        <f>_xlfn._xlws.FILTER(t_Contact[FA Name],t_Contact[FA]=t_fac25_requirements[[#This Row],[FA]],"")</f>
        <v>Comms / Stakeholder / MER</v>
      </c>
      <c r="E349" t="s">
        <v>211</v>
      </c>
      <c r="F349" t="s">
        <v>288</v>
      </c>
      <c r="G349" t="s">
        <v>431</v>
      </c>
      <c r="H349" t="s">
        <v>52</v>
      </c>
      <c r="I349" t="s">
        <v>53</v>
      </c>
      <c r="J349" s="28" t="s">
        <v>637</v>
      </c>
      <c r="K349" s="32">
        <v>10</v>
      </c>
      <c r="L349" s="32">
        <v>0</v>
      </c>
      <c r="M349" s="30">
        <v>45981</v>
      </c>
      <c r="N349" s="30">
        <v>46009</v>
      </c>
      <c r="O349" s="43" t="s">
        <v>54</v>
      </c>
      <c r="P349" s="55" t="s">
        <v>1050</v>
      </c>
      <c r="Q349" t="s">
        <v>1051</v>
      </c>
      <c r="R349" t="s">
        <v>1052</v>
      </c>
    </row>
    <row r="350" spans="1:18" ht="14.45">
      <c r="A350" s="106" t="b">
        <v>1</v>
      </c>
      <c r="B350" t="str" cm="1">
        <f t="array" ref="B350">_xlfn.SINGLE(_xlfn._xlws.FILTER(t_ServiceCatalogue[Onwer],t_ServiceCatalogue[Category]=t_fac25_requirements[[#This Row],[Category]],""))</f>
        <v>NW</v>
      </c>
      <c r="C350" t="s">
        <v>206</v>
      </c>
      <c r="D350" t="str">
        <f>_xlfn._xlws.FILTER(t_Contact[FA Name],t_Contact[FA]=t_fac25_requirements[[#This Row],[FA]],"")</f>
        <v>Comms / Stakeholder / MER</v>
      </c>
      <c r="E350" t="s">
        <v>214</v>
      </c>
      <c r="F350" t="s">
        <v>288</v>
      </c>
      <c r="G350" t="s">
        <v>431</v>
      </c>
      <c r="H350" t="s">
        <v>52</v>
      </c>
      <c r="I350" t="s">
        <v>53</v>
      </c>
      <c r="J350" s="28" t="s">
        <v>637</v>
      </c>
      <c r="K350" s="32">
        <v>10</v>
      </c>
      <c r="L350" s="32">
        <v>0</v>
      </c>
      <c r="M350" s="30">
        <v>45981</v>
      </c>
      <c r="N350" s="30">
        <v>46009</v>
      </c>
      <c r="O350" s="43" t="s">
        <v>54</v>
      </c>
      <c r="P350" s="55" t="s">
        <v>1050</v>
      </c>
      <c r="Q350" t="s">
        <v>1051</v>
      </c>
      <c r="R350" t="s">
        <v>1053</v>
      </c>
    </row>
    <row r="351" spans="1:18" ht="14.45">
      <c r="A351" s="106" t="b">
        <v>1</v>
      </c>
      <c r="B351" t="str" cm="1">
        <f t="array" ref="B351">_xlfn.SINGLE(_xlfn._xlws.FILTER(t_ServiceCatalogue[Onwer],t_ServiceCatalogue[Category]=t_fac25_requirements[[#This Row],[Category]],""))</f>
        <v>NW</v>
      </c>
      <c r="C351" t="s">
        <v>206</v>
      </c>
      <c r="D351" t="str">
        <f>_xlfn._xlws.FILTER(t_Contact[FA Name],t_Contact[FA]=t_fac25_requirements[[#This Row],[FA]],"")</f>
        <v>Comms / Stakeholder / MER</v>
      </c>
      <c r="E351" s="43">
        <v>974</v>
      </c>
      <c r="F351" t="s">
        <v>288</v>
      </c>
      <c r="G351" t="s">
        <v>431</v>
      </c>
      <c r="H351" t="s">
        <v>52</v>
      </c>
      <c r="I351" t="s">
        <v>53</v>
      </c>
      <c r="J351" s="28" t="s">
        <v>637</v>
      </c>
      <c r="K351" s="32">
        <v>10</v>
      </c>
      <c r="L351" s="32">
        <v>0</v>
      </c>
      <c r="M351" s="30">
        <v>45981</v>
      </c>
      <c r="N351" s="30">
        <v>46009</v>
      </c>
      <c r="O351" s="43" t="s">
        <v>54</v>
      </c>
      <c r="P351" s="55" t="s">
        <v>1050</v>
      </c>
      <c r="Q351" t="s">
        <v>1051</v>
      </c>
      <c r="R351" t="s">
        <v>1054</v>
      </c>
    </row>
    <row r="352" spans="1:18" ht="14.45">
      <c r="A352" s="106" t="b">
        <v>1</v>
      </c>
      <c r="B352" t="str" cm="1">
        <f t="array" ref="B352">_xlfn.SINGLE(_xlfn._xlws.FILTER(t_ServiceCatalogue[Onwer],t_ServiceCatalogue[Category]=t_fac25_requirements[[#This Row],[Category]],""))</f>
        <v>NW</v>
      </c>
      <c r="C352" t="s">
        <v>206</v>
      </c>
      <c r="D352" t="str">
        <f>_xlfn._xlws.FILTER(t_Contact[FA Name],t_Contact[FA]=t_fac25_requirements[[#This Row],[FA]],"")</f>
        <v>Comms / Stakeholder / MER</v>
      </c>
      <c r="E352" t="s">
        <v>208</v>
      </c>
      <c r="F352" t="s">
        <v>288</v>
      </c>
      <c r="G352" t="s">
        <v>431</v>
      </c>
      <c r="H352" t="s">
        <v>52</v>
      </c>
      <c r="I352" t="s">
        <v>53</v>
      </c>
      <c r="J352" s="28" t="s">
        <v>637</v>
      </c>
      <c r="K352" s="32">
        <v>10</v>
      </c>
      <c r="L352" s="32">
        <v>0</v>
      </c>
      <c r="M352" s="30">
        <v>45981</v>
      </c>
      <c r="N352" s="30">
        <v>46009</v>
      </c>
      <c r="O352" s="43" t="s">
        <v>54</v>
      </c>
      <c r="P352" s="55" t="s">
        <v>1050</v>
      </c>
      <c r="Q352" t="s">
        <v>1051</v>
      </c>
      <c r="R352" t="s">
        <v>1055</v>
      </c>
    </row>
    <row r="353" spans="1:18" ht="14.45">
      <c r="A353" s="106" t="b">
        <v>1</v>
      </c>
      <c r="B353" t="str" cm="1">
        <f t="array" ref="B353">_xlfn.SINGLE(_xlfn._xlws.FILTER(t_ServiceCatalogue[Onwer],t_ServiceCatalogue[Category]=t_fac25_requirements[[#This Row],[Category]],""))</f>
        <v>NW</v>
      </c>
      <c r="C353" t="s">
        <v>206</v>
      </c>
      <c r="D353" t="str">
        <f>_xlfn._xlws.FILTER(t_Contact[FA Name],t_Contact[FA]=t_fac25_requirements[[#This Row],[FA]],"")</f>
        <v>Comms / Stakeholder / MER</v>
      </c>
      <c r="E353" t="s">
        <v>212</v>
      </c>
      <c r="F353" t="s">
        <v>288</v>
      </c>
      <c r="G353" t="s">
        <v>431</v>
      </c>
      <c r="H353" t="s">
        <v>52</v>
      </c>
      <c r="I353" t="s">
        <v>53</v>
      </c>
      <c r="J353" s="28" t="s">
        <v>637</v>
      </c>
      <c r="K353" s="32">
        <v>10</v>
      </c>
      <c r="L353" s="32">
        <v>0</v>
      </c>
      <c r="M353" s="30">
        <v>45981</v>
      </c>
      <c r="N353" s="30">
        <v>46009</v>
      </c>
      <c r="O353" s="43" t="s">
        <v>54</v>
      </c>
      <c r="P353" s="55" t="s">
        <v>1050</v>
      </c>
      <c r="Q353" t="s">
        <v>1051</v>
      </c>
      <c r="R353" t="s">
        <v>1056</v>
      </c>
    </row>
    <row r="354" spans="1:18" ht="14.45">
      <c r="A354" s="106" t="b">
        <v>1</v>
      </c>
      <c r="B354" t="str" cm="1">
        <f t="array" ref="B354">_xlfn.SINGLE(_xlfn._xlws.FILTER(t_ServiceCatalogue[Onwer],t_ServiceCatalogue[Category]=t_fac25_requirements[[#This Row],[Category]],""))</f>
        <v>NW</v>
      </c>
      <c r="C354" t="s">
        <v>206</v>
      </c>
      <c r="D354" t="str">
        <f>_xlfn._xlws.FILTER(t_Contact[FA Name],t_Contact[FA]=t_fac25_requirements[[#This Row],[FA]],"")</f>
        <v>Comms / Stakeholder / MER</v>
      </c>
      <c r="E354" t="s">
        <v>213</v>
      </c>
      <c r="F354" t="s">
        <v>288</v>
      </c>
      <c r="G354" t="s">
        <v>431</v>
      </c>
      <c r="H354" t="s">
        <v>52</v>
      </c>
      <c r="I354" t="s">
        <v>53</v>
      </c>
      <c r="J354" s="28" t="s">
        <v>637</v>
      </c>
      <c r="K354" s="32">
        <v>10</v>
      </c>
      <c r="L354" s="32">
        <v>0</v>
      </c>
      <c r="M354" s="30">
        <v>45981</v>
      </c>
      <c r="N354" s="30">
        <v>46009</v>
      </c>
      <c r="O354" s="43" t="s">
        <v>54</v>
      </c>
      <c r="P354" s="55" t="s">
        <v>1050</v>
      </c>
      <c r="Q354" t="s">
        <v>1051</v>
      </c>
      <c r="R354" t="s">
        <v>1057</v>
      </c>
    </row>
    <row r="355" spans="1:18" ht="14.45">
      <c r="A355" s="106" t="b">
        <v>1</v>
      </c>
      <c r="B355" t="str" cm="1">
        <f t="array" ref="B355">_xlfn.SINGLE(_xlfn._xlws.FILTER(t_ServiceCatalogue[Onwer],t_ServiceCatalogue[Category]=t_fac25_requirements[[#This Row],[Category]],""))</f>
        <v>EU</v>
      </c>
      <c r="C355" t="s">
        <v>90</v>
      </c>
      <c r="D355" t="str">
        <f>_xlfn._xlws.FILTER(t_Contact[FA Name],t_Contact[FA]=t_fac25_requirements[[#This Row],[FA]],"")</f>
        <v>Workforce</v>
      </c>
      <c r="E355" t="s">
        <v>214</v>
      </c>
      <c r="F355" t="s">
        <v>418</v>
      </c>
      <c r="G355" t="s">
        <v>1058</v>
      </c>
      <c r="H355" t="s">
        <v>32</v>
      </c>
      <c r="I355" t="s">
        <v>33</v>
      </c>
      <c r="J355" s="28" t="s">
        <v>370</v>
      </c>
      <c r="K355" s="32"/>
      <c r="L355" s="32">
        <v>3</v>
      </c>
      <c r="M355" s="30">
        <v>45931</v>
      </c>
      <c r="N355" s="30">
        <v>45961</v>
      </c>
      <c r="O355" s="43" t="s">
        <v>34</v>
      </c>
      <c r="P355" s="55" t="s">
        <v>87</v>
      </c>
      <c r="Q355" t="s">
        <v>1059</v>
      </c>
      <c r="R355" t="s">
        <v>1060</v>
      </c>
    </row>
    <row r="356" spans="1:18" ht="14.45">
      <c r="A356" s="106" t="b">
        <v>1</v>
      </c>
      <c r="B356" t="str" cm="1">
        <f t="array" ref="B356">_xlfn.SINGLE(_xlfn._xlws.FILTER(t_ServiceCatalogue[Onwer],t_ServiceCatalogue[Category]=t_fac25_requirements[[#This Row],[Category]],""))</f>
        <v>EU</v>
      </c>
      <c r="C356" t="s">
        <v>90</v>
      </c>
      <c r="D356" t="str">
        <f>_xlfn._xlws.FILTER(t_Contact[FA Name],t_Contact[FA]=t_fac25_requirements[[#This Row],[FA]],"")</f>
        <v>Workforce</v>
      </c>
      <c r="E356" t="s">
        <v>214</v>
      </c>
      <c r="F356" t="s">
        <v>418</v>
      </c>
      <c r="G356" t="s">
        <v>1061</v>
      </c>
      <c r="H356" t="s">
        <v>32</v>
      </c>
      <c r="I356" t="s">
        <v>37</v>
      </c>
      <c r="J356" s="28" t="s">
        <v>370</v>
      </c>
      <c r="K356" s="32"/>
      <c r="L356" s="32">
        <v>3</v>
      </c>
      <c r="M356" s="30">
        <v>45931</v>
      </c>
      <c r="N356" s="30">
        <v>45961</v>
      </c>
      <c r="O356" s="43" t="s">
        <v>38</v>
      </c>
      <c r="P356" s="55" t="s">
        <v>87</v>
      </c>
      <c r="Q356" t="s">
        <v>1059</v>
      </c>
      <c r="R356" t="s">
        <v>1062</v>
      </c>
    </row>
    <row r="357" spans="1:18" ht="14.45">
      <c r="A357" s="106" t="b">
        <v>1</v>
      </c>
      <c r="B357" t="str" cm="1">
        <f t="array" ref="B357">_xlfn.SINGLE(_xlfn._xlws.FILTER(t_ServiceCatalogue[Onwer],t_ServiceCatalogue[Category]=t_fac25_requirements[[#This Row],[Category]],""))</f>
        <v>EU</v>
      </c>
      <c r="C357" t="s">
        <v>90</v>
      </c>
      <c r="D357" t="str">
        <f>_xlfn._xlws.FILTER(t_Contact[FA Name],t_Contact[FA]=t_fac25_requirements[[#This Row],[FA]],"")</f>
        <v>Workforce</v>
      </c>
      <c r="E357" t="s">
        <v>214</v>
      </c>
      <c r="F357" t="s">
        <v>418</v>
      </c>
      <c r="G357" t="s">
        <v>1061</v>
      </c>
      <c r="H357" t="s">
        <v>32</v>
      </c>
      <c r="I357" t="s">
        <v>94</v>
      </c>
      <c r="J357" s="28" t="s">
        <v>370</v>
      </c>
      <c r="K357" s="32"/>
      <c r="L357" s="32">
        <v>3</v>
      </c>
      <c r="M357" s="30">
        <v>45931</v>
      </c>
      <c r="N357" s="30">
        <v>45961</v>
      </c>
      <c r="O357" s="43" t="s">
        <v>95</v>
      </c>
      <c r="P357" s="55" t="s">
        <v>87</v>
      </c>
      <c r="Q357" t="s">
        <v>1059</v>
      </c>
      <c r="R357" t="s">
        <v>1063</v>
      </c>
    </row>
    <row r="358" spans="1:18" ht="14.45">
      <c r="A358" s="106" t="b">
        <v>1</v>
      </c>
      <c r="B358" t="str" cm="1">
        <f t="array" ref="B358">_xlfn.SINGLE(_xlfn._xlws.FILTER(t_ServiceCatalogue[Onwer],t_ServiceCatalogue[Category]=t_fac25_requirements[[#This Row],[Category]],""))</f>
        <v>AV</v>
      </c>
      <c r="C358" t="s">
        <v>90</v>
      </c>
      <c r="D358" t="str">
        <f>_xlfn._xlws.FILTER(t_Contact[FA Name],t_Contact[FA]=t_fac25_requirements[[#This Row],[FA]],"")</f>
        <v>Workforce</v>
      </c>
      <c r="E358" t="s">
        <v>214</v>
      </c>
      <c r="F358" t="s">
        <v>418</v>
      </c>
      <c r="G358" t="s">
        <v>420</v>
      </c>
      <c r="H358" t="s">
        <v>110</v>
      </c>
      <c r="I358" t="s">
        <v>134</v>
      </c>
      <c r="J358" s="28" t="s">
        <v>370</v>
      </c>
      <c r="K358" s="32"/>
      <c r="L358" s="32">
        <v>2</v>
      </c>
      <c r="M358" s="30">
        <v>45931</v>
      </c>
      <c r="N358" s="30">
        <v>45961</v>
      </c>
      <c r="O358" s="43" t="s">
        <v>135</v>
      </c>
      <c r="P358" s="55" t="s">
        <v>87</v>
      </c>
      <c r="Q358" t="s">
        <v>1064</v>
      </c>
      <c r="R358" t="s">
        <v>1065</v>
      </c>
    </row>
    <row r="359" spans="1:18" ht="14.45">
      <c r="A359" s="106" t="b">
        <v>1</v>
      </c>
      <c r="B359" t="str" cm="1">
        <f t="array" ref="B359">_xlfn.SINGLE(_xlfn._xlws.FILTER(t_ServiceCatalogue[Onwer],t_ServiceCatalogue[Category]=t_fac25_requirements[[#This Row],[Category]],""))</f>
        <v>AV</v>
      </c>
      <c r="C359" t="s">
        <v>90</v>
      </c>
      <c r="D359" t="str">
        <f>_xlfn._xlws.FILTER(t_Contact[FA Name],t_Contact[FA]=t_fac25_requirements[[#This Row],[FA]],"")</f>
        <v>Workforce</v>
      </c>
      <c r="E359" t="s">
        <v>214</v>
      </c>
      <c r="F359" t="s">
        <v>418</v>
      </c>
      <c r="G359" t="s">
        <v>420</v>
      </c>
      <c r="H359" t="s">
        <v>110</v>
      </c>
      <c r="I359" t="s">
        <v>111</v>
      </c>
      <c r="J359" s="28" t="s">
        <v>370</v>
      </c>
      <c r="K359" s="32"/>
      <c r="L359" s="32">
        <v>4</v>
      </c>
      <c r="M359" s="30">
        <v>45931</v>
      </c>
      <c r="N359" s="30">
        <v>45961</v>
      </c>
      <c r="O359" s="43" t="s">
        <v>112</v>
      </c>
      <c r="P359" s="55"/>
      <c r="Q359" t="s">
        <v>1059</v>
      </c>
      <c r="R359" t="s">
        <v>1066</v>
      </c>
    </row>
    <row r="360" spans="1:18" ht="14.45">
      <c r="A360" s="106" t="b">
        <v>1</v>
      </c>
      <c r="B360" t="str" cm="1">
        <f t="array" ref="B360">_xlfn.SINGLE(_xlfn._xlws.FILTER(t_ServiceCatalogue[Onwer],t_ServiceCatalogue[Category]=t_fac25_requirements[[#This Row],[Category]],""))</f>
        <v>NW</v>
      </c>
      <c r="C360" t="s">
        <v>90</v>
      </c>
      <c r="D360" t="str">
        <f>_xlfn._xlws.FILTER(t_Contact[FA Name],t_Contact[FA]=t_fac25_requirements[[#This Row],[FA]],"")</f>
        <v>Workforce</v>
      </c>
      <c r="E360" t="s">
        <v>214</v>
      </c>
      <c r="F360" t="s">
        <v>418</v>
      </c>
      <c r="G360" t="s">
        <v>420</v>
      </c>
      <c r="H360" t="s">
        <v>52</v>
      </c>
      <c r="I360" t="s">
        <v>53</v>
      </c>
      <c r="J360" s="28" t="s">
        <v>370</v>
      </c>
      <c r="K360" s="32"/>
      <c r="L360" s="32">
        <v>1</v>
      </c>
      <c r="M360" s="30">
        <v>45931</v>
      </c>
      <c r="N360" s="30">
        <v>45961</v>
      </c>
      <c r="O360" s="43" t="s">
        <v>54</v>
      </c>
      <c r="P360" s="55" t="s">
        <v>87</v>
      </c>
      <c r="Q360" t="s">
        <v>1059</v>
      </c>
      <c r="R360" t="s">
        <v>1067</v>
      </c>
    </row>
    <row r="361" spans="1:18" ht="14.45">
      <c r="A361" s="106" t="b">
        <v>1</v>
      </c>
      <c r="B361" t="str" cm="1">
        <f t="array" ref="B361">_xlfn.SINGLE(_xlfn._xlws.FILTER(t_ServiceCatalogue[Onwer],t_ServiceCatalogue[Category]=t_fac25_requirements[[#This Row],[Category]],""))</f>
        <v>EU</v>
      </c>
      <c r="C361" t="s">
        <v>90</v>
      </c>
      <c r="D361" t="str">
        <f>_xlfn._xlws.FILTER(t_Contact[FA Name],t_Contact[FA]=t_fac25_requirements[[#This Row],[FA]],"")</f>
        <v>Workforce</v>
      </c>
      <c r="E361" t="s">
        <v>214</v>
      </c>
      <c r="F361" t="s">
        <v>418</v>
      </c>
      <c r="G361" t="s">
        <v>1061</v>
      </c>
      <c r="H361" t="s">
        <v>22</v>
      </c>
      <c r="I361" t="s">
        <v>77</v>
      </c>
      <c r="J361" s="28" t="s">
        <v>370</v>
      </c>
      <c r="K361" s="32"/>
      <c r="L361" s="32">
        <v>1</v>
      </c>
      <c r="M361" s="30">
        <v>45931</v>
      </c>
      <c r="N361" s="30">
        <v>45961</v>
      </c>
      <c r="O361" s="43" t="s">
        <v>29</v>
      </c>
      <c r="P361" s="55" t="s">
        <v>87</v>
      </c>
      <c r="Q361" t="s">
        <v>1068</v>
      </c>
      <c r="R361" t="s">
        <v>1069</v>
      </c>
    </row>
    <row r="362" spans="1:18" ht="14.45">
      <c r="A362" s="106" t="b">
        <v>1</v>
      </c>
      <c r="B362" t="str" cm="1">
        <f t="array" ref="B362">_xlfn.SINGLE(_xlfn._xlws.FILTER(t_ServiceCatalogue[Onwer],t_ServiceCatalogue[Category]=t_fac25_requirements[[#This Row],[Category]],""))</f>
        <v>AV</v>
      </c>
      <c r="C362" t="s">
        <v>90</v>
      </c>
      <c r="D362" t="str">
        <f>_xlfn._xlws.FILTER(t_Contact[FA Name],t_Contact[FA]=t_fac25_requirements[[#This Row],[FA]],"")</f>
        <v>Workforce</v>
      </c>
      <c r="E362" t="s">
        <v>214</v>
      </c>
      <c r="F362" t="s">
        <v>418</v>
      </c>
      <c r="G362" t="s">
        <v>419</v>
      </c>
      <c r="H362" t="s">
        <v>110</v>
      </c>
      <c r="I362" t="s">
        <v>111</v>
      </c>
      <c r="J362" s="28" t="s">
        <v>370</v>
      </c>
      <c r="K362" s="32"/>
      <c r="L362" s="32">
        <v>1</v>
      </c>
      <c r="M362" s="30">
        <v>45931</v>
      </c>
      <c r="N362" s="30">
        <v>45961</v>
      </c>
      <c r="O362" s="43" t="s">
        <v>42</v>
      </c>
      <c r="P362" s="55"/>
      <c r="Q362" t="s">
        <v>1070</v>
      </c>
      <c r="R362" t="s">
        <v>1071</v>
      </c>
    </row>
    <row r="363" spans="1:18" ht="14.45">
      <c r="A363" s="106" t="b">
        <v>1</v>
      </c>
      <c r="B363" t="str" cm="1">
        <f t="array" ref="B363">_xlfn.SINGLE(_xlfn._xlws.FILTER(t_ServiceCatalogue[Onwer],t_ServiceCatalogue[Category]=t_fac25_requirements[[#This Row],[Category]],""))</f>
        <v>EU</v>
      </c>
      <c r="C363" t="s">
        <v>90</v>
      </c>
      <c r="D363" t="str">
        <f>_xlfn._xlws.FILTER(t_Contact[FA Name],t_Contact[FA]=t_fac25_requirements[[#This Row],[FA]],"")</f>
        <v>Workforce</v>
      </c>
      <c r="E363" t="s">
        <v>211</v>
      </c>
      <c r="F363" t="s">
        <v>288</v>
      </c>
      <c r="G363" t="s">
        <v>478</v>
      </c>
      <c r="H363" t="s">
        <v>32</v>
      </c>
      <c r="I363" t="s">
        <v>33</v>
      </c>
      <c r="J363" s="28" t="s">
        <v>370</v>
      </c>
      <c r="K363" s="32"/>
      <c r="L363" s="32">
        <v>6</v>
      </c>
      <c r="M363" s="30">
        <v>45977</v>
      </c>
      <c r="N363" s="30">
        <v>46009</v>
      </c>
      <c r="O363" s="43" t="s">
        <v>34</v>
      </c>
      <c r="P363" s="55" t="s">
        <v>87</v>
      </c>
      <c r="R363" t="s">
        <v>1072</v>
      </c>
    </row>
    <row r="364" spans="1:18" ht="14.45">
      <c r="A364" s="106" t="b">
        <v>0</v>
      </c>
      <c r="B364" t="str" cm="1">
        <f t="array" ref="B364">_xlfn.SINGLE(_xlfn._xlws.FILTER(t_ServiceCatalogue[Onwer],t_ServiceCatalogue[Category]=t_fac25_requirements[[#This Row],[Category]],""))</f>
        <v>EU</v>
      </c>
      <c r="C364" t="s">
        <v>90</v>
      </c>
      <c r="D364" t="str">
        <f>_xlfn._xlws.FILTER(t_Contact[FA Name],t_Contact[FA]=t_fac25_requirements[[#This Row],[FA]],"")</f>
        <v>Workforce</v>
      </c>
      <c r="E364" t="s">
        <v>211</v>
      </c>
      <c r="F364" t="s">
        <v>288</v>
      </c>
      <c r="G364" t="s">
        <v>292</v>
      </c>
      <c r="H364" t="s">
        <v>22</v>
      </c>
      <c r="I364" t="s">
        <v>23</v>
      </c>
      <c r="J364" s="28" t="s">
        <v>370</v>
      </c>
      <c r="K364" s="32"/>
      <c r="L364" s="32">
        <v>1</v>
      </c>
      <c r="M364" s="30">
        <v>45977</v>
      </c>
      <c r="N364" s="30">
        <v>46009</v>
      </c>
      <c r="O364" s="43" t="s">
        <v>29</v>
      </c>
      <c r="P364" s="55" t="s">
        <v>1073</v>
      </c>
      <c r="Q364" t="s">
        <v>1074</v>
      </c>
      <c r="R364" t="s">
        <v>1075</v>
      </c>
    </row>
    <row r="365" spans="1:18" ht="14.45">
      <c r="A365" s="106" t="b">
        <v>0</v>
      </c>
      <c r="B365" t="str" cm="1">
        <f t="array" ref="B365">_xlfn.SINGLE(_xlfn._xlws.FILTER(t_ServiceCatalogue[Onwer],t_ServiceCatalogue[Category]=t_fac25_requirements[[#This Row],[Category]],""))</f>
        <v>AV</v>
      </c>
      <c r="C365" t="s">
        <v>90</v>
      </c>
      <c r="D365" t="str">
        <f>_xlfn._xlws.FILTER(t_Contact[FA Name],t_Contact[FA]=t_fac25_requirements[[#This Row],[FA]],"")</f>
        <v>Workforce</v>
      </c>
      <c r="E365" t="s">
        <v>211</v>
      </c>
      <c r="F365" t="s">
        <v>288</v>
      </c>
      <c r="G365" t="s">
        <v>291</v>
      </c>
      <c r="H365" t="s">
        <v>110</v>
      </c>
      <c r="I365" t="s">
        <v>134</v>
      </c>
      <c r="J365" s="28" t="s">
        <v>370</v>
      </c>
      <c r="K365" s="32"/>
      <c r="L365" s="32">
        <v>1</v>
      </c>
      <c r="M365" s="30">
        <v>45977</v>
      </c>
      <c r="N365" s="30">
        <v>46009</v>
      </c>
      <c r="O365" s="43" t="s">
        <v>135</v>
      </c>
      <c r="P365" s="55" t="s">
        <v>87</v>
      </c>
      <c r="R365" t="s">
        <v>1076</v>
      </c>
    </row>
    <row r="366" spans="1:18" ht="14.45">
      <c r="A366" s="106" t="b">
        <v>0</v>
      </c>
      <c r="B366" t="str" cm="1">
        <f t="array" ref="B366">_xlfn.SINGLE(_xlfn._xlws.FILTER(t_ServiceCatalogue[Onwer],t_ServiceCatalogue[Category]=t_fac25_requirements[[#This Row],[Category]],""))</f>
        <v>AV</v>
      </c>
      <c r="C366" t="s">
        <v>90</v>
      </c>
      <c r="D366" t="str">
        <f>_xlfn._xlws.FILTER(t_Contact[FA Name],t_Contact[FA]=t_fac25_requirements[[#This Row],[FA]],"")</f>
        <v>Workforce</v>
      </c>
      <c r="E366" t="s">
        <v>211</v>
      </c>
      <c r="F366" t="s">
        <v>288</v>
      </c>
      <c r="G366" t="s">
        <v>291</v>
      </c>
      <c r="H366" t="s">
        <v>58</v>
      </c>
      <c r="I366" t="s">
        <v>59</v>
      </c>
      <c r="J366" s="28" t="s">
        <v>370</v>
      </c>
      <c r="K366" s="32"/>
      <c r="L366" s="32">
        <v>2</v>
      </c>
      <c r="M366" s="30">
        <v>45977</v>
      </c>
      <c r="N366" s="30">
        <v>46009</v>
      </c>
      <c r="O366" s="43" t="s">
        <v>60</v>
      </c>
      <c r="P366" s="55" t="s">
        <v>414</v>
      </c>
      <c r="Q366" t="s">
        <v>415</v>
      </c>
      <c r="R366" t="s">
        <v>416</v>
      </c>
    </row>
    <row r="367" spans="1:18" ht="14.45">
      <c r="A367" s="106" t="b">
        <v>1</v>
      </c>
      <c r="B367" t="str" cm="1">
        <f t="array" ref="B367">_xlfn.SINGLE(_xlfn._xlws.FILTER(t_ServiceCatalogue[Onwer],t_ServiceCatalogue[Category]=t_fac25_requirements[[#This Row],[Category]],""))</f>
        <v>Telco/SIM</v>
      </c>
      <c r="C367" t="s">
        <v>90</v>
      </c>
      <c r="D367" t="str">
        <f>_xlfn._xlws.FILTER(t_Contact[FA Name],t_Contact[FA]=t_fac25_requirements[[#This Row],[FA]],"")</f>
        <v>Workforce</v>
      </c>
      <c r="E367" t="s">
        <v>211</v>
      </c>
      <c r="F367" t="s">
        <v>288</v>
      </c>
      <c r="G367" t="s">
        <v>292</v>
      </c>
      <c r="H367" t="s">
        <v>84</v>
      </c>
      <c r="I367" t="s">
        <v>221</v>
      </c>
      <c r="J367" s="28" t="s">
        <v>370</v>
      </c>
      <c r="K367" s="32"/>
      <c r="L367" s="32">
        <v>2</v>
      </c>
      <c r="M367" s="30">
        <v>45977</v>
      </c>
      <c r="N367" s="30">
        <v>46009</v>
      </c>
      <c r="O367" s="43" t="s">
        <v>86</v>
      </c>
      <c r="P367" s="55" t="s">
        <v>87</v>
      </c>
      <c r="Q367" t="s">
        <v>1077</v>
      </c>
      <c r="R367" t="s">
        <v>1078</v>
      </c>
    </row>
    <row r="368" spans="1:18" ht="14.45">
      <c r="A368" s="106" t="b">
        <v>0</v>
      </c>
      <c r="B368" t="str" cm="1">
        <f t="array" ref="B368">_xlfn.SINGLE(_xlfn._xlws.FILTER(t_ServiceCatalogue[Onwer],t_ServiceCatalogue[Category]=t_fac25_requirements[[#This Row],[Category]],""))</f>
        <v>NW</v>
      </c>
      <c r="C368" t="s">
        <v>90</v>
      </c>
      <c r="D368" t="str">
        <f>_xlfn._xlws.FILTER(t_Contact[FA Name],t_Contact[FA]=t_fac25_requirements[[#This Row],[FA]],"")</f>
        <v>Workforce</v>
      </c>
      <c r="E368" t="s">
        <v>211</v>
      </c>
      <c r="F368" t="s">
        <v>288</v>
      </c>
      <c r="G368" t="s">
        <v>292</v>
      </c>
      <c r="H368" t="s">
        <v>52</v>
      </c>
      <c r="I368" t="s">
        <v>53</v>
      </c>
      <c r="J368" s="28" t="s">
        <v>370</v>
      </c>
      <c r="K368" s="32"/>
      <c r="L368" s="32">
        <v>1</v>
      </c>
      <c r="M368" s="30">
        <v>45977</v>
      </c>
      <c r="N368" s="30">
        <v>46009</v>
      </c>
      <c r="O368" s="43" t="s">
        <v>54</v>
      </c>
      <c r="P368" s="55" t="s">
        <v>87</v>
      </c>
      <c r="Q368" t="s">
        <v>1079</v>
      </c>
      <c r="R368" t="s">
        <v>1080</v>
      </c>
    </row>
    <row r="369" spans="1:18" ht="14.45">
      <c r="A369" s="106" t="b">
        <v>1</v>
      </c>
      <c r="B369" t="str" cm="1">
        <f t="array" ref="B369">_xlfn.SINGLE(_xlfn._xlws.FILTER(t_ServiceCatalogue[Onwer],t_ServiceCatalogue[Category]=t_fac25_requirements[[#This Row],[Category]],""))</f>
        <v>EU</v>
      </c>
      <c r="C369" t="s">
        <v>90</v>
      </c>
      <c r="D369" t="str">
        <f>_xlfn._xlws.FILTER(t_Contact[FA Name],t_Contact[FA]=t_fac25_requirements[[#This Row],[FA]],"")</f>
        <v>Workforce</v>
      </c>
      <c r="E369" t="s">
        <v>214</v>
      </c>
      <c r="F369" t="s">
        <v>288</v>
      </c>
      <c r="G369" t="s">
        <v>478</v>
      </c>
      <c r="H369" t="s">
        <v>32</v>
      </c>
      <c r="I369" t="s">
        <v>33</v>
      </c>
      <c r="J369" s="28" t="s">
        <v>370</v>
      </c>
      <c r="K369" s="32"/>
      <c r="L369" s="32">
        <v>6</v>
      </c>
      <c r="M369" s="30">
        <v>45977</v>
      </c>
      <c r="N369" s="30">
        <v>46009</v>
      </c>
      <c r="O369" s="43" t="s">
        <v>34</v>
      </c>
      <c r="P369" s="55" t="s">
        <v>87</v>
      </c>
      <c r="R369" t="s">
        <v>1081</v>
      </c>
    </row>
    <row r="370" spans="1:18" ht="14.45">
      <c r="A370" s="106" t="b">
        <v>1</v>
      </c>
      <c r="B370" t="str" cm="1">
        <f t="array" ref="B370">_xlfn.SINGLE(_xlfn._xlws.FILTER(t_ServiceCatalogue[Onwer],t_ServiceCatalogue[Category]=t_fac25_requirements[[#This Row],[Category]],""))</f>
        <v>EU</v>
      </c>
      <c r="C370" t="s">
        <v>90</v>
      </c>
      <c r="D370" t="str">
        <f>_xlfn._xlws.FILTER(t_Contact[FA Name],t_Contact[FA]=t_fac25_requirements[[#This Row],[FA]],"")</f>
        <v>Workforce</v>
      </c>
      <c r="E370" t="s">
        <v>214</v>
      </c>
      <c r="F370" t="s">
        <v>288</v>
      </c>
      <c r="G370" t="s">
        <v>292</v>
      </c>
      <c r="H370" t="s">
        <v>22</v>
      </c>
      <c r="I370" t="s">
        <v>23</v>
      </c>
      <c r="J370" s="28" t="s">
        <v>370</v>
      </c>
      <c r="K370" s="32"/>
      <c r="L370" s="32">
        <v>1</v>
      </c>
      <c r="M370" s="30">
        <v>45977</v>
      </c>
      <c r="N370" s="30">
        <v>46009</v>
      </c>
      <c r="O370" s="43" t="s">
        <v>29</v>
      </c>
      <c r="P370" s="55" t="s">
        <v>1073</v>
      </c>
      <c r="Q370" t="s">
        <v>1074</v>
      </c>
      <c r="R370" t="s">
        <v>1082</v>
      </c>
    </row>
    <row r="371" spans="1:18" ht="14.45">
      <c r="A371" s="106" t="b">
        <v>1</v>
      </c>
      <c r="B371" t="str" cm="1">
        <f t="array" ref="B371">_xlfn.SINGLE(_xlfn._xlws.FILTER(t_ServiceCatalogue[Onwer],t_ServiceCatalogue[Category]=t_fac25_requirements[[#This Row],[Category]],""))</f>
        <v>AV</v>
      </c>
      <c r="C371" t="s">
        <v>90</v>
      </c>
      <c r="D371" t="str">
        <f>_xlfn._xlws.FILTER(t_Contact[FA Name],t_Contact[FA]=t_fac25_requirements[[#This Row],[FA]],"")</f>
        <v>Workforce</v>
      </c>
      <c r="E371" t="s">
        <v>214</v>
      </c>
      <c r="F371" t="s">
        <v>288</v>
      </c>
      <c r="G371" t="s">
        <v>291</v>
      </c>
      <c r="H371" t="s">
        <v>110</v>
      </c>
      <c r="I371" t="s">
        <v>134</v>
      </c>
      <c r="J371" s="28" t="s">
        <v>370</v>
      </c>
      <c r="K371" s="32"/>
      <c r="L371" s="32">
        <v>1</v>
      </c>
      <c r="M371" s="30">
        <v>45977</v>
      </c>
      <c r="N371" s="30">
        <v>46009</v>
      </c>
      <c r="O371" s="43" t="s">
        <v>135</v>
      </c>
      <c r="P371" s="55" t="s">
        <v>87</v>
      </c>
      <c r="R371" t="s">
        <v>1083</v>
      </c>
    </row>
    <row r="372" spans="1:18" ht="14.45">
      <c r="A372" s="106" t="b">
        <v>1</v>
      </c>
      <c r="B372" t="str" cm="1">
        <f t="array" ref="B372">_xlfn.SINGLE(_xlfn._xlws.FILTER(t_ServiceCatalogue[Onwer],t_ServiceCatalogue[Category]=t_fac25_requirements[[#This Row],[Category]],""))</f>
        <v>AV</v>
      </c>
      <c r="C372" t="s">
        <v>90</v>
      </c>
      <c r="D372" t="str">
        <f>_xlfn._xlws.FILTER(t_Contact[FA Name],t_Contact[FA]=t_fac25_requirements[[#This Row],[FA]],"")</f>
        <v>Workforce</v>
      </c>
      <c r="E372" t="s">
        <v>214</v>
      </c>
      <c r="F372" t="s">
        <v>288</v>
      </c>
      <c r="G372" t="s">
        <v>291</v>
      </c>
      <c r="H372" t="s">
        <v>58</v>
      </c>
      <c r="I372" t="s">
        <v>59</v>
      </c>
      <c r="J372" s="28" t="s">
        <v>370</v>
      </c>
      <c r="K372" s="32"/>
      <c r="L372" s="32">
        <v>2</v>
      </c>
      <c r="M372" s="30">
        <v>45977</v>
      </c>
      <c r="N372" s="30">
        <v>46009</v>
      </c>
      <c r="O372" s="43" t="s">
        <v>60</v>
      </c>
      <c r="P372" s="55" t="s">
        <v>414</v>
      </c>
      <c r="Q372" t="s">
        <v>415</v>
      </c>
      <c r="R372" t="s">
        <v>1084</v>
      </c>
    </row>
    <row r="373" spans="1:18" ht="14.45">
      <c r="A373" s="106" t="b">
        <v>1</v>
      </c>
      <c r="B373" t="str" cm="1">
        <f t="array" ref="B373">_xlfn.SINGLE(_xlfn._xlws.FILTER(t_ServiceCatalogue[Onwer],t_ServiceCatalogue[Category]=t_fac25_requirements[[#This Row],[Category]],""))</f>
        <v>Telco/SIM</v>
      </c>
      <c r="C373" t="s">
        <v>90</v>
      </c>
      <c r="D373" t="str">
        <f>_xlfn._xlws.FILTER(t_Contact[FA Name],t_Contact[FA]=t_fac25_requirements[[#This Row],[FA]],"")</f>
        <v>Workforce</v>
      </c>
      <c r="E373" t="s">
        <v>214</v>
      </c>
      <c r="F373" t="s">
        <v>288</v>
      </c>
      <c r="G373" t="s">
        <v>292</v>
      </c>
      <c r="H373" t="s">
        <v>84</v>
      </c>
      <c r="I373" t="s">
        <v>221</v>
      </c>
      <c r="J373" s="28" t="s">
        <v>370</v>
      </c>
      <c r="K373" s="32"/>
      <c r="L373" s="32">
        <v>2</v>
      </c>
      <c r="M373" s="30">
        <v>45977</v>
      </c>
      <c r="N373" s="30">
        <v>46009</v>
      </c>
      <c r="O373" s="43" t="s">
        <v>86</v>
      </c>
      <c r="P373" s="55" t="s">
        <v>87</v>
      </c>
      <c r="Q373" t="s">
        <v>1077</v>
      </c>
      <c r="R373" t="s">
        <v>1085</v>
      </c>
    </row>
    <row r="374" spans="1:18" ht="14.45">
      <c r="A374" s="106" t="b">
        <v>0</v>
      </c>
      <c r="B374" t="str" cm="1">
        <f t="array" ref="B374">_xlfn.SINGLE(_xlfn._xlws.FILTER(t_ServiceCatalogue[Onwer],t_ServiceCatalogue[Category]=t_fac25_requirements[[#This Row],[Category]],""))</f>
        <v>NW</v>
      </c>
      <c r="C374" t="s">
        <v>90</v>
      </c>
      <c r="D374" t="str">
        <f>_xlfn._xlws.FILTER(t_Contact[FA Name],t_Contact[FA]=t_fac25_requirements[[#This Row],[FA]],"")</f>
        <v>Workforce</v>
      </c>
      <c r="E374" t="s">
        <v>214</v>
      </c>
      <c r="F374" t="s">
        <v>288</v>
      </c>
      <c r="G374" t="s">
        <v>292</v>
      </c>
      <c r="H374" t="s">
        <v>52</v>
      </c>
      <c r="I374" t="s">
        <v>53</v>
      </c>
      <c r="J374" s="28" t="s">
        <v>370</v>
      </c>
      <c r="K374" s="32"/>
      <c r="L374" s="32">
        <v>1</v>
      </c>
      <c r="M374" s="30">
        <v>45977</v>
      </c>
      <c r="N374" s="30">
        <v>46009</v>
      </c>
      <c r="O374" s="43" t="s">
        <v>54</v>
      </c>
      <c r="P374" s="55" t="s">
        <v>87</v>
      </c>
      <c r="Q374" t="s">
        <v>1079</v>
      </c>
      <c r="R374" t="s">
        <v>1086</v>
      </c>
    </row>
    <row r="375" spans="1:18" ht="14.45">
      <c r="A375" s="106" t="b">
        <v>1</v>
      </c>
      <c r="B375" t="str" cm="1">
        <f t="array" ref="B375">_xlfn.SINGLE(_xlfn._xlws.FILTER(t_ServiceCatalogue[Onwer],t_ServiceCatalogue[Category]=t_fac25_requirements[[#This Row],[Category]],""))</f>
        <v>EU</v>
      </c>
      <c r="C375" t="s">
        <v>90</v>
      </c>
      <c r="D375" t="str">
        <f>_xlfn._xlws.FILTER(t_Contact[FA Name],t_Contact[FA]=t_fac25_requirements[[#This Row],[FA]],"")</f>
        <v>Workforce</v>
      </c>
      <c r="E375" s="43">
        <v>974</v>
      </c>
      <c r="F375" t="s">
        <v>288</v>
      </c>
      <c r="G375" t="s">
        <v>478</v>
      </c>
      <c r="H375" t="s">
        <v>32</v>
      </c>
      <c r="I375" t="s">
        <v>33</v>
      </c>
      <c r="J375" s="28" t="s">
        <v>370</v>
      </c>
      <c r="K375" s="32"/>
      <c r="L375" s="32">
        <v>4</v>
      </c>
      <c r="M375" s="30">
        <v>45977</v>
      </c>
      <c r="N375" s="30">
        <v>46009</v>
      </c>
      <c r="O375" s="43" t="s">
        <v>34</v>
      </c>
      <c r="P375" s="55" t="s">
        <v>87</v>
      </c>
      <c r="R375" t="s">
        <v>1087</v>
      </c>
    </row>
    <row r="376" spans="1:18" ht="14.45">
      <c r="A376" s="106" t="b">
        <v>1</v>
      </c>
      <c r="B376" t="str" cm="1">
        <f t="array" ref="B376">_xlfn.SINGLE(_xlfn._xlws.FILTER(t_ServiceCatalogue[Onwer],t_ServiceCatalogue[Category]=t_fac25_requirements[[#This Row],[Category]],""))</f>
        <v>EU</v>
      </c>
      <c r="C376" t="s">
        <v>90</v>
      </c>
      <c r="D376" t="str">
        <f>_xlfn._xlws.FILTER(t_Contact[FA Name],t_Contact[FA]=t_fac25_requirements[[#This Row],[FA]],"")</f>
        <v>Workforce</v>
      </c>
      <c r="E376" s="43">
        <v>974</v>
      </c>
      <c r="F376" t="s">
        <v>288</v>
      </c>
      <c r="G376" t="s">
        <v>292</v>
      </c>
      <c r="H376" t="s">
        <v>22</v>
      </c>
      <c r="I376" t="s">
        <v>23</v>
      </c>
      <c r="J376" s="28" t="s">
        <v>370</v>
      </c>
      <c r="K376" s="32"/>
      <c r="L376" s="32">
        <v>1</v>
      </c>
      <c r="M376" s="30">
        <v>45977</v>
      </c>
      <c r="N376" s="30">
        <v>46009</v>
      </c>
      <c r="O376" s="43" t="s">
        <v>29</v>
      </c>
      <c r="P376" s="55" t="s">
        <v>1073</v>
      </c>
      <c r="Q376" t="s">
        <v>1074</v>
      </c>
      <c r="R376" t="s">
        <v>1088</v>
      </c>
    </row>
    <row r="377" spans="1:18" ht="14.45">
      <c r="A377" s="106" t="b">
        <v>0</v>
      </c>
      <c r="B377" t="str" cm="1">
        <f t="array" ref="B377">_xlfn.SINGLE(_xlfn._xlws.FILTER(t_ServiceCatalogue[Onwer],t_ServiceCatalogue[Category]=t_fac25_requirements[[#This Row],[Category]],""))</f>
        <v>AV</v>
      </c>
      <c r="C377" t="s">
        <v>90</v>
      </c>
      <c r="D377" t="str">
        <f>_xlfn._xlws.FILTER(t_Contact[FA Name],t_Contact[FA]=t_fac25_requirements[[#This Row],[FA]],"")</f>
        <v>Workforce</v>
      </c>
      <c r="E377" s="43">
        <v>974</v>
      </c>
      <c r="F377" t="s">
        <v>288</v>
      </c>
      <c r="G377" t="s">
        <v>291</v>
      </c>
      <c r="H377" t="s">
        <v>110</v>
      </c>
      <c r="I377" t="s">
        <v>134</v>
      </c>
      <c r="J377" s="28" t="s">
        <v>370</v>
      </c>
      <c r="K377" s="32"/>
      <c r="L377" s="32">
        <v>1</v>
      </c>
      <c r="M377" s="30">
        <v>45977</v>
      </c>
      <c r="N377" s="30">
        <v>46009</v>
      </c>
      <c r="O377" s="43" t="s">
        <v>135</v>
      </c>
      <c r="P377" s="55" t="s">
        <v>87</v>
      </c>
      <c r="R377" t="s">
        <v>1089</v>
      </c>
    </row>
    <row r="378" spans="1:18" ht="14.45">
      <c r="A378" s="106" t="b">
        <v>0</v>
      </c>
      <c r="B378" t="str" cm="1">
        <f t="array" ref="B378">_xlfn.SINGLE(_xlfn._xlws.FILTER(t_ServiceCatalogue[Onwer],t_ServiceCatalogue[Category]=t_fac25_requirements[[#This Row],[Category]],""))</f>
        <v>AV</v>
      </c>
      <c r="C378" t="s">
        <v>90</v>
      </c>
      <c r="D378" t="str">
        <f>_xlfn._xlws.FILTER(t_Contact[FA Name],t_Contact[FA]=t_fac25_requirements[[#This Row],[FA]],"")</f>
        <v>Workforce</v>
      </c>
      <c r="E378" s="43">
        <v>974</v>
      </c>
      <c r="F378" t="s">
        <v>288</v>
      </c>
      <c r="G378" t="s">
        <v>291</v>
      </c>
      <c r="H378" t="s">
        <v>58</v>
      </c>
      <c r="I378" t="s">
        <v>59</v>
      </c>
      <c r="J378" s="28" t="s">
        <v>370</v>
      </c>
      <c r="K378" s="32"/>
      <c r="L378" s="32">
        <v>1</v>
      </c>
      <c r="M378" s="30">
        <v>45977</v>
      </c>
      <c r="N378" s="30">
        <v>46009</v>
      </c>
      <c r="O378" s="43" t="s">
        <v>60</v>
      </c>
      <c r="P378" s="55" t="s">
        <v>414</v>
      </c>
      <c r="Q378" t="s">
        <v>415</v>
      </c>
      <c r="R378" t="s">
        <v>1090</v>
      </c>
    </row>
    <row r="379" spans="1:18" ht="14.45">
      <c r="A379" s="106" t="b">
        <v>1</v>
      </c>
      <c r="B379" t="str" cm="1">
        <f t="array" ref="B379">_xlfn.SINGLE(_xlfn._xlws.FILTER(t_ServiceCatalogue[Onwer],t_ServiceCatalogue[Category]=t_fac25_requirements[[#This Row],[Category]],""))</f>
        <v>Telco/SIM</v>
      </c>
      <c r="C379" t="s">
        <v>90</v>
      </c>
      <c r="D379" t="str">
        <f>_xlfn._xlws.FILTER(t_Contact[FA Name],t_Contact[FA]=t_fac25_requirements[[#This Row],[FA]],"")</f>
        <v>Workforce</v>
      </c>
      <c r="E379" s="43">
        <v>974</v>
      </c>
      <c r="F379" t="s">
        <v>288</v>
      </c>
      <c r="G379" t="s">
        <v>292</v>
      </c>
      <c r="H379" t="s">
        <v>84</v>
      </c>
      <c r="I379" t="s">
        <v>221</v>
      </c>
      <c r="J379" s="28" t="s">
        <v>370</v>
      </c>
      <c r="K379" s="32"/>
      <c r="L379" s="32">
        <v>2</v>
      </c>
      <c r="M379" s="30">
        <v>45977</v>
      </c>
      <c r="N379" s="30">
        <v>46009</v>
      </c>
      <c r="O379" s="43" t="s">
        <v>86</v>
      </c>
      <c r="P379" s="55" t="s">
        <v>87</v>
      </c>
      <c r="Q379" t="s">
        <v>1077</v>
      </c>
      <c r="R379" t="s">
        <v>1091</v>
      </c>
    </row>
    <row r="380" spans="1:18" ht="14.45">
      <c r="A380" s="106" t="b">
        <v>0</v>
      </c>
      <c r="B380" t="str" cm="1">
        <f t="array" ref="B380">_xlfn.SINGLE(_xlfn._xlws.FILTER(t_ServiceCatalogue[Onwer],t_ServiceCatalogue[Category]=t_fac25_requirements[[#This Row],[Category]],""))</f>
        <v>NW</v>
      </c>
      <c r="C380" t="s">
        <v>90</v>
      </c>
      <c r="D380" t="str">
        <f>_xlfn._xlws.FILTER(t_Contact[FA Name],t_Contact[FA]=t_fac25_requirements[[#This Row],[FA]],"")</f>
        <v>Workforce</v>
      </c>
      <c r="E380" s="43">
        <v>974</v>
      </c>
      <c r="F380" t="s">
        <v>288</v>
      </c>
      <c r="G380" t="s">
        <v>292</v>
      </c>
      <c r="H380" t="s">
        <v>52</v>
      </c>
      <c r="I380" t="s">
        <v>53</v>
      </c>
      <c r="J380" s="28" t="s">
        <v>370</v>
      </c>
      <c r="K380" s="32"/>
      <c r="L380" s="32">
        <v>1</v>
      </c>
      <c r="M380" s="30">
        <v>45977</v>
      </c>
      <c r="N380" s="30">
        <v>46009</v>
      </c>
      <c r="O380" s="43" t="s">
        <v>54</v>
      </c>
      <c r="P380" s="55" t="s">
        <v>1092</v>
      </c>
      <c r="Q380" t="s">
        <v>1079</v>
      </c>
      <c r="R380" t="s">
        <v>1093</v>
      </c>
    </row>
    <row r="381" spans="1:18" ht="14.45">
      <c r="A381" s="106" t="b">
        <v>1</v>
      </c>
      <c r="B381" t="str" cm="1">
        <f t="array" ref="B381">_xlfn.SINGLE(_xlfn._xlws.FILTER(t_ServiceCatalogue[Onwer],t_ServiceCatalogue[Category]=t_fac25_requirements[[#This Row],[Category]],""))</f>
        <v>EU</v>
      </c>
      <c r="C381" t="s">
        <v>90</v>
      </c>
      <c r="D381" t="str">
        <f>_xlfn._xlws.FILTER(t_Contact[FA Name],t_Contact[FA]=t_fac25_requirements[[#This Row],[FA]],"")</f>
        <v>Workforce</v>
      </c>
      <c r="E381" t="s">
        <v>208</v>
      </c>
      <c r="F381" t="s">
        <v>288</v>
      </c>
      <c r="G381" t="s">
        <v>478</v>
      </c>
      <c r="H381" t="s">
        <v>32</v>
      </c>
      <c r="I381" t="s">
        <v>33</v>
      </c>
      <c r="J381" s="28" t="s">
        <v>370</v>
      </c>
      <c r="K381" s="32"/>
      <c r="L381" s="32">
        <v>5</v>
      </c>
      <c r="M381" s="30">
        <v>45977</v>
      </c>
      <c r="N381" s="30">
        <v>46009</v>
      </c>
      <c r="O381" s="43" t="s">
        <v>34</v>
      </c>
      <c r="P381" s="55" t="s">
        <v>87</v>
      </c>
      <c r="R381" t="s">
        <v>1094</v>
      </c>
    </row>
    <row r="382" spans="1:18" ht="14.45">
      <c r="A382" s="106" t="b">
        <v>1</v>
      </c>
      <c r="B382" t="str" cm="1">
        <f t="array" ref="B382">_xlfn.SINGLE(_xlfn._xlws.FILTER(t_ServiceCatalogue[Onwer],t_ServiceCatalogue[Category]=t_fac25_requirements[[#This Row],[Category]],""))</f>
        <v>EU</v>
      </c>
      <c r="C382" t="s">
        <v>90</v>
      </c>
      <c r="D382" t="str">
        <f>_xlfn._xlws.FILTER(t_Contact[FA Name],t_Contact[FA]=t_fac25_requirements[[#This Row],[FA]],"")</f>
        <v>Workforce</v>
      </c>
      <c r="E382" t="s">
        <v>208</v>
      </c>
      <c r="F382" t="s">
        <v>288</v>
      </c>
      <c r="G382" t="s">
        <v>292</v>
      </c>
      <c r="H382" t="s">
        <v>22</v>
      </c>
      <c r="I382" t="s">
        <v>23</v>
      </c>
      <c r="J382" s="28" t="s">
        <v>370</v>
      </c>
      <c r="K382" s="32"/>
      <c r="L382" s="32">
        <v>1</v>
      </c>
      <c r="M382" s="30">
        <v>45977</v>
      </c>
      <c r="N382" s="30">
        <v>46009</v>
      </c>
      <c r="O382" s="43" t="s">
        <v>29</v>
      </c>
      <c r="P382" s="55" t="s">
        <v>1073</v>
      </c>
      <c r="Q382" t="s">
        <v>1074</v>
      </c>
      <c r="R382" t="s">
        <v>1095</v>
      </c>
    </row>
    <row r="383" spans="1:18" ht="14.45">
      <c r="A383" s="106" t="b">
        <v>1</v>
      </c>
      <c r="B383" t="str" cm="1">
        <f t="array" ref="B383">_xlfn.SINGLE(_xlfn._xlws.FILTER(t_ServiceCatalogue[Onwer],t_ServiceCatalogue[Category]=t_fac25_requirements[[#This Row],[Category]],""))</f>
        <v>AV</v>
      </c>
      <c r="C383" t="s">
        <v>90</v>
      </c>
      <c r="D383" t="str">
        <f>_xlfn._xlws.FILTER(t_Contact[FA Name],t_Contact[FA]=t_fac25_requirements[[#This Row],[FA]],"")</f>
        <v>Workforce</v>
      </c>
      <c r="E383" t="s">
        <v>208</v>
      </c>
      <c r="F383" t="s">
        <v>288</v>
      </c>
      <c r="G383" t="s">
        <v>291</v>
      </c>
      <c r="H383" t="s">
        <v>110</v>
      </c>
      <c r="I383" t="s">
        <v>134</v>
      </c>
      <c r="J383" s="28" t="s">
        <v>370</v>
      </c>
      <c r="K383" s="32"/>
      <c r="L383" s="32">
        <v>1</v>
      </c>
      <c r="M383" s="30">
        <v>45977</v>
      </c>
      <c r="N383" s="30">
        <v>46009</v>
      </c>
      <c r="O383" s="43" t="s">
        <v>135</v>
      </c>
      <c r="P383" s="55" t="s">
        <v>87</v>
      </c>
      <c r="R383" t="s">
        <v>1096</v>
      </c>
    </row>
    <row r="384" spans="1:18" ht="14.45">
      <c r="A384" s="106" t="b">
        <v>1</v>
      </c>
      <c r="B384" t="str" cm="1">
        <f t="array" ref="B384">_xlfn.SINGLE(_xlfn._xlws.FILTER(t_ServiceCatalogue[Onwer],t_ServiceCatalogue[Category]=t_fac25_requirements[[#This Row],[Category]],""))</f>
        <v>AV</v>
      </c>
      <c r="C384" t="s">
        <v>90</v>
      </c>
      <c r="D384" t="str">
        <f>_xlfn._xlws.FILTER(t_Contact[FA Name],t_Contact[FA]=t_fac25_requirements[[#This Row],[FA]],"")</f>
        <v>Workforce</v>
      </c>
      <c r="E384" t="s">
        <v>208</v>
      </c>
      <c r="F384" t="s">
        <v>288</v>
      </c>
      <c r="G384" t="s">
        <v>291</v>
      </c>
      <c r="H384" t="s">
        <v>58</v>
      </c>
      <c r="I384" t="s">
        <v>59</v>
      </c>
      <c r="J384" s="28" t="s">
        <v>370</v>
      </c>
      <c r="K384" s="32"/>
      <c r="L384" s="32">
        <v>1</v>
      </c>
      <c r="M384" s="30">
        <v>45977</v>
      </c>
      <c r="N384" s="30">
        <v>46009</v>
      </c>
      <c r="O384" s="43" t="s">
        <v>60</v>
      </c>
      <c r="P384" s="55" t="s">
        <v>414</v>
      </c>
      <c r="Q384" t="s">
        <v>415</v>
      </c>
      <c r="R384" t="s">
        <v>1097</v>
      </c>
    </row>
    <row r="385" spans="1:18" ht="14.45">
      <c r="A385" s="106" t="b">
        <v>1</v>
      </c>
      <c r="B385" t="str" cm="1">
        <f t="array" ref="B385">_xlfn.SINGLE(_xlfn._xlws.FILTER(t_ServiceCatalogue[Onwer],t_ServiceCatalogue[Category]=t_fac25_requirements[[#This Row],[Category]],""))</f>
        <v>Telco/SIM</v>
      </c>
      <c r="C385" t="s">
        <v>90</v>
      </c>
      <c r="D385" t="str">
        <f>_xlfn._xlws.FILTER(t_Contact[FA Name],t_Contact[FA]=t_fac25_requirements[[#This Row],[FA]],"")</f>
        <v>Workforce</v>
      </c>
      <c r="E385" t="s">
        <v>208</v>
      </c>
      <c r="F385" t="s">
        <v>288</v>
      </c>
      <c r="G385" t="s">
        <v>292</v>
      </c>
      <c r="H385" t="s">
        <v>84</v>
      </c>
      <c r="I385" t="s">
        <v>221</v>
      </c>
      <c r="J385" s="28" t="s">
        <v>370</v>
      </c>
      <c r="K385" s="32"/>
      <c r="L385" s="32">
        <v>2</v>
      </c>
      <c r="M385" s="30">
        <v>45977</v>
      </c>
      <c r="N385" s="30">
        <v>46009</v>
      </c>
      <c r="O385" s="43" t="s">
        <v>86</v>
      </c>
      <c r="P385" s="55" t="s">
        <v>87</v>
      </c>
      <c r="Q385" t="s">
        <v>1077</v>
      </c>
      <c r="R385" t="s">
        <v>1098</v>
      </c>
    </row>
    <row r="386" spans="1:18" ht="14.45">
      <c r="A386" s="106" t="b">
        <v>1</v>
      </c>
      <c r="B386" t="str" cm="1">
        <f t="array" ref="B386">_xlfn.SINGLE(_xlfn._xlws.FILTER(t_ServiceCatalogue[Onwer],t_ServiceCatalogue[Category]=t_fac25_requirements[[#This Row],[Category]],""))</f>
        <v>NW</v>
      </c>
      <c r="C386" t="s">
        <v>90</v>
      </c>
      <c r="D386" t="str">
        <f>_xlfn._xlws.FILTER(t_Contact[FA Name],t_Contact[FA]=t_fac25_requirements[[#This Row],[FA]],"")</f>
        <v>Workforce</v>
      </c>
      <c r="E386" t="s">
        <v>208</v>
      </c>
      <c r="F386" t="s">
        <v>288</v>
      </c>
      <c r="G386" t="s">
        <v>292</v>
      </c>
      <c r="H386" t="s">
        <v>52</v>
      </c>
      <c r="I386" t="s">
        <v>53</v>
      </c>
      <c r="J386" s="28" t="s">
        <v>370</v>
      </c>
      <c r="K386" s="32"/>
      <c r="L386" s="32">
        <v>1</v>
      </c>
      <c r="M386" s="30">
        <v>45977</v>
      </c>
      <c r="N386" s="30">
        <v>46009</v>
      </c>
      <c r="O386" s="43" t="s">
        <v>54</v>
      </c>
      <c r="P386" s="55" t="s">
        <v>1092</v>
      </c>
      <c r="Q386" t="s">
        <v>1079</v>
      </c>
      <c r="R386" t="s">
        <v>1099</v>
      </c>
    </row>
    <row r="387" spans="1:18" ht="14.45">
      <c r="A387" s="106" t="b">
        <v>1</v>
      </c>
      <c r="B387" t="str" cm="1">
        <f t="array" ref="B387">_xlfn.SINGLE(_xlfn._xlws.FILTER(t_ServiceCatalogue[Onwer],t_ServiceCatalogue[Category]=t_fac25_requirements[[#This Row],[Category]],""))</f>
        <v>EU</v>
      </c>
      <c r="C387" t="s">
        <v>90</v>
      </c>
      <c r="D387" t="str">
        <f>_xlfn._xlws.FILTER(t_Contact[FA Name],t_Contact[FA]=t_fac25_requirements[[#This Row],[FA]],"")</f>
        <v>Workforce</v>
      </c>
      <c r="E387" t="s">
        <v>212</v>
      </c>
      <c r="F387" t="s">
        <v>288</v>
      </c>
      <c r="G387" t="s">
        <v>478</v>
      </c>
      <c r="H387" t="s">
        <v>32</v>
      </c>
      <c r="I387" t="s">
        <v>33</v>
      </c>
      <c r="J387" s="28" t="s">
        <v>370</v>
      </c>
      <c r="K387" s="32"/>
      <c r="L387" s="32">
        <v>5</v>
      </c>
      <c r="M387" s="30">
        <v>45977</v>
      </c>
      <c r="N387" s="30">
        <v>46009</v>
      </c>
      <c r="O387" s="43" t="s">
        <v>34</v>
      </c>
      <c r="P387" s="55" t="s">
        <v>87</v>
      </c>
      <c r="R387" t="s">
        <v>1100</v>
      </c>
    </row>
    <row r="388" spans="1:18" ht="14.45">
      <c r="A388" s="106" t="b">
        <v>1</v>
      </c>
      <c r="B388" t="str" cm="1">
        <f t="array" ref="B388">_xlfn.SINGLE(_xlfn._xlws.FILTER(t_ServiceCatalogue[Onwer],t_ServiceCatalogue[Category]=t_fac25_requirements[[#This Row],[Category]],""))</f>
        <v>EU</v>
      </c>
      <c r="C388" t="s">
        <v>90</v>
      </c>
      <c r="D388" t="str">
        <f>_xlfn._xlws.FILTER(t_Contact[FA Name],t_Contact[FA]=t_fac25_requirements[[#This Row],[FA]],"")</f>
        <v>Workforce</v>
      </c>
      <c r="E388" t="s">
        <v>212</v>
      </c>
      <c r="F388" t="s">
        <v>288</v>
      </c>
      <c r="G388" t="s">
        <v>292</v>
      </c>
      <c r="H388" t="s">
        <v>22</v>
      </c>
      <c r="I388" t="s">
        <v>23</v>
      </c>
      <c r="J388" s="28" t="s">
        <v>370</v>
      </c>
      <c r="K388" s="32"/>
      <c r="L388" s="32">
        <v>1</v>
      </c>
      <c r="M388" s="30">
        <v>45977</v>
      </c>
      <c r="N388" s="30">
        <v>46009</v>
      </c>
      <c r="O388" s="43" t="s">
        <v>29</v>
      </c>
      <c r="P388" s="55" t="s">
        <v>1073</v>
      </c>
      <c r="Q388" t="s">
        <v>1074</v>
      </c>
      <c r="R388" t="s">
        <v>1101</v>
      </c>
    </row>
    <row r="389" spans="1:18" ht="14.45">
      <c r="A389" s="106" t="b">
        <v>0</v>
      </c>
      <c r="B389" t="str" cm="1">
        <f t="array" ref="B389">_xlfn.SINGLE(_xlfn._xlws.FILTER(t_ServiceCatalogue[Onwer],t_ServiceCatalogue[Category]=t_fac25_requirements[[#This Row],[Category]],""))</f>
        <v>AV</v>
      </c>
      <c r="C389" t="s">
        <v>90</v>
      </c>
      <c r="D389" t="str">
        <f>_xlfn._xlws.FILTER(t_Contact[FA Name],t_Contact[FA]=t_fac25_requirements[[#This Row],[FA]],"")</f>
        <v>Workforce</v>
      </c>
      <c r="E389" t="s">
        <v>212</v>
      </c>
      <c r="F389" t="s">
        <v>288</v>
      </c>
      <c r="G389" t="s">
        <v>291</v>
      </c>
      <c r="H389" t="s">
        <v>110</v>
      </c>
      <c r="I389" t="s">
        <v>134</v>
      </c>
      <c r="J389" s="28" t="s">
        <v>370</v>
      </c>
      <c r="K389" s="32"/>
      <c r="L389" s="32">
        <v>1</v>
      </c>
      <c r="M389" s="30">
        <v>45977</v>
      </c>
      <c r="N389" s="30">
        <v>46009</v>
      </c>
      <c r="O389" s="43" t="s">
        <v>135</v>
      </c>
      <c r="P389" s="55" t="s">
        <v>87</v>
      </c>
      <c r="R389" t="s">
        <v>1102</v>
      </c>
    </row>
    <row r="390" spans="1:18" ht="14.45">
      <c r="A390" s="106" t="b">
        <v>0</v>
      </c>
      <c r="B390" t="str" cm="1">
        <f t="array" ref="B390">_xlfn.SINGLE(_xlfn._xlws.FILTER(t_ServiceCatalogue[Onwer],t_ServiceCatalogue[Category]=t_fac25_requirements[[#This Row],[Category]],""))</f>
        <v>AV</v>
      </c>
      <c r="C390" t="s">
        <v>90</v>
      </c>
      <c r="D390" t="str">
        <f>_xlfn._xlws.FILTER(t_Contact[FA Name],t_Contact[FA]=t_fac25_requirements[[#This Row],[FA]],"")</f>
        <v>Workforce</v>
      </c>
      <c r="E390" t="s">
        <v>212</v>
      </c>
      <c r="F390" t="s">
        <v>288</v>
      </c>
      <c r="G390" t="s">
        <v>291</v>
      </c>
      <c r="H390" t="s">
        <v>58</v>
      </c>
      <c r="I390" t="s">
        <v>59</v>
      </c>
      <c r="J390" s="28" t="s">
        <v>370</v>
      </c>
      <c r="K390" s="32"/>
      <c r="L390" s="32">
        <v>1</v>
      </c>
      <c r="M390" s="30">
        <v>45977</v>
      </c>
      <c r="N390" s="30">
        <v>46009</v>
      </c>
      <c r="O390" s="43" t="s">
        <v>60</v>
      </c>
      <c r="P390" s="55" t="s">
        <v>414</v>
      </c>
      <c r="Q390" t="s">
        <v>415</v>
      </c>
      <c r="R390" t="s">
        <v>1103</v>
      </c>
    </row>
    <row r="391" spans="1:18" ht="14.45">
      <c r="A391" s="106" t="b">
        <v>1</v>
      </c>
      <c r="B391" t="str" cm="1">
        <f t="array" ref="B391">_xlfn.SINGLE(_xlfn._xlws.FILTER(t_ServiceCatalogue[Onwer],t_ServiceCatalogue[Category]=t_fac25_requirements[[#This Row],[Category]],""))</f>
        <v>Telco/SIM</v>
      </c>
      <c r="C391" t="s">
        <v>90</v>
      </c>
      <c r="D391" t="str">
        <f>_xlfn._xlws.FILTER(t_Contact[FA Name],t_Contact[FA]=t_fac25_requirements[[#This Row],[FA]],"")</f>
        <v>Workforce</v>
      </c>
      <c r="E391" t="s">
        <v>212</v>
      </c>
      <c r="F391" t="s">
        <v>288</v>
      </c>
      <c r="G391" t="s">
        <v>292</v>
      </c>
      <c r="H391" t="s">
        <v>84</v>
      </c>
      <c r="I391" t="s">
        <v>221</v>
      </c>
      <c r="J391" s="28" t="s">
        <v>370</v>
      </c>
      <c r="K391" s="32"/>
      <c r="L391" s="32">
        <v>2</v>
      </c>
      <c r="M391" s="30">
        <v>45977</v>
      </c>
      <c r="N391" s="30">
        <v>46009</v>
      </c>
      <c r="O391" s="43" t="s">
        <v>86</v>
      </c>
      <c r="P391" s="55" t="s">
        <v>87</v>
      </c>
      <c r="Q391" t="s">
        <v>1077</v>
      </c>
      <c r="R391" t="s">
        <v>1104</v>
      </c>
    </row>
    <row r="392" spans="1:18" ht="14.45">
      <c r="A392" s="106" t="b">
        <v>0</v>
      </c>
      <c r="B392" t="str" cm="1">
        <f t="array" ref="B392">_xlfn.SINGLE(_xlfn._xlws.FILTER(t_ServiceCatalogue[Onwer],t_ServiceCatalogue[Category]=t_fac25_requirements[[#This Row],[Category]],""))</f>
        <v>NW</v>
      </c>
      <c r="C392" t="s">
        <v>90</v>
      </c>
      <c r="D392" t="str">
        <f>_xlfn._xlws.FILTER(t_Contact[FA Name],t_Contact[FA]=t_fac25_requirements[[#This Row],[FA]],"")</f>
        <v>Workforce</v>
      </c>
      <c r="E392" t="s">
        <v>212</v>
      </c>
      <c r="F392" t="s">
        <v>288</v>
      </c>
      <c r="G392" t="s">
        <v>292</v>
      </c>
      <c r="H392" t="s">
        <v>52</v>
      </c>
      <c r="I392" t="s">
        <v>53</v>
      </c>
      <c r="J392" s="28" t="s">
        <v>370</v>
      </c>
      <c r="K392" s="32"/>
      <c r="L392" s="32">
        <v>1</v>
      </c>
      <c r="M392" s="30">
        <v>45977</v>
      </c>
      <c r="N392" s="30">
        <v>46009</v>
      </c>
      <c r="O392" s="43" t="s">
        <v>54</v>
      </c>
      <c r="P392" s="55" t="s">
        <v>87</v>
      </c>
      <c r="Q392" t="s">
        <v>1079</v>
      </c>
      <c r="R392" t="s">
        <v>1105</v>
      </c>
    </row>
    <row r="393" spans="1:18" ht="14.45">
      <c r="A393" s="106" t="b">
        <v>1</v>
      </c>
      <c r="B393" t="str" cm="1">
        <f t="array" ref="B393">_xlfn.SINGLE(_xlfn._xlws.FILTER(t_ServiceCatalogue[Onwer],t_ServiceCatalogue[Category]=t_fac25_requirements[[#This Row],[Category]],""))</f>
        <v>EU</v>
      </c>
      <c r="C393" t="s">
        <v>90</v>
      </c>
      <c r="D393" t="str">
        <f>_xlfn._xlws.FILTER(t_Contact[FA Name],t_Contact[FA]=t_fac25_requirements[[#This Row],[FA]],"")</f>
        <v>Workforce</v>
      </c>
      <c r="E393" t="s">
        <v>213</v>
      </c>
      <c r="F393" t="s">
        <v>288</v>
      </c>
      <c r="G393" t="s">
        <v>478</v>
      </c>
      <c r="H393" t="s">
        <v>32</v>
      </c>
      <c r="I393" t="s">
        <v>33</v>
      </c>
      <c r="J393" s="28" t="s">
        <v>370</v>
      </c>
      <c r="K393" s="32"/>
      <c r="L393" s="32">
        <v>5</v>
      </c>
      <c r="M393" s="30">
        <v>45970</v>
      </c>
      <c r="N393" s="30">
        <v>46009</v>
      </c>
      <c r="O393" s="43" t="s">
        <v>34</v>
      </c>
      <c r="P393" s="55" t="s">
        <v>87</v>
      </c>
      <c r="R393" t="s">
        <v>1106</v>
      </c>
    </row>
    <row r="394" spans="1:18" ht="14.45">
      <c r="A394" s="106" t="b">
        <v>1</v>
      </c>
      <c r="B394" t="str" cm="1">
        <f t="array" ref="B394">_xlfn.SINGLE(_xlfn._xlws.FILTER(t_ServiceCatalogue[Onwer],t_ServiceCatalogue[Category]=t_fac25_requirements[[#This Row],[Category]],""))</f>
        <v>EU</v>
      </c>
      <c r="C394" t="s">
        <v>90</v>
      </c>
      <c r="D394" t="str">
        <f>_xlfn._xlws.FILTER(t_Contact[FA Name],t_Contact[FA]=t_fac25_requirements[[#This Row],[FA]],"")</f>
        <v>Workforce</v>
      </c>
      <c r="E394" t="s">
        <v>213</v>
      </c>
      <c r="F394" t="s">
        <v>288</v>
      </c>
      <c r="G394" t="s">
        <v>292</v>
      </c>
      <c r="H394" t="s">
        <v>22</v>
      </c>
      <c r="I394" t="s">
        <v>23</v>
      </c>
      <c r="J394" s="28" t="s">
        <v>370</v>
      </c>
      <c r="K394" s="32"/>
      <c r="L394" s="32">
        <v>1</v>
      </c>
      <c r="M394" s="30">
        <v>45970</v>
      </c>
      <c r="N394" s="30">
        <v>46009</v>
      </c>
      <c r="O394" s="43" t="s">
        <v>29</v>
      </c>
      <c r="P394" s="55" t="s">
        <v>1073</v>
      </c>
      <c r="Q394" t="s">
        <v>1074</v>
      </c>
      <c r="R394" t="s">
        <v>1107</v>
      </c>
    </row>
    <row r="395" spans="1:18" ht="14.45">
      <c r="A395" s="106" t="b">
        <v>0</v>
      </c>
      <c r="B395" t="str" cm="1">
        <f t="array" ref="B395">_xlfn.SINGLE(_xlfn._xlws.FILTER(t_ServiceCatalogue[Onwer],t_ServiceCatalogue[Category]=t_fac25_requirements[[#This Row],[Category]],""))</f>
        <v>AV</v>
      </c>
      <c r="C395" t="s">
        <v>90</v>
      </c>
      <c r="D395" t="str">
        <f>_xlfn._xlws.FILTER(t_Contact[FA Name],t_Contact[FA]=t_fac25_requirements[[#This Row],[FA]],"")</f>
        <v>Workforce</v>
      </c>
      <c r="E395" t="s">
        <v>213</v>
      </c>
      <c r="F395" t="s">
        <v>288</v>
      </c>
      <c r="G395" t="s">
        <v>291</v>
      </c>
      <c r="H395" t="s">
        <v>110</v>
      </c>
      <c r="I395" t="s">
        <v>134</v>
      </c>
      <c r="J395" s="28" t="s">
        <v>370</v>
      </c>
      <c r="K395" s="32"/>
      <c r="L395" s="32">
        <v>1</v>
      </c>
      <c r="M395" s="30">
        <v>45970</v>
      </c>
      <c r="N395" s="30">
        <v>46009</v>
      </c>
      <c r="O395" s="43" t="s">
        <v>135</v>
      </c>
      <c r="P395" s="55" t="s">
        <v>87</v>
      </c>
      <c r="R395" t="s">
        <v>1108</v>
      </c>
    </row>
    <row r="396" spans="1:18" ht="14.45">
      <c r="A396" s="106" t="b">
        <v>0</v>
      </c>
      <c r="B396" t="str" cm="1">
        <f t="array" ref="B396">_xlfn.SINGLE(_xlfn._xlws.FILTER(t_ServiceCatalogue[Onwer],t_ServiceCatalogue[Category]=t_fac25_requirements[[#This Row],[Category]],""))</f>
        <v>AV</v>
      </c>
      <c r="C396" t="s">
        <v>90</v>
      </c>
      <c r="D396" t="str">
        <f>_xlfn._xlws.FILTER(t_Contact[FA Name],t_Contact[FA]=t_fac25_requirements[[#This Row],[FA]],"")</f>
        <v>Workforce</v>
      </c>
      <c r="E396" t="s">
        <v>213</v>
      </c>
      <c r="F396" t="s">
        <v>288</v>
      </c>
      <c r="G396" t="s">
        <v>291</v>
      </c>
      <c r="H396" t="s">
        <v>58</v>
      </c>
      <c r="I396" t="s">
        <v>59</v>
      </c>
      <c r="J396" s="28" t="s">
        <v>370</v>
      </c>
      <c r="K396" s="32"/>
      <c r="L396" s="32">
        <v>1</v>
      </c>
      <c r="M396" s="30">
        <v>45970</v>
      </c>
      <c r="N396" s="30">
        <v>46009</v>
      </c>
      <c r="O396" s="43" t="s">
        <v>60</v>
      </c>
      <c r="P396" s="55" t="s">
        <v>414</v>
      </c>
      <c r="Q396" t="s">
        <v>415</v>
      </c>
      <c r="R396" t="s">
        <v>1109</v>
      </c>
    </row>
    <row r="397" spans="1:18" ht="14.45">
      <c r="A397" s="106" t="b">
        <v>1</v>
      </c>
      <c r="B397" t="str" cm="1">
        <f t="array" ref="B397">_xlfn.SINGLE(_xlfn._xlws.FILTER(t_ServiceCatalogue[Onwer],t_ServiceCatalogue[Category]=t_fac25_requirements[[#This Row],[Category]],""))</f>
        <v>Telco/SIM</v>
      </c>
      <c r="C397" t="s">
        <v>90</v>
      </c>
      <c r="D397" t="str">
        <f>_xlfn._xlws.FILTER(t_Contact[FA Name],t_Contact[FA]=t_fac25_requirements[[#This Row],[FA]],"")</f>
        <v>Workforce</v>
      </c>
      <c r="E397" t="s">
        <v>213</v>
      </c>
      <c r="F397" t="s">
        <v>288</v>
      </c>
      <c r="G397" t="s">
        <v>292</v>
      </c>
      <c r="H397" t="s">
        <v>84</v>
      </c>
      <c r="I397" t="s">
        <v>221</v>
      </c>
      <c r="J397" s="28" t="s">
        <v>370</v>
      </c>
      <c r="K397" s="32"/>
      <c r="L397" s="32">
        <v>2</v>
      </c>
      <c r="M397" s="30">
        <v>45970</v>
      </c>
      <c r="N397" s="30">
        <v>46009</v>
      </c>
      <c r="O397" s="43" t="s">
        <v>86</v>
      </c>
      <c r="P397" s="55" t="s">
        <v>87</v>
      </c>
      <c r="Q397" t="s">
        <v>1077</v>
      </c>
      <c r="R397" t="s">
        <v>1110</v>
      </c>
    </row>
    <row r="398" spans="1:18" ht="14.45">
      <c r="A398" s="106" t="b">
        <v>0</v>
      </c>
      <c r="B398" t="str" cm="1">
        <f t="array" ref="B398">_xlfn.SINGLE(_xlfn._xlws.FILTER(t_ServiceCatalogue[Onwer],t_ServiceCatalogue[Category]=t_fac25_requirements[[#This Row],[Category]],""))</f>
        <v>NW</v>
      </c>
      <c r="C398" t="s">
        <v>90</v>
      </c>
      <c r="D398" t="str">
        <f>_xlfn._xlws.FILTER(t_Contact[FA Name],t_Contact[FA]=t_fac25_requirements[[#This Row],[FA]],"")</f>
        <v>Workforce</v>
      </c>
      <c r="E398" t="s">
        <v>213</v>
      </c>
      <c r="F398" t="s">
        <v>288</v>
      </c>
      <c r="G398" t="s">
        <v>292</v>
      </c>
      <c r="H398" t="s">
        <v>52</v>
      </c>
      <c r="I398" t="s">
        <v>53</v>
      </c>
      <c r="J398" s="28" t="s">
        <v>370</v>
      </c>
      <c r="K398" s="32"/>
      <c r="L398" s="32">
        <v>1</v>
      </c>
      <c r="M398" s="30">
        <v>45970</v>
      </c>
      <c r="N398" s="30">
        <v>46009</v>
      </c>
      <c r="O398" s="43" t="s">
        <v>54</v>
      </c>
      <c r="P398" s="55" t="s">
        <v>1111</v>
      </c>
      <c r="Q398" t="s">
        <v>1079</v>
      </c>
      <c r="R398" t="s">
        <v>1112</v>
      </c>
    </row>
    <row r="399" spans="1:18" ht="14.45">
      <c r="A399" s="106" t="b">
        <v>1</v>
      </c>
      <c r="B399" t="str" cm="1">
        <f t="array" ref="B399">_xlfn.SINGLE(_xlfn._xlws.FILTER(t_ServiceCatalogue[Onwer],t_ServiceCatalogue[Category]=t_fac25_requirements[[#This Row],[Category]],""))</f>
        <v>EU</v>
      </c>
      <c r="C399" t="s">
        <v>90</v>
      </c>
      <c r="D399" t="str">
        <f>_xlfn._xlws.FILTER(t_Contact[FA Name],t_Contact[FA]=t_fac25_requirements[[#This Row],[FA]],"")</f>
        <v>Workforce</v>
      </c>
      <c r="E399" t="s">
        <v>19</v>
      </c>
      <c r="F399" t="s">
        <v>345</v>
      </c>
      <c r="G399" t="s">
        <v>291</v>
      </c>
      <c r="H399" t="s">
        <v>32</v>
      </c>
      <c r="I399" t="s">
        <v>33</v>
      </c>
      <c r="J399" s="28" t="s">
        <v>370</v>
      </c>
      <c r="K399" s="32"/>
      <c r="L399" s="32">
        <v>2</v>
      </c>
      <c r="M399" s="30">
        <v>45977</v>
      </c>
      <c r="N399" s="30">
        <v>46009</v>
      </c>
      <c r="O399" s="43" t="s">
        <v>34</v>
      </c>
      <c r="P399" s="55" t="s">
        <v>87</v>
      </c>
      <c r="R399" t="s">
        <v>1113</v>
      </c>
    </row>
    <row r="400" spans="1:18" ht="14.45">
      <c r="A400" s="106" t="b">
        <v>1</v>
      </c>
      <c r="B400" t="str" cm="1">
        <f t="array" ref="B400">_xlfn.SINGLE(_xlfn._xlws.FILTER(t_ServiceCatalogue[Onwer],t_ServiceCatalogue[Category]=t_fac25_requirements[[#This Row],[Category]],""))</f>
        <v>AV</v>
      </c>
      <c r="C400" t="s">
        <v>90</v>
      </c>
      <c r="D400" t="str">
        <f>_xlfn._xlws.FILTER(t_Contact[FA Name],t_Contact[FA]=t_fac25_requirements[[#This Row],[FA]],"")</f>
        <v>Workforce</v>
      </c>
      <c r="E400" t="s">
        <v>19</v>
      </c>
      <c r="F400" t="s">
        <v>345</v>
      </c>
      <c r="G400" t="s">
        <v>291</v>
      </c>
      <c r="H400" t="s">
        <v>110</v>
      </c>
      <c r="I400" t="s">
        <v>134</v>
      </c>
      <c r="J400" s="28" t="s">
        <v>370</v>
      </c>
      <c r="K400" s="32"/>
      <c r="L400" s="32">
        <v>1</v>
      </c>
      <c r="M400" s="30">
        <v>45977</v>
      </c>
      <c r="N400" s="30">
        <v>46009</v>
      </c>
      <c r="O400" s="43" t="s">
        <v>135</v>
      </c>
      <c r="P400" s="55" t="s">
        <v>87</v>
      </c>
      <c r="R400" t="s">
        <v>1114</v>
      </c>
    </row>
    <row r="401" spans="1:18" ht="14.45">
      <c r="A401" s="106" t="b">
        <v>1</v>
      </c>
      <c r="B401" t="str" cm="1">
        <f t="array" ref="B401">_xlfn.SINGLE(_xlfn._xlws.FILTER(t_ServiceCatalogue[Onwer],t_ServiceCatalogue[Category]=t_fac25_requirements[[#This Row],[Category]],""))</f>
        <v>AV</v>
      </c>
      <c r="C401" t="s">
        <v>90</v>
      </c>
      <c r="D401" t="str">
        <f>_xlfn._xlws.FILTER(t_Contact[FA Name],t_Contact[FA]=t_fac25_requirements[[#This Row],[FA]],"")</f>
        <v>Workforce</v>
      </c>
      <c r="E401" t="s">
        <v>19</v>
      </c>
      <c r="F401" t="s">
        <v>345</v>
      </c>
      <c r="G401" t="s">
        <v>291</v>
      </c>
      <c r="H401" t="s">
        <v>58</v>
      </c>
      <c r="I401" t="s">
        <v>59</v>
      </c>
      <c r="J401" s="28" t="s">
        <v>370</v>
      </c>
      <c r="K401" s="32"/>
      <c r="L401" s="32">
        <v>1</v>
      </c>
      <c r="M401" s="30">
        <v>45977</v>
      </c>
      <c r="N401" s="30">
        <v>46009</v>
      </c>
      <c r="O401" s="43" t="s">
        <v>60</v>
      </c>
      <c r="P401" s="55" t="s">
        <v>87</v>
      </c>
      <c r="Q401" t="s">
        <v>415</v>
      </c>
      <c r="R401" t="s">
        <v>1115</v>
      </c>
    </row>
    <row r="402" spans="1:18" ht="14.45">
      <c r="A402" s="106" t="b">
        <v>1</v>
      </c>
      <c r="B402" t="str" cm="1">
        <f t="array" ref="B402">_xlfn.SINGLE(_xlfn._xlws.FILTER(t_ServiceCatalogue[Onwer],t_ServiceCatalogue[Category]=t_fac25_requirements[[#This Row],[Category]],""))</f>
        <v>Telco/SIM</v>
      </c>
      <c r="C402" t="s">
        <v>90</v>
      </c>
      <c r="D402" t="str">
        <f>_xlfn._xlws.FILTER(t_Contact[FA Name],t_Contact[FA]=t_fac25_requirements[[#This Row],[FA]],"")</f>
        <v>Workforce</v>
      </c>
      <c r="E402" t="s">
        <v>19</v>
      </c>
      <c r="F402" t="s">
        <v>345</v>
      </c>
      <c r="G402" t="s">
        <v>291</v>
      </c>
      <c r="H402" t="s">
        <v>84</v>
      </c>
      <c r="I402" t="s">
        <v>221</v>
      </c>
      <c r="J402" s="28" t="s">
        <v>370</v>
      </c>
      <c r="K402" s="32"/>
      <c r="L402" s="32">
        <v>2</v>
      </c>
      <c r="M402" s="30">
        <v>45977</v>
      </c>
      <c r="N402" s="30">
        <v>46009</v>
      </c>
      <c r="O402" s="43" t="s">
        <v>86</v>
      </c>
      <c r="P402" s="55" t="s">
        <v>87</v>
      </c>
      <c r="Q402" t="s">
        <v>1077</v>
      </c>
      <c r="R402" t="s">
        <v>1116</v>
      </c>
    </row>
    <row r="403" spans="1:18" ht="14.45">
      <c r="A403" s="106" t="b">
        <v>1</v>
      </c>
      <c r="B403" t="str" cm="1">
        <f t="array" ref="B403">_xlfn.SINGLE(_xlfn._xlws.FILTER(t_ServiceCatalogue[Onwer],t_ServiceCatalogue[Category]=t_fac25_requirements[[#This Row],[Category]],""))</f>
        <v>NW</v>
      </c>
      <c r="C403" t="s">
        <v>90</v>
      </c>
      <c r="D403" t="str">
        <f>_xlfn._xlws.FILTER(t_Contact[FA Name],t_Contact[FA]=t_fac25_requirements[[#This Row],[FA]],"")</f>
        <v>Workforce</v>
      </c>
      <c r="E403" t="s">
        <v>19</v>
      </c>
      <c r="F403" t="s">
        <v>345</v>
      </c>
      <c r="G403" t="s">
        <v>291</v>
      </c>
      <c r="H403" t="s">
        <v>52</v>
      </c>
      <c r="I403" t="s">
        <v>53</v>
      </c>
      <c r="J403" s="28" t="s">
        <v>370</v>
      </c>
      <c r="K403" s="32"/>
      <c r="L403" s="32">
        <v>1</v>
      </c>
      <c r="M403" s="30">
        <v>45977</v>
      </c>
      <c r="N403" s="30">
        <v>46009</v>
      </c>
      <c r="O403" s="43" t="s">
        <v>54</v>
      </c>
      <c r="P403" s="55" t="s">
        <v>87</v>
      </c>
      <c r="Q403" t="s">
        <v>1079</v>
      </c>
      <c r="R403" t="s">
        <v>1117</v>
      </c>
    </row>
    <row r="404" spans="1:18" ht="14.45">
      <c r="A404" s="106" t="b">
        <v>0</v>
      </c>
      <c r="B404" t="str" cm="1">
        <f t="array" ref="B404">_xlfn.SINGLE(_xlfn._xlws.FILTER(t_ServiceCatalogue[Onwer],t_ServiceCatalogue[Category]=t_fac25_requirements[[#This Row],[Category]],""))</f>
        <v>AV</v>
      </c>
      <c r="C404" t="s">
        <v>400</v>
      </c>
      <c r="D404" t="str">
        <f>_xlfn._xlws.FILTER(t_Contact[FA Name],t_Contact[FA]=t_fac25_requirements[[#This Row],[FA]],"")</f>
        <v>Medical</v>
      </c>
      <c r="E404" t="s">
        <v>211</v>
      </c>
      <c r="F404" t="s">
        <v>253</v>
      </c>
      <c r="G404" t="s">
        <v>258</v>
      </c>
      <c r="H404" t="s">
        <v>58</v>
      </c>
      <c r="I404" t="s">
        <v>59</v>
      </c>
      <c r="J404" s="28" t="s">
        <v>370</v>
      </c>
      <c r="K404" s="32"/>
      <c r="L404" s="32">
        <v>1</v>
      </c>
      <c r="M404" s="30">
        <v>45990</v>
      </c>
      <c r="N404" s="30">
        <v>46006</v>
      </c>
      <c r="O404" s="43" t="s">
        <v>402</v>
      </c>
      <c r="P404" s="55" t="s">
        <v>403</v>
      </c>
      <c r="Q404" t="s">
        <v>402</v>
      </c>
      <c r="R404" t="s">
        <v>404</v>
      </c>
    </row>
    <row r="405" spans="1:18" ht="14.45">
      <c r="A405" s="106" t="b">
        <v>0</v>
      </c>
      <c r="B405" t="str" cm="1">
        <f t="array" ref="B405">_xlfn.SINGLE(_xlfn._xlws.FILTER(t_ServiceCatalogue[Onwer],t_ServiceCatalogue[Category]=t_fac25_requirements[[#This Row],[Category]],""))</f>
        <v>NW</v>
      </c>
      <c r="C405" t="s">
        <v>400</v>
      </c>
      <c r="D405" t="str">
        <f>_xlfn._xlws.FILTER(t_Contact[FA Name],t_Contact[FA]=t_fac25_requirements[[#This Row],[FA]],"")</f>
        <v>Medical</v>
      </c>
      <c r="E405" t="s">
        <v>211</v>
      </c>
      <c r="F405" t="s">
        <v>253</v>
      </c>
      <c r="G405" t="s">
        <v>258</v>
      </c>
      <c r="H405" t="s">
        <v>52</v>
      </c>
      <c r="I405" t="s">
        <v>53</v>
      </c>
      <c r="J405" s="28" t="s">
        <v>370</v>
      </c>
      <c r="K405" s="32"/>
      <c r="L405" s="32">
        <v>1</v>
      </c>
      <c r="M405" s="30">
        <v>45990</v>
      </c>
      <c r="N405" s="30">
        <v>46006</v>
      </c>
      <c r="O405" s="43" t="s">
        <v>1118</v>
      </c>
      <c r="P405" s="55"/>
      <c r="Q405" t="s">
        <v>1118</v>
      </c>
      <c r="R405" t="s">
        <v>1119</v>
      </c>
    </row>
    <row r="406" spans="1:18" ht="14.45">
      <c r="A406" s="106" t="b">
        <v>0</v>
      </c>
      <c r="B406" t="str" cm="1">
        <f t="array" ref="B406">_xlfn.SINGLE(_xlfn._xlws.FILTER(t_ServiceCatalogue[Onwer],t_ServiceCatalogue[Category]=t_fac25_requirements[[#This Row],[Category]],""))</f>
        <v>NW</v>
      </c>
      <c r="C406" t="s">
        <v>400</v>
      </c>
      <c r="D406" t="str">
        <f>_xlfn._xlws.FILTER(t_Contact[FA Name],t_Contact[FA]=t_fac25_requirements[[#This Row],[FA]],"")</f>
        <v>Medical</v>
      </c>
      <c r="E406" t="s">
        <v>211</v>
      </c>
      <c r="F406" t="s">
        <v>336</v>
      </c>
      <c r="G406" t="s">
        <v>338</v>
      </c>
      <c r="H406" t="s">
        <v>52</v>
      </c>
      <c r="I406" t="s">
        <v>53</v>
      </c>
      <c r="J406" s="28" t="s">
        <v>370</v>
      </c>
      <c r="K406" s="32"/>
      <c r="L406" s="32">
        <v>1</v>
      </c>
      <c r="M406" s="30">
        <v>45990</v>
      </c>
      <c r="N406" s="30">
        <v>46006</v>
      </c>
      <c r="O406" s="43" t="s">
        <v>1118</v>
      </c>
      <c r="P406" s="55"/>
      <c r="Q406" t="s">
        <v>1118</v>
      </c>
      <c r="R406" t="s">
        <v>1120</v>
      </c>
    </row>
    <row r="407" spans="1:18" ht="14.45">
      <c r="A407" s="106" t="b">
        <v>0</v>
      </c>
      <c r="B407" t="str" cm="1">
        <f t="array" ref="B407">_xlfn.SINGLE(_xlfn._xlws.FILTER(t_ServiceCatalogue[Onwer],t_ServiceCatalogue[Category]=t_fac25_requirements[[#This Row],[Category]],""))</f>
        <v>NW</v>
      </c>
      <c r="C407" t="s">
        <v>400</v>
      </c>
      <c r="D407" t="str">
        <f>_xlfn._xlws.FILTER(t_Contact[FA Name],t_Contact[FA]=t_fac25_requirements[[#This Row],[FA]],"")</f>
        <v>Medical</v>
      </c>
      <c r="E407" t="s">
        <v>211</v>
      </c>
      <c r="F407" t="s">
        <v>336</v>
      </c>
      <c r="G407" t="s">
        <v>341</v>
      </c>
      <c r="H407" t="s">
        <v>52</v>
      </c>
      <c r="I407" t="s">
        <v>53</v>
      </c>
      <c r="J407" s="28" t="s">
        <v>370</v>
      </c>
      <c r="K407" s="32"/>
      <c r="L407" s="32">
        <v>1</v>
      </c>
      <c r="M407" s="30">
        <v>45990</v>
      </c>
      <c r="N407" s="30">
        <v>46006</v>
      </c>
      <c r="O407" s="43" t="s">
        <v>1118</v>
      </c>
      <c r="P407" s="55"/>
      <c r="Q407" t="s">
        <v>1118</v>
      </c>
      <c r="R407" t="s">
        <v>1121</v>
      </c>
    </row>
    <row r="408" spans="1:18" ht="14.45">
      <c r="A408" s="106" t="b">
        <v>0</v>
      </c>
      <c r="B408" t="str" cm="1">
        <f t="array" ref="B408">_xlfn.SINGLE(_xlfn._xlws.FILTER(t_ServiceCatalogue[Onwer],t_ServiceCatalogue[Category]=t_fac25_requirements[[#This Row],[Category]],""))</f>
        <v>NW</v>
      </c>
      <c r="C408" t="s">
        <v>400</v>
      </c>
      <c r="D408" t="str">
        <f>_xlfn._xlws.FILTER(t_Contact[FA Name],t_Contact[FA]=t_fac25_requirements[[#This Row],[FA]],"")</f>
        <v>Medical</v>
      </c>
      <c r="E408" t="s">
        <v>211</v>
      </c>
      <c r="F408" t="s">
        <v>296</v>
      </c>
      <c r="G408" t="s">
        <v>300</v>
      </c>
      <c r="H408" t="s">
        <v>52</v>
      </c>
      <c r="I408" t="s">
        <v>53</v>
      </c>
      <c r="J408" s="28" t="s">
        <v>370</v>
      </c>
      <c r="K408" s="32"/>
      <c r="L408" s="32">
        <v>3</v>
      </c>
      <c r="M408" s="30">
        <v>45990</v>
      </c>
      <c r="N408" s="30">
        <v>46006</v>
      </c>
      <c r="O408" s="43" t="s">
        <v>1118</v>
      </c>
      <c r="P408" s="55"/>
      <c r="Q408" t="s">
        <v>1118</v>
      </c>
      <c r="R408" t="s">
        <v>1122</v>
      </c>
    </row>
    <row r="409" spans="1:18" ht="14.45">
      <c r="A409" s="106" t="b">
        <v>1</v>
      </c>
      <c r="B409" t="str" cm="1">
        <f t="array" ref="B409">_xlfn.SINGLE(_xlfn._xlws.FILTER(t_ServiceCatalogue[Onwer],t_ServiceCatalogue[Category]=t_fac25_requirements[[#This Row],[Category]],""))</f>
        <v>AV</v>
      </c>
      <c r="C409" t="s">
        <v>400</v>
      </c>
      <c r="D409" t="str">
        <f>_xlfn._xlws.FILTER(t_Contact[FA Name],t_Contact[FA]=t_fac25_requirements[[#This Row],[FA]],"")</f>
        <v>Medical</v>
      </c>
      <c r="E409" t="s">
        <v>214</v>
      </c>
      <c r="F409" t="s">
        <v>253</v>
      </c>
      <c r="G409" t="s">
        <v>258</v>
      </c>
      <c r="H409" t="s">
        <v>58</v>
      </c>
      <c r="I409" t="s">
        <v>59</v>
      </c>
      <c r="J409" s="28" t="s">
        <v>370</v>
      </c>
      <c r="K409" s="32"/>
      <c r="L409" s="32">
        <v>1</v>
      </c>
      <c r="M409" s="30">
        <v>45990</v>
      </c>
      <c r="N409" s="30">
        <v>46009</v>
      </c>
      <c r="O409" s="43" t="s">
        <v>402</v>
      </c>
      <c r="P409" s="55" t="s">
        <v>403</v>
      </c>
      <c r="Q409" t="s">
        <v>402</v>
      </c>
      <c r="R409" t="s">
        <v>1123</v>
      </c>
    </row>
    <row r="410" spans="1:18" ht="14.45">
      <c r="A410" s="106" t="b">
        <v>0</v>
      </c>
      <c r="B410" t="str" cm="1">
        <f t="array" ref="B410">_xlfn.SINGLE(_xlfn._xlws.FILTER(t_ServiceCatalogue[Onwer],t_ServiceCatalogue[Category]=t_fac25_requirements[[#This Row],[Category]],""))</f>
        <v>NW</v>
      </c>
      <c r="C410" t="s">
        <v>400</v>
      </c>
      <c r="D410" t="str">
        <f>_xlfn._xlws.FILTER(t_Contact[FA Name],t_Contact[FA]=t_fac25_requirements[[#This Row],[FA]],"")</f>
        <v>Medical</v>
      </c>
      <c r="E410" t="s">
        <v>214</v>
      </c>
      <c r="F410" t="s">
        <v>253</v>
      </c>
      <c r="G410" t="s">
        <v>258</v>
      </c>
      <c r="H410" t="s">
        <v>52</v>
      </c>
      <c r="I410" t="s">
        <v>53</v>
      </c>
      <c r="J410" s="28" t="s">
        <v>370</v>
      </c>
      <c r="K410" s="32"/>
      <c r="L410" s="32">
        <v>1</v>
      </c>
      <c r="M410" s="30">
        <v>45990</v>
      </c>
      <c r="N410" s="30">
        <v>46009</v>
      </c>
      <c r="O410" s="43" t="s">
        <v>1118</v>
      </c>
      <c r="P410" s="55"/>
      <c r="Q410" t="s">
        <v>1118</v>
      </c>
      <c r="R410" t="s">
        <v>1124</v>
      </c>
    </row>
    <row r="411" spans="1:18" ht="14.45">
      <c r="A411" s="106" t="b">
        <v>0</v>
      </c>
      <c r="B411" t="str" cm="1">
        <f t="array" ref="B411">_xlfn.SINGLE(_xlfn._xlws.FILTER(t_ServiceCatalogue[Onwer],t_ServiceCatalogue[Category]=t_fac25_requirements[[#This Row],[Category]],""))</f>
        <v>NW</v>
      </c>
      <c r="C411" t="s">
        <v>400</v>
      </c>
      <c r="D411" t="str">
        <f>_xlfn._xlws.FILTER(t_Contact[FA Name],t_Contact[FA]=t_fac25_requirements[[#This Row],[FA]],"")</f>
        <v>Medical</v>
      </c>
      <c r="E411" t="s">
        <v>214</v>
      </c>
      <c r="F411" t="s">
        <v>336</v>
      </c>
      <c r="G411" t="s">
        <v>338</v>
      </c>
      <c r="H411" t="s">
        <v>52</v>
      </c>
      <c r="I411" t="s">
        <v>53</v>
      </c>
      <c r="J411" s="28" t="s">
        <v>370</v>
      </c>
      <c r="K411" s="32"/>
      <c r="L411" s="32">
        <v>1</v>
      </c>
      <c r="M411" s="30">
        <v>45990</v>
      </c>
      <c r="N411" s="30">
        <v>46009</v>
      </c>
      <c r="O411" s="43" t="s">
        <v>1118</v>
      </c>
      <c r="P411" s="55"/>
      <c r="Q411" t="s">
        <v>1118</v>
      </c>
      <c r="R411" t="s">
        <v>1125</v>
      </c>
    </row>
    <row r="412" spans="1:18" ht="14.45">
      <c r="A412" s="106" t="b">
        <v>0</v>
      </c>
      <c r="B412" t="str" cm="1">
        <f t="array" ref="B412">_xlfn.SINGLE(_xlfn._xlws.FILTER(t_ServiceCatalogue[Onwer],t_ServiceCatalogue[Category]=t_fac25_requirements[[#This Row],[Category]],""))</f>
        <v>NW</v>
      </c>
      <c r="C412" t="s">
        <v>400</v>
      </c>
      <c r="D412" t="str">
        <f>_xlfn._xlws.FILTER(t_Contact[FA Name],t_Contact[FA]=t_fac25_requirements[[#This Row],[FA]],"")</f>
        <v>Medical</v>
      </c>
      <c r="E412" t="s">
        <v>214</v>
      </c>
      <c r="F412" t="s">
        <v>336</v>
      </c>
      <c r="G412" t="s">
        <v>341</v>
      </c>
      <c r="H412" t="s">
        <v>52</v>
      </c>
      <c r="I412" t="s">
        <v>53</v>
      </c>
      <c r="J412" s="28" t="s">
        <v>370</v>
      </c>
      <c r="K412" s="32"/>
      <c r="L412" s="32">
        <v>1</v>
      </c>
      <c r="M412" s="30">
        <v>45990</v>
      </c>
      <c r="N412" s="30">
        <v>46009</v>
      </c>
      <c r="O412" s="43" t="s">
        <v>1118</v>
      </c>
      <c r="P412" s="55"/>
      <c r="Q412" t="s">
        <v>1118</v>
      </c>
      <c r="R412" t="s">
        <v>1126</v>
      </c>
    </row>
    <row r="413" spans="1:18" ht="14.45">
      <c r="A413" s="106" t="b">
        <v>0</v>
      </c>
      <c r="B413" t="str" cm="1">
        <f t="array" ref="B413">_xlfn.SINGLE(_xlfn._xlws.FILTER(t_ServiceCatalogue[Onwer],t_ServiceCatalogue[Category]=t_fac25_requirements[[#This Row],[Category]],""))</f>
        <v>NW</v>
      </c>
      <c r="C413" t="s">
        <v>400</v>
      </c>
      <c r="D413" t="str">
        <f>_xlfn._xlws.FILTER(t_Contact[FA Name],t_Contact[FA]=t_fac25_requirements[[#This Row],[FA]],"")</f>
        <v>Medical</v>
      </c>
      <c r="E413" t="s">
        <v>214</v>
      </c>
      <c r="F413" t="s">
        <v>296</v>
      </c>
      <c r="G413" t="s">
        <v>300</v>
      </c>
      <c r="H413" t="s">
        <v>52</v>
      </c>
      <c r="I413" t="s">
        <v>53</v>
      </c>
      <c r="J413" s="28" t="s">
        <v>370</v>
      </c>
      <c r="K413" s="32"/>
      <c r="L413" s="32">
        <v>4</v>
      </c>
      <c r="M413" s="30">
        <v>45990</v>
      </c>
      <c r="N413" s="30">
        <v>46009</v>
      </c>
      <c r="O413" s="43" t="s">
        <v>1118</v>
      </c>
      <c r="P413" s="55"/>
      <c r="Q413" t="s">
        <v>1118</v>
      </c>
      <c r="R413" t="s">
        <v>1127</v>
      </c>
    </row>
    <row r="414" spans="1:18" ht="14.45">
      <c r="A414" s="106" t="b">
        <v>0</v>
      </c>
      <c r="B414" t="str" cm="1">
        <f t="array" ref="B414">_xlfn.SINGLE(_xlfn._xlws.FILTER(t_ServiceCatalogue[Onwer],t_ServiceCatalogue[Category]=t_fac25_requirements[[#This Row],[Category]],""))</f>
        <v>AV</v>
      </c>
      <c r="C414" t="s">
        <v>400</v>
      </c>
      <c r="D414" t="str">
        <f>_xlfn._xlws.FILTER(t_Contact[FA Name],t_Contact[FA]=t_fac25_requirements[[#This Row],[FA]],"")</f>
        <v>Medical</v>
      </c>
      <c r="E414" s="43">
        <v>974</v>
      </c>
      <c r="F414" t="s">
        <v>253</v>
      </c>
      <c r="G414" t="s">
        <v>258</v>
      </c>
      <c r="H414" t="s">
        <v>58</v>
      </c>
      <c r="I414" t="s">
        <v>59</v>
      </c>
      <c r="J414" s="28" t="s">
        <v>370</v>
      </c>
      <c r="K414" s="32"/>
      <c r="L414" s="32">
        <v>1</v>
      </c>
      <c r="M414" s="30">
        <v>45990</v>
      </c>
      <c r="N414" s="30">
        <v>46001</v>
      </c>
      <c r="O414" s="43" t="s">
        <v>402</v>
      </c>
      <c r="P414" s="55" t="s">
        <v>403</v>
      </c>
      <c r="Q414" t="s">
        <v>402</v>
      </c>
      <c r="R414" t="s">
        <v>1128</v>
      </c>
    </row>
    <row r="415" spans="1:18" ht="14.45">
      <c r="A415" s="106" t="b">
        <v>0</v>
      </c>
      <c r="B415" t="str" cm="1">
        <f t="array" ref="B415">_xlfn.SINGLE(_xlfn._xlws.FILTER(t_ServiceCatalogue[Onwer],t_ServiceCatalogue[Category]=t_fac25_requirements[[#This Row],[Category]],""))</f>
        <v>NW</v>
      </c>
      <c r="C415" t="s">
        <v>400</v>
      </c>
      <c r="D415" t="str">
        <f>_xlfn._xlws.FILTER(t_Contact[FA Name],t_Contact[FA]=t_fac25_requirements[[#This Row],[FA]],"")</f>
        <v>Medical</v>
      </c>
      <c r="E415" s="43">
        <v>974</v>
      </c>
      <c r="F415" t="s">
        <v>253</v>
      </c>
      <c r="G415" t="s">
        <v>258</v>
      </c>
      <c r="H415" t="s">
        <v>52</v>
      </c>
      <c r="I415" t="s">
        <v>53</v>
      </c>
      <c r="J415" s="28" t="s">
        <v>370</v>
      </c>
      <c r="K415" s="32"/>
      <c r="L415" s="32">
        <v>1</v>
      </c>
      <c r="M415" s="30">
        <v>45990</v>
      </c>
      <c r="N415" s="30">
        <v>46001</v>
      </c>
      <c r="O415" s="43" t="s">
        <v>1118</v>
      </c>
      <c r="P415" s="55"/>
      <c r="Q415" t="s">
        <v>1118</v>
      </c>
      <c r="R415" t="s">
        <v>1129</v>
      </c>
    </row>
    <row r="416" spans="1:18" ht="14.45">
      <c r="A416" s="106" t="b">
        <v>0</v>
      </c>
      <c r="B416" t="str" cm="1">
        <f t="array" ref="B416">_xlfn.SINGLE(_xlfn._xlws.FILTER(t_ServiceCatalogue[Onwer],t_ServiceCatalogue[Category]=t_fac25_requirements[[#This Row],[Category]],""))</f>
        <v>NW</v>
      </c>
      <c r="C416" t="s">
        <v>400</v>
      </c>
      <c r="D416" t="str">
        <f>_xlfn._xlws.FILTER(t_Contact[FA Name],t_Contact[FA]=t_fac25_requirements[[#This Row],[FA]],"")</f>
        <v>Medical</v>
      </c>
      <c r="E416" s="43">
        <v>974</v>
      </c>
      <c r="F416" t="s">
        <v>336</v>
      </c>
      <c r="G416" t="s">
        <v>338</v>
      </c>
      <c r="H416" t="s">
        <v>52</v>
      </c>
      <c r="I416" t="s">
        <v>53</v>
      </c>
      <c r="J416" s="28" t="s">
        <v>370</v>
      </c>
      <c r="K416" s="32"/>
      <c r="L416" s="32">
        <v>1</v>
      </c>
      <c r="M416" s="30">
        <v>45990</v>
      </c>
      <c r="N416" s="30">
        <v>46001</v>
      </c>
      <c r="O416" s="43" t="s">
        <v>1118</v>
      </c>
      <c r="P416" s="55"/>
      <c r="Q416" t="s">
        <v>1118</v>
      </c>
      <c r="R416" t="s">
        <v>1130</v>
      </c>
    </row>
    <row r="417" spans="1:18" ht="14.45">
      <c r="A417" s="106" t="b">
        <v>0</v>
      </c>
      <c r="B417" t="str" cm="1">
        <f t="array" ref="B417">_xlfn.SINGLE(_xlfn._xlws.FILTER(t_ServiceCatalogue[Onwer],t_ServiceCatalogue[Category]=t_fac25_requirements[[#This Row],[Category]],""))</f>
        <v>NW</v>
      </c>
      <c r="C417" t="s">
        <v>400</v>
      </c>
      <c r="D417" t="str">
        <f>_xlfn._xlws.FILTER(t_Contact[FA Name],t_Contact[FA]=t_fac25_requirements[[#This Row],[FA]],"")</f>
        <v>Medical</v>
      </c>
      <c r="E417" s="43">
        <v>974</v>
      </c>
      <c r="F417" t="s">
        <v>336</v>
      </c>
      <c r="G417" t="s">
        <v>341</v>
      </c>
      <c r="H417" t="s">
        <v>52</v>
      </c>
      <c r="I417" t="s">
        <v>53</v>
      </c>
      <c r="J417" s="28" t="s">
        <v>370</v>
      </c>
      <c r="K417" s="32"/>
      <c r="L417" s="32">
        <v>1</v>
      </c>
      <c r="M417" s="30">
        <v>45990</v>
      </c>
      <c r="N417" s="30">
        <v>46001</v>
      </c>
      <c r="O417" s="43" t="s">
        <v>1118</v>
      </c>
      <c r="P417" s="55"/>
      <c r="Q417" t="s">
        <v>1118</v>
      </c>
      <c r="R417" t="s">
        <v>1131</v>
      </c>
    </row>
    <row r="418" spans="1:18" ht="14.45">
      <c r="A418" s="106" t="b">
        <v>0</v>
      </c>
      <c r="B418" t="str" cm="1">
        <f t="array" ref="B418">_xlfn.SINGLE(_xlfn._xlws.FILTER(t_ServiceCatalogue[Onwer],t_ServiceCatalogue[Category]=t_fac25_requirements[[#This Row],[Category]],""))</f>
        <v>NW</v>
      </c>
      <c r="C418" t="s">
        <v>400</v>
      </c>
      <c r="D418" t="str">
        <f>_xlfn._xlws.FILTER(t_Contact[FA Name],t_Contact[FA]=t_fac25_requirements[[#This Row],[FA]],"")</f>
        <v>Medical</v>
      </c>
      <c r="E418" s="43">
        <v>974</v>
      </c>
      <c r="F418" t="s">
        <v>296</v>
      </c>
      <c r="G418" t="s">
        <v>300</v>
      </c>
      <c r="H418" t="s">
        <v>52</v>
      </c>
      <c r="I418" t="s">
        <v>53</v>
      </c>
      <c r="J418" s="28" t="s">
        <v>370</v>
      </c>
      <c r="K418" s="32"/>
      <c r="L418" s="32">
        <v>3</v>
      </c>
      <c r="M418" s="30">
        <v>45990</v>
      </c>
      <c r="N418" s="30">
        <v>46001</v>
      </c>
      <c r="O418" s="43" t="s">
        <v>1118</v>
      </c>
      <c r="P418" s="55"/>
      <c r="Q418" t="s">
        <v>1118</v>
      </c>
      <c r="R418" t="s">
        <v>1132</v>
      </c>
    </row>
    <row r="419" spans="1:18" ht="14.45">
      <c r="A419" s="106" t="b">
        <v>0</v>
      </c>
      <c r="B419" t="str" cm="1">
        <f t="array" ref="B419">_xlfn.SINGLE(_xlfn._xlws.FILTER(t_ServiceCatalogue[Onwer],t_ServiceCatalogue[Category]=t_fac25_requirements[[#This Row],[Category]],""))</f>
        <v>AV</v>
      </c>
      <c r="C419" t="s">
        <v>400</v>
      </c>
      <c r="D419" t="str">
        <f>_xlfn._xlws.FILTER(t_Contact[FA Name],t_Contact[FA]=t_fac25_requirements[[#This Row],[FA]],"")</f>
        <v>Medical</v>
      </c>
      <c r="E419" t="s">
        <v>208</v>
      </c>
      <c r="F419" t="s">
        <v>253</v>
      </c>
      <c r="G419" t="s">
        <v>258</v>
      </c>
      <c r="H419" t="s">
        <v>58</v>
      </c>
      <c r="I419" t="s">
        <v>59</v>
      </c>
      <c r="J419" s="28" t="s">
        <v>370</v>
      </c>
      <c r="K419" s="32"/>
      <c r="L419" s="32">
        <v>1</v>
      </c>
      <c r="M419" s="30">
        <v>45990</v>
      </c>
      <c r="N419" s="30">
        <v>46008</v>
      </c>
      <c r="O419" s="43" t="s">
        <v>402</v>
      </c>
      <c r="P419" s="55" t="s">
        <v>403</v>
      </c>
      <c r="Q419" t="s">
        <v>402</v>
      </c>
      <c r="R419" t="s">
        <v>1133</v>
      </c>
    </row>
    <row r="420" spans="1:18" ht="14.45">
      <c r="A420" s="106" t="b">
        <v>0</v>
      </c>
      <c r="B420" t="str" cm="1">
        <f t="array" ref="B420">_xlfn.SINGLE(_xlfn._xlws.FILTER(t_ServiceCatalogue[Onwer],t_ServiceCatalogue[Category]=t_fac25_requirements[[#This Row],[Category]],""))</f>
        <v>NW</v>
      </c>
      <c r="C420" t="s">
        <v>400</v>
      </c>
      <c r="D420" t="str">
        <f>_xlfn._xlws.FILTER(t_Contact[FA Name],t_Contact[FA]=t_fac25_requirements[[#This Row],[FA]],"")</f>
        <v>Medical</v>
      </c>
      <c r="E420" t="s">
        <v>208</v>
      </c>
      <c r="F420" t="s">
        <v>253</v>
      </c>
      <c r="G420" t="s">
        <v>258</v>
      </c>
      <c r="H420" t="s">
        <v>52</v>
      </c>
      <c r="I420" t="s">
        <v>53</v>
      </c>
      <c r="J420" s="28" t="s">
        <v>370</v>
      </c>
      <c r="K420" s="32"/>
      <c r="L420" s="32">
        <v>1</v>
      </c>
      <c r="M420" s="30">
        <v>45990</v>
      </c>
      <c r="N420" s="30">
        <v>46008</v>
      </c>
      <c r="O420" s="43" t="s">
        <v>1118</v>
      </c>
      <c r="P420" s="55"/>
      <c r="Q420" t="s">
        <v>1118</v>
      </c>
      <c r="R420" t="s">
        <v>1134</v>
      </c>
    </row>
    <row r="421" spans="1:18" ht="14.45">
      <c r="A421" s="106" t="b">
        <v>0</v>
      </c>
      <c r="B421" t="str" cm="1">
        <f t="array" ref="B421">_xlfn.SINGLE(_xlfn._xlws.FILTER(t_ServiceCatalogue[Onwer],t_ServiceCatalogue[Category]=t_fac25_requirements[[#This Row],[Category]],""))</f>
        <v>NW</v>
      </c>
      <c r="C421" t="s">
        <v>400</v>
      </c>
      <c r="D421" t="str">
        <f>_xlfn._xlws.FILTER(t_Contact[FA Name],t_Contact[FA]=t_fac25_requirements[[#This Row],[FA]],"")</f>
        <v>Medical</v>
      </c>
      <c r="E421" t="s">
        <v>208</v>
      </c>
      <c r="F421" t="s">
        <v>336</v>
      </c>
      <c r="G421" t="s">
        <v>338</v>
      </c>
      <c r="H421" t="s">
        <v>52</v>
      </c>
      <c r="I421" t="s">
        <v>53</v>
      </c>
      <c r="J421" s="28" t="s">
        <v>370</v>
      </c>
      <c r="K421" s="32"/>
      <c r="L421" s="32">
        <v>1</v>
      </c>
      <c r="M421" s="30">
        <v>45990</v>
      </c>
      <c r="N421" s="30">
        <v>46008</v>
      </c>
      <c r="O421" s="43" t="s">
        <v>1118</v>
      </c>
      <c r="P421" s="55"/>
      <c r="Q421" t="s">
        <v>1118</v>
      </c>
      <c r="R421" t="s">
        <v>1135</v>
      </c>
    </row>
    <row r="422" spans="1:18" ht="14.45">
      <c r="A422" s="106" t="b">
        <v>0</v>
      </c>
      <c r="B422" t="str" cm="1">
        <f t="array" ref="B422">_xlfn.SINGLE(_xlfn._xlws.FILTER(t_ServiceCatalogue[Onwer],t_ServiceCatalogue[Category]=t_fac25_requirements[[#This Row],[Category]],""))</f>
        <v>NW</v>
      </c>
      <c r="C422" t="s">
        <v>400</v>
      </c>
      <c r="D422" t="str">
        <f>_xlfn._xlws.FILTER(t_Contact[FA Name],t_Contact[FA]=t_fac25_requirements[[#This Row],[FA]],"")</f>
        <v>Medical</v>
      </c>
      <c r="E422" t="s">
        <v>208</v>
      </c>
      <c r="F422" t="s">
        <v>336</v>
      </c>
      <c r="G422" t="s">
        <v>341</v>
      </c>
      <c r="H422" t="s">
        <v>52</v>
      </c>
      <c r="I422" t="s">
        <v>53</v>
      </c>
      <c r="J422" s="28" t="s">
        <v>370</v>
      </c>
      <c r="K422" s="32"/>
      <c r="L422" s="32">
        <v>1</v>
      </c>
      <c r="M422" s="30">
        <v>45990</v>
      </c>
      <c r="N422" s="30">
        <v>46008</v>
      </c>
      <c r="O422" s="43" t="s">
        <v>1118</v>
      </c>
      <c r="P422" s="55"/>
      <c r="Q422" t="s">
        <v>1118</v>
      </c>
      <c r="R422" t="s">
        <v>1136</v>
      </c>
    </row>
    <row r="423" spans="1:18" ht="14.45">
      <c r="A423" s="106" t="b">
        <v>0</v>
      </c>
      <c r="B423" t="str" cm="1">
        <f t="array" ref="B423">_xlfn.SINGLE(_xlfn._xlws.FILTER(t_ServiceCatalogue[Onwer],t_ServiceCatalogue[Category]=t_fac25_requirements[[#This Row],[Category]],""))</f>
        <v>NW</v>
      </c>
      <c r="C423" t="s">
        <v>400</v>
      </c>
      <c r="D423" t="str">
        <f>_xlfn._xlws.FILTER(t_Contact[FA Name],t_Contact[FA]=t_fac25_requirements[[#This Row],[FA]],"")</f>
        <v>Medical</v>
      </c>
      <c r="E423" t="s">
        <v>208</v>
      </c>
      <c r="F423" t="s">
        <v>296</v>
      </c>
      <c r="G423" t="s">
        <v>300</v>
      </c>
      <c r="H423" t="s">
        <v>52</v>
      </c>
      <c r="I423" t="s">
        <v>53</v>
      </c>
      <c r="J423" s="28" t="s">
        <v>370</v>
      </c>
      <c r="K423" s="32"/>
      <c r="L423" s="32">
        <v>3</v>
      </c>
      <c r="M423" s="30">
        <v>45990</v>
      </c>
      <c r="N423" s="30">
        <v>46008</v>
      </c>
      <c r="O423" s="43" t="s">
        <v>1118</v>
      </c>
      <c r="P423" s="55"/>
      <c r="Q423" t="s">
        <v>1118</v>
      </c>
      <c r="R423" t="s">
        <v>1137</v>
      </c>
    </row>
    <row r="424" spans="1:18" ht="14.45">
      <c r="A424" s="106" t="b">
        <v>0</v>
      </c>
      <c r="B424" t="str" cm="1">
        <f t="array" ref="B424">_xlfn.SINGLE(_xlfn._xlws.FILTER(t_ServiceCatalogue[Onwer],t_ServiceCatalogue[Category]=t_fac25_requirements[[#This Row],[Category]],""))</f>
        <v>AV</v>
      </c>
      <c r="C424" t="s">
        <v>400</v>
      </c>
      <c r="D424" t="str">
        <f>_xlfn._xlws.FILTER(t_Contact[FA Name],t_Contact[FA]=t_fac25_requirements[[#This Row],[FA]],"")</f>
        <v>Medical</v>
      </c>
      <c r="E424" t="s">
        <v>212</v>
      </c>
      <c r="F424" t="s">
        <v>253</v>
      </c>
      <c r="G424" t="s">
        <v>258</v>
      </c>
      <c r="H424" t="s">
        <v>58</v>
      </c>
      <c r="I424" t="s">
        <v>59</v>
      </c>
      <c r="J424" s="28" t="s">
        <v>370</v>
      </c>
      <c r="K424" s="32"/>
      <c r="L424" s="32">
        <v>1</v>
      </c>
      <c r="M424" s="30">
        <v>45990</v>
      </c>
      <c r="N424" s="30">
        <v>46003</v>
      </c>
      <c r="O424" s="43" t="s">
        <v>402</v>
      </c>
      <c r="P424" s="55" t="s">
        <v>403</v>
      </c>
      <c r="Q424" t="s">
        <v>402</v>
      </c>
      <c r="R424" t="s">
        <v>1138</v>
      </c>
    </row>
    <row r="425" spans="1:18" ht="14.45">
      <c r="A425" s="106" t="b">
        <v>0</v>
      </c>
      <c r="B425" t="str" cm="1">
        <f t="array" ref="B425">_xlfn.SINGLE(_xlfn._xlws.FILTER(t_ServiceCatalogue[Onwer],t_ServiceCatalogue[Category]=t_fac25_requirements[[#This Row],[Category]],""))</f>
        <v>NW</v>
      </c>
      <c r="C425" t="s">
        <v>400</v>
      </c>
      <c r="D425" t="str">
        <f>_xlfn._xlws.FILTER(t_Contact[FA Name],t_Contact[FA]=t_fac25_requirements[[#This Row],[FA]],"")</f>
        <v>Medical</v>
      </c>
      <c r="E425" t="s">
        <v>212</v>
      </c>
      <c r="F425" t="s">
        <v>253</v>
      </c>
      <c r="G425" t="s">
        <v>258</v>
      </c>
      <c r="H425" t="s">
        <v>52</v>
      </c>
      <c r="I425" t="s">
        <v>53</v>
      </c>
      <c r="J425" s="28" t="s">
        <v>370</v>
      </c>
      <c r="K425" s="32"/>
      <c r="L425" s="32">
        <v>1</v>
      </c>
      <c r="M425" s="30">
        <v>45990</v>
      </c>
      <c r="N425" s="30">
        <v>46003</v>
      </c>
      <c r="O425" s="43" t="s">
        <v>1118</v>
      </c>
      <c r="P425" s="55"/>
      <c r="Q425" t="s">
        <v>1118</v>
      </c>
      <c r="R425" t="s">
        <v>1139</v>
      </c>
    </row>
    <row r="426" spans="1:18" ht="14.45">
      <c r="A426" s="106" t="b">
        <v>0</v>
      </c>
      <c r="B426" t="str" cm="1">
        <f t="array" ref="B426">_xlfn.SINGLE(_xlfn._xlws.FILTER(t_ServiceCatalogue[Onwer],t_ServiceCatalogue[Category]=t_fac25_requirements[[#This Row],[Category]],""))</f>
        <v>NW</v>
      </c>
      <c r="C426" t="s">
        <v>400</v>
      </c>
      <c r="D426" t="str">
        <f>_xlfn._xlws.FILTER(t_Contact[FA Name],t_Contact[FA]=t_fac25_requirements[[#This Row],[FA]],"")</f>
        <v>Medical</v>
      </c>
      <c r="E426" t="s">
        <v>212</v>
      </c>
      <c r="F426" t="s">
        <v>336</v>
      </c>
      <c r="G426" t="s">
        <v>338</v>
      </c>
      <c r="H426" t="s">
        <v>52</v>
      </c>
      <c r="I426" t="s">
        <v>53</v>
      </c>
      <c r="J426" s="28" t="s">
        <v>370</v>
      </c>
      <c r="K426" s="32"/>
      <c r="L426" s="32">
        <v>1</v>
      </c>
      <c r="M426" s="30">
        <v>45990</v>
      </c>
      <c r="N426" s="30">
        <v>46003</v>
      </c>
      <c r="O426" s="43" t="s">
        <v>1118</v>
      </c>
      <c r="P426" s="55"/>
      <c r="Q426" t="s">
        <v>1118</v>
      </c>
      <c r="R426" t="s">
        <v>1140</v>
      </c>
    </row>
    <row r="427" spans="1:18" ht="14.45">
      <c r="A427" s="106" t="b">
        <v>0</v>
      </c>
      <c r="B427" t="str" cm="1">
        <f t="array" ref="B427">_xlfn.SINGLE(_xlfn._xlws.FILTER(t_ServiceCatalogue[Onwer],t_ServiceCatalogue[Category]=t_fac25_requirements[[#This Row],[Category]],""))</f>
        <v>NW</v>
      </c>
      <c r="C427" t="s">
        <v>400</v>
      </c>
      <c r="D427" t="str">
        <f>_xlfn._xlws.FILTER(t_Contact[FA Name],t_Contact[FA]=t_fac25_requirements[[#This Row],[FA]],"")</f>
        <v>Medical</v>
      </c>
      <c r="E427" t="s">
        <v>212</v>
      </c>
      <c r="F427" t="s">
        <v>336</v>
      </c>
      <c r="G427" t="s">
        <v>341</v>
      </c>
      <c r="H427" t="s">
        <v>52</v>
      </c>
      <c r="I427" t="s">
        <v>53</v>
      </c>
      <c r="J427" s="28" t="s">
        <v>370</v>
      </c>
      <c r="K427" s="32"/>
      <c r="L427" s="32">
        <v>1</v>
      </c>
      <c r="M427" s="30">
        <v>45990</v>
      </c>
      <c r="N427" s="30">
        <v>46003</v>
      </c>
      <c r="O427" s="43" t="s">
        <v>1118</v>
      </c>
      <c r="P427" s="55"/>
      <c r="Q427" t="s">
        <v>1118</v>
      </c>
      <c r="R427" t="s">
        <v>1141</v>
      </c>
    </row>
    <row r="428" spans="1:18" ht="14.45">
      <c r="A428" s="106" t="b">
        <v>0</v>
      </c>
      <c r="B428" t="str" cm="1">
        <f t="array" ref="B428">_xlfn.SINGLE(_xlfn._xlws.FILTER(t_ServiceCatalogue[Onwer],t_ServiceCatalogue[Category]=t_fac25_requirements[[#This Row],[Category]],""))</f>
        <v>NW</v>
      </c>
      <c r="C428" t="s">
        <v>400</v>
      </c>
      <c r="D428" t="str">
        <f>_xlfn._xlws.FILTER(t_Contact[FA Name],t_Contact[FA]=t_fac25_requirements[[#This Row],[FA]],"")</f>
        <v>Medical</v>
      </c>
      <c r="E428" t="s">
        <v>212</v>
      </c>
      <c r="F428" t="s">
        <v>296</v>
      </c>
      <c r="G428" t="s">
        <v>300</v>
      </c>
      <c r="H428" t="s">
        <v>52</v>
      </c>
      <c r="I428" t="s">
        <v>53</v>
      </c>
      <c r="J428" s="28" t="s">
        <v>370</v>
      </c>
      <c r="K428" s="32"/>
      <c r="L428" s="32">
        <v>3</v>
      </c>
      <c r="M428" s="30">
        <v>45990</v>
      </c>
      <c r="N428" s="30">
        <v>46003</v>
      </c>
      <c r="O428" s="43" t="s">
        <v>1118</v>
      </c>
      <c r="P428" s="55"/>
      <c r="Q428" t="s">
        <v>1118</v>
      </c>
      <c r="R428" t="s">
        <v>1142</v>
      </c>
    </row>
    <row r="429" spans="1:18" ht="14.45">
      <c r="A429" s="106" t="b">
        <v>0</v>
      </c>
      <c r="B429" t="str" cm="1">
        <f t="array" ref="B429">_xlfn.SINGLE(_xlfn._xlws.FILTER(t_ServiceCatalogue[Onwer],t_ServiceCatalogue[Category]=t_fac25_requirements[[#This Row],[Category]],""))</f>
        <v>AV</v>
      </c>
      <c r="C429" t="s">
        <v>400</v>
      </c>
      <c r="D429" t="str">
        <f>_xlfn._xlws.FILTER(t_Contact[FA Name],t_Contact[FA]=t_fac25_requirements[[#This Row],[FA]],"")</f>
        <v>Medical</v>
      </c>
      <c r="E429" t="s">
        <v>213</v>
      </c>
      <c r="F429" t="s">
        <v>253</v>
      </c>
      <c r="G429" t="s">
        <v>258</v>
      </c>
      <c r="H429" t="s">
        <v>58</v>
      </c>
      <c r="I429" t="s">
        <v>59</v>
      </c>
      <c r="J429" s="28" t="s">
        <v>370</v>
      </c>
      <c r="K429" s="32"/>
      <c r="L429" s="32">
        <v>1</v>
      </c>
      <c r="M429" s="30">
        <v>45990</v>
      </c>
      <c r="N429" s="30">
        <v>46009</v>
      </c>
      <c r="O429" s="43" t="s">
        <v>402</v>
      </c>
      <c r="P429" s="55" t="s">
        <v>403</v>
      </c>
      <c r="Q429" t="s">
        <v>402</v>
      </c>
      <c r="R429" t="s">
        <v>1143</v>
      </c>
    </row>
    <row r="430" spans="1:18" ht="14.45">
      <c r="A430" s="106" t="b">
        <v>0</v>
      </c>
      <c r="B430" t="str" cm="1">
        <f t="array" ref="B430">_xlfn.SINGLE(_xlfn._xlws.FILTER(t_ServiceCatalogue[Onwer],t_ServiceCatalogue[Category]=t_fac25_requirements[[#This Row],[Category]],""))</f>
        <v>NW</v>
      </c>
      <c r="C430" t="s">
        <v>400</v>
      </c>
      <c r="D430" t="str">
        <f>_xlfn._xlws.FILTER(t_Contact[FA Name],t_Contact[FA]=t_fac25_requirements[[#This Row],[FA]],"")</f>
        <v>Medical</v>
      </c>
      <c r="E430" t="s">
        <v>213</v>
      </c>
      <c r="F430" t="s">
        <v>253</v>
      </c>
      <c r="G430" t="s">
        <v>258</v>
      </c>
      <c r="H430" t="s">
        <v>52</v>
      </c>
      <c r="I430" t="s">
        <v>53</v>
      </c>
      <c r="J430" s="28" t="s">
        <v>370</v>
      </c>
      <c r="K430" s="32"/>
      <c r="L430" s="32">
        <v>1</v>
      </c>
      <c r="M430" s="30">
        <v>45990</v>
      </c>
      <c r="N430" s="30">
        <v>46009</v>
      </c>
      <c r="O430" s="43" t="s">
        <v>1118</v>
      </c>
      <c r="P430" s="55"/>
      <c r="Q430" t="s">
        <v>1118</v>
      </c>
      <c r="R430" t="s">
        <v>1144</v>
      </c>
    </row>
    <row r="431" spans="1:18" ht="14.45">
      <c r="A431" s="106" t="b">
        <v>0</v>
      </c>
      <c r="B431" t="str" cm="1">
        <f t="array" ref="B431">_xlfn.SINGLE(_xlfn._xlws.FILTER(t_ServiceCatalogue[Onwer],t_ServiceCatalogue[Category]=t_fac25_requirements[[#This Row],[Category]],""))</f>
        <v>NW</v>
      </c>
      <c r="C431" t="s">
        <v>400</v>
      </c>
      <c r="D431" t="str">
        <f>_xlfn._xlws.FILTER(t_Contact[FA Name],t_Contact[FA]=t_fac25_requirements[[#This Row],[FA]],"")</f>
        <v>Medical</v>
      </c>
      <c r="E431" t="s">
        <v>213</v>
      </c>
      <c r="F431" t="s">
        <v>336</v>
      </c>
      <c r="G431" t="s">
        <v>338</v>
      </c>
      <c r="H431" t="s">
        <v>52</v>
      </c>
      <c r="I431" t="s">
        <v>53</v>
      </c>
      <c r="J431" s="28" t="s">
        <v>370</v>
      </c>
      <c r="K431" s="32"/>
      <c r="L431" s="32">
        <v>1</v>
      </c>
      <c r="M431" s="30">
        <v>45990</v>
      </c>
      <c r="N431" s="30">
        <v>46009</v>
      </c>
      <c r="O431" s="43" t="s">
        <v>1118</v>
      </c>
      <c r="P431" s="55"/>
      <c r="Q431" t="s">
        <v>1118</v>
      </c>
      <c r="R431" t="s">
        <v>1145</v>
      </c>
    </row>
    <row r="432" spans="1:18" ht="14.45">
      <c r="A432" s="106" t="b">
        <v>0</v>
      </c>
      <c r="B432" t="str" cm="1">
        <f t="array" ref="B432">_xlfn.SINGLE(_xlfn._xlws.FILTER(t_ServiceCatalogue[Onwer],t_ServiceCatalogue[Category]=t_fac25_requirements[[#This Row],[Category]],""))</f>
        <v>NW</v>
      </c>
      <c r="C432" t="s">
        <v>400</v>
      </c>
      <c r="D432" t="str">
        <f>_xlfn._xlws.FILTER(t_Contact[FA Name],t_Contact[FA]=t_fac25_requirements[[#This Row],[FA]],"")</f>
        <v>Medical</v>
      </c>
      <c r="E432" t="s">
        <v>213</v>
      </c>
      <c r="F432" t="s">
        <v>336</v>
      </c>
      <c r="G432" t="s">
        <v>341</v>
      </c>
      <c r="H432" t="s">
        <v>52</v>
      </c>
      <c r="I432" t="s">
        <v>53</v>
      </c>
      <c r="J432" s="28" t="s">
        <v>370</v>
      </c>
      <c r="K432" s="32"/>
      <c r="L432" s="32">
        <v>1</v>
      </c>
      <c r="M432" s="30">
        <v>45990</v>
      </c>
      <c r="N432" s="30">
        <v>46009</v>
      </c>
      <c r="O432" s="43" t="s">
        <v>1118</v>
      </c>
      <c r="P432" s="55"/>
      <c r="Q432" t="s">
        <v>1118</v>
      </c>
      <c r="R432" t="s">
        <v>1146</v>
      </c>
    </row>
    <row r="433" spans="1:18" ht="14.45">
      <c r="A433" s="106" t="b">
        <v>0</v>
      </c>
      <c r="B433" t="str" cm="1">
        <f t="array" ref="B433">_xlfn.SINGLE(_xlfn._xlws.FILTER(t_ServiceCatalogue[Onwer],t_ServiceCatalogue[Category]=t_fac25_requirements[[#This Row],[Category]],""))</f>
        <v>NW</v>
      </c>
      <c r="C433" t="s">
        <v>400</v>
      </c>
      <c r="D433" t="str">
        <f>_xlfn._xlws.FILTER(t_Contact[FA Name],t_Contact[FA]=t_fac25_requirements[[#This Row],[FA]],"")</f>
        <v>Medical</v>
      </c>
      <c r="E433" t="s">
        <v>213</v>
      </c>
      <c r="F433" t="s">
        <v>296</v>
      </c>
      <c r="G433" t="s">
        <v>300</v>
      </c>
      <c r="H433" t="s">
        <v>52</v>
      </c>
      <c r="I433" t="s">
        <v>53</v>
      </c>
      <c r="J433" s="28" t="s">
        <v>370</v>
      </c>
      <c r="K433" s="32"/>
      <c r="L433" s="32">
        <v>3</v>
      </c>
      <c r="M433" s="30">
        <v>45990</v>
      </c>
      <c r="N433" s="30">
        <v>46009</v>
      </c>
      <c r="O433" s="43" t="s">
        <v>1118</v>
      </c>
      <c r="P433" s="55"/>
      <c r="Q433" t="s">
        <v>1118</v>
      </c>
      <c r="R433" t="s">
        <v>1147</v>
      </c>
    </row>
    <row r="434" spans="1:18" ht="14.45">
      <c r="A434" s="106" t="b">
        <v>1</v>
      </c>
      <c r="B434" t="str" cm="1">
        <f t="array" ref="B434">_xlfn.SINGLE(_xlfn._xlws.FILTER(t_ServiceCatalogue[Onwer],t_ServiceCatalogue[Category]=t_fac25_requirements[[#This Row],[Category]],""))</f>
        <v>Telco/SIM</v>
      </c>
      <c r="C434" t="s">
        <v>430</v>
      </c>
      <c r="D434" t="str">
        <f>_xlfn._xlws.FILTER(t_Contact[FA Name],t_Contact[FA]=t_fac25_requirements[[#This Row],[FA]],"")</f>
        <v xml:space="preserve">Access Management </v>
      </c>
      <c r="E434" s="43">
        <v>974</v>
      </c>
      <c r="F434" t="s">
        <v>288</v>
      </c>
      <c r="G434" t="s">
        <v>289</v>
      </c>
      <c r="H434" t="s">
        <v>84</v>
      </c>
      <c r="I434" t="s">
        <v>85</v>
      </c>
      <c r="J434" s="28" t="s">
        <v>370</v>
      </c>
      <c r="K434" s="32"/>
      <c r="L434" s="32">
        <v>76</v>
      </c>
      <c r="M434" s="30">
        <v>45983</v>
      </c>
      <c r="N434" s="30">
        <v>46013</v>
      </c>
      <c r="O434" s="43" t="s">
        <v>86</v>
      </c>
      <c r="P434" s="55" t="s">
        <v>87</v>
      </c>
      <c r="Q434" t="s">
        <v>1148</v>
      </c>
      <c r="R434" t="s">
        <v>1149</v>
      </c>
    </row>
    <row r="435" spans="1:18" ht="14.45">
      <c r="A435" s="106" t="b">
        <v>1</v>
      </c>
      <c r="B435" t="str" cm="1">
        <f t="array" ref="B435">_xlfn.SINGLE(_xlfn._xlws.FILTER(t_ServiceCatalogue[Onwer],t_ServiceCatalogue[Category]=t_fac25_requirements[[#This Row],[Category]],""))</f>
        <v>Telco/SIM</v>
      </c>
      <c r="C435" t="s">
        <v>430</v>
      </c>
      <c r="D435" t="str">
        <f>_xlfn._xlws.FILTER(t_Contact[FA Name],t_Contact[FA]=t_fac25_requirements[[#This Row],[FA]],"")</f>
        <v xml:space="preserve">Access Management </v>
      </c>
      <c r="E435" s="43">
        <v>974</v>
      </c>
      <c r="F435" t="s">
        <v>288</v>
      </c>
      <c r="G435" t="s">
        <v>289</v>
      </c>
      <c r="H435" t="s">
        <v>84</v>
      </c>
      <c r="I435" t="s">
        <v>165</v>
      </c>
      <c r="J435" s="28" t="s">
        <v>370</v>
      </c>
      <c r="K435" s="32"/>
      <c r="L435" s="32">
        <v>2</v>
      </c>
      <c r="M435" s="30">
        <v>45983</v>
      </c>
      <c r="N435" s="30">
        <v>46013</v>
      </c>
      <c r="O435" s="43" t="s">
        <v>166</v>
      </c>
      <c r="P435" s="55" t="s">
        <v>87</v>
      </c>
      <c r="Q435" t="s">
        <v>1150</v>
      </c>
      <c r="R435" t="s">
        <v>1151</v>
      </c>
    </row>
    <row r="436" spans="1:18" ht="14.45">
      <c r="A436" s="106" t="b">
        <v>1</v>
      </c>
      <c r="B436" t="str" cm="1">
        <f t="array" ref="B436">_xlfn.SINGLE(_xlfn._xlws.FILTER(t_ServiceCatalogue[Onwer],t_ServiceCatalogue[Category]=t_fac25_requirements[[#This Row],[Category]],""))</f>
        <v>Telco/SIM</v>
      </c>
      <c r="C436" t="s">
        <v>430</v>
      </c>
      <c r="D436" t="str">
        <f>_xlfn._xlws.FILTER(t_Contact[FA Name],t_Contact[FA]=t_fac25_requirements[[#This Row],[FA]],"")</f>
        <v xml:space="preserve">Access Management </v>
      </c>
      <c r="E436" t="s">
        <v>208</v>
      </c>
      <c r="F436" t="s">
        <v>288</v>
      </c>
      <c r="G436" t="s">
        <v>289</v>
      </c>
      <c r="H436" t="s">
        <v>84</v>
      </c>
      <c r="I436" t="s">
        <v>85</v>
      </c>
      <c r="J436" s="28" t="s">
        <v>370</v>
      </c>
      <c r="K436" s="32"/>
      <c r="L436" s="32">
        <v>90</v>
      </c>
      <c r="M436" s="30">
        <v>45983</v>
      </c>
      <c r="N436" s="30">
        <v>46013</v>
      </c>
      <c r="O436" s="43" t="s">
        <v>86</v>
      </c>
      <c r="P436" s="55" t="s">
        <v>87</v>
      </c>
      <c r="Q436" t="s">
        <v>1148</v>
      </c>
      <c r="R436" t="s">
        <v>1152</v>
      </c>
    </row>
    <row r="437" spans="1:18" ht="14.45">
      <c r="A437" s="106" t="b">
        <v>1</v>
      </c>
      <c r="B437" t="str" cm="1">
        <f t="array" ref="B437">_xlfn.SINGLE(_xlfn._xlws.FILTER(t_ServiceCatalogue[Onwer],t_ServiceCatalogue[Category]=t_fac25_requirements[[#This Row],[Category]],""))</f>
        <v>Telco/SIM</v>
      </c>
      <c r="C437" t="s">
        <v>430</v>
      </c>
      <c r="D437" t="str">
        <f>_xlfn._xlws.FILTER(t_Contact[FA Name],t_Contact[FA]=t_fac25_requirements[[#This Row],[FA]],"")</f>
        <v xml:space="preserve">Access Management </v>
      </c>
      <c r="E437" t="s">
        <v>208</v>
      </c>
      <c r="F437" t="s">
        <v>288</v>
      </c>
      <c r="G437" t="s">
        <v>289</v>
      </c>
      <c r="H437" t="s">
        <v>84</v>
      </c>
      <c r="I437" t="s">
        <v>165</v>
      </c>
      <c r="J437" s="28" t="s">
        <v>370</v>
      </c>
      <c r="K437" s="32"/>
      <c r="L437" s="32">
        <v>2</v>
      </c>
      <c r="M437" s="30">
        <v>45983</v>
      </c>
      <c r="N437" s="30">
        <v>46013</v>
      </c>
      <c r="O437" s="43" t="s">
        <v>166</v>
      </c>
      <c r="P437" s="55" t="s">
        <v>87</v>
      </c>
      <c r="Q437" t="s">
        <v>1150</v>
      </c>
      <c r="R437" t="s">
        <v>1153</v>
      </c>
    </row>
    <row r="438" spans="1:18" ht="14.45">
      <c r="A438" s="106" t="b">
        <v>1</v>
      </c>
      <c r="B438" t="str" cm="1">
        <f t="array" ref="B438">_xlfn.SINGLE(_xlfn._xlws.FILTER(t_ServiceCatalogue[Onwer],t_ServiceCatalogue[Category]=t_fac25_requirements[[#This Row],[Category]],""))</f>
        <v>Telco/SIM</v>
      </c>
      <c r="C438" t="s">
        <v>430</v>
      </c>
      <c r="D438" t="str">
        <f>_xlfn._xlws.FILTER(t_Contact[FA Name],t_Contact[FA]=t_fac25_requirements[[#This Row],[FA]],"")</f>
        <v xml:space="preserve">Access Management </v>
      </c>
      <c r="E438" t="s">
        <v>212</v>
      </c>
      <c r="F438" t="s">
        <v>288</v>
      </c>
      <c r="G438" t="s">
        <v>289</v>
      </c>
      <c r="H438" t="s">
        <v>84</v>
      </c>
      <c r="I438" t="s">
        <v>85</v>
      </c>
      <c r="J438" s="28" t="s">
        <v>370</v>
      </c>
      <c r="K438" s="32"/>
      <c r="L438" s="32">
        <v>123</v>
      </c>
      <c r="M438" s="30">
        <v>45983</v>
      </c>
      <c r="N438" s="30">
        <v>46013</v>
      </c>
      <c r="O438" s="43" t="s">
        <v>86</v>
      </c>
      <c r="P438" s="55" t="s">
        <v>87</v>
      </c>
      <c r="Q438" t="s">
        <v>1148</v>
      </c>
      <c r="R438" t="s">
        <v>1154</v>
      </c>
    </row>
    <row r="439" spans="1:18" ht="14.45">
      <c r="A439" s="106" t="b">
        <v>1</v>
      </c>
      <c r="B439" t="str" cm="1">
        <f t="array" ref="B439">_xlfn.SINGLE(_xlfn._xlws.FILTER(t_ServiceCatalogue[Onwer],t_ServiceCatalogue[Category]=t_fac25_requirements[[#This Row],[Category]],""))</f>
        <v>Telco/SIM</v>
      </c>
      <c r="C439" t="s">
        <v>430</v>
      </c>
      <c r="D439" t="str">
        <f>_xlfn._xlws.FILTER(t_Contact[FA Name],t_Contact[FA]=t_fac25_requirements[[#This Row],[FA]],"")</f>
        <v xml:space="preserve">Access Management </v>
      </c>
      <c r="E439" t="s">
        <v>212</v>
      </c>
      <c r="F439" t="s">
        <v>288</v>
      </c>
      <c r="G439" t="s">
        <v>289</v>
      </c>
      <c r="H439" t="s">
        <v>84</v>
      </c>
      <c r="I439" t="s">
        <v>165</v>
      </c>
      <c r="J439" s="28" t="s">
        <v>370</v>
      </c>
      <c r="K439" s="32"/>
      <c r="L439" s="32">
        <v>2</v>
      </c>
      <c r="M439" s="30">
        <v>45983</v>
      </c>
      <c r="N439" s="30">
        <v>46013</v>
      </c>
      <c r="O439" s="43" t="s">
        <v>166</v>
      </c>
      <c r="P439" s="55" t="s">
        <v>87</v>
      </c>
      <c r="Q439" t="s">
        <v>1150</v>
      </c>
      <c r="R439" t="s">
        <v>1155</v>
      </c>
    </row>
    <row r="440" spans="1:18" ht="14.45">
      <c r="A440" s="106" t="b">
        <v>1</v>
      </c>
      <c r="B440" t="str" cm="1">
        <f t="array" ref="B440">_xlfn.SINGLE(_xlfn._xlws.FILTER(t_ServiceCatalogue[Onwer],t_ServiceCatalogue[Category]=t_fac25_requirements[[#This Row],[Category]],""))</f>
        <v>Telco/SIM</v>
      </c>
      <c r="C440" t="s">
        <v>430</v>
      </c>
      <c r="D440" t="str">
        <f>_xlfn._xlws.FILTER(t_Contact[FA Name],t_Contact[FA]=t_fac25_requirements[[#This Row],[FA]],"")</f>
        <v xml:space="preserve">Access Management </v>
      </c>
      <c r="E440" t="s">
        <v>214</v>
      </c>
      <c r="F440" t="s">
        <v>288</v>
      </c>
      <c r="G440" t="s">
        <v>289</v>
      </c>
      <c r="H440" t="s">
        <v>84</v>
      </c>
      <c r="I440" t="s">
        <v>85</v>
      </c>
      <c r="J440" s="28" t="s">
        <v>370</v>
      </c>
      <c r="K440" s="32"/>
      <c r="L440" s="32">
        <v>146</v>
      </c>
      <c r="M440" s="30">
        <v>45983</v>
      </c>
      <c r="N440" s="30">
        <v>46013</v>
      </c>
      <c r="O440" s="43" t="s">
        <v>86</v>
      </c>
      <c r="P440" s="55" t="s">
        <v>87</v>
      </c>
      <c r="Q440" t="s">
        <v>1148</v>
      </c>
      <c r="R440" t="s">
        <v>1156</v>
      </c>
    </row>
    <row r="441" spans="1:18" ht="14.45">
      <c r="A441" s="106" t="b">
        <v>1</v>
      </c>
      <c r="B441" t="str" cm="1">
        <f t="array" ref="B441">_xlfn.SINGLE(_xlfn._xlws.FILTER(t_ServiceCatalogue[Onwer],t_ServiceCatalogue[Category]=t_fac25_requirements[[#This Row],[Category]],""))</f>
        <v>Telco/SIM</v>
      </c>
      <c r="C441" t="s">
        <v>430</v>
      </c>
      <c r="D441" t="str">
        <f>_xlfn._xlws.FILTER(t_Contact[FA Name],t_Contact[FA]=t_fac25_requirements[[#This Row],[FA]],"")</f>
        <v xml:space="preserve">Access Management </v>
      </c>
      <c r="E441" t="s">
        <v>214</v>
      </c>
      <c r="F441" t="s">
        <v>288</v>
      </c>
      <c r="G441" t="s">
        <v>289</v>
      </c>
      <c r="H441" t="s">
        <v>84</v>
      </c>
      <c r="I441" t="s">
        <v>165</v>
      </c>
      <c r="J441" s="28" t="s">
        <v>370</v>
      </c>
      <c r="K441" s="32"/>
      <c r="L441" s="32">
        <v>2</v>
      </c>
      <c r="M441" s="30">
        <v>45983</v>
      </c>
      <c r="N441" s="30">
        <v>46013</v>
      </c>
      <c r="O441" s="43" t="s">
        <v>166</v>
      </c>
      <c r="P441" s="55" t="s">
        <v>87</v>
      </c>
      <c r="Q441" t="s">
        <v>1150</v>
      </c>
      <c r="R441" t="s">
        <v>1157</v>
      </c>
    </row>
    <row r="442" spans="1:18" ht="14.45">
      <c r="A442" s="106" t="b">
        <v>1</v>
      </c>
      <c r="B442" t="str" cm="1">
        <f t="array" ref="B442">_xlfn.SINGLE(_xlfn._xlws.FILTER(t_ServiceCatalogue[Onwer],t_ServiceCatalogue[Category]=t_fac25_requirements[[#This Row],[Category]],""))</f>
        <v>Telco/SIM</v>
      </c>
      <c r="C442" t="s">
        <v>430</v>
      </c>
      <c r="D442" t="str">
        <f>_xlfn._xlws.FILTER(t_Contact[FA Name],t_Contact[FA]=t_fac25_requirements[[#This Row],[FA]],"")</f>
        <v xml:space="preserve">Access Management </v>
      </c>
      <c r="E442" t="s">
        <v>211</v>
      </c>
      <c r="F442" t="s">
        <v>288</v>
      </c>
      <c r="G442" t="s">
        <v>289</v>
      </c>
      <c r="H442" t="s">
        <v>84</v>
      </c>
      <c r="I442" t="s">
        <v>85</v>
      </c>
      <c r="J442" s="28" t="s">
        <v>370</v>
      </c>
      <c r="K442" s="32"/>
      <c r="L442" s="32">
        <v>151</v>
      </c>
      <c r="M442" s="30">
        <v>45983</v>
      </c>
      <c r="N442" s="30">
        <v>46013</v>
      </c>
      <c r="O442" s="43" t="s">
        <v>86</v>
      </c>
      <c r="P442" s="55" t="s">
        <v>87</v>
      </c>
      <c r="Q442" t="s">
        <v>1148</v>
      </c>
      <c r="R442" t="s">
        <v>1158</v>
      </c>
    </row>
    <row r="443" spans="1:18" ht="14.45">
      <c r="A443" s="106" t="b">
        <v>1</v>
      </c>
      <c r="B443" t="str" cm="1">
        <f t="array" ref="B443">_xlfn.SINGLE(_xlfn._xlws.FILTER(t_ServiceCatalogue[Onwer],t_ServiceCatalogue[Category]=t_fac25_requirements[[#This Row],[Category]],""))</f>
        <v>Telco/SIM</v>
      </c>
      <c r="C443" t="s">
        <v>430</v>
      </c>
      <c r="D443" t="str">
        <f>_xlfn._xlws.FILTER(t_Contact[FA Name],t_Contact[FA]=t_fac25_requirements[[#This Row],[FA]],"")</f>
        <v xml:space="preserve">Access Management </v>
      </c>
      <c r="E443" t="s">
        <v>211</v>
      </c>
      <c r="F443" t="s">
        <v>288</v>
      </c>
      <c r="G443" t="s">
        <v>289</v>
      </c>
      <c r="H443" t="s">
        <v>84</v>
      </c>
      <c r="I443" t="s">
        <v>165</v>
      </c>
      <c r="J443" s="28" t="s">
        <v>370</v>
      </c>
      <c r="K443" s="32"/>
      <c r="L443" s="32">
        <v>2</v>
      </c>
      <c r="M443" s="30">
        <v>45983</v>
      </c>
      <c r="N443" s="30">
        <v>46013</v>
      </c>
      <c r="O443" s="43" t="s">
        <v>166</v>
      </c>
      <c r="P443" s="55" t="s">
        <v>87</v>
      </c>
      <c r="Q443" t="s">
        <v>1150</v>
      </c>
      <c r="R443" t="s">
        <v>1159</v>
      </c>
    </row>
    <row r="444" spans="1:18" ht="14.45">
      <c r="A444" s="106" t="b">
        <v>1</v>
      </c>
      <c r="B444" t="str" cm="1">
        <f t="array" ref="B444">_xlfn.SINGLE(_xlfn._xlws.FILTER(t_ServiceCatalogue[Onwer],t_ServiceCatalogue[Category]=t_fac25_requirements[[#This Row],[Category]],""))</f>
        <v>Telco/SIM</v>
      </c>
      <c r="C444" t="s">
        <v>430</v>
      </c>
      <c r="D444" t="str">
        <f>_xlfn._xlws.FILTER(t_Contact[FA Name],t_Contact[FA]=t_fac25_requirements[[#This Row],[FA]],"")</f>
        <v xml:space="preserve">Access Management </v>
      </c>
      <c r="E444" t="s">
        <v>19</v>
      </c>
      <c r="F444" t="s">
        <v>345</v>
      </c>
      <c r="G444" t="s">
        <v>289</v>
      </c>
      <c r="H444" t="s">
        <v>84</v>
      </c>
      <c r="I444" t="s">
        <v>85</v>
      </c>
      <c r="J444" s="28" t="s">
        <v>370</v>
      </c>
      <c r="K444" s="32"/>
      <c r="L444" s="32">
        <v>4</v>
      </c>
      <c r="M444" s="30">
        <v>45983</v>
      </c>
      <c r="N444" s="30">
        <v>46013</v>
      </c>
      <c r="O444" s="43" t="s">
        <v>86</v>
      </c>
      <c r="P444" s="55" t="s">
        <v>87</v>
      </c>
      <c r="Q444" t="s">
        <v>1160</v>
      </c>
      <c r="R444" t="s">
        <v>1161</v>
      </c>
    </row>
    <row r="445" spans="1:18" ht="14.45">
      <c r="A445" s="106" t="b">
        <v>1</v>
      </c>
      <c r="B445" t="str" cm="1">
        <f t="array" ref="B445">_xlfn.SINGLE(_xlfn._xlws.FILTER(t_ServiceCatalogue[Onwer],t_ServiceCatalogue[Category]=t_fac25_requirements[[#This Row],[Category]],""))</f>
        <v>Telco/SIM</v>
      </c>
      <c r="C445" t="s">
        <v>430</v>
      </c>
      <c r="D445" t="str">
        <f>_xlfn._xlws.FILTER(t_Contact[FA Name],t_Contact[FA]=t_fac25_requirements[[#This Row],[FA]],"")</f>
        <v xml:space="preserve">Access Management </v>
      </c>
      <c r="E445" t="s">
        <v>19</v>
      </c>
      <c r="F445" t="s">
        <v>345</v>
      </c>
      <c r="G445" t="s">
        <v>289</v>
      </c>
      <c r="H445" t="s">
        <v>84</v>
      </c>
      <c r="I445" t="s">
        <v>165</v>
      </c>
      <c r="J445" s="28" t="s">
        <v>370</v>
      </c>
      <c r="K445" s="32"/>
      <c r="L445" s="32">
        <v>1</v>
      </c>
      <c r="M445" s="30">
        <v>45983</v>
      </c>
      <c r="N445" s="30">
        <v>46013</v>
      </c>
      <c r="O445" s="43" t="s">
        <v>166</v>
      </c>
      <c r="P445" s="55" t="s">
        <v>87</v>
      </c>
      <c r="Q445" t="s">
        <v>1162</v>
      </c>
      <c r="R445" t="s">
        <v>1163</v>
      </c>
    </row>
    <row r="446" spans="1:18" ht="14.45">
      <c r="A446" s="106" t="b">
        <v>0</v>
      </c>
      <c r="B446" t="str" cm="1">
        <f t="array" ref="B446">_xlfn.SINGLE(_xlfn._xlws.FILTER(t_ServiceCatalogue[Onwer],t_ServiceCatalogue[Category]=t_fac25_requirements[[#This Row],[Category]],""))</f>
        <v>AV</v>
      </c>
      <c r="C446" t="s">
        <v>192</v>
      </c>
      <c r="D446" t="str">
        <f>_xlfn._xlws.FILTER(t_Contact[FA Name],t_Contact[FA]=t_fac25_requirements[[#This Row],[FA]],"")</f>
        <v xml:space="preserve">Events and Community Relations </v>
      </c>
      <c r="E446" t="s">
        <v>211</v>
      </c>
      <c r="F446" t="s">
        <v>325</v>
      </c>
      <c r="G446" t="s">
        <v>327</v>
      </c>
      <c r="H446" t="s">
        <v>58</v>
      </c>
      <c r="I446" t="s">
        <v>59</v>
      </c>
      <c r="J446" s="28" t="s">
        <v>370</v>
      </c>
      <c r="K446" s="32"/>
      <c r="L446" s="32">
        <v>1</v>
      </c>
      <c r="M446" s="30">
        <v>45989</v>
      </c>
      <c r="N446" s="30">
        <v>46009</v>
      </c>
      <c r="O446" s="43" t="s">
        <v>112</v>
      </c>
      <c r="P446" s="55" t="s">
        <v>379</v>
      </c>
      <c r="Q446" t="s">
        <v>380</v>
      </c>
      <c r="R446" t="s">
        <v>381</v>
      </c>
    </row>
    <row r="447" spans="1:18" ht="14.45">
      <c r="A447" s="106" t="b">
        <v>1</v>
      </c>
      <c r="B447" t="str" cm="1">
        <f t="array" ref="B447">_xlfn.SINGLE(_xlfn._xlws.FILTER(t_ServiceCatalogue[Onwer],t_ServiceCatalogue[Category]=t_fac25_requirements[[#This Row],[Category]],""))</f>
        <v>EU</v>
      </c>
      <c r="C447" t="s">
        <v>192</v>
      </c>
      <c r="D447" t="str">
        <f>_xlfn._xlws.FILTER(t_Contact[FA Name],t_Contact[FA]=t_fac25_requirements[[#This Row],[FA]],"")</f>
        <v xml:space="preserve">Events and Community Relations </v>
      </c>
      <c r="E447" t="s">
        <v>211</v>
      </c>
      <c r="F447" t="s">
        <v>325</v>
      </c>
      <c r="G447" t="s">
        <v>327</v>
      </c>
      <c r="H447" t="s">
        <v>32</v>
      </c>
      <c r="I447" t="s">
        <v>33</v>
      </c>
      <c r="J447" s="28" t="s">
        <v>370</v>
      </c>
      <c r="K447" s="32">
        <v>2</v>
      </c>
      <c r="L447" s="32">
        <v>1</v>
      </c>
      <c r="M447" s="30">
        <v>45989</v>
      </c>
      <c r="N447" s="30">
        <v>46009</v>
      </c>
      <c r="O447" s="43" t="s">
        <v>34</v>
      </c>
      <c r="P447" s="55" t="s">
        <v>1164</v>
      </c>
      <c r="R447" t="s">
        <v>1165</v>
      </c>
    </row>
    <row r="448" spans="1:18" ht="14.45">
      <c r="A448" s="106" t="b">
        <v>1</v>
      </c>
      <c r="B448" t="str" cm="1">
        <f t="array" ref="B448">_xlfn.SINGLE(_xlfn._xlws.FILTER(t_ServiceCatalogue[Onwer],t_ServiceCatalogue[Category]=t_fac25_requirements[[#This Row],[Category]],""))</f>
        <v>EU</v>
      </c>
      <c r="C448" t="s">
        <v>192</v>
      </c>
      <c r="D448" t="str">
        <f>_xlfn._xlws.FILTER(t_Contact[FA Name],t_Contact[FA]=t_fac25_requirements[[#This Row],[FA]],"")</f>
        <v xml:space="preserve">Events and Community Relations </v>
      </c>
      <c r="E448" t="s">
        <v>211</v>
      </c>
      <c r="F448" t="s">
        <v>296</v>
      </c>
      <c r="G448" t="s">
        <v>327</v>
      </c>
      <c r="H448" t="s">
        <v>22</v>
      </c>
      <c r="I448" t="s">
        <v>23</v>
      </c>
      <c r="J448" s="28" t="s">
        <v>637</v>
      </c>
      <c r="K448" s="32">
        <v>1</v>
      </c>
      <c r="L448" s="32">
        <v>0</v>
      </c>
      <c r="M448" s="30">
        <v>45989</v>
      </c>
      <c r="N448" s="30">
        <v>46009</v>
      </c>
      <c r="O448" s="43" t="s">
        <v>24</v>
      </c>
      <c r="P448" s="55" t="s">
        <v>1166</v>
      </c>
      <c r="Q448" t="s">
        <v>1167</v>
      </c>
      <c r="R448" t="s">
        <v>1168</v>
      </c>
    </row>
    <row r="449" spans="1:18" ht="14.45">
      <c r="A449" s="106" t="b">
        <v>0</v>
      </c>
      <c r="B449" t="str" cm="1">
        <f t="array" ref="B449">_xlfn.SINGLE(_xlfn._xlws.FILTER(t_ServiceCatalogue[Onwer],t_ServiceCatalogue[Category]=t_fac25_requirements[[#This Row],[Category]],""))</f>
        <v>NW</v>
      </c>
      <c r="C449" t="s">
        <v>192</v>
      </c>
      <c r="D449" t="str">
        <f>_xlfn._xlws.FILTER(t_Contact[FA Name],t_Contact[FA]=t_fac25_requirements[[#This Row],[FA]],"")</f>
        <v xml:space="preserve">Events and Community Relations </v>
      </c>
      <c r="E449" t="s">
        <v>211</v>
      </c>
      <c r="F449" t="s">
        <v>325</v>
      </c>
      <c r="G449" t="s">
        <v>327</v>
      </c>
      <c r="H449" t="s">
        <v>52</v>
      </c>
      <c r="I449" t="s">
        <v>53</v>
      </c>
      <c r="J449" s="28" t="s">
        <v>370</v>
      </c>
      <c r="K449" s="32"/>
      <c r="L449" s="32">
        <v>2</v>
      </c>
      <c r="M449" s="30">
        <v>45989</v>
      </c>
      <c r="N449" s="30">
        <v>46009</v>
      </c>
      <c r="O449" s="43" t="s">
        <v>54</v>
      </c>
      <c r="P449" s="55" t="s">
        <v>1169</v>
      </c>
      <c r="Q449" t="s">
        <v>1170</v>
      </c>
      <c r="R449" t="s">
        <v>1171</v>
      </c>
    </row>
    <row r="450" spans="1:18" ht="14.45">
      <c r="A450" s="106" t="b">
        <v>1</v>
      </c>
      <c r="B450" t="str" cm="1">
        <f t="array" ref="B450">_xlfn.SINGLE(_xlfn._xlws.FILTER(t_ServiceCatalogue[Onwer],t_ServiceCatalogue[Category]=t_fac25_requirements[[#This Row],[Category]],""))</f>
        <v>AV</v>
      </c>
      <c r="C450" t="s">
        <v>192</v>
      </c>
      <c r="D450" t="str">
        <f>_xlfn._xlws.FILTER(t_Contact[FA Name],t_Contact[FA]=t_fac25_requirements[[#This Row],[FA]],"")</f>
        <v xml:space="preserve">Events and Community Relations </v>
      </c>
      <c r="E450" t="s">
        <v>214</v>
      </c>
      <c r="F450" t="s">
        <v>325</v>
      </c>
      <c r="G450" t="s">
        <v>327</v>
      </c>
      <c r="H450" t="s">
        <v>58</v>
      </c>
      <c r="I450" t="s">
        <v>59</v>
      </c>
      <c r="J450" s="28" t="s">
        <v>370</v>
      </c>
      <c r="K450" s="32">
        <v>1</v>
      </c>
      <c r="L450" s="32">
        <v>1</v>
      </c>
      <c r="M450" s="30">
        <v>45989</v>
      </c>
      <c r="N450" s="30">
        <v>46009</v>
      </c>
      <c r="O450" s="43" t="s">
        <v>112</v>
      </c>
      <c r="P450" s="55" t="s">
        <v>379</v>
      </c>
      <c r="Q450" t="s">
        <v>380</v>
      </c>
      <c r="R450" t="s">
        <v>1172</v>
      </c>
    </row>
    <row r="451" spans="1:18" ht="14.45">
      <c r="A451" s="106" t="b">
        <v>1</v>
      </c>
      <c r="B451" t="str" cm="1">
        <f t="array" ref="B451">_xlfn.SINGLE(_xlfn._xlws.FILTER(t_ServiceCatalogue[Onwer],t_ServiceCatalogue[Category]=t_fac25_requirements[[#This Row],[Category]],""))</f>
        <v>EU</v>
      </c>
      <c r="C451" t="s">
        <v>192</v>
      </c>
      <c r="D451" t="str">
        <f>_xlfn._xlws.FILTER(t_Contact[FA Name],t_Contact[FA]=t_fac25_requirements[[#This Row],[FA]],"")</f>
        <v xml:space="preserve">Events and Community Relations </v>
      </c>
      <c r="E451" t="s">
        <v>214</v>
      </c>
      <c r="F451" t="s">
        <v>325</v>
      </c>
      <c r="G451" t="s">
        <v>327</v>
      </c>
      <c r="H451" t="s">
        <v>32</v>
      </c>
      <c r="I451" t="s">
        <v>33</v>
      </c>
      <c r="J451" s="28" t="s">
        <v>370</v>
      </c>
      <c r="K451" s="32">
        <v>2</v>
      </c>
      <c r="L451" s="32">
        <v>1</v>
      </c>
      <c r="M451" s="30">
        <v>45989</v>
      </c>
      <c r="N451" s="30">
        <v>46009</v>
      </c>
      <c r="O451" s="43" t="s">
        <v>34</v>
      </c>
      <c r="P451" s="55" t="s">
        <v>1164</v>
      </c>
      <c r="R451" t="s">
        <v>1173</v>
      </c>
    </row>
    <row r="452" spans="1:18" ht="14.45">
      <c r="A452" s="106" t="b">
        <v>1</v>
      </c>
      <c r="B452" t="str" cm="1">
        <f t="array" ref="B452">_xlfn.SINGLE(_xlfn._xlws.FILTER(t_ServiceCatalogue[Onwer],t_ServiceCatalogue[Category]=t_fac25_requirements[[#This Row],[Category]],""))</f>
        <v>EU</v>
      </c>
      <c r="C452" t="s">
        <v>192</v>
      </c>
      <c r="D452" t="str">
        <f>_xlfn._xlws.FILTER(t_Contact[FA Name],t_Contact[FA]=t_fac25_requirements[[#This Row],[FA]],"")</f>
        <v xml:space="preserve">Events and Community Relations </v>
      </c>
      <c r="E452" t="s">
        <v>214</v>
      </c>
      <c r="F452" t="s">
        <v>296</v>
      </c>
      <c r="G452" t="s">
        <v>327</v>
      </c>
      <c r="H452" t="s">
        <v>22</v>
      </c>
      <c r="I452" t="s">
        <v>23</v>
      </c>
      <c r="J452" s="28" t="s">
        <v>637</v>
      </c>
      <c r="K452" s="32">
        <v>1</v>
      </c>
      <c r="L452" s="32">
        <v>0</v>
      </c>
      <c r="M452" s="30">
        <v>45989</v>
      </c>
      <c r="N452" s="30">
        <v>46009</v>
      </c>
      <c r="O452" s="43" t="s">
        <v>24</v>
      </c>
      <c r="P452" s="55" t="s">
        <v>1166</v>
      </c>
      <c r="Q452" t="s">
        <v>1167</v>
      </c>
      <c r="R452" t="s">
        <v>1174</v>
      </c>
    </row>
    <row r="453" spans="1:18" ht="14.45">
      <c r="A453" s="106" t="b">
        <v>0</v>
      </c>
      <c r="B453" t="str" cm="1">
        <f t="array" ref="B453">_xlfn.SINGLE(_xlfn._xlws.FILTER(t_ServiceCatalogue[Onwer],t_ServiceCatalogue[Category]=t_fac25_requirements[[#This Row],[Category]],""))</f>
        <v>NW</v>
      </c>
      <c r="C453" t="s">
        <v>192</v>
      </c>
      <c r="D453" t="str">
        <f>_xlfn._xlws.FILTER(t_Contact[FA Name],t_Contact[FA]=t_fac25_requirements[[#This Row],[FA]],"")</f>
        <v xml:space="preserve">Events and Community Relations </v>
      </c>
      <c r="E453" t="s">
        <v>214</v>
      </c>
      <c r="F453" t="s">
        <v>325</v>
      </c>
      <c r="G453" t="s">
        <v>327</v>
      </c>
      <c r="H453" t="s">
        <v>52</v>
      </c>
      <c r="I453" t="s">
        <v>53</v>
      </c>
      <c r="J453" s="28" t="s">
        <v>370</v>
      </c>
      <c r="K453" s="32"/>
      <c r="L453" s="32">
        <v>2</v>
      </c>
      <c r="M453" s="30">
        <v>45989</v>
      </c>
      <c r="N453" s="30">
        <v>46009</v>
      </c>
      <c r="O453" s="43" t="s">
        <v>54</v>
      </c>
      <c r="P453" s="55" t="s">
        <v>1169</v>
      </c>
      <c r="Q453" t="s">
        <v>1170</v>
      </c>
      <c r="R453" t="s">
        <v>1175</v>
      </c>
    </row>
    <row r="454" spans="1:18" ht="14.45">
      <c r="A454" s="106" t="b">
        <v>0</v>
      </c>
      <c r="B454" t="str" cm="1">
        <f t="array" ref="B454">_xlfn.SINGLE(_xlfn._xlws.FILTER(t_ServiceCatalogue[Onwer],t_ServiceCatalogue[Category]=t_fac25_requirements[[#This Row],[Category]],""))</f>
        <v>AV</v>
      </c>
      <c r="C454" t="s">
        <v>192</v>
      </c>
      <c r="D454" t="str">
        <f>_xlfn._xlws.FILTER(t_Contact[FA Name],t_Contact[FA]=t_fac25_requirements[[#This Row],[FA]],"")</f>
        <v xml:space="preserve">Events and Community Relations </v>
      </c>
      <c r="E454" s="43">
        <v>974</v>
      </c>
      <c r="F454" t="s">
        <v>325</v>
      </c>
      <c r="G454" t="s">
        <v>327</v>
      </c>
      <c r="H454" t="s">
        <v>58</v>
      </c>
      <c r="I454" t="s">
        <v>59</v>
      </c>
      <c r="J454" s="28" t="s">
        <v>370</v>
      </c>
      <c r="K454" s="32">
        <v>1</v>
      </c>
      <c r="L454" s="32">
        <v>1</v>
      </c>
      <c r="M454" s="30">
        <v>45989</v>
      </c>
      <c r="N454" s="30">
        <v>46009</v>
      </c>
      <c r="O454" s="43" t="s">
        <v>112</v>
      </c>
      <c r="P454" s="55" t="s">
        <v>379</v>
      </c>
      <c r="Q454" t="s">
        <v>380</v>
      </c>
      <c r="R454" t="s">
        <v>1176</v>
      </c>
    </row>
    <row r="455" spans="1:18" ht="14.45">
      <c r="A455" s="106" t="b">
        <v>1</v>
      </c>
      <c r="B455" t="str" cm="1">
        <f t="array" ref="B455">_xlfn.SINGLE(_xlfn._xlws.FILTER(t_ServiceCatalogue[Onwer],t_ServiceCatalogue[Category]=t_fac25_requirements[[#This Row],[Category]],""))</f>
        <v>EU</v>
      </c>
      <c r="C455" t="s">
        <v>192</v>
      </c>
      <c r="D455" t="str">
        <f>_xlfn._xlws.FILTER(t_Contact[FA Name],t_Contact[FA]=t_fac25_requirements[[#This Row],[FA]],"")</f>
        <v xml:space="preserve">Events and Community Relations </v>
      </c>
      <c r="E455" s="43">
        <v>974</v>
      </c>
      <c r="F455" t="s">
        <v>325</v>
      </c>
      <c r="G455" t="s">
        <v>327</v>
      </c>
      <c r="H455" t="s">
        <v>32</v>
      </c>
      <c r="I455" t="s">
        <v>33</v>
      </c>
      <c r="J455" s="28" t="s">
        <v>370</v>
      </c>
      <c r="K455" s="32">
        <v>2</v>
      </c>
      <c r="L455" s="32">
        <v>1</v>
      </c>
      <c r="M455" s="30">
        <v>45989</v>
      </c>
      <c r="N455" s="30">
        <v>46009</v>
      </c>
      <c r="O455" s="43" t="s">
        <v>34</v>
      </c>
      <c r="P455" s="55" t="s">
        <v>1164</v>
      </c>
      <c r="R455" t="s">
        <v>1177</v>
      </c>
    </row>
    <row r="456" spans="1:18" ht="14.45">
      <c r="A456" s="106" t="b">
        <v>1</v>
      </c>
      <c r="B456" t="str" cm="1">
        <f t="array" ref="B456">_xlfn.SINGLE(_xlfn._xlws.FILTER(t_ServiceCatalogue[Onwer],t_ServiceCatalogue[Category]=t_fac25_requirements[[#This Row],[Category]],""))</f>
        <v>EU</v>
      </c>
      <c r="C456" t="s">
        <v>192</v>
      </c>
      <c r="D456" t="str">
        <f>_xlfn._xlws.FILTER(t_Contact[FA Name],t_Contact[FA]=t_fac25_requirements[[#This Row],[FA]],"")</f>
        <v xml:space="preserve">Events and Community Relations </v>
      </c>
      <c r="E456" s="43">
        <v>974</v>
      </c>
      <c r="F456" t="s">
        <v>296</v>
      </c>
      <c r="G456" t="s">
        <v>327</v>
      </c>
      <c r="H456" t="s">
        <v>22</v>
      </c>
      <c r="I456" t="s">
        <v>23</v>
      </c>
      <c r="J456" s="28" t="s">
        <v>637</v>
      </c>
      <c r="K456" s="32">
        <v>1</v>
      </c>
      <c r="L456" s="32">
        <v>0</v>
      </c>
      <c r="M456" s="30">
        <v>45989</v>
      </c>
      <c r="N456" s="30">
        <v>46009</v>
      </c>
      <c r="O456" s="43" t="s">
        <v>24</v>
      </c>
      <c r="P456" s="55" t="s">
        <v>1166</v>
      </c>
      <c r="Q456" t="s">
        <v>1167</v>
      </c>
      <c r="R456" t="s">
        <v>1178</v>
      </c>
    </row>
    <row r="457" spans="1:18" ht="14.45">
      <c r="A457" s="106" t="b">
        <v>0</v>
      </c>
      <c r="B457" t="str" cm="1">
        <f t="array" ref="B457">_xlfn.SINGLE(_xlfn._xlws.FILTER(t_ServiceCatalogue[Onwer],t_ServiceCatalogue[Category]=t_fac25_requirements[[#This Row],[Category]],""))</f>
        <v>NW</v>
      </c>
      <c r="C457" t="s">
        <v>192</v>
      </c>
      <c r="D457" t="str">
        <f>_xlfn._xlws.FILTER(t_Contact[FA Name],t_Contact[FA]=t_fac25_requirements[[#This Row],[FA]],"")</f>
        <v xml:space="preserve">Events and Community Relations </v>
      </c>
      <c r="E457" s="43">
        <v>974</v>
      </c>
      <c r="F457" t="s">
        <v>325</v>
      </c>
      <c r="G457" t="s">
        <v>327</v>
      </c>
      <c r="H457" t="s">
        <v>52</v>
      </c>
      <c r="I457" t="s">
        <v>53</v>
      </c>
      <c r="J457" s="28" t="s">
        <v>370</v>
      </c>
      <c r="K457" s="32"/>
      <c r="L457" s="32">
        <v>2</v>
      </c>
      <c r="M457" s="30">
        <v>45989</v>
      </c>
      <c r="N457" s="30">
        <v>46009</v>
      </c>
      <c r="O457" s="43" t="s">
        <v>54</v>
      </c>
      <c r="P457" s="55" t="s">
        <v>1169</v>
      </c>
      <c r="Q457" t="s">
        <v>1170</v>
      </c>
      <c r="R457" t="s">
        <v>1179</v>
      </c>
    </row>
    <row r="458" spans="1:18" ht="14.45">
      <c r="A458" s="106" t="b">
        <v>0</v>
      </c>
      <c r="B458" t="str" cm="1">
        <f t="array" ref="B458">_xlfn.SINGLE(_xlfn._xlws.FILTER(t_ServiceCatalogue[Onwer],t_ServiceCatalogue[Category]=t_fac25_requirements[[#This Row],[Category]],""))</f>
        <v>AV</v>
      </c>
      <c r="C458" t="s">
        <v>192</v>
      </c>
      <c r="D458" t="str">
        <f>_xlfn._xlws.FILTER(t_Contact[FA Name],t_Contact[FA]=t_fac25_requirements[[#This Row],[FA]],"")</f>
        <v xml:space="preserve">Events and Community Relations </v>
      </c>
      <c r="E458" t="s">
        <v>208</v>
      </c>
      <c r="F458" t="s">
        <v>325</v>
      </c>
      <c r="G458" t="s">
        <v>327</v>
      </c>
      <c r="H458" t="s">
        <v>58</v>
      </c>
      <c r="I458" t="s">
        <v>59</v>
      </c>
      <c r="J458" s="28" t="s">
        <v>370</v>
      </c>
      <c r="K458" s="32">
        <v>1</v>
      </c>
      <c r="L458" s="32">
        <v>1</v>
      </c>
      <c r="M458" s="30">
        <v>45989</v>
      </c>
      <c r="N458" s="30">
        <v>46009</v>
      </c>
      <c r="O458" s="43" t="s">
        <v>112</v>
      </c>
      <c r="P458" s="55" t="s">
        <v>379</v>
      </c>
      <c r="Q458" t="s">
        <v>380</v>
      </c>
      <c r="R458" t="s">
        <v>1180</v>
      </c>
    </row>
    <row r="459" spans="1:18" ht="14.45">
      <c r="A459" s="106" t="b">
        <v>1</v>
      </c>
      <c r="B459" t="str" cm="1">
        <f t="array" ref="B459">_xlfn.SINGLE(_xlfn._xlws.FILTER(t_ServiceCatalogue[Onwer],t_ServiceCatalogue[Category]=t_fac25_requirements[[#This Row],[Category]],""))</f>
        <v>EU</v>
      </c>
      <c r="C459" t="s">
        <v>192</v>
      </c>
      <c r="D459" t="str">
        <f>_xlfn._xlws.FILTER(t_Contact[FA Name],t_Contact[FA]=t_fac25_requirements[[#This Row],[FA]],"")</f>
        <v xml:space="preserve">Events and Community Relations </v>
      </c>
      <c r="E459" t="s">
        <v>208</v>
      </c>
      <c r="F459" t="s">
        <v>325</v>
      </c>
      <c r="G459" t="s">
        <v>327</v>
      </c>
      <c r="H459" t="s">
        <v>32</v>
      </c>
      <c r="I459" t="s">
        <v>33</v>
      </c>
      <c r="J459" s="28" t="s">
        <v>370</v>
      </c>
      <c r="K459" s="32">
        <v>2</v>
      </c>
      <c r="L459" s="32">
        <v>1</v>
      </c>
      <c r="M459" s="30">
        <v>45989</v>
      </c>
      <c r="N459" s="30">
        <v>46009</v>
      </c>
      <c r="O459" s="43" t="s">
        <v>34</v>
      </c>
      <c r="P459" s="55" t="s">
        <v>1164</v>
      </c>
      <c r="R459" t="s">
        <v>1181</v>
      </c>
    </row>
    <row r="460" spans="1:18" ht="14.45">
      <c r="A460" s="106" t="b">
        <v>1</v>
      </c>
      <c r="B460" t="str" cm="1">
        <f t="array" ref="B460">_xlfn.SINGLE(_xlfn._xlws.FILTER(t_ServiceCatalogue[Onwer],t_ServiceCatalogue[Category]=t_fac25_requirements[[#This Row],[Category]],""))</f>
        <v>EU</v>
      </c>
      <c r="C460" t="s">
        <v>192</v>
      </c>
      <c r="D460" t="str">
        <f>_xlfn._xlws.FILTER(t_Contact[FA Name],t_Contact[FA]=t_fac25_requirements[[#This Row],[FA]],"")</f>
        <v xml:space="preserve">Events and Community Relations </v>
      </c>
      <c r="E460" t="s">
        <v>208</v>
      </c>
      <c r="F460" t="s">
        <v>296</v>
      </c>
      <c r="G460" t="s">
        <v>327</v>
      </c>
      <c r="H460" t="s">
        <v>22</v>
      </c>
      <c r="I460" t="s">
        <v>23</v>
      </c>
      <c r="J460" s="28" t="s">
        <v>637</v>
      </c>
      <c r="K460" s="32">
        <v>1</v>
      </c>
      <c r="L460" s="32">
        <v>0</v>
      </c>
      <c r="M460" s="30">
        <v>45989</v>
      </c>
      <c r="N460" s="30">
        <v>46009</v>
      </c>
      <c r="O460" s="43" t="s">
        <v>24</v>
      </c>
      <c r="P460" s="55" t="s">
        <v>1166</v>
      </c>
      <c r="Q460" t="s">
        <v>1167</v>
      </c>
      <c r="R460" t="s">
        <v>1182</v>
      </c>
    </row>
    <row r="461" spans="1:18" ht="14.45">
      <c r="A461" s="106" t="b">
        <v>0</v>
      </c>
      <c r="B461" t="str" cm="1">
        <f t="array" ref="B461">_xlfn.SINGLE(_xlfn._xlws.FILTER(t_ServiceCatalogue[Onwer],t_ServiceCatalogue[Category]=t_fac25_requirements[[#This Row],[Category]],""))</f>
        <v>NW</v>
      </c>
      <c r="C461" t="s">
        <v>192</v>
      </c>
      <c r="D461" t="str">
        <f>_xlfn._xlws.FILTER(t_Contact[FA Name],t_Contact[FA]=t_fac25_requirements[[#This Row],[FA]],"")</f>
        <v xml:space="preserve">Events and Community Relations </v>
      </c>
      <c r="E461" t="s">
        <v>208</v>
      </c>
      <c r="F461" t="s">
        <v>325</v>
      </c>
      <c r="G461" t="s">
        <v>327</v>
      </c>
      <c r="H461" t="s">
        <v>52</v>
      </c>
      <c r="I461" t="s">
        <v>53</v>
      </c>
      <c r="J461" s="28" t="s">
        <v>370</v>
      </c>
      <c r="K461" s="32"/>
      <c r="L461" s="32">
        <v>2</v>
      </c>
      <c r="M461" s="30">
        <v>45989</v>
      </c>
      <c r="N461" s="30">
        <v>46009</v>
      </c>
      <c r="O461" s="43" t="s">
        <v>54</v>
      </c>
      <c r="P461" s="55" t="s">
        <v>1169</v>
      </c>
      <c r="Q461" t="s">
        <v>1170</v>
      </c>
      <c r="R461" t="s">
        <v>1183</v>
      </c>
    </row>
    <row r="462" spans="1:18" ht="14.45">
      <c r="A462" s="106" t="b">
        <v>0</v>
      </c>
      <c r="B462" t="str" cm="1">
        <f t="array" ref="B462">_xlfn.SINGLE(_xlfn._xlws.FILTER(t_ServiceCatalogue[Onwer],t_ServiceCatalogue[Category]=t_fac25_requirements[[#This Row],[Category]],""))</f>
        <v>AV</v>
      </c>
      <c r="C462" t="s">
        <v>192</v>
      </c>
      <c r="D462" t="str">
        <f>_xlfn._xlws.FILTER(t_Contact[FA Name],t_Contact[FA]=t_fac25_requirements[[#This Row],[FA]],"")</f>
        <v xml:space="preserve">Events and Community Relations </v>
      </c>
      <c r="E462" t="s">
        <v>212</v>
      </c>
      <c r="F462" t="s">
        <v>325</v>
      </c>
      <c r="G462" t="s">
        <v>327</v>
      </c>
      <c r="H462" t="s">
        <v>58</v>
      </c>
      <c r="I462" t="s">
        <v>59</v>
      </c>
      <c r="J462" s="28" t="s">
        <v>370</v>
      </c>
      <c r="K462" s="32">
        <v>1</v>
      </c>
      <c r="L462" s="32">
        <v>1</v>
      </c>
      <c r="M462" s="30">
        <v>45989</v>
      </c>
      <c r="N462" s="30">
        <v>46009</v>
      </c>
      <c r="O462" s="43" t="s">
        <v>112</v>
      </c>
      <c r="P462" s="55" t="s">
        <v>379</v>
      </c>
      <c r="Q462" t="s">
        <v>380</v>
      </c>
      <c r="R462" t="s">
        <v>1184</v>
      </c>
    </row>
    <row r="463" spans="1:18" ht="14.45">
      <c r="A463" s="106" t="b">
        <v>1</v>
      </c>
      <c r="B463" t="str" cm="1">
        <f t="array" ref="B463">_xlfn.SINGLE(_xlfn._xlws.FILTER(t_ServiceCatalogue[Onwer],t_ServiceCatalogue[Category]=t_fac25_requirements[[#This Row],[Category]],""))</f>
        <v>EU</v>
      </c>
      <c r="C463" t="s">
        <v>192</v>
      </c>
      <c r="D463" t="str">
        <f>_xlfn._xlws.FILTER(t_Contact[FA Name],t_Contact[FA]=t_fac25_requirements[[#This Row],[FA]],"")</f>
        <v xml:space="preserve">Events and Community Relations </v>
      </c>
      <c r="E463" t="s">
        <v>212</v>
      </c>
      <c r="F463" t="s">
        <v>325</v>
      </c>
      <c r="G463" t="s">
        <v>327</v>
      </c>
      <c r="H463" t="s">
        <v>32</v>
      </c>
      <c r="I463" t="s">
        <v>33</v>
      </c>
      <c r="J463" s="28" t="s">
        <v>370</v>
      </c>
      <c r="K463" s="32">
        <v>2</v>
      </c>
      <c r="L463" s="32">
        <v>1</v>
      </c>
      <c r="M463" s="30">
        <v>45989</v>
      </c>
      <c r="N463" s="30">
        <v>46009</v>
      </c>
      <c r="O463" s="43" t="s">
        <v>34</v>
      </c>
      <c r="P463" s="55" t="s">
        <v>1164</v>
      </c>
      <c r="R463" t="s">
        <v>1185</v>
      </c>
    </row>
    <row r="464" spans="1:18" ht="14.45">
      <c r="A464" s="106" t="b">
        <v>1</v>
      </c>
      <c r="B464" t="str" cm="1">
        <f t="array" ref="B464">_xlfn.SINGLE(_xlfn._xlws.FILTER(t_ServiceCatalogue[Onwer],t_ServiceCatalogue[Category]=t_fac25_requirements[[#This Row],[Category]],""))</f>
        <v>EU</v>
      </c>
      <c r="C464" t="s">
        <v>192</v>
      </c>
      <c r="D464" t="str">
        <f>_xlfn._xlws.FILTER(t_Contact[FA Name],t_Contact[FA]=t_fac25_requirements[[#This Row],[FA]],"")</f>
        <v xml:space="preserve">Events and Community Relations </v>
      </c>
      <c r="E464" t="s">
        <v>212</v>
      </c>
      <c r="F464" t="s">
        <v>296</v>
      </c>
      <c r="G464" t="s">
        <v>327</v>
      </c>
      <c r="H464" t="s">
        <v>22</v>
      </c>
      <c r="I464" t="s">
        <v>23</v>
      </c>
      <c r="J464" s="28" t="s">
        <v>637</v>
      </c>
      <c r="K464" s="32">
        <v>1</v>
      </c>
      <c r="L464" s="32">
        <v>0</v>
      </c>
      <c r="M464" s="30">
        <v>45989</v>
      </c>
      <c r="N464" s="30">
        <v>46009</v>
      </c>
      <c r="O464" s="43" t="s">
        <v>24</v>
      </c>
      <c r="P464" s="55" t="s">
        <v>1166</v>
      </c>
      <c r="Q464" t="s">
        <v>1167</v>
      </c>
      <c r="R464" t="s">
        <v>1186</v>
      </c>
    </row>
    <row r="465" spans="1:18" ht="14.45">
      <c r="A465" s="106" t="b">
        <v>0</v>
      </c>
      <c r="B465" t="str" cm="1">
        <f t="array" ref="B465">_xlfn.SINGLE(_xlfn._xlws.FILTER(t_ServiceCatalogue[Onwer],t_ServiceCatalogue[Category]=t_fac25_requirements[[#This Row],[Category]],""))</f>
        <v>NW</v>
      </c>
      <c r="C465" t="s">
        <v>192</v>
      </c>
      <c r="D465" t="str">
        <f>_xlfn._xlws.FILTER(t_Contact[FA Name],t_Contact[FA]=t_fac25_requirements[[#This Row],[FA]],"")</f>
        <v xml:space="preserve">Events and Community Relations </v>
      </c>
      <c r="E465" t="s">
        <v>212</v>
      </c>
      <c r="F465" t="s">
        <v>325</v>
      </c>
      <c r="G465" t="s">
        <v>327</v>
      </c>
      <c r="H465" t="s">
        <v>52</v>
      </c>
      <c r="I465" t="s">
        <v>53</v>
      </c>
      <c r="J465" s="28" t="s">
        <v>370</v>
      </c>
      <c r="K465" s="32"/>
      <c r="L465" s="32">
        <v>2</v>
      </c>
      <c r="M465" s="30">
        <v>45989</v>
      </c>
      <c r="N465" s="30">
        <v>46009</v>
      </c>
      <c r="O465" s="43" t="s">
        <v>54</v>
      </c>
      <c r="P465" s="55" t="s">
        <v>1169</v>
      </c>
      <c r="Q465" t="s">
        <v>1170</v>
      </c>
      <c r="R465" t="s">
        <v>1187</v>
      </c>
    </row>
    <row r="466" spans="1:18" ht="14.45">
      <c r="A466" s="106" t="b">
        <v>0</v>
      </c>
      <c r="B466" t="str" cm="1">
        <f t="array" ref="B466">_xlfn.SINGLE(_xlfn._xlws.FILTER(t_ServiceCatalogue[Onwer],t_ServiceCatalogue[Category]=t_fac25_requirements[[#This Row],[Category]],""))</f>
        <v>AV</v>
      </c>
      <c r="C466" t="s">
        <v>192</v>
      </c>
      <c r="D466" t="str">
        <f>_xlfn._xlws.FILTER(t_Contact[FA Name],t_Contact[FA]=t_fac25_requirements[[#This Row],[FA]],"")</f>
        <v xml:space="preserve">Events and Community Relations </v>
      </c>
      <c r="E466" t="s">
        <v>213</v>
      </c>
      <c r="F466" t="s">
        <v>325</v>
      </c>
      <c r="G466" t="s">
        <v>327</v>
      </c>
      <c r="H466" t="s">
        <v>58</v>
      </c>
      <c r="I466" t="s">
        <v>59</v>
      </c>
      <c r="J466" s="28" t="s">
        <v>370</v>
      </c>
      <c r="K466" s="32">
        <v>1</v>
      </c>
      <c r="L466" s="32">
        <v>1</v>
      </c>
      <c r="M466" s="30">
        <v>45989</v>
      </c>
      <c r="N466" s="30">
        <v>46009</v>
      </c>
      <c r="O466" s="43" t="s">
        <v>112</v>
      </c>
      <c r="P466" s="55" t="s">
        <v>379</v>
      </c>
      <c r="Q466" t="s">
        <v>380</v>
      </c>
      <c r="R466" t="s">
        <v>1188</v>
      </c>
    </row>
    <row r="467" spans="1:18" ht="14.45">
      <c r="A467" s="106" t="b">
        <v>1</v>
      </c>
      <c r="B467" t="str" cm="1">
        <f t="array" ref="B467">_xlfn.SINGLE(_xlfn._xlws.FILTER(t_ServiceCatalogue[Onwer],t_ServiceCatalogue[Category]=t_fac25_requirements[[#This Row],[Category]],""))</f>
        <v>EU</v>
      </c>
      <c r="C467" t="s">
        <v>192</v>
      </c>
      <c r="D467" t="str">
        <f>_xlfn._xlws.FILTER(t_Contact[FA Name],t_Contact[FA]=t_fac25_requirements[[#This Row],[FA]],"")</f>
        <v xml:space="preserve">Events and Community Relations </v>
      </c>
      <c r="E467" t="s">
        <v>213</v>
      </c>
      <c r="F467" t="s">
        <v>325</v>
      </c>
      <c r="G467" t="s">
        <v>327</v>
      </c>
      <c r="H467" t="s">
        <v>32</v>
      </c>
      <c r="I467" t="s">
        <v>33</v>
      </c>
      <c r="J467" s="28" t="s">
        <v>370</v>
      </c>
      <c r="K467" s="32">
        <v>2</v>
      </c>
      <c r="L467" s="32">
        <v>1</v>
      </c>
      <c r="M467" s="30">
        <v>45989</v>
      </c>
      <c r="N467" s="30">
        <v>46009</v>
      </c>
      <c r="O467" s="43" t="s">
        <v>34</v>
      </c>
      <c r="P467" s="55" t="s">
        <v>1164</v>
      </c>
      <c r="R467" t="s">
        <v>1189</v>
      </c>
    </row>
    <row r="468" spans="1:18" ht="14.45">
      <c r="A468" s="106" t="b">
        <v>1</v>
      </c>
      <c r="B468" t="str" cm="1">
        <f t="array" ref="B468">_xlfn.SINGLE(_xlfn._xlws.FILTER(t_ServiceCatalogue[Onwer],t_ServiceCatalogue[Category]=t_fac25_requirements[[#This Row],[Category]],""))</f>
        <v>EU</v>
      </c>
      <c r="C468" t="s">
        <v>192</v>
      </c>
      <c r="D468" t="str">
        <f>_xlfn._xlws.FILTER(t_Contact[FA Name],t_Contact[FA]=t_fac25_requirements[[#This Row],[FA]],"")</f>
        <v xml:space="preserve">Events and Community Relations </v>
      </c>
      <c r="E468" t="s">
        <v>213</v>
      </c>
      <c r="F468" t="s">
        <v>296</v>
      </c>
      <c r="G468" t="s">
        <v>327</v>
      </c>
      <c r="H468" t="s">
        <v>22</v>
      </c>
      <c r="I468" t="s">
        <v>23</v>
      </c>
      <c r="J468" s="28" t="s">
        <v>637</v>
      </c>
      <c r="K468" s="32">
        <v>1</v>
      </c>
      <c r="L468" s="32">
        <v>0</v>
      </c>
      <c r="M468" s="30">
        <v>45989</v>
      </c>
      <c r="N468" s="30">
        <v>46009</v>
      </c>
      <c r="O468" s="43" t="s">
        <v>24</v>
      </c>
      <c r="P468" s="55" t="s">
        <v>1166</v>
      </c>
      <c r="Q468" t="s">
        <v>1167</v>
      </c>
      <c r="R468" t="s">
        <v>1190</v>
      </c>
    </row>
    <row r="469" spans="1:18" ht="14.45">
      <c r="A469" s="106" t="b">
        <v>0</v>
      </c>
      <c r="B469" t="str" cm="1">
        <f t="array" ref="B469">_xlfn.SINGLE(_xlfn._xlws.FILTER(t_ServiceCatalogue[Onwer],t_ServiceCatalogue[Category]=t_fac25_requirements[[#This Row],[Category]],""))</f>
        <v>NW</v>
      </c>
      <c r="C469" t="s">
        <v>192</v>
      </c>
      <c r="D469" t="str">
        <f>_xlfn._xlws.FILTER(t_Contact[FA Name],t_Contact[FA]=t_fac25_requirements[[#This Row],[FA]],"")</f>
        <v xml:space="preserve">Events and Community Relations </v>
      </c>
      <c r="E469" t="s">
        <v>213</v>
      </c>
      <c r="F469" t="s">
        <v>325</v>
      </c>
      <c r="G469" t="s">
        <v>327</v>
      </c>
      <c r="H469" t="s">
        <v>52</v>
      </c>
      <c r="I469" t="s">
        <v>53</v>
      </c>
      <c r="J469" s="28" t="s">
        <v>370</v>
      </c>
      <c r="K469" s="32"/>
      <c r="L469" s="32">
        <v>2</v>
      </c>
      <c r="M469" s="30">
        <v>45989</v>
      </c>
      <c r="N469" s="30">
        <v>46009</v>
      </c>
      <c r="O469" s="43" t="s">
        <v>54</v>
      </c>
      <c r="P469" s="55" t="s">
        <v>1169</v>
      </c>
      <c r="Q469" t="s">
        <v>1170</v>
      </c>
      <c r="R469" t="s">
        <v>1191</v>
      </c>
    </row>
    <row r="470" spans="1:18" ht="14.45">
      <c r="A470" s="106" t="b">
        <v>0</v>
      </c>
      <c r="B470" t="str" cm="1">
        <f t="array" ref="B470">_xlfn.SINGLE(_xlfn._xlws.FILTER(t_ServiceCatalogue[Onwer],t_ServiceCatalogue[Category]=t_fac25_requirements[[#This Row],[Category]],""))</f>
        <v>AV</v>
      </c>
      <c r="C470" t="s">
        <v>394</v>
      </c>
      <c r="D470" t="str">
        <f>_xlfn._xlws.FILTER(t_Contact[FA Name],t_Contact[FA]=t_fac25_requirements[[#This Row],[FA]],"")</f>
        <v>Commercial/MRD</v>
      </c>
      <c r="E470" t="s">
        <v>211</v>
      </c>
      <c r="F470" t="s">
        <v>305</v>
      </c>
      <c r="G470" t="s">
        <v>316</v>
      </c>
      <c r="H470" t="s">
        <v>58</v>
      </c>
      <c r="I470" t="s">
        <v>59</v>
      </c>
      <c r="J470" s="28" t="s">
        <v>370</v>
      </c>
      <c r="K470" s="32">
        <v>3</v>
      </c>
      <c r="L470" s="32">
        <v>1</v>
      </c>
      <c r="M470" s="30">
        <v>45962</v>
      </c>
      <c r="N470" s="30">
        <v>46006</v>
      </c>
      <c r="O470" s="43" t="s">
        <v>60</v>
      </c>
      <c r="P470" s="55" t="s">
        <v>396</v>
      </c>
      <c r="Q470" t="s">
        <v>397</v>
      </c>
      <c r="R470" t="s">
        <v>398</v>
      </c>
    </row>
    <row r="471" spans="1:18" ht="14.45">
      <c r="A471" s="106" t="b">
        <v>0</v>
      </c>
      <c r="B471" t="str" cm="1">
        <f t="array" ref="B471">_xlfn.SINGLE(_xlfn._xlws.FILTER(t_ServiceCatalogue[Onwer],t_ServiceCatalogue[Category]=t_fac25_requirements[[#This Row],[Category]],""))</f>
        <v>NW</v>
      </c>
      <c r="C471" t="s">
        <v>394</v>
      </c>
      <c r="D471" t="str">
        <f>_xlfn._xlws.FILTER(t_Contact[FA Name],t_Contact[FA]=t_fac25_requirements[[#This Row],[FA]],"")</f>
        <v>Commercial/MRD</v>
      </c>
      <c r="E471" t="s">
        <v>211</v>
      </c>
      <c r="F471" t="s">
        <v>305</v>
      </c>
      <c r="G471" t="s">
        <v>316</v>
      </c>
      <c r="H471" t="s">
        <v>52</v>
      </c>
      <c r="I471" t="s">
        <v>53</v>
      </c>
      <c r="J471" s="28" t="s">
        <v>370</v>
      </c>
      <c r="K471" s="32"/>
      <c r="L471" s="32">
        <v>3</v>
      </c>
      <c r="M471" s="30">
        <v>45962</v>
      </c>
      <c r="N471" s="30">
        <v>46006</v>
      </c>
      <c r="O471" s="43" t="s">
        <v>54</v>
      </c>
      <c r="P471" s="55" t="s">
        <v>87</v>
      </c>
      <c r="Q471" t="s">
        <v>1192</v>
      </c>
      <c r="R471" t="s">
        <v>1193</v>
      </c>
    </row>
    <row r="472" spans="1:18" ht="14.45">
      <c r="A472" s="106" t="b">
        <v>1</v>
      </c>
      <c r="B472" t="str" cm="1">
        <f t="array" ref="B472">_xlfn.SINGLE(_xlfn._xlws.FILTER(t_ServiceCatalogue[Onwer],t_ServiceCatalogue[Category]=t_fac25_requirements[[#This Row],[Category]],""))</f>
        <v>AV</v>
      </c>
      <c r="C472" t="s">
        <v>394</v>
      </c>
      <c r="D472" t="str">
        <f>_xlfn._xlws.FILTER(t_Contact[FA Name],t_Contact[FA]=t_fac25_requirements[[#This Row],[FA]],"")</f>
        <v>Commercial/MRD</v>
      </c>
      <c r="E472" t="s">
        <v>214</v>
      </c>
      <c r="F472" t="s">
        <v>305</v>
      </c>
      <c r="G472" t="s">
        <v>316</v>
      </c>
      <c r="H472" t="s">
        <v>58</v>
      </c>
      <c r="I472" t="s">
        <v>59</v>
      </c>
      <c r="J472" s="28" t="s">
        <v>370</v>
      </c>
      <c r="K472" s="32">
        <v>3</v>
      </c>
      <c r="L472" s="32">
        <v>1</v>
      </c>
      <c r="M472" s="30">
        <v>45962</v>
      </c>
      <c r="N472" s="30">
        <v>46009</v>
      </c>
      <c r="O472" s="43" t="s">
        <v>60</v>
      </c>
      <c r="P472" s="55" t="s">
        <v>1194</v>
      </c>
      <c r="Q472" t="s">
        <v>397</v>
      </c>
      <c r="R472" t="s">
        <v>1195</v>
      </c>
    </row>
    <row r="473" spans="1:18" ht="14.45">
      <c r="A473" s="106" t="b">
        <v>0</v>
      </c>
      <c r="B473" t="str" cm="1">
        <f t="array" ref="B473">_xlfn.SINGLE(_xlfn._xlws.FILTER(t_ServiceCatalogue[Onwer],t_ServiceCatalogue[Category]=t_fac25_requirements[[#This Row],[Category]],""))</f>
        <v>NW</v>
      </c>
      <c r="C473" t="s">
        <v>394</v>
      </c>
      <c r="D473" t="str">
        <f>_xlfn._xlws.FILTER(t_Contact[FA Name],t_Contact[FA]=t_fac25_requirements[[#This Row],[FA]],"")</f>
        <v>Commercial/MRD</v>
      </c>
      <c r="E473" t="s">
        <v>214</v>
      </c>
      <c r="F473" t="s">
        <v>305</v>
      </c>
      <c r="G473" t="s">
        <v>316</v>
      </c>
      <c r="H473" t="s">
        <v>52</v>
      </c>
      <c r="I473" t="s">
        <v>53</v>
      </c>
      <c r="J473" s="28" t="s">
        <v>370</v>
      </c>
      <c r="K473" s="32"/>
      <c r="L473" s="32">
        <v>3</v>
      </c>
      <c r="M473" s="30">
        <v>45962</v>
      </c>
      <c r="N473" s="30">
        <v>46009</v>
      </c>
      <c r="O473" s="43" t="s">
        <v>54</v>
      </c>
      <c r="P473" s="55" t="s">
        <v>87</v>
      </c>
      <c r="Q473" t="s">
        <v>1192</v>
      </c>
      <c r="R473" t="s">
        <v>1196</v>
      </c>
    </row>
    <row r="474" spans="1:18" ht="14.45">
      <c r="A474" s="106" t="b">
        <v>0</v>
      </c>
      <c r="B474" t="str" cm="1">
        <f t="array" ref="B474">_xlfn.SINGLE(_xlfn._xlws.FILTER(t_ServiceCatalogue[Onwer],t_ServiceCatalogue[Category]=t_fac25_requirements[[#This Row],[Category]],""))</f>
        <v>AV</v>
      </c>
      <c r="C474" t="s">
        <v>394</v>
      </c>
      <c r="D474" t="str">
        <f>_xlfn._xlws.FILTER(t_Contact[FA Name],t_Contact[FA]=t_fac25_requirements[[#This Row],[FA]],"")</f>
        <v>Commercial/MRD</v>
      </c>
      <c r="E474" s="43">
        <v>974</v>
      </c>
      <c r="F474" t="s">
        <v>305</v>
      </c>
      <c r="G474" t="s">
        <v>316</v>
      </c>
      <c r="H474" t="s">
        <v>58</v>
      </c>
      <c r="I474" t="s">
        <v>59</v>
      </c>
      <c r="J474" s="28" t="s">
        <v>370</v>
      </c>
      <c r="K474" s="32">
        <v>3</v>
      </c>
      <c r="L474" s="32">
        <v>1</v>
      </c>
      <c r="M474" s="30">
        <v>45962</v>
      </c>
      <c r="N474" s="30">
        <v>46000</v>
      </c>
      <c r="O474" s="43" t="s">
        <v>60</v>
      </c>
      <c r="P474" s="55" t="s">
        <v>396</v>
      </c>
      <c r="Q474" t="s">
        <v>397</v>
      </c>
      <c r="R474" t="s">
        <v>1197</v>
      </c>
    </row>
    <row r="475" spans="1:18" ht="14.45">
      <c r="A475" s="106" t="b">
        <v>0</v>
      </c>
      <c r="B475" t="str" cm="1">
        <f t="array" ref="B475">_xlfn.SINGLE(_xlfn._xlws.FILTER(t_ServiceCatalogue[Onwer],t_ServiceCatalogue[Category]=t_fac25_requirements[[#This Row],[Category]],""))</f>
        <v>NW</v>
      </c>
      <c r="C475" t="s">
        <v>394</v>
      </c>
      <c r="D475" t="str">
        <f>_xlfn._xlws.FILTER(t_Contact[FA Name],t_Contact[FA]=t_fac25_requirements[[#This Row],[FA]],"")</f>
        <v>Commercial/MRD</v>
      </c>
      <c r="E475" s="43">
        <v>974</v>
      </c>
      <c r="F475" t="s">
        <v>305</v>
      </c>
      <c r="G475" t="s">
        <v>316</v>
      </c>
      <c r="H475" t="s">
        <v>52</v>
      </c>
      <c r="I475" t="s">
        <v>53</v>
      </c>
      <c r="J475" s="28" t="s">
        <v>370</v>
      </c>
      <c r="K475" s="32"/>
      <c r="L475" s="32">
        <v>3</v>
      </c>
      <c r="M475" s="30">
        <v>45962</v>
      </c>
      <c r="N475" s="30">
        <v>46000</v>
      </c>
      <c r="O475" s="43" t="s">
        <v>54</v>
      </c>
      <c r="P475" s="55" t="s">
        <v>87</v>
      </c>
      <c r="Q475" t="s">
        <v>1192</v>
      </c>
      <c r="R475" t="s">
        <v>1198</v>
      </c>
    </row>
    <row r="476" spans="1:18" ht="14.45">
      <c r="A476" s="106" t="b">
        <v>0</v>
      </c>
      <c r="B476" t="str" cm="1">
        <f t="array" ref="B476">_xlfn.SINGLE(_xlfn._xlws.FILTER(t_ServiceCatalogue[Onwer],t_ServiceCatalogue[Category]=t_fac25_requirements[[#This Row],[Category]],""))</f>
        <v>AV</v>
      </c>
      <c r="C476" t="s">
        <v>394</v>
      </c>
      <c r="D476" t="str">
        <f>_xlfn._xlws.FILTER(t_Contact[FA Name],t_Contact[FA]=t_fac25_requirements[[#This Row],[FA]],"")</f>
        <v>Commercial/MRD</v>
      </c>
      <c r="E476" t="s">
        <v>208</v>
      </c>
      <c r="F476" t="s">
        <v>305</v>
      </c>
      <c r="G476" t="s">
        <v>316</v>
      </c>
      <c r="H476" t="s">
        <v>58</v>
      </c>
      <c r="I476" t="s">
        <v>59</v>
      </c>
      <c r="J476" s="28" t="s">
        <v>370</v>
      </c>
      <c r="K476" s="32">
        <v>3</v>
      </c>
      <c r="L476" s="32">
        <v>1</v>
      </c>
      <c r="M476" s="30">
        <v>45962</v>
      </c>
      <c r="N476" s="30">
        <v>45997</v>
      </c>
      <c r="O476" s="43" t="s">
        <v>60</v>
      </c>
      <c r="P476" s="55" t="s">
        <v>396</v>
      </c>
      <c r="Q476" t="s">
        <v>397</v>
      </c>
      <c r="R476" t="s">
        <v>1199</v>
      </c>
    </row>
    <row r="477" spans="1:18" ht="14.45">
      <c r="A477" s="106" t="b">
        <v>1</v>
      </c>
      <c r="B477" t="str" cm="1">
        <f t="array" ref="B477">_xlfn.SINGLE(_xlfn._xlws.FILTER(t_ServiceCatalogue[Onwer],t_ServiceCatalogue[Category]=t_fac25_requirements[[#This Row],[Category]],""))</f>
        <v>NW</v>
      </c>
      <c r="C477" t="s">
        <v>394</v>
      </c>
      <c r="D477" t="str">
        <f>_xlfn._xlws.FILTER(t_Contact[FA Name],t_Contact[FA]=t_fac25_requirements[[#This Row],[FA]],"")</f>
        <v>Commercial/MRD</v>
      </c>
      <c r="E477" t="s">
        <v>208</v>
      </c>
      <c r="F477" t="s">
        <v>305</v>
      </c>
      <c r="G477" t="s">
        <v>316</v>
      </c>
      <c r="H477" t="s">
        <v>52</v>
      </c>
      <c r="I477" t="s">
        <v>53</v>
      </c>
      <c r="J477" s="28" t="s">
        <v>370</v>
      </c>
      <c r="K477" s="32"/>
      <c r="L477" s="32">
        <v>3</v>
      </c>
      <c r="M477" s="30">
        <v>45962</v>
      </c>
      <c r="N477" s="30">
        <v>45997</v>
      </c>
      <c r="O477" s="43" t="s">
        <v>54</v>
      </c>
      <c r="P477" s="55" t="s">
        <v>87</v>
      </c>
      <c r="Q477" t="s">
        <v>1192</v>
      </c>
      <c r="R477" t="s">
        <v>1200</v>
      </c>
    </row>
    <row r="478" spans="1:18" ht="14.45">
      <c r="A478" s="106" t="b">
        <v>0</v>
      </c>
      <c r="B478" t="str" cm="1">
        <f t="array" ref="B478">_xlfn.SINGLE(_xlfn._xlws.FILTER(t_ServiceCatalogue[Onwer],t_ServiceCatalogue[Category]=t_fac25_requirements[[#This Row],[Category]],""))</f>
        <v>AV</v>
      </c>
      <c r="C478" t="s">
        <v>394</v>
      </c>
      <c r="D478" t="str">
        <f>_xlfn._xlws.FILTER(t_Contact[FA Name],t_Contact[FA]=t_fac25_requirements[[#This Row],[FA]],"")</f>
        <v>Commercial/MRD</v>
      </c>
      <c r="E478" t="s">
        <v>212</v>
      </c>
      <c r="F478" t="s">
        <v>305</v>
      </c>
      <c r="G478" t="s">
        <v>316</v>
      </c>
      <c r="H478" t="s">
        <v>58</v>
      </c>
      <c r="I478" t="s">
        <v>59</v>
      </c>
      <c r="J478" s="28" t="s">
        <v>370</v>
      </c>
      <c r="K478" s="32">
        <v>3</v>
      </c>
      <c r="L478" s="32">
        <v>1</v>
      </c>
      <c r="M478" s="30">
        <v>45962</v>
      </c>
      <c r="N478" s="30">
        <v>46003</v>
      </c>
      <c r="O478" s="43" t="s">
        <v>60</v>
      </c>
      <c r="P478" s="55" t="s">
        <v>396</v>
      </c>
      <c r="Q478" t="s">
        <v>397</v>
      </c>
      <c r="R478" t="s">
        <v>1201</v>
      </c>
    </row>
    <row r="479" spans="1:18" ht="14.45">
      <c r="A479" s="106" t="b">
        <v>0</v>
      </c>
      <c r="B479" t="str" cm="1">
        <f t="array" ref="B479">_xlfn.SINGLE(_xlfn._xlws.FILTER(t_ServiceCatalogue[Onwer],t_ServiceCatalogue[Category]=t_fac25_requirements[[#This Row],[Category]],""))</f>
        <v>NW</v>
      </c>
      <c r="C479" t="s">
        <v>394</v>
      </c>
      <c r="D479" t="str">
        <f>_xlfn._xlws.FILTER(t_Contact[FA Name],t_Contact[FA]=t_fac25_requirements[[#This Row],[FA]],"")</f>
        <v>Commercial/MRD</v>
      </c>
      <c r="E479" t="s">
        <v>212</v>
      </c>
      <c r="F479" t="s">
        <v>305</v>
      </c>
      <c r="G479" t="s">
        <v>316</v>
      </c>
      <c r="H479" t="s">
        <v>52</v>
      </c>
      <c r="I479" t="s">
        <v>53</v>
      </c>
      <c r="J479" s="28" t="s">
        <v>370</v>
      </c>
      <c r="K479" s="32"/>
      <c r="L479" s="32">
        <v>3</v>
      </c>
      <c r="M479" s="30">
        <v>45962</v>
      </c>
      <c r="N479" s="30">
        <v>46003</v>
      </c>
      <c r="O479" s="43" t="s">
        <v>54</v>
      </c>
      <c r="P479" s="55" t="s">
        <v>87</v>
      </c>
      <c r="Q479" t="s">
        <v>1192</v>
      </c>
      <c r="R479" t="s">
        <v>1202</v>
      </c>
    </row>
    <row r="480" spans="1:18" ht="14.45">
      <c r="A480" s="106" t="b">
        <v>0</v>
      </c>
      <c r="B480" t="str" cm="1">
        <f t="array" ref="B480">_xlfn.SINGLE(_xlfn._xlws.FILTER(t_ServiceCatalogue[Onwer],t_ServiceCatalogue[Category]=t_fac25_requirements[[#This Row],[Category]],""))</f>
        <v>AV</v>
      </c>
      <c r="C480" t="s">
        <v>394</v>
      </c>
      <c r="D480" t="str">
        <f>_xlfn._xlws.FILTER(t_Contact[FA Name],t_Contact[FA]=t_fac25_requirements[[#This Row],[FA]],"")</f>
        <v>Commercial/MRD</v>
      </c>
      <c r="E480" t="s">
        <v>213</v>
      </c>
      <c r="F480" t="s">
        <v>305</v>
      </c>
      <c r="G480" t="s">
        <v>316</v>
      </c>
      <c r="H480" t="s">
        <v>58</v>
      </c>
      <c r="I480" t="s">
        <v>59</v>
      </c>
      <c r="J480" s="28" t="s">
        <v>370</v>
      </c>
      <c r="K480" s="32">
        <v>3</v>
      </c>
      <c r="L480" s="32">
        <v>1</v>
      </c>
      <c r="M480" s="30">
        <v>45962</v>
      </c>
      <c r="N480" s="30">
        <v>46009</v>
      </c>
      <c r="O480" s="43" t="s">
        <v>60</v>
      </c>
      <c r="P480" s="55" t="s">
        <v>396</v>
      </c>
      <c r="Q480" t="s">
        <v>397</v>
      </c>
      <c r="R480" t="s">
        <v>1203</v>
      </c>
    </row>
    <row r="481" spans="1:18" ht="14.45">
      <c r="A481" s="106" t="b">
        <v>0</v>
      </c>
      <c r="B481" t="str" cm="1">
        <f t="array" ref="B481">_xlfn.SINGLE(_xlfn._xlws.FILTER(t_ServiceCatalogue[Onwer],t_ServiceCatalogue[Category]=t_fac25_requirements[[#This Row],[Category]],""))</f>
        <v>NW</v>
      </c>
      <c r="C481" t="s">
        <v>394</v>
      </c>
      <c r="D481" t="str">
        <f>_xlfn._xlws.FILTER(t_Contact[FA Name],t_Contact[FA]=t_fac25_requirements[[#This Row],[FA]],"")</f>
        <v>Commercial/MRD</v>
      </c>
      <c r="E481" t="s">
        <v>213</v>
      </c>
      <c r="F481" t="s">
        <v>305</v>
      </c>
      <c r="G481" t="s">
        <v>316</v>
      </c>
      <c r="H481" t="s">
        <v>52</v>
      </c>
      <c r="I481" t="s">
        <v>53</v>
      </c>
      <c r="J481" s="28" t="s">
        <v>370</v>
      </c>
      <c r="K481" s="32"/>
      <c r="L481" s="32">
        <v>3</v>
      </c>
      <c r="M481" s="30">
        <v>45962</v>
      </c>
      <c r="N481" s="30">
        <v>46009</v>
      </c>
      <c r="O481" s="43" t="s">
        <v>54</v>
      </c>
      <c r="P481" s="55" t="s">
        <v>87</v>
      </c>
      <c r="Q481" t="s">
        <v>1192</v>
      </c>
      <c r="R481" t="s">
        <v>1204</v>
      </c>
    </row>
    <row r="482" spans="1:18" ht="14.45">
      <c r="A482" s="106" t="b">
        <v>1</v>
      </c>
      <c r="B482" t="str" cm="1">
        <f t="array" ref="B482">_xlfn.SINGLE(_xlfn._xlws.FILTER(t_ServiceCatalogue[Onwer],t_ServiceCatalogue[Category]=t_fac25_requirements[[#This Row],[Category]],""))</f>
        <v>EU</v>
      </c>
      <c r="C482" t="s">
        <v>18</v>
      </c>
      <c r="D482" t="str">
        <f>_xlfn._xlws.FILTER(t_Contact[FA Name],t_Contact[FA]=t_fac25_requirements[[#This Row],[FA]],"")</f>
        <v>Accreditation</v>
      </c>
      <c r="E482" t="s">
        <v>213</v>
      </c>
      <c r="F482" t="s">
        <v>325</v>
      </c>
      <c r="G482" t="s">
        <v>331</v>
      </c>
      <c r="H482" t="s">
        <v>22</v>
      </c>
      <c r="I482" t="s">
        <v>23</v>
      </c>
      <c r="J482" s="28" t="s">
        <v>370</v>
      </c>
      <c r="K482" s="32"/>
      <c r="L482" s="32">
        <v>3</v>
      </c>
      <c r="M482" s="30">
        <v>45963</v>
      </c>
      <c r="N482" s="30">
        <v>46010</v>
      </c>
      <c r="O482" s="43" t="s">
        <v>24</v>
      </c>
      <c r="P482" s="55"/>
      <c r="Q482" t="s">
        <v>25</v>
      </c>
      <c r="R482" t="s">
        <v>1205</v>
      </c>
    </row>
    <row r="483" spans="1:18" ht="14.45">
      <c r="A483" s="106" t="b">
        <v>1</v>
      </c>
      <c r="B483" t="str" cm="1">
        <f t="array" ref="B483">_xlfn.SINGLE(_xlfn._xlws.FILTER(t_ServiceCatalogue[Onwer],t_ServiceCatalogue[Category]=t_fac25_requirements[[#This Row],[Category]],""))</f>
        <v>EU</v>
      </c>
      <c r="C483" t="s">
        <v>18</v>
      </c>
      <c r="D483" t="str">
        <f>_xlfn._xlws.FILTER(t_Contact[FA Name],t_Contact[FA]=t_fac25_requirements[[#This Row],[FA]],"")</f>
        <v>Accreditation</v>
      </c>
      <c r="E483" t="s">
        <v>213</v>
      </c>
      <c r="F483" t="s">
        <v>325</v>
      </c>
      <c r="G483" t="s">
        <v>331</v>
      </c>
      <c r="H483" t="s">
        <v>32</v>
      </c>
      <c r="I483" t="s">
        <v>33</v>
      </c>
      <c r="J483" s="28" t="s">
        <v>370</v>
      </c>
      <c r="K483" s="32"/>
      <c r="L483" s="32">
        <v>4</v>
      </c>
      <c r="M483" s="30">
        <v>45963</v>
      </c>
      <c r="N483" s="30">
        <v>46010</v>
      </c>
      <c r="O483" s="43" t="s">
        <v>34</v>
      </c>
      <c r="P483" s="55"/>
      <c r="Q483" t="s">
        <v>35</v>
      </c>
      <c r="R483" t="s">
        <v>1206</v>
      </c>
    </row>
    <row r="484" spans="1:18" ht="14.45">
      <c r="A484" s="106" t="b">
        <v>1</v>
      </c>
      <c r="B484" t="str" cm="1">
        <f t="array" ref="B484">_xlfn.SINGLE(_xlfn._xlws.FILTER(t_ServiceCatalogue[Onwer],t_ServiceCatalogue[Category]=t_fac25_requirements[[#This Row],[Category]],""))</f>
        <v>EU</v>
      </c>
      <c r="C484" t="s">
        <v>18</v>
      </c>
      <c r="D484" t="str">
        <f>_xlfn._xlws.FILTER(t_Contact[FA Name],t_Contact[FA]=t_fac25_requirements[[#This Row],[FA]],"")</f>
        <v>Accreditation</v>
      </c>
      <c r="E484" t="s">
        <v>213</v>
      </c>
      <c r="F484" t="s">
        <v>325</v>
      </c>
      <c r="G484" t="s">
        <v>331</v>
      </c>
      <c r="H484" t="s">
        <v>32</v>
      </c>
      <c r="I484" t="s">
        <v>37</v>
      </c>
      <c r="J484" s="28" t="s">
        <v>370</v>
      </c>
      <c r="K484" s="32"/>
      <c r="L484" s="32">
        <v>2</v>
      </c>
      <c r="M484" s="30">
        <v>45963</v>
      </c>
      <c r="N484" s="30">
        <v>46010</v>
      </c>
      <c r="O484" s="43" t="s">
        <v>38</v>
      </c>
      <c r="P484" s="55"/>
      <c r="Q484" t="s">
        <v>39</v>
      </c>
      <c r="R484" t="s">
        <v>1207</v>
      </c>
    </row>
    <row r="485" spans="1:18" ht="14.45">
      <c r="A485" s="106" t="b">
        <v>1</v>
      </c>
      <c r="B485" t="str" cm="1">
        <f t="array" ref="B485">_xlfn.SINGLE(_xlfn._xlws.FILTER(t_ServiceCatalogue[Onwer],t_ServiceCatalogue[Category]=t_fac25_requirements[[#This Row],[Category]],""))</f>
        <v>EU</v>
      </c>
      <c r="C485" t="s">
        <v>18</v>
      </c>
      <c r="D485" t="str">
        <f>_xlfn._xlws.FILTER(t_Contact[FA Name],t_Contact[FA]=t_fac25_requirements[[#This Row],[FA]],"")</f>
        <v>Accreditation</v>
      </c>
      <c r="E485" t="s">
        <v>213</v>
      </c>
      <c r="F485" t="s">
        <v>325</v>
      </c>
      <c r="G485" t="s">
        <v>331</v>
      </c>
      <c r="H485" t="s">
        <v>32</v>
      </c>
      <c r="I485" t="s">
        <v>210</v>
      </c>
      <c r="J485" s="28" t="s">
        <v>370</v>
      </c>
      <c r="K485" s="32"/>
      <c r="L485" s="32">
        <v>4</v>
      </c>
      <c r="M485" s="30">
        <v>45963</v>
      </c>
      <c r="N485" s="30">
        <v>46010</v>
      </c>
      <c r="O485" s="43" t="s">
        <v>42</v>
      </c>
      <c r="P485" s="55"/>
      <c r="Q485" t="s">
        <v>44</v>
      </c>
      <c r="R485" t="s">
        <v>1208</v>
      </c>
    </row>
    <row r="486" spans="1:18" ht="14.45">
      <c r="A486" s="106" t="b">
        <v>0</v>
      </c>
      <c r="B486" t="str" cm="1">
        <f t="array" ref="B486">_xlfn.SINGLE(_xlfn._xlws.FILTER(t_ServiceCatalogue[Onwer],t_ServiceCatalogue[Category]=t_fac25_requirements[[#This Row],[Category]],""))</f>
        <v>NW</v>
      </c>
      <c r="C486" t="s">
        <v>18</v>
      </c>
      <c r="D486" t="str">
        <f>_xlfn._xlws.FILTER(t_Contact[FA Name],t_Contact[FA]=t_fac25_requirements[[#This Row],[FA]],"")</f>
        <v>Accreditation</v>
      </c>
      <c r="E486" t="s">
        <v>213</v>
      </c>
      <c r="F486" t="s">
        <v>325</v>
      </c>
      <c r="G486" t="s">
        <v>331</v>
      </c>
      <c r="H486" t="s">
        <v>46</v>
      </c>
      <c r="I486" t="s">
        <v>47</v>
      </c>
      <c r="J486" s="28" t="s">
        <v>407</v>
      </c>
      <c r="K486" s="32"/>
      <c r="L486" s="32">
        <v>6</v>
      </c>
      <c r="M486" s="30">
        <v>45963</v>
      </c>
      <c r="N486" s="30">
        <v>46010</v>
      </c>
      <c r="O486" s="43" t="s">
        <v>48</v>
      </c>
      <c r="P486" s="55"/>
      <c r="Q486" t="s">
        <v>1209</v>
      </c>
      <c r="R486" t="s">
        <v>1210</v>
      </c>
    </row>
    <row r="487" spans="1:18" ht="14.45">
      <c r="A487" s="106" t="b">
        <v>0</v>
      </c>
      <c r="B487" t="str" cm="1">
        <f t="array" ref="B487">_xlfn.SINGLE(_xlfn._xlws.FILTER(t_ServiceCatalogue[Onwer],t_ServiceCatalogue[Category]=t_fac25_requirements[[#This Row],[Category]],""))</f>
        <v>NW</v>
      </c>
      <c r="C487" t="s">
        <v>18</v>
      </c>
      <c r="D487" t="str">
        <f>_xlfn._xlws.FILTER(t_Contact[FA Name],t_Contact[FA]=t_fac25_requirements[[#This Row],[FA]],"")</f>
        <v>Accreditation</v>
      </c>
      <c r="E487" t="s">
        <v>213</v>
      </c>
      <c r="F487" t="s">
        <v>325</v>
      </c>
      <c r="G487" t="s">
        <v>331</v>
      </c>
      <c r="H487" t="s">
        <v>52</v>
      </c>
      <c r="I487" t="s">
        <v>53</v>
      </c>
      <c r="J487" s="28" t="s">
        <v>407</v>
      </c>
      <c r="K487" s="32"/>
      <c r="L487" s="32">
        <v>1</v>
      </c>
      <c r="M487" s="30">
        <v>45963</v>
      </c>
      <c r="N487" s="30">
        <v>46010</v>
      </c>
      <c r="O487" s="43" t="s">
        <v>54</v>
      </c>
      <c r="P487" s="55"/>
      <c r="Q487" t="s">
        <v>1211</v>
      </c>
      <c r="R487" t="s">
        <v>1212</v>
      </c>
    </row>
    <row r="488" spans="1:18" ht="14.45">
      <c r="A488" s="106" t="b">
        <v>1</v>
      </c>
      <c r="B488" t="str" cm="1">
        <f t="array" ref="B488">_xlfn.SINGLE(_xlfn._xlws.FILTER(t_ServiceCatalogue[Onwer],t_ServiceCatalogue[Category]=t_fac25_requirements[[#This Row],[Category]],""))</f>
        <v>EU</v>
      </c>
      <c r="C488" t="s">
        <v>18</v>
      </c>
      <c r="D488" t="str">
        <f>_xlfn._xlws.FILTER(t_Contact[FA Name],t_Contact[FA]=t_fac25_requirements[[#This Row],[FA]],"")</f>
        <v>Accreditation</v>
      </c>
      <c r="E488" t="s">
        <v>208</v>
      </c>
      <c r="F488" t="s">
        <v>325</v>
      </c>
      <c r="G488" t="s">
        <v>331</v>
      </c>
      <c r="H488" t="s">
        <v>22</v>
      </c>
      <c r="I488" t="s">
        <v>23</v>
      </c>
      <c r="J488" s="28" t="s">
        <v>370</v>
      </c>
      <c r="K488" s="32">
        <v>3</v>
      </c>
      <c r="L488" s="32">
        <v>2</v>
      </c>
      <c r="M488" s="30">
        <v>45991</v>
      </c>
      <c r="N488" s="30">
        <v>46010</v>
      </c>
      <c r="O488" s="43" t="s">
        <v>24</v>
      </c>
      <c r="P488" s="55" t="s">
        <v>1213</v>
      </c>
      <c r="Q488" t="s">
        <v>1214</v>
      </c>
      <c r="R488" t="s">
        <v>1215</v>
      </c>
    </row>
    <row r="489" spans="1:18" ht="14.45">
      <c r="A489" s="106" t="b">
        <v>1</v>
      </c>
      <c r="B489" t="str" cm="1">
        <f t="array" ref="B489">_xlfn.SINGLE(_xlfn._xlws.FILTER(t_ServiceCatalogue[Onwer],t_ServiceCatalogue[Category]=t_fac25_requirements[[#This Row],[Category]],""))</f>
        <v>EU</v>
      </c>
      <c r="C489" t="s">
        <v>18</v>
      </c>
      <c r="D489" t="str">
        <f>_xlfn._xlws.FILTER(t_Contact[FA Name],t_Contact[FA]=t_fac25_requirements[[#This Row],[FA]],"")</f>
        <v>Accreditation</v>
      </c>
      <c r="E489" t="s">
        <v>208</v>
      </c>
      <c r="F489" t="s">
        <v>325</v>
      </c>
      <c r="G489" t="s">
        <v>331</v>
      </c>
      <c r="H489" t="s">
        <v>32</v>
      </c>
      <c r="I489" t="s">
        <v>33</v>
      </c>
      <c r="J489" s="28" t="s">
        <v>370</v>
      </c>
      <c r="K489" s="32"/>
      <c r="L489" s="32">
        <v>4</v>
      </c>
      <c r="M489" s="30">
        <v>45991</v>
      </c>
      <c r="N489" s="30">
        <v>46010</v>
      </c>
      <c r="O489" s="43" t="s">
        <v>34</v>
      </c>
      <c r="P489" s="55"/>
      <c r="Q489" t="s">
        <v>1216</v>
      </c>
      <c r="R489" t="s">
        <v>1217</v>
      </c>
    </row>
    <row r="490" spans="1:18" ht="14.45">
      <c r="A490" s="106" t="b">
        <v>1</v>
      </c>
      <c r="B490" t="str" cm="1">
        <f t="array" ref="B490">_xlfn.SINGLE(_xlfn._xlws.FILTER(t_ServiceCatalogue[Onwer],t_ServiceCatalogue[Category]=t_fac25_requirements[[#This Row],[Category]],""))</f>
        <v>EU</v>
      </c>
      <c r="C490" t="s">
        <v>18</v>
      </c>
      <c r="D490" t="str">
        <f>_xlfn._xlws.FILTER(t_Contact[FA Name],t_Contact[FA]=t_fac25_requirements[[#This Row],[FA]],"")</f>
        <v>Accreditation</v>
      </c>
      <c r="E490" t="s">
        <v>208</v>
      </c>
      <c r="F490" t="s">
        <v>325</v>
      </c>
      <c r="G490" t="s">
        <v>331</v>
      </c>
      <c r="H490" t="s">
        <v>32</v>
      </c>
      <c r="I490" t="s">
        <v>37</v>
      </c>
      <c r="J490" s="28" t="s">
        <v>370</v>
      </c>
      <c r="K490" s="32"/>
      <c r="L490" s="32">
        <v>2</v>
      </c>
      <c r="M490" s="30">
        <v>45991</v>
      </c>
      <c r="N490" s="30">
        <v>46010</v>
      </c>
      <c r="O490" s="43" t="s">
        <v>38</v>
      </c>
      <c r="P490" s="55"/>
      <c r="Q490" t="s">
        <v>423</v>
      </c>
      <c r="R490" t="s">
        <v>1218</v>
      </c>
    </row>
    <row r="491" spans="1:18" ht="14.45">
      <c r="A491" s="106" t="b">
        <v>1</v>
      </c>
      <c r="B491" t="str" cm="1">
        <f t="array" ref="B491">_xlfn.SINGLE(_xlfn._xlws.FILTER(t_ServiceCatalogue[Onwer],t_ServiceCatalogue[Category]=t_fac25_requirements[[#This Row],[Category]],""))</f>
        <v>EU</v>
      </c>
      <c r="C491" t="s">
        <v>18</v>
      </c>
      <c r="D491" t="str">
        <f>_xlfn._xlws.FILTER(t_Contact[FA Name],t_Contact[FA]=t_fac25_requirements[[#This Row],[FA]],"")</f>
        <v>Accreditation</v>
      </c>
      <c r="E491" t="s">
        <v>208</v>
      </c>
      <c r="F491" t="s">
        <v>325</v>
      </c>
      <c r="G491" t="s">
        <v>331</v>
      </c>
      <c r="H491" t="s">
        <v>32</v>
      </c>
      <c r="I491" t="s">
        <v>210</v>
      </c>
      <c r="J491" s="28" t="s">
        <v>370</v>
      </c>
      <c r="K491" s="32"/>
      <c r="L491" s="32">
        <v>4</v>
      </c>
      <c r="M491" s="30">
        <v>45991</v>
      </c>
      <c r="N491" s="30">
        <v>46010</v>
      </c>
      <c r="O491" s="43" t="s">
        <v>42</v>
      </c>
      <c r="P491" s="55"/>
      <c r="Q491" t="s">
        <v>1219</v>
      </c>
      <c r="R491" t="s">
        <v>1220</v>
      </c>
    </row>
    <row r="492" spans="1:18" ht="14.45">
      <c r="A492" s="106" t="b">
        <v>1</v>
      </c>
      <c r="B492" t="str" cm="1">
        <f t="array" ref="B492">_xlfn.SINGLE(_xlfn._xlws.FILTER(t_ServiceCatalogue[Onwer],t_ServiceCatalogue[Category]=t_fac25_requirements[[#This Row],[Category]],""))</f>
        <v>NW</v>
      </c>
      <c r="C492" t="s">
        <v>18</v>
      </c>
      <c r="D492" t="str">
        <f>_xlfn._xlws.FILTER(t_Contact[FA Name],t_Contact[FA]=t_fac25_requirements[[#This Row],[FA]],"")</f>
        <v>Accreditation</v>
      </c>
      <c r="E492" t="s">
        <v>208</v>
      </c>
      <c r="F492" t="s">
        <v>325</v>
      </c>
      <c r="G492" t="s">
        <v>331</v>
      </c>
      <c r="H492" t="s">
        <v>46</v>
      </c>
      <c r="I492" t="s">
        <v>47</v>
      </c>
      <c r="J492" s="28" t="s">
        <v>407</v>
      </c>
      <c r="K492" s="32"/>
      <c r="L492" s="32">
        <v>6</v>
      </c>
      <c r="M492" s="30">
        <v>45991</v>
      </c>
      <c r="N492" s="30">
        <v>46010</v>
      </c>
      <c r="O492" s="43" t="s">
        <v>48</v>
      </c>
      <c r="P492" s="55"/>
      <c r="Q492" t="s">
        <v>1209</v>
      </c>
      <c r="R492" t="s">
        <v>1221</v>
      </c>
    </row>
    <row r="493" spans="1:18" ht="14.45">
      <c r="A493" s="106" t="b">
        <v>1</v>
      </c>
      <c r="B493" t="str" cm="1">
        <f t="array" ref="B493">_xlfn.SINGLE(_xlfn._xlws.FILTER(t_ServiceCatalogue[Onwer],t_ServiceCatalogue[Category]=t_fac25_requirements[[#This Row],[Category]],""))</f>
        <v>NW</v>
      </c>
      <c r="C493" t="s">
        <v>18</v>
      </c>
      <c r="D493" t="str">
        <f>_xlfn._xlws.FILTER(t_Contact[FA Name],t_Contact[FA]=t_fac25_requirements[[#This Row],[FA]],"")</f>
        <v>Accreditation</v>
      </c>
      <c r="E493" t="s">
        <v>208</v>
      </c>
      <c r="F493" t="s">
        <v>325</v>
      </c>
      <c r="G493" t="s">
        <v>331</v>
      </c>
      <c r="H493" t="s">
        <v>52</v>
      </c>
      <c r="I493" t="s">
        <v>53</v>
      </c>
      <c r="J493" s="28" t="s">
        <v>407</v>
      </c>
      <c r="K493" s="32"/>
      <c r="L493" s="32">
        <v>1</v>
      </c>
      <c r="M493" s="30">
        <v>45991</v>
      </c>
      <c r="N493" s="30">
        <v>46010</v>
      </c>
      <c r="O493" s="43" t="s">
        <v>54</v>
      </c>
      <c r="P493" s="55"/>
      <c r="Q493" t="s">
        <v>1222</v>
      </c>
      <c r="R493" t="s">
        <v>1223</v>
      </c>
    </row>
    <row r="494" spans="1:18" ht="14.45">
      <c r="A494" s="106" t="b">
        <v>0</v>
      </c>
      <c r="B494" t="str" cm="1">
        <f t="array" ref="B494">_xlfn.SINGLE(_xlfn._xlws.FILTER(t_ServiceCatalogue[Onwer],t_ServiceCatalogue[Category]=t_fac25_requirements[[#This Row],[Category]],""))</f>
        <v>EU</v>
      </c>
      <c r="C494" t="s">
        <v>18</v>
      </c>
      <c r="D494" t="str">
        <f>_xlfn._xlws.FILTER(t_Contact[FA Name],t_Contact[FA]=t_fac25_requirements[[#This Row],[FA]],"")</f>
        <v>Accreditation</v>
      </c>
      <c r="E494" t="s">
        <v>214</v>
      </c>
      <c r="F494" t="s">
        <v>325</v>
      </c>
      <c r="G494" t="s">
        <v>331</v>
      </c>
      <c r="H494" t="s">
        <v>22</v>
      </c>
      <c r="I494" t="s">
        <v>23</v>
      </c>
      <c r="J494" s="28" t="s">
        <v>370</v>
      </c>
      <c r="K494" s="32">
        <v>3</v>
      </c>
      <c r="L494" s="32">
        <v>2</v>
      </c>
      <c r="M494" s="30">
        <v>45991</v>
      </c>
      <c r="N494" s="30">
        <v>46010</v>
      </c>
      <c r="O494" s="43" t="s">
        <v>24</v>
      </c>
      <c r="P494" s="55" t="s">
        <v>1213</v>
      </c>
      <c r="Q494" t="s">
        <v>1214</v>
      </c>
      <c r="R494" t="s">
        <v>1224</v>
      </c>
    </row>
    <row r="495" spans="1:18" ht="14.45">
      <c r="A495" s="106" t="b">
        <v>1</v>
      </c>
      <c r="B495" t="str" cm="1">
        <f t="array" ref="B495">_xlfn.SINGLE(_xlfn._xlws.FILTER(t_ServiceCatalogue[Onwer],t_ServiceCatalogue[Category]=t_fac25_requirements[[#This Row],[Category]],""))</f>
        <v>EU</v>
      </c>
      <c r="C495" t="s">
        <v>18</v>
      </c>
      <c r="D495" t="str">
        <f>_xlfn._xlws.FILTER(t_Contact[FA Name],t_Contact[FA]=t_fac25_requirements[[#This Row],[FA]],"")</f>
        <v>Accreditation</v>
      </c>
      <c r="E495" t="s">
        <v>214</v>
      </c>
      <c r="F495" t="s">
        <v>325</v>
      </c>
      <c r="G495" t="s">
        <v>331</v>
      </c>
      <c r="H495" t="s">
        <v>32</v>
      </c>
      <c r="I495" t="s">
        <v>33</v>
      </c>
      <c r="J495" s="28" t="s">
        <v>370</v>
      </c>
      <c r="K495" s="32"/>
      <c r="L495" s="32">
        <v>4</v>
      </c>
      <c r="M495" s="30">
        <v>45991</v>
      </c>
      <c r="N495" s="30">
        <v>46010</v>
      </c>
      <c r="O495" s="43" t="s">
        <v>34</v>
      </c>
      <c r="P495" s="55"/>
      <c r="Q495" t="s">
        <v>1216</v>
      </c>
      <c r="R495" t="s">
        <v>1225</v>
      </c>
    </row>
    <row r="496" spans="1:18" ht="14.45">
      <c r="A496" s="106" t="b">
        <v>1</v>
      </c>
      <c r="B496" t="str" cm="1">
        <f t="array" ref="B496">_xlfn.SINGLE(_xlfn._xlws.FILTER(t_ServiceCatalogue[Onwer],t_ServiceCatalogue[Category]=t_fac25_requirements[[#This Row],[Category]],""))</f>
        <v>EU</v>
      </c>
      <c r="C496" t="s">
        <v>18</v>
      </c>
      <c r="D496" t="str">
        <f>_xlfn._xlws.FILTER(t_Contact[FA Name],t_Contact[FA]=t_fac25_requirements[[#This Row],[FA]],"")</f>
        <v>Accreditation</v>
      </c>
      <c r="E496" t="s">
        <v>214</v>
      </c>
      <c r="F496" t="s">
        <v>325</v>
      </c>
      <c r="G496" t="s">
        <v>331</v>
      </c>
      <c r="H496" t="s">
        <v>32</v>
      </c>
      <c r="I496" t="s">
        <v>37</v>
      </c>
      <c r="J496" s="28" t="s">
        <v>370</v>
      </c>
      <c r="K496" s="32"/>
      <c r="L496" s="32">
        <v>2</v>
      </c>
      <c r="M496" s="30">
        <v>45991</v>
      </c>
      <c r="N496" s="30">
        <v>46010</v>
      </c>
      <c r="O496" s="43" t="s">
        <v>38</v>
      </c>
      <c r="P496" s="55"/>
      <c r="Q496" t="s">
        <v>423</v>
      </c>
      <c r="R496" t="s">
        <v>1226</v>
      </c>
    </row>
    <row r="497" spans="1:18" ht="14.45">
      <c r="A497" s="106" t="b">
        <v>1</v>
      </c>
      <c r="B497" t="str" cm="1">
        <f t="array" ref="B497">_xlfn.SINGLE(_xlfn._xlws.FILTER(t_ServiceCatalogue[Onwer],t_ServiceCatalogue[Category]=t_fac25_requirements[[#This Row],[Category]],""))</f>
        <v>EU</v>
      </c>
      <c r="C497" t="s">
        <v>18</v>
      </c>
      <c r="D497" t="str">
        <f>_xlfn._xlws.FILTER(t_Contact[FA Name],t_Contact[FA]=t_fac25_requirements[[#This Row],[FA]],"")</f>
        <v>Accreditation</v>
      </c>
      <c r="E497" t="s">
        <v>214</v>
      </c>
      <c r="F497" t="s">
        <v>325</v>
      </c>
      <c r="G497" t="s">
        <v>331</v>
      </c>
      <c r="H497" t="s">
        <v>32</v>
      </c>
      <c r="I497" t="s">
        <v>210</v>
      </c>
      <c r="J497" s="28" t="s">
        <v>370</v>
      </c>
      <c r="K497" s="32"/>
      <c r="L497" s="32">
        <v>4</v>
      </c>
      <c r="M497" s="30">
        <v>45991</v>
      </c>
      <c r="N497" s="30">
        <v>46010</v>
      </c>
      <c r="O497" s="43" t="s">
        <v>42</v>
      </c>
      <c r="P497" s="55"/>
      <c r="Q497" t="s">
        <v>1219</v>
      </c>
      <c r="R497" t="s">
        <v>1227</v>
      </c>
    </row>
    <row r="498" spans="1:18" ht="14.45">
      <c r="A498" s="106" t="b">
        <v>0</v>
      </c>
      <c r="B498" t="str" cm="1">
        <f t="array" ref="B498">_xlfn.SINGLE(_xlfn._xlws.FILTER(t_ServiceCatalogue[Onwer],t_ServiceCatalogue[Category]=t_fac25_requirements[[#This Row],[Category]],""))</f>
        <v>NW</v>
      </c>
      <c r="C498" t="s">
        <v>18</v>
      </c>
      <c r="D498" t="str">
        <f>_xlfn._xlws.FILTER(t_Contact[FA Name],t_Contact[FA]=t_fac25_requirements[[#This Row],[FA]],"")</f>
        <v>Accreditation</v>
      </c>
      <c r="E498" t="s">
        <v>214</v>
      </c>
      <c r="F498" t="s">
        <v>325</v>
      </c>
      <c r="G498" t="s">
        <v>331</v>
      </c>
      <c r="H498" t="s">
        <v>46</v>
      </c>
      <c r="I498" t="s">
        <v>47</v>
      </c>
      <c r="J498" s="28" t="s">
        <v>370</v>
      </c>
      <c r="K498" s="32"/>
      <c r="L498" s="32">
        <v>6</v>
      </c>
      <c r="M498" s="30">
        <v>45991</v>
      </c>
      <c r="N498" s="30">
        <v>46010</v>
      </c>
      <c r="O498" s="43" t="s">
        <v>48</v>
      </c>
      <c r="P498" s="55"/>
      <c r="Q498" t="s">
        <v>1209</v>
      </c>
      <c r="R498" t="s">
        <v>1228</v>
      </c>
    </row>
    <row r="499" spans="1:18" ht="14.45">
      <c r="A499" s="106" t="b">
        <v>0</v>
      </c>
      <c r="B499" t="str" cm="1">
        <f t="array" ref="B499">_xlfn.SINGLE(_xlfn._xlws.FILTER(t_ServiceCatalogue[Onwer],t_ServiceCatalogue[Category]=t_fac25_requirements[[#This Row],[Category]],""))</f>
        <v>NW</v>
      </c>
      <c r="C499" t="s">
        <v>18</v>
      </c>
      <c r="D499" t="str">
        <f>_xlfn._xlws.FILTER(t_Contact[FA Name],t_Contact[FA]=t_fac25_requirements[[#This Row],[FA]],"")</f>
        <v>Accreditation</v>
      </c>
      <c r="E499" t="s">
        <v>214</v>
      </c>
      <c r="F499" t="s">
        <v>325</v>
      </c>
      <c r="G499" t="s">
        <v>331</v>
      </c>
      <c r="H499" t="s">
        <v>52</v>
      </c>
      <c r="I499" t="s">
        <v>53</v>
      </c>
      <c r="J499" s="28" t="s">
        <v>407</v>
      </c>
      <c r="K499" s="32"/>
      <c r="L499" s="32">
        <v>1</v>
      </c>
      <c r="M499" s="30">
        <v>45991</v>
      </c>
      <c r="N499" s="30">
        <v>46010</v>
      </c>
      <c r="O499" s="43" t="s">
        <v>54</v>
      </c>
      <c r="P499" s="55"/>
      <c r="Q499" t="s">
        <v>1216</v>
      </c>
      <c r="R499" t="s">
        <v>1229</v>
      </c>
    </row>
    <row r="500" spans="1:18" ht="14.45">
      <c r="A500" s="106" t="b">
        <v>1</v>
      </c>
      <c r="B500" t="str" cm="1">
        <f t="array" ref="B500">_xlfn.SINGLE(_xlfn._xlws.FILTER(t_ServiceCatalogue[Onwer],t_ServiceCatalogue[Category]=t_fac25_requirements[[#This Row],[Category]],""))</f>
        <v>EU</v>
      </c>
      <c r="C500" t="s">
        <v>18</v>
      </c>
      <c r="D500" t="str">
        <f>_xlfn._xlws.FILTER(t_Contact[FA Name],t_Contact[FA]=t_fac25_requirements[[#This Row],[FA]],"")</f>
        <v>Accreditation</v>
      </c>
      <c r="E500" s="43">
        <v>974</v>
      </c>
      <c r="F500" t="s">
        <v>325</v>
      </c>
      <c r="G500" t="s">
        <v>331</v>
      </c>
      <c r="H500" t="s">
        <v>22</v>
      </c>
      <c r="I500" t="s">
        <v>23</v>
      </c>
      <c r="J500" s="28" t="s">
        <v>370</v>
      </c>
      <c r="K500" s="32">
        <v>3</v>
      </c>
      <c r="L500" s="32">
        <v>2</v>
      </c>
      <c r="M500" s="30">
        <v>45991</v>
      </c>
      <c r="N500" s="30">
        <v>46010</v>
      </c>
      <c r="O500" s="43" t="s">
        <v>24</v>
      </c>
      <c r="P500" s="55" t="s">
        <v>1213</v>
      </c>
      <c r="Q500" t="s">
        <v>1222</v>
      </c>
      <c r="R500" t="s">
        <v>1230</v>
      </c>
    </row>
    <row r="501" spans="1:18" ht="14.45">
      <c r="A501" s="106" t="b">
        <v>1</v>
      </c>
      <c r="B501" t="str" cm="1">
        <f t="array" ref="B501">_xlfn.SINGLE(_xlfn._xlws.FILTER(t_ServiceCatalogue[Onwer],t_ServiceCatalogue[Category]=t_fac25_requirements[[#This Row],[Category]],""))</f>
        <v>EU</v>
      </c>
      <c r="C501" t="s">
        <v>18</v>
      </c>
      <c r="D501" t="str">
        <f>_xlfn._xlws.FILTER(t_Contact[FA Name],t_Contact[FA]=t_fac25_requirements[[#This Row],[FA]],"")</f>
        <v>Accreditation</v>
      </c>
      <c r="E501" s="43">
        <v>974</v>
      </c>
      <c r="F501" t="s">
        <v>325</v>
      </c>
      <c r="G501" t="s">
        <v>331</v>
      </c>
      <c r="H501" t="s">
        <v>32</v>
      </c>
      <c r="I501" t="s">
        <v>33</v>
      </c>
      <c r="J501" s="28" t="s">
        <v>370</v>
      </c>
      <c r="K501" s="32"/>
      <c r="L501" s="32">
        <v>4</v>
      </c>
      <c r="M501" s="30">
        <v>45991</v>
      </c>
      <c r="N501" s="30">
        <v>46010</v>
      </c>
      <c r="O501" s="43" t="s">
        <v>34</v>
      </c>
      <c r="P501" s="55"/>
      <c r="Q501" t="s">
        <v>1216</v>
      </c>
      <c r="R501" t="s">
        <v>1231</v>
      </c>
    </row>
    <row r="502" spans="1:18" ht="14.45">
      <c r="A502" s="106" t="b">
        <v>1</v>
      </c>
      <c r="B502" t="str" cm="1">
        <f t="array" ref="B502">_xlfn.SINGLE(_xlfn._xlws.FILTER(t_ServiceCatalogue[Onwer],t_ServiceCatalogue[Category]=t_fac25_requirements[[#This Row],[Category]],""))</f>
        <v>EU</v>
      </c>
      <c r="C502" t="s">
        <v>18</v>
      </c>
      <c r="D502" t="str">
        <f>_xlfn._xlws.FILTER(t_Contact[FA Name],t_Contact[FA]=t_fac25_requirements[[#This Row],[FA]],"")</f>
        <v>Accreditation</v>
      </c>
      <c r="E502" s="43">
        <v>974</v>
      </c>
      <c r="F502" t="s">
        <v>325</v>
      </c>
      <c r="G502" t="s">
        <v>331</v>
      </c>
      <c r="H502" t="s">
        <v>32</v>
      </c>
      <c r="I502" t="s">
        <v>37</v>
      </c>
      <c r="J502" s="28" t="s">
        <v>370</v>
      </c>
      <c r="K502" s="32"/>
      <c r="L502" s="32">
        <v>2</v>
      </c>
      <c r="M502" s="30">
        <v>45991</v>
      </c>
      <c r="N502" s="30">
        <v>46010</v>
      </c>
      <c r="O502" s="43" t="s">
        <v>38</v>
      </c>
      <c r="P502" s="55"/>
      <c r="Q502" t="s">
        <v>423</v>
      </c>
      <c r="R502" t="s">
        <v>1232</v>
      </c>
    </row>
    <row r="503" spans="1:18" ht="14.45">
      <c r="A503" s="106" t="b">
        <v>1</v>
      </c>
      <c r="B503" t="str" cm="1">
        <f t="array" ref="B503">_xlfn.SINGLE(_xlfn._xlws.FILTER(t_ServiceCatalogue[Onwer],t_ServiceCatalogue[Category]=t_fac25_requirements[[#This Row],[Category]],""))</f>
        <v>EU</v>
      </c>
      <c r="C503" t="s">
        <v>18</v>
      </c>
      <c r="D503" t="str">
        <f>_xlfn._xlws.FILTER(t_Contact[FA Name],t_Contact[FA]=t_fac25_requirements[[#This Row],[FA]],"")</f>
        <v>Accreditation</v>
      </c>
      <c r="E503" s="43">
        <v>974</v>
      </c>
      <c r="F503" t="s">
        <v>325</v>
      </c>
      <c r="G503" t="s">
        <v>331</v>
      </c>
      <c r="H503" t="s">
        <v>32</v>
      </c>
      <c r="I503" t="s">
        <v>210</v>
      </c>
      <c r="J503" s="28" t="s">
        <v>370</v>
      </c>
      <c r="K503" s="32"/>
      <c r="L503" s="32">
        <v>4</v>
      </c>
      <c r="M503" s="30">
        <v>45991</v>
      </c>
      <c r="N503" s="30">
        <v>46010</v>
      </c>
      <c r="O503" s="43" t="s">
        <v>42</v>
      </c>
      <c r="P503" s="55"/>
      <c r="Q503" t="s">
        <v>1219</v>
      </c>
      <c r="R503" t="s">
        <v>1233</v>
      </c>
    </row>
    <row r="504" spans="1:18" ht="14.45">
      <c r="A504" s="106" t="b">
        <v>0</v>
      </c>
      <c r="B504" t="str" cm="1">
        <f t="array" ref="B504">_xlfn.SINGLE(_xlfn._xlws.FILTER(t_ServiceCatalogue[Onwer],t_ServiceCatalogue[Category]=t_fac25_requirements[[#This Row],[Category]],""))</f>
        <v>NW</v>
      </c>
      <c r="C504" t="s">
        <v>18</v>
      </c>
      <c r="D504" t="str">
        <f>_xlfn._xlws.FILTER(t_Contact[FA Name],t_Contact[FA]=t_fac25_requirements[[#This Row],[FA]],"")</f>
        <v>Accreditation</v>
      </c>
      <c r="E504" s="43">
        <v>974</v>
      </c>
      <c r="F504" t="s">
        <v>325</v>
      </c>
      <c r="G504" t="s">
        <v>331</v>
      </c>
      <c r="H504" t="s">
        <v>46</v>
      </c>
      <c r="I504" t="s">
        <v>47</v>
      </c>
      <c r="J504" s="28" t="s">
        <v>407</v>
      </c>
      <c r="K504" s="32"/>
      <c r="L504" s="32">
        <v>6</v>
      </c>
      <c r="M504" s="30">
        <v>45991</v>
      </c>
      <c r="N504" s="30">
        <v>46010</v>
      </c>
      <c r="O504" s="43" t="s">
        <v>48</v>
      </c>
      <c r="P504" s="55"/>
      <c r="Q504" t="s">
        <v>1209</v>
      </c>
      <c r="R504" t="s">
        <v>1234</v>
      </c>
    </row>
    <row r="505" spans="1:18" ht="14.45">
      <c r="A505" s="106" t="b">
        <v>0</v>
      </c>
      <c r="B505" t="str" cm="1">
        <f t="array" ref="B505">_xlfn.SINGLE(_xlfn._xlws.FILTER(t_ServiceCatalogue[Onwer],t_ServiceCatalogue[Category]=t_fac25_requirements[[#This Row],[Category]],""))</f>
        <v>NW</v>
      </c>
      <c r="C505" t="s">
        <v>18</v>
      </c>
      <c r="D505" t="str">
        <f>_xlfn._xlws.FILTER(t_Contact[FA Name],t_Contact[FA]=t_fac25_requirements[[#This Row],[FA]],"")</f>
        <v>Accreditation</v>
      </c>
      <c r="E505" s="43">
        <v>974</v>
      </c>
      <c r="F505" t="s">
        <v>325</v>
      </c>
      <c r="G505" t="s">
        <v>331</v>
      </c>
      <c r="H505" t="s">
        <v>52</v>
      </c>
      <c r="I505" t="s">
        <v>53</v>
      </c>
      <c r="J505" s="28" t="s">
        <v>407</v>
      </c>
      <c r="K505" s="32"/>
      <c r="L505" s="32">
        <v>1</v>
      </c>
      <c r="M505" s="30">
        <v>45991</v>
      </c>
      <c r="N505" s="30">
        <v>46010</v>
      </c>
      <c r="O505" s="43" t="s">
        <v>54</v>
      </c>
      <c r="P505" s="55"/>
      <c r="Q505" t="s">
        <v>1222</v>
      </c>
      <c r="R505" t="s">
        <v>1235</v>
      </c>
    </row>
    <row r="506" spans="1:18" ht="14.45">
      <c r="A506" s="106" t="b">
        <v>0</v>
      </c>
      <c r="B506" t="str" cm="1">
        <f t="array" ref="B506">_xlfn.SINGLE(_xlfn._xlws.FILTER(t_ServiceCatalogue[Onwer],t_ServiceCatalogue[Category]=t_fac25_requirements[[#This Row],[Category]],""))</f>
        <v>EU</v>
      </c>
      <c r="C506" t="s">
        <v>18</v>
      </c>
      <c r="D506" t="str">
        <f>_xlfn._xlws.FILTER(t_Contact[FA Name],t_Contact[FA]=t_fac25_requirements[[#This Row],[FA]],"")</f>
        <v>Accreditation</v>
      </c>
      <c r="E506" t="s">
        <v>212</v>
      </c>
      <c r="F506" t="s">
        <v>325</v>
      </c>
      <c r="G506" t="s">
        <v>331</v>
      </c>
      <c r="H506" t="s">
        <v>22</v>
      </c>
      <c r="I506" t="s">
        <v>23</v>
      </c>
      <c r="J506" s="28" t="s">
        <v>370</v>
      </c>
      <c r="K506" s="32">
        <v>3</v>
      </c>
      <c r="L506" s="32">
        <v>2</v>
      </c>
      <c r="M506" s="30">
        <v>45991</v>
      </c>
      <c r="N506" s="30">
        <v>46010</v>
      </c>
      <c r="O506" s="43" t="s">
        <v>24</v>
      </c>
      <c r="P506" s="55" t="s">
        <v>1213</v>
      </c>
      <c r="Q506" t="s">
        <v>1214</v>
      </c>
      <c r="R506" t="s">
        <v>1236</v>
      </c>
    </row>
    <row r="507" spans="1:18" ht="14.45">
      <c r="A507" s="106" t="b">
        <v>1</v>
      </c>
      <c r="B507" t="str" cm="1">
        <f t="array" ref="B507">_xlfn.SINGLE(_xlfn._xlws.FILTER(t_ServiceCatalogue[Onwer],t_ServiceCatalogue[Category]=t_fac25_requirements[[#This Row],[Category]],""))</f>
        <v>EU</v>
      </c>
      <c r="C507" t="s">
        <v>18</v>
      </c>
      <c r="D507" t="str">
        <f>_xlfn._xlws.FILTER(t_Contact[FA Name],t_Contact[FA]=t_fac25_requirements[[#This Row],[FA]],"")</f>
        <v>Accreditation</v>
      </c>
      <c r="E507" t="s">
        <v>212</v>
      </c>
      <c r="F507" t="s">
        <v>325</v>
      </c>
      <c r="G507" t="s">
        <v>331</v>
      </c>
      <c r="H507" t="s">
        <v>32</v>
      </c>
      <c r="I507" t="s">
        <v>33</v>
      </c>
      <c r="J507" s="28" t="s">
        <v>370</v>
      </c>
      <c r="K507" s="32"/>
      <c r="L507" s="32">
        <v>4</v>
      </c>
      <c r="M507" s="30">
        <v>45991</v>
      </c>
      <c r="N507" s="30">
        <v>46010</v>
      </c>
      <c r="O507" s="43" t="s">
        <v>34</v>
      </c>
      <c r="P507" s="55"/>
      <c r="Q507" t="s">
        <v>1216</v>
      </c>
      <c r="R507" t="s">
        <v>1237</v>
      </c>
    </row>
    <row r="508" spans="1:18" ht="14.45">
      <c r="A508" s="106" t="b">
        <v>0</v>
      </c>
      <c r="B508" t="str" cm="1">
        <f t="array" ref="B508">_xlfn.SINGLE(_xlfn._xlws.FILTER(t_ServiceCatalogue[Onwer],t_ServiceCatalogue[Category]=t_fac25_requirements[[#This Row],[Category]],""))</f>
        <v>EU</v>
      </c>
      <c r="C508" t="s">
        <v>18</v>
      </c>
      <c r="D508" t="str">
        <f>_xlfn._xlws.FILTER(t_Contact[FA Name],t_Contact[FA]=t_fac25_requirements[[#This Row],[FA]],"")</f>
        <v>Accreditation</v>
      </c>
      <c r="E508" t="s">
        <v>212</v>
      </c>
      <c r="F508" t="s">
        <v>325</v>
      </c>
      <c r="G508" t="s">
        <v>331</v>
      </c>
      <c r="H508" t="s">
        <v>32</v>
      </c>
      <c r="I508" t="s">
        <v>37</v>
      </c>
      <c r="J508" s="28" t="s">
        <v>370</v>
      </c>
      <c r="K508" s="32"/>
      <c r="L508" s="32">
        <v>2</v>
      </c>
      <c r="M508" s="30">
        <v>45991</v>
      </c>
      <c r="N508" s="30">
        <v>46010</v>
      </c>
      <c r="O508" s="43" t="s">
        <v>38</v>
      </c>
      <c r="P508" s="55"/>
      <c r="Q508" t="s">
        <v>423</v>
      </c>
      <c r="R508" t="s">
        <v>424</v>
      </c>
    </row>
    <row r="509" spans="1:18" ht="14.45">
      <c r="A509" s="106" t="b">
        <v>1</v>
      </c>
      <c r="B509" t="str" cm="1">
        <f t="array" ref="B509">_xlfn.SINGLE(_xlfn._xlws.FILTER(t_ServiceCatalogue[Onwer],t_ServiceCatalogue[Category]=t_fac25_requirements[[#This Row],[Category]],""))</f>
        <v>EU</v>
      </c>
      <c r="C509" t="s">
        <v>18</v>
      </c>
      <c r="D509" t="str">
        <f>_xlfn._xlws.FILTER(t_Contact[FA Name],t_Contact[FA]=t_fac25_requirements[[#This Row],[FA]],"")</f>
        <v>Accreditation</v>
      </c>
      <c r="E509" t="s">
        <v>212</v>
      </c>
      <c r="F509" t="s">
        <v>325</v>
      </c>
      <c r="G509" t="s">
        <v>331</v>
      </c>
      <c r="H509" t="s">
        <v>32</v>
      </c>
      <c r="I509" t="s">
        <v>210</v>
      </c>
      <c r="J509" s="28" t="s">
        <v>370</v>
      </c>
      <c r="K509" s="32"/>
      <c r="L509" s="32">
        <v>4</v>
      </c>
      <c r="M509" s="30">
        <v>45991</v>
      </c>
      <c r="N509" s="30">
        <v>46010</v>
      </c>
      <c r="O509" s="43" t="s">
        <v>42</v>
      </c>
      <c r="P509" s="55"/>
      <c r="Q509" t="s">
        <v>1219</v>
      </c>
      <c r="R509" t="s">
        <v>1238</v>
      </c>
    </row>
    <row r="510" spans="1:18" ht="14.45">
      <c r="A510" s="106" t="b">
        <v>0</v>
      </c>
      <c r="B510" t="str" cm="1">
        <f t="array" ref="B510">_xlfn.SINGLE(_xlfn._xlws.FILTER(t_ServiceCatalogue[Onwer],t_ServiceCatalogue[Category]=t_fac25_requirements[[#This Row],[Category]],""))</f>
        <v>NW</v>
      </c>
      <c r="C510" t="s">
        <v>18</v>
      </c>
      <c r="D510" t="str">
        <f>_xlfn._xlws.FILTER(t_Contact[FA Name],t_Contact[FA]=t_fac25_requirements[[#This Row],[FA]],"")</f>
        <v>Accreditation</v>
      </c>
      <c r="E510" t="s">
        <v>212</v>
      </c>
      <c r="F510" t="s">
        <v>325</v>
      </c>
      <c r="G510" t="s">
        <v>331</v>
      </c>
      <c r="H510" t="s">
        <v>46</v>
      </c>
      <c r="I510" t="s">
        <v>47</v>
      </c>
      <c r="J510" s="28" t="s">
        <v>407</v>
      </c>
      <c r="K510" s="32"/>
      <c r="L510" s="32">
        <v>6</v>
      </c>
      <c r="M510" s="30">
        <v>45991</v>
      </c>
      <c r="N510" s="30">
        <v>46010</v>
      </c>
      <c r="O510" s="43" t="s">
        <v>48</v>
      </c>
      <c r="P510" s="55"/>
      <c r="Q510" t="s">
        <v>1209</v>
      </c>
      <c r="R510" t="s">
        <v>1239</v>
      </c>
    </row>
    <row r="511" spans="1:18" ht="14.45">
      <c r="A511" s="106" t="b">
        <v>0</v>
      </c>
      <c r="B511" t="str" cm="1">
        <f t="array" ref="B511">_xlfn.SINGLE(_xlfn._xlws.FILTER(t_ServiceCatalogue[Onwer],t_ServiceCatalogue[Category]=t_fac25_requirements[[#This Row],[Category]],""))</f>
        <v>NW</v>
      </c>
      <c r="C511" t="s">
        <v>18</v>
      </c>
      <c r="D511" t="str">
        <f>_xlfn._xlws.FILTER(t_Contact[FA Name],t_Contact[FA]=t_fac25_requirements[[#This Row],[FA]],"")</f>
        <v>Accreditation</v>
      </c>
      <c r="E511" t="s">
        <v>212</v>
      </c>
      <c r="F511" t="s">
        <v>325</v>
      </c>
      <c r="G511" t="s">
        <v>331</v>
      </c>
      <c r="H511" t="s">
        <v>52</v>
      </c>
      <c r="I511" t="s">
        <v>53</v>
      </c>
      <c r="J511" s="28" t="s">
        <v>407</v>
      </c>
      <c r="K511" s="32"/>
      <c r="L511" s="32">
        <v>1</v>
      </c>
      <c r="M511" s="30">
        <v>45991</v>
      </c>
      <c r="N511" s="30">
        <v>46010</v>
      </c>
      <c r="O511" s="43" t="s">
        <v>54</v>
      </c>
      <c r="P511" s="55"/>
      <c r="Q511" t="s">
        <v>1222</v>
      </c>
      <c r="R511" t="s">
        <v>1240</v>
      </c>
    </row>
    <row r="512" spans="1:18" ht="14.45">
      <c r="A512" s="106" t="b">
        <v>0</v>
      </c>
      <c r="B512" t="str" cm="1">
        <f t="array" ref="B512">_xlfn.SINGLE(_xlfn._xlws.FILTER(t_ServiceCatalogue[Onwer],t_ServiceCatalogue[Category]=t_fac25_requirements[[#This Row],[Category]],""))</f>
        <v>EU</v>
      </c>
      <c r="C512" t="s">
        <v>18</v>
      </c>
      <c r="D512" t="str">
        <f>_xlfn._xlws.FILTER(t_Contact[FA Name],t_Contact[FA]=t_fac25_requirements[[#This Row],[FA]],"")</f>
        <v>Accreditation</v>
      </c>
      <c r="E512" t="s">
        <v>211</v>
      </c>
      <c r="F512" t="s">
        <v>325</v>
      </c>
      <c r="G512" t="s">
        <v>331</v>
      </c>
      <c r="H512" t="s">
        <v>22</v>
      </c>
      <c r="I512" t="s">
        <v>23</v>
      </c>
      <c r="J512" s="28" t="s">
        <v>370</v>
      </c>
      <c r="K512" s="32">
        <v>3</v>
      </c>
      <c r="L512" s="32">
        <v>2</v>
      </c>
      <c r="M512" s="30">
        <v>45991</v>
      </c>
      <c r="N512" s="30">
        <v>46010</v>
      </c>
      <c r="O512" s="43" t="s">
        <v>24</v>
      </c>
      <c r="P512" s="55" t="s">
        <v>1213</v>
      </c>
      <c r="Q512" t="s">
        <v>1214</v>
      </c>
      <c r="R512" t="s">
        <v>1241</v>
      </c>
    </row>
    <row r="513" spans="1:18" ht="14.45">
      <c r="A513" s="106" t="b">
        <v>0</v>
      </c>
      <c r="B513" t="str" cm="1">
        <f t="array" ref="B513">_xlfn.SINGLE(_xlfn._xlws.FILTER(t_ServiceCatalogue[Onwer],t_ServiceCatalogue[Category]=t_fac25_requirements[[#This Row],[Category]],""))</f>
        <v>EU</v>
      </c>
      <c r="C513" t="s">
        <v>18</v>
      </c>
      <c r="D513" t="str">
        <f>_xlfn._xlws.FILTER(t_Contact[FA Name],t_Contact[FA]=t_fac25_requirements[[#This Row],[FA]],"")</f>
        <v>Accreditation</v>
      </c>
      <c r="E513" t="s">
        <v>211</v>
      </c>
      <c r="F513" t="s">
        <v>325</v>
      </c>
      <c r="G513" t="s">
        <v>331</v>
      </c>
      <c r="H513" t="s">
        <v>32</v>
      </c>
      <c r="I513" t="s">
        <v>33</v>
      </c>
      <c r="J513" s="28" t="s">
        <v>370</v>
      </c>
      <c r="K513" s="32"/>
      <c r="L513" s="32">
        <v>4</v>
      </c>
      <c r="M513" s="30">
        <v>45991</v>
      </c>
      <c r="N513" s="30">
        <v>46010</v>
      </c>
      <c r="O513" s="43" t="s">
        <v>34</v>
      </c>
      <c r="P513" s="55"/>
      <c r="Q513" t="s">
        <v>1216</v>
      </c>
      <c r="R513" t="s">
        <v>1242</v>
      </c>
    </row>
    <row r="514" spans="1:18" ht="14.45">
      <c r="A514" s="106" t="b">
        <v>1</v>
      </c>
      <c r="B514" t="str" cm="1">
        <f t="array" ref="B514">_xlfn.SINGLE(_xlfn._xlws.FILTER(t_ServiceCatalogue[Onwer],t_ServiceCatalogue[Category]=t_fac25_requirements[[#This Row],[Category]],""))</f>
        <v>EU</v>
      </c>
      <c r="C514" t="s">
        <v>18</v>
      </c>
      <c r="D514" t="str">
        <f>_xlfn._xlws.FILTER(t_Contact[FA Name],t_Contact[FA]=t_fac25_requirements[[#This Row],[FA]],"")</f>
        <v>Accreditation</v>
      </c>
      <c r="E514" t="s">
        <v>211</v>
      </c>
      <c r="F514" t="s">
        <v>325</v>
      </c>
      <c r="G514" t="s">
        <v>331</v>
      </c>
      <c r="H514" t="s">
        <v>32</v>
      </c>
      <c r="I514" t="s">
        <v>37</v>
      </c>
      <c r="J514" s="28" t="s">
        <v>370</v>
      </c>
      <c r="K514" s="32"/>
      <c r="L514" s="32">
        <v>2</v>
      </c>
      <c r="M514" s="30">
        <v>45991</v>
      </c>
      <c r="N514" s="30">
        <v>46010</v>
      </c>
      <c r="O514" s="43" t="s">
        <v>38</v>
      </c>
      <c r="P514" s="55"/>
      <c r="Q514" t="s">
        <v>423</v>
      </c>
      <c r="R514" t="s">
        <v>1243</v>
      </c>
    </row>
    <row r="515" spans="1:18" ht="14.45">
      <c r="A515" s="106" t="b">
        <v>1</v>
      </c>
      <c r="B515" t="str" cm="1">
        <f t="array" ref="B515">_xlfn.SINGLE(_xlfn._xlws.FILTER(t_ServiceCatalogue[Onwer],t_ServiceCatalogue[Category]=t_fac25_requirements[[#This Row],[Category]],""))</f>
        <v>EU</v>
      </c>
      <c r="C515" t="s">
        <v>18</v>
      </c>
      <c r="D515" t="str">
        <f>_xlfn._xlws.FILTER(t_Contact[FA Name],t_Contact[FA]=t_fac25_requirements[[#This Row],[FA]],"")</f>
        <v>Accreditation</v>
      </c>
      <c r="E515" t="s">
        <v>211</v>
      </c>
      <c r="F515" t="s">
        <v>325</v>
      </c>
      <c r="G515" t="s">
        <v>331</v>
      </c>
      <c r="H515" t="s">
        <v>32</v>
      </c>
      <c r="I515" t="s">
        <v>210</v>
      </c>
      <c r="J515" s="28" t="s">
        <v>370</v>
      </c>
      <c r="K515" s="32"/>
      <c r="L515" s="32">
        <v>4</v>
      </c>
      <c r="M515" s="30">
        <v>45991</v>
      </c>
      <c r="N515" s="30">
        <v>46010</v>
      </c>
      <c r="O515" s="43" t="s">
        <v>42</v>
      </c>
      <c r="P515" s="55"/>
      <c r="Q515" t="s">
        <v>1219</v>
      </c>
      <c r="R515" t="s">
        <v>1244</v>
      </c>
    </row>
    <row r="516" spans="1:18" ht="14.45">
      <c r="A516" s="106" t="b">
        <v>0</v>
      </c>
      <c r="B516" t="str" cm="1">
        <f t="array" ref="B516">_xlfn.SINGLE(_xlfn._xlws.FILTER(t_ServiceCatalogue[Onwer],t_ServiceCatalogue[Category]=t_fac25_requirements[[#This Row],[Category]],""))</f>
        <v>NW</v>
      </c>
      <c r="C516" t="s">
        <v>18</v>
      </c>
      <c r="D516" t="str">
        <f>_xlfn._xlws.FILTER(t_Contact[FA Name],t_Contact[FA]=t_fac25_requirements[[#This Row],[FA]],"")</f>
        <v>Accreditation</v>
      </c>
      <c r="E516" t="s">
        <v>211</v>
      </c>
      <c r="F516" t="s">
        <v>325</v>
      </c>
      <c r="G516" t="s">
        <v>331</v>
      </c>
      <c r="H516" t="s">
        <v>46</v>
      </c>
      <c r="I516" t="s">
        <v>47</v>
      </c>
      <c r="J516" s="28" t="s">
        <v>407</v>
      </c>
      <c r="K516" s="32"/>
      <c r="L516" s="32">
        <v>6</v>
      </c>
      <c r="M516" s="30">
        <v>45991</v>
      </c>
      <c r="N516" s="30">
        <v>46010</v>
      </c>
      <c r="O516" s="43" t="s">
        <v>48</v>
      </c>
      <c r="P516" s="55"/>
      <c r="Q516" t="s">
        <v>1209</v>
      </c>
      <c r="R516" t="s">
        <v>1245</v>
      </c>
    </row>
    <row r="517" spans="1:18" ht="14.45">
      <c r="A517" s="106" t="b">
        <v>0</v>
      </c>
      <c r="B517" t="str" cm="1">
        <f t="array" ref="B517">_xlfn.SINGLE(_xlfn._xlws.FILTER(t_ServiceCatalogue[Onwer],t_ServiceCatalogue[Category]=t_fac25_requirements[[#This Row],[Category]],""))</f>
        <v>NW</v>
      </c>
      <c r="C517" t="s">
        <v>18</v>
      </c>
      <c r="D517" t="str">
        <f>_xlfn._xlws.FILTER(t_Contact[FA Name],t_Contact[FA]=t_fac25_requirements[[#This Row],[FA]],"")</f>
        <v>Accreditation</v>
      </c>
      <c r="E517" t="s">
        <v>211</v>
      </c>
      <c r="F517" t="s">
        <v>325</v>
      </c>
      <c r="G517" t="s">
        <v>331</v>
      </c>
      <c r="H517" t="s">
        <v>52</v>
      </c>
      <c r="I517" t="s">
        <v>53</v>
      </c>
      <c r="J517" s="28" t="s">
        <v>407</v>
      </c>
      <c r="K517" s="32"/>
      <c r="L517" s="32">
        <v>1</v>
      </c>
      <c r="M517" s="30">
        <v>45991</v>
      </c>
      <c r="N517" s="30">
        <v>46010</v>
      </c>
      <c r="O517" s="43" t="s">
        <v>54</v>
      </c>
      <c r="P517" s="55"/>
      <c r="Q517" t="s">
        <v>1222</v>
      </c>
      <c r="R517" t="s">
        <v>1246</v>
      </c>
    </row>
    <row r="518" spans="1:18" ht="14.45">
      <c r="A518" s="106" t="b">
        <v>1</v>
      </c>
      <c r="B518" t="str" cm="1">
        <f t="array" ref="B518">_xlfn.SINGLE(_xlfn._xlws.FILTER(t_ServiceCatalogue[Onwer],t_ServiceCatalogue[Category]=t_fac25_requirements[[#This Row],[Category]],""))</f>
        <v>EU</v>
      </c>
      <c r="C518" t="s">
        <v>193</v>
      </c>
      <c r="D518" t="str">
        <f>_xlfn._xlws.FILTER(t_Contact[FA Name],t_Contact[FA]=t_fac25_requirements[[#This Row],[FA]],"")</f>
        <v>Guest Operations</v>
      </c>
      <c r="E518" t="s">
        <v>214</v>
      </c>
      <c r="F518" t="s">
        <v>336</v>
      </c>
      <c r="G518" t="s">
        <v>427</v>
      </c>
      <c r="H518" t="s">
        <v>22</v>
      </c>
      <c r="I518" t="s">
        <v>23</v>
      </c>
      <c r="J518" s="28" t="s">
        <v>370</v>
      </c>
      <c r="K518" s="32"/>
      <c r="L518" s="32">
        <v>1</v>
      </c>
      <c r="M518" s="30">
        <v>45964</v>
      </c>
      <c r="N518" s="30">
        <v>46011</v>
      </c>
      <c r="O518" s="43" t="s">
        <v>78</v>
      </c>
      <c r="P518" s="55" t="s">
        <v>87</v>
      </c>
      <c r="R518" t="s">
        <v>1247</v>
      </c>
    </row>
    <row r="519" spans="1:18" ht="14.45">
      <c r="A519" s="106" t="b">
        <v>1</v>
      </c>
      <c r="B519" t="str" cm="1">
        <f t="array" ref="B519">_xlfn.SINGLE(_xlfn._xlws.FILTER(t_ServiceCatalogue[Onwer],t_ServiceCatalogue[Category]=t_fac25_requirements[[#This Row],[Category]],""))</f>
        <v>AV</v>
      </c>
      <c r="C519" t="s">
        <v>193</v>
      </c>
      <c r="D519" t="str">
        <f>_xlfn._xlws.FILTER(t_Contact[FA Name],t_Contact[FA]=t_fac25_requirements[[#This Row],[FA]],"")</f>
        <v>Guest Operations</v>
      </c>
      <c r="E519" t="s">
        <v>214</v>
      </c>
      <c r="F519" t="s">
        <v>336</v>
      </c>
      <c r="G519" t="s">
        <v>339</v>
      </c>
      <c r="H519" t="s">
        <v>58</v>
      </c>
      <c r="I519" t="s">
        <v>59</v>
      </c>
      <c r="J519" s="28" t="s">
        <v>370</v>
      </c>
      <c r="K519" s="32"/>
      <c r="L519" s="32">
        <v>2</v>
      </c>
      <c r="M519" s="30">
        <v>45988</v>
      </c>
      <c r="N519" s="30">
        <v>46009</v>
      </c>
      <c r="O519" s="43" t="s">
        <v>60</v>
      </c>
      <c r="P519" s="55" t="s">
        <v>87</v>
      </c>
      <c r="Q519" t="s">
        <v>411</v>
      </c>
      <c r="R519" t="s">
        <v>1248</v>
      </c>
    </row>
    <row r="520" spans="1:18" ht="14.45">
      <c r="A520" s="106" t="b">
        <v>0</v>
      </c>
      <c r="B520" t="str" cm="1">
        <f t="array" ref="B520">_xlfn.SINGLE(_xlfn._xlws.FILTER(t_ServiceCatalogue[Onwer],t_ServiceCatalogue[Category]=t_fac25_requirements[[#This Row],[Category]],""))</f>
        <v>NW</v>
      </c>
      <c r="C520" t="s">
        <v>193</v>
      </c>
      <c r="D520" t="str">
        <f>_xlfn._xlws.FILTER(t_Contact[FA Name],t_Contact[FA]=t_fac25_requirements[[#This Row],[FA]],"")</f>
        <v>Guest Operations</v>
      </c>
      <c r="E520" t="s">
        <v>214</v>
      </c>
      <c r="F520" t="s">
        <v>336</v>
      </c>
      <c r="G520" t="s">
        <v>337</v>
      </c>
      <c r="H520" t="s">
        <v>52</v>
      </c>
      <c r="I520" t="s">
        <v>233</v>
      </c>
      <c r="J520" s="28" t="s">
        <v>370</v>
      </c>
      <c r="K520" s="32"/>
      <c r="L520" s="32">
        <v>1</v>
      </c>
      <c r="M520" s="30">
        <v>45988</v>
      </c>
      <c r="N520" s="30">
        <v>46009</v>
      </c>
      <c r="O520" s="43" t="s">
        <v>545</v>
      </c>
      <c r="P520" s="55" t="s">
        <v>87</v>
      </c>
      <c r="R520" t="s">
        <v>1249</v>
      </c>
    </row>
    <row r="521" spans="1:18" ht="14.45">
      <c r="A521" s="106" t="b">
        <v>0</v>
      </c>
      <c r="B521" t="str" cm="1">
        <f t="array" ref="B521">_xlfn.SINGLE(_xlfn._xlws.FILTER(t_ServiceCatalogue[Onwer],t_ServiceCatalogue[Category]=t_fac25_requirements[[#This Row],[Category]],""))</f>
        <v>NW</v>
      </c>
      <c r="C521" t="s">
        <v>193</v>
      </c>
      <c r="D521" t="str">
        <f>_xlfn._xlws.FILTER(t_Contact[FA Name],t_Contact[FA]=t_fac25_requirements[[#This Row],[FA]],"")</f>
        <v>Guest Operations</v>
      </c>
      <c r="E521" t="s">
        <v>214</v>
      </c>
      <c r="F521" t="s">
        <v>336</v>
      </c>
      <c r="G521" t="s">
        <v>339</v>
      </c>
      <c r="H521" t="s">
        <v>52</v>
      </c>
      <c r="I521" t="s">
        <v>233</v>
      </c>
      <c r="J521" s="28" t="s">
        <v>370</v>
      </c>
      <c r="K521" s="32"/>
      <c r="L521" s="32">
        <v>1</v>
      </c>
      <c r="M521" s="30">
        <v>45988</v>
      </c>
      <c r="N521" s="30">
        <v>46009</v>
      </c>
      <c r="O521" s="43" t="s">
        <v>545</v>
      </c>
      <c r="P521" s="55" t="s">
        <v>87</v>
      </c>
      <c r="R521" t="s">
        <v>1250</v>
      </c>
    </row>
    <row r="522" spans="1:18" ht="14.45">
      <c r="A522" s="106" t="b">
        <v>0</v>
      </c>
      <c r="B522" t="str" cm="1">
        <f t="array" ref="B522">_xlfn.SINGLE(_xlfn._xlws.FILTER(t_ServiceCatalogue[Onwer],t_ServiceCatalogue[Category]=t_fac25_requirements[[#This Row],[Category]],""))</f>
        <v>EU</v>
      </c>
      <c r="C522" t="s">
        <v>193</v>
      </c>
      <c r="D522" t="str">
        <f>_xlfn._xlws.FILTER(t_Contact[FA Name],t_Contact[FA]=t_fac25_requirements[[#This Row],[FA]],"")</f>
        <v>Guest Operations</v>
      </c>
      <c r="E522" t="s">
        <v>211</v>
      </c>
      <c r="F522" t="s">
        <v>336</v>
      </c>
      <c r="G522" t="s">
        <v>427</v>
      </c>
      <c r="H522" t="s">
        <v>22</v>
      </c>
      <c r="I522" t="s">
        <v>23</v>
      </c>
      <c r="J522" s="28" t="s">
        <v>370</v>
      </c>
      <c r="K522" s="32"/>
      <c r="L522" s="32">
        <v>1</v>
      </c>
      <c r="M522" s="30">
        <v>45964</v>
      </c>
      <c r="N522" s="30">
        <v>46011</v>
      </c>
      <c r="O522" s="43" t="s">
        <v>78</v>
      </c>
      <c r="P522" s="55" t="s">
        <v>87</v>
      </c>
      <c r="R522" t="s">
        <v>1251</v>
      </c>
    </row>
    <row r="523" spans="1:18" ht="14.45">
      <c r="A523" s="106" t="b">
        <v>0</v>
      </c>
      <c r="B523" t="str" cm="1">
        <f t="array" ref="B523">_xlfn.SINGLE(_xlfn._xlws.FILTER(t_ServiceCatalogue[Onwer],t_ServiceCatalogue[Category]=t_fac25_requirements[[#This Row],[Category]],""))</f>
        <v>AV</v>
      </c>
      <c r="C523" t="s">
        <v>193</v>
      </c>
      <c r="D523" t="str">
        <f>_xlfn._xlws.FILTER(t_Contact[FA Name],t_Contact[FA]=t_fac25_requirements[[#This Row],[FA]],"")</f>
        <v>Guest Operations</v>
      </c>
      <c r="E523" t="s">
        <v>211</v>
      </c>
      <c r="F523" t="s">
        <v>336</v>
      </c>
      <c r="G523" t="s">
        <v>339</v>
      </c>
      <c r="H523" t="s">
        <v>58</v>
      </c>
      <c r="I523" t="s">
        <v>59</v>
      </c>
      <c r="J523" s="28" t="s">
        <v>370</v>
      </c>
      <c r="K523" s="32"/>
      <c r="L523" s="32">
        <v>2</v>
      </c>
      <c r="M523" s="30">
        <v>45988</v>
      </c>
      <c r="N523" s="30">
        <v>46009</v>
      </c>
      <c r="O523" s="43" t="s">
        <v>60</v>
      </c>
      <c r="P523" s="55" t="s">
        <v>87</v>
      </c>
      <c r="Q523" t="s">
        <v>411</v>
      </c>
      <c r="R523" t="s">
        <v>412</v>
      </c>
    </row>
    <row r="524" spans="1:18" ht="14.45">
      <c r="A524" s="106" t="b">
        <v>0</v>
      </c>
      <c r="B524" t="str" cm="1">
        <f t="array" ref="B524">_xlfn.SINGLE(_xlfn._xlws.FILTER(t_ServiceCatalogue[Onwer],t_ServiceCatalogue[Category]=t_fac25_requirements[[#This Row],[Category]],""))</f>
        <v>NW</v>
      </c>
      <c r="C524" t="s">
        <v>193</v>
      </c>
      <c r="D524" t="str">
        <f>_xlfn._xlws.FILTER(t_Contact[FA Name],t_Contact[FA]=t_fac25_requirements[[#This Row],[FA]],"")</f>
        <v>Guest Operations</v>
      </c>
      <c r="E524" t="s">
        <v>211</v>
      </c>
      <c r="F524" t="s">
        <v>336</v>
      </c>
      <c r="G524" t="s">
        <v>337</v>
      </c>
      <c r="H524" t="s">
        <v>52</v>
      </c>
      <c r="I524" t="s">
        <v>233</v>
      </c>
      <c r="J524" s="28" t="s">
        <v>370</v>
      </c>
      <c r="K524" s="32"/>
      <c r="L524" s="32">
        <v>1</v>
      </c>
      <c r="M524" s="30">
        <v>45988</v>
      </c>
      <c r="N524" s="30">
        <v>46009</v>
      </c>
      <c r="O524" s="43" t="s">
        <v>545</v>
      </c>
      <c r="P524" s="55" t="s">
        <v>87</v>
      </c>
      <c r="R524" t="s">
        <v>1252</v>
      </c>
    </row>
    <row r="525" spans="1:18" ht="14.45">
      <c r="A525" s="106" t="b">
        <v>0</v>
      </c>
      <c r="B525" t="str" cm="1">
        <f t="array" ref="B525">_xlfn.SINGLE(_xlfn._xlws.FILTER(t_ServiceCatalogue[Onwer],t_ServiceCatalogue[Category]=t_fac25_requirements[[#This Row],[Category]],""))</f>
        <v>NW</v>
      </c>
      <c r="C525" t="s">
        <v>193</v>
      </c>
      <c r="D525" t="str">
        <f>_xlfn._xlws.FILTER(t_Contact[FA Name],t_Contact[FA]=t_fac25_requirements[[#This Row],[FA]],"")</f>
        <v>Guest Operations</v>
      </c>
      <c r="E525" t="s">
        <v>211</v>
      </c>
      <c r="F525" t="s">
        <v>336</v>
      </c>
      <c r="G525" t="s">
        <v>339</v>
      </c>
      <c r="H525" t="s">
        <v>52</v>
      </c>
      <c r="I525" t="s">
        <v>233</v>
      </c>
      <c r="J525" s="28" t="s">
        <v>370</v>
      </c>
      <c r="K525" s="32"/>
      <c r="L525" s="32">
        <v>1</v>
      </c>
      <c r="M525" s="30">
        <v>45988</v>
      </c>
      <c r="N525" s="30">
        <v>46009</v>
      </c>
      <c r="O525" s="43" t="s">
        <v>545</v>
      </c>
      <c r="P525" s="55" t="s">
        <v>87</v>
      </c>
      <c r="R525" t="s">
        <v>1253</v>
      </c>
    </row>
    <row r="526" spans="1:18" ht="14.45">
      <c r="A526" s="106" t="b">
        <v>1</v>
      </c>
      <c r="B526" t="str" cm="1">
        <f t="array" ref="B526">_xlfn.SINGLE(_xlfn._xlws.FILTER(t_ServiceCatalogue[Onwer],t_ServiceCatalogue[Category]=t_fac25_requirements[[#This Row],[Category]],""))</f>
        <v>EU</v>
      </c>
      <c r="C526" t="s">
        <v>193</v>
      </c>
      <c r="D526" t="str">
        <f>_xlfn._xlws.FILTER(t_Contact[FA Name],t_Contact[FA]=t_fac25_requirements[[#This Row],[FA]],"")</f>
        <v>Guest Operations</v>
      </c>
      <c r="E526" s="43">
        <v>974</v>
      </c>
      <c r="F526" t="s">
        <v>336</v>
      </c>
      <c r="G526" t="s">
        <v>427</v>
      </c>
      <c r="H526" t="s">
        <v>22</v>
      </c>
      <c r="I526" t="s">
        <v>23</v>
      </c>
      <c r="J526" s="28" t="s">
        <v>370</v>
      </c>
      <c r="K526" s="32"/>
      <c r="L526" s="32">
        <v>1</v>
      </c>
      <c r="M526" s="30">
        <v>45964</v>
      </c>
      <c r="N526" s="30">
        <v>46011</v>
      </c>
      <c r="O526" s="43" t="s">
        <v>78</v>
      </c>
      <c r="P526" s="55" t="s">
        <v>87</v>
      </c>
      <c r="R526" t="s">
        <v>1254</v>
      </c>
    </row>
    <row r="527" spans="1:18" ht="14.45">
      <c r="A527" s="106" t="b">
        <v>0</v>
      </c>
      <c r="B527" t="str" cm="1">
        <f t="array" ref="B527">_xlfn.SINGLE(_xlfn._xlws.FILTER(t_ServiceCatalogue[Onwer],t_ServiceCatalogue[Category]=t_fac25_requirements[[#This Row],[Category]],""))</f>
        <v>AV</v>
      </c>
      <c r="C527" t="s">
        <v>193</v>
      </c>
      <c r="D527" t="str">
        <f>_xlfn._xlws.FILTER(t_Contact[FA Name],t_Contact[FA]=t_fac25_requirements[[#This Row],[FA]],"")</f>
        <v>Guest Operations</v>
      </c>
      <c r="E527" s="43">
        <v>974</v>
      </c>
      <c r="F527" t="s">
        <v>336</v>
      </c>
      <c r="G527" t="s">
        <v>339</v>
      </c>
      <c r="H527" t="s">
        <v>58</v>
      </c>
      <c r="I527" t="s">
        <v>59</v>
      </c>
      <c r="J527" s="28" t="s">
        <v>370</v>
      </c>
      <c r="K527" s="32"/>
      <c r="L527" s="32">
        <v>2</v>
      </c>
      <c r="M527" s="30">
        <v>45988</v>
      </c>
      <c r="N527" s="30">
        <v>46009</v>
      </c>
      <c r="O527" s="43" t="s">
        <v>60</v>
      </c>
      <c r="P527" s="55" t="s">
        <v>87</v>
      </c>
      <c r="Q527" t="s">
        <v>411</v>
      </c>
      <c r="R527" t="s">
        <v>1255</v>
      </c>
    </row>
    <row r="528" spans="1:18" ht="14.45">
      <c r="A528" s="106" t="b">
        <v>0</v>
      </c>
      <c r="B528" t="str" cm="1">
        <f t="array" ref="B528">_xlfn.SINGLE(_xlfn._xlws.FILTER(t_ServiceCatalogue[Onwer],t_ServiceCatalogue[Category]=t_fac25_requirements[[#This Row],[Category]],""))</f>
        <v>NW</v>
      </c>
      <c r="C528" t="s">
        <v>193</v>
      </c>
      <c r="D528" t="str">
        <f>_xlfn._xlws.FILTER(t_Contact[FA Name],t_Contact[FA]=t_fac25_requirements[[#This Row],[FA]],"")</f>
        <v>Guest Operations</v>
      </c>
      <c r="E528" s="43">
        <v>974</v>
      </c>
      <c r="F528" t="s">
        <v>336</v>
      </c>
      <c r="G528" t="s">
        <v>337</v>
      </c>
      <c r="H528" t="s">
        <v>52</v>
      </c>
      <c r="I528" t="s">
        <v>233</v>
      </c>
      <c r="J528" s="28" t="s">
        <v>370</v>
      </c>
      <c r="K528" s="32"/>
      <c r="L528" s="32">
        <v>1</v>
      </c>
      <c r="M528" s="30">
        <v>45988</v>
      </c>
      <c r="N528" s="30">
        <v>46009</v>
      </c>
      <c r="O528" s="43" t="s">
        <v>545</v>
      </c>
      <c r="P528" s="55" t="s">
        <v>87</v>
      </c>
      <c r="R528" t="s">
        <v>1256</v>
      </c>
    </row>
    <row r="529" spans="1:18" ht="14.45">
      <c r="A529" s="106" t="b">
        <v>0</v>
      </c>
      <c r="B529" t="str" cm="1">
        <f t="array" ref="B529">_xlfn.SINGLE(_xlfn._xlws.FILTER(t_ServiceCatalogue[Onwer],t_ServiceCatalogue[Category]=t_fac25_requirements[[#This Row],[Category]],""))</f>
        <v>NW</v>
      </c>
      <c r="C529" t="s">
        <v>193</v>
      </c>
      <c r="D529" t="str">
        <f>_xlfn._xlws.FILTER(t_Contact[FA Name],t_Contact[FA]=t_fac25_requirements[[#This Row],[FA]],"")</f>
        <v>Guest Operations</v>
      </c>
      <c r="E529" s="43">
        <v>974</v>
      </c>
      <c r="F529" t="s">
        <v>336</v>
      </c>
      <c r="G529" t="s">
        <v>339</v>
      </c>
      <c r="H529" t="s">
        <v>52</v>
      </c>
      <c r="I529" t="s">
        <v>233</v>
      </c>
      <c r="J529" s="28" t="s">
        <v>370</v>
      </c>
      <c r="K529" s="32"/>
      <c r="L529" s="32">
        <v>1</v>
      </c>
      <c r="M529" s="30">
        <v>45988</v>
      </c>
      <c r="N529" s="30">
        <v>46009</v>
      </c>
      <c r="O529" s="43" t="s">
        <v>545</v>
      </c>
      <c r="P529" s="55" t="s">
        <v>87</v>
      </c>
      <c r="R529" t="s">
        <v>1257</v>
      </c>
    </row>
    <row r="530" spans="1:18" ht="14.45">
      <c r="A530" s="106" t="b">
        <v>1</v>
      </c>
      <c r="B530" t="str" cm="1">
        <f t="array" ref="B530">_xlfn.SINGLE(_xlfn._xlws.FILTER(t_ServiceCatalogue[Onwer],t_ServiceCatalogue[Category]=t_fac25_requirements[[#This Row],[Category]],""))</f>
        <v>EU</v>
      </c>
      <c r="C530" t="s">
        <v>193</v>
      </c>
      <c r="D530" t="str">
        <f>_xlfn._xlws.FILTER(t_Contact[FA Name],t_Contact[FA]=t_fac25_requirements[[#This Row],[FA]],"")</f>
        <v>Guest Operations</v>
      </c>
      <c r="E530" t="s">
        <v>208</v>
      </c>
      <c r="F530" t="s">
        <v>336</v>
      </c>
      <c r="G530" t="s">
        <v>427</v>
      </c>
      <c r="H530" t="s">
        <v>22</v>
      </c>
      <c r="I530" t="s">
        <v>23</v>
      </c>
      <c r="J530" s="28" t="s">
        <v>370</v>
      </c>
      <c r="K530" s="32"/>
      <c r="L530" s="32">
        <v>1</v>
      </c>
      <c r="M530" s="30">
        <v>45964</v>
      </c>
      <c r="N530" s="30">
        <v>46011</v>
      </c>
      <c r="O530" s="43" t="s">
        <v>78</v>
      </c>
      <c r="P530" s="55" t="s">
        <v>87</v>
      </c>
      <c r="R530" t="s">
        <v>1258</v>
      </c>
    </row>
    <row r="531" spans="1:18" ht="14.45">
      <c r="A531" s="106" t="b">
        <v>1</v>
      </c>
      <c r="B531" t="str" cm="1">
        <f t="array" ref="B531">_xlfn.SINGLE(_xlfn._xlws.FILTER(t_ServiceCatalogue[Onwer],t_ServiceCatalogue[Category]=t_fac25_requirements[[#This Row],[Category]],""))</f>
        <v>AV</v>
      </c>
      <c r="C531" t="s">
        <v>193</v>
      </c>
      <c r="D531" t="str">
        <f>_xlfn._xlws.FILTER(t_Contact[FA Name],t_Contact[FA]=t_fac25_requirements[[#This Row],[FA]],"")</f>
        <v>Guest Operations</v>
      </c>
      <c r="E531" t="s">
        <v>208</v>
      </c>
      <c r="F531" t="s">
        <v>336</v>
      </c>
      <c r="G531" t="s">
        <v>339</v>
      </c>
      <c r="H531" t="s">
        <v>58</v>
      </c>
      <c r="I531" t="s">
        <v>59</v>
      </c>
      <c r="J531" s="28" t="s">
        <v>370</v>
      </c>
      <c r="K531" s="32"/>
      <c r="L531" s="32">
        <v>2</v>
      </c>
      <c r="M531" s="30">
        <v>45988</v>
      </c>
      <c r="N531" s="30">
        <v>46009</v>
      </c>
      <c r="O531" s="43" t="s">
        <v>60</v>
      </c>
      <c r="P531" s="55" t="s">
        <v>87</v>
      </c>
      <c r="Q531" t="s">
        <v>411</v>
      </c>
      <c r="R531" t="s">
        <v>1259</v>
      </c>
    </row>
    <row r="532" spans="1:18" ht="14.45">
      <c r="A532" s="106" t="b">
        <v>1</v>
      </c>
      <c r="B532" t="str" cm="1">
        <f t="array" ref="B532">_xlfn.SINGLE(_xlfn._xlws.FILTER(t_ServiceCatalogue[Onwer],t_ServiceCatalogue[Category]=t_fac25_requirements[[#This Row],[Category]],""))</f>
        <v>NW</v>
      </c>
      <c r="C532" t="s">
        <v>193</v>
      </c>
      <c r="D532" t="str">
        <f>_xlfn._xlws.FILTER(t_Contact[FA Name],t_Contact[FA]=t_fac25_requirements[[#This Row],[FA]],"")</f>
        <v>Guest Operations</v>
      </c>
      <c r="E532" t="s">
        <v>208</v>
      </c>
      <c r="F532" t="s">
        <v>336</v>
      </c>
      <c r="G532" t="s">
        <v>337</v>
      </c>
      <c r="H532" t="s">
        <v>52</v>
      </c>
      <c r="I532" t="s">
        <v>233</v>
      </c>
      <c r="J532" s="28" t="s">
        <v>370</v>
      </c>
      <c r="K532" s="32"/>
      <c r="L532" s="32">
        <v>1</v>
      </c>
      <c r="M532" s="30">
        <v>45988</v>
      </c>
      <c r="N532" s="30">
        <v>46009</v>
      </c>
      <c r="O532" s="43" t="s">
        <v>545</v>
      </c>
      <c r="P532" s="55" t="s">
        <v>87</v>
      </c>
      <c r="R532" t="s">
        <v>1260</v>
      </c>
    </row>
    <row r="533" spans="1:18" ht="14.45">
      <c r="A533" s="106" t="b">
        <v>1</v>
      </c>
      <c r="B533" t="str" cm="1">
        <f t="array" ref="B533">_xlfn.SINGLE(_xlfn._xlws.FILTER(t_ServiceCatalogue[Onwer],t_ServiceCatalogue[Category]=t_fac25_requirements[[#This Row],[Category]],""))</f>
        <v>NW</v>
      </c>
      <c r="C533" t="s">
        <v>193</v>
      </c>
      <c r="D533" t="str">
        <f>_xlfn._xlws.FILTER(t_Contact[FA Name],t_Contact[FA]=t_fac25_requirements[[#This Row],[FA]],"")</f>
        <v>Guest Operations</v>
      </c>
      <c r="E533" t="s">
        <v>208</v>
      </c>
      <c r="F533" t="s">
        <v>336</v>
      </c>
      <c r="G533" t="s">
        <v>339</v>
      </c>
      <c r="H533" t="s">
        <v>52</v>
      </c>
      <c r="I533" t="s">
        <v>233</v>
      </c>
      <c r="J533" s="28" t="s">
        <v>370</v>
      </c>
      <c r="K533" s="32"/>
      <c r="L533" s="32">
        <v>1</v>
      </c>
      <c r="M533" s="30">
        <v>45988</v>
      </c>
      <c r="N533" s="30">
        <v>46009</v>
      </c>
      <c r="O533" s="43" t="s">
        <v>545</v>
      </c>
      <c r="P533" s="55" t="s">
        <v>87</v>
      </c>
      <c r="R533" t="s">
        <v>1261</v>
      </c>
    </row>
    <row r="534" spans="1:18" ht="14.45">
      <c r="A534" s="106" t="b">
        <v>1</v>
      </c>
      <c r="B534" t="str" cm="1">
        <f t="array" ref="B534">_xlfn.SINGLE(_xlfn._xlws.FILTER(t_ServiceCatalogue[Onwer],t_ServiceCatalogue[Category]=t_fac25_requirements[[#This Row],[Category]],""))</f>
        <v>EU</v>
      </c>
      <c r="C534" t="s">
        <v>193</v>
      </c>
      <c r="D534" t="str">
        <f>_xlfn._xlws.FILTER(t_Contact[FA Name],t_Contact[FA]=t_fac25_requirements[[#This Row],[FA]],"")</f>
        <v>Guest Operations</v>
      </c>
      <c r="E534" t="s">
        <v>212</v>
      </c>
      <c r="F534" t="s">
        <v>336</v>
      </c>
      <c r="G534" t="s">
        <v>427</v>
      </c>
      <c r="H534" t="s">
        <v>22</v>
      </c>
      <c r="I534" t="s">
        <v>23</v>
      </c>
      <c r="J534" s="28" t="s">
        <v>370</v>
      </c>
      <c r="K534" s="32"/>
      <c r="L534" s="32">
        <v>1</v>
      </c>
      <c r="M534" s="30">
        <v>45964</v>
      </c>
      <c r="N534" s="30">
        <v>46011</v>
      </c>
      <c r="O534" s="43" t="s">
        <v>78</v>
      </c>
      <c r="P534" s="55" t="s">
        <v>87</v>
      </c>
      <c r="R534" t="s">
        <v>1262</v>
      </c>
    </row>
    <row r="535" spans="1:18" ht="14.45">
      <c r="A535" s="106" t="b">
        <v>0</v>
      </c>
      <c r="B535" t="str" cm="1">
        <f t="array" ref="B535">_xlfn.SINGLE(_xlfn._xlws.FILTER(t_ServiceCatalogue[Onwer],t_ServiceCatalogue[Category]=t_fac25_requirements[[#This Row],[Category]],""))</f>
        <v>AV</v>
      </c>
      <c r="C535" t="s">
        <v>193</v>
      </c>
      <c r="D535" t="str">
        <f>_xlfn._xlws.FILTER(t_Contact[FA Name],t_Contact[FA]=t_fac25_requirements[[#This Row],[FA]],"")</f>
        <v>Guest Operations</v>
      </c>
      <c r="E535" t="s">
        <v>212</v>
      </c>
      <c r="F535" t="s">
        <v>336</v>
      </c>
      <c r="G535" t="s">
        <v>339</v>
      </c>
      <c r="H535" t="s">
        <v>58</v>
      </c>
      <c r="I535" t="s">
        <v>59</v>
      </c>
      <c r="J535" s="28" t="s">
        <v>370</v>
      </c>
      <c r="K535" s="32"/>
      <c r="L535" s="32">
        <v>2</v>
      </c>
      <c r="M535" s="30">
        <v>45988</v>
      </c>
      <c r="N535" s="30">
        <v>46009</v>
      </c>
      <c r="O535" s="43" t="s">
        <v>60</v>
      </c>
      <c r="P535" s="55" t="s">
        <v>87</v>
      </c>
      <c r="Q535" t="s">
        <v>411</v>
      </c>
      <c r="R535" t="s">
        <v>1263</v>
      </c>
    </row>
    <row r="536" spans="1:18" ht="14.45">
      <c r="A536" s="106" t="b">
        <v>0</v>
      </c>
      <c r="B536" t="str" cm="1">
        <f t="array" ref="B536">_xlfn.SINGLE(_xlfn._xlws.FILTER(t_ServiceCatalogue[Onwer],t_ServiceCatalogue[Category]=t_fac25_requirements[[#This Row],[Category]],""))</f>
        <v>NW</v>
      </c>
      <c r="C536" t="s">
        <v>193</v>
      </c>
      <c r="D536" t="str">
        <f>_xlfn._xlws.FILTER(t_Contact[FA Name],t_Contact[FA]=t_fac25_requirements[[#This Row],[FA]],"")</f>
        <v>Guest Operations</v>
      </c>
      <c r="E536" t="s">
        <v>212</v>
      </c>
      <c r="F536" t="s">
        <v>336</v>
      </c>
      <c r="G536" t="s">
        <v>337</v>
      </c>
      <c r="H536" t="s">
        <v>52</v>
      </c>
      <c r="I536" t="s">
        <v>233</v>
      </c>
      <c r="J536" s="28" t="s">
        <v>370</v>
      </c>
      <c r="K536" s="32"/>
      <c r="L536" s="32">
        <v>1</v>
      </c>
      <c r="M536" s="30">
        <v>45988</v>
      </c>
      <c r="N536" s="30">
        <v>46009</v>
      </c>
      <c r="O536" s="43" t="s">
        <v>545</v>
      </c>
      <c r="P536" s="55" t="s">
        <v>87</v>
      </c>
      <c r="R536" t="s">
        <v>1264</v>
      </c>
    </row>
    <row r="537" spans="1:18" ht="14.45">
      <c r="A537" s="106" t="b">
        <v>0</v>
      </c>
      <c r="B537" t="str" cm="1">
        <f t="array" ref="B537">_xlfn.SINGLE(_xlfn._xlws.FILTER(t_ServiceCatalogue[Onwer],t_ServiceCatalogue[Category]=t_fac25_requirements[[#This Row],[Category]],""))</f>
        <v>NW</v>
      </c>
      <c r="C537" t="s">
        <v>193</v>
      </c>
      <c r="D537" t="str">
        <f>_xlfn._xlws.FILTER(t_Contact[FA Name],t_Contact[FA]=t_fac25_requirements[[#This Row],[FA]],"")</f>
        <v>Guest Operations</v>
      </c>
      <c r="E537" t="s">
        <v>212</v>
      </c>
      <c r="F537" t="s">
        <v>336</v>
      </c>
      <c r="G537" t="s">
        <v>339</v>
      </c>
      <c r="H537" t="s">
        <v>52</v>
      </c>
      <c r="I537" t="s">
        <v>233</v>
      </c>
      <c r="J537" s="28" t="s">
        <v>370</v>
      </c>
      <c r="K537" s="32"/>
      <c r="L537" s="32">
        <v>1</v>
      </c>
      <c r="M537" s="30">
        <v>45988</v>
      </c>
      <c r="N537" s="30">
        <v>46009</v>
      </c>
      <c r="O537" s="43" t="s">
        <v>545</v>
      </c>
      <c r="P537" s="55" t="s">
        <v>87</v>
      </c>
      <c r="R537" t="s">
        <v>1265</v>
      </c>
    </row>
    <row r="538" spans="1:18" ht="14.45">
      <c r="A538" s="106" t="b">
        <v>1</v>
      </c>
      <c r="B538" t="str" cm="1">
        <f t="array" ref="B538">_xlfn.SINGLE(_xlfn._xlws.FILTER(t_ServiceCatalogue[Onwer],t_ServiceCatalogue[Category]=t_fac25_requirements[[#This Row],[Category]],""))</f>
        <v>EU</v>
      </c>
      <c r="C538" t="s">
        <v>193</v>
      </c>
      <c r="D538" t="str">
        <f>_xlfn._xlws.FILTER(t_Contact[FA Name],t_Contact[FA]=t_fac25_requirements[[#This Row],[FA]],"")</f>
        <v>Guest Operations</v>
      </c>
      <c r="E538" t="s">
        <v>213</v>
      </c>
      <c r="F538" t="s">
        <v>336</v>
      </c>
      <c r="G538" t="s">
        <v>427</v>
      </c>
      <c r="H538" t="s">
        <v>22</v>
      </c>
      <c r="I538" t="s">
        <v>23</v>
      </c>
      <c r="J538" s="28" t="s">
        <v>370</v>
      </c>
      <c r="K538" s="32"/>
      <c r="L538" s="32">
        <v>1</v>
      </c>
      <c r="M538" s="30">
        <v>45964</v>
      </c>
      <c r="N538" s="30">
        <v>46011</v>
      </c>
      <c r="O538" s="43" t="s">
        <v>78</v>
      </c>
      <c r="P538" s="55" t="s">
        <v>87</v>
      </c>
      <c r="R538" t="s">
        <v>1266</v>
      </c>
    </row>
    <row r="539" spans="1:18" ht="14.45">
      <c r="A539" s="106" t="b">
        <v>0</v>
      </c>
      <c r="B539" t="str" cm="1">
        <f t="array" ref="B539">_xlfn.SINGLE(_xlfn._xlws.FILTER(t_ServiceCatalogue[Onwer],t_ServiceCatalogue[Category]=t_fac25_requirements[[#This Row],[Category]],""))</f>
        <v>AV</v>
      </c>
      <c r="C539" t="s">
        <v>193</v>
      </c>
      <c r="D539" t="str">
        <f>_xlfn._xlws.FILTER(t_Contact[FA Name],t_Contact[FA]=t_fac25_requirements[[#This Row],[FA]],"")</f>
        <v>Guest Operations</v>
      </c>
      <c r="E539" t="s">
        <v>213</v>
      </c>
      <c r="F539" t="s">
        <v>336</v>
      </c>
      <c r="G539" t="s">
        <v>339</v>
      </c>
      <c r="H539" t="s">
        <v>58</v>
      </c>
      <c r="I539" t="s">
        <v>59</v>
      </c>
      <c r="J539" s="28" t="s">
        <v>370</v>
      </c>
      <c r="K539" s="32"/>
      <c r="L539" s="32">
        <v>2</v>
      </c>
      <c r="M539" s="30">
        <v>45988</v>
      </c>
      <c r="N539" s="30">
        <v>46009</v>
      </c>
      <c r="O539" s="43" t="s">
        <v>60</v>
      </c>
      <c r="P539" s="55" t="s">
        <v>87</v>
      </c>
      <c r="Q539" t="s">
        <v>411</v>
      </c>
      <c r="R539" t="s">
        <v>1267</v>
      </c>
    </row>
    <row r="540" spans="1:18" ht="14.45">
      <c r="A540" s="106" t="b">
        <v>0</v>
      </c>
      <c r="B540" t="str" cm="1">
        <f t="array" ref="B540">_xlfn.SINGLE(_xlfn._xlws.FILTER(t_ServiceCatalogue[Onwer],t_ServiceCatalogue[Category]=t_fac25_requirements[[#This Row],[Category]],""))</f>
        <v>NW</v>
      </c>
      <c r="C540" t="s">
        <v>193</v>
      </c>
      <c r="D540" t="str">
        <f>_xlfn._xlws.FILTER(t_Contact[FA Name],t_Contact[FA]=t_fac25_requirements[[#This Row],[FA]],"")</f>
        <v>Guest Operations</v>
      </c>
      <c r="E540" t="s">
        <v>213</v>
      </c>
      <c r="F540" t="s">
        <v>336</v>
      </c>
      <c r="G540" t="s">
        <v>337</v>
      </c>
      <c r="H540" t="s">
        <v>52</v>
      </c>
      <c r="I540" t="s">
        <v>233</v>
      </c>
      <c r="J540" s="28" t="s">
        <v>370</v>
      </c>
      <c r="K540" s="32"/>
      <c r="L540" s="32">
        <v>1</v>
      </c>
      <c r="M540" s="30">
        <v>45988</v>
      </c>
      <c r="N540" s="30">
        <v>46009</v>
      </c>
      <c r="O540" s="43" t="s">
        <v>545</v>
      </c>
      <c r="P540" s="55" t="s">
        <v>87</v>
      </c>
      <c r="R540" t="s">
        <v>1268</v>
      </c>
    </row>
    <row r="541" spans="1:18" ht="14.45">
      <c r="A541" s="106" t="b">
        <v>0</v>
      </c>
      <c r="B541" t="str" cm="1">
        <f t="array" ref="B541">_xlfn.SINGLE(_xlfn._xlws.FILTER(t_ServiceCatalogue[Onwer],t_ServiceCatalogue[Category]=t_fac25_requirements[[#This Row],[Category]],""))</f>
        <v>NW</v>
      </c>
      <c r="C541" t="s">
        <v>193</v>
      </c>
      <c r="D541" t="str">
        <f>_xlfn._xlws.FILTER(t_Contact[FA Name],t_Contact[FA]=t_fac25_requirements[[#This Row],[FA]],"")</f>
        <v>Guest Operations</v>
      </c>
      <c r="E541" t="s">
        <v>213</v>
      </c>
      <c r="F541" t="s">
        <v>336</v>
      </c>
      <c r="G541" t="s">
        <v>339</v>
      </c>
      <c r="H541" t="s">
        <v>52</v>
      </c>
      <c r="I541" t="s">
        <v>233</v>
      </c>
      <c r="J541" s="28" t="s">
        <v>370</v>
      </c>
      <c r="K541" s="32"/>
      <c r="L541" s="32">
        <v>1</v>
      </c>
      <c r="M541" s="30">
        <v>45988</v>
      </c>
      <c r="N541" s="30">
        <v>46009</v>
      </c>
      <c r="O541" s="43" t="s">
        <v>545</v>
      </c>
      <c r="P541" s="55" t="s">
        <v>87</v>
      </c>
      <c r="R541" t="s">
        <v>1269</v>
      </c>
    </row>
    <row r="542" spans="1:18" ht="14.45">
      <c r="A542" s="106" t="b">
        <v>1</v>
      </c>
      <c r="B542" t="str" cm="1">
        <f t="array" ref="B542">_xlfn.SINGLE(_xlfn._xlws.FILTER(t_ServiceCatalogue[Onwer],t_ServiceCatalogue[Category]=t_fac25_requirements[[#This Row],[Category]],""))</f>
        <v>AV</v>
      </c>
      <c r="C542" t="s">
        <v>193</v>
      </c>
      <c r="D542" t="str">
        <f>_xlfn._xlws.FILTER(t_Contact[FA Name],t_Contact[FA]=t_fac25_requirements[[#This Row],[FA]],"")</f>
        <v>Guest Operations</v>
      </c>
      <c r="E542" t="s">
        <v>214</v>
      </c>
      <c r="F542" t="s">
        <v>336</v>
      </c>
      <c r="G542" t="s">
        <v>339</v>
      </c>
      <c r="H542" t="s">
        <v>58</v>
      </c>
      <c r="I542" t="s">
        <v>340</v>
      </c>
      <c r="J542" s="28" t="s">
        <v>370</v>
      </c>
      <c r="K542" s="32"/>
      <c r="L542" s="32">
        <v>10</v>
      </c>
      <c r="M542" s="30">
        <v>45988</v>
      </c>
      <c r="N542" s="30">
        <v>46009</v>
      </c>
      <c r="O542" s="43" t="s">
        <v>60</v>
      </c>
      <c r="P542" s="55"/>
      <c r="Q542" t="s">
        <v>1270</v>
      </c>
      <c r="R542" t="s">
        <v>1271</v>
      </c>
    </row>
    <row r="543" spans="1:18" ht="14.45">
      <c r="A543" s="106" t="b">
        <v>0</v>
      </c>
      <c r="B543" t="str" cm="1">
        <f t="array" ref="B543">_xlfn.SINGLE(_xlfn._xlws.FILTER(t_ServiceCatalogue[Onwer],t_ServiceCatalogue[Category]=t_fac25_requirements[[#This Row],[Category]],""))</f>
        <v>AV</v>
      </c>
      <c r="C543" t="s">
        <v>193</v>
      </c>
      <c r="D543" t="str">
        <f>_xlfn._xlws.FILTER(t_Contact[FA Name],t_Contact[FA]=t_fac25_requirements[[#This Row],[FA]],"")</f>
        <v>Guest Operations</v>
      </c>
      <c r="E543" t="s">
        <v>211</v>
      </c>
      <c r="F543" t="s">
        <v>336</v>
      </c>
      <c r="G543" t="s">
        <v>339</v>
      </c>
      <c r="H543" t="s">
        <v>58</v>
      </c>
      <c r="I543" t="s">
        <v>340</v>
      </c>
      <c r="J543" s="28" t="s">
        <v>370</v>
      </c>
      <c r="K543" s="32"/>
      <c r="L543" s="32">
        <v>10</v>
      </c>
      <c r="M543" s="30">
        <v>45988</v>
      </c>
      <c r="N543" s="30">
        <v>46009</v>
      </c>
      <c r="O543" s="43" t="s">
        <v>60</v>
      </c>
      <c r="P543" s="55"/>
      <c r="Q543" t="s">
        <v>1270</v>
      </c>
      <c r="R543" t="s">
        <v>1272</v>
      </c>
    </row>
    <row r="544" spans="1:18" ht="14.45">
      <c r="A544" s="106" t="b">
        <v>0</v>
      </c>
      <c r="B544" t="str" cm="1">
        <f t="array" ref="B544">_xlfn.SINGLE(_xlfn._xlws.FILTER(t_ServiceCatalogue[Onwer],t_ServiceCatalogue[Category]=t_fac25_requirements[[#This Row],[Category]],""))</f>
        <v>AV</v>
      </c>
      <c r="C544" t="s">
        <v>193</v>
      </c>
      <c r="D544" t="str">
        <f>_xlfn._xlws.FILTER(t_Contact[FA Name],t_Contact[FA]=t_fac25_requirements[[#This Row],[FA]],"")</f>
        <v>Guest Operations</v>
      </c>
      <c r="E544" s="43">
        <v>974</v>
      </c>
      <c r="F544" t="s">
        <v>336</v>
      </c>
      <c r="G544" t="s">
        <v>339</v>
      </c>
      <c r="H544" t="s">
        <v>58</v>
      </c>
      <c r="I544" t="s">
        <v>340</v>
      </c>
      <c r="J544" s="28" t="s">
        <v>370</v>
      </c>
      <c r="K544" s="32"/>
      <c r="L544" s="32">
        <v>10</v>
      </c>
      <c r="M544" s="30">
        <v>45988</v>
      </c>
      <c r="N544" s="30">
        <v>46009</v>
      </c>
      <c r="O544" s="43" t="s">
        <v>60</v>
      </c>
      <c r="P544" s="55"/>
      <c r="Q544" t="s">
        <v>1270</v>
      </c>
      <c r="R544" t="s">
        <v>1273</v>
      </c>
    </row>
    <row r="545" spans="1:18" ht="14.45">
      <c r="A545" s="106" t="b">
        <v>0</v>
      </c>
      <c r="B545" t="str" cm="1">
        <f t="array" ref="B545">_xlfn.SINGLE(_xlfn._xlws.FILTER(t_ServiceCatalogue[Onwer],t_ServiceCatalogue[Category]=t_fac25_requirements[[#This Row],[Category]],""))</f>
        <v>AV</v>
      </c>
      <c r="C545" t="s">
        <v>193</v>
      </c>
      <c r="D545" t="str">
        <f>_xlfn._xlws.FILTER(t_Contact[FA Name],t_Contact[FA]=t_fac25_requirements[[#This Row],[FA]],"")</f>
        <v>Guest Operations</v>
      </c>
      <c r="E545" t="s">
        <v>208</v>
      </c>
      <c r="F545" t="s">
        <v>336</v>
      </c>
      <c r="G545" t="s">
        <v>339</v>
      </c>
      <c r="H545" t="s">
        <v>58</v>
      </c>
      <c r="I545" t="s">
        <v>340</v>
      </c>
      <c r="J545" s="28" t="s">
        <v>370</v>
      </c>
      <c r="K545" s="32"/>
      <c r="L545" s="32">
        <v>10</v>
      </c>
      <c r="M545" s="30">
        <v>45988</v>
      </c>
      <c r="N545" s="30">
        <v>46009</v>
      </c>
      <c r="O545" s="43" t="s">
        <v>60</v>
      </c>
      <c r="P545" s="55"/>
      <c r="Q545" t="s">
        <v>1270</v>
      </c>
      <c r="R545" t="s">
        <v>1274</v>
      </c>
    </row>
    <row r="546" spans="1:18" ht="14.45">
      <c r="A546" s="106" t="b">
        <v>0</v>
      </c>
      <c r="B546" t="str" cm="1">
        <f t="array" ref="B546">_xlfn.SINGLE(_xlfn._xlws.FILTER(t_ServiceCatalogue[Onwer],t_ServiceCatalogue[Category]=t_fac25_requirements[[#This Row],[Category]],""))</f>
        <v>AV</v>
      </c>
      <c r="C546" t="s">
        <v>193</v>
      </c>
      <c r="D546" t="str">
        <f>_xlfn._xlws.FILTER(t_Contact[FA Name],t_Contact[FA]=t_fac25_requirements[[#This Row],[FA]],"")</f>
        <v>Guest Operations</v>
      </c>
      <c r="E546" t="s">
        <v>212</v>
      </c>
      <c r="F546" t="s">
        <v>336</v>
      </c>
      <c r="G546" t="s">
        <v>339</v>
      </c>
      <c r="H546" t="s">
        <v>58</v>
      </c>
      <c r="I546" t="s">
        <v>340</v>
      </c>
      <c r="J546" s="28" t="s">
        <v>370</v>
      </c>
      <c r="K546" s="32"/>
      <c r="L546" s="32">
        <v>10</v>
      </c>
      <c r="M546" s="30">
        <v>45988</v>
      </c>
      <c r="N546" s="30">
        <v>46009</v>
      </c>
      <c r="O546" s="43" t="s">
        <v>60</v>
      </c>
      <c r="P546" s="55"/>
      <c r="Q546" t="s">
        <v>1270</v>
      </c>
      <c r="R546" t="s">
        <v>1275</v>
      </c>
    </row>
    <row r="547" spans="1:18" ht="14.45">
      <c r="A547" s="106" t="b">
        <v>0</v>
      </c>
      <c r="B547" t="str" cm="1">
        <f t="array" ref="B547">_xlfn.SINGLE(_xlfn._xlws.FILTER(t_ServiceCatalogue[Onwer],t_ServiceCatalogue[Category]=t_fac25_requirements[[#This Row],[Category]],""))</f>
        <v>AV</v>
      </c>
      <c r="C547" t="s">
        <v>193</v>
      </c>
      <c r="D547" t="str">
        <f>_xlfn._xlws.FILTER(t_Contact[FA Name],t_Contact[FA]=t_fac25_requirements[[#This Row],[FA]],"")</f>
        <v>Guest Operations</v>
      </c>
      <c r="E547" t="s">
        <v>213</v>
      </c>
      <c r="F547" t="s">
        <v>336</v>
      </c>
      <c r="G547" t="s">
        <v>339</v>
      </c>
      <c r="H547" t="s">
        <v>58</v>
      </c>
      <c r="I547" t="s">
        <v>340</v>
      </c>
      <c r="J547" s="28" t="s">
        <v>370</v>
      </c>
      <c r="K547" s="32"/>
      <c r="L547" s="32">
        <v>10</v>
      </c>
      <c r="M547" s="30">
        <v>45988</v>
      </c>
      <c r="N547" s="30">
        <v>46009</v>
      </c>
      <c r="O547" s="43" t="s">
        <v>60</v>
      </c>
      <c r="P547" s="55"/>
      <c r="Q547" t="s">
        <v>1270</v>
      </c>
      <c r="R547" t="s">
        <v>1276</v>
      </c>
    </row>
    <row r="548" spans="1:18" ht="14.45">
      <c r="A548" s="106" t="b">
        <v>0</v>
      </c>
      <c r="B548" t="str" cm="1">
        <f t="array" ref="B548">_xlfn.SINGLE(_xlfn._xlws.FILTER(t_ServiceCatalogue[Onwer],t_ServiceCatalogue[Category]=t_fac25_requirements[[#This Row],[Category]],""))</f>
        <v>EU</v>
      </c>
      <c r="C548" t="s">
        <v>191</v>
      </c>
      <c r="D548" t="str">
        <f>_xlfn._xlws.FILTER(t_Contact[FA Name],t_Contact[FA]=t_fac25_requirements[[#This Row],[FA]],"")</f>
        <v>Competition</v>
      </c>
      <c r="E548" t="s">
        <v>211</v>
      </c>
      <c r="F548" t="s">
        <v>253</v>
      </c>
      <c r="G548" t="s">
        <v>254</v>
      </c>
      <c r="H548" t="s">
        <v>22</v>
      </c>
      <c r="I548" t="s">
        <v>23</v>
      </c>
      <c r="J548" s="28" t="s">
        <v>370</v>
      </c>
      <c r="K548" s="32"/>
      <c r="L548" s="32">
        <v>1</v>
      </c>
      <c r="M548" s="30">
        <v>45986</v>
      </c>
      <c r="N548" s="30">
        <v>46007</v>
      </c>
      <c r="O548" s="43" t="s">
        <v>24</v>
      </c>
      <c r="P548" s="55" t="s">
        <v>87</v>
      </c>
      <c r="Q548" t="s">
        <v>1277</v>
      </c>
      <c r="R548" t="s">
        <v>1278</v>
      </c>
    </row>
    <row r="549" spans="1:18" ht="14.45">
      <c r="A549" s="106" t="b">
        <v>0</v>
      </c>
      <c r="B549" t="str" cm="1">
        <f t="array" ref="B549">_xlfn.SINGLE(_xlfn._xlws.FILTER(t_ServiceCatalogue[Onwer],t_ServiceCatalogue[Category]=t_fac25_requirements[[#This Row],[Category]],""))</f>
        <v>AV</v>
      </c>
      <c r="C549" t="s">
        <v>191</v>
      </c>
      <c r="D549" t="str">
        <f>_xlfn._xlws.FILTER(t_Contact[FA Name],t_Contact[FA]=t_fac25_requirements[[#This Row],[FA]],"")</f>
        <v>Competition</v>
      </c>
      <c r="E549" t="s">
        <v>211</v>
      </c>
      <c r="F549" t="s">
        <v>253</v>
      </c>
      <c r="G549" t="s">
        <v>254</v>
      </c>
      <c r="H549" t="s">
        <v>58</v>
      </c>
      <c r="I549" t="s">
        <v>59</v>
      </c>
      <c r="J549" s="28" t="s">
        <v>370</v>
      </c>
      <c r="K549" s="32"/>
      <c r="L549" s="32">
        <v>1</v>
      </c>
      <c r="M549" s="30">
        <v>45986</v>
      </c>
      <c r="N549" s="30">
        <v>46007</v>
      </c>
      <c r="O549" s="43" t="s">
        <v>60</v>
      </c>
      <c r="P549" s="55" t="s">
        <v>87</v>
      </c>
      <c r="R549" t="s">
        <v>383</v>
      </c>
    </row>
    <row r="550" spans="1:18" ht="14.45">
      <c r="A550" s="106" t="b">
        <v>1</v>
      </c>
      <c r="B550" t="str" cm="1">
        <f t="array" ref="B550">_xlfn.SINGLE(_xlfn._xlws.FILTER(t_ServiceCatalogue[Onwer],t_ServiceCatalogue[Category]=t_fac25_requirements[[#This Row],[Category]],""))</f>
        <v>EU</v>
      </c>
      <c r="C550" t="s">
        <v>191</v>
      </c>
      <c r="D550" t="str">
        <f>_xlfn._xlws.FILTER(t_Contact[FA Name],t_Contact[FA]=t_fac25_requirements[[#This Row],[FA]],"")</f>
        <v>Competition</v>
      </c>
      <c r="E550" t="s">
        <v>214</v>
      </c>
      <c r="F550" t="s">
        <v>253</v>
      </c>
      <c r="G550" t="s">
        <v>254</v>
      </c>
      <c r="H550" t="s">
        <v>22</v>
      </c>
      <c r="I550" t="s">
        <v>23</v>
      </c>
      <c r="J550" s="28" t="s">
        <v>370</v>
      </c>
      <c r="K550" s="32"/>
      <c r="L550" s="32">
        <v>1</v>
      </c>
      <c r="M550" s="30">
        <v>45986</v>
      </c>
      <c r="N550" s="30">
        <v>46010</v>
      </c>
      <c r="O550" s="43" t="s">
        <v>24</v>
      </c>
      <c r="P550" s="55" t="s">
        <v>87</v>
      </c>
      <c r="Q550" t="s">
        <v>1277</v>
      </c>
      <c r="R550" t="s">
        <v>1279</v>
      </c>
    </row>
    <row r="551" spans="1:18" ht="14.45">
      <c r="A551" s="106" t="b">
        <v>1</v>
      </c>
      <c r="B551" t="str" cm="1">
        <f t="array" ref="B551">_xlfn.SINGLE(_xlfn._xlws.FILTER(t_ServiceCatalogue[Onwer],t_ServiceCatalogue[Category]=t_fac25_requirements[[#This Row],[Category]],""))</f>
        <v>AV</v>
      </c>
      <c r="C551" t="s">
        <v>191</v>
      </c>
      <c r="D551" t="str">
        <f>_xlfn._xlws.FILTER(t_Contact[FA Name],t_Contact[FA]=t_fac25_requirements[[#This Row],[FA]],"")</f>
        <v>Competition</v>
      </c>
      <c r="E551" t="s">
        <v>214</v>
      </c>
      <c r="F551" t="s">
        <v>253</v>
      </c>
      <c r="G551" t="s">
        <v>254</v>
      </c>
      <c r="H551" t="s">
        <v>58</v>
      </c>
      <c r="I551" t="s">
        <v>59</v>
      </c>
      <c r="J551" s="28" t="s">
        <v>370</v>
      </c>
      <c r="K551" s="32"/>
      <c r="L551" s="32">
        <v>1</v>
      </c>
      <c r="M551" s="30">
        <v>45986</v>
      </c>
      <c r="N551" s="30">
        <v>46010</v>
      </c>
      <c r="O551" s="43" t="s">
        <v>60</v>
      </c>
      <c r="P551" s="55" t="s">
        <v>87</v>
      </c>
      <c r="R551" t="s">
        <v>1280</v>
      </c>
    </row>
    <row r="552" spans="1:18" ht="14.45">
      <c r="A552" s="106" t="b">
        <v>1</v>
      </c>
      <c r="B552" t="str" cm="1">
        <f t="array" ref="B552">_xlfn.SINGLE(_xlfn._xlws.FILTER(t_ServiceCatalogue[Onwer],t_ServiceCatalogue[Category]=t_fac25_requirements[[#This Row],[Category]],""))</f>
        <v>EU</v>
      </c>
      <c r="C552" t="s">
        <v>191</v>
      </c>
      <c r="D552" t="str">
        <f>_xlfn._xlws.FILTER(t_Contact[FA Name],t_Contact[FA]=t_fac25_requirements[[#This Row],[FA]],"")</f>
        <v>Competition</v>
      </c>
      <c r="E552" s="43">
        <v>974</v>
      </c>
      <c r="F552" t="s">
        <v>253</v>
      </c>
      <c r="G552" t="s">
        <v>254</v>
      </c>
      <c r="H552" t="s">
        <v>22</v>
      </c>
      <c r="I552" t="s">
        <v>23</v>
      </c>
      <c r="J552" s="28" t="s">
        <v>370</v>
      </c>
      <c r="K552" s="32"/>
      <c r="L552" s="32">
        <v>1</v>
      </c>
      <c r="M552" s="30">
        <v>45986</v>
      </c>
      <c r="N552" s="30">
        <v>46002</v>
      </c>
      <c r="O552" s="43" t="s">
        <v>24</v>
      </c>
      <c r="P552" s="55" t="s">
        <v>87</v>
      </c>
      <c r="Q552" t="s">
        <v>1277</v>
      </c>
      <c r="R552" t="s">
        <v>1281</v>
      </c>
    </row>
    <row r="553" spans="1:18" ht="14.45">
      <c r="A553" s="106" t="b">
        <v>0</v>
      </c>
      <c r="B553" t="str" cm="1">
        <f t="array" ref="B553">_xlfn.SINGLE(_xlfn._xlws.FILTER(t_ServiceCatalogue[Onwer],t_ServiceCatalogue[Category]=t_fac25_requirements[[#This Row],[Category]],""))</f>
        <v>AV</v>
      </c>
      <c r="C553" t="s">
        <v>191</v>
      </c>
      <c r="D553" t="str">
        <f>_xlfn._xlws.FILTER(t_Contact[FA Name],t_Contact[FA]=t_fac25_requirements[[#This Row],[FA]],"")</f>
        <v>Competition</v>
      </c>
      <c r="E553" s="43">
        <v>974</v>
      </c>
      <c r="F553" t="s">
        <v>253</v>
      </c>
      <c r="G553" t="s">
        <v>254</v>
      </c>
      <c r="H553" t="s">
        <v>58</v>
      </c>
      <c r="I553" t="s">
        <v>59</v>
      </c>
      <c r="J553" s="28" t="s">
        <v>370</v>
      </c>
      <c r="K553" s="32"/>
      <c r="L553" s="32">
        <v>1</v>
      </c>
      <c r="M553" s="30">
        <v>45986</v>
      </c>
      <c r="N553" s="30">
        <v>46002</v>
      </c>
      <c r="O553" s="43" t="s">
        <v>60</v>
      </c>
      <c r="P553" s="55" t="s">
        <v>87</v>
      </c>
      <c r="R553" t="s">
        <v>1282</v>
      </c>
    </row>
    <row r="554" spans="1:18" ht="14.45">
      <c r="A554" s="106" t="b">
        <v>1</v>
      </c>
      <c r="B554" t="str" cm="1">
        <f t="array" ref="B554">_xlfn.SINGLE(_xlfn._xlws.FILTER(t_ServiceCatalogue[Onwer],t_ServiceCatalogue[Category]=t_fac25_requirements[[#This Row],[Category]],""))</f>
        <v>EU</v>
      </c>
      <c r="C554" t="s">
        <v>191</v>
      </c>
      <c r="D554" t="str">
        <f>_xlfn._xlws.FILTER(t_Contact[FA Name],t_Contact[FA]=t_fac25_requirements[[#This Row],[FA]],"")</f>
        <v>Competition</v>
      </c>
      <c r="E554" t="s">
        <v>212</v>
      </c>
      <c r="F554" t="s">
        <v>253</v>
      </c>
      <c r="G554" t="s">
        <v>254</v>
      </c>
      <c r="H554" t="s">
        <v>22</v>
      </c>
      <c r="I554" t="s">
        <v>23</v>
      </c>
      <c r="J554" s="28" t="s">
        <v>370</v>
      </c>
      <c r="K554" s="32"/>
      <c r="L554" s="32">
        <v>1</v>
      </c>
      <c r="M554" s="30">
        <v>45986</v>
      </c>
      <c r="N554" s="30">
        <v>46004</v>
      </c>
      <c r="O554" s="43" t="s">
        <v>24</v>
      </c>
      <c r="P554" s="55" t="s">
        <v>87</v>
      </c>
      <c r="Q554" t="s">
        <v>1277</v>
      </c>
      <c r="R554" t="s">
        <v>1283</v>
      </c>
    </row>
    <row r="555" spans="1:18" ht="14.45">
      <c r="A555" s="106" t="b">
        <v>0</v>
      </c>
      <c r="B555" t="str" cm="1">
        <f t="array" ref="B555">_xlfn.SINGLE(_xlfn._xlws.FILTER(t_ServiceCatalogue[Onwer],t_ServiceCatalogue[Category]=t_fac25_requirements[[#This Row],[Category]],""))</f>
        <v>AV</v>
      </c>
      <c r="C555" t="s">
        <v>191</v>
      </c>
      <c r="D555" t="str">
        <f>_xlfn._xlws.FILTER(t_Contact[FA Name],t_Contact[FA]=t_fac25_requirements[[#This Row],[FA]],"")</f>
        <v>Competition</v>
      </c>
      <c r="E555" t="s">
        <v>212</v>
      </c>
      <c r="F555" t="s">
        <v>253</v>
      </c>
      <c r="G555" t="s">
        <v>254</v>
      </c>
      <c r="H555" t="s">
        <v>58</v>
      </c>
      <c r="I555" t="s">
        <v>59</v>
      </c>
      <c r="J555" s="28" t="s">
        <v>370</v>
      </c>
      <c r="K555" s="32"/>
      <c r="L555" s="32">
        <v>1</v>
      </c>
      <c r="M555" s="30">
        <v>45986</v>
      </c>
      <c r="N555" s="30">
        <v>46004</v>
      </c>
      <c r="O555" s="43" t="s">
        <v>60</v>
      </c>
      <c r="P555" s="55" t="s">
        <v>87</v>
      </c>
      <c r="R555" t="s">
        <v>1284</v>
      </c>
    </row>
    <row r="556" spans="1:18" ht="14.45">
      <c r="A556" s="106" t="b">
        <v>1</v>
      </c>
      <c r="B556" t="str" cm="1">
        <f t="array" ref="B556">_xlfn.SINGLE(_xlfn._xlws.FILTER(t_ServiceCatalogue[Onwer],t_ServiceCatalogue[Category]=t_fac25_requirements[[#This Row],[Category]],""))</f>
        <v>EU</v>
      </c>
      <c r="C556" t="s">
        <v>191</v>
      </c>
      <c r="D556" t="str">
        <f>_xlfn._xlws.FILTER(t_Contact[FA Name],t_Contact[FA]=t_fac25_requirements[[#This Row],[FA]],"")</f>
        <v>Competition</v>
      </c>
      <c r="E556" t="s">
        <v>213</v>
      </c>
      <c r="F556" t="s">
        <v>253</v>
      </c>
      <c r="G556" t="s">
        <v>254</v>
      </c>
      <c r="H556" t="s">
        <v>22</v>
      </c>
      <c r="I556" t="s">
        <v>23</v>
      </c>
      <c r="J556" s="28" t="s">
        <v>370</v>
      </c>
      <c r="K556" s="32"/>
      <c r="L556" s="32">
        <v>1</v>
      </c>
      <c r="M556" s="30">
        <v>45986</v>
      </c>
      <c r="N556" s="30">
        <v>46003</v>
      </c>
      <c r="O556" s="43" t="s">
        <v>24</v>
      </c>
      <c r="P556" s="55" t="s">
        <v>87</v>
      </c>
      <c r="Q556" t="s">
        <v>1277</v>
      </c>
      <c r="R556" t="s">
        <v>1285</v>
      </c>
    </row>
    <row r="557" spans="1:18" ht="14.45">
      <c r="A557" s="106" t="b">
        <v>0</v>
      </c>
      <c r="B557" t="str" cm="1">
        <f t="array" ref="B557">_xlfn.SINGLE(_xlfn._xlws.FILTER(t_ServiceCatalogue[Onwer],t_ServiceCatalogue[Category]=t_fac25_requirements[[#This Row],[Category]],""))</f>
        <v>AV</v>
      </c>
      <c r="C557" t="s">
        <v>191</v>
      </c>
      <c r="D557" t="str">
        <f>_xlfn._xlws.FILTER(t_Contact[FA Name],t_Contact[FA]=t_fac25_requirements[[#This Row],[FA]],"")</f>
        <v>Competition</v>
      </c>
      <c r="E557" t="s">
        <v>213</v>
      </c>
      <c r="F557" t="s">
        <v>253</v>
      </c>
      <c r="G557" t="s">
        <v>254</v>
      </c>
      <c r="H557" t="s">
        <v>58</v>
      </c>
      <c r="I557" t="s">
        <v>59</v>
      </c>
      <c r="J557" s="28" t="s">
        <v>370</v>
      </c>
      <c r="K557" s="32"/>
      <c r="L557" s="32">
        <v>1</v>
      </c>
      <c r="M557" s="30">
        <v>45986</v>
      </c>
      <c r="N557" s="30">
        <v>46003</v>
      </c>
      <c r="O557" s="43" t="s">
        <v>60</v>
      </c>
      <c r="P557" s="55" t="s">
        <v>87</v>
      </c>
      <c r="R557" t="s">
        <v>1286</v>
      </c>
    </row>
    <row r="558" spans="1:18" ht="14.45">
      <c r="A558" s="106" t="b">
        <v>1</v>
      </c>
      <c r="B558" t="str" cm="1">
        <f t="array" ref="B558">_xlfn.SINGLE(_xlfn._xlws.FILTER(t_ServiceCatalogue[Onwer],t_ServiceCatalogue[Category]=t_fac25_requirements[[#This Row],[Category]],""))</f>
        <v>EU</v>
      </c>
      <c r="C558" t="s">
        <v>191</v>
      </c>
      <c r="D558" t="str">
        <f>_xlfn._xlws.FILTER(t_Contact[FA Name],t_Contact[FA]=t_fac25_requirements[[#This Row],[FA]],"")</f>
        <v>Competition</v>
      </c>
      <c r="E558" t="s">
        <v>208</v>
      </c>
      <c r="F558" t="s">
        <v>253</v>
      </c>
      <c r="G558" t="s">
        <v>254</v>
      </c>
      <c r="H558" t="s">
        <v>22</v>
      </c>
      <c r="I558" t="s">
        <v>23</v>
      </c>
      <c r="J558" s="28" t="s">
        <v>370</v>
      </c>
      <c r="K558" s="32"/>
      <c r="L558" s="32">
        <v>1</v>
      </c>
      <c r="M558" s="30">
        <v>45986</v>
      </c>
      <c r="N558" s="30">
        <v>46009</v>
      </c>
      <c r="O558" s="43" t="s">
        <v>24</v>
      </c>
      <c r="P558" s="55" t="s">
        <v>87</v>
      </c>
      <c r="Q558" t="s">
        <v>1277</v>
      </c>
      <c r="R558" t="s">
        <v>1287</v>
      </c>
    </row>
    <row r="559" spans="1:18" ht="14.45">
      <c r="A559" s="106" t="b">
        <v>0</v>
      </c>
      <c r="B559" t="str" cm="1">
        <f t="array" ref="B559">_xlfn.SINGLE(_xlfn._xlws.FILTER(t_ServiceCatalogue[Onwer],t_ServiceCatalogue[Category]=t_fac25_requirements[[#This Row],[Category]],""))</f>
        <v>AV</v>
      </c>
      <c r="C559" t="s">
        <v>191</v>
      </c>
      <c r="D559" t="str">
        <f>_xlfn._xlws.FILTER(t_Contact[FA Name],t_Contact[FA]=t_fac25_requirements[[#This Row],[FA]],"")</f>
        <v>Competition</v>
      </c>
      <c r="E559" t="s">
        <v>208</v>
      </c>
      <c r="F559" t="s">
        <v>253</v>
      </c>
      <c r="G559" t="s">
        <v>254</v>
      </c>
      <c r="H559" t="s">
        <v>58</v>
      </c>
      <c r="I559" t="s">
        <v>59</v>
      </c>
      <c r="J559" s="28" t="s">
        <v>370</v>
      </c>
      <c r="K559" s="32"/>
      <c r="L559" s="32">
        <v>1</v>
      </c>
      <c r="M559" s="30">
        <v>45986</v>
      </c>
      <c r="N559" s="30">
        <v>46009</v>
      </c>
      <c r="O559" s="43" t="s">
        <v>60</v>
      </c>
      <c r="P559" s="55" t="s">
        <v>87</v>
      </c>
      <c r="R559" t="s">
        <v>1288</v>
      </c>
    </row>
    <row r="560" spans="1:18" ht="14.45">
      <c r="A560" s="106" t="b">
        <v>0</v>
      </c>
      <c r="B560" t="str" cm="1">
        <f t="array" ref="B560">_xlfn.SINGLE(_xlfn._xlws.FILTER(t_ServiceCatalogue[Onwer],t_ServiceCatalogue[Category]=t_fac25_requirements[[#This Row],[Category]],""))</f>
        <v>AV</v>
      </c>
      <c r="C560" t="s">
        <v>191</v>
      </c>
      <c r="D560" t="str">
        <f>_xlfn._xlws.FILTER(t_Contact[FA Name],t_Contact[FA]=t_fac25_requirements[[#This Row],[FA]],"")</f>
        <v>Competition</v>
      </c>
      <c r="E560" t="s">
        <v>211</v>
      </c>
      <c r="F560" t="s">
        <v>253</v>
      </c>
      <c r="G560" t="s">
        <v>257</v>
      </c>
      <c r="H560" t="s">
        <v>110</v>
      </c>
      <c r="I560" t="s">
        <v>111</v>
      </c>
      <c r="J560" s="28" t="s">
        <v>370</v>
      </c>
      <c r="K560" s="32"/>
      <c r="L560" s="32">
        <v>1</v>
      </c>
      <c r="M560" s="30">
        <v>45986</v>
      </c>
      <c r="N560" s="30">
        <v>46007</v>
      </c>
      <c r="O560" s="43"/>
      <c r="P560" s="55" t="s">
        <v>1289</v>
      </c>
      <c r="R560" t="s">
        <v>1290</v>
      </c>
    </row>
    <row r="561" spans="1:18" ht="14.45">
      <c r="A561" s="106" t="b">
        <v>1</v>
      </c>
      <c r="B561" t="str" cm="1">
        <f t="array" ref="B561">_xlfn.SINGLE(_xlfn._xlws.FILTER(t_ServiceCatalogue[Onwer],t_ServiceCatalogue[Category]=t_fac25_requirements[[#This Row],[Category]],""))</f>
        <v>AV</v>
      </c>
      <c r="C561" t="s">
        <v>191</v>
      </c>
      <c r="D561" t="str">
        <f>_xlfn._xlws.FILTER(t_Contact[FA Name],t_Contact[FA]=t_fac25_requirements[[#This Row],[FA]],"")</f>
        <v>Competition</v>
      </c>
      <c r="E561" t="s">
        <v>214</v>
      </c>
      <c r="F561" t="s">
        <v>253</v>
      </c>
      <c r="G561" t="s">
        <v>257</v>
      </c>
      <c r="H561" t="s">
        <v>110</v>
      </c>
      <c r="I561" t="s">
        <v>111</v>
      </c>
      <c r="J561" s="28" t="s">
        <v>370</v>
      </c>
      <c r="K561" s="32"/>
      <c r="L561" s="32">
        <v>1</v>
      </c>
      <c r="M561" s="30">
        <v>45986</v>
      </c>
      <c r="N561" s="30">
        <v>46010</v>
      </c>
      <c r="O561" s="43"/>
      <c r="P561" s="55" t="s">
        <v>1289</v>
      </c>
      <c r="R561" t="s">
        <v>1291</v>
      </c>
    </row>
    <row r="562" spans="1:18" ht="14.45">
      <c r="A562" s="106" t="b">
        <v>0</v>
      </c>
      <c r="B562" t="str" cm="1">
        <f t="array" ref="B562">_xlfn.SINGLE(_xlfn._xlws.FILTER(t_ServiceCatalogue[Onwer],t_ServiceCatalogue[Category]=t_fac25_requirements[[#This Row],[Category]],""))</f>
        <v>AV</v>
      </c>
      <c r="C562" t="s">
        <v>191</v>
      </c>
      <c r="D562" t="str">
        <f>_xlfn._xlws.FILTER(t_Contact[FA Name],t_Contact[FA]=t_fac25_requirements[[#This Row],[FA]],"")</f>
        <v>Competition</v>
      </c>
      <c r="E562" s="43">
        <v>974</v>
      </c>
      <c r="F562" t="s">
        <v>253</v>
      </c>
      <c r="G562" t="s">
        <v>257</v>
      </c>
      <c r="H562" t="s">
        <v>110</v>
      </c>
      <c r="I562" t="s">
        <v>111</v>
      </c>
      <c r="J562" s="28" t="s">
        <v>370</v>
      </c>
      <c r="K562" s="32"/>
      <c r="L562" s="32">
        <v>1</v>
      </c>
      <c r="M562" s="30">
        <v>45986</v>
      </c>
      <c r="N562" s="30">
        <v>46002</v>
      </c>
      <c r="O562" s="43"/>
      <c r="P562" s="55" t="s">
        <v>1289</v>
      </c>
      <c r="R562" t="s">
        <v>1292</v>
      </c>
    </row>
    <row r="563" spans="1:18" ht="14.45">
      <c r="A563" s="106" t="b">
        <v>0</v>
      </c>
      <c r="B563" t="str" cm="1">
        <f t="array" ref="B563">_xlfn.SINGLE(_xlfn._xlws.FILTER(t_ServiceCatalogue[Onwer],t_ServiceCatalogue[Category]=t_fac25_requirements[[#This Row],[Category]],""))</f>
        <v>AV</v>
      </c>
      <c r="C563" t="s">
        <v>191</v>
      </c>
      <c r="D563" t="str">
        <f>_xlfn._xlws.FILTER(t_Contact[FA Name],t_Contact[FA]=t_fac25_requirements[[#This Row],[FA]],"")</f>
        <v>Competition</v>
      </c>
      <c r="E563" t="s">
        <v>213</v>
      </c>
      <c r="F563" t="s">
        <v>253</v>
      </c>
      <c r="G563" t="s">
        <v>257</v>
      </c>
      <c r="H563" t="s">
        <v>110</v>
      </c>
      <c r="I563" t="s">
        <v>111</v>
      </c>
      <c r="J563" s="28" t="s">
        <v>370</v>
      </c>
      <c r="K563" s="32"/>
      <c r="L563" s="32">
        <v>1</v>
      </c>
      <c r="M563" s="30">
        <v>45986</v>
      </c>
      <c r="N563" s="30">
        <v>46003</v>
      </c>
      <c r="O563" s="43"/>
      <c r="P563" s="55" t="s">
        <v>1289</v>
      </c>
      <c r="R563" t="s">
        <v>1293</v>
      </c>
    </row>
    <row r="564" spans="1:18" ht="14.45">
      <c r="A564" s="106" t="b">
        <v>0</v>
      </c>
      <c r="B564" t="str" cm="1">
        <f t="array" ref="B564">_xlfn.SINGLE(_xlfn._xlws.FILTER(t_ServiceCatalogue[Onwer],t_ServiceCatalogue[Category]=t_fac25_requirements[[#This Row],[Category]],""))</f>
        <v>AV</v>
      </c>
      <c r="C564" t="s">
        <v>191</v>
      </c>
      <c r="D564" t="str">
        <f>_xlfn._xlws.FILTER(t_Contact[FA Name],t_Contact[FA]=t_fac25_requirements[[#This Row],[FA]],"")</f>
        <v>Competition</v>
      </c>
      <c r="E564" t="s">
        <v>208</v>
      </c>
      <c r="F564" t="s">
        <v>253</v>
      </c>
      <c r="G564" t="s">
        <v>257</v>
      </c>
      <c r="H564" t="s">
        <v>110</v>
      </c>
      <c r="I564" t="s">
        <v>111</v>
      </c>
      <c r="J564" s="28" t="s">
        <v>370</v>
      </c>
      <c r="K564" s="32"/>
      <c r="L564" s="32">
        <v>1</v>
      </c>
      <c r="M564" s="30">
        <v>45986</v>
      </c>
      <c r="N564" s="30">
        <v>46009</v>
      </c>
      <c r="O564" s="43"/>
      <c r="P564" s="55" t="s">
        <v>1289</v>
      </c>
      <c r="R564" t="s">
        <v>1294</v>
      </c>
    </row>
    <row r="565" spans="1:18" ht="14.45">
      <c r="A565" s="106" t="b">
        <v>0</v>
      </c>
      <c r="B565" t="str" cm="1">
        <f t="array" ref="B565">_xlfn.SINGLE(_xlfn._xlws.FILTER(t_ServiceCatalogue[Onwer],t_ServiceCatalogue[Category]=t_fac25_requirements[[#This Row],[Category]],""))</f>
        <v>AV</v>
      </c>
      <c r="C565" t="s">
        <v>191</v>
      </c>
      <c r="D565" t="str">
        <f>_xlfn._xlws.FILTER(t_Contact[FA Name],t_Contact[FA]=t_fac25_requirements[[#This Row],[FA]],"")</f>
        <v>Competition</v>
      </c>
      <c r="E565" t="s">
        <v>212</v>
      </c>
      <c r="F565" t="s">
        <v>253</v>
      </c>
      <c r="G565" t="s">
        <v>257</v>
      </c>
      <c r="H565" t="s">
        <v>110</v>
      </c>
      <c r="I565" t="s">
        <v>111</v>
      </c>
      <c r="J565" s="28" t="s">
        <v>370</v>
      </c>
      <c r="K565" s="32"/>
      <c r="L565" s="32">
        <v>1</v>
      </c>
      <c r="M565" s="30">
        <v>45982</v>
      </c>
      <c r="N565" s="30">
        <v>46004</v>
      </c>
      <c r="O565" s="43"/>
      <c r="P565" s="55" t="s">
        <v>1289</v>
      </c>
      <c r="R565" t="s">
        <v>1295</v>
      </c>
    </row>
    <row r="566" spans="1:18" ht="14.45">
      <c r="A566" s="106" t="b">
        <v>1</v>
      </c>
      <c r="B566" t="str" cm="1">
        <f t="array" ref="B566">_xlfn.SINGLE(_xlfn._xlws.FILTER(t_ServiceCatalogue[Onwer],t_ServiceCatalogue[Category]=t_fac25_requirements[[#This Row],[Category]],""))</f>
        <v>NW</v>
      </c>
      <c r="C566" t="s">
        <v>191</v>
      </c>
      <c r="D566" t="str">
        <f>_xlfn._xlws.FILTER(t_Contact[FA Name],t_Contact[FA]=t_fac25_requirements[[#This Row],[FA]],"")</f>
        <v>Competition</v>
      </c>
      <c r="E566" t="s">
        <v>211</v>
      </c>
      <c r="F566" t="s">
        <v>278</v>
      </c>
      <c r="G566" t="s">
        <v>429</v>
      </c>
      <c r="H566" t="s">
        <v>46</v>
      </c>
      <c r="I566" t="s">
        <v>47</v>
      </c>
      <c r="J566" s="28" t="s">
        <v>637</v>
      </c>
      <c r="K566" s="32">
        <v>6</v>
      </c>
      <c r="L566" s="32">
        <v>0</v>
      </c>
      <c r="M566" s="30">
        <v>45986</v>
      </c>
      <c r="N566" s="30">
        <v>46009</v>
      </c>
      <c r="O566" s="43" t="s">
        <v>149</v>
      </c>
      <c r="P566" s="55" t="s">
        <v>1296</v>
      </c>
      <c r="Q566" t="s">
        <v>576</v>
      </c>
      <c r="R566" t="s">
        <v>1297</v>
      </c>
    </row>
    <row r="567" spans="1:18" ht="14.45">
      <c r="A567" s="106" t="b">
        <v>1</v>
      </c>
      <c r="B567" t="str" cm="1">
        <f t="array" ref="B567">_xlfn.SINGLE(_xlfn._xlws.FILTER(t_ServiceCatalogue[Onwer],t_ServiceCatalogue[Category]=t_fac25_requirements[[#This Row],[Category]],""))</f>
        <v>NW</v>
      </c>
      <c r="C567" t="s">
        <v>191</v>
      </c>
      <c r="D567" t="str">
        <f>_xlfn._xlws.FILTER(t_Contact[FA Name],t_Contact[FA]=t_fac25_requirements[[#This Row],[FA]],"")</f>
        <v>Competition</v>
      </c>
      <c r="E567" t="s">
        <v>214</v>
      </c>
      <c r="F567" t="s">
        <v>278</v>
      </c>
      <c r="G567" t="s">
        <v>429</v>
      </c>
      <c r="H567" t="s">
        <v>46</v>
      </c>
      <c r="I567" t="s">
        <v>47</v>
      </c>
      <c r="J567" s="28" t="s">
        <v>637</v>
      </c>
      <c r="K567" s="32">
        <v>6</v>
      </c>
      <c r="L567" s="32">
        <v>0</v>
      </c>
      <c r="M567" s="30">
        <v>45986</v>
      </c>
      <c r="N567" s="30">
        <v>46010</v>
      </c>
      <c r="O567" s="43" t="s">
        <v>149</v>
      </c>
      <c r="P567" s="55" t="s">
        <v>1296</v>
      </c>
      <c r="Q567" t="s">
        <v>576</v>
      </c>
      <c r="R567" t="s">
        <v>1298</v>
      </c>
    </row>
    <row r="568" spans="1:18" ht="14.45">
      <c r="A568" s="106" t="b">
        <v>1</v>
      </c>
      <c r="B568" t="str" cm="1">
        <f t="array" ref="B568">_xlfn.SINGLE(_xlfn._xlws.FILTER(t_ServiceCatalogue[Onwer],t_ServiceCatalogue[Category]=t_fac25_requirements[[#This Row],[Category]],""))</f>
        <v>NW</v>
      </c>
      <c r="C568" t="s">
        <v>191</v>
      </c>
      <c r="D568" t="str">
        <f>_xlfn._xlws.FILTER(t_Contact[FA Name],t_Contact[FA]=t_fac25_requirements[[#This Row],[FA]],"")</f>
        <v>Competition</v>
      </c>
      <c r="E568" s="43">
        <v>974</v>
      </c>
      <c r="F568" t="s">
        <v>278</v>
      </c>
      <c r="G568" t="s">
        <v>429</v>
      </c>
      <c r="H568" t="s">
        <v>46</v>
      </c>
      <c r="I568" t="s">
        <v>47</v>
      </c>
      <c r="J568" s="28" t="s">
        <v>637</v>
      </c>
      <c r="K568" s="32">
        <v>6</v>
      </c>
      <c r="L568" s="32">
        <v>0</v>
      </c>
      <c r="M568" s="30">
        <v>45986</v>
      </c>
      <c r="N568" s="30">
        <v>46009</v>
      </c>
      <c r="O568" s="43" t="s">
        <v>149</v>
      </c>
      <c r="P568" s="55" t="s">
        <v>1296</v>
      </c>
      <c r="Q568" t="s">
        <v>576</v>
      </c>
      <c r="R568" t="s">
        <v>1299</v>
      </c>
    </row>
    <row r="569" spans="1:18" ht="14.45">
      <c r="A569" s="106" t="b">
        <v>1</v>
      </c>
      <c r="B569" t="str" cm="1">
        <f t="array" ref="B569">_xlfn.SINGLE(_xlfn._xlws.FILTER(t_ServiceCatalogue[Onwer],t_ServiceCatalogue[Category]=t_fac25_requirements[[#This Row],[Category]],""))</f>
        <v>NW</v>
      </c>
      <c r="C569" t="s">
        <v>191</v>
      </c>
      <c r="D569" t="str">
        <f>_xlfn._xlws.FILTER(t_Contact[FA Name],t_Contact[FA]=t_fac25_requirements[[#This Row],[FA]],"")</f>
        <v>Competition</v>
      </c>
      <c r="E569" t="s">
        <v>213</v>
      </c>
      <c r="F569" t="s">
        <v>278</v>
      </c>
      <c r="G569" t="s">
        <v>429</v>
      </c>
      <c r="H569" t="s">
        <v>46</v>
      </c>
      <c r="I569" t="s">
        <v>47</v>
      </c>
      <c r="J569" s="28" t="s">
        <v>637</v>
      </c>
      <c r="K569" s="32">
        <v>6</v>
      </c>
      <c r="L569" s="32">
        <v>0</v>
      </c>
      <c r="M569" s="30">
        <v>45986</v>
      </c>
      <c r="N569" s="30">
        <v>46009</v>
      </c>
      <c r="O569" s="43" t="s">
        <v>149</v>
      </c>
      <c r="P569" s="55" t="s">
        <v>1296</v>
      </c>
      <c r="Q569" t="s">
        <v>576</v>
      </c>
      <c r="R569" t="s">
        <v>1300</v>
      </c>
    </row>
    <row r="570" spans="1:18" ht="14.45">
      <c r="A570" s="106" t="b">
        <v>1</v>
      </c>
      <c r="B570" t="str" cm="1">
        <f t="array" ref="B570">_xlfn.SINGLE(_xlfn._xlws.FILTER(t_ServiceCatalogue[Onwer],t_ServiceCatalogue[Category]=t_fac25_requirements[[#This Row],[Category]],""))</f>
        <v>NW</v>
      </c>
      <c r="C570" t="s">
        <v>191</v>
      </c>
      <c r="D570" t="str">
        <f>_xlfn._xlws.FILTER(t_Contact[FA Name],t_Contact[FA]=t_fac25_requirements[[#This Row],[FA]],"")</f>
        <v>Competition</v>
      </c>
      <c r="E570" t="s">
        <v>208</v>
      </c>
      <c r="F570" t="s">
        <v>246</v>
      </c>
      <c r="G570" t="s">
        <v>429</v>
      </c>
      <c r="H570" t="s">
        <v>46</v>
      </c>
      <c r="I570" t="s">
        <v>148</v>
      </c>
      <c r="J570" s="28" t="s">
        <v>637</v>
      </c>
      <c r="K570" s="32">
        <v>6</v>
      </c>
      <c r="L570" s="32">
        <v>0</v>
      </c>
      <c r="M570" s="30">
        <v>45986</v>
      </c>
      <c r="N570" s="30">
        <v>46009</v>
      </c>
      <c r="O570" s="43" t="s">
        <v>149</v>
      </c>
      <c r="P570" s="55" t="s">
        <v>1301</v>
      </c>
      <c r="Q570" t="s">
        <v>576</v>
      </c>
      <c r="R570" t="s">
        <v>1302</v>
      </c>
    </row>
    <row r="571" spans="1:18" ht="14.45">
      <c r="A571" s="106" t="b">
        <v>1</v>
      </c>
      <c r="B571" t="str" cm="1">
        <f t="array" ref="B571">_xlfn.SINGLE(_xlfn._xlws.FILTER(t_ServiceCatalogue[Onwer],t_ServiceCatalogue[Category]=t_fac25_requirements[[#This Row],[Category]],""))</f>
        <v>NW</v>
      </c>
      <c r="C571" t="s">
        <v>191</v>
      </c>
      <c r="D571" t="str">
        <f>_xlfn._xlws.FILTER(t_Contact[FA Name],t_Contact[FA]=t_fac25_requirements[[#This Row],[FA]],"")</f>
        <v>Competition</v>
      </c>
      <c r="E571" t="s">
        <v>212</v>
      </c>
      <c r="F571" t="s">
        <v>278</v>
      </c>
      <c r="G571" t="s">
        <v>429</v>
      </c>
      <c r="H571" t="s">
        <v>46</v>
      </c>
      <c r="I571" t="s">
        <v>47</v>
      </c>
      <c r="J571" s="28" t="s">
        <v>637</v>
      </c>
      <c r="K571" s="32">
        <v>6</v>
      </c>
      <c r="L571" s="32">
        <v>0</v>
      </c>
      <c r="M571" s="30">
        <v>45986</v>
      </c>
      <c r="N571" s="30">
        <v>46009</v>
      </c>
      <c r="O571" s="43" t="s">
        <v>149</v>
      </c>
      <c r="P571" s="55" t="s">
        <v>1296</v>
      </c>
      <c r="Q571" t="s">
        <v>576</v>
      </c>
      <c r="R571" t="s">
        <v>1303</v>
      </c>
    </row>
    <row r="572" spans="1:18" ht="14.45">
      <c r="A572" s="106" t="b">
        <v>0</v>
      </c>
      <c r="B572" t="str" cm="1">
        <f t="array" ref="B572">_xlfn.SINGLE(_xlfn._xlws.FILTER(t_ServiceCatalogue[Onwer],t_ServiceCatalogue[Category]=t_fac25_requirements[[#This Row],[Category]],""))</f>
        <v>NW</v>
      </c>
      <c r="C572" t="s">
        <v>191</v>
      </c>
      <c r="D572" t="str">
        <f>_xlfn._xlws.FILTER(t_Contact[FA Name],t_Contact[FA]=t_fac25_requirements[[#This Row],[FA]],"")</f>
        <v>Competition</v>
      </c>
      <c r="E572" t="s">
        <v>211</v>
      </c>
      <c r="F572" t="s">
        <v>246</v>
      </c>
      <c r="G572" t="s">
        <v>247</v>
      </c>
      <c r="H572" t="s">
        <v>46</v>
      </c>
      <c r="I572" t="s">
        <v>248</v>
      </c>
      <c r="J572" s="28" t="s">
        <v>370</v>
      </c>
      <c r="K572" s="32">
        <v>7</v>
      </c>
      <c r="L572" s="32">
        <v>1</v>
      </c>
      <c r="M572" s="30">
        <v>45986</v>
      </c>
      <c r="N572" s="30">
        <v>46009</v>
      </c>
      <c r="O572" s="43" t="s">
        <v>149</v>
      </c>
      <c r="P572" s="55" t="s">
        <v>1304</v>
      </c>
      <c r="Q572" t="s">
        <v>565</v>
      </c>
      <c r="R572" t="s">
        <v>1305</v>
      </c>
    </row>
    <row r="573" spans="1:18" ht="14.45">
      <c r="A573" s="106" t="b">
        <v>0</v>
      </c>
      <c r="B573" t="str" cm="1">
        <f t="array" ref="B573">_xlfn.SINGLE(_xlfn._xlws.FILTER(t_ServiceCatalogue[Onwer],t_ServiceCatalogue[Category]=t_fac25_requirements[[#This Row],[Category]],""))</f>
        <v>NW</v>
      </c>
      <c r="C573" t="s">
        <v>191</v>
      </c>
      <c r="D573" t="str">
        <f>_xlfn._xlws.FILTER(t_Contact[FA Name],t_Contact[FA]=t_fac25_requirements[[#This Row],[FA]],"")</f>
        <v>Competition</v>
      </c>
      <c r="E573" t="s">
        <v>214</v>
      </c>
      <c r="F573" t="s">
        <v>246</v>
      </c>
      <c r="G573" t="s">
        <v>247</v>
      </c>
      <c r="H573" t="s">
        <v>46</v>
      </c>
      <c r="I573" t="s">
        <v>248</v>
      </c>
      <c r="J573" s="28" t="s">
        <v>370</v>
      </c>
      <c r="K573" s="32">
        <v>7</v>
      </c>
      <c r="L573" s="32">
        <v>1</v>
      </c>
      <c r="M573" s="30">
        <v>45986</v>
      </c>
      <c r="N573" s="30">
        <v>46010</v>
      </c>
      <c r="O573" s="43" t="s">
        <v>149</v>
      </c>
      <c r="P573" s="55" t="s">
        <v>1304</v>
      </c>
      <c r="Q573" t="s">
        <v>565</v>
      </c>
      <c r="R573" t="s">
        <v>1306</v>
      </c>
    </row>
    <row r="574" spans="1:18" ht="14.45">
      <c r="A574" s="106" t="b">
        <v>0</v>
      </c>
      <c r="B574" t="str" cm="1">
        <f t="array" ref="B574">_xlfn.SINGLE(_xlfn._xlws.FILTER(t_ServiceCatalogue[Onwer],t_ServiceCatalogue[Category]=t_fac25_requirements[[#This Row],[Category]],""))</f>
        <v>NW</v>
      </c>
      <c r="C574" t="s">
        <v>191</v>
      </c>
      <c r="D574" t="str">
        <f>_xlfn._xlws.FILTER(t_Contact[FA Name],t_Contact[FA]=t_fac25_requirements[[#This Row],[FA]],"")</f>
        <v>Competition</v>
      </c>
      <c r="E574" s="43">
        <v>974</v>
      </c>
      <c r="F574" t="s">
        <v>246</v>
      </c>
      <c r="G574" t="s">
        <v>247</v>
      </c>
      <c r="H574" t="s">
        <v>46</v>
      </c>
      <c r="I574" t="s">
        <v>248</v>
      </c>
      <c r="J574" s="28" t="s">
        <v>370</v>
      </c>
      <c r="K574" s="32">
        <v>7</v>
      </c>
      <c r="L574" s="32">
        <v>1</v>
      </c>
      <c r="M574" s="30">
        <v>45986</v>
      </c>
      <c r="N574" s="30">
        <v>46009</v>
      </c>
      <c r="O574" s="43" t="s">
        <v>149</v>
      </c>
      <c r="P574" s="55" t="s">
        <v>1304</v>
      </c>
      <c r="Q574" t="s">
        <v>565</v>
      </c>
      <c r="R574" t="s">
        <v>1307</v>
      </c>
    </row>
    <row r="575" spans="1:18" ht="14.45">
      <c r="A575" s="106" t="b">
        <v>0</v>
      </c>
      <c r="B575" t="str" cm="1">
        <f t="array" ref="B575">_xlfn.SINGLE(_xlfn._xlws.FILTER(t_ServiceCatalogue[Onwer],t_ServiceCatalogue[Category]=t_fac25_requirements[[#This Row],[Category]],""))</f>
        <v>NW</v>
      </c>
      <c r="C575" t="s">
        <v>191</v>
      </c>
      <c r="D575" t="str">
        <f>_xlfn._xlws.FILTER(t_Contact[FA Name],t_Contact[FA]=t_fac25_requirements[[#This Row],[FA]],"")</f>
        <v>Competition</v>
      </c>
      <c r="E575" t="s">
        <v>213</v>
      </c>
      <c r="F575" t="s">
        <v>246</v>
      </c>
      <c r="G575" t="s">
        <v>247</v>
      </c>
      <c r="H575" t="s">
        <v>46</v>
      </c>
      <c r="I575" t="s">
        <v>248</v>
      </c>
      <c r="J575" s="28" t="s">
        <v>370</v>
      </c>
      <c r="K575" s="32">
        <v>7</v>
      </c>
      <c r="L575" s="32">
        <v>1</v>
      </c>
      <c r="M575" s="30">
        <v>45986</v>
      </c>
      <c r="N575" s="30">
        <v>46009</v>
      </c>
      <c r="O575" s="43" t="s">
        <v>149</v>
      </c>
      <c r="P575" s="55" t="s">
        <v>1304</v>
      </c>
      <c r="Q575" t="s">
        <v>565</v>
      </c>
      <c r="R575" t="s">
        <v>1308</v>
      </c>
    </row>
    <row r="576" spans="1:18" ht="14.45">
      <c r="A576" s="106" t="b">
        <v>0</v>
      </c>
      <c r="B576" t="str" cm="1">
        <f t="array" ref="B576">_xlfn.SINGLE(_xlfn._xlws.FILTER(t_ServiceCatalogue[Onwer],t_ServiceCatalogue[Category]=t_fac25_requirements[[#This Row],[Category]],""))</f>
        <v>NW</v>
      </c>
      <c r="C576" t="s">
        <v>191</v>
      </c>
      <c r="D576" t="str">
        <f>_xlfn._xlws.FILTER(t_Contact[FA Name],t_Contact[FA]=t_fac25_requirements[[#This Row],[FA]],"")</f>
        <v>Competition</v>
      </c>
      <c r="E576" t="s">
        <v>208</v>
      </c>
      <c r="F576" t="s">
        <v>246</v>
      </c>
      <c r="G576" t="s">
        <v>247</v>
      </c>
      <c r="H576" t="s">
        <v>46</v>
      </c>
      <c r="I576" t="s">
        <v>248</v>
      </c>
      <c r="J576" s="28" t="s">
        <v>370</v>
      </c>
      <c r="K576" s="32">
        <v>7</v>
      </c>
      <c r="L576" s="32">
        <v>2</v>
      </c>
      <c r="M576" s="30">
        <v>45986</v>
      </c>
      <c r="N576" s="30">
        <v>46009</v>
      </c>
      <c r="O576" s="43" t="s">
        <v>149</v>
      </c>
      <c r="P576" s="55" t="s">
        <v>1304</v>
      </c>
      <c r="Q576" t="s">
        <v>565</v>
      </c>
      <c r="R576" t="s">
        <v>1309</v>
      </c>
    </row>
    <row r="577" spans="1:18" ht="14.45">
      <c r="A577" s="106" t="b">
        <v>0</v>
      </c>
      <c r="B577" t="str" cm="1">
        <f t="array" ref="B577">_xlfn.SINGLE(_xlfn._xlws.FILTER(t_ServiceCatalogue[Onwer],t_ServiceCatalogue[Category]=t_fac25_requirements[[#This Row],[Category]],""))</f>
        <v>NW</v>
      </c>
      <c r="C577" t="s">
        <v>191</v>
      </c>
      <c r="D577" t="str">
        <f>_xlfn._xlws.FILTER(t_Contact[FA Name],t_Contact[FA]=t_fac25_requirements[[#This Row],[FA]],"")</f>
        <v>Competition</v>
      </c>
      <c r="E577" t="s">
        <v>212</v>
      </c>
      <c r="F577" t="s">
        <v>246</v>
      </c>
      <c r="G577" t="s">
        <v>247</v>
      </c>
      <c r="H577" t="s">
        <v>46</v>
      </c>
      <c r="I577" t="s">
        <v>248</v>
      </c>
      <c r="J577" s="28" t="s">
        <v>370</v>
      </c>
      <c r="K577" s="32">
        <v>7</v>
      </c>
      <c r="L577" s="32">
        <v>1</v>
      </c>
      <c r="M577" s="30">
        <v>45986</v>
      </c>
      <c r="N577" s="30">
        <v>46009</v>
      </c>
      <c r="O577" s="43" t="s">
        <v>149</v>
      </c>
      <c r="P577" s="55" t="s">
        <v>1304</v>
      </c>
      <c r="Q577" t="s">
        <v>565</v>
      </c>
      <c r="R577" t="s">
        <v>1310</v>
      </c>
    </row>
    <row r="578" spans="1:18" ht="14.45">
      <c r="A578" s="106" t="b">
        <v>1</v>
      </c>
      <c r="B578" t="str" cm="1">
        <f t="array" ref="B578">_xlfn.SINGLE(_xlfn._xlws.FILTER(t_ServiceCatalogue[Onwer],t_ServiceCatalogue[Category]=t_fac25_requirements[[#This Row],[Category]],""))</f>
        <v>NW</v>
      </c>
      <c r="C578" t="s">
        <v>191</v>
      </c>
      <c r="D578" t="str">
        <f>_xlfn._xlws.FILTER(t_Contact[FA Name],t_Contact[FA]=t_fac25_requirements[[#This Row],[FA]],"")</f>
        <v>Competition</v>
      </c>
      <c r="E578" t="s">
        <v>211</v>
      </c>
      <c r="F578" t="s">
        <v>246</v>
      </c>
      <c r="G578" t="s">
        <v>437</v>
      </c>
      <c r="H578" t="s">
        <v>46</v>
      </c>
      <c r="I578" t="s">
        <v>248</v>
      </c>
      <c r="J578" s="28" t="s">
        <v>637</v>
      </c>
      <c r="K578" s="32">
        <v>2</v>
      </c>
      <c r="L578" s="32">
        <v>0</v>
      </c>
      <c r="M578" s="30">
        <v>45986</v>
      </c>
      <c r="N578" s="30">
        <v>46009</v>
      </c>
      <c r="O578" s="43" t="s">
        <v>149</v>
      </c>
      <c r="P578" s="55" t="s">
        <v>1311</v>
      </c>
      <c r="Q578" t="s">
        <v>1312</v>
      </c>
      <c r="R578" t="s">
        <v>1313</v>
      </c>
    </row>
    <row r="579" spans="1:18" ht="14.45">
      <c r="A579" s="106" t="b">
        <v>1</v>
      </c>
      <c r="B579" t="str" cm="1">
        <f t="array" ref="B579">_xlfn.SINGLE(_xlfn._xlws.FILTER(t_ServiceCatalogue[Onwer],t_ServiceCatalogue[Category]=t_fac25_requirements[[#This Row],[Category]],""))</f>
        <v>NW</v>
      </c>
      <c r="C579" t="s">
        <v>191</v>
      </c>
      <c r="D579" t="str">
        <f>_xlfn._xlws.FILTER(t_Contact[FA Name],t_Contact[FA]=t_fac25_requirements[[#This Row],[FA]],"")</f>
        <v>Competition</v>
      </c>
      <c r="E579" t="s">
        <v>214</v>
      </c>
      <c r="F579" t="s">
        <v>246</v>
      </c>
      <c r="G579" t="s">
        <v>437</v>
      </c>
      <c r="H579" t="s">
        <v>46</v>
      </c>
      <c r="I579" t="s">
        <v>248</v>
      </c>
      <c r="J579" s="28" t="s">
        <v>637</v>
      </c>
      <c r="K579" s="32">
        <v>2</v>
      </c>
      <c r="L579" s="32">
        <v>0</v>
      </c>
      <c r="M579" s="30">
        <v>45986</v>
      </c>
      <c r="N579" s="30">
        <v>46010</v>
      </c>
      <c r="O579" s="43" t="s">
        <v>149</v>
      </c>
      <c r="P579" s="55" t="s">
        <v>1311</v>
      </c>
      <c r="Q579" t="s">
        <v>1312</v>
      </c>
      <c r="R579" t="s">
        <v>1314</v>
      </c>
    </row>
    <row r="580" spans="1:18" ht="14.45">
      <c r="A580" s="106" t="b">
        <v>1</v>
      </c>
      <c r="B580" t="str" cm="1">
        <f t="array" ref="B580">_xlfn.SINGLE(_xlfn._xlws.FILTER(t_ServiceCatalogue[Onwer],t_ServiceCatalogue[Category]=t_fac25_requirements[[#This Row],[Category]],""))</f>
        <v>NW</v>
      </c>
      <c r="C580" t="s">
        <v>191</v>
      </c>
      <c r="D580" t="str">
        <f>_xlfn._xlws.FILTER(t_Contact[FA Name],t_Contact[FA]=t_fac25_requirements[[#This Row],[FA]],"")</f>
        <v>Competition</v>
      </c>
      <c r="E580" s="43">
        <v>974</v>
      </c>
      <c r="F580" t="s">
        <v>246</v>
      </c>
      <c r="G580" t="s">
        <v>437</v>
      </c>
      <c r="H580" t="s">
        <v>46</v>
      </c>
      <c r="I580" t="s">
        <v>248</v>
      </c>
      <c r="J580" s="28" t="s">
        <v>637</v>
      </c>
      <c r="K580" s="32">
        <v>2</v>
      </c>
      <c r="L580" s="32">
        <v>0</v>
      </c>
      <c r="M580" s="30">
        <v>45986</v>
      </c>
      <c r="N580" s="30">
        <v>46009</v>
      </c>
      <c r="O580" s="43" t="s">
        <v>149</v>
      </c>
      <c r="P580" s="55" t="s">
        <v>1311</v>
      </c>
      <c r="Q580" t="s">
        <v>1312</v>
      </c>
      <c r="R580" t="s">
        <v>1315</v>
      </c>
    </row>
    <row r="581" spans="1:18" ht="14.45">
      <c r="A581" s="106" t="b">
        <v>1</v>
      </c>
      <c r="B581" t="str" cm="1">
        <f t="array" ref="B581">_xlfn.SINGLE(_xlfn._xlws.FILTER(t_ServiceCatalogue[Onwer],t_ServiceCatalogue[Category]=t_fac25_requirements[[#This Row],[Category]],""))</f>
        <v>NW</v>
      </c>
      <c r="C581" t="s">
        <v>191</v>
      </c>
      <c r="D581" t="str">
        <f>_xlfn._xlws.FILTER(t_Contact[FA Name],t_Contact[FA]=t_fac25_requirements[[#This Row],[FA]],"")</f>
        <v>Competition</v>
      </c>
      <c r="E581" t="s">
        <v>213</v>
      </c>
      <c r="F581" t="s">
        <v>246</v>
      </c>
      <c r="G581" t="s">
        <v>437</v>
      </c>
      <c r="H581" t="s">
        <v>46</v>
      </c>
      <c r="I581" t="s">
        <v>248</v>
      </c>
      <c r="J581" s="28" t="s">
        <v>637</v>
      </c>
      <c r="K581" s="32">
        <v>2</v>
      </c>
      <c r="L581" s="32">
        <v>0</v>
      </c>
      <c r="M581" s="30">
        <v>45986</v>
      </c>
      <c r="N581" s="30">
        <v>46009</v>
      </c>
      <c r="O581" s="43" t="s">
        <v>149</v>
      </c>
      <c r="P581" s="55" t="s">
        <v>1311</v>
      </c>
      <c r="Q581" t="s">
        <v>1312</v>
      </c>
      <c r="R581" t="s">
        <v>1316</v>
      </c>
    </row>
    <row r="582" spans="1:18" ht="14.45">
      <c r="A582" s="106" t="b">
        <v>1</v>
      </c>
      <c r="B582" t="str" cm="1">
        <f t="array" ref="B582">_xlfn.SINGLE(_xlfn._xlws.FILTER(t_ServiceCatalogue[Onwer],t_ServiceCatalogue[Category]=t_fac25_requirements[[#This Row],[Category]],""))</f>
        <v>NW</v>
      </c>
      <c r="C582" t="s">
        <v>191</v>
      </c>
      <c r="D582" t="str">
        <f>_xlfn._xlws.FILTER(t_Contact[FA Name],t_Contact[FA]=t_fac25_requirements[[#This Row],[FA]],"")</f>
        <v>Competition</v>
      </c>
      <c r="E582" t="s">
        <v>208</v>
      </c>
      <c r="F582" t="s">
        <v>246</v>
      </c>
      <c r="G582" t="s">
        <v>437</v>
      </c>
      <c r="H582" t="s">
        <v>46</v>
      </c>
      <c r="I582" t="s">
        <v>248</v>
      </c>
      <c r="J582" s="28" t="s">
        <v>637</v>
      </c>
      <c r="K582" s="32">
        <v>2</v>
      </c>
      <c r="L582" s="32">
        <v>0</v>
      </c>
      <c r="M582" s="30">
        <v>45986</v>
      </c>
      <c r="N582" s="30">
        <v>46009</v>
      </c>
      <c r="O582" s="43" t="s">
        <v>149</v>
      </c>
      <c r="P582" s="55" t="s">
        <v>87</v>
      </c>
      <c r="Q582" t="s">
        <v>1312</v>
      </c>
      <c r="R582" t="s">
        <v>1317</v>
      </c>
    </row>
    <row r="583" spans="1:18" ht="14.45">
      <c r="A583" s="106" t="b">
        <v>1</v>
      </c>
      <c r="B583" t="str" cm="1">
        <f t="array" ref="B583">_xlfn.SINGLE(_xlfn._xlws.FILTER(t_ServiceCatalogue[Onwer],t_ServiceCatalogue[Category]=t_fac25_requirements[[#This Row],[Category]],""))</f>
        <v>NW</v>
      </c>
      <c r="C583" t="s">
        <v>191</v>
      </c>
      <c r="D583" t="str">
        <f>_xlfn._xlws.FILTER(t_Contact[FA Name],t_Contact[FA]=t_fac25_requirements[[#This Row],[FA]],"")</f>
        <v>Competition</v>
      </c>
      <c r="E583" t="s">
        <v>212</v>
      </c>
      <c r="F583" t="s">
        <v>246</v>
      </c>
      <c r="G583" t="s">
        <v>437</v>
      </c>
      <c r="H583" t="s">
        <v>46</v>
      </c>
      <c r="I583" t="s">
        <v>248</v>
      </c>
      <c r="J583" s="28" t="s">
        <v>637</v>
      </c>
      <c r="K583" s="32">
        <v>2</v>
      </c>
      <c r="L583" s="32">
        <v>0</v>
      </c>
      <c r="M583" s="30">
        <v>45986</v>
      </c>
      <c r="N583" s="30">
        <v>46009</v>
      </c>
      <c r="O583" s="43" t="s">
        <v>149</v>
      </c>
      <c r="P583" s="55" t="s">
        <v>1311</v>
      </c>
      <c r="Q583" t="s">
        <v>1312</v>
      </c>
      <c r="R583" t="s">
        <v>1318</v>
      </c>
    </row>
    <row r="584" spans="1:18" ht="14.45">
      <c r="A584" s="106" t="b">
        <v>0</v>
      </c>
      <c r="B584" t="str" cm="1">
        <f t="array" ref="B584">_xlfn.SINGLE(_xlfn._xlws.FILTER(t_ServiceCatalogue[Onwer],t_ServiceCatalogue[Category]=t_fac25_requirements[[#This Row],[Category]],""))</f>
        <v>NW</v>
      </c>
      <c r="C584" t="s">
        <v>191</v>
      </c>
      <c r="D584" t="str">
        <f>_xlfn._xlws.FILTER(t_Contact[FA Name],t_Contact[FA]=t_fac25_requirements[[#This Row],[FA]],"")</f>
        <v>Competition</v>
      </c>
      <c r="E584" t="s">
        <v>211</v>
      </c>
      <c r="F584" t="s">
        <v>259</v>
      </c>
      <c r="G584" t="s">
        <v>260</v>
      </c>
      <c r="H584" t="s">
        <v>46</v>
      </c>
      <c r="I584" t="s">
        <v>47</v>
      </c>
      <c r="J584" s="28" t="s">
        <v>370</v>
      </c>
      <c r="K584" s="32"/>
      <c r="L584" s="32">
        <v>1</v>
      </c>
      <c r="M584" s="30">
        <v>45986</v>
      </c>
      <c r="N584" s="30">
        <v>46009</v>
      </c>
      <c r="O584" s="43" t="s">
        <v>149</v>
      </c>
      <c r="P584" s="55" t="s">
        <v>87</v>
      </c>
      <c r="Q584" t="s">
        <v>1319</v>
      </c>
      <c r="R584" t="s">
        <v>1320</v>
      </c>
    </row>
    <row r="585" spans="1:18" ht="14.45">
      <c r="A585" s="106" t="b">
        <v>0</v>
      </c>
      <c r="B585" t="str" cm="1">
        <f t="array" ref="B585">_xlfn.SINGLE(_xlfn._xlws.FILTER(t_ServiceCatalogue[Onwer],t_ServiceCatalogue[Category]=t_fac25_requirements[[#This Row],[Category]],""))</f>
        <v>NW</v>
      </c>
      <c r="C585" t="s">
        <v>191</v>
      </c>
      <c r="D585" t="str">
        <f>_xlfn._xlws.FILTER(t_Contact[FA Name],t_Contact[FA]=t_fac25_requirements[[#This Row],[FA]],"")</f>
        <v>Competition</v>
      </c>
      <c r="E585" s="43">
        <v>974</v>
      </c>
      <c r="F585" t="s">
        <v>259</v>
      </c>
      <c r="G585" t="s">
        <v>260</v>
      </c>
      <c r="H585" t="s">
        <v>46</v>
      </c>
      <c r="I585" t="s">
        <v>47</v>
      </c>
      <c r="J585" s="28" t="s">
        <v>370</v>
      </c>
      <c r="K585" s="32"/>
      <c r="L585" s="32">
        <v>1</v>
      </c>
      <c r="M585" s="30">
        <v>45986</v>
      </c>
      <c r="N585" s="30">
        <v>46009</v>
      </c>
      <c r="O585" s="43" t="s">
        <v>149</v>
      </c>
      <c r="P585" s="55" t="s">
        <v>87</v>
      </c>
      <c r="Q585" t="s">
        <v>1319</v>
      </c>
      <c r="R585" t="s">
        <v>1321</v>
      </c>
    </row>
    <row r="586" spans="1:18" ht="14.45">
      <c r="A586" s="106" t="b">
        <v>0</v>
      </c>
      <c r="B586" t="str" cm="1">
        <f t="array" ref="B586">_xlfn.SINGLE(_xlfn._xlws.FILTER(t_ServiceCatalogue[Onwer],t_ServiceCatalogue[Category]=t_fac25_requirements[[#This Row],[Category]],""))</f>
        <v>NW</v>
      </c>
      <c r="C586" t="s">
        <v>191</v>
      </c>
      <c r="D586" t="str">
        <f>_xlfn._xlws.FILTER(t_Contact[FA Name],t_Contact[FA]=t_fac25_requirements[[#This Row],[FA]],"")</f>
        <v>Competition</v>
      </c>
      <c r="E586" t="s">
        <v>213</v>
      </c>
      <c r="F586" t="s">
        <v>259</v>
      </c>
      <c r="G586" t="s">
        <v>260</v>
      </c>
      <c r="H586" t="s">
        <v>46</v>
      </c>
      <c r="I586" t="s">
        <v>47</v>
      </c>
      <c r="J586" s="28" t="s">
        <v>370</v>
      </c>
      <c r="K586" s="32"/>
      <c r="L586" s="32">
        <v>1</v>
      </c>
      <c r="M586" s="30">
        <v>45986</v>
      </c>
      <c r="N586" s="30">
        <v>46009</v>
      </c>
      <c r="O586" s="43" t="s">
        <v>149</v>
      </c>
      <c r="P586" s="55"/>
      <c r="Q586" t="s">
        <v>1319</v>
      </c>
      <c r="R586" t="s">
        <v>1322</v>
      </c>
    </row>
    <row r="587" spans="1:18" ht="14.45">
      <c r="A587" s="106" t="b">
        <v>0</v>
      </c>
      <c r="B587" t="str" cm="1">
        <f t="array" ref="B587">_xlfn.SINGLE(_xlfn._xlws.FILTER(t_ServiceCatalogue[Onwer],t_ServiceCatalogue[Category]=t_fac25_requirements[[#This Row],[Category]],""))</f>
        <v>NW</v>
      </c>
      <c r="C587" t="s">
        <v>191</v>
      </c>
      <c r="D587" t="str">
        <f>_xlfn._xlws.FILTER(t_Contact[FA Name],t_Contact[FA]=t_fac25_requirements[[#This Row],[FA]],"")</f>
        <v>Competition</v>
      </c>
      <c r="E587" t="s">
        <v>212</v>
      </c>
      <c r="F587" t="s">
        <v>259</v>
      </c>
      <c r="G587" t="s">
        <v>260</v>
      </c>
      <c r="H587" t="s">
        <v>46</v>
      </c>
      <c r="I587" t="s">
        <v>47</v>
      </c>
      <c r="J587" s="28" t="s">
        <v>370</v>
      </c>
      <c r="K587" s="32"/>
      <c r="L587" s="32">
        <v>1</v>
      </c>
      <c r="M587" s="30">
        <v>45986</v>
      </c>
      <c r="N587" s="30">
        <v>46009</v>
      </c>
      <c r="O587" s="43" t="s">
        <v>149</v>
      </c>
      <c r="P587" s="55" t="s">
        <v>87</v>
      </c>
      <c r="Q587" t="s">
        <v>1319</v>
      </c>
      <c r="R587" t="s">
        <v>1323</v>
      </c>
    </row>
    <row r="588" spans="1:18" ht="14.45">
      <c r="A588" s="106" t="b">
        <v>0</v>
      </c>
      <c r="B588" t="str" cm="1">
        <f t="array" ref="B588">_xlfn.SINGLE(_xlfn._xlws.FILTER(t_ServiceCatalogue[Onwer],t_ServiceCatalogue[Category]=t_fac25_requirements[[#This Row],[Category]],""))</f>
        <v>NW</v>
      </c>
      <c r="C588" t="s">
        <v>191</v>
      </c>
      <c r="D588" t="str">
        <f>_xlfn._xlws.FILTER(t_Contact[FA Name],t_Contact[FA]=t_fac25_requirements[[#This Row],[FA]],"")</f>
        <v>Competition</v>
      </c>
      <c r="E588" t="s">
        <v>211</v>
      </c>
      <c r="F588" t="s">
        <v>278</v>
      </c>
      <c r="G588" t="s">
        <v>283</v>
      </c>
      <c r="H588" t="s">
        <v>46</v>
      </c>
      <c r="I588" t="s">
        <v>280</v>
      </c>
      <c r="J588" s="28" t="s">
        <v>370</v>
      </c>
      <c r="K588" s="32"/>
      <c r="L588" s="32">
        <v>1</v>
      </c>
      <c r="M588" s="30">
        <v>45986</v>
      </c>
      <c r="N588" s="30">
        <v>46009</v>
      </c>
      <c r="O588" s="43" t="s">
        <v>149</v>
      </c>
      <c r="P588" s="55" t="s">
        <v>87</v>
      </c>
      <c r="Q588" t="s">
        <v>539</v>
      </c>
      <c r="R588" t="s">
        <v>1324</v>
      </c>
    </row>
    <row r="589" spans="1:18" ht="14.45">
      <c r="A589" s="106" t="b">
        <v>0</v>
      </c>
      <c r="B589" t="str" cm="1">
        <f t="array" ref="B589">_xlfn.SINGLE(_xlfn._xlws.FILTER(t_ServiceCatalogue[Onwer],t_ServiceCatalogue[Category]=t_fac25_requirements[[#This Row],[Category]],""))</f>
        <v>NW</v>
      </c>
      <c r="C589" t="s">
        <v>191</v>
      </c>
      <c r="D589" t="str">
        <f>_xlfn._xlws.FILTER(t_Contact[FA Name],t_Contact[FA]=t_fac25_requirements[[#This Row],[FA]],"")</f>
        <v>Competition</v>
      </c>
      <c r="E589" t="s">
        <v>211</v>
      </c>
      <c r="F589" t="s">
        <v>278</v>
      </c>
      <c r="G589" t="s">
        <v>279</v>
      </c>
      <c r="H589" t="s">
        <v>46</v>
      </c>
      <c r="I589" t="s">
        <v>280</v>
      </c>
      <c r="J589" s="28" t="s">
        <v>370</v>
      </c>
      <c r="K589" s="32"/>
      <c r="L589" s="32">
        <v>1</v>
      </c>
      <c r="M589" s="30">
        <v>45986</v>
      </c>
      <c r="N589" s="30">
        <v>46009</v>
      </c>
      <c r="O589" s="43" t="s">
        <v>149</v>
      </c>
      <c r="P589" s="55" t="s">
        <v>1325</v>
      </c>
      <c r="Q589" t="s">
        <v>528</v>
      </c>
      <c r="R589" t="s">
        <v>1326</v>
      </c>
    </row>
    <row r="590" spans="1:18" ht="14.45">
      <c r="A590" s="106" t="b">
        <v>0</v>
      </c>
      <c r="B590" t="str" cm="1">
        <f t="array" ref="B590">_xlfn.SINGLE(_xlfn._xlws.FILTER(t_ServiceCatalogue[Onwer],t_ServiceCatalogue[Category]=t_fac25_requirements[[#This Row],[Category]],""))</f>
        <v>AV</v>
      </c>
      <c r="C590" t="s">
        <v>191</v>
      </c>
      <c r="D590" t="str">
        <f>_xlfn._xlws.FILTER(t_Contact[FA Name],t_Contact[FA]=t_fac25_requirements[[#This Row],[FA]],"")</f>
        <v>Competition</v>
      </c>
      <c r="E590" t="s">
        <v>211</v>
      </c>
      <c r="F590" t="s">
        <v>278</v>
      </c>
      <c r="G590" t="s">
        <v>281</v>
      </c>
      <c r="H590" t="s">
        <v>58</v>
      </c>
      <c r="I590" t="s">
        <v>282</v>
      </c>
      <c r="J590" s="28" t="s">
        <v>370</v>
      </c>
      <c r="K590" s="32"/>
      <c r="L590" s="32">
        <v>2</v>
      </c>
      <c r="M590" s="30">
        <v>45986</v>
      </c>
      <c r="N590" s="30">
        <v>46009</v>
      </c>
      <c r="O590" s="43" t="s">
        <v>497</v>
      </c>
      <c r="P590" s="55" t="s">
        <v>87</v>
      </c>
      <c r="R590" t="s">
        <v>1327</v>
      </c>
    </row>
    <row r="591" spans="1:18" ht="14.45">
      <c r="A591" s="106" t="b">
        <v>0</v>
      </c>
      <c r="B591" t="str" cm="1">
        <f t="array" ref="B591">_xlfn.SINGLE(_xlfn._xlws.FILTER(t_ServiceCatalogue[Onwer],t_ServiceCatalogue[Category]=t_fac25_requirements[[#This Row],[Category]],""))</f>
        <v>NW</v>
      </c>
      <c r="C591" t="s">
        <v>191</v>
      </c>
      <c r="D591" t="str">
        <f>_xlfn._xlws.FILTER(t_Contact[FA Name],t_Contact[FA]=t_fac25_requirements[[#This Row],[FA]],"")</f>
        <v>Competition</v>
      </c>
      <c r="E591" t="s">
        <v>214</v>
      </c>
      <c r="F591" t="s">
        <v>278</v>
      </c>
      <c r="G591" t="s">
        <v>283</v>
      </c>
      <c r="H591" t="s">
        <v>46</v>
      </c>
      <c r="I591" t="s">
        <v>280</v>
      </c>
      <c r="J591" s="28" t="s">
        <v>370</v>
      </c>
      <c r="K591" s="32"/>
      <c r="L591" s="32">
        <v>1</v>
      </c>
      <c r="M591" s="30">
        <v>45986</v>
      </c>
      <c r="N591" s="30">
        <v>46010</v>
      </c>
      <c r="O591" s="43" t="s">
        <v>149</v>
      </c>
      <c r="P591" s="55" t="s">
        <v>87</v>
      </c>
      <c r="Q591" t="s">
        <v>539</v>
      </c>
      <c r="R591" t="s">
        <v>1328</v>
      </c>
    </row>
    <row r="592" spans="1:18" ht="14.45">
      <c r="A592" s="106" t="b">
        <v>0</v>
      </c>
      <c r="B592" t="str" cm="1">
        <f t="array" ref="B592">_xlfn.SINGLE(_xlfn._xlws.FILTER(t_ServiceCatalogue[Onwer],t_ServiceCatalogue[Category]=t_fac25_requirements[[#This Row],[Category]],""))</f>
        <v>NW</v>
      </c>
      <c r="C592" t="s">
        <v>191</v>
      </c>
      <c r="D592" t="str">
        <f>_xlfn._xlws.FILTER(t_Contact[FA Name],t_Contact[FA]=t_fac25_requirements[[#This Row],[FA]],"")</f>
        <v>Competition</v>
      </c>
      <c r="E592" t="s">
        <v>214</v>
      </c>
      <c r="F592" t="s">
        <v>278</v>
      </c>
      <c r="G592" t="s">
        <v>279</v>
      </c>
      <c r="H592" t="s">
        <v>46</v>
      </c>
      <c r="I592" t="s">
        <v>280</v>
      </c>
      <c r="J592" s="28" t="s">
        <v>370</v>
      </c>
      <c r="K592" s="32"/>
      <c r="L592" s="32">
        <v>1</v>
      </c>
      <c r="M592" s="30">
        <v>45986</v>
      </c>
      <c r="N592" s="30">
        <v>46010</v>
      </c>
      <c r="O592" s="43" t="s">
        <v>149</v>
      </c>
      <c r="P592" s="55" t="s">
        <v>87</v>
      </c>
      <c r="Q592" t="s">
        <v>528</v>
      </c>
      <c r="R592" t="s">
        <v>1329</v>
      </c>
    </row>
    <row r="593" spans="1:18" ht="14.45">
      <c r="A593" s="106" t="b">
        <v>1</v>
      </c>
      <c r="B593" t="str" cm="1">
        <f t="array" ref="B593">_xlfn.SINGLE(_xlfn._xlws.FILTER(t_ServiceCatalogue[Onwer],t_ServiceCatalogue[Category]=t_fac25_requirements[[#This Row],[Category]],""))</f>
        <v>AV</v>
      </c>
      <c r="C593" t="s">
        <v>191</v>
      </c>
      <c r="D593" t="str">
        <f>_xlfn._xlws.FILTER(t_Contact[FA Name],t_Contact[FA]=t_fac25_requirements[[#This Row],[FA]],"")</f>
        <v>Competition</v>
      </c>
      <c r="E593" t="s">
        <v>214</v>
      </c>
      <c r="F593" t="s">
        <v>278</v>
      </c>
      <c r="G593" t="s">
        <v>281</v>
      </c>
      <c r="H593" t="s">
        <v>58</v>
      </c>
      <c r="I593" t="s">
        <v>282</v>
      </c>
      <c r="J593" s="28" t="s">
        <v>370</v>
      </c>
      <c r="K593" s="32"/>
      <c r="L593" s="32">
        <v>2</v>
      </c>
      <c r="M593" s="30">
        <v>45986</v>
      </c>
      <c r="N593" s="30">
        <v>46010</v>
      </c>
      <c r="O593" s="43" t="s">
        <v>497</v>
      </c>
      <c r="P593" s="55" t="s">
        <v>87</v>
      </c>
      <c r="R593" t="s">
        <v>1330</v>
      </c>
    </row>
    <row r="594" spans="1:18" ht="14.45">
      <c r="A594" s="106" t="b">
        <v>0</v>
      </c>
      <c r="B594" t="str" cm="1">
        <f t="array" ref="B594">_xlfn.SINGLE(_xlfn._xlws.FILTER(t_ServiceCatalogue[Onwer],t_ServiceCatalogue[Category]=t_fac25_requirements[[#This Row],[Category]],""))</f>
        <v>NW</v>
      </c>
      <c r="C594" t="s">
        <v>191</v>
      </c>
      <c r="D594" t="str">
        <f>_xlfn._xlws.FILTER(t_Contact[FA Name],t_Contact[FA]=t_fac25_requirements[[#This Row],[FA]],"")</f>
        <v>Competition</v>
      </c>
      <c r="E594" s="43">
        <v>974</v>
      </c>
      <c r="F594" t="s">
        <v>278</v>
      </c>
      <c r="G594" t="s">
        <v>283</v>
      </c>
      <c r="H594" t="s">
        <v>46</v>
      </c>
      <c r="I594" t="s">
        <v>280</v>
      </c>
      <c r="J594" s="28" t="s">
        <v>370</v>
      </c>
      <c r="K594" s="32"/>
      <c r="L594" s="32">
        <v>1</v>
      </c>
      <c r="M594" s="30">
        <v>45986</v>
      </c>
      <c r="N594" s="30">
        <v>46009</v>
      </c>
      <c r="O594" s="43" t="s">
        <v>149</v>
      </c>
      <c r="P594" s="55" t="s">
        <v>87</v>
      </c>
      <c r="Q594" t="s">
        <v>539</v>
      </c>
      <c r="R594" t="s">
        <v>1331</v>
      </c>
    </row>
    <row r="595" spans="1:18" ht="14.45">
      <c r="A595" s="106" t="b">
        <v>0</v>
      </c>
      <c r="B595" t="str" cm="1">
        <f t="array" ref="B595">_xlfn.SINGLE(_xlfn._xlws.FILTER(t_ServiceCatalogue[Onwer],t_ServiceCatalogue[Category]=t_fac25_requirements[[#This Row],[Category]],""))</f>
        <v>NW</v>
      </c>
      <c r="C595" t="s">
        <v>191</v>
      </c>
      <c r="D595" t="str">
        <f>_xlfn._xlws.FILTER(t_Contact[FA Name],t_Contact[FA]=t_fac25_requirements[[#This Row],[FA]],"")</f>
        <v>Competition</v>
      </c>
      <c r="E595" s="43">
        <v>974</v>
      </c>
      <c r="F595" t="s">
        <v>278</v>
      </c>
      <c r="G595" t="s">
        <v>279</v>
      </c>
      <c r="H595" t="s">
        <v>46</v>
      </c>
      <c r="I595" t="s">
        <v>280</v>
      </c>
      <c r="J595" s="28" t="s">
        <v>370</v>
      </c>
      <c r="K595" s="32"/>
      <c r="L595" s="32">
        <v>1</v>
      </c>
      <c r="M595" s="30">
        <v>45986</v>
      </c>
      <c r="N595" s="30">
        <v>46009</v>
      </c>
      <c r="O595" s="43" t="s">
        <v>149</v>
      </c>
      <c r="P595" s="55" t="s">
        <v>87</v>
      </c>
      <c r="Q595" t="s">
        <v>528</v>
      </c>
      <c r="R595" t="s">
        <v>1332</v>
      </c>
    </row>
    <row r="596" spans="1:18" ht="14.45">
      <c r="A596" s="106" t="b">
        <v>0</v>
      </c>
      <c r="B596" t="str" cm="1">
        <f t="array" ref="B596">_xlfn.SINGLE(_xlfn._xlws.FILTER(t_ServiceCatalogue[Onwer],t_ServiceCatalogue[Category]=t_fac25_requirements[[#This Row],[Category]],""))</f>
        <v>AV</v>
      </c>
      <c r="C596" t="s">
        <v>191</v>
      </c>
      <c r="D596" t="str">
        <f>_xlfn._xlws.FILTER(t_Contact[FA Name],t_Contact[FA]=t_fac25_requirements[[#This Row],[FA]],"")</f>
        <v>Competition</v>
      </c>
      <c r="E596" s="43">
        <v>974</v>
      </c>
      <c r="F596" t="s">
        <v>278</v>
      </c>
      <c r="G596" t="s">
        <v>281</v>
      </c>
      <c r="H596" t="s">
        <v>58</v>
      </c>
      <c r="I596" t="s">
        <v>282</v>
      </c>
      <c r="J596" s="28" t="s">
        <v>370</v>
      </c>
      <c r="K596" s="32"/>
      <c r="L596" s="32">
        <v>2</v>
      </c>
      <c r="M596" s="30">
        <v>45986</v>
      </c>
      <c r="N596" s="30">
        <v>46009</v>
      </c>
      <c r="O596" s="43" t="s">
        <v>497</v>
      </c>
      <c r="P596" s="55" t="s">
        <v>87</v>
      </c>
      <c r="R596" t="s">
        <v>1333</v>
      </c>
    </row>
    <row r="597" spans="1:18" ht="14.45">
      <c r="A597" s="106" t="b">
        <v>0</v>
      </c>
      <c r="B597" t="str" cm="1">
        <f t="array" ref="B597">_xlfn.SINGLE(_xlfn._xlws.FILTER(t_ServiceCatalogue[Onwer],t_ServiceCatalogue[Category]=t_fac25_requirements[[#This Row],[Category]],""))</f>
        <v>NW</v>
      </c>
      <c r="C597" t="s">
        <v>191</v>
      </c>
      <c r="D597" t="str">
        <f>_xlfn._xlws.FILTER(t_Contact[FA Name],t_Contact[FA]=t_fac25_requirements[[#This Row],[FA]],"")</f>
        <v>Competition</v>
      </c>
      <c r="E597" t="s">
        <v>208</v>
      </c>
      <c r="F597" t="s">
        <v>278</v>
      </c>
      <c r="G597" t="s">
        <v>283</v>
      </c>
      <c r="H597" t="s">
        <v>46</v>
      </c>
      <c r="I597" t="s">
        <v>280</v>
      </c>
      <c r="J597" s="28" t="s">
        <v>370</v>
      </c>
      <c r="K597" s="32">
        <v>1</v>
      </c>
      <c r="L597" s="32">
        <v>2</v>
      </c>
      <c r="M597" s="30">
        <v>45986</v>
      </c>
      <c r="N597" s="30">
        <v>46009</v>
      </c>
      <c r="O597" s="43" t="s">
        <v>149</v>
      </c>
      <c r="P597" s="55" t="s">
        <v>1334</v>
      </c>
      <c r="Q597" t="s">
        <v>539</v>
      </c>
      <c r="R597" t="s">
        <v>1335</v>
      </c>
    </row>
    <row r="598" spans="1:18" ht="14.45">
      <c r="A598" s="106" t="b">
        <v>0</v>
      </c>
      <c r="B598" t="str" cm="1">
        <f t="array" ref="B598">_xlfn.SINGLE(_xlfn._xlws.FILTER(t_ServiceCatalogue[Onwer],t_ServiceCatalogue[Category]=t_fac25_requirements[[#This Row],[Category]],""))</f>
        <v>NW</v>
      </c>
      <c r="C598" t="s">
        <v>191</v>
      </c>
      <c r="D598" t="str">
        <f>_xlfn._xlws.FILTER(t_Contact[FA Name],t_Contact[FA]=t_fac25_requirements[[#This Row],[FA]],"")</f>
        <v>Competition</v>
      </c>
      <c r="E598" t="s">
        <v>208</v>
      </c>
      <c r="F598" t="s">
        <v>278</v>
      </c>
      <c r="G598" t="s">
        <v>279</v>
      </c>
      <c r="H598" t="s">
        <v>46</v>
      </c>
      <c r="I598" t="s">
        <v>280</v>
      </c>
      <c r="J598" s="28" t="s">
        <v>370</v>
      </c>
      <c r="K598" s="32">
        <v>1</v>
      </c>
      <c r="L598" s="32">
        <v>2</v>
      </c>
      <c r="M598" s="30">
        <v>45986</v>
      </c>
      <c r="N598" s="30">
        <v>46009</v>
      </c>
      <c r="O598" s="43" t="s">
        <v>149</v>
      </c>
      <c r="P598" s="55" t="s">
        <v>1334</v>
      </c>
      <c r="Q598" t="s">
        <v>528</v>
      </c>
      <c r="R598" t="s">
        <v>1336</v>
      </c>
    </row>
    <row r="599" spans="1:18" ht="14.45">
      <c r="A599" s="106" t="b">
        <v>0</v>
      </c>
      <c r="B599" t="str" cm="1">
        <f t="array" ref="B599">_xlfn.SINGLE(_xlfn._xlws.FILTER(t_ServiceCatalogue[Onwer],t_ServiceCatalogue[Category]=t_fac25_requirements[[#This Row],[Category]],""))</f>
        <v>AV</v>
      </c>
      <c r="C599" t="s">
        <v>191</v>
      </c>
      <c r="D599" t="str">
        <f>_xlfn._xlws.FILTER(t_Contact[FA Name],t_Contact[FA]=t_fac25_requirements[[#This Row],[FA]],"")</f>
        <v>Competition</v>
      </c>
      <c r="E599" t="s">
        <v>208</v>
      </c>
      <c r="F599" t="s">
        <v>278</v>
      </c>
      <c r="G599" t="s">
        <v>281</v>
      </c>
      <c r="H599" t="s">
        <v>58</v>
      </c>
      <c r="I599" t="s">
        <v>282</v>
      </c>
      <c r="J599" s="28" t="s">
        <v>370</v>
      </c>
      <c r="K599" s="32"/>
      <c r="L599" s="32">
        <v>2</v>
      </c>
      <c r="M599" s="30">
        <v>45986</v>
      </c>
      <c r="N599" s="30">
        <v>46009</v>
      </c>
      <c r="O599" s="43" t="s">
        <v>497</v>
      </c>
      <c r="P599" s="55" t="s">
        <v>87</v>
      </c>
      <c r="R599" t="s">
        <v>1337</v>
      </c>
    </row>
    <row r="600" spans="1:18" ht="14.45">
      <c r="A600" s="106" t="b">
        <v>0</v>
      </c>
      <c r="B600" t="str" cm="1">
        <f t="array" ref="B600">_xlfn.SINGLE(_xlfn._xlws.FILTER(t_ServiceCatalogue[Onwer],t_ServiceCatalogue[Category]=t_fac25_requirements[[#This Row],[Category]],""))</f>
        <v>NW</v>
      </c>
      <c r="C600" t="s">
        <v>191</v>
      </c>
      <c r="D600" t="str">
        <f>_xlfn._xlws.FILTER(t_Contact[FA Name],t_Contact[FA]=t_fac25_requirements[[#This Row],[FA]],"")</f>
        <v>Competition</v>
      </c>
      <c r="E600" t="s">
        <v>212</v>
      </c>
      <c r="F600" t="s">
        <v>278</v>
      </c>
      <c r="G600" t="s">
        <v>283</v>
      </c>
      <c r="H600" t="s">
        <v>46</v>
      </c>
      <c r="I600" t="s">
        <v>280</v>
      </c>
      <c r="J600" s="28" t="s">
        <v>370</v>
      </c>
      <c r="K600" s="32"/>
      <c r="L600" s="32">
        <v>1</v>
      </c>
      <c r="M600" s="30">
        <v>45986</v>
      </c>
      <c r="N600" s="30">
        <v>46009</v>
      </c>
      <c r="O600" s="43" t="s">
        <v>149</v>
      </c>
      <c r="P600" s="55" t="s">
        <v>87</v>
      </c>
      <c r="Q600" t="s">
        <v>539</v>
      </c>
      <c r="R600" t="s">
        <v>1338</v>
      </c>
    </row>
    <row r="601" spans="1:18" ht="14.45">
      <c r="A601" s="106" t="b">
        <v>0</v>
      </c>
      <c r="B601" t="str" cm="1">
        <f t="array" ref="B601">_xlfn.SINGLE(_xlfn._xlws.FILTER(t_ServiceCatalogue[Onwer],t_ServiceCatalogue[Category]=t_fac25_requirements[[#This Row],[Category]],""))</f>
        <v>NW</v>
      </c>
      <c r="C601" t="s">
        <v>191</v>
      </c>
      <c r="D601" t="str">
        <f>_xlfn._xlws.FILTER(t_Contact[FA Name],t_Contact[FA]=t_fac25_requirements[[#This Row],[FA]],"")</f>
        <v>Competition</v>
      </c>
      <c r="E601" t="s">
        <v>212</v>
      </c>
      <c r="F601" t="s">
        <v>278</v>
      </c>
      <c r="G601" t="s">
        <v>279</v>
      </c>
      <c r="H601" t="s">
        <v>46</v>
      </c>
      <c r="I601" t="s">
        <v>280</v>
      </c>
      <c r="J601" s="28" t="s">
        <v>370</v>
      </c>
      <c r="K601" s="32"/>
      <c r="L601" s="32">
        <v>1</v>
      </c>
      <c r="M601" s="30">
        <v>45986</v>
      </c>
      <c r="N601" s="30">
        <v>46009</v>
      </c>
      <c r="O601" s="43" t="s">
        <v>149</v>
      </c>
      <c r="P601" s="55" t="s">
        <v>87</v>
      </c>
      <c r="Q601" t="s">
        <v>528</v>
      </c>
      <c r="R601" t="s">
        <v>1339</v>
      </c>
    </row>
    <row r="602" spans="1:18" ht="14.45">
      <c r="A602" s="106" t="b">
        <v>0</v>
      </c>
      <c r="B602" t="str" cm="1">
        <f t="array" ref="B602">_xlfn.SINGLE(_xlfn._xlws.FILTER(t_ServiceCatalogue[Onwer],t_ServiceCatalogue[Category]=t_fac25_requirements[[#This Row],[Category]],""))</f>
        <v>AV</v>
      </c>
      <c r="C602" t="s">
        <v>191</v>
      </c>
      <c r="D602" t="str">
        <f>_xlfn._xlws.FILTER(t_Contact[FA Name],t_Contact[FA]=t_fac25_requirements[[#This Row],[FA]],"")</f>
        <v>Competition</v>
      </c>
      <c r="E602" t="s">
        <v>212</v>
      </c>
      <c r="F602" t="s">
        <v>278</v>
      </c>
      <c r="G602" t="s">
        <v>281</v>
      </c>
      <c r="H602" t="s">
        <v>58</v>
      </c>
      <c r="I602" t="s">
        <v>282</v>
      </c>
      <c r="J602" s="28" t="s">
        <v>370</v>
      </c>
      <c r="K602" s="32"/>
      <c r="L602" s="32">
        <v>2</v>
      </c>
      <c r="M602" s="30">
        <v>45986</v>
      </c>
      <c r="N602" s="30">
        <v>46009</v>
      </c>
      <c r="O602" s="43" t="s">
        <v>497</v>
      </c>
      <c r="P602" s="55" t="s">
        <v>87</v>
      </c>
      <c r="R602" t="s">
        <v>1340</v>
      </c>
    </row>
    <row r="603" spans="1:18" ht="14.45">
      <c r="A603" s="106" t="b">
        <v>0</v>
      </c>
      <c r="B603" t="str" cm="1">
        <f t="array" ref="B603">_xlfn.SINGLE(_xlfn._xlws.FILTER(t_ServiceCatalogue[Onwer],t_ServiceCatalogue[Category]=t_fac25_requirements[[#This Row],[Category]],""))</f>
        <v>NW</v>
      </c>
      <c r="C603" t="s">
        <v>191</v>
      </c>
      <c r="D603" t="str">
        <f>_xlfn._xlws.FILTER(t_Contact[FA Name],t_Contact[FA]=t_fac25_requirements[[#This Row],[FA]],"")</f>
        <v>Competition</v>
      </c>
      <c r="E603" t="s">
        <v>213</v>
      </c>
      <c r="F603" t="s">
        <v>278</v>
      </c>
      <c r="G603" t="s">
        <v>283</v>
      </c>
      <c r="H603" t="s">
        <v>46</v>
      </c>
      <c r="I603" t="s">
        <v>280</v>
      </c>
      <c r="J603" s="28" t="s">
        <v>370</v>
      </c>
      <c r="K603" s="32"/>
      <c r="L603" s="32">
        <v>1</v>
      </c>
      <c r="M603" s="30">
        <v>45986</v>
      </c>
      <c r="N603" s="30">
        <v>46009</v>
      </c>
      <c r="O603" s="43" t="s">
        <v>149</v>
      </c>
      <c r="P603" s="55" t="s">
        <v>87</v>
      </c>
      <c r="Q603" t="s">
        <v>539</v>
      </c>
      <c r="R603" t="s">
        <v>1341</v>
      </c>
    </row>
    <row r="604" spans="1:18" ht="14.45">
      <c r="A604" s="106" t="b">
        <v>0</v>
      </c>
      <c r="B604" t="str" cm="1">
        <f t="array" ref="B604">_xlfn.SINGLE(_xlfn._xlws.FILTER(t_ServiceCatalogue[Onwer],t_ServiceCatalogue[Category]=t_fac25_requirements[[#This Row],[Category]],""))</f>
        <v>NW</v>
      </c>
      <c r="C604" t="s">
        <v>191</v>
      </c>
      <c r="D604" t="str">
        <f>_xlfn._xlws.FILTER(t_Contact[FA Name],t_Contact[FA]=t_fac25_requirements[[#This Row],[FA]],"")</f>
        <v>Competition</v>
      </c>
      <c r="E604" t="s">
        <v>213</v>
      </c>
      <c r="F604" t="s">
        <v>278</v>
      </c>
      <c r="G604" t="s">
        <v>279</v>
      </c>
      <c r="H604" t="s">
        <v>46</v>
      </c>
      <c r="I604" t="s">
        <v>280</v>
      </c>
      <c r="J604" s="28" t="s">
        <v>370</v>
      </c>
      <c r="K604" s="32"/>
      <c r="L604" s="32">
        <v>1</v>
      </c>
      <c r="M604" s="30">
        <v>45986</v>
      </c>
      <c r="N604" s="30">
        <v>46009</v>
      </c>
      <c r="O604" s="43" t="s">
        <v>149</v>
      </c>
      <c r="P604" s="55" t="s">
        <v>87</v>
      </c>
      <c r="Q604" t="s">
        <v>528</v>
      </c>
      <c r="R604" t="s">
        <v>1342</v>
      </c>
    </row>
    <row r="605" spans="1:18" ht="14.45">
      <c r="A605" s="106" t="b">
        <v>0</v>
      </c>
      <c r="B605" t="str" cm="1">
        <f t="array" ref="B605">_xlfn.SINGLE(_xlfn._xlws.FILTER(t_ServiceCatalogue[Onwer],t_ServiceCatalogue[Category]=t_fac25_requirements[[#This Row],[Category]],""))</f>
        <v>AV</v>
      </c>
      <c r="C605" t="s">
        <v>191</v>
      </c>
      <c r="D605" t="str">
        <f>_xlfn._xlws.FILTER(t_Contact[FA Name],t_Contact[FA]=t_fac25_requirements[[#This Row],[FA]],"")</f>
        <v>Competition</v>
      </c>
      <c r="E605" t="s">
        <v>213</v>
      </c>
      <c r="F605" t="s">
        <v>278</v>
      </c>
      <c r="G605" t="s">
        <v>281</v>
      </c>
      <c r="H605" t="s">
        <v>58</v>
      </c>
      <c r="I605" t="s">
        <v>282</v>
      </c>
      <c r="J605" s="28" t="s">
        <v>370</v>
      </c>
      <c r="K605" s="32"/>
      <c r="L605" s="32">
        <v>2</v>
      </c>
      <c r="M605" s="30">
        <v>45986</v>
      </c>
      <c r="N605" s="30">
        <v>46009</v>
      </c>
      <c r="O605" s="43" t="s">
        <v>497</v>
      </c>
      <c r="P605" s="55" t="s">
        <v>87</v>
      </c>
      <c r="R605" t="s">
        <v>1343</v>
      </c>
    </row>
    <row r="606" spans="1:18" ht="14.45">
      <c r="A606" s="106" t="b">
        <v>0</v>
      </c>
      <c r="B606" t="str" cm="1">
        <f t="array" ref="B606">_xlfn.SINGLE(_xlfn._xlws.FILTER(t_ServiceCatalogue[Onwer],t_ServiceCatalogue[Category]=t_fac25_requirements[[#This Row],[Category]],""))</f>
        <v>NW</v>
      </c>
      <c r="C606" t="s">
        <v>191</v>
      </c>
      <c r="D606" t="str">
        <f>_xlfn._xlws.FILTER(t_Contact[FA Name],t_Contact[FA]=t_fac25_requirements[[#This Row],[FA]],"")</f>
        <v>Competition</v>
      </c>
      <c r="E606" t="s">
        <v>211</v>
      </c>
      <c r="F606" t="s">
        <v>253</v>
      </c>
      <c r="G606" t="s">
        <v>253</v>
      </c>
      <c r="H606" t="s">
        <v>52</v>
      </c>
      <c r="I606" t="s">
        <v>236</v>
      </c>
      <c r="J606" s="28" t="s">
        <v>370</v>
      </c>
      <c r="K606" s="32"/>
      <c r="L606" s="32">
        <v>1</v>
      </c>
      <c r="M606" s="30">
        <v>45986</v>
      </c>
      <c r="N606" s="30">
        <v>46009</v>
      </c>
      <c r="O606" s="43" t="s">
        <v>149</v>
      </c>
      <c r="P606" s="55" t="s">
        <v>1344</v>
      </c>
      <c r="Q606" t="s">
        <v>1345</v>
      </c>
      <c r="R606" t="s">
        <v>1346</v>
      </c>
    </row>
    <row r="607" spans="1:18" ht="14.45">
      <c r="A607" s="106" t="b">
        <v>0</v>
      </c>
      <c r="B607" t="str" cm="1">
        <f t="array" ref="B607">_xlfn.SINGLE(_xlfn._xlws.FILTER(t_ServiceCatalogue[Onwer],t_ServiceCatalogue[Category]=t_fac25_requirements[[#This Row],[Category]],""))</f>
        <v>NW</v>
      </c>
      <c r="C607" t="s">
        <v>191</v>
      </c>
      <c r="D607" t="str">
        <f>_xlfn._xlws.FILTER(t_Contact[FA Name],t_Contact[FA]=t_fac25_requirements[[#This Row],[FA]],"")</f>
        <v>Competition</v>
      </c>
      <c r="E607" t="s">
        <v>211</v>
      </c>
      <c r="F607" t="s">
        <v>259</v>
      </c>
      <c r="G607" t="s">
        <v>267</v>
      </c>
      <c r="H607" t="s">
        <v>46</v>
      </c>
      <c r="I607" t="s">
        <v>47</v>
      </c>
      <c r="J607" s="28" t="s">
        <v>370</v>
      </c>
      <c r="K607" s="32"/>
      <c r="L607" s="32">
        <v>2</v>
      </c>
      <c r="M607" s="30">
        <v>45986</v>
      </c>
      <c r="N607" s="30">
        <v>46009</v>
      </c>
      <c r="O607" s="43" t="s">
        <v>149</v>
      </c>
      <c r="P607" s="55" t="s">
        <v>87</v>
      </c>
      <c r="Q607" t="s">
        <v>1319</v>
      </c>
      <c r="R607" t="s">
        <v>1347</v>
      </c>
    </row>
    <row r="608" spans="1:18" ht="14.45">
      <c r="A608" s="106" t="b">
        <v>0</v>
      </c>
      <c r="B608" t="str" cm="1">
        <f t="array" ref="B608">_xlfn.SINGLE(_xlfn._xlws.FILTER(t_ServiceCatalogue[Onwer],t_ServiceCatalogue[Category]=t_fac25_requirements[[#This Row],[Category]],""))</f>
        <v>NW</v>
      </c>
      <c r="C608" t="s">
        <v>191</v>
      </c>
      <c r="D608" t="str">
        <f>_xlfn._xlws.FILTER(t_Contact[FA Name],t_Contact[FA]=t_fac25_requirements[[#This Row],[FA]],"")</f>
        <v>Competition</v>
      </c>
      <c r="E608" t="s">
        <v>211</v>
      </c>
      <c r="F608" t="s">
        <v>278</v>
      </c>
      <c r="G608" t="s">
        <v>286</v>
      </c>
      <c r="H608" t="s">
        <v>46</v>
      </c>
      <c r="I608" t="s">
        <v>280</v>
      </c>
      <c r="J608" s="28" t="s">
        <v>370</v>
      </c>
      <c r="K608" s="32"/>
      <c r="L608" s="32">
        <v>1</v>
      </c>
      <c r="M608" s="30">
        <v>45986</v>
      </c>
      <c r="N608" s="30">
        <v>46009</v>
      </c>
      <c r="O608" s="43" t="s">
        <v>149</v>
      </c>
      <c r="P608" s="55" t="s">
        <v>1348</v>
      </c>
      <c r="Q608" t="s">
        <v>1349</v>
      </c>
      <c r="R608" t="s">
        <v>1350</v>
      </c>
    </row>
    <row r="609" spans="1:18" ht="14.45">
      <c r="A609" s="106" t="b">
        <v>0</v>
      </c>
      <c r="B609" t="str" cm="1">
        <f t="array" ref="B609">_xlfn.SINGLE(_xlfn._xlws.FILTER(t_ServiceCatalogue[Onwer],t_ServiceCatalogue[Category]=t_fac25_requirements[[#This Row],[Category]],""))</f>
        <v>NW</v>
      </c>
      <c r="C609" t="s">
        <v>191</v>
      </c>
      <c r="D609" t="str">
        <f>_xlfn._xlws.FILTER(t_Contact[FA Name],t_Contact[FA]=t_fac25_requirements[[#This Row],[FA]],"")</f>
        <v>Competition</v>
      </c>
      <c r="E609" s="43">
        <v>974</v>
      </c>
      <c r="F609" t="s">
        <v>253</v>
      </c>
      <c r="G609" t="s">
        <v>253</v>
      </c>
      <c r="H609" t="s">
        <v>52</v>
      </c>
      <c r="I609" t="s">
        <v>236</v>
      </c>
      <c r="J609" s="28" t="s">
        <v>370</v>
      </c>
      <c r="K609" s="32"/>
      <c r="L609" s="32">
        <v>1</v>
      </c>
      <c r="M609" s="30">
        <v>45986</v>
      </c>
      <c r="N609" s="30">
        <v>46009</v>
      </c>
      <c r="O609" s="43" t="s">
        <v>149</v>
      </c>
      <c r="P609" s="55" t="s">
        <v>1344</v>
      </c>
      <c r="Q609" t="s">
        <v>1345</v>
      </c>
      <c r="R609" t="s">
        <v>1351</v>
      </c>
    </row>
    <row r="610" spans="1:18" ht="14.45">
      <c r="A610" s="106" t="b">
        <v>0</v>
      </c>
      <c r="B610" t="str" cm="1">
        <f t="array" ref="B610">_xlfn.SINGLE(_xlfn._xlws.FILTER(t_ServiceCatalogue[Onwer],t_ServiceCatalogue[Category]=t_fac25_requirements[[#This Row],[Category]],""))</f>
        <v>NW</v>
      </c>
      <c r="C610" t="s">
        <v>191</v>
      </c>
      <c r="D610" t="str">
        <f>_xlfn._xlws.FILTER(t_Contact[FA Name],t_Contact[FA]=t_fac25_requirements[[#This Row],[FA]],"")</f>
        <v>Competition</v>
      </c>
      <c r="E610" s="43">
        <v>974</v>
      </c>
      <c r="F610" t="s">
        <v>259</v>
      </c>
      <c r="G610" t="s">
        <v>267</v>
      </c>
      <c r="H610" t="s">
        <v>46</v>
      </c>
      <c r="I610" t="s">
        <v>47</v>
      </c>
      <c r="J610" s="28" t="s">
        <v>370</v>
      </c>
      <c r="K610" s="32"/>
      <c r="L610" s="32">
        <v>2</v>
      </c>
      <c r="M610" s="30">
        <v>45986</v>
      </c>
      <c r="N610" s="30">
        <v>46009</v>
      </c>
      <c r="O610" s="43" t="s">
        <v>149</v>
      </c>
      <c r="P610" s="55" t="s">
        <v>87</v>
      </c>
      <c r="Q610" t="s">
        <v>1319</v>
      </c>
      <c r="R610" t="s">
        <v>1352</v>
      </c>
    </row>
    <row r="611" spans="1:18" ht="14.45">
      <c r="A611" s="106" t="b">
        <v>0</v>
      </c>
      <c r="B611" t="str" cm="1">
        <f t="array" ref="B611">_xlfn.SINGLE(_xlfn._xlws.FILTER(t_ServiceCatalogue[Onwer],t_ServiceCatalogue[Category]=t_fac25_requirements[[#This Row],[Category]],""))</f>
        <v>NW</v>
      </c>
      <c r="C611" t="s">
        <v>191</v>
      </c>
      <c r="D611" t="str">
        <f>_xlfn._xlws.FILTER(t_Contact[FA Name],t_Contact[FA]=t_fac25_requirements[[#This Row],[FA]],"")</f>
        <v>Competition</v>
      </c>
      <c r="E611" s="43">
        <v>974</v>
      </c>
      <c r="F611" t="s">
        <v>278</v>
      </c>
      <c r="G611" t="s">
        <v>286</v>
      </c>
      <c r="H611" t="s">
        <v>46</v>
      </c>
      <c r="I611" t="s">
        <v>280</v>
      </c>
      <c r="J611" s="28" t="s">
        <v>370</v>
      </c>
      <c r="K611" s="32"/>
      <c r="L611" s="32">
        <v>1</v>
      </c>
      <c r="M611" s="30">
        <v>45986</v>
      </c>
      <c r="N611" s="30">
        <v>46009</v>
      </c>
      <c r="O611" s="43" t="s">
        <v>149</v>
      </c>
      <c r="P611" s="55" t="s">
        <v>87</v>
      </c>
      <c r="Q611" t="s">
        <v>1349</v>
      </c>
      <c r="R611" t="s">
        <v>1353</v>
      </c>
    </row>
    <row r="612" spans="1:18" ht="14.45">
      <c r="A612" s="106" t="b">
        <v>0</v>
      </c>
      <c r="B612" t="str" cm="1">
        <f t="array" ref="B612">_xlfn.SINGLE(_xlfn._xlws.FILTER(t_ServiceCatalogue[Onwer],t_ServiceCatalogue[Category]=t_fac25_requirements[[#This Row],[Category]],""))</f>
        <v>NW</v>
      </c>
      <c r="C612" t="s">
        <v>191</v>
      </c>
      <c r="D612" t="str">
        <f>_xlfn._xlws.FILTER(t_Contact[FA Name],t_Contact[FA]=t_fac25_requirements[[#This Row],[FA]],"")</f>
        <v>Competition</v>
      </c>
      <c r="E612" t="s">
        <v>212</v>
      </c>
      <c r="F612" t="s">
        <v>253</v>
      </c>
      <c r="G612" t="s">
        <v>253</v>
      </c>
      <c r="H612" t="s">
        <v>52</v>
      </c>
      <c r="I612" t="s">
        <v>236</v>
      </c>
      <c r="J612" s="28" t="s">
        <v>370</v>
      </c>
      <c r="K612" s="32"/>
      <c r="L612" s="32">
        <v>1</v>
      </c>
      <c r="M612" s="30">
        <v>45986</v>
      </c>
      <c r="N612" s="30">
        <v>46009</v>
      </c>
      <c r="O612" s="43" t="s">
        <v>149</v>
      </c>
      <c r="P612" s="55" t="s">
        <v>1344</v>
      </c>
      <c r="Q612" t="s">
        <v>1345</v>
      </c>
      <c r="R612" t="s">
        <v>1354</v>
      </c>
    </row>
    <row r="613" spans="1:18" ht="14.45">
      <c r="A613" s="106" t="b">
        <v>0</v>
      </c>
      <c r="B613" t="str" cm="1">
        <f t="array" ref="B613">_xlfn.SINGLE(_xlfn._xlws.FILTER(t_ServiceCatalogue[Onwer],t_ServiceCatalogue[Category]=t_fac25_requirements[[#This Row],[Category]],""))</f>
        <v>NW</v>
      </c>
      <c r="C613" t="s">
        <v>191</v>
      </c>
      <c r="D613" t="str">
        <f>_xlfn._xlws.FILTER(t_Contact[FA Name],t_Contact[FA]=t_fac25_requirements[[#This Row],[FA]],"")</f>
        <v>Competition</v>
      </c>
      <c r="E613" t="s">
        <v>212</v>
      </c>
      <c r="F613" t="s">
        <v>259</v>
      </c>
      <c r="G613" t="s">
        <v>267</v>
      </c>
      <c r="H613" t="s">
        <v>46</v>
      </c>
      <c r="I613" t="s">
        <v>47</v>
      </c>
      <c r="J613" s="28" t="s">
        <v>370</v>
      </c>
      <c r="K613" s="32"/>
      <c r="L613" s="32">
        <v>2</v>
      </c>
      <c r="M613" s="30">
        <v>45986</v>
      </c>
      <c r="N613" s="30">
        <v>46009</v>
      </c>
      <c r="O613" s="43" t="s">
        <v>149</v>
      </c>
      <c r="P613" s="55" t="s">
        <v>87</v>
      </c>
      <c r="Q613" t="s">
        <v>1319</v>
      </c>
      <c r="R613" t="s">
        <v>1355</v>
      </c>
    </row>
    <row r="614" spans="1:18" ht="14.45">
      <c r="A614" s="106" t="b">
        <v>0</v>
      </c>
      <c r="B614" t="str" cm="1">
        <f t="array" ref="B614">_xlfn.SINGLE(_xlfn._xlws.FILTER(t_ServiceCatalogue[Onwer],t_ServiceCatalogue[Category]=t_fac25_requirements[[#This Row],[Category]],""))</f>
        <v>NW</v>
      </c>
      <c r="C614" t="s">
        <v>191</v>
      </c>
      <c r="D614" t="str">
        <f>_xlfn._xlws.FILTER(t_Contact[FA Name],t_Contact[FA]=t_fac25_requirements[[#This Row],[FA]],"")</f>
        <v>Competition</v>
      </c>
      <c r="E614" t="s">
        <v>212</v>
      </c>
      <c r="F614" t="s">
        <v>278</v>
      </c>
      <c r="G614" t="s">
        <v>286</v>
      </c>
      <c r="H614" t="s">
        <v>46</v>
      </c>
      <c r="I614" t="s">
        <v>280</v>
      </c>
      <c r="J614" s="28" t="s">
        <v>370</v>
      </c>
      <c r="K614" s="32"/>
      <c r="L614" s="32">
        <v>1</v>
      </c>
      <c r="M614" s="30">
        <v>45986</v>
      </c>
      <c r="N614" s="30">
        <v>46009</v>
      </c>
      <c r="O614" s="43" t="s">
        <v>149</v>
      </c>
      <c r="P614" s="55" t="s">
        <v>87</v>
      </c>
      <c r="Q614" t="s">
        <v>1349</v>
      </c>
      <c r="R614" t="s">
        <v>1356</v>
      </c>
    </row>
    <row r="615" spans="1:18" ht="14.45">
      <c r="A615" s="106" t="b">
        <v>1</v>
      </c>
      <c r="B615" t="str" cm="1">
        <f t="array" ref="B615">_xlfn.SINGLE(_xlfn._xlws.FILTER(t_ServiceCatalogue[Onwer],t_ServiceCatalogue[Category]=t_fac25_requirements[[#This Row],[Category]],""))</f>
        <v>NW</v>
      </c>
      <c r="C615" t="s">
        <v>191</v>
      </c>
      <c r="D615" t="str">
        <f>_xlfn._xlws.FILTER(t_Contact[FA Name],t_Contact[FA]=t_fac25_requirements[[#This Row],[FA]],"")</f>
        <v>Competition</v>
      </c>
      <c r="E615" t="s">
        <v>208</v>
      </c>
      <c r="F615" t="s">
        <v>253</v>
      </c>
      <c r="G615" t="s">
        <v>253</v>
      </c>
      <c r="H615" t="s">
        <v>52</v>
      </c>
      <c r="I615" t="s">
        <v>236</v>
      </c>
      <c r="J615" s="28" t="s">
        <v>370</v>
      </c>
      <c r="K615" s="32"/>
      <c r="L615" s="32">
        <v>1</v>
      </c>
      <c r="M615" s="30">
        <v>45986</v>
      </c>
      <c r="N615" s="30">
        <v>46009</v>
      </c>
      <c r="O615" s="43" t="s">
        <v>149</v>
      </c>
      <c r="P615" s="55" t="s">
        <v>1344</v>
      </c>
      <c r="Q615" t="s">
        <v>1345</v>
      </c>
      <c r="R615" t="s">
        <v>1357</v>
      </c>
    </row>
    <row r="616" spans="1:18" ht="14.45">
      <c r="A616" s="106" t="b">
        <v>0</v>
      </c>
      <c r="B616" t="str" cm="1">
        <f t="array" ref="B616">_xlfn.SINGLE(_xlfn._xlws.FILTER(t_ServiceCatalogue[Onwer],t_ServiceCatalogue[Category]=t_fac25_requirements[[#This Row],[Category]],""))</f>
        <v>NW</v>
      </c>
      <c r="C616" t="s">
        <v>191</v>
      </c>
      <c r="D616" t="str">
        <f>_xlfn._xlws.FILTER(t_Contact[FA Name],t_Contact[FA]=t_fac25_requirements[[#This Row],[FA]],"")</f>
        <v>Competition</v>
      </c>
      <c r="E616" t="s">
        <v>208</v>
      </c>
      <c r="F616" t="s">
        <v>259</v>
      </c>
      <c r="G616" t="s">
        <v>267</v>
      </c>
      <c r="H616" t="s">
        <v>46</v>
      </c>
      <c r="I616" t="s">
        <v>47</v>
      </c>
      <c r="J616" s="28" t="s">
        <v>370</v>
      </c>
      <c r="K616" s="32"/>
      <c r="L616" s="32">
        <v>2</v>
      </c>
      <c r="M616" s="30">
        <v>45986</v>
      </c>
      <c r="N616" s="30">
        <v>46009</v>
      </c>
      <c r="O616" s="43" t="s">
        <v>149</v>
      </c>
      <c r="P616" s="55" t="s">
        <v>87</v>
      </c>
      <c r="Q616" t="s">
        <v>1319</v>
      </c>
      <c r="R616" t="s">
        <v>1358</v>
      </c>
    </row>
    <row r="617" spans="1:18" ht="14.45">
      <c r="A617" s="106" t="b">
        <v>0</v>
      </c>
      <c r="B617" t="str" cm="1">
        <f t="array" ref="B617">_xlfn.SINGLE(_xlfn._xlws.FILTER(t_ServiceCatalogue[Onwer],t_ServiceCatalogue[Category]=t_fac25_requirements[[#This Row],[Category]],""))</f>
        <v>NW</v>
      </c>
      <c r="C617" t="s">
        <v>191</v>
      </c>
      <c r="D617" t="str">
        <f>_xlfn._xlws.FILTER(t_Contact[FA Name],t_Contact[FA]=t_fac25_requirements[[#This Row],[FA]],"")</f>
        <v>Competition</v>
      </c>
      <c r="E617" t="s">
        <v>208</v>
      </c>
      <c r="F617" t="s">
        <v>278</v>
      </c>
      <c r="G617" t="s">
        <v>286</v>
      </c>
      <c r="H617" t="s">
        <v>46</v>
      </c>
      <c r="I617" t="s">
        <v>280</v>
      </c>
      <c r="J617" s="28" t="s">
        <v>370</v>
      </c>
      <c r="K617" s="32"/>
      <c r="L617" s="32">
        <v>1</v>
      </c>
      <c r="M617" s="30">
        <v>45986</v>
      </c>
      <c r="N617" s="30">
        <v>46009</v>
      </c>
      <c r="O617" s="43" t="s">
        <v>149</v>
      </c>
      <c r="P617" s="55" t="s">
        <v>1359</v>
      </c>
      <c r="Q617" t="s">
        <v>1349</v>
      </c>
      <c r="R617" t="s">
        <v>1360</v>
      </c>
    </row>
    <row r="618" spans="1:18" ht="14.45">
      <c r="A618" s="106" t="b">
        <v>0</v>
      </c>
      <c r="B618" t="str" cm="1">
        <f t="array" ref="B618">_xlfn.SINGLE(_xlfn._xlws.FILTER(t_ServiceCatalogue[Onwer],t_ServiceCatalogue[Category]=t_fac25_requirements[[#This Row],[Category]],""))</f>
        <v>NW</v>
      </c>
      <c r="C618" t="s">
        <v>191</v>
      </c>
      <c r="D618" t="str">
        <f>_xlfn._xlws.FILTER(t_Contact[FA Name],t_Contact[FA]=t_fac25_requirements[[#This Row],[FA]],"")</f>
        <v>Competition</v>
      </c>
      <c r="E618" t="s">
        <v>213</v>
      </c>
      <c r="F618" t="s">
        <v>253</v>
      </c>
      <c r="G618" t="s">
        <v>253</v>
      </c>
      <c r="H618" t="s">
        <v>52</v>
      </c>
      <c r="I618" t="s">
        <v>236</v>
      </c>
      <c r="J618" s="28" t="s">
        <v>370</v>
      </c>
      <c r="K618" s="32"/>
      <c r="L618" s="32">
        <v>1</v>
      </c>
      <c r="M618" s="30">
        <v>45986</v>
      </c>
      <c r="N618" s="30">
        <v>46009</v>
      </c>
      <c r="O618" s="43" t="s">
        <v>149</v>
      </c>
      <c r="P618" s="55" t="s">
        <v>1344</v>
      </c>
      <c r="Q618" t="s">
        <v>1345</v>
      </c>
      <c r="R618" t="s">
        <v>1361</v>
      </c>
    </row>
    <row r="619" spans="1:18" ht="14.45">
      <c r="A619" s="106" t="b">
        <v>0</v>
      </c>
      <c r="B619" t="str" cm="1">
        <f t="array" ref="B619">_xlfn.SINGLE(_xlfn._xlws.FILTER(t_ServiceCatalogue[Onwer],t_ServiceCatalogue[Category]=t_fac25_requirements[[#This Row],[Category]],""))</f>
        <v>NW</v>
      </c>
      <c r="C619" t="s">
        <v>191</v>
      </c>
      <c r="D619" t="str">
        <f>_xlfn._xlws.FILTER(t_Contact[FA Name],t_Contact[FA]=t_fac25_requirements[[#This Row],[FA]],"")</f>
        <v>Competition</v>
      </c>
      <c r="E619" t="s">
        <v>213</v>
      </c>
      <c r="F619" t="s">
        <v>259</v>
      </c>
      <c r="G619" t="s">
        <v>267</v>
      </c>
      <c r="H619" t="s">
        <v>46</v>
      </c>
      <c r="I619" t="s">
        <v>47</v>
      </c>
      <c r="J619" s="28" t="s">
        <v>370</v>
      </c>
      <c r="K619" s="32"/>
      <c r="L619" s="32">
        <v>2</v>
      </c>
      <c r="M619" s="30">
        <v>45986</v>
      </c>
      <c r="N619" s="30">
        <v>46009</v>
      </c>
      <c r="O619" s="43" t="s">
        <v>149</v>
      </c>
      <c r="P619" s="55" t="s">
        <v>87</v>
      </c>
      <c r="Q619" t="s">
        <v>1319</v>
      </c>
      <c r="R619" t="s">
        <v>1362</v>
      </c>
    </row>
    <row r="620" spans="1:18" ht="14.45">
      <c r="A620" s="106" t="b">
        <v>0</v>
      </c>
      <c r="B620" t="str" cm="1">
        <f t="array" ref="B620">_xlfn.SINGLE(_xlfn._xlws.FILTER(t_ServiceCatalogue[Onwer],t_ServiceCatalogue[Category]=t_fac25_requirements[[#This Row],[Category]],""))</f>
        <v>NW</v>
      </c>
      <c r="C620" t="s">
        <v>191</v>
      </c>
      <c r="D620" t="str">
        <f>_xlfn._xlws.FILTER(t_Contact[FA Name],t_Contact[FA]=t_fac25_requirements[[#This Row],[FA]],"")</f>
        <v>Competition</v>
      </c>
      <c r="E620" t="s">
        <v>213</v>
      </c>
      <c r="F620" t="s">
        <v>278</v>
      </c>
      <c r="G620" t="s">
        <v>286</v>
      </c>
      <c r="H620" t="s">
        <v>46</v>
      </c>
      <c r="I620" t="s">
        <v>280</v>
      </c>
      <c r="J620" s="28" t="s">
        <v>370</v>
      </c>
      <c r="K620" s="32"/>
      <c r="L620" s="32">
        <v>1</v>
      </c>
      <c r="M620" s="30">
        <v>45986</v>
      </c>
      <c r="N620" s="30">
        <v>46009</v>
      </c>
      <c r="O620" s="43" t="s">
        <v>149</v>
      </c>
      <c r="P620" s="55" t="s">
        <v>87</v>
      </c>
      <c r="Q620" t="s">
        <v>1349</v>
      </c>
      <c r="R620" t="s">
        <v>1363</v>
      </c>
    </row>
    <row r="621" spans="1:18" ht="14.45">
      <c r="A621" s="106" t="b">
        <v>0</v>
      </c>
      <c r="B621" t="str" cm="1">
        <f t="array" ref="B621">_xlfn.SINGLE(_xlfn._xlws.FILTER(t_ServiceCatalogue[Onwer],t_ServiceCatalogue[Category]=t_fac25_requirements[[#This Row],[Category]],""))</f>
        <v>NW</v>
      </c>
      <c r="C621" t="s">
        <v>191</v>
      </c>
      <c r="D621" t="str">
        <f>_xlfn._xlws.FILTER(t_Contact[FA Name],t_Contact[FA]=t_fac25_requirements[[#This Row],[FA]],"")</f>
        <v>Competition</v>
      </c>
      <c r="E621" t="s">
        <v>214</v>
      </c>
      <c r="F621" t="s">
        <v>253</v>
      </c>
      <c r="G621" t="s">
        <v>253</v>
      </c>
      <c r="H621" t="s">
        <v>52</v>
      </c>
      <c r="I621" t="s">
        <v>236</v>
      </c>
      <c r="J621" s="28" t="s">
        <v>370</v>
      </c>
      <c r="K621" s="32"/>
      <c r="L621" s="32">
        <v>1</v>
      </c>
      <c r="M621" s="30">
        <v>45986</v>
      </c>
      <c r="N621" s="30">
        <v>46010</v>
      </c>
      <c r="O621" s="43" t="s">
        <v>149</v>
      </c>
      <c r="P621" s="55" t="s">
        <v>1344</v>
      </c>
      <c r="Q621" t="s">
        <v>1345</v>
      </c>
      <c r="R621" t="s">
        <v>1364</v>
      </c>
    </row>
    <row r="622" spans="1:18" ht="14.45">
      <c r="A622" s="106" t="b">
        <v>0</v>
      </c>
      <c r="B622" t="str" cm="1">
        <f t="array" ref="B622">_xlfn.SINGLE(_xlfn._xlws.FILTER(t_ServiceCatalogue[Onwer],t_ServiceCatalogue[Category]=t_fac25_requirements[[#This Row],[Category]],""))</f>
        <v>NW</v>
      </c>
      <c r="C622" t="s">
        <v>191</v>
      </c>
      <c r="D622" t="str">
        <f>_xlfn._xlws.FILTER(t_Contact[FA Name],t_Contact[FA]=t_fac25_requirements[[#This Row],[FA]],"")</f>
        <v>Competition</v>
      </c>
      <c r="E622" t="s">
        <v>214</v>
      </c>
      <c r="F622" t="s">
        <v>259</v>
      </c>
      <c r="G622" t="s">
        <v>267</v>
      </c>
      <c r="H622" t="s">
        <v>46</v>
      </c>
      <c r="I622" t="s">
        <v>47</v>
      </c>
      <c r="J622" s="28" t="s">
        <v>370</v>
      </c>
      <c r="K622" s="32"/>
      <c r="L622" s="32">
        <v>2</v>
      </c>
      <c r="M622" s="30">
        <v>45986</v>
      </c>
      <c r="N622" s="30">
        <v>46010</v>
      </c>
      <c r="O622" s="43" t="s">
        <v>149</v>
      </c>
      <c r="P622" s="55" t="s">
        <v>87</v>
      </c>
      <c r="Q622" t="s">
        <v>1319</v>
      </c>
    </row>
    <row r="623" spans="1:18" ht="14.45">
      <c r="A623" s="106" t="b">
        <v>0</v>
      </c>
      <c r="B623" t="str" cm="1">
        <f t="array" ref="B623">_xlfn.SINGLE(_xlfn._xlws.FILTER(t_ServiceCatalogue[Onwer],t_ServiceCatalogue[Category]=t_fac25_requirements[[#This Row],[Category]],""))</f>
        <v>NW</v>
      </c>
      <c r="C623" t="s">
        <v>191</v>
      </c>
      <c r="D623" t="str">
        <f>_xlfn._xlws.FILTER(t_Contact[FA Name],t_Contact[FA]=t_fac25_requirements[[#This Row],[FA]],"")</f>
        <v>Competition</v>
      </c>
      <c r="E623" t="s">
        <v>214</v>
      </c>
      <c r="F623" t="s">
        <v>278</v>
      </c>
      <c r="G623" t="s">
        <v>286</v>
      </c>
      <c r="H623" t="s">
        <v>46</v>
      </c>
      <c r="I623" t="s">
        <v>280</v>
      </c>
      <c r="J623" s="28" t="s">
        <v>370</v>
      </c>
      <c r="K623" s="32"/>
      <c r="L623" s="32">
        <v>1</v>
      </c>
      <c r="M623" s="30">
        <v>45986</v>
      </c>
      <c r="N623" s="30">
        <v>46010</v>
      </c>
      <c r="O623" s="43" t="s">
        <v>149</v>
      </c>
      <c r="P623" s="55" t="s">
        <v>87</v>
      </c>
      <c r="Q623" t="s">
        <v>1349</v>
      </c>
      <c r="R623" t="s">
        <v>1365</v>
      </c>
    </row>
    <row r="624" spans="1:18" ht="14.45">
      <c r="A624" s="106" t="b">
        <v>1</v>
      </c>
      <c r="B624" t="str" cm="1">
        <f t="array" ref="B624">_xlfn.SINGLE(_xlfn._xlws.FILTER(t_ServiceCatalogue[Onwer],t_ServiceCatalogue[Category]=t_fac25_requirements[[#This Row],[Category]],""))</f>
        <v>AV</v>
      </c>
      <c r="C624" t="s">
        <v>137</v>
      </c>
      <c r="D624" t="str">
        <f>_xlfn._xlws.FILTER(t_Contact[FA Name],t_Contact[FA]=t_fac25_requirements[[#This Row],[FA]],"")</f>
        <v>Mobility</v>
      </c>
      <c r="E624" t="s">
        <v>19</v>
      </c>
      <c r="F624" s="28" t="s">
        <v>71</v>
      </c>
      <c r="G624" t="s">
        <v>357</v>
      </c>
      <c r="H624" t="s">
        <v>58</v>
      </c>
      <c r="I624" t="s">
        <v>59</v>
      </c>
      <c r="J624" s="28" t="s">
        <v>370</v>
      </c>
      <c r="K624" s="32"/>
      <c r="L624" s="32">
        <v>1</v>
      </c>
      <c r="M624" s="30">
        <v>45931</v>
      </c>
      <c r="N624" s="30">
        <v>46007</v>
      </c>
      <c r="O624" s="43" t="s">
        <v>60</v>
      </c>
      <c r="P624" s="55" t="s">
        <v>1366</v>
      </c>
      <c r="R624" t="s">
        <v>1367</v>
      </c>
    </row>
    <row r="625" spans="1:18" ht="14.45">
      <c r="A625" s="106" t="b">
        <v>1</v>
      </c>
      <c r="B625" t="str" cm="1">
        <f t="array" ref="B625">_xlfn.SINGLE(_xlfn._xlws.FILTER(t_ServiceCatalogue[Onwer],t_ServiceCatalogue[Category]=t_fac25_requirements[[#This Row],[Category]],""))</f>
        <v>AV</v>
      </c>
      <c r="C625" t="s">
        <v>137</v>
      </c>
      <c r="D625" t="str">
        <f>_xlfn._xlws.FILTER(t_Contact[FA Name],t_Contact[FA]=t_fac25_requirements[[#This Row],[FA]],"")</f>
        <v>Mobility</v>
      </c>
      <c r="E625" t="s">
        <v>19</v>
      </c>
      <c r="F625" s="28" t="s">
        <v>71</v>
      </c>
      <c r="G625" t="s">
        <v>357</v>
      </c>
      <c r="H625" t="s">
        <v>110</v>
      </c>
      <c r="I625" t="s">
        <v>111</v>
      </c>
      <c r="J625" s="28" t="s">
        <v>370</v>
      </c>
      <c r="K625" s="32"/>
      <c r="L625" s="32">
        <v>4</v>
      </c>
      <c r="M625" s="30">
        <v>45942</v>
      </c>
      <c r="N625" s="30">
        <v>46007</v>
      </c>
      <c r="O625" s="43" t="s">
        <v>116</v>
      </c>
      <c r="P625" s="55" t="s">
        <v>1368</v>
      </c>
      <c r="Q625" t="s">
        <v>1369</v>
      </c>
      <c r="R625" t="s">
        <v>1370</v>
      </c>
    </row>
    <row r="626" spans="1:18" ht="14.45">
      <c r="A626" s="106" t="b">
        <v>1</v>
      </c>
      <c r="B626" t="str" cm="1">
        <f t="array" ref="B626">_xlfn.SINGLE(_xlfn._xlws.FILTER(t_ServiceCatalogue[Onwer],t_ServiceCatalogue[Category]=t_fac25_requirements[[#This Row],[Category]],""))</f>
        <v>Telco/SIM</v>
      </c>
      <c r="C626" t="s">
        <v>137</v>
      </c>
      <c r="D626" t="str">
        <f>_xlfn._xlws.FILTER(t_Contact[FA Name],t_Contact[FA]=t_fac25_requirements[[#This Row],[FA]],"")</f>
        <v>Mobility</v>
      </c>
      <c r="E626" t="s">
        <v>211</v>
      </c>
      <c r="F626" t="s">
        <v>325</v>
      </c>
      <c r="G626" t="s">
        <v>328</v>
      </c>
      <c r="H626" t="s">
        <v>84</v>
      </c>
      <c r="I626" t="s">
        <v>165</v>
      </c>
      <c r="J626" s="28" t="s">
        <v>407</v>
      </c>
      <c r="K626" s="32"/>
      <c r="L626" s="32">
        <v>1</v>
      </c>
      <c r="M626" s="30">
        <v>45942</v>
      </c>
      <c r="N626" s="30">
        <v>46007</v>
      </c>
      <c r="O626" s="43" t="s">
        <v>54</v>
      </c>
      <c r="P626" s="55" t="s">
        <v>1371</v>
      </c>
      <c r="R626" t="s">
        <v>1372</v>
      </c>
    </row>
    <row r="627" spans="1:18" ht="14.45">
      <c r="A627" s="106" t="b">
        <v>0</v>
      </c>
      <c r="B627" t="str" cm="1">
        <f t="array" ref="B627">_xlfn.SINGLE(_xlfn._xlws.FILTER(t_ServiceCatalogue[Onwer],t_ServiceCatalogue[Category]=t_fac25_requirements[[#This Row],[Category]],""))</f>
        <v>Telco/SIM</v>
      </c>
      <c r="C627" t="s">
        <v>137</v>
      </c>
      <c r="D627" t="str">
        <f>_xlfn._xlws.FILTER(t_Contact[FA Name],t_Contact[FA]=t_fac25_requirements[[#This Row],[FA]],"")</f>
        <v>Mobility</v>
      </c>
      <c r="E627" t="s">
        <v>214</v>
      </c>
      <c r="F627" t="s">
        <v>325</v>
      </c>
      <c r="G627" t="s">
        <v>328</v>
      </c>
      <c r="H627" t="s">
        <v>84</v>
      </c>
      <c r="I627" t="s">
        <v>165</v>
      </c>
      <c r="J627" s="28" t="s">
        <v>407</v>
      </c>
      <c r="K627" s="32"/>
      <c r="L627" s="32">
        <v>1</v>
      </c>
      <c r="M627" s="30">
        <v>45942</v>
      </c>
      <c r="N627" s="30">
        <v>46007</v>
      </c>
      <c r="O627" s="43" t="s">
        <v>54</v>
      </c>
      <c r="P627" s="55" t="s">
        <v>1371</v>
      </c>
      <c r="R627" t="s">
        <v>1373</v>
      </c>
    </row>
    <row r="628" spans="1:18" ht="14.45">
      <c r="A628" s="106" t="b">
        <v>0</v>
      </c>
      <c r="B628" t="str" cm="1">
        <f t="array" ref="B628">_xlfn.SINGLE(_xlfn._xlws.FILTER(t_ServiceCatalogue[Onwer],t_ServiceCatalogue[Category]=t_fac25_requirements[[#This Row],[Category]],""))</f>
        <v>Telco/SIM</v>
      </c>
      <c r="C628" t="s">
        <v>137</v>
      </c>
      <c r="D628" t="str">
        <f>_xlfn._xlws.FILTER(t_Contact[FA Name],t_Contact[FA]=t_fac25_requirements[[#This Row],[FA]],"")</f>
        <v>Mobility</v>
      </c>
      <c r="E628" s="43">
        <v>974</v>
      </c>
      <c r="F628" t="s">
        <v>325</v>
      </c>
      <c r="G628" t="s">
        <v>328</v>
      </c>
      <c r="H628" t="s">
        <v>84</v>
      </c>
      <c r="I628" t="s">
        <v>165</v>
      </c>
      <c r="J628" s="28" t="s">
        <v>407</v>
      </c>
      <c r="K628" s="32"/>
      <c r="L628" s="32">
        <v>1</v>
      </c>
      <c r="M628" s="30">
        <v>45942</v>
      </c>
      <c r="N628" s="30">
        <v>46007</v>
      </c>
      <c r="O628" s="43" t="s">
        <v>54</v>
      </c>
      <c r="P628" s="55" t="s">
        <v>1371</v>
      </c>
      <c r="R628" t="s">
        <v>1374</v>
      </c>
    </row>
    <row r="629" spans="1:18" ht="14.45">
      <c r="A629" s="106" t="b">
        <v>1</v>
      </c>
      <c r="B629" t="str" cm="1">
        <f t="array" ref="B629">_xlfn.SINGLE(_xlfn._xlws.FILTER(t_ServiceCatalogue[Onwer],t_ServiceCatalogue[Category]=t_fac25_requirements[[#This Row],[Category]],""))</f>
        <v>Telco/SIM</v>
      </c>
      <c r="C629" t="s">
        <v>137</v>
      </c>
      <c r="D629" t="str">
        <f>_xlfn._xlws.FILTER(t_Contact[FA Name],t_Contact[FA]=t_fac25_requirements[[#This Row],[FA]],"")</f>
        <v>Mobility</v>
      </c>
      <c r="E629" t="s">
        <v>208</v>
      </c>
      <c r="F629" t="s">
        <v>325</v>
      </c>
      <c r="G629" t="s">
        <v>328</v>
      </c>
      <c r="H629" t="s">
        <v>84</v>
      </c>
      <c r="I629" t="s">
        <v>165</v>
      </c>
      <c r="J629" s="28" t="s">
        <v>407</v>
      </c>
      <c r="K629" s="32"/>
      <c r="L629" s="32">
        <v>1</v>
      </c>
      <c r="M629" s="30">
        <v>45942</v>
      </c>
      <c r="N629" s="30">
        <v>46007</v>
      </c>
      <c r="O629" s="43" t="s">
        <v>54</v>
      </c>
      <c r="P629" s="55" t="s">
        <v>1371</v>
      </c>
      <c r="R629" t="s">
        <v>1375</v>
      </c>
    </row>
    <row r="630" spans="1:18" ht="14.45">
      <c r="A630" s="106" t="b">
        <v>1</v>
      </c>
      <c r="B630" t="str" cm="1">
        <f t="array" ref="B630">_xlfn.SINGLE(_xlfn._xlws.FILTER(t_ServiceCatalogue[Onwer],t_ServiceCatalogue[Category]=t_fac25_requirements[[#This Row],[Category]],""))</f>
        <v>Telco/SIM</v>
      </c>
      <c r="C630" t="s">
        <v>137</v>
      </c>
      <c r="D630" t="str">
        <f>_xlfn._xlws.FILTER(t_Contact[FA Name],t_Contact[FA]=t_fac25_requirements[[#This Row],[FA]],"")</f>
        <v>Mobility</v>
      </c>
      <c r="E630" t="s">
        <v>212</v>
      </c>
      <c r="F630" t="s">
        <v>325</v>
      </c>
      <c r="G630" t="s">
        <v>328</v>
      </c>
      <c r="H630" t="s">
        <v>84</v>
      </c>
      <c r="I630" t="s">
        <v>165</v>
      </c>
      <c r="J630" s="28" t="s">
        <v>407</v>
      </c>
      <c r="K630" s="32"/>
      <c r="L630" s="32">
        <v>1</v>
      </c>
      <c r="M630" s="30">
        <v>45942</v>
      </c>
      <c r="N630" s="30">
        <v>46007</v>
      </c>
      <c r="O630" s="43" t="s">
        <v>54</v>
      </c>
      <c r="P630" s="55" t="s">
        <v>1371</v>
      </c>
      <c r="R630" t="s">
        <v>1376</v>
      </c>
    </row>
    <row r="631" spans="1:18" ht="14.45">
      <c r="A631" s="106" t="b">
        <v>1</v>
      </c>
      <c r="B631" t="str" cm="1">
        <f t="array" ref="B631">_xlfn.SINGLE(_xlfn._xlws.FILTER(t_ServiceCatalogue[Onwer],t_ServiceCatalogue[Category]=t_fac25_requirements[[#This Row],[Category]],""))</f>
        <v>Telco/SIM</v>
      </c>
      <c r="C631" t="s">
        <v>137</v>
      </c>
      <c r="D631" t="str">
        <f>_xlfn._xlws.FILTER(t_Contact[FA Name],t_Contact[FA]=t_fac25_requirements[[#This Row],[FA]],"")</f>
        <v>Mobility</v>
      </c>
      <c r="E631" t="s">
        <v>213</v>
      </c>
      <c r="F631" t="s">
        <v>325</v>
      </c>
      <c r="G631" t="s">
        <v>328</v>
      </c>
      <c r="H631" t="s">
        <v>84</v>
      </c>
      <c r="I631" t="s">
        <v>165</v>
      </c>
      <c r="J631" s="28" t="s">
        <v>407</v>
      </c>
      <c r="K631" s="32"/>
      <c r="L631" s="32">
        <v>1</v>
      </c>
      <c r="M631" s="30">
        <v>45942</v>
      </c>
      <c r="N631" s="30">
        <v>46007</v>
      </c>
      <c r="O631" s="43" t="s">
        <v>54</v>
      </c>
      <c r="P631" s="55" t="s">
        <v>1371</v>
      </c>
      <c r="R631" t="s">
        <v>1377</v>
      </c>
    </row>
    <row r="632" spans="1:18" ht="14.45">
      <c r="A632" s="106" t="b">
        <v>0</v>
      </c>
      <c r="B632" t="str" cm="1">
        <f t="array" ref="B632">_xlfn.SINGLE(_xlfn._xlws.FILTER(t_ServiceCatalogue[Onwer],t_ServiceCatalogue[Category]=t_fac25_requirements[[#This Row],[Category]],""))</f>
        <v>EU</v>
      </c>
      <c r="C632" t="s">
        <v>137</v>
      </c>
      <c r="D632" t="str">
        <f>_xlfn._xlws.FILTER(t_Contact[FA Name],t_Contact[FA]=t_fac25_requirements[[#This Row],[FA]],"")</f>
        <v>Mobility</v>
      </c>
      <c r="E632" t="s">
        <v>211</v>
      </c>
      <c r="F632" t="s">
        <v>325</v>
      </c>
      <c r="G632" t="s">
        <v>426</v>
      </c>
      <c r="H632" t="s">
        <v>22</v>
      </c>
      <c r="I632" t="s">
        <v>23</v>
      </c>
      <c r="J632" s="28" t="s">
        <v>370</v>
      </c>
      <c r="K632" s="32"/>
      <c r="L632" s="32">
        <v>1</v>
      </c>
      <c r="M632" s="30">
        <v>45942</v>
      </c>
      <c r="N632" s="30">
        <v>46007</v>
      </c>
      <c r="O632" s="43" t="s">
        <v>24</v>
      </c>
      <c r="P632" s="55" t="s">
        <v>87</v>
      </c>
      <c r="Q632" t="s">
        <v>1378</v>
      </c>
      <c r="R632" t="s">
        <v>1379</v>
      </c>
    </row>
    <row r="633" spans="1:18" ht="14.45">
      <c r="A633" s="106" t="b">
        <v>1</v>
      </c>
      <c r="B633" t="str" cm="1">
        <f t="array" ref="B633">_xlfn.SINGLE(_xlfn._xlws.FILTER(t_ServiceCatalogue[Onwer],t_ServiceCatalogue[Category]=t_fac25_requirements[[#This Row],[Category]],""))</f>
        <v>NW</v>
      </c>
      <c r="C633" t="s">
        <v>137</v>
      </c>
      <c r="D633" t="str">
        <f>_xlfn._xlws.FILTER(t_Contact[FA Name],t_Contact[FA]=t_fac25_requirements[[#This Row],[FA]],"")</f>
        <v>Mobility</v>
      </c>
      <c r="E633" t="s">
        <v>19</v>
      </c>
      <c r="F633" s="28" t="s">
        <v>71</v>
      </c>
      <c r="G633" t="s">
        <v>357</v>
      </c>
      <c r="H633" t="s">
        <v>46</v>
      </c>
      <c r="I633" t="s">
        <v>148</v>
      </c>
      <c r="J633" s="28" t="s">
        <v>370</v>
      </c>
      <c r="K633" s="32"/>
      <c r="L633" s="32">
        <v>1</v>
      </c>
      <c r="M633" s="30">
        <v>45931</v>
      </c>
      <c r="N633" s="30">
        <v>46007</v>
      </c>
      <c r="O633" s="43" t="s">
        <v>149</v>
      </c>
      <c r="P633" s="55" t="s">
        <v>1366</v>
      </c>
      <c r="Q633" t="s">
        <v>1380</v>
      </c>
      <c r="R633" t="s">
        <v>1381</v>
      </c>
    </row>
    <row r="634" spans="1:18" ht="14.45">
      <c r="A634" s="106" t="b">
        <v>1</v>
      </c>
      <c r="B634" t="str" cm="1">
        <f t="array" ref="B634">_xlfn.SINGLE(_xlfn._xlws.FILTER(t_ServiceCatalogue[Onwer],t_ServiceCatalogue[Category]=t_fac25_requirements[[#This Row],[Category]],""))</f>
        <v>EU</v>
      </c>
      <c r="C634" t="s">
        <v>137</v>
      </c>
      <c r="D634" t="str">
        <f>_xlfn._xlws.FILTER(t_Contact[FA Name],t_Contact[FA]=t_fac25_requirements[[#This Row],[FA]],"")</f>
        <v>Mobility</v>
      </c>
      <c r="E634" t="s">
        <v>19</v>
      </c>
      <c r="F634" s="28" t="s">
        <v>71</v>
      </c>
      <c r="G634" t="s">
        <v>357</v>
      </c>
      <c r="H634" t="s">
        <v>22</v>
      </c>
      <c r="I634" t="s">
        <v>77</v>
      </c>
      <c r="J634" s="28" t="s">
        <v>370</v>
      </c>
      <c r="K634" s="32"/>
      <c r="L634" s="32">
        <v>1</v>
      </c>
      <c r="M634" s="30">
        <v>45942</v>
      </c>
      <c r="N634" s="30">
        <v>46007</v>
      </c>
      <c r="O634" s="43" t="s">
        <v>24</v>
      </c>
      <c r="P634" s="55" t="s">
        <v>87</v>
      </c>
      <c r="Q634" t="s">
        <v>1382</v>
      </c>
      <c r="R634" t="s">
        <v>1383</v>
      </c>
    </row>
    <row r="635" spans="1:18" ht="14.45">
      <c r="A635" s="106" t="b">
        <v>1</v>
      </c>
      <c r="B635" t="str" cm="1">
        <f t="array" ref="B635">_xlfn.SINGLE(_xlfn._xlws.FILTER(t_ServiceCatalogue[Onwer],t_ServiceCatalogue[Category]=t_fac25_requirements[[#This Row],[Category]],""))</f>
        <v>Telco/SIM</v>
      </c>
      <c r="C635" t="s">
        <v>137</v>
      </c>
      <c r="D635" t="str">
        <f>_xlfn._xlws.FILTER(t_Contact[FA Name],t_Contact[FA]=t_fac25_requirements[[#This Row],[FA]],"")</f>
        <v>Mobility</v>
      </c>
      <c r="E635" t="s">
        <v>19</v>
      </c>
      <c r="F635" s="28" t="s">
        <v>71</v>
      </c>
      <c r="G635" t="s">
        <v>357</v>
      </c>
      <c r="H635" t="s">
        <v>84</v>
      </c>
      <c r="I635" t="s">
        <v>221</v>
      </c>
      <c r="J635" s="28" t="s">
        <v>370</v>
      </c>
      <c r="K635" s="32"/>
      <c r="L635" s="32">
        <v>2</v>
      </c>
      <c r="M635" s="30">
        <v>45931</v>
      </c>
      <c r="N635" s="30">
        <v>46007</v>
      </c>
      <c r="O635" s="43" t="s">
        <v>102</v>
      </c>
      <c r="P635" s="55" t="s">
        <v>1366</v>
      </c>
      <c r="Q635" t="s">
        <v>1384</v>
      </c>
      <c r="R635" t="s">
        <v>1385</v>
      </c>
    </row>
    <row r="636" spans="1:18" ht="14.45">
      <c r="A636" s="106" t="b">
        <v>1</v>
      </c>
      <c r="B636" t="str" cm="1">
        <f t="array" ref="B636">_xlfn.SINGLE(_xlfn._xlws.FILTER(t_ServiceCatalogue[Onwer],t_ServiceCatalogue[Category]=t_fac25_requirements[[#This Row],[Category]],""))</f>
        <v>AV</v>
      </c>
      <c r="C636" t="s">
        <v>195</v>
      </c>
      <c r="D636" t="str">
        <f>_xlfn._xlws.FILTER(t_Contact[FA Name],t_Contact[FA]=t_fac25_requirements[[#This Row],[FA]],"")</f>
        <v>Planning and Integration</v>
      </c>
      <c r="E636" t="s">
        <v>19</v>
      </c>
      <c r="F636" s="28" t="s">
        <v>71</v>
      </c>
      <c r="G636" t="s">
        <v>138</v>
      </c>
      <c r="H636" t="s">
        <v>58</v>
      </c>
      <c r="I636" t="s">
        <v>59</v>
      </c>
      <c r="J636" s="28" t="s">
        <v>370</v>
      </c>
      <c r="K636" s="32"/>
      <c r="L636" s="32">
        <v>4</v>
      </c>
      <c r="M636" s="30">
        <v>45945</v>
      </c>
      <c r="N636" s="30">
        <v>46010</v>
      </c>
      <c r="O636" s="43" t="s">
        <v>60</v>
      </c>
      <c r="P636" s="55" t="s">
        <v>87</v>
      </c>
      <c r="R636" t="s">
        <v>1386</v>
      </c>
    </row>
    <row r="637" spans="1:18" ht="14.45">
      <c r="A637" s="106" t="b">
        <v>1</v>
      </c>
      <c r="B637" t="str" cm="1">
        <f t="array" ref="B637">_xlfn.SINGLE(_xlfn._xlws.FILTER(t_ServiceCatalogue[Onwer],t_ServiceCatalogue[Category]=t_fac25_requirements[[#This Row],[Category]],""))</f>
        <v>AV</v>
      </c>
      <c r="C637" t="s">
        <v>195</v>
      </c>
      <c r="D637" t="str">
        <f>_xlfn._xlws.FILTER(t_Contact[FA Name],t_Contact[FA]=t_fac25_requirements[[#This Row],[FA]],"")</f>
        <v>Planning and Integration</v>
      </c>
      <c r="E637" t="s">
        <v>19</v>
      </c>
      <c r="F637" s="28" t="s">
        <v>71</v>
      </c>
      <c r="G637" t="s">
        <v>138</v>
      </c>
      <c r="H637" t="s">
        <v>110</v>
      </c>
      <c r="I637" t="s">
        <v>111</v>
      </c>
      <c r="J637" s="28" t="s">
        <v>370</v>
      </c>
      <c r="K637" s="32"/>
      <c r="L637" s="32">
        <v>2</v>
      </c>
      <c r="M637" s="30">
        <v>45931</v>
      </c>
      <c r="N637" s="30">
        <v>46010</v>
      </c>
      <c r="O637" s="43" t="s">
        <v>112</v>
      </c>
      <c r="P637" s="55" t="s">
        <v>87</v>
      </c>
      <c r="Q637" t="s">
        <v>1387</v>
      </c>
      <c r="R637" t="s">
        <v>1388</v>
      </c>
    </row>
    <row r="638" spans="1:18" ht="14.45">
      <c r="A638" s="106" t="b">
        <v>1</v>
      </c>
      <c r="B638" t="str" cm="1">
        <f t="array" ref="B638">_xlfn.SINGLE(_xlfn._xlws.FILTER(t_ServiceCatalogue[Onwer],t_ServiceCatalogue[Category]=t_fac25_requirements[[#This Row],[Category]],""))</f>
        <v>NW</v>
      </c>
      <c r="C638" t="s">
        <v>195</v>
      </c>
      <c r="D638" t="str">
        <f>_xlfn._xlws.FILTER(t_Contact[FA Name],t_Contact[FA]=t_fac25_requirements[[#This Row],[FA]],"")</f>
        <v>Planning and Integration</v>
      </c>
      <c r="E638" t="s">
        <v>19</v>
      </c>
      <c r="F638" s="28" t="s">
        <v>71</v>
      </c>
      <c r="G638" t="s">
        <v>138</v>
      </c>
      <c r="H638" t="s">
        <v>46</v>
      </c>
      <c r="I638" t="s">
        <v>47</v>
      </c>
      <c r="J638" s="28" t="s">
        <v>370</v>
      </c>
      <c r="K638" s="32"/>
      <c r="L638" s="32">
        <v>140</v>
      </c>
      <c r="M638" s="30">
        <v>45931</v>
      </c>
      <c r="N638" s="30">
        <v>46010</v>
      </c>
      <c r="O638" s="43" t="s">
        <v>48</v>
      </c>
      <c r="P638" s="55" t="s">
        <v>1389</v>
      </c>
      <c r="Q638" t="s">
        <v>1390</v>
      </c>
      <c r="R638" t="s">
        <v>1391</v>
      </c>
    </row>
    <row r="639" spans="1:18" ht="14.45">
      <c r="A639" s="106" t="b">
        <v>1</v>
      </c>
      <c r="B639" t="str" cm="1">
        <f t="array" ref="B639">_xlfn.SINGLE(_xlfn._xlws.FILTER(t_ServiceCatalogue[Onwer],t_ServiceCatalogue[Category]=t_fac25_requirements[[#This Row],[Category]],""))</f>
        <v>EU</v>
      </c>
      <c r="C639" t="s">
        <v>195</v>
      </c>
      <c r="D639" t="str">
        <f>_xlfn._xlws.FILTER(t_Contact[FA Name],t_Contact[FA]=t_fac25_requirements[[#This Row],[FA]],"")</f>
        <v>Planning and Integration</v>
      </c>
      <c r="E639" t="s">
        <v>19</v>
      </c>
      <c r="F639" s="28" t="s">
        <v>71</v>
      </c>
      <c r="G639" t="s">
        <v>138</v>
      </c>
      <c r="H639" t="s">
        <v>22</v>
      </c>
      <c r="I639" t="s">
        <v>23</v>
      </c>
      <c r="J639" s="28" t="s">
        <v>370</v>
      </c>
      <c r="K639" s="32">
        <v>1</v>
      </c>
      <c r="L639" s="32">
        <v>2</v>
      </c>
      <c r="M639" s="30">
        <v>45931</v>
      </c>
      <c r="N639" s="30">
        <v>46010</v>
      </c>
      <c r="O639" s="43" t="s">
        <v>24</v>
      </c>
      <c r="P639" s="55" t="s">
        <v>1392</v>
      </c>
      <c r="Q639" t="s">
        <v>1393</v>
      </c>
      <c r="R639" t="s">
        <v>1394</v>
      </c>
    </row>
    <row r="640" spans="1:18" ht="14.45">
      <c r="A640" s="106" t="b">
        <v>1</v>
      </c>
      <c r="B640" t="str" cm="1">
        <f t="array" ref="B640">_xlfn.SINGLE(_xlfn._xlws.FILTER(t_ServiceCatalogue[Onwer],t_ServiceCatalogue[Category]=t_fac25_requirements[[#This Row],[Category]],""))</f>
        <v>EU</v>
      </c>
      <c r="C640" t="s">
        <v>195</v>
      </c>
      <c r="D640" t="str">
        <f>_xlfn._xlws.FILTER(t_Contact[FA Name],t_Contact[FA]=t_fac25_requirements[[#This Row],[FA]],"")</f>
        <v>Planning and Integration</v>
      </c>
      <c r="E640" t="s">
        <v>19</v>
      </c>
      <c r="F640" s="28" t="s">
        <v>71</v>
      </c>
      <c r="G640" t="s">
        <v>138</v>
      </c>
      <c r="H640" t="s">
        <v>22</v>
      </c>
      <c r="I640" t="s">
        <v>28</v>
      </c>
      <c r="J640" s="28" t="s">
        <v>637</v>
      </c>
      <c r="K640" s="32">
        <v>1</v>
      </c>
      <c r="L640" s="32">
        <v>0</v>
      </c>
      <c r="M640" s="30">
        <v>45931</v>
      </c>
      <c r="N640" s="30">
        <v>46010</v>
      </c>
      <c r="O640" s="43" t="s">
        <v>29</v>
      </c>
      <c r="P640" s="55" t="s">
        <v>1395</v>
      </c>
      <c r="Q640" t="s">
        <v>1396</v>
      </c>
      <c r="R640" t="s">
        <v>1397</v>
      </c>
    </row>
    <row r="641" spans="1:18" ht="14.45">
      <c r="A641" s="106" t="b">
        <v>1</v>
      </c>
      <c r="B641" t="str" cm="1">
        <f t="array" ref="B641">_xlfn.SINGLE(_xlfn._xlws.FILTER(t_ServiceCatalogue[Onwer],t_ServiceCatalogue[Category]=t_fac25_requirements[[#This Row],[Category]],""))</f>
        <v>NW</v>
      </c>
      <c r="C641" t="s">
        <v>195</v>
      </c>
      <c r="D641" t="str">
        <f>_xlfn._xlws.FILTER(t_Contact[FA Name],t_Contact[FA]=t_fac25_requirements[[#This Row],[FA]],"")</f>
        <v>Planning and Integration</v>
      </c>
      <c r="E641" t="s">
        <v>19</v>
      </c>
      <c r="F641" s="28" t="s">
        <v>71</v>
      </c>
      <c r="G641" t="s">
        <v>138</v>
      </c>
      <c r="H641" t="s">
        <v>52</v>
      </c>
      <c r="I641" t="s">
        <v>53</v>
      </c>
      <c r="J641" s="28" t="s">
        <v>370</v>
      </c>
      <c r="K641" s="32"/>
      <c r="L641" s="32">
        <v>1</v>
      </c>
      <c r="M641" s="30">
        <v>45931</v>
      </c>
      <c r="N641" s="30">
        <v>46010</v>
      </c>
      <c r="O641" s="43" t="s">
        <v>54</v>
      </c>
      <c r="P641" s="55"/>
      <c r="Q641" t="s">
        <v>1398</v>
      </c>
      <c r="R641" t="s">
        <v>1399</v>
      </c>
    </row>
    <row r="642" spans="1:18" ht="14.45">
      <c r="A642" s="106" t="b">
        <v>1</v>
      </c>
      <c r="B642" t="str" cm="1">
        <f t="array" ref="B642">_xlfn.SINGLE(_xlfn._xlws.FILTER(t_ServiceCatalogue[Onwer],t_ServiceCatalogue[Category]=t_fac25_requirements[[#This Row],[Category]],""))</f>
        <v>Telco/SIM</v>
      </c>
      <c r="C642" t="s">
        <v>195</v>
      </c>
      <c r="D642" t="str">
        <f>_xlfn._xlws.FILTER(t_Contact[FA Name],t_Contact[FA]=t_fac25_requirements[[#This Row],[FA]],"")</f>
        <v>Planning and Integration</v>
      </c>
      <c r="E642" t="s">
        <v>19</v>
      </c>
      <c r="F642" s="28" t="s">
        <v>71</v>
      </c>
      <c r="G642" t="s">
        <v>138</v>
      </c>
      <c r="H642" t="s">
        <v>84</v>
      </c>
      <c r="I642" t="s">
        <v>221</v>
      </c>
      <c r="J642" s="28" t="s">
        <v>370</v>
      </c>
      <c r="K642" s="32"/>
      <c r="L642" s="32">
        <v>5</v>
      </c>
      <c r="M642" s="30">
        <v>45931</v>
      </c>
      <c r="N642" s="30">
        <v>46010</v>
      </c>
      <c r="O642" s="43" t="s">
        <v>102</v>
      </c>
      <c r="P642" s="55"/>
      <c r="Q642" t="s">
        <v>1400</v>
      </c>
      <c r="R642" t="s">
        <v>1401</v>
      </c>
    </row>
    <row r="643" spans="1:18" ht="14.45">
      <c r="A643" s="106" t="b">
        <v>1</v>
      </c>
      <c r="B643" t="str" cm="1">
        <f t="array" ref="B643">_xlfn.SINGLE(_xlfn._xlws.FILTER(t_ServiceCatalogue[Onwer],t_ServiceCatalogue[Category]=t_fac25_requirements[[#This Row],[Category]],""))</f>
        <v>EU</v>
      </c>
      <c r="C643" t="s">
        <v>137</v>
      </c>
      <c r="D643" t="str">
        <f>_xlfn._xlws.FILTER(t_Contact[FA Name],t_Contact[FA]=t_fac25_requirements[[#This Row],[FA]],"")</f>
        <v>Mobility</v>
      </c>
      <c r="E643" t="s">
        <v>211</v>
      </c>
      <c r="F643" t="s">
        <v>325</v>
      </c>
      <c r="G643" t="s">
        <v>479</v>
      </c>
      <c r="H643" t="s">
        <v>32</v>
      </c>
      <c r="I643" t="s">
        <v>41</v>
      </c>
      <c r="J643" s="28" t="s">
        <v>1402</v>
      </c>
      <c r="K643" s="32"/>
      <c r="L643" s="32">
        <v>5</v>
      </c>
      <c r="M643" s="30">
        <v>45942</v>
      </c>
      <c r="N643" s="30">
        <v>46007</v>
      </c>
      <c r="O643" s="43" t="s">
        <v>42</v>
      </c>
      <c r="P643" s="55" t="s">
        <v>1403</v>
      </c>
      <c r="Q643" t="s">
        <v>1404</v>
      </c>
      <c r="R643" t="s">
        <v>1405</v>
      </c>
    </row>
    <row r="644" spans="1:18" ht="14.45">
      <c r="A644" s="106" t="b">
        <v>1</v>
      </c>
      <c r="B644" t="str" cm="1">
        <f t="array" ref="B644">_xlfn.SINGLE(_xlfn._xlws.FILTER(t_ServiceCatalogue[Onwer],t_ServiceCatalogue[Category]=t_fac25_requirements[[#This Row],[Category]],""))</f>
        <v>EU</v>
      </c>
      <c r="C644" t="s">
        <v>137</v>
      </c>
      <c r="D644" t="str">
        <f>_xlfn._xlws.FILTER(t_Contact[FA Name],t_Contact[FA]=t_fac25_requirements[[#This Row],[FA]],"")</f>
        <v>Mobility</v>
      </c>
      <c r="E644" t="s">
        <v>214</v>
      </c>
      <c r="F644" t="s">
        <v>325</v>
      </c>
      <c r="G644" t="s">
        <v>479</v>
      </c>
      <c r="H644" t="s">
        <v>32</v>
      </c>
      <c r="I644" t="s">
        <v>41</v>
      </c>
      <c r="J644" s="28" t="s">
        <v>1402</v>
      </c>
      <c r="K644" s="32"/>
      <c r="L644" s="32">
        <v>5</v>
      </c>
      <c r="M644" s="30">
        <v>45942</v>
      </c>
      <c r="N644" s="30">
        <v>46007</v>
      </c>
      <c r="O644" s="43" t="s">
        <v>42</v>
      </c>
      <c r="P644" s="55" t="s">
        <v>1403</v>
      </c>
      <c r="Q644" t="s">
        <v>1404</v>
      </c>
      <c r="R644" t="s">
        <v>1406</v>
      </c>
    </row>
    <row r="645" spans="1:18" ht="14.45">
      <c r="A645" s="106" t="b">
        <v>1</v>
      </c>
      <c r="B645" t="str" cm="1">
        <f t="array" ref="B645">_xlfn.SINGLE(_xlfn._xlws.FILTER(t_ServiceCatalogue[Onwer],t_ServiceCatalogue[Category]=t_fac25_requirements[[#This Row],[Category]],""))</f>
        <v>EU</v>
      </c>
      <c r="C645" t="s">
        <v>137</v>
      </c>
      <c r="D645" t="str">
        <f>_xlfn._xlws.FILTER(t_Contact[FA Name],t_Contact[FA]=t_fac25_requirements[[#This Row],[FA]],"")</f>
        <v>Mobility</v>
      </c>
      <c r="E645" s="43">
        <v>974</v>
      </c>
      <c r="F645" t="s">
        <v>325</v>
      </c>
      <c r="G645" t="s">
        <v>479</v>
      </c>
      <c r="H645" t="s">
        <v>32</v>
      </c>
      <c r="I645" t="s">
        <v>41</v>
      </c>
      <c r="J645" s="28" t="s">
        <v>1402</v>
      </c>
      <c r="K645" s="32"/>
      <c r="L645" s="32">
        <v>5</v>
      </c>
      <c r="M645" s="30">
        <v>45942</v>
      </c>
      <c r="N645" s="30">
        <v>46007</v>
      </c>
      <c r="O645" s="43" t="s">
        <v>42</v>
      </c>
      <c r="P645" s="55" t="s">
        <v>1403</v>
      </c>
      <c r="Q645" t="s">
        <v>1404</v>
      </c>
      <c r="R645" t="s">
        <v>1407</v>
      </c>
    </row>
    <row r="646" spans="1:18" ht="14.45">
      <c r="A646" s="106" t="b">
        <v>1</v>
      </c>
      <c r="B646" t="str" cm="1">
        <f t="array" ref="B646">_xlfn.SINGLE(_xlfn._xlws.FILTER(t_ServiceCatalogue[Onwer],t_ServiceCatalogue[Category]=t_fac25_requirements[[#This Row],[Category]],""))</f>
        <v>EU</v>
      </c>
      <c r="C646" t="s">
        <v>137</v>
      </c>
      <c r="D646" t="str">
        <f>_xlfn._xlws.FILTER(t_Contact[FA Name],t_Contact[FA]=t_fac25_requirements[[#This Row],[FA]],"")</f>
        <v>Mobility</v>
      </c>
      <c r="E646" s="43" t="s">
        <v>208</v>
      </c>
      <c r="F646" t="s">
        <v>325</v>
      </c>
      <c r="G646" t="s">
        <v>479</v>
      </c>
      <c r="H646" t="s">
        <v>32</v>
      </c>
      <c r="I646" t="s">
        <v>41</v>
      </c>
      <c r="J646" s="28" t="s">
        <v>1402</v>
      </c>
      <c r="K646" s="32"/>
      <c r="L646" s="32">
        <v>5</v>
      </c>
      <c r="M646" s="30">
        <v>45942</v>
      </c>
      <c r="N646" s="30">
        <v>46007</v>
      </c>
      <c r="O646" s="43" t="s">
        <v>42</v>
      </c>
      <c r="P646" s="55" t="s">
        <v>1403</v>
      </c>
      <c r="Q646" t="s">
        <v>1404</v>
      </c>
      <c r="R646" t="s">
        <v>1408</v>
      </c>
    </row>
    <row r="647" spans="1:18" ht="14.45">
      <c r="A647" s="106" t="b">
        <v>1</v>
      </c>
      <c r="B647" t="str" cm="1">
        <f t="array" ref="B647">_xlfn.SINGLE(_xlfn._xlws.FILTER(t_ServiceCatalogue[Onwer],t_ServiceCatalogue[Category]=t_fac25_requirements[[#This Row],[Category]],""))</f>
        <v>EU</v>
      </c>
      <c r="C647" t="s">
        <v>137</v>
      </c>
      <c r="D647" t="str">
        <f>_xlfn._xlws.FILTER(t_Contact[FA Name],t_Contact[FA]=t_fac25_requirements[[#This Row],[FA]],"")</f>
        <v>Mobility</v>
      </c>
      <c r="E647" t="s">
        <v>212</v>
      </c>
      <c r="F647" t="s">
        <v>325</v>
      </c>
      <c r="G647" t="s">
        <v>479</v>
      </c>
      <c r="H647" t="s">
        <v>32</v>
      </c>
      <c r="I647" t="s">
        <v>41</v>
      </c>
      <c r="J647" s="28" t="s">
        <v>1402</v>
      </c>
      <c r="K647" s="32"/>
      <c r="L647" s="32">
        <v>5</v>
      </c>
      <c r="M647" s="30">
        <v>45942</v>
      </c>
      <c r="N647" s="30">
        <v>46007</v>
      </c>
      <c r="O647" s="43" t="s">
        <v>42</v>
      </c>
      <c r="P647" s="55" t="s">
        <v>1403</v>
      </c>
      <c r="Q647" t="s">
        <v>1404</v>
      </c>
      <c r="R647" t="s">
        <v>1409</v>
      </c>
    </row>
    <row r="648" spans="1:18" ht="14.45">
      <c r="A648" s="106" t="b">
        <v>1</v>
      </c>
      <c r="B648" t="str" cm="1">
        <f t="array" ref="B648">_xlfn.SINGLE(_xlfn._xlws.FILTER(t_ServiceCatalogue[Onwer],t_ServiceCatalogue[Category]=t_fac25_requirements[[#This Row],[Category]],""))</f>
        <v>EU</v>
      </c>
      <c r="C648" t="s">
        <v>137</v>
      </c>
      <c r="D648" t="str">
        <f>_xlfn._xlws.FILTER(t_Contact[FA Name],t_Contact[FA]=t_fac25_requirements[[#This Row],[FA]],"")</f>
        <v>Mobility</v>
      </c>
      <c r="E648" t="s">
        <v>213</v>
      </c>
      <c r="F648" t="s">
        <v>325</v>
      </c>
      <c r="G648" t="s">
        <v>479</v>
      </c>
      <c r="H648" t="s">
        <v>32</v>
      </c>
      <c r="I648" t="s">
        <v>41</v>
      </c>
      <c r="J648" s="28" t="s">
        <v>1402</v>
      </c>
      <c r="K648" s="32"/>
      <c r="L648" s="32">
        <v>5</v>
      </c>
      <c r="M648" s="30">
        <v>45942</v>
      </c>
      <c r="N648" s="30">
        <v>46007</v>
      </c>
      <c r="O648" s="43" t="s">
        <v>42</v>
      </c>
      <c r="P648" s="55" t="s">
        <v>1403</v>
      </c>
      <c r="Q648" t="s">
        <v>1410</v>
      </c>
      <c r="R648" t="s">
        <v>1411</v>
      </c>
    </row>
    <row r="649" spans="1:18" ht="14.45">
      <c r="A649" s="106" t="b">
        <v>1</v>
      </c>
      <c r="B649" t="str" cm="1">
        <f t="array" ref="B649">_xlfn.SINGLE(_xlfn._xlws.FILTER(t_ServiceCatalogue[Onwer],t_ServiceCatalogue[Category]=t_fac25_requirements[[#This Row],[Category]],""))</f>
        <v>EU</v>
      </c>
      <c r="C649" t="s">
        <v>195</v>
      </c>
      <c r="D649" t="str">
        <f>_xlfn._xlws.FILTER(t_Contact[FA Name],t_Contact[FA]=t_fac25_requirements[[#This Row],[FA]],"")</f>
        <v>Planning and Integration</v>
      </c>
      <c r="E649" t="s">
        <v>19</v>
      </c>
      <c r="F649" s="28" t="s">
        <v>71</v>
      </c>
      <c r="G649" t="s">
        <v>138</v>
      </c>
      <c r="H649" t="s">
        <v>32</v>
      </c>
      <c r="I649" t="s">
        <v>94</v>
      </c>
      <c r="J649" s="28" t="s">
        <v>370</v>
      </c>
      <c r="K649" s="32"/>
      <c r="L649" s="32">
        <v>130</v>
      </c>
      <c r="M649" s="30">
        <v>45931</v>
      </c>
      <c r="N649" s="30">
        <v>46010</v>
      </c>
      <c r="O649" s="43" t="s">
        <v>95</v>
      </c>
      <c r="P649" s="55"/>
      <c r="Q649" t="s">
        <v>1412</v>
      </c>
      <c r="R649" t="s">
        <v>1413</v>
      </c>
    </row>
    <row r="650" spans="1:18" ht="14.45">
      <c r="A650" s="106" t="b">
        <v>1</v>
      </c>
      <c r="B650" t="str" cm="1">
        <f t="array" ref="B650">_xlfn.SINGLE(_xlfn._xlws.FILTER(t_ServiceCatalogue[Onwer],t_ServiceCatalogue[Category]=t_fac25_requirements[[#This Row],[Category]],""))</f>
        <v>EU</v>
      </c>
      <c r="C650" t="s">
        <v>195</v>
      </c>
      <c r="D650" t="str">
        <f>_xlfn._xlws.FILTER(t_Contact[FA Name],t_Contact[FA]=t_fac25_requirements[[#This Row],[FA]],"")</f>
        <v>Planning and Integration</v>
      </c>
      <c r="E650" t="s">
        <v>19</v>
      </c>
      <c r="F650" s="28" t="s">
        <v>71</v>
      </c>
      <c r="G650" t="s">
        <v>138</v>
      </c>
      <c r="H650" t="s">
        <v>32</v>
      </c>
      <c r="I650" t="s">
        <v>33</v>
      </c>
      <c r="J650" s="28" t="s">
        <v>370</v>
      </c>
      <c r="K650" s="32"/>
      <c r="L650" s="32">
        <v>20</v>
      </c>
      <c r="M650" s="30">
        <v>45931</v>
      </c>
      <c r="N650" s="30">
        <v>46010</v>
      </c>
      <c r="O650" s="43" t="s">
        <v>34</v>
      </c>
      <c r="P650" s="55"/>
      <c r="Q650" t="s">
        <v>1414</v>
      </c>
      <c r="R650" t="s">
        <v>1415</v>
      </c>
    </row>
    <row r="651" spans="1:18" ht="14.45">
      <c r="A651" s="106" t="b">
        <v>1</v>
      </c>
      <c r="B651" t="str" cm="1">
        <f t="array" ref="B651">_xlfn.SINGLE(_xlfn._xlws.FILTER(t_ServiceCatalogue[Onwer],t_ServiceCatalogue[Category]=t_fac25_requirements[[#This Row],[Category]],""))</f>
        <v>AV</v>
      </c>
      <c r="C651" t="s">
        <v>195</v>
      </c>
      <c r="D651" t="str">
        <f>_xlfn._xlws.FILTER(t_Contact[FA Name],t_Contact[FA]=t_fac25_requirements[[#This Row],[FA]],"")</f>
        <v>Planning and Integration</v>
      </c>
      <c r="E651" t="s">
        <v>19</v>
      </c>
      <c r="F651" s="28" t="s">
        <v>71</v>
      </c>
      <c r="G651" t="s">
        <v>138</v>
      </c>
      <c r="H651" t="s">
        <v>110</v>
      </c>
      <c r="I651" t="s">
        <v>115</v>
      </c>
      <c r="J651" s="28" t="s">
        <v>370</v>
      </c>
      <c r="K651" s="32"/>
      <c r="L651" s="32">
        <v>1</v>
      </c>
      <c r="M651" s="30">
        <v>45931</v>
      </c>
      <c r="N651" s="30">
        <v>46010</v>
      </c>
      <c r="O651" s="43" t="s">
        <v>116</v>
      </c>
      <c r="P651" s="55"/>
      <c r="Q651" t="s">
        <v>1416</v>
      </c>
      <c r="R651" t="s">
        <v>1417</v>
      </c>
    </row>
    <row r="652" spans="1:18" ht="14.45">
      <c r="A652" s="106" t="b">
        <v>1</v>
      </c>
      <c r="B652" t="s">
        <v>203</v>
      </c>
      <c r="C652" t="s">
        <v>195</v>
      </c>
      <c r="D652" t="str">
        <f>_xlfn._xlws.FILTER(t_Contact[FA Name],t_Contact[FA]=t_fac25_requirements[[#This Row],[FA]],"")</f>
        <v>Planning and Integration</v>
      </c>
      <c r="E652" t="s">
        <v>19</v>
      </c>
      <c r="F652" s="28" t="s">
        <v>71</v>
      </c>
      <c r="G652" t="s">
        <v>138</v>
      </c>
      <c r="H652" t="s">
        <v>22</v>
      </c>
      <c r="I652" t="s">
        <v>23</v>
      </c>
      <c r="J652" s="28" t="s">
        <v>370</v>
      </c>
      <c r="K652" s="32"/>
      <c r="L652" s="32">
        <v>2</v>
      </c>
      <c r="M652" s="30">
        <v>45951</v>
      </c>
      <c r="N652" s="30">
        <v>46010</v>
      </c>
      <c r="O652" s="43" t="s">
        <v>24</v>
      </c>
      <c r="P652" s="55" t="s">
        <v>1418</v>
      </c>
    </row>
    <row r="653" spans="1:18" ht="14.45">
      <c r="A653" s="106" t="b">
        <v>1</v>
      </c>
      <c r="B653" t="str" cm="1">
        <f t="array" ref="B653">_xlfn.SINGLE(_xlfn._xlws.FILTER(t_ServiceCatalogue[Onwer],t_ServiceCatalogue[Category]=t_fac25_requirements[[#This Row],[Category]],""))</f>
        <v>AV</v>
      </c>
      <c r="C653" t="s">
        <v>156</v>
      </c>
      <c r="D653" t="str">
        <f>_xlfn._xlws.FILTER(t_Contact[FA Name],t_Contact[FA]=t_fac25_requirements[[#This Row],[FA]],"")</f>
        <v>Ticketing</v>
      </c>
      <c r="E653" t="s">
        <v>19</v>
      </c>
      <c r="F653" s="28" t="s">
        <v>71</v>
      </c>
      <c r="G653" t="s">
        <v>351</v>
      </c>
      <c r="H653" t="s">
        <v>110</v>
      </c>
      <c r="I653" t="s">
        <v>111</v>
      </c>
      <c r="J653" s="28" t="s">
        <v>370</v>
      </c>
      <c r="K653" s="32"/>
      <c r="L653" s="32">
        <v>4</v>
      </c>
      <c r="M653" s="30">
        <v>45920</v>
      </c>
      <c r="N653" s="30">
        <v>46021</v>
      </c>
      <c r="O653" s="43" t="s">
        <v>112</v>
      </c>
      <c r="P653" s="55" t="s">
        <v>1419</v>
      </c>
      <c r="Q653" t="s">
        <v>158</v>
      </c>
      <c r="R653" t="s">
        <v>1420</v>
      </c>
    </row>
    <row r="654" spans="1:18" ht="14.45">
      <c r="A654" s="106" t="b">
        <v>1</v>
      </c>
      <c r="B654" t="str" cm="1">
        <f t="array" ref="B654">_xlfn.SINGLE(_xlfn._xlws.FILTER(t_ServiceCatalogue[Onwer],t_ServiceCatalogue[Category]=t_fac25_requirements[[#This Row],[Category]],""))</f>
        <v>EU</v>
      </c>
      <c r="C654" t="s">
        <v>156</v>
      </c>
      <c r="D654" t="str">
        <f>_xlfn._xlws.FILTER(t_Contact[FA Name],t_Contact[FA]=t_fac25_requirements[[#This Row],[FA]],"")</f>
        <v>Ticketing</v>
      </c>
      <c r="E654" t="s">
        <v>19</v>
      </c>
      <c r="F654" s="28" t="s">
        <v>71</v>
      </c>
      <c r="G654" t="s">
        <v>351</v>
      </c>
      <c r="H654" t="s">
        <v>32</v>
      </c>
      <c r="I654" t="s">
        <v>33</v>
      </c>
      <c r="J654" s="28" t="s">
        <v>370</v>
      </c>
      <c r="K654" s="32"/>
      <c r="L654" s="32">
        <v>4</v>
      </c>
      <c r="M654" s="30">
        <v>45962</v>
      </c>
      <c r="N654" s="30">
        <v>46021</v>
      </c>
      <c r="O654" s="43" t="s">
        <v>34</v>
      </c>
      <c r="P654" s="55" t="s">
        <v>1421</v>
      </c>
      <c r="Q654" t="s">
        <v>160</v>
      </c>
      <c r="R654" t="s">
        <v>1422</v>
      </c>
    </row>
    <row r="655" spans="1:18" ht="14.45">
      <c r="A655" s="106" t="b">
        <v>1</v>
      </c>
      <c r="B655" t="str" cm="1">
        <f t="array" ref="B655">_xlfn.SINGLE(_xlfn._xlws.FILTER(t_ServiceCatalogue[Onwer],t_ServiceCatalogue[Category]=t_fac25_requirements[[#This Row],[Category]],""))</f>
        <v>NW</v>
      </c>
      <c r="C655" t="s">
        <v>156</v>
      </c>
      <c r="D655" t="str">
        <f>_xlfn._xlws.FILTER(t_Contact[FA Name],t_Contact[FA]=t_fac25_requirements[[#This Row],[FA]],"")</f>
        <v>Ticketing</v>
      </c>
      <c r="E655" t="s">
        <v>19</v>
      </c>
      <c r="F655" s="28" t="s">
        <v>71</v>
      </c>
      <c r="G655" t="s">
        <v>351</v>
      </c>
      <c r="H655" t="s">
        <v>52</v>
      </c>
      <c r="I655" t="s">
        <v>53</v>
      </c>
      <c r="J655" s="28" t="s">
        <v>370</v>
      </c>
      <c r="K655" s="32"/>
      <c r="L655" s="32">
        <v>1</v>
      </c>
      <c r="M655" s="30">
        <v>45920</v>
      </c>
      <c r="N655" s="30">
        <v>46021</v>
      </c>
      <c r="O655" s="43" t="s">
        <v>48</v>
      </c>
      <c r="P655" s="55" t="s">
        <v>1423</v>
      </c>
      <c r="R655" t="s">
        <v>1424</v>
      </c>
    </row>
    <row r="656" spans="1:18" ht="14.45">
      <c r="A656" s="106" t="b">
        <v>1</v>
      </c>
      <c r="B656" t="str" cm="1">
        <f t="array" ref="B656">_xlfn.SINGLE(_xlfn._xlws.FILTER(t_ServiceCatalogue[Onwer],t_ServiceCatalogue[Category]=t_fac25_requirements[[#This Row],[Category]],""))</f>
        <v>NW</v>
      </c>
      <c r="C656" t="s">
        <v>156</v>
      </c>
      <c r="D656" t="str">
        <f>_xlfn._xlws.FILTER(t_Contact[FA Name],t_Contact[FA]=t_fac25_requirements[[#This Row],[FA]],"")</f>
        <v>Ticketing</v>
      </c>
      <c r="E656" t="s">
        <v>19</v>
      </c>
      <c r="F656" s="28" t="s">
        <v>71</v>
      </c>
      <c r="G656" t="s">
        <v>351</v>
      </c>
      <c r="H656" t="s">
        <v>52</v>
      </c>
      <c r="I656" t="s">
        <v>53</v>
      </c>
      <c r="J656" s="28" t="s">
        <v>637</v>
      </c>
      <c r="K656" s="32"/>
      <c r="L656" s="32">
        <v>0</v>
      </c>
      <c r="M656" s="30">
        <v>45962</v>
      </c>
      <c r="N656" s="30">
        <v>46021</v>
      </c>
      <c r="O656" s="43" t="s">
        <v>54</v>
      </c>
      <c r="P656" s="55" t="s">
        <v>1366</v>
      </c>
      <c r="Q656" t="s">
        <v>163</v>
      </c>
      <c r="R656" t="s">
        <v>1425</v>
      </c>
    </row>
    <row r="657" spans="1:18" ht="57.6">
      <c r="A657" s="106" t="b">
        <v>1</v>
      </c>
      <c r="B657" t="str" cm="1">
        <f t="array" ref="B657">_xlfn.SINGLE(_xlfn._xlws.FILTER(t_ServiceCatalogue[Onwer],t_ServiceCatalogue[Category]=t_fac25_requirements[[#This Row],[Category]],""))</f>
        <v>Telco/SIM</v>
      </c>
      <c r="C657" t="s">
        <v>156</v>
      </c>
      <c r="D657" t="str">
        <f>_xlfn._xlws.FILTER(t_Contact[FA Name],t_Contact[FA]=t_fac25_requirements[[#This Row],[FA]],"")</f>
        <v>Ticketing</v>
      </c>
      <c r="E657" t="s">
        <v>19</v>
      </c>
      <c r="F657" s="28" t="s">
        <v>71</v>
      </c>
      <c r="G657" t="s">
        <v>351</v>
      </c>
      <c r="H657" t="s">
        <v>84</v>
      </c>
      <c r="I657" t="s">
        <v>165</v>
      </c>
      <c r="J657" s="28" t="s">
        <v>407</v>
      </c>
      <c r="K657" s="32"/>
      <c r="L657" s="32">
        <v>1</v>
      </c>
      <c r="M657" s="30">
        <v>45931</v>
      </c>
      <c r="N657" s="30">
        <v>46009</v>
      </c>
      <c r="O657" s="43" t="s">
        <v>166</v>
      </c>
      <c r="P657" s="70" t="s">
        <v>1426</v>
      </c>
      <c r="Q657" t="s">
        <v>167</v>
      </c>
      <c r="R657" t="s">
        <v>1427</v>
      </c>
    </row>
    <row r="658" spans="1:18" ht="14.45">
      <c r="A658" s="106" t="b">
        <v>1</v>
      </c>
      <c r="B658" t="str" cm="1">
        <f t="array" ref="B658">_xlfn.SINGLE(_xlfn._xlws.FILTER(t_ServiceCatalogue[Onwer],t_ServiceCatalogue[Category]=t_fac25_requirements[[#This Row],[Category]],""))</f>
        <v>EU</v>
      </c>
      <c r="C658" t="s">
        <v>156</v>
      </c>
      <c r="D658" t="str">
        <f>_xlfn._xlws.FILTER(t_Contact[FA Name],t_Contact[FA]=t_fac25_requirements[[#This Row],[FA]],"")</f>
        <v>Ticketing</v>
      </c>
      <c r="E658" t="s">
        <v>19</v>
      </c>
      <c r="F658" s="28" t="s">
        <v>71</v>
      </c>
      <c r="G658" t="s">
        <v>351</v>
      </c>
      <c r="H658" t="s">
        <v>22</v>
      </c>
      <c r="I658" t="s">
        <v>28</v>
      </c>
      <c r="J658" s="28" t="s">
        <v>370</v>
      </c>
      <c r="K658" s="32"/>
      <c r="L658" s="32">
        <v>1</v>
      </c>
      <c r="M658" s="30">
        <v>45931</v>
      </c>
      <c r="N658" s="30">
        <v>46021</v>
      </c>
      <c r="O658" s="43" t="s">
        <v>29</v>
      </c>
      <c r="P658" s="55" t="s">
        <v>87</v>
      </c>
      <c r="Q658" t="s">
        <v>1428</v>
      </c>
      <c r="R658" t="s">
        <v>1429</v>
      </c>
    </row>
    <row r="659" spans="1:18" ht="14.45">
      <c r="A659" s="106" t="b">
        <v>1</v>
      </c>
      <c r="B659" t="str" cm="1">
        <f t="array" ref="B659">_xlfn.SINGLE(_xlfn._xlws.FILTER(t_ServiceCatalogue[Onwer],t_ServiceCatalogue[Category]=t_fac25_requirements[[#This Row],[Category]],""))</f>
        <v>EU</v>
      </c>
      <c r="C659" t="s">
        <v>156</v>
      </c>
      <c r="D659" t="str">
        <f>_xlfn._xlws.FILTER(t_Contact[FA Name],t_Contact[FA]=t_fac25_requirements[[#This Row],[FA]],"")</f>
        <v>Ticketing</v>
      </c>
      <c r="E659" t="s">
        <v>19</v>
      </c>
      <c r="F659" s="28" t="s">
        <v>71</v>
      </c>
      <c r="G659" t="s">
        <v>351</v>
      </c>
      <c r="H659" t="s">
        <v>22</v>
      </c>
      <c r="I659" t="s">
        <v>23</v>
      </c>
      <c r="J659" s="28" t="s">
        <v>637</v>
      </c>
      <c r="K659" s="32"/>
      <c r="L659" s="32">
        <v>0</v>
      </c>
      <c r="M659" s="30">
        <v>45962</v>
      </c>
      <c r="N659" s="30">
        <v>46021</v>
      </c>
      <c r="O659" s="43" t="s">
        <v>24</v>
      </c>
      <c r="P659" s="55" t="s">
        <v>1430</v>
      </c>
      <c r="Q659" t="s">
        <v>1431</v>
      </c>
      <c r="R659" t="s">
        <v>1432</v>
      </c>
    </row>
    <row r="660" spans="1:18" ht="14.45">
      <c r="A660" s="106" t="b">
        <v>0</v>
      </c>
      <c r="B660" t="str" cm="1">
        <f t="array" ref="B660">_xlfn.SINGLE(_xlfn._xlws.FILTER(t_ServiceCatalogue[Onwer],t_ServiceCatalogue[Category]=t_fac25_requirements[[#This Row],[Category]],""))</f>
        <v>NW</v>
      </c>
      <c r="C660" t="s">
        <v>194</v>
      </c>
      <c r="D660" t="str">
        <f>_xlfn._xlws.FILTER(t_Contact[FA Name],t_Contact[FA]=t_fac25_requirements[[#This Row],[FA]],"")</f>
        <v>Media Operations</v>
      </c>
      <c r="E660" t="s">
        <v>211</v>
      </c>
      <c r="F660" t="s">
        <v>268</v>
      </c>
      <c r="G660" t="s">
        <v>274</v>
      </c>
      <c r="H660" t="s">
        <v>52</v>
      </c>
      <c r="I660" t="s">
        <v>252</v>
      </c>
      <c r="J660" s="28" t="s">
        <v>370</v>
      </c>
      <c r="K660" s="82"/>
      <c r="L660" s="32">
        <v>5</v>
      </c>
      <c r="M660" s="30">
        <v>45986</v>
      </c>
      <c r="N660" s="30">
        <v>46007</v>
      </c>
      <c r="O660" s="43" t="s">
        <v>552</v>
      </c>
      <c r="P660" s="55"/>
      <c r="R660" t="s">
        <v>1433</v>
      </c>
    </row>
    <row r="661" spans="1:18" ht="14.45">
      <c r="A661" s="106" t="b">
        <v>1</v>
      </c>
      <c r="B661" t="str" cm="1">
        <f t="array" ref="B661">_xlfn.SINGLE(_xlfn._xlws.FILTER(t_ServiceCatalogue[Onwer],t_ServiceCatalogue[Category]=t_fac25_requirements[[#This Row],[Category]],""))</f>
        <v>EU</v>
      </c>
      <c r="C661" t="s">
        <v>194</v>
      </c>
      <c r="D661" t="str">
        <f>_xlfn._xlws.FILTER(t_Contact[FA Name],t_Contact[FA]=t_fac25_requirements[[#This Row],[FA]],"")</f>
        <v>Media Operations</v>
      </c>
      <c r="E661" t="s">
        <v>211</v>
      </c>
      <c r="F661" t="s">
        <v>268</v>
      </c>
      <c r="G661" t="s">
        <v>274</v>
      </c>
      <c r="H661" t="s">
        <v>32</v>
      </c>
      <c r="I661" t="s">
        <v>33</v>
      </c>
      <c r="J661" s="28" t="s">
        <v>370</v>
      </c>
      <c r="K661" s="82"/>
      <c r="L661" s="32">
        <v>2</v>
      </c>
      <c r="M661" s="30">
        <v>45986</v>
      </c>
      <c r="N661" s="30">
        <v>46007</v>
      </c>
      <c r="O661" s="43" t="s">
        <v>34</v>
      </c>
      <c r="P661" s="55"/>
      <c r="R661" t="s">
        <v>1434</v>
      </c>
    </row>
    <row r="662" spans="1:18" ht="14.45">
      <c r="A662" s="106" t="b">
        <v>0</v>
      </c>
      <c r="B662" t="str" cm="1">
        <f t="array" ref="B662">_xlfn.SINGLE(_xlfn._xlws.FILTER(t_ServiceCatalogue[Onwer],t_ServiceCatalogue[Category]=t_fac25_requirements[[#This Row],[Category]],""))</f>
        <v>NW</v>
      </c>
      <c r="C662" t="s">
        <v>194</v>
      </c>
      <c r="D662" t="str">
        <f>_xlfn._xlws.FILTER(t_Contact[FA Name],t_Contact[FA]=t_fac25_requirements[[#This Row],[FA]],"")</f>
        <v>Media Operations</v>
      </c>
      <c r="E662" t="s">
        <v>211</v>
      </c>
      <c r="F662" t="s">
        <v>268</v>
      </c>
      <c r="G662" t="s">
        <v>275</v>
      </c>
      <c r="H662" t="s">
        <v>52</v>
      </c>
      <c r="I662" t="s">
        <v>252</v>
      </c>
      <c r="J662" s="28" t="s">
        <v>370</v>
      </c>
      <c r="K662" s="82"/>
      <c r="L662" s="32">
        <v>300</v>
      </c>
      <c r="M662" s="30">
        <v>45986</v>
      </c>
      <c r="N662" s="30">
        <v>46007</v>
      </c>
      <c r="O662" s="43" t="s">
        <v>552</v>
      </c>
      <c r="P662" s="55"/>
      <c r="R662" t="s">
        <v>1435</v>
      </c>
    </row>
    <row r="663" spans="1:18" ht="14.45">
      <c r="A663" s="106" t="b">
        <v>0</v>
      </c>
      <c r="B663" t="str" cm="1">
        <f t="array" ref="B663">_xlfn.SINGLE(_xlfn._xlws.FILTER(t_ServiceCatalogue[Onwer],t_ServiceCatalogue[Category]=t_fac25_requirements[[#This Row],[Category]],""))</f>
        <v>AV</v>
      </c>
      <c r="C663" t="s">
        <v>194</v>
      </c>
      <c r="D663" t="str">
        <f>_xlfn._xlws.FILTER(t_Contact[FA Name],t_Contact[FA]=t_fac25_requirements[[#This Row],[FA]],"")</f>
        <v>Media Operations</v>
      </c>
      <c r="E663" t="s">
        <v>211</v>
      </c>
      <c r="F663" t="s">
        <v>268</v>
      </c>
      <c r="G663" t="s">
        <v>275</v>
      </c>
      <c r="H663" t="s">
        <v>58</v>
      </c>
      <c r="I663" t="s">
        <v>59</v>
      </c>
      <c r="J663" s="28" t="s">
        <v>370</v>
      </c>
      <c r="K663" s="82"/>
      <c r="L663" s="32">
        <v>6</v>
      </c>
      <c r="M663" s="30">
        <v>45986</v>
      </c>
      <c r="N663" s="30">
        <v>46007</v>
      </c>
      <c r="O663" s="43" t="s">
        <v>60</v>
      </c>
      <c r="P663" s="55"/>
      <c r="R663" t="s">
        <v>405</v>
      </c>
    </row>
    <row r="664" spans="1:18" ht="14.45">
      <c r="A664" s="106" t="b">
        <v>0</v>
      </c>
      <c r="B664" t="str" cm="1">
        <f t="array" ref="B664">_xlfn.SINGLE(_xlfn._xlws.FILTER(t_ServiceCatalogue[Onwer],t_ServiceCatalogue[Category]=t_fac25_requirements[[#This Row],[Category]],""))</f>
        <v>NW</v>
      </c>
      <c r="C664" t="s">
        <v>194</v>
      </c>
      <c r="D664" t="str">
        <f>_xlfn._xlws.FILTER(t_Contact[FA Name],t_Contact[FA]=t_fac25_requirements[[#This Row],[FA]],"")</f>
        <v>Media Operations</v>
      </c>
      <c r="E664" t="s">
        <v>211</v>
      </c>
      <c r="F664" t="s">
        <v>268</v>
      </c>
      <c r="G664" t="s">
        <v>275</v>
      </c>
      <c r="H664" t="s">
        <v>46</v>
      </c>
      <c r="I664" t="s">
        <v>47</v>
      </c>
      <c r="J664" s="28" t="s">
        <v>370</v>
      </c>
      <c r="K664" s="82"/>
      <c r="L664" s="32">
        <v>60</v>
      </c>
      <c r="M664" s="30">
        <v>45986</v>
      </c>
      <c r="N664" s="30">
        <v>46007</v>
      </c>
      <c r="O664" s="43" t="s">
        <v>48</v>
      </c>
      <c r="P664" s="55"/>
      <c r="R664" t="s">
        <v>1436</v>
      </c>
    </row>
    <row r="665" spans="1:18" ht="14.45">
      <c r="A665" s="106" t="b">
        <v>0</v>
      </c>
      <c r="B665" t="str" cm="1">
        <f t="array" ref="B665">_xlfn.SINGLE(_xlfn._xlws.FILTER(t_ServiceCatalogue[Onwer],t_ServiceCatalogue[Category]=t_fac25_requirements[[#This Row],[Category]],""))</f>
        <v>NW</v>
      </c>
      <c r="C665" t="s">
        <v>194</v>
      </c>
      <c r="D665" t="str">
        <f>_xlfn._xlws.FILTER(t_Contact[FA Name],t_Contact[FA]=t_fac25_requirements[[#This Row],[FA]],"")</f>
        <v>Media Operations</v>
      </c>
      <c r="E665" t="s">
        <v>211</v>
      </c>
      <c r="F665" t="s">
        <v>278</v>
      </c>
      <c r="G665" t="s">
        <v>285</v>
      </c>
      <c r="H665" t="s">
        <v>46</v>
      </c>
      <c r="I665" t="s">
        <v>47</v>
      </c>
      <c r="J665" s="28" t="s">
        <v>370</v>
      </c>
      <c r="K665" s="82">
        <v>280</v>
      </c>
      <c r="L665" s="32">
        <v>213</v>
      </c>
      <c r="M665" s="30">
        <v>45986</v>
      </c>
      <c r="N665" s="30">
        <v>46007</v>
      </c>
      <c r="O665" s="43" t="s">
        <v>48</v>
      </c>
      <c r="P665" s="55"/>
      <c r="R665" t="s">
        <v>1437</v>
      </c>
    </row>
    <row r="666" spans="1:18" ht="14.45">
      <c r="A666" s="106" t="b">
        <v>0</v>
      </c>
      <c r="B666" t="str" cm="1">
        <f t="array" ref="B666">_xlfn.SINGLE(_xlfn._xlws.FILTER(t_ServiceCatalogue[Onwer],t_ServiceCatalogue[Category]=t_fac25_requirements[[#This Row],[Category]],""))</f>
        <v>AV</v>
      </c>
      <c r="C666" t="s">
        <v>194</v>
      </c>
      <c r="D666" t="str">
        <f>_xlfn._xlws.FILTER(t_Contact[FA Name],t_Contact[FA]=t_fac25_requirements[[#This Row],[FA]],"")</f>
        <v>Media Operations</v>
      </c>
      <c r="E666" t="s">
        <v>211</v>
      </c>
      <c r="F666" t="s">
        <v>278</v>
      </c>
      <c r="G666" t="s">
        <v>285</v>
      </c>
      <c r="H666" t="s">
        <v>58</v>
      </c>
      <c r="I666" t="s">
        <v>282</v>
      </c>
      <c r="J666" s="28" t="s">
        <v>370</v>
      </c>
      <c r="K666" s="82">
        <v>140</v>
      </c>
      <c r="L666" s="32">
        <v>79</v>
      </c>
      <c r="M666" s="30">
        <v>45986</v>
      </c>
      <c r="N666" s="30">
        <v>46007</v>
      </c>
      <c r="O666" s="43" t="s">
        <v>87</v>
      </c>
      <c r="P666" s="55" t="s">
        <v>1438</v>
      </c>
      <c r="Q666" t="s">
        <v>1439</v>
      </c>
      <c r="R666" t="s">
        <v>1440</v>
      </c>
    </row>
    <row r="667" spans="1:18" ht="14.45">
      <c r="A667" s="106" t="b">
        <v>0</v>
      </c>
      <c r="B667" t="str" cm="1">
        <f t="array" ref="B667">_xlfn.SINGLE(_xlfn._xlws.FILTER(t_ServiceCatalogue[Onwer],t_ServiceCatalogue[Category]=t_fac25_requirements[[#This Row],[Category]],""))</f>
        <v>NW</v>
      </c>
      <c r="C667" t="s">
        <v>194</v>
      </c>
      <c r="D667" t="str">
        <f>_xlfn._xlws.FILTER(t_Contact[FA Name],t_Contact[FA]=t_fac25_requirements[[#This Row],[FA]],"")</f>
        <v>Media Operations</v>
      </c>
      <c r="E667" t="s">
        <v>211</v>
      </c>
      <c r="F667" t="s">
        <v>278</v>
      </c>
      <c r="G667" t="s">
        <v>285</v>
      </c>
      <c r="H667" t="s">
        <v>52</v>
      </c>
      <c r="I667" t="s">
        <v>252</v>
      </c>
      <c r="J667" s="28" t="s">
        <v>370</v>
      </c>
      <c r="K667" s="82"/>
      <c r="L667" s="32">
        <v>500</v>
      </c>
      <c r="M667" s="30">
        <v>45986</v>
      </c>
      <c r="N667" s="30">
        <v>46007</v>
      </c>
      <c r="O667" s="43" t="s">
        <v>552</v>
      </c>
      <c r="P667" s="55"/>
      <c r="R667" t="s">
        <v>1441</v>
      </c>
    </row>
    <row r="668" spans="1:18" ht="14.45">
      <c r="A668" s="106" t="b">
        <v>0</v>
      </c>
      <c r="B668" t="str" cm="1">
        <f t="array" ref="B668">_xlfn.SINGLE(_xlfn._xlws.FILTER(t_ServiceCatalogue[Onwer],t_ServiceCatalogue[Category]=t_fac25_requirements[[#This Row],[Category]],""))</f>
        <v>NW</v>
      </c>
      <c r="C668" t="s">
        <v>194</v>
      </c>
      <c r="D668" t="str">
        <f>_xlfn._xlws.FILTER(t_Contact[FA Name],t_Contact[FA]=t_fac25_requirements[[#This Row],[FA]],"")</f>
        <v>Media Operations</v>
      </c>
      <c r="E668" t="s">
        <v>211</v>
      </c>
      <c r="F668" t="s">
        <v>278</v>
      </c>
      <c r="G668" t="s">
        <v>287</v>
      </c>
      <c r="H668" t="s">
        <v>46</v>
      </c>
      <c r="I668" t="s">
        <v>47</v>
      </c>
      <c r="J668" s="28" t="s">
        <v>370</v>
      </c>
      <c r="K668" s="82"/>
      <c r="L668" s="32">
        <v>10</v>
      </c>
      <c r="M668" s="30">
        <v>45986</v>
      </c>
      <c r="N668" s="30">
        <v>46007</v>
      </c>
      <c r="O668" s="43" t="s">
        <v>48</v>
      </c>
      <c r="P668" s="55"/>
      <c r="R668" t="s">
        <v>1442</v>
      </c>
    </row>
    <row r="669" spans="1:18" ht="14.45">
      <c r="A669" s="106" t="b">
        <v>0</v>
      </c>
      <c r="B669" t="str" cm="1">
        <f t="array" ref="B669">_xlfn.SINGLE(_xlfn._xlws.FILTER(t_ServiceCatalogue[Onwer],t_ServiceCatalogue[Category]=t_fac25_requirements[[#This Row],[Category]],""))</f>
        <v>NW</v>
      </c>
      <c r="C669" t="s">
        <v>194</v>
      </c>
      <c r="D669" t="str">
        <f>_xlfn._xlws.FILTER(t_Contact[FA Name],t_Contact[FA]=t_fac25_requirements[[#This Row],[FA]],"")</f>
        <v>Media Operations</v>
      </c>
      <c r="E669" t="s">
        <v>211</v>
      </c>
      <c r="F669" t="s">
        <v>268</v>
      </c>
      <c r="G669" t="s">
        <v>358</v>
      </c>
      <c r="H669" t="s">
        <v>46</v>
      </c>
      <c r="I669" t="s">
        <v>47</v>
      </c>
      <c r="J669" s="28" t="s">
        <v>370</v>
      </c>
      <c r="K669" s="82"/>
      <c r="L669" s="32">
        <v>18</v>
      </c>
      <c r="M669" s="30">
        <v>45986</v>
      </c>
      <c r="N669" s="30">
        <v>46007</v>
      </c>
      <c r="O669" s="43" t="s">
        <v>48</v>
      </c>
      <c r="P669" s="55"/>
      <c r="R669" t="s">
        <v>1443</v>
      </c>
    </row>
    <row r="670" spans="1:18" ht="14.45">
      <c r="A670" s="106" t="b">
        <v>0</v>
      </c>
      <c r="B670" t="str" cm="1">
        <f t="array" ref="B670">_xlfn.SINGLE(_xlfn._xlws.FILTER(t_ServiceCatalogue[Onwer],t_ServiceCatalogue[Category]=t_fac25_requirements[[#This Row],[Category]],""))</f>
        <v>NW</v>
      </c>
      <c r="C670" t="s">
        <v>194</v>
      </c>
      <c r="D670" t="str">
        <f>_xlfn._xlws.FILTER(t_Contact[FA Name],t_Contact[FA]=t_fac25_requirements[[#This Row],[FA]],"")</f>
        <v>Media Operations</v>
      </c>
      <c r="E670" t="s">
        <v>211</v>
      </c>
      <c r="F670" t="s">
        <v>268</v>
      </c>
      <c r="G670" t="s">
        <v>358</v>
      </c>
      <c r="H670" t="s">
        <v>52</v>
      </c>
      <c r="I670" t="s">
        <v>252</v>
      </c>
      <c r="J670" s="28" t="s">
        <v>370</v>
      </c>
      <c r="K670" s="82"/>
      <c r="L670" s="32">
        <v>34</v>
      </c>
      <c r="M670" s="30">
        <v>45986</v>
      </c>
      <c r="N670" s="30">
        <v>46007</v>
      </c>
      <c r="O670" s="43" t="s">
        <v>552</v>
      </c>
      <c r="P670" s="55"/>
      <c r="R670" t="s">
        <v>1444</v>
      </c>
    </row>
    <row r="671" spans="1:18" ht="14.45">
      <c r="A671" s="106" t="b">
        <v>0</v>
      </c>
      <c r="B671" t="str" cm="1">
        <f t="array" ref="B671">_xlfn.SINGLE(_xlfn._xlws.FILTER(t_ServiceCatalogue[Onwer],t_ServiceCatalogue[Category]=t_fac25_requirements[[#This Row],[Category]],""))</f>
        <v>AV</v>
      </c>
      <c r="C671" t="s">
        <v>194</v>
      </c>
      <c r="D671" t="str">
        <f>_xlfn._xlws.FILTER(t_Contact[FA Name],t_Contact[FA]=t_fac25_requirements[[#This Row],[FA]],"")</f>
        <v>Media Operations</v>
      </c>
      <c r="E671" t="s">
        <v>211</v>
      </c>
      <c r="F671" t="s">
        <v>268</v>
      </c>
      <c r="G671" t="s">
        <v>358</v>
      </c>
      <c r="H671" t="s">
        <v>58</v>
      </c>
      <c r="I671" t="s">
        <v>59</v>
      </c>
      <c r="J671" s="28" t="s">
        <v>370</v>
      </c>
      <c r="K671" s="82"/>
      <c r="L671" s="32">
        <v>1</v>
      </c>
      <c r="M671" s="30">
        <v>45986</v>
      </c>
      <c r="N671" s="30">
        <v>46007</v>
      </c>
      <c r="O671" s="43" t="s">
        <v>60</v>
      </c>
      <c r="P671" s="55"/>
      <c r="R671" t="s">
        <v>399</v>
      </c>
    </row>
    <row r="672" spans="1:18" ht="14.45">
      <c r="A672" s="106" t="b">
        <v>0</v>
      </c>
      <c r="B672" t="str" cm="1">
        <f t="array" ref="B672">_xlfn.SINGLE(_xlfn._xlws.FILTER(t_ServiceCatalogue[Onwer],t_ServiceCatalogue[Category]=t_fac25_requirements[[#This Row],[Category]],""))</f>
        <v>NW</v>
      </c>
      <c r="C672" t="s">
        <v>194</v>
      </c>
      <c r="D672" t="str">
        <f>_xlfn._xlws.FILTER(t_Contact[FA Name],t_Contact[FA]=t_fac25_requirements[[#This Row],[FA]],"")</f>
        <v>Media Operations</v>
      </c>
      <c r="E672" t="s">
        <v>211</v>
      </c>
      <c r="F672" t="s">
        <v>268</v>
      </c>
      <c r="G672" t="s">
        <v>271</v>
      </c>
      <c r="H672" t="s">
        <v>52</v>
      </c>
      <c r="I672" t="s">
        <v>252</v>
      </c>
      <c r="J672" s="28" t="s">
        <v>370</v>
      </c>
      <c r="K672" s="82"/>
      <c r="L672" s="32">
        <v>150</v>
      </c>
      <c r="M672" s="30">
        <v>45986</v>
      </c>
      <c r="N672" s="30">
        <v>46007</v>
      </c>
      <c r="O672" s="43" t="s">
        <v>552</v>
      </c>
      <c r="P672" s="55"/>
      <c r="R672" t="s">
        <v>1445</v>
      </c>
    </row>
    <row r="673" spans="1:18" ht="14.45">
      <c r="A673" s="106" t="b">
        <v>0</v>
      </c>
      <c r="B673" t="str" cm="1">
        <f t="array" ref="B673">_xlfn.SINGLE(_xlfn._xlws.FILTER(t_ServiceCatalogue[Onwer],t_ServiceCatalogue[Category]=t_fac25_requirements[[#This Row],[Category]],""))</f>
        <v>NW</v>
      </c>
      <c r="C673" t="s">
        <v>194</v>
      </c>
      <c r="D673" t="str">
        <f>_xlfn._xlws.FILTER(t_Contact[FA Name],t_Contact[FA]=t_fac25_requirements[[#This Row],[FA]],"")</f>
        <v>Media Operations</v>
      </c>
      <c r="E673" t="s">
        <v>211</v>
      </c>
      <c r="F673" t="s">
        <v>259</v>
      </c>
      <c r="G673" t="s">
        <v>261</v>
      </c>
      <c r="H673" t="s">
        <v>52</v>
      </c>
      <c r="I673" t="s">
        <v>252</v>
      </c>
      <c r="J673" s="28" t="s">
        <v>370</v>
      </c>
      <c r="K673" s="82"/>
      <c r="L673" s="32">
        <v>154</v>
      </c>
      <c r="M673" s="30">
        <v>45986</v>
      </c>
      <c r="N673" s="30">
        <v>46007</v>
      </c>
      <c r="O673" s="43" t="s">
        <v>552</v>
      </c>
      <c r="P673" s="55"/>
      <c r="R673" t="s">
        <v>1446</v>
      </c>
    </row>
    <row r="674" spans="1:18" ht="14.45">
      <c r="A674" s="106" t="b">
        <v>0</v>
      </c>
      <c r="B674" t="str" cm="1">
        <f t="array" ref="B674">_xlfn.SINGLE(_xlfn._xlws.FILTER(t_ServiceCatalogue[Onwer],t_ServiceCatalogue[Category]=t_fac25_requirements[[#This Row],[Category]],""))</f>
        <v>NW</v>
      </c>
      <c r="C674" t="s">
        <v>194</v>
      </c>
      <c r="D674" t="str">
        <f>_xlfn._xlws.FILTER(t_Contact[FA Name],t_Contact[FA]=t_fac25_requirements[[#This Row],[FA]],"")</f>
        <v>Media Operations</v>
      </c>
      <c r="E674" t="s">
        <v>211</v>
      </c>
      <c r="F674" t="s">
        <v>259</v>
      </c>
      <c r="G674" t="s">
        <v>261</v>
      </c>
      <c r="H674" t="s">
        <v>46</v>
      </c>
      <c r="I674" t="s">
        <v>47</v>
      </c>
      <c r="J674" s="28" t="s">
        <v>370</v>
      </c>
      <c r="K674" s="82"/>
      <c r="L674" s="32">
        <v>80</v>
      </c>
      <c r="M674" s="30">
        <v>45986</v>
      </c>
      <c r="N674" s="30">
        <v>46007</v>
      </c>
      <c r="O674" s="43" t="s">
        <v>48</v>
      </c>
      <c r="P674" s="55"/>
      <c r="R674" t="s">
        <v>1447</v>
      </c>
    </row>
    <row r="675" spans="1:18" ht="14.45">
      <c r="A675" s="106" t="b">
        <v>0</v>
      </c>
      <c r="B675" t="str" cm="1">
        <f t="array" ref="B675">_xlfn.SINGLE(_xlfn._xlws.FILTER(t_ServiceCatalogue[Onwer],t_ServiceCatalogue[Category]=t_fac25_requirements[[#This Row],[Category]],""))</f>
        <v>NW</v>
      </c>
      <c r="C675" t="s">
        <v>194</v>
      </c>
      <c r="D675" t="str">
        <f>_xlfn._xlws.FILTER(t_Contact[FA Name],t_Contact[FA]=t_fac25_requirements[[#This Row],[FA]],"")</f>
        <v>Media Operations</v>
      </c>
      <c r="E675" t="s">
        <v>211</v>
      </c>
      <c r="F675" t="s">
        <v>259</v>
      </c>
      <c r="G675" t="s">
        <v>263</v>
      </c>
      <c r="H675" t="s">
        <v>46</v>
      </c>
      <c r="I675" t="s">
        <v>47</v>
      </c>
      <c r="J675" s="28" t="s">
        <v>370</v>
      </c>
      <c r="K675" s="82"/>
      <c r="L675" s="32">
        <v>6</v>
      </c>
      <c r="M675" s="30">
        <v>45986</v>
      </c>
      <c r="N675" s="30">
        <v>46007</v>
      </c>
      <c r="O675" s="43" t="s">
        <v>552</v>
      </c>
      <c r="P675" s="55"/>
      <c r="R675" t="s">
        <v>1448</v>
      </c>
    </row>
    <row r="676" spans="1:18" ht="14.45">
      <c r="A676" s="106" t="b">
        <v>0</v>
      </c>
      <c r="B676" t="str" cm="1">
        <f t="array" ref="B676">_xlfn.SINGLE(_xlfn._xlws.FILTER(t_ServiceCatalogue[Onwer],t_ServiceCatalogue[Category]=t_fac25_requirements[[#This Row],[Category]],""))</f>
        <v>NW</v>
      </c>
      <c r="C676" t="s">
        <v>194</v>
      </c>
      <c r="D676" t="str">
        <f>_xlfn._xlws.FILTER(t_Contact[FA Name],t_Contact[FA]=t_fac25_requirements[[#This Row],[FA]],"")</f>
        <v>Media Operations</v>
      </c>
      <c r="E676" t="s">
        <v>211</v>
      </c>
      <c r="F676" t="s">
        <v>259</v>
      </c>
      <c r="G676" t="s">
        <v>262</v>
      </c>
      <c r="H676" t="s">
        <v>46</v>
      </c>
      <c r="I676" t="s">
        <v>47</v>
      </c>
      <c r="J676" s="28" t="s">
        <v>370</v>
      </c>
      <c r="K676" s="82"/>
      <c r="L676" s="32">
        <v>6</v>
      </c>
      <c r="M676" s="30">
        <v>45986</v>
      </c>
      <c r="N676" s="30">
        <v>46007</v>
      </c>
      <c r="O676" s="43" t="s">
        <v>552</v>
      </c>
      <c r="P676" s="55"/>
      <c r="R676" t="s">
        <v>1449</v>
      </c>
    </row>
    <row r="677" spans="1:18" ht="14.45">
      <c r="A677" s="106" t="b">
        <v>0</v>
      </c>
      <c r="B677" t="str" cm="1">
        <f t="array" ref="B677">_xlfn.SINGLE(_xlfn._xlws.FILTER(t_ServiceCatalogue[Onwer],t_ServiceCatalogue[Category]=t_fac25_requirements[[#This Row],[Category]],""))</f>
        <v>NW</v>
      </c>
      <c r="C677" t="s">
        <v>194</v>
      </c>
      <c r="D677" t="str">
        <f>_xlfn._xlws.FILTER(t_Contact[FA Name],t_Contact[FA]=t_fac25_requirements[[#This Row],[FA]],"")</f>
        <v>Media Operations</v>
      </c>
      <c r="E677" t="s">
        <v>211</v>
      </c>
      <c r="F677" t="s">
        <v>268</v>
      </c>
      <c r="G677" t="s">
        <v>272</v>
      </c>
      <c r="H677" t="s">
        <v>52</v>
      </c>
      <c r="I677" t="s">
        <v>252</v>
      </c>
      <c r="J677" s="28" t="s">
        <v>370</v>
      </c>
      <c r="K677" s="82"/>
      <c r="L677" s="32">
        <v>150</v>
      </c>
      <c r="M677" s="30">
        <v>45986</v>
      </c>
      <c r="N677" s="30">
        <v>46007</v>
      </c>
      <c r="O677" s="43" t="s">
        <v>552</v>
      </c>
      <c r="P677" s="55"/>
      <c r="R677" t="s">
        <v>1450</v>
      </c>
    </row>
    <row r="678" spans="1:18" ht="14.45">
      <c r="A678" s="106" t="b">
        <v>0</v>
      </c>
      <c r="B678" t="str" cm="1">
        <f t="array" ref="B678">_xlfn.SINGLE(_xlfn._xlws.FILTER(t_ServiceCatalogue[Onwer],t_ServiceCatalogue[Category]=t_fac25_requirements[[#This Row],[Category]],""))</f>
        <v>AV</v>
      </c>
      <c r="C678" t="s">
        <v>194</v>
      </c>
      <c r="D678" t="str">
        <f>_xlfn._xlws.FILTER(t_Contact[FA Name],t_Contact[FA]=t_fac25_requirements[[#This Row],[FA]],"")</f>
        <v>Media Operations</v>
      </c>
      <c r="E678" t="s">
        <v>211</v>
      </c>
      <c r="F678" t="s">
        <v>268</v>
      </c>
      <c r="G678" t="s">
        <v>272</v>
      </c>
      <c r="H678" t="s">
        <v>110</v>
      </c>
      <c r="I678" t="s">
        <v>273</v>
      </c>
      <c r="J678" s="28" t="s">
        <v>370</v>
      </c>
      <c r="K678" s="82"/>
      <c r="L678" s="32">
        <v>1</v>
      </c>
      <c r="M678" s="30">
        <v>45986</v>
      </c>
      <c r="N678" s="30">
        <v>46007</v>
      </c>
      <c r="O678" s="43" t="s">
        <v>386</v>
      </c>
      <c r="P678" s="55"/>
      <c r="Q678" t="s">
        <v>1451</v>
      </c>
      <c r="R678" t="s">
        <v>1452</v>
      </c>
    </row>
    <row r="679" spans="1:18" ht="14.45">
      <c r="A679" s="106" t="b">
        <v>0</v>
      </c>
      <c r="B679" t="str" cm="1">
        <f t="array" ref="B679">_xlfn.SINGLE(_xlfn._xlws.FILTER(t_ServiceCatalogue[Onwer],t_ServiceCatalogue[Category]=t_fac25_requirements[[#This Row],[Category]],""))</f>
        <v>NW</v>
      </c>
      <c r="C679" t="s">
        <v>194</v>
      </c>
      <c r="D679" t="str">
        <f>_xlfn._xlws.FILTER(t_Contact[FA Name],t_Contact[FA]=t_fac25_requirements[[#This Row],[FA]],"")</f>
        <v>Media Operations</v>
      </c>
      <c r="E679" t="s">
        <v>211</v>
      </c>
      <c r="F679" t="s">
        <v>305</v>
      </c>
      <c r="G679" t="s">
        <v>366</v>
      </c>
      <c r="H679" t="s">
        <v>52</v>
      </c>
      <c r="I679" t="s">
        <v>252</v>
      </c>
      <c r="J679" s="28" t="s">
        <v>370</v>
      </c>
      <c r="K679" s="82"/>
      <c r="L679" s="32">
        <v>4</v>
      </c>
      <c r="M679" s="30">
        <v>45986</v>
      </c>
      <c r="N679" s="30">
        <v>46007</v>
      </c>
      <c r="O679" s="43" t="s">
        <v>386</v>
      </c>
      <c r="P679" s="55"/>
      <c r="R679" t="s">
        <v>1453</v>
      </c>
    </row>
    <row r="680" spans="1:18" ht="14.45">
      <c r="A680" s="106" t="b">
        <v>0</v>
      </c>
      <c r="B680" t="str" cm="1">
        <f t="array" ref="B680">_xlfn.SINGLE(_xlfn._xlws.FILTER(t_ServiceCatalogue[Onwer],t_ServiceCatalogue[Category]=t_fac25_requirements[[#This Row],[Category]],""))</f>
        <v>AV</v>
      </c>
      <c r="C680" t="s">
        <v>194</v>
      </c>
      <c r="D680" t="str">
        <f>_xlfn._xlws.FILTER(t_Contact[FA Name],t_Contact[FA]=t_fac25_requirements[[#This Row],[FA]],"")</f>
        <v>Media Operations</v>
      </c>
      <c r="E680" t="s">
        <v>211</v>
      </c>
      <c r="F680" t="s">
        <v>305</v>
      </c>
      <c r="G680" t="s">
        <v>366</v>
      </c>
      <c r="H680" t="s">
        <v>58</v>
      </c>
      <c r="I680" t="s">
        <v>59</v>
      </c>
      <c r="J680" s="28" t="s">
        <v>370</v>
      </c>
      <c r="K680" s="82"/>
      <c r="L680" s="32">
        <v>1</v>
      </c>
      <c r="M680" s="30">
        <v>45986</v>
      </c>
      <c r="N680" s="30">
        <v>46007</v>
      </c>
      <c r="O680" s="43" t="s">
        <v>386</v>
      </c>
      <c r="P680" s="55"/>
      <c r="R680" t="s">
        <v>392</v>
      </c>
    </row>
    <row r="681" spans="1:18" ht="14.45">
      <c r="A681" s="106" t="b">
        <v>0</v>
      </c>
      <c r="B681" t="str" cm="1">
        <f t="array" ref="B681">_xlfn.SINGLE(_xlfn._xlws.FILTER(t_ServiceCatalogue[Onwer],t_ServiceCatalogue[Category]=t_fac25_requirements[[#This Row],[Category]],""))</f>
        <v>EU</v>
      </c>
      <c r="C681" t="s">
        <v>194</v>
      </c>
      <c r="D681" t="str">
        <f>_xlfn._xlws.FILTER(t_Contact[FA Name],t_Contact[FA]=t_fac25_requirements[[#This Row],[FA]],"")</f>
        <v>Media Operations</v>
      </c>
      <c r="E681" t="s">
        <v>211</v>
      </c>
      <c r="F681" t="s">
        <v>305</v>
      </c>
      <c r="G681" t="s">
        <v>366</v>
      </c>
      <c r="H681" t="s">
        <v>22</v>
      </c>
      <c r="I681" t="s">
        <v>28</v>
      </c>
      <c r="J681" s="28" t="s">
        <v>370</v>
      </c>
      <c r="K681" s="82"/>
      <c r="L681" s="32">
        <v>1</v>
      </c>
      <c r="M681" s="30">
        <v>45986</v>
      </c>
      <c r="N681" s="30">
        <v>46007</v>
      </c>
      <c r="O681" s="43" t="s">
        <v>1454</v>
      </c>
      <c r="P681" s="55"/>
      <c r="Q681" t="s">
        <v>1455</v>
      </c>
      <c r="R681" t="s">
        <v>1456</v>
      </c>
    </row>
    <row r="682" spans="1:18" ht="14.45">
      <c r="A682" s="106" t="b">
        <v>1</v>
      </c>
      <c r="B682" t="str" cm="1">
        <f t="array" ref="B682">_xlfn.SINGLE(_xlfn._xlws.FILTER(t_ServiceCatalogue[Onwer],t_ServiceCatalogue[Category]=t_fac25_requirements[[#This Row],[Category]],""))</f>
        <v>AV</v>
      </c>
      <c r="C682" t="s">
        <v>194</v>
      </c>
      <c r="D682" t="str">
        <f>_xlfn._xlws.FILTER(t_Contact[FA Name],t_Contact[FA]=t_fac25_requirements[[#This Row],[FA]],"")</f>
        <v>Media Operations</v>
      </c>
      <c r="E682" t="s">
        <v>211</v>
      </c>
      <c r="F682" t="s">
        <v>305</v>
      </c>
      <c r="G682" t="s">
        <v>385</v>
      </c>
      <c r="H682" t="s">
        <v>58</v>
      </c>
      <c r="I682" t="s">
        <v>59</v>
      </c>
      <c r="J682" s="28" t="s">
        <v>637</v>
      </c>
      <c r="K682" s="82">
        <v>1</v>
      </c>
      <c r="L682" s="32">
        <v>0</v>
      </c>
      <c r="M682" s="30">
        <v>45986</v>
      </c>
      <c r="N682" s="30">
        <v>46007</v>
      </c>
      <c r="O682" s="43" t="s">
        <v>386</v>
      </c>
      <c r="P682" s="55" t="s">
        <v>387</v>
      </c>
      <c r="R682" t="s">
        <v>388</v>
      </c>
    </row>
    <row r="683" spans="1:18" ht="14.45">
      <c r="A683" s="106" t="b">
        <v>1</v>
      </c>
      <c r="B683" t="str" cm="1">
        <f t="array" ref="B683">_xlfn.SINGLE(_xlfn._xlws.FILTER(t_ServiceCatalogue[Onwer],t_ServiceCatalogue[Category]=t_fac25_requirements[[#This Row],[Category]],""))</f>
        <v>NW</v>
      </c>
      <c r="C683" t="s">
        <v>194</v>
      </c>
      <c r="D683" t="str">
        <f>_xlfn._xlws.FILTER(t_Contact[FA Name],t_Contact[FA]=t_fac25_requirements[[#This Row],[FA]],"")</f>
        <v>Media Operations</v>
      </c>
      <c r="E683" t="s">
        <v>211</v>
      </c>
      <c r="F683" t="s">
        <v>305</v>
      </c>
      <c r="G683" t="s">
        <v>385</v>
      </c>
      <c r="H683" t="s">
        <v>52</v>
      </c>
      <c r="I683" t="s">
        <v>252</v>
      </c>
      <c r="J683" s="28" t="s">
        <v>637</v>
      </c>
      <c r="K683" s="82">
        <v>4</v>
      </c>
      <c r="L683" s="32">
        <v>0</v>
      </c>
      <c r="M683" s="30">
        <v>45986</v>
      </c>
      <c r="N683" s="30">
        <v>46007</v>
      </c>
      <c r="O683" s="43" t="s">
        <v>386</v>
      </c>
      <c r="P683" s="55"/>
      <c r="R683" t="s">
        <v>1457</v>
      </c>
    </row>
    <row r="684" spans="1:18" ht="14.45">
      <c r="A684" s="106" t="b">
        <v>1</v>
      </c>
      <c r="B684" t="str" cm="1">
        <f t="array" ref="B684">_xlfn.SINGLE(_xlfn._xlws.FILTER(t_ServiceCatalogue[Onwer],t_ServiceCatalogue[Category]=t_fac25_requirements[[#This Row],[Category]],""))</f>
        <v>EU</v>
      </c>
      <c r="C684" t="s">
        <v>194</v>
      </c>
      <c r="D684" t="str">
        <f>_xlfn._xlws.FILTER(t_Contact[FA Name],t_Contact[FA]=t_fac25_requirements[[#This Row],[FA]],"")</f>
        <v>Media Operations</v>
      </c>
      <c r="E684" t="s">
        <v>211</v>
      </c>
      <c r="F684" t="s">
        <v>305</v>
      </c>
      <c r="G684" t="s">
        <v>366</v>
      </c>
      <c r="H684" t="s">
        <v>32</v>
      </c>
      <c r="I684" t="s">
        <v>209</v>
      </c>
      <c r="J684" s="28" t="s">
        <v>370</v>
      </c>
      <c r="K684" s="82"/>
      <c r="L684" s="32">
        <v>1</v>
      </c>
      <c r="M684" s="30">
        <v>45986</v>
      </c>
      <c r="N684" s="30">
        <v>46007</v>
      </c>
      <c r="O684" s="43" t="s">
        <v>386</v>
      </c>
      <c r="P684" s="55"/>
      <c r="Q684" t="s">
        <v>1458</v>
      </c>
      <c r="R684" t="s">
        <v>1459</v>
      </c>
    </row>
    <row r="685" spans="1:18" ht="14.45">
      <c r="A685" s="106" t="b">
        <v>0</v>
      </c>
      <c r="B685" t="str" cm="1">
        <f t="array" ref="B685">_xlfn.SINGLE(_xlfn._xlws.FILTER(t_ServiceCatalogue[Onwer],t_ServiceCatalogue[Category]=t_fac25_requirements[[#This Row],[Category]],""))</f>
        <v>NW</v>
      </c>
      <c r="C685" t="s">
        <v>194</v>
      </c>
      <c r="D685" t="str">
        <f>_xlfn._xlws.FILTER(t_Contact[FA Name],t_Contact[FA]=t_fac25_requirements[[#This Row],[FA]],"")</f>
        <v>Media Operations</v>
      </c>
      <c r="E685" t="s">
        <v>211</v>
      </c>
      <c r="F685" t="s">
        <v>268</v>
      </c>
      <c r="G685" t="s">
        <v>269</v>
      </c>
      <c r="H685" t="s">
        <v>52</v>
      </c>
      <c r="I685" t="s">
        <v>252</v>
      </c>
      <c r="J685" s="28" t="s">
        <v>370</v>
      </c>
      <c r="K685" s="82"/>
      <c r="L685" s="32">
        <v>100</v>
      </c>
      <c r="M685" s="30">
        <v>45986</v>
      </c>
      <c r="N685" s="30">
        <v>46007</v>
      </c>
      <c r="O685" s="43" t="s">
        <v>386</v>
      </c>
      <c r="P685" s="55"/>
      <c r="R685" t="s">
        <v>1460</v>
      </c>
    </row>
    <row r="686" spans="1:18" ht="14.45">
      <c r="A686" s="106" t="b">
        <v>0</v>
      </c>
      <c r="B686" t="str" cm="1">
        <f t="array" ref="B686">_xlfn.SINGLE(_xlfn._xlws.FILTER(t_ServiceCatalogue[Onwer],t_ServiceCatalogue[Category]=t_fac25_requirements[[#This Row],[Category]],""))</f>
        <v>NW</v>
      </c>
      <c r="C686" t="s">
        <v>194</v>
      </c>
      <c r="D686" t="str">
        <f>_xlfn._xlws.FILTER(t_Contact[FA Name],t_Contact[FA]=t_fac25_requirements[[#This Row],[FA]],"")</f>
        <v>Media Operations</v>
      </c>
      <c r="E686" t="s">
        <v>214</v>
      </c>
      <c r="F686" t="s">
        <v>268</v>
      </c>
      <c r="G686" t="s">
        <v>270</v>
      </c>
      <c r="H686" t="s">
        <v>52</v>
      </c>
      <c r="I686" t="s">
        <v>252</v>
      </c>
      <c r="J686" s="28" t="s">
        <v>370</v>
      </c>
      <c r="K686" s="82"/>
      <c r="L686" s="32">
        <v>2</v>
      </c>
      <c r="M686" s="30">
        <v>45986</v>
      </c>
      <c r="N686" s="30">
        <v>46007</v>
      </c>
      <c r="O686" s="43" t="s">
        <v>386</v>
      </c>
      <c r="P686" s="55"/>
      <c r="Q686" t="s">
        <v>1461</v>
      </c>
      <c r="R686" t="s">
        <v>1462</v>
      </c>
    </row>
    <row r="687" spans="1:18" ht="14.45">
      <c r="A687" s="106" t="b">
        <v>0</v>
      </c>
      <c r="B687" t="str" cm="1">
        <f t="array" ref="B687">_xlfn.SINGLE(_xlfn._xlws.FILTER(t_ServiceCatalogue[Onwer],t_ServiceCatalogue[Category]=t_fac25_requirements[[#This Row],[Category]],""))</f>
        <v>NW</v>
      </c>
      <c r="C687" t="s">
        <v>194</v>
      </c>
      <c r="D687" t="str">
        <f>_xlfn._xlws.FILTER(t_Contact[FA Name],t_Contact[FA]=t_fac25_requirements[[#This Row],[FA]],"")</f>
        <v>Media Operations</v>
      </c>
      <c r="E687" t="s">
        <v>214</v>
      </c>
      <c r="F687" t="s">
        <v>268</v>
      </c>
      <c r="G687" t="s">
        <v>274</v>
      </c>
      <c r="H687" t="s">
        <v>52</v>
      </c>
      <c r="I687" t="s">
        <v>252</v>
      </c>
      <c r="J687" s="28" t="s">
        <v>370</v>
      </c>
      <c r="K687" s="82"/>
      <c r="L687" s="32">
        <v>5</v>
      </c>
      <c r="M687" s="30">
        <v>45986</v>
      </c>
      <c r="N687" s="30">
        <v>46007</v>
      </c>
      <c r="O687" s="43" t="s">
        <v>386</v>
      </c>
      <c r="P687" s="55"/>
      <c r="R687" t="s">
        <v>1463</v>
      </c>
    </row>
    <row r="688" spans="1:18" ht="14.45">
      <c r="A688" s="106" t="b">
        <v>1</v>
      </c>
      <c r="B688" t="str" cm="1">
        <f t="array" ref="B688">_xlfn.SINGLE(_xlfn._xlws.FILTER(t_ServiceCatalogue[Onwer],t_ServiceCatalogue[Category]=t_fac25_requirements[[#This Row],[Category]],""))</f>
        <v>EU</v>
      </c>
      <c r="C688" t="s">
        <v>194</v>
      </c>
      <c r="D688" t="str">
        <f>_xlfn._xlws.FILTER(t_Contact[FA Name],t_Contact[FA]=t_fac25_requirements[[#This Row],[FA]],"")</f>
        <v>Media Operations</v>
      </c>
      <c r="E688" t="s">
        <v>214</v>
      </c>
      <c r="F688" t="s">
        <v>268</v>
      </c>
      <c r="G688" t="s">
        <v>274</v>
      </c>
      <c r="H688" t="s">
        <v>32</v>
      </c>
      <c r="I688" t="s">
        <v>33</v>
      </c>
      <c r="J688" s="28" t="s">
        <v>370</v>
      </c>
      <c r="K688" s="82"/>
      <c r="L688" s="32">
        <v>2</v>
      </c>
      <c r="M688" s="30">
        <v>45986</v>
      </c>
      <c r="N688" s="30">
        <v>46007</v>
      </c>
      <c r="O688" s="43" t="s">
        <v>386</v>
      </c>
      <c r="P688" s="55"/>
      <c r="R688" t="s">
        <v>1464</v>
      </c>
    </row>
    <row r="689" spans="1:18" ht="14.45">
      <c r="A689" s="106" t="b">
        <v>0</v>
      </c>
      <c r="B689" t="str" cm="1">
        <f t="array" ref="B689">_xlfn.SINGLE(_xlfn._xlws.FILTER(t_ServiceCatalogue[Onwer],t_ServiceCatalogue[Category]=t_fac25_requirements[[#This Row],[Category]],""))</f>
        <v>NW</v>
      </c>
      <c r="C689" t="s">
        <v>194</v>
      </c>
      <c r="D689" t="str">
        <f>_xlfn._xlws.FILTER(t_Contact[FA Name],t_Contact[FA]=t_fac25_requirements[[#This Row],[FA]],"")</f>
        <v>Media Operations</v>
      </c>
      <c r="E689" t="s">
        <v>214</v>
      </c>
      <c r="F689" t="s">
        <v>268</v>
      </c>
      <c r="G689" t="s">
        <v>275</v>
      </c>
      <c r="H689" t="s">
        <v>52</v>
      </c>
      <c r="I689" t="s">
        <v>252</v>
      </c>
      <c r="J689" s="28" t="s">
        <v>370</v>
      </c>
      <c r="K689" s="82"/>
      <c r="L689" s="32">
        <v>300</v>
      </c>
      <c r="M689" s="30">
        <v>45986</v>
      </c>
      <c r="N689" s="30">
        <v>46007</v>
      </c>
      <c r="O689" s="43" t="s">
        <v>386</v>
      </c>
      <c r="P689" s="55"/>
      <c r="Q689" t="s">
        <v>1465</v>
      </c>
      <c r="R689" t="s">
        <v>1466</v>
      </c>
    </row>
    <row r="690" spans="1:18" ht="14.45">
      <c r="A690" s="106" t="b">
        <v>1</v>
      </c>
      <c r="B690" t="str" cm="1">
        <f t="array" ref="B690">_xlfn.SINGLE(_xlfn._xlws.FILTER(t_ServiceCatalogue[Onwer],t_ServiceCatalogue[Category]=t_fac25_requirements[[#This Row],[Category]],""))</f>
        <v>AV</v>
      </c>
      <c r="C690" t="s">
        <v>194</v>
      </c>
      <c r="D690" t="str">
        <f>_xlfn._xlws.FILTER(t_Contact[FA Name],t_Contact[FA]=t_fac25_requirements[[#This Row],[FA]],"")</f>
        <v>Media Operations</v>
      </c>
      <c r="E690" t="s">
        <v>214</v>
      </c>
      <c r="F690" t="s">
        <v>268</v>
      </c>
      <c r="G690" t="s">
        <v>275</v>
      </c>
      <c r="H690" t="s">
        <v>58</v>
      </c>
      <c r="I690" t="s">
        <v>340</v>
      </c>
      <c r="J690" s="28" t="s">
        <v>370</v>
      </c>
      <c r="K690" s="82">
        <v>6</v>
      </c>
      <c r="L690" s="32">
        <v>8</v>
      </c>
      <c r="M690" s="30">
        <v>45986</v>
      </c>
      <c r="N690" s="30">
        <v>46007</v>
      </c>
      <c r="O690" s="43" t="s">
        <v>386</v>
      </c>
      <c r="P690" s="55" t="s">
        <v>1467</v>
      </c>
      <c r="Q690" t="s">
        <v>1465</v>
      </c>
      <c r="R690" t="s">
        <v>1468</v>
      </c>
    </row>
    <row r="691" spans="1:18" ht="14.45">
      <c r="A691" s="106" t="b">
        <v>0</v>
      </c>
      <c r="B691" t="str" cm="1">
        <f t="array" ref="B691">_xlfn.SINGLE(_xlfn._xlws.FILTER(t_ServiceCatalogue[Onwer],t_ServiceCatalogue[Category]=t_fac25_requirements[[#This Row],[Category]],""))</f>
        <v>NW</v>
      </c>
      <c r="C691" t="s">
        <v>194</v>
      </c>
      <c r="D691" t="str">
        <f>_xlfn._xlws.FILTER(t_Contact[FA Name],t_Contact[FA]=t_fac25_requirements[[#This Row],[FA]],"")</f>
        <v>Media Operations</v>
      </c>
      <c r="E691" t="s">
        <v>214</v>
      </c>
      <c r="F691" t="s">
        <v>268</v>
      </c>
      <c r="G691" t="s">
        <v>275</v>
      </c>
      <c r="H691" t="s">
        <v>46</v>
      </c>
      <c r="I691" t="s">
        <v>280</v>
      </c>
      <c r="J691" s="28" t="s">
        <v>370</v>
      </c>
      <c r="K691" s="82">
        <v>60</v>
      </c>
      <c r="L691" s="32">
        <v>62</v>
      </c>
      <c r="M691" s="30">
        <v>45986</v>
      </c>
      <c r="N691" s="30">
        <v>46007</v>
      </c>
      <c r="O691" s="43" t="s">
        <v>386</v>
      </c>
      <c r="P691" s="55" t="s">
        <v>1469</v>
      </c>
      <c r="R691" t="s">
        <v>1470</v>
      </c>
    </row>
    <row r="692" spans="1:18" ht="14.45">
      <c r="A692" s="106" t="b">
        <v>0</v>
      </c>
      <c r="B692" t="str" cm="1">
        <f t="array" ref="B692">_xlfn.SINGLE(_xlfn._xlws.FILTER(t_ServiceCatalogue[Onwer],t_ServiceCatalogue[Category]=t_fac25_requirements[[#This Row],[Category]],""))</f>
        <v>NW</v>
      </c>
      <c r="C692" t="s">
        <v>194</v>
      </c>
      <c r="D692" t="str">
        <f>_xlfn._xlws.FILTER(t_Contact[FA Name],t_Contact[FA]=t_fac25_requirements[[#This Row],[FA]],"")</f>
        <v>Media Operations</v>
      </c>
      <c r="E692" t="s">
        <v>214</v>
      </c>
      <c r="F692" t="s">
        <v>278</v>
      </c>
      <c r="G692" t="s">
        <v>285</v>
      </c>
      <c r="H692" t="s">
        <v>46</v>
      </c>
      <c r="I692" t="s">
        <v>280</v>
      </c>
      <c r="J692" s="28" t="s">
        <v>370</v>
      </c>
      <c r="K692" s="82">
        <v>465</v>
      </c>
      <c r="L692" s="32">
        <v>245</v>
      </c>
      <c r="M692" s="30">
        <v>45986</v>
      </c>
      <c r="N692" s="30">
        <v>46007</v>
      </c>
      <c r="O692" s="43" t="s">
        <v>386</v>
      </c>
      <c r="P692" s="55" t="s">
        <v>1469</v>
      </c>
      <c r="R692" t="s">
        <v>1471</v>
      </c>
    </row>
    <row r="693" spans="1:18" ht="14.45">
      <c r="A693" s="106" t="b">
        <v>1</v>
      </c>
      <c r="B693" t="str" cm="1">
        <f t="array" ref="B693">_xlfn.SINGLE(_xlfn._xlws.FILTER(t_ServiceCatalogue[Onwer],t_ServiceCatalogue[Category]=t_fac25_requirements[[#This Row],[Category]],""))</f>
        <v>AV</v>
      </c>
      <c r="C693" t="s">
        <v>194</v>
      </c>
      <c r="D693" t="str">
        <f>_xlfn._xlws.FILTER(t_Contact[FA Name],t_Contact[FA]=t_fac25_requirements[[#This Row],[FA]],"")</f>
        <v>Media Operations</v>
      </c>
      <c r="E693" t="s">
        <v>214</v>
      </c>
      <c r="F693" t="s">
        <v>278</v>
      </c>
      <c r="G693" t="s">
        <v>285</v>
      </c>
      <c r="H693" t="s">
        <v>58</v>
      </c>
      <c r="I693" t="s">
        <v>282</v>
      </c>
      <c r="J693" s="28" t="s">
        <v>370</v>
      </c>
      <c r="K693" s="82">
        <v>140</v>
      </c>
      <c r="L693" s="32">
        <v>93</v>
      </c>
      <c r="M693" s="30">
        <v>45986</v>
      </c>
      <c r="N693" s="30">
        <v>46007</v>
      </c>
      <c r="O693" s="43" t="s">
        <v>386</v>
      </c>
      <c r="P693" s="55" t="s">
        <v>1438</v>
      </c>
      <c r="Q693" t="s">
        <v>1439</v>
      </c>
      <c r="R693" t="s">
        <v>1472</v>
      </c>
    </row>
    <row r="694" spans="1:18" ht="14.45">
      <c r="A694" s="106" t="b">
        <v>0</v>
      </c>
      <c r="B694" t="str" cm="1">
        <f t="array" ref="B694">_xlfn.SINGLE(_xlfn._xlws.FILTER(t_ServiceCatalogue[Onwer],t_ServiceCatalogue[Category]=t_fac25_requirements[[#This Row],[Category]],""))</f>
        <v>NW</v>
      </c>
      <c r="C694" t="s">
        <v>194</v>
      </c>
      <c r="D694" t="str">
        <f>_xlfn._xlws.FILTER(t_Contact[FA Name],t_Contact[FA]=t_fac25_requirements[[#This Row],[FA]],"")</f>
        <v>Media Operations</v>
      </c>
      <c r="E694" t="s">
        <v>214</v>
      </c>
      <c r="F694" t="s">
        <v>278</v>
      </c>
      <c r="G694" t="s">
        <v>285</v>
      </c>
      <c r="H694" t="s">
        <v>52</v>
      </c>
      <c r="I694" t="s">
        <v>252</v>
      </c>
      <c r="J694" s="28" t="s">
        <v>370</v>
      </c>
      <c r="K694" s="82"/>
      <c r="L694" s="32">
        <v>700</v>
      </c>
      <c r="M694" s="30">
        <v>45986</v>
      </c>
      <c r="N694" s="30">
        <v>46007</v>
      </c>
      <c r="O694" s="43" t="s">
        <v>386</v>
      </c>
      <c r="P694" s="55"/>
      <c r="R694" t="s">
        <v>1473</v>
      </c>
    </row>
    <row r="695" spans="1:18" ht="14.45">
      <c r="A695" s="106" t="b">
        <v>0</v>
      </c>
      <c r="B695" t="str" cm="1">
        <f t="array" ref="B695">_xlfn.SINGLE(_xlfn._xlws.FILTER(t_ServiceCatalogue[Onwer],t_ServiceCatalogue[Category]=t_fac25_requirements[[#This Row],[Category]],""))</f>
        <v>NW</v>
      </c>
      <c r="C695" t="s">
        <v>194</v>
      </c>
      <c r="D695" t="str">
        <f>_xlfn._xlws.FILTER(t_Contact[FA Name],t_Contact[FA]=t_fac25_requirements[[#This Row],[FA]],"")</f>
        <v>Media Operations</v>
      </c>
      <c r="E695" t="s">
        <v>214</v>
      </c>
      <c r="F695" t="s">
        <v>278</v>
      </c>
      <c r="G695" t="s">
        <v>287</v>
      </c>
      <c r="H695" t="s">
        <v>46</v>
      </c>
      <c r="I695" t="s">
        <v>256</v>
      </c>
      <c r="J695" s="28" t="s">
        <v>370</v>
      </c>
      <c r="K695" s="82"/>
      <c r="L695" s="32">
        <v>10</v>
      </c>
      <c r="M695" s="30">
        <v>45986</v>
      </c>
      <c r="N695" s="30">
        <v>46007</v>
      </c>
      <c r="O695" s="43" t="s">
        <v>386</v>
      </c>
      <c r="P695" s="55"/>
      <c r="R695" t="s">
        <v>1474</v>
      </c>
    </row>
    <row r="696" spans="1:18" ht="14.45">
      <c r="A696" s="106" t="b">
        <v>0</v>
      </c>
      <c r="B696" t="str" cm="1">
        <f t="array" ref="B696">_xlfn.SINGLE(_xlfn._xlws.FILTER(t_ServiceCatalogue[Onwer],t_ServiceCatalogue[Category]=t_fac25_requirements[[#This Row],[Category]],""))</f>
        <v>NW</v>
      </c>
      <c r="C696" t="s">
        <v>194</v>
      </c>
      <c r="D696" t="str">
        <f>_xlfn._xlws.FILTER(t_Contact[FA Name],t_Contact[FA]=t_fac25_requirements[[#This Row],[FA]],"")</f>
        <v>Media Operations</v>
      </c>
      <c r="E696" t="s">
        <v>214</v>
      </c>
      <c r="F696" t="s">
        <v>268</v>
      </c>
      <c r="G696" t="s">
        <v>358</v>
      </c>
      <c r="H696" t="s">
        <v>46</v>
      </c>
      <c r="I696" t="s">
        <v>256</v>
      </c>
      <c r="J696" s="28" t="s">
        <v>370</v>
      </c>
      <c r="K696" s="82">
        <v>54</v>
      </c>
      <c r="L696" s="32">
        <v>55</v>
      </c>
      <c r="M696" s="30">
        <v>45986</v>
      </c>
      <c r="N696" s="30">
        <v>46007</v>
      </c>
      <c r="O696" s="43" t="s">
        <v>386</v>
      </c>
      <c r="P696" s="55" t="s">
        <v>1469</v>
      </c>
      <c r="R696" t="s">
        <v>1475</v>
      </c>
    </row>
    <row r="697" spans="1:18" ht="14.45">
      <c r="A697" s="106" t="b">
        <v>0</v>
      </c>
      <c r="B697" t="str" cm="1">
        <f t="array" ref="B697">_xlfn.SINGLE(_xlfn._xlws.FILTER(t_ServiceCatalogue[Onwer],t_ServiceCatalogue[Category]=t_fac25_requirements[[#This Row],[Category]],""))</f>
        <v>NW</v>
      </c>
      <c r="C697" t="s">
        <v>194</v>
      </c>
      <c r="D697" t="str">
        <f>_xlfn._xlws.FILTER(t_Contact[FA Name],t_Contact[FA]=t_fac25_requirements[[#This Row],[FA]],"")</f>
        <v>Media Operations</v>
      </c>
      <c r="E697" t="s">
        <v>214</v>
      </c>
      <c r="F697" t="s">
        <v>268</v>
      </c>
      <c r="G697" t="s">
        <v>358</v>
      </c>
      <c r="H697" t="s">
        <v>52</v>
      </c>
      <c r="I697" t="s">
        <v>252</v>
      </c>
      <c r="J697" s="28" t="s">
        <v>370</v>
      </c>
      <c r="K697" s="82"/>
      <c r="L697" s="32">
        <v>150</v>
      </c>
      <c r="M697" s="30">
        <v>45986</v>
      </c>
      <c r="N697" s="30">
        <v>46007</v>
      </c>
      <c r="O697" s="43" t="s">
        <v>386</v>
      </c>
      <c r="P697" s="55"/>
      <c r="R697" t="s">
        <v>1476</v>
      </c>
    </row>
    <row r="698" spans="1:18" ht="14.45">
      <c r="A698" s="106" t="b">
        <v>1</v>
      </c>
      <c r="B698" t="str" cm="1">
        <f t="array" ref="B698">_xlfn.SINGLE(_xlfn._xlws.FILTER(t_ServiceCatalogue[Onwer],t_ServiceCatalogue[Category]=t_fac25_requirements[[#This Row],[Category]],""))</f>
        <v>AV</v>
      </c>
      <c r="C698" t="s">
        <v>194</v>
      </c>
      <c r="D698" t="str">
        <f>_xlfn._xlws.FILTER(t_Contact[FA Name],t_Contact[FA]=t_fac25_requirements[[#This Row],[FA]],"")</f>
        <v>Media Operations</v>
      </c>
      <c r="E698" t="s">
        <v>214</v>
      </c>
      <c r="F698" t="s">
        <v>268</v>
      </c>
      <c r="G698" t="s">
        <v>358</v>
      </c>
      <c r="H698" t="s">
        <v>58</v>
      </c>
      <c r="I698" t="s">
        <v>59</v>
      </c>
      <c r="J698" s="28" t="s">
        <v>370</v>
      </c>
      <c r="K698" s="82"/>
      <c r="L698" s="32">
        <v>1</v>
      </c>
      <c r="M698" s="30">
        <v>45986</v>
      </c>
      <c r="N698" s="30">
        <v>46007</v>
      </c>
      <c r="O698" s="43" t="s">
        <v>386</v>
      </c>
      <c r="P698" s="55"/>
      <c r="R698" t="s">
        <v>1477</v>
      </c>
    </row>
    <row r="699" spans="1:18" ht="14.45">
      <c r="A699" s="106" t="b">
        <v>0</v>
      </c>
      <c r="B699" t="str" cm="1">
        <f t="array" ref="B699">_xlfn.SINGLE(_xlfn._xlws.FILTER(t_ServiceCatalogue[Onwer],t_ServiceCatalogue[Category]=t_fac25_requirements[[#This Row],[Category]],""))</f>
        <v>NW</v>
      </c>
      <c r="C699" t="s">
        <v>194</v>
      </c>
      <c r="D699" t="str">
        <f>_xlfn._xlws.FILTER(t_Contact[FA Name],t_Contact[FA]=t_fac25_requirements[[#This Row],[FA]],"")</f>
        <v>Media Operations</v>
      </c>
      <c r="E699" t="s">
        <v>214</v>
      </c>
      <c r="F699" t="s">
        <v>268</v>
      </c>
      <c r="G699" t="s">
        <v>271</v>
      </c>
      <c r="H699" t="s">
        <v>52</v>
      </c>
      <c r="I699" t="s">
        <v>252</v>
      </c>
      <c r="J699" s="28" t="s">
        <v>370</v>
      </c>
      <c r="K699" s="82"/>
      <c r="L699" s="32">
        <v>150</v>
      </c>
      <c r="M699" s="30">
        <v>45986</v>
      </c>
      <c r="N699" s="30">
        <v>46007</v>
      </c>
      <c r="O699" s="43" t="s">
        <v>386</v>
      </c>
      <c r="P699" s="55"/>
      <c r="R699" t="s">
        <v>1478</v>
      </c>
    </row>
    <row r="700" spans="1:18" ht="14.45">
      <c r="A700" s="106" t="b">
        <v>0</v>
      </c>
      <c r="B700" t="str" cm="1">
        <f t="array" ref="B700">_xlfn.SINGLE(_xlfn._xlws.FILTER(t_ServiceCatalogue[Onwer],t_ServiceCatalogue[Category]=t_fac25_requirements[[#This Row],[Category]],""))</f>
        <v>NW</v>
      </c>
      <c r="C700" t="s">
        <v>194</v>
      </c>
      <c r="D700" t="str">
        <f>_xlfn._xlws.FILTER(t_Contact[FA Name],t_Contact[FA]=t_fac25_requirements[[#This Row],[FA]],"")</f>
        <v>Media Operations</v>
      </c>
      <c r="E700" t="s">
        <v>214</v>
      </c>
      <c r="F700" t="s">
        <v>259</v>
      </c>
      <c r="G700" t="s">
        <v>261</v>
      </c>
      <c r="H700" t="s">
        <v>52</v>
      </c>
      <c r="I700" t="s">
        <v>252</v>
      </c>
      <c r="J700" s="28" t="s">
        <v>370</v>
      </c>
      <c r="K700" s="82"/>
      <c r="L700" s="32">
        <v>154</v>
      </c>
      <c r="M700" s="30">
        <v>45986</v>
      </c>
      <c r="N700" s="30">
        <v>46007</v>
      </c>
      <c r="O700" s="43" t="s">
        <v>386</v>
      </c>
      <c r="P700" s="55"/>
      <c r="R700" t="s">
        <v>1479</v>
      </c>
    </row>
    <row r="701" spans="1:18" ht="14.45">
      <c r="A701" s="106" t="b">
        <v>0</v>
      </c>
      <c r="B701" t="str" cm="1">
        <f t="array" ref="B701">_xlfn.SINGLE(_xlfn._xlws.FILTER(t_ServiceCatalogue[Onwer],t_ServiceCatalogue[Category]=t_fac25_requirements[[#This Row],[Category]],""))</f>
        <v>NW</v>
      </c>
      <c r="C701" t="s">
        <v>194</v>
      </c>
      <c r="D701" t="str">
        <f>_xlfn._xlws.FILTER(t_Contact[FA Name],t_Contact[FA]=t_fac25_requirements[[#This Row],[FA]],"")</f>
        <v>Media Operations</v>
      </c>
      <c r="E701" t="s">
        <v>214</v>
      </c>
      <c r="F701" t="s">
        <v>259</v>
      </c>
      <c r="G701" t="s">
        <v>261</v>
      </c>
      <c r="H701" t="s">
        <v>46</v>
      </c>
      <c r="I701" t="s">
        <v>256</v>
      </c>
      <c r="J701" s="28" t="s">
        <v>370</v>
      </c>
      <c r="K701" s="82">
        <v>108</v>
      </c>
      <c r="L701" s="32">
        <v>80</v>
      </c>
      <c r="M701" s="30">
        <v>45986</v>
      </c>
      <c r="N701" s="30">
        <v>46007</v>
      </c>
      <c r="O701" s="43" t="s">
        <v>386</v>
      </c>
      <c r="P701" s="55" t="s">
        <v>1469</v>
      </c>
      <c r="R701" t="s">
        <v>1480</v>
      </c>
    </row>
    <row r="702" spans="1:18" ht="14.45">
      <c r="A702" s="106" t="b">
        <v>0</v>
      </c>
      <c r="B702" t="str" cm="1">
        <f t="array" ref="B702">_xlfn.SINGLE(_xlfn._xlws.FILTER(t_ServiceCatalogue[Onwer],t_ServiceCatalogue[Category]=t_fac25_requirements[[#This Row],[Category]],""))</f>
        <v>NW</v>
      </c>
      <c r="C702" t="s">
        <v>194</v>
      </c>
      <c r="D702" t="str">
        <f>_xlfn._xlws.FILTER(t_Contact[FA Name],t_Contact[FA]=t_fac25_requirements[[#This Row],[FA]],"")</f>
        <v>Media Operations</v>
      </c>
      <c r="E702" t="s">
        <v>214</v>
      </c>
      <c r="F702" t="s">
        <v>259</v>
      </c>
      <c r="G702" t="s">
        <v>263</v>
      </c>
      <c r="H702" t="s">
        <v>46</v>
      </c>
      <c r="I702" t="s">
        <v>256</v>
      </c>
      <c r="J702" s="28" t="s">
        <v>370</v>
      </c>
      <c r="K702" s="82"/>
      <c r="L702" s="32">
        <v>6</v>
      </c>
      <c r="M702" s="30">
        <v>45986</v>
      </c>
      <c r="N702" s="30">
        <v>46007</v>
      </c>
      <c r="O702" s="43" t="s">
        <v>386</v>
      </c>
      <c r="P702" s="55"/>
      <c r="R702" t="s">
        <v>1481</v>
      </c>
    </row>
    <row r="703" spans="1:18" ht="14.45">
      <c r="A703" s="106" t="b">
        <v>0</v>
      </c>
      <c r="B703" t="str" cm="1">
        <f t="array" ref="B703">_xlfn.SINGLE(_xlfn._xlws.FILTER(t_ServiceCatalogue[Onwer],t_ServiceCatalogue[Category]=t_fac25_requirements[[#This Row],[Category]],""))</f>
        <v>NW</v>
      </c>
      <c r="C703" t="s">
        <v>194</v>
      </c>
      <c r="D703" t="str">
        <f>_xlfn._xlws.FILTER(t_Contact[FA Name],t_Contact[FA]=t_fac25_requirements[[#This Row],[FA]],"")</f>
        <v>Media Operations</v>
      </c>
      <c r="E703" t="s">
        <v>214</v>
      </c>
      <c r="F703" t="s">
        <v>259</v>
      </c>
      <c r="G703" t="s">
        <v>262</v>
      </c>
      <c r="H703" t="s">
        <v>46</v>
      </c>
      <c r="I703" t="s">
        <v>256</v>
      </c>
      <c r="J703" s="28" t="s">
        <v>370</v>
      </c>
      <c r="K703" s="82"/>
      <c r="L703" s="32">
        <v>6</v>
      </c>
      <c r="M703" s="30">
        <v>45986</v>
      </c>
      <c r="N703" s="30">
        <v>46007</v>
      </c>
      <c r="O703" s="43" t="s">
        <v>386</v>
      </c>
      <c r="P703" s="55"/>
      <c r="R703" t="s">
        <v>1482</v>
      </c>
    </row>
    <row r="704" spans="1:18" ht="14.45">
      <c r="A704" s="106" t="b">
        <v>0</v>
      </c>
      <c r="B704" t="str" cm="1">
        <f t="array" ref="B704">_xlfn.SINGLE(_xlfn._xlws.FILTER(t_ServiceCatalogue[Onwer],t_ServiceCatalogue[Category]=t_fac25_requirements[[#This Row],[Category]],""))</f>
        <v>NW</v>
      </c>
      <c r="C704" t="s">
        <v>194</v>
      </c>
      <c r="D704" t="str">
        <f>_xlfn._xlws.FILTER(t_Contact[FA Name],t_Contact[FA]=t_fac25_requirements[[#This Row],[FA]],"")</f>
        <v>Media Operations</v>
      </c>
      <c r="E704" t="s">
        <v>214</v>
      </c>
      <c r="F704" t="s">
        <v>268</v>
      </c>
      <c r="G704" t="s">
        <v>272</v>
      </c>
      <c r="H704" t="s">
        <v>52</v>
      </c>
      <c r="I704" t="s">
        <v>252</v>
      </c>
      <c r="J704" s="28" t="s">
        <v>370</v>
      </c>
      <c r="K704" s="82"/>
      <c r="L704" s="32">
        <v>150</v>
      </c>
      <c r="M704" s="30">
        <v>45986</v>
      </c>
      <c r="N704" s="30">
        <v>46007</v>
      </c>
      <c r="O704" s="43" t="s">
        <v>386</v>
      </c>
      <c r="P704" s="55"/>
      <c r="R704" t="s">
        <v>1483</v>
      </c>
    </row>
    <row r="705" spans="1:18" ht="14.45">
      <c r="A705" s="106" t="b">
        <v>0</v>
      </c>
      <c r="B705" t="str" cm="1">
        <f t="array" ref="B705">_xlfn.SINGLE(_xlfn._xlws.FILTER(t_ServiceCatalogue[Onwer],t_ServiceCatalogue[Category]=t_fac25_requirements[[#This Row],[Category]],""))</f>
        <v>AV</v>
      </c>
      <c r="C705" t="s">
        <v>194</v>
      </c>
      <c r="D705" t="str">
        <f>_xlfn._xlws.FILTER(t_Contact[FA Name],t_Contact[FA]=t_fac25_requirements[[#This Row],[FA]],"")</f>
        <v>Media Operations</v>
      </c>
      <c r="E705" t="s">
        <v>214</v>
      </c>
      <c r="F705" t="s">
        <v>268</v>
      </c>
      <c r="G705" t="s">
        <v>272</v>
      </c>
      <c r="H705" t="s">
        <v>110</v>
      </c>
      <c r="I705" t="s">
        <v>273</v>
      </c>
      <c r="J705" s="28" t="s">
        <v>370</v>
      </c>
      <c r="K705" s="82"/>
      <c r="L705" s="32">
        <v>1</v>
      </c>
      <c r="M705" s="30">
        <v>45986</v>
      </c>
      <c r="N705" s="30">
        <v>46007</v>
      </c>
      <c r="O705" s="43" t="s">
        <v>386</v>
      </c>
      <c r="P705" s="55"/>
      <c r="Q705" t="s">
        <v>1451</v>
      </c>
      <c r="R705" t="s">
        <v>1484</v>
      </c>
    </row>
    <row r="706" spans="1:18" ht="14.45">
      <c r="A706" s="106" t="b">
        <v>0</v>
      </c>
      <c r="B706" t="str" cm="1">
        <f t="array" ref="B706">_xlfn.SINGLE(_xlfn._xlws.FILTER(t_ServiceCatalogue[Onwer],t_ServiceCatalogue[Category]=t_fac25_requirements[[#This Row],[Category]],""))</f>
        <v>NW</v>
      </c>
      <c r="C706" t="s">
        <v>194</v>
      </c>
      <c r="D706" t="str">
        <f>_xlfn._xlws.FILTER(t_Contact[FA Name],t_Contact[FA]=t_fac25_requirements[[#This Row],[FA]],"")</f>
        <v>Media Operations</v>
      </c>
      <c r="E706" t="s">
        <v>214</v>
      </c>
      <c r="F706" t="s">
        <v>305</v>
      </c>
      <c r="G706" t="s">
        <v>366</v>
      </c>
      <c r="H706" t="s">
        <v>52</v>
      </c>
      <c r="I706" t="s">
        <v>252</v>
      </c>
      <c r="J706" s="28" t="s">
        <v>370</v>
      </c>
      <c r="K706" s="82"/>
      <c r="L706" s="32">
        <v>4</v>
      </c>
      <c r="M706" s="30">
        <v>45986</v>
      </c>
      <c r="N706" s="30">
        <v>46007</v>
      </c>
      <c r="O706" s="43" t="s">
        <v>386</v>
      </c>
      <c r="P706" s="55"/>
      <c r="R706" t="s">
        <v>1485</v>
      </c>
    </row>
    <row r="707" spans="1:18" ht="14.45">
      <c r="A707" s="106" t="b">
        <v>1</v>
      </c>
      <c r="B707" t="str" cm="1">
        <f t="array" ref="B707">_xlfn.SINGLE(_xlfn._xlws.FILTER(t_ServiceCatalogue[Onwer],t_ServiceCatalogue[Category]=t_fac25_requirements[[#This Row],[Category]],""))</f>
        <v>AV</v>
      </c>
      <c r="C707" t="s">
        <v>194</v>
      </c>
      <c r="D707" t="str">
        <f>_xlfn._xlws.FILTER(t_Contact[FA Name],t_Contact[FA]=t_fac25_requirements[[#This Row],[FA]],"")</f>
        <v>Media Operations</v>
      </c>
      <c r="E707" t="s">
        <v>214</v>
      </c>
      <c r="F707" t="s">
        <v>305</v>
      </c>
      <c r="G707" t="s">
        <v>366</v>
      </c>
      <c r="H707" t="s">
        <v>58</v>
      </c>
      <c r="I707" t="s">
        <v>59</v>
      </c>
      <c r="J707" s="28" t="s">
        <v>370</v>
      </c>
      <c r="K707" s="82"/>
      <c r="L707" s="32">
        <v>1</v>
      </c>
      <c r="M707" s="30">
        <v>45986</v>
      </c>
      <c r="N707" s="30">
        <v>46007</v>
      </c>
      <c r="O707" s="43" t="s">
        <v>386</v>
      </c>
      <c r="P707" s="55"/>
      <c r="R707" t="s">
        <v>1486</v>
      </c>
    </row>
    <row r="708" spans="1:18" ht="14.45">
      <c r="A708" s="106" t="b">
        <v>1</v>
      </c>
      <c r="B708" t="str" cm="1">
        <f t="array" ref="B708">_xlfn.SINGLE(_xlfn._xlws.FILTER(t_ServiceCatalogue[Onwer],t_ServiceCatalogue[Category]=t_fac25_requirements[[#This Row],[Category]],""))</f>
        <v>EU</v>
      </c>
      <c r="C708" t="s">
        <v>194</v>
      </c>
      <c r="D708" t="str">
        <f>_xlfn._xlws.FILTER(t_Contact[FA Name],t_Contact[FA]=t_fac25_requirements[[#This Row],[FA]],"")</f>
        <v>Media Operations</v>
      </c>
      <c r="E708" t="s">
        <v>214</v>
      </c>
      <c r="F708" t="s">
        <v>305</v>
      </c>
      <c r="G708" t="s">
        <v>366</v>
      </c>
      <c r="H708" t="s">
        <v>22</v>
      </c>
      <c r="I708" t="s">
        <v>28</v>
      </c>
      <c r="J708" s="28" t="s">
        <v>370</v>
      </c>
      <c r="K708" s="82"/>
      <c r="L708" s="78">
        <v>1</v>
      </c>
      <c r="M708" s="30">
        <v>45986</v>
      </c>
      <c r="N708" s="30">
        <v>46007</v>
      </c>
      <c r="O708" s="43" t="s">
        <v>1454</v>
      </c>
      <c r="P708" s="55"/>
      <c r="Q708" t="s">
        <v>1455</v>
      </c>
      <c r="R708" t="s">
        <v>1487</v>
      </c>
    </row>
    <row r="709" spans="1:18" ht="14.45">
      <c r="A709" s="106" t="b">
        <v>1</v>
      </c>
      <c r="B709" t="str" cm="1">
        <f t="array" ref="B709">_xlfn.SINGLE(_xlfn._xlws.FILTER(t_ServiceCatalogue[Onwer],t_ServiceCatalogue[Category]=t_fac25_requirements[[#This Row],[Category]],""))</f>
        <v>AV</v>
      </c>
      <c r="C709" t="s">
        <v>194</v>
      </c>
      <c r="D709" t="str">
        <f>_xlfn._xlws.FILTER(t_Contact[FA Name],t_Contact[FA]=t_fac25_requirements[[#This Row],[FA]],"")</f>
        <v>Media Operations</v>
      </c>
      <c r="E709" t="s">
        <v>214</v>
      </c>
      <c r="F709" t="s">
        <v>305</v>
      </c>
      <c r="G709" t="s">
        <v>363</v>
      </c>
      <c r="H709" t="s">
        <v>58</v>
      </c>
      <c r="I709" t="s">
        <v>59</v>
      </c>
      <c r="J709" s="28" t="s">
        <v>637</v>
      </c>
      <c r="K709" s="82">
        <v>1</v>
      </c>
      <c r="L709" s="32">
        <v>0</v>
      </c>
      <c r="M709" s="30">
        <v>45986</v>
      </c>
      <c r="N709" s="30">
        <v>46007</v>
      </c>
      <c r="O709" s="43" t="s">
        <v>386</v>
      </c>
      <c r="P709" s="55" t="s">
        <v>387</v>
      </c>
      <c r="R709" t="s">
        <v>1488</v>
      </c>
    </row>
    <row r="710" spans="1:18" ht="14.45">
      <c r="A710" s="106" t="b">
        <v>0</v>
      </c>
      <c r="B710" t="str" cm="1">
        <f t="array" ref="B710">_xlfn.SINGLE(_xlfn._xlws.FILTER(t_ServiceCatalogue[Onwer],t_ServiceCatalogue[Category]=t_fac25_requirements[[#This Row],[Category]],""))</f>
        <v>NW</v>
      </c>
      <c r="C710" t="s">
        <v>194</v>
      </c>
      <c r="D710" t="str">
        <f>_xlfn._xlws.FILTER(t_Contact[FA Name],t_Contact[FA]=t_fac25_requirements[[#This Row],[FA]],"")</f>
        <v>Media Operations</v>
      </c>
      <c r="E710" t="s">
        <v>214</v>
      </c>
      <c r="F710" t="s">
        <v>305</v>
      </c>
      <c r="G710" t="s">
        <v>363</v>
      </c>
      <c r="H710" t="s">
        <v>52</v>
      </c>
      <c r="I710" t="s">
        <v>252</v>
      </c>
      <c r="J710" s="28" t="s">
        <v>370</v>
      </c>
      <c r="K710" s="82"/>
      <c r="L710" s="32">
        <v>4</v>
      </c>
      <c r="M710" s="30">
        <v>45986</v>
      </c>
      <c r="N710" s="30">
        <v>46007</v>
      </c>
      <c r="O710" s="43" t="s">
        <v>386</v>
      </c>
      <c r="P710" s="55"/>
      <c r="R710" t="s">
        <v>1489</v>
      </c>
    </row>
    <row r="711" spans="1:18" ht="14.45">
      <c r="A711" s="106" t="b">
        <v>1</v>
      </c>
      <c r="B711" t="str" cm="1">
        <f t="array" ref="B711">_xlfn.SINGLE(_xlfn._xlws.FILTER(t_ServiceCatalogue[Onwer],t_ServiceCatalogue[Category]=t_fac25_requirements[[#This Row],[Category]],""))</f>
        <v>EU</v>
      </c>
      <c r="C711" t="s">
        <v>194</v>
      </c>
      <c r="D711" t="str">
        <f>_xlfn._xlws.FILTER(t_Contact[FA Name],t_Contact[FA]=t_fac25_requirements[[#This Row],[FA]],"")</f>
        <v>Media Operations</v>
      </c>
      <c r="E711" t="s">
        <v>214</v>
      </c>
      <c r="F711" t="s">
        <v>305</v>
      </c>
      <c r="G711" t="s">
        <v>366</v>
      </c>
      <c r="H711" t="s">
        <v>32</v>
      </c>
      <c r="I711" t="s">
        <v>209</v>
      </c>
      <c r="J711" s="28" t="s">
        <v>370</v>
      </c>
      <c r="K711" s="82"/>
      <c r="L711" s="32">
        <v>1</v>
      </c>
      <c r="M711" s="30">
        <v>45986</v>
      </c>
      <c r="N711" s="30">
        <v>46007</v>
      </c>
      <c r="O711" s="43" t="s">
        <v>386</v>
      </c>
      <c r="P711" s="55"/>
      <c r="Q711" t="s">
        <v>1458</v>
      </c>
      <c r="R711" t="s">
        <v>1490</v>
      </c>
    </row>
    <row r="712" spans="1:18" ht="14.45">
      <c r="A712" s="106" t="b">
        <v>0</v>
      </c>
      <c r="B712" t="str" cm="1">
        <f t="array" ref="B712">_xlfn.SINGLE(_xlfn._xlws.FILTER(t_ServiceCatalogue[Onwer],t_ServiceCatalogue[Category]=t_fac25_requirements[[#This Row],[Category]],""))</f>
        <v>NW</v>
      </c>
      <c r="C712" t="s">
        <v>194</v>
      </c>
      <c r="D712" t="str">
        <f>_xlfn._xlws.FILTER(t_Contact[FA Name],t_Contact[FA]=t_fac25_requirements[[#This Row],[FA]],"")</f>
        <v>Media Operations</v>
      </c>
      <c r="E712" t="s">
        <v>214</v>
      </c>
      <c r="F712" t="s">
        <v>268</v>
      </c>
      <c r="G712" t="s">
        <v>269</v>
      </c>
      <c r="H712" t="s">
        <v>52</v>
      </c>
      <c r="I712" t="s">
        <v>252</v>
      </c>
      <c r="J712" s="28" t="s">
        <v>370</v>
      </c>
      <c r="K712" s="82"/>
      <c r="L712" s="32">
        <v>100</v>
      </c>
      <c r="M712" s="30">
        <v>45986</v>
      </c>
      <c r="N712" s="30">
        <v>46007</v>
      </c>
      <c r="O712" s="43" t="s">
        <v>386</v>
      </c>
      <c r="P712" s="55"/>
      <c r="R712" t="s">
        <v>1491</v>
      </c>
    </row>
    <row r="713" spans="1:18" ht="14.45">
      <c r="A713" s="106" t="b">
        <v>0</v>
      </c>
      <c r="B713" t="str" cm="1">
        <f t="array" ref="B713">_xlfn.SINGLE(_xlfn._xlws.FILTER(t_ServiceCatalogue[Onwer],t_ServiceCatalogue[Category]=t_fac25_requirements[[#This Row],[Category]],""))</f>
        <v>NW</v>
      </c>
      <c r="C713" t="s">
        <v>194</v>
      </c>
      <c r="D713" t="str">
        <f>_xlfn._xlws.FILTER(t_Contact[FA Name],t_Contact[FA]=t_fac25_requirements[[#This Row],[FA]],"")</f>
        <v>Media Operations</v>
      </c>
      <c r="E713" t="s">
        <v>212</v>
      </c>
      <c r="F713" t="s">
        <v>268</v>
      </c>
      <c r="G713" t="s">
        <v>270</v>
      </c>
      <c r="H713" t="s">
        <v>52</v>
      </c>
      <c r="I713" t="s">
        <v>252</v>
      </c>
      <c r="J713" s="28" t="s">
        <v>370</v>
      </c>
      <c r="K713" s="82"/>
      <c r="L713" s="32">
        <v>2</v>
      </c>
      <c r="M713" s="30">
        <v>45986</v>
      </c>
      <c r="N713" s="30">
        <v>46007</v>
      </c>
      <c r="O713" s="43" t="s">
        <v>386</v>
      </c>
      <c r="P713" s="55"/>
      <c r="Q713" t="s">
        <v>1492</v>
      </c>
      <c r="R713" t="s">
        <v>1493</v>
      </c>
    </row>
    <row r="714" spans="1:18" ht="14.45">
      <c r="A714" s="106" t="b">
        <v>0</v>
      </c>
      <c r="B714" t="str" cm="1">
        <f t="array" ref="B714">_xlfn.SINGLE(_xlfn._xlws.FILTER(t_ServiceCatalogue[Onwer],t_ServiceCatalogue[Category]=t_fac25_requirements[[#This Row],[Category]],""))</f>
        <v>NW</v>
      </c>
      <c r="C714" t="s">
        <v>194</v>
      </c>
      <c r="D714" t="str">
        <f>_xlfn._xlws.FILTER(t_Contact[FA Name],t_Contact[FA]=t_fac25_requirements[[#This Row],[FA]],"")</f>
        <v>Media Operations</v>
      </c>
      <c r="E714" t="s">
        <v>212</v>
      </c>
      <c r="F714" t="s">
        <v>268</v>
      </c>
      <c r="G714" t="s">
        <v>274</v>
      </c>
      <c r="H714" t="s">
        <v>52</v>
      </c>
      <c r="I714" t="s">
        <v>252</v>
      </c>
      <c r="J714" s="28" t="s">
        <v>370</v>
      </c>
      <c r="K714" s="82"/>
      <c r="L714" s="32">
        <v>5</v>
      </c>
      <c r="M714" s="30">
        <v>45986</v>
      </c>
      <c r="N714" s="30">
        <v>46007</v>
      </c>
      <c r="O714" s="43" t="s">
        <v>386</v>
      </c>
      <c r="P714" s="55"/>
      <c r="R714" t="s">
        <v>1494</v>
      </c>
    </row>
    <row r="715" spans="1:18" ht="14.45">
      <c r="A715" s="106" t="b">
        <v>1</v>
      </c>
      <c r="B715" t="str" cm="1">
        <f t="array" ref="B715">_xlfn.SINGLE(_xlfn._xlws.FILTER(t_ServiceCatalogue[Onwer],t_ServiceCatalogue[Category]=t_fac25_requirements[[#This Row],[Category]],""))</f>
        <v>EU</v>
      </c>
      <c r="C715" t="s">
        <v>194</v>
      </c>
      <c r="D715" t="str">
        <f>_xlfn._xlws.FILTER(t_Contact[FA Name],t_Contact[FA]=t_fac25_requirements[[#This Row],[FA]],"")</f>
        <v>Media Operations</v>
      </c>
      <c r="E715" t="s">
        <v>212</v>
      </c>
      <c r="F715" t="s">
        <v>268</v>
      </c>
      <c r="G715" t="s">
        <v>274</v>
      </c>
      <c r="H715" t="s">
        <v>32</v>
      </c>
      <c r="I715" t="s">
        <v>33</v>
      </c>
      <c r="J715" s="28" t="s">
        <v>370</v>
      </c>
      <c r="K715" s="82"/>
      <c r="L715" s="32">
        <v>2</v>
      </c>
      <c r="M715" s="30">
        <v>45986</v>
      </c>
      <c r="N715" s="30">
        <v>46007</v>
      </c>
      <c r="O715" s="43" t="s">
        <v>386</v>
      </c>
      <c r="P715" s="55"/>
      <c r="R715" t="s">
        <v>1495</v>
      </c>
    </row>
    <row r="716" spans="1:18" ht="14.45">
      <c r="A716" s="106" t="b">
        <v>0</v>
      </c>
      <c r="B716" t="str" cm="1">
        <f t="array" ref="B716">_xlfn.SINGLE(_xlfn._xlws.FILTER(t_ServiceCatalogue[Onwer],t_ServiceCatalogue[Category]=t_fac25_requirements[[#This Row],[Category]],""))</f>
        <v>NW</v>
      </c>
      <c r="C716" t="s">
        <v>194</v>
      </c>
      <c r="D716" t="str">
        <f>_xlfn._xlws.FILTER(t_Contact[FA Name],t_Contact[FA]=t_fac25_requirements[[#This Row],[FA]],"")</f>
        <v>Media Operations</v>
      </c>
      <c r="E716" t="s">
        <v>212</v>
      </c>
      <c r="F716" t="s">
        <v>268</v>
      </c>
      <c r="G716" t="s">
        <v>275</v>
      </c>
      <c r="H716" t="s">
        <v>52</v>
      </c>
      <c r="I716" t="s">
        <v>252</v>
      </c>
      <c r="J716" s="28" t="s">
        <v>370</v>
      </c>
      <c r="K716" s="82"/>
      <c r="L716" s="32">
        <v>300</v>
      </c>
      <c r="M716" s="30">
        <v>45986</v>
      </c>
      <c r="N716" s="30">
        <v>46007</v>
      </c>
      <c r="O716" s="43" t="s">
        <v>386</v>
      </c>
      <c r="P716" s="55"/>
      <c r="Q716" t="s">
        <v>1465</v>
      </c>
      <c r="R716" t="s">
        <v>1496</v>
      </c>
    </row>
    <row r="717" spans="1:18" ht="14.45">
      <c r="A717" s="106" t="b">
        <v>0</v>
      </c>
      <c r="B717" t="str" cm="1">
        <f t="array" ref="B717">_xlfn.SINGLE(_xlfn._xlws.FILTER(t_ServiceCatalogue[Onwer],t_ServiceCatalogue[Category]=t_fac25_requirements[[#This Row],[Category]],""))</f>
        <v>AV</v>
      </c>
      <c r="C717" t="s">
        <v>194</v>
      </c>
      <c r="D717" t="str">
        <f>_xlfn._xlws.FILTER(t_Contact[FA Name],t_Contact[FA]=t_fac25_requirements[[#This Row],[FA]],"")</f>
        <v>Media Operations</v>
      </c>
      <c r="E717" t="s">
        <v>212</v>
      </c>
      <c r="F717" t="s">
        <v>268</v>
      </c>
      <c r="G717" t="s">
        <v>275</v>
      </c>
      <c r="H717" t="s">
        <v>58</v>
      </c>
      <c r="I717" t="s">
        <v>59</v>
      </c>
      <c r="J717" s="28" t="s">
        <v>370</v>
      </c>
      <c r="K717" s="82"/>
      <c r="L717" s="32">
        <v>6</v>
      </c>
      <c r="M717" s="30">
        <v>45986</v>
      </c>
      <c r="N717" s="30">
        <v>46007</v>
      </c>
      <c r="O717" s="43" t="s">
        <v>386</v>
      </c>
      <c r="P717" s="55"/>
      <c r="Q717" t="s">
        <v>1465</v>
      </c>
      <c r="R717" t="s">
        <v>1497</v>
      </c>
    </row>
    <row r="718" spans="1:18" ht="14.45">
      <c r="A718" s="106" t="b">
        <v>0</v>
      </c>
      <c r="B718" t="str" cm="1">
        <f t="array" ref="B718">_xlfn.SINGLE(_xlfn._xlws.FILTER(t_ServiceCatalogue[Onwer],t_ServiceCatalogue[Category]=t_fac25_requirements[[#This Row],[Category]],""))</f>
        <v>NW</v>
      </c>
      <c r="C718" t="s">
        <v>194</v>
      </c>
      <c r="D718" t="str">
        <f>_xlfn._xlws.FILTER(t_Contact[FA Name],t_Contact[FA]=t_fac25_requirements[[#This Row],[FA]],"")</f>
        <v>Media Operations</v>
      </c>
      <c r="E718" t="s">
        <v>212</v>
      </c>
      <c r="F718" t="s">
        <v>268</v>
      </c>
      <c r="G718" t="s">
        <v>275</v>
      </c>
      <c r="H718" t="s">
        <v>46</v>
      </c>
      <c r="I718" t="s">
        <v>47</v>
      </c>
      <c r="J718" s="28" t="s">
        <v>370</v>
      </c>
      <c r="K718" s="82"/>
      <c r="L718" s="32">
        <v>40</v>
      </c>
      <c r="M718" s="30">
        <v>45986</v>
      </c>
      <c r="N718" s="30">
        <v>46007</v>
      </c>
      <c r="O718" s="43" t="s">
        <v>386</v>
      </c>
      <c r="P718" s="55"/>
      <c r="R718" t="s">
        <v>1498</v>
      </c>
    </row>
    <row r="719" spans="1:18" ht="14.45">
      <c r="A719" s="106" t="b">
        <v>0</v>
      </c>
      <c r="B719" t="str" cm="1">
        <f t="array" ref="B719">_xlfn.SINGLE(_xlfn._xlws.FILTER(t_ServiceCatalogue[Onwer],t_ServiceCatalogue[Category]=t_fac25_requirements[[#This Row],[Category]],""))</f>
        <v>NW</v>
      </c>
      <c r="C719" t="s">
        <v>194</v>
      </c>
      <c r="D719" t="str">
        <f>_xlfn._xlws.FILTER(t_Contact[FA Name],t_Contact[FA]=t_fac25_requirements[[#This Row],[FA]],"")</f>
        <v>Media Operations</v>
      </c>
      <c r="E719" t="s">
        <v>212</v>
      </c>
      <c r="F719" t="s">
        <v>278</v>
      </c>
      <c r="G719" t="s">
        <v>285</v>
      </c>
      <c r="H719" t="s">
        <v>46</v>
      </c>
      <c r="I719" t="s">
        <v>47</v>
      </c>
      <c r="J719" s="28" t="s">
        <v>370</v>
      </c>
      <c r="K719" s="82">
        <v>281</v>
      </c>
      <c r="L719" s="32">
        <v>154</v>
      </c>
      <c r="M719" s="30">
        <v>45986</v>
      </c>
      <c r="N719" s="30">
        <v>46007</v>
      </c>
      <c r="O719" s="43" t="s">
        <v>386</v>
      </c>
      <c r="P719" s="55"/>
      <c r="R719" t="s">
        <v>1499</v>
      </c>
    </row>
    <row r="720" spans="1:18" ht="14.45">
      <c r="A720" s="106" t="b">
        <v>0</v>
      </c>
      <c r="B720" t="str" cm="1">
        <f t="array" ref="B720">_xlfn.SINGLE(_xlfn._xlws.FILTER(t_ServiceCatalogue[Onwer],t_ServiceCatalogue[Category]=t_fac25_requirements[[#This Row],[Category]],""))</f>
        <v>AV</v>
      </c>
      <c r="C720" t="s">
        <v>194</v>
      </c>
      <c r="D720" t="str">
        <f>_xlfn._xlws.FILTER(t_Contact[FA Name],t_Contact[FA]=t_fac25_requirements[[#This Row],[FA]],"")</f>
        <v>Media Operations</v>
      </c>
      <c r="E720" t="s">
        <v>212</v>
      </c>
      <c r="F720" t="s">
        <v>278</v>
      </c>
      <c r="G720" t="s">
        <v>285</v>
      </c>
      <c r="H720" t="s">
        <v>58</v>
      </c>
      <c r="I720" t="s">
        <v>282</v>
      </c>
      <c r="J720" s="28" t="s">
        <v>370</v>
      </c>
      <c r="K720" s="82">
        <v>90</v>
      </c>
      <c r="L720" s="32">
        <v>60</v>
      </c>
      <c r="M720" s="30">
        <v>45986</v>
      </c>
      <c r="N720" s="30">
        <v>46007</v>
      </c>
      <c r="O720" s="43" t="s">
        <v>386</v>
      </c>
      <c r="P720" s="55" t="s">
        <v>1438</v>
      </c>
      <c r="Q720" t="s">
        <v>1439</v>
      </c>
      <c r="R720" t="s">
        <v>1500</v>
      </c>
    </row>
    <row r="721" spans="1:18" ht="14.45">
      <c r="A721" s="106" t="b">
        <v>0</v>
      </c>
      <c r="B721" t="str" cm="1">
        <f t="array" ref="B721">_xlfn.SINGLE(_xlfn._xlws.FILTER(t_ServiceCatalogue[Onwer],t_ServiceCatalogue[Category]=t_fac25_requirements[[#This Row],[Category]],""))</f>
        <v>NW</v>
      </c>
      <c r="C721" t="s">
        <v>194</v>
      </c>
      <c r="D721" t="str">
        <f>_xlfn._xlws.FILTER(t_Contact[FA Name],t_Contact[FA]=t_fac25_requirements[[#This Row],[FA]],"")</f>
        <v>Media Operations</v>
      </c>
      <c r="E721" t="s">
        <v>212</v>
      </c>
      <c r="F721" t="s">
        <v>278</v>
      </c>
      <c r="G721" t="s">
        <v>285</v>
      </c>
      <c r="H721" t="s">
        <v>52</v>
      </c>
      <c r="I721" t="s">
        <v>252</v>
      </c>
      <c r="J721" s="28" t="s">
        <v>370</v>
      </c>
      <c r="K721" s="82"/>
      <c r="L721" s="32">
        <v>500</v>
      </c>
      <c r="M721" s="30">
        <v>45986</v>
      </c>
      <c r="N721" s="30">
        <v>46007</v>
      </c>
      <c r="O721" s="43" t="s">
        <v>386</v>
      </c>
      <c r="P721" s="55"/>
      <c r="R721" t="s">
        <v>1501</v>
      </c>
    </row>
    <row r="722" spans="1:18" ht="14.45">
      <c r="A722" s="106" t="b">
        <v>0</v>
      </c>
      <c r="B722" t="str" cm="1">
        <f t="array" ref="B722">_xlfn.SINGLE(_xlfn._xlws.FILTER(t_ServiceCatalogue[Onwer],t_ServiceCatalogue[Category]=t_fac25_requirements[[#This Row],[Category]],""))</f>
        <v>NW</v>
      </c>
      <c r="C722" t="s">
        <v>194</v>
      </c>
      <c r="D722" t="str">
        <f>_xlfn._xlws.FILTER(t_Contact[FA Name],t_Contact[FA]=t_fac25_requirements[[#This Row],[FA]],"")</f>
        <v>Media Operations</v>
      </c>
      <c r="E722" t="s">
        <v>212</v>
      </c>
      <c r="F722" t="s">
        <v>278</v>
      </c>
      <c r="G722" t="s">
        <v>287</v>
      </c>
      <c r="H722" t="s">
        <v>46</v>
      </c>
      <c r="I722" t="s">
        <v>47</v>
      </c>
      <c r="J722" s="28" t="s">
        <v>370</v>
      </c>
      <c r="K722" s="82"/>
      <c r="L722" s="32">
        <v>10</v>
      </c>
      <c r="M722" s="30">
        <v>45986</v>
      </c>
      <c r="N722" s="30">
        <v>46007</v>
      </c>
      <c r="O722" s="43" t="s">
        <v>386</v>
      </c>
      <c r="P722" s="55"/>
      <c r="R722" t="s">
        <v>1502</v>
      </c>
    </row>
    <row r="723" spans="1:18" ht="14.45">
      <c r="A723" s="106" t="b">
        <v>0</v>
      </c>
      <c r="B723" t="str" cm="1">
        <f t="array" ref="B723">_xlfn.SINGLE(_xlfn._xlws.FILTER(t_ServiceCatalogue[Onwer],t_ServiceCatalogue[Category]=t_fac25_requirements[[#This Row],[Category]],""))</f>
        <v>NW</v>
      </c>
      <c r="C723" t="s">
        <v>194</v>
      </c>
      <c r="D723" t="str">
        <f>_xlfn._xlws.FILTER(t_Contact[FA Name],t_Contact[FA]=t_fac25_requirements[[#This Row],[FA]],"")</f>
        <v>Media Operations</v>
      </c>
      <c r="E723" t="s">
        <v>212</v>
      </c>
      <c r="F723" t="s">
        <v>268</v>
      </c>
      <c r="G723" t="s">
        <v>358</v>
      </c>
      <c r="H723" t="s">
        <v>46</v>
      </c>
      <c r="I723" t="s">
        <v>47</v>
      </c>
      <c r="J723" s="28" t="s">
        <v>370</v>
      </c>
      <c r="K723" s="82"/>
      <c r="L723" s="32">
        <v>45</v>
      </c>
      <c r="M723" s="30">
        <v>45986</v>
      </c>
      <c r="N723" s="30">
        <v>46007</v>
      </c>
      <c r="O723" s="43" t="s">
        <v>386</v>
      </c>
      <c r="P723" s="55"/>
      <c r="R723" t="s">
        <v>1503</v>
      </c>
    </row>
    <row r="724" spans="1:18" ht="14.45">
      <c r="A724" s="106" t="b">
        <v>0</v>
      </c>
      <c r="B724" t="str" cm="1">
        <f t="array" ref="B724">_xlfn.SINGLE(_xlfn._xlws.FILTER(t_ServiceCatalogue[Onwer],t_ServiceCatalogue[Category]=t_fac25_requirements[[#This Row],[Category]],""))</f>
        <v>NW</v>
      </c>
      <c r="C724" t="s">
        <v>194</v>
      </c>
      <c r="D724" t="str">
        <f>_xlfn._xlws.FILTER(t_Contact[FA Name],t_Contact[FA]=t_fac25_requirements[[#This Row],[FA]],"")</f>
        <v>Media Operations</v>
      </c>
      <c r="E724" t="s">
        <v>212</v>
      </c>
      <c r="F724" t="s">
        <v>268</v>
      </c>
      <c r="G724" t="s">
        <v>358</v>
      </c>
      <c r="H724" t="s">
        <v>52</v>
      </c>
      <c r="I724" t="s">
        <v>252</v>
      </c>
      <c r="J724" s="28" t="s">
        <v>370</v>
      </c>
      <c r="K724" s="82"/>
      <c r="L724" s="32">
        <v>90</v>
      </c>
      <c r="M724" s="30">
        <v>45986</v>
      </c>
      <c r="N724" s="30">
        <v>46007</v>
      </c>
      <c r="O724" s="43" t="s">
        <v>386</v>
      </c>
      <c r="P724" s="55"/>
      <c r="R724" t="s">
        <v>1504</v>
      </c>
    </row>
    <row r="725" spans="1:18" ht="14.45">
      <c r="A725" s="106" t="b">
        <v>0</v>
      </c>
      <c r="B725" t="str" cm="1">
        <f t="array" ref="B725">_xlfn.SINGLE(_xlfn._xlws.FILTER(t_ServiceCatalogue[Onwer],t_ServiceCatalogue[Category]=t_fac25_requirements[[#This Row],[Category]],""))</f>
        <v>AV</v>
      </c>
      <c r="C725" t="s">
        <v>194</v>
      </c>
      <c r="D725" t="str">
        <f>_xlfn._xlws.FILTER(t_Contact[FA Name],t_Contact[FA]=t_fac25_requirements[[#This Row],[FA]],"")</f>
        <v>Media Operations</v>
      </c>
      <c r="E725" t="s">
        <v>212</v>
      </c>
      <c r="F725" t="s">
        <v>268</v>
      </c>
      <c r="G725" t="s">
        <v>358</v>
      </c>
      <c r="H725" t="s">
        <v>58</v>
      </c>
      <c r="I725" t="s">
        <v>59</v>
      </c>
      <c r="J725" s="28" t="s">
        <v>370</v>
      </c>
      <c r="K725" s="82"/>
      <c r="L725" s="32">
        <v>1</v>
      </c>
      <c r="M725" s="30">
        <v>45986</v>
      </c>
      <c r="N725" s="30">
        <v>46007</v>
      </c>
      <c r="O725" s="43" t="s">
        <v>386</v>
      </c>
      <c r="P725" s="55"/>
      <c r="R725" t="s">
        <v>1505</v>
      </c>
    </row>
    <row r="726" spans="1:18" ht="14.45">
      <c r="A726" s="106" t="b">
        <v>0</v>
      </c>
      <c r="B726" t="str" cm="1">
        <f t="array" ref="B726">_xlfn.SINGLE(_xlfn._xlws.FILTER(t_ServiceCatalogue[Onwer],t_ServiceCatalogue[Category]=t_fac25_requirements[[#This Row],[Category]],""))</f>
        <v>NW</v>
      </c>
      <c r="C726" t="s">
        <v>194</v>
      </c>
      <c r="D726" t="str">
        <f>_xlfn._xlws.FILTER(t_Contact[FA Name],t_Contact[FA]=t_fac25_requirements[[#This Row],[FA]],"")</f>
        <v>Media Operations</v>
      </c>
      <c r="E726" t="s">
        <v>212</v>
      </c>
      <c r="F726" t="s">
        <v>268</v>
      </c>
      <c r="G726" t="s">
        <v>271</v>
      </c>
      <c r="H726" t="s">
        <v>52</v>
      </c>
      <c r="I726" t="s">
        <v>252</v>
      </c>
      <c r="J726" s="28" t="s">
        <v>370</v>
      </c>
      <c r="K726" s="82"/>
      <c r="L726" s="32">
        <v>150</v>
      </c>
      <c r="M726" s="30">
        <v>45986</v>
      </c>
      <c r="N726" s="30">
        <v>46007</v>
      </c>
      <c r="O726" s="43" t="s">
        <v>386</v>
      </c>
      <c r="P726" s="55"/>
      <c r="R726" t="s">
        <v>1506</v>
      </c>
    </row>
    <row r="727" spans="1:18" ht="14.45">
      <c r="A727" s="106" t="b">
        <v>0</v>
      </c>
      <c r="B727" t="str" cm="1">
        <f t="array" ref="B727">_xlfn.SINGLE(_xlfn._xlws.FILTER(t_ServiceCatalogue[Onwer],t_ServiceCatalogue[Category]=t_fac25_requirements[[#This Row],[Category]],""))</f>
        <v>NW</v>
      </c>
      <c r="C727" t="s">
        <v>194</v>
      </c>
      <c r="D727" t="str">
        <f>_xlfn._xlws.FILTER(t_Contact[FA Name],t_Contact[FA]=t_fac25_requirements[[#This Row],[FA]],"")</f>
        <v>Media Operations</v>
      </c>
      <c r="E727" t="s">
        <v>212</v>
      </c>
      <c r="F727" t="s">
        <v>259</v>
      </c>
      <c r="G727" t="s">
        <v>261</v>
      </c>
      <c r="H727" t="s">
        <v>52</v>
      </c>
      <c r="I727" t="s">
        <v>252</v>
      </c>
      <c r="J727" s="28" t="s">
        <v>370</v>
      </c>
      <c r="K727" s="82"/>
      <c r="L727" s="32">
        <v>154</v>
      </c>
      <c r="M727" s="30">
        <v>45986</v>
      </c>
      <c r="N727" s="30">
        <v>46007</v>
      </c>
      <c r="O727" s="43" t="s">
        <v>386</v>
      </c>
      <c r="P727" s="55"/>
      <c r="R727" t="s">
        <v>1507</v>
      </c>
    </row>
    <row r="728" spans="1:18" ht="14.45">
      <c r="A728" s="106" t="b">
        <v>0</v>
      </c>
      <c r="B728" t="str" cm="1">
        <f t="array" ref="B728">_xlfn.SINGLE(_xlfn._xlws.FILTER(t_ServiceCatalogue[Onwer],t_ServiceCatalogue[Category]=t_fac25_requirements[[#This Row],[Category]],""))</f>
        <v>NW</v>
      </c>
      <c r="C728" t="s">
        <v>194</v>
      </c>
      <c r="D728" t="str">
        <f>_xlfn._xlws.FILTER(t_Contact[FA Name],t_Contact[FA]=t_fac25_requirements[[#This Row],[FA]],"")</f>
        <v>Media Operations</v>
      </c>
      <c r="E728" t="s">
        <v>212</v>
      </c>
      <c r="F728" t="s">
        <v>259</v>
      </c>
      <c r="G728" t="s">
        <v>261</v>
      </c>
      <c r="H728" t="s">
        <v>46</v>
      </c>
      <c r="I728" t="s">
        <v>47</v>
      </c>
      <c r="J728" s="28" t="s">
        <v>370</v>
      </c>
      <c r="K728" s="82"/>
      <c r="L728" s="32">
        <v>80</v>
      </c>
      <c r="M728" s="30">
        <v>45986</v>
      </c>
      <c r="N728" s="30">
        <v>46007</v>
      </c>
      <c r="O728" s="43" t="s">
        <v>386</v>
      </c>
      <c r="P728" s="55"/>
      <c r="R728" t="s">
        <v>1508</v>
      </c>
    </row>
    <row r="729" spans="1:18" ht="14.45">
      <c r="A729" s="106" t="b">
        <v>0</v>
      </c>
      <c r="B729" t="str" cm="1">
        <f t="array" ref="B729">_xlfn.SINGLE(_xlfn._xlws.FILTER(t_ServiceCatalogue[Onwer],t_ServiceCatalogue[Category]=t_fac25_requirements[[#This Row],[Category]],""))</f>
        <v>NW</v>
      </c>
      <c r="C729" t="s">
        <v>194</v>
      </c>
      <c r="D729" t="str">
        <f>_xlfn._xlws.FILTER(t_Contact[FA Name],t_Contact[FA]=t_fac25_requirements[[#This Row],[FA]],"")</f>
        <v>Media Operations</v>
      </c>
      <c r="E729" t="s">
        <v>212</v>
      </c>
      <c r="F729" t="s">
        <v>259</v>
      </c>
      <c r="G729" t="s">
        <v>263</v>
      </c>
      <c r="H729" t="s">
        <v>46</v>
      </c>
      <c r="I729" t="s">
        <v>47</v>
      </c>
      <c r="J729" s="28" t="s">
        <v>370</v>
      </c>
      <c r="K729" s="82"/>
      <c r="L729" s="32">
        <v>6</v>
      </c>
      <c r="M729" s="30">
        <v>45986</v>
      </c>
      <c r="N729" s="30">
        <v>46007</v>
      </c>
      <c r="O729" s="43" t="s">
        <v>386</v>
      </c>
      <c r="P729" s="55"/>
      <c r="R729" t="s">
        <v>1509</v>
      </c>
    </row>
    <row r="730" spans="1:18" ht="14.45">
      <c r="A730" s="106" t="b">
        <v>0</v>
      </c>
      <c r="B730" t="str" cm="1">
        <f t="array" ref="B730">_xlfn.SINGLE(_xlfn._xlws.FILTER(t_ServiceCatalogue[Onwer],t_ServiceCatalogue[Category]=t_fac25_requirements[[#This Row],[Category]],""))</f>
        <v>NW</v>
      </c>
      <c r="C730" t="s">
        <v>194</v>
      </c>
      <c r="D730" t="str">
        <f>_xlfn._xlws.FILTER(t_Contact[FA Name],t_Contact[FA]=t_fac25_requirements[[#This Row],[FA]],"")</f>
        <v>Media Operations</v>
      </c>
      <c r="E730" t="s">
        <v>212</v>
      </c>
      <c r="F730" t="s">
        <v>259</v>
      </c>
      <c r="G730" t="s">
        <v>262</v>
      </c>
      <c r="H730" t="s">
        <v>46</v>
      </c>
      <c r="I730" t="s">
        <v>47</v>
      </c>
      <c r="J730" s="28" t="s">
        <v>370</v>
      </c>
      <c r="K730" s="82"/>
      <c r="L730" s="32">
        <v>6</v>
      </c>
      <c r="M730" s="30">
        <v>45986</v>
      </c>
      <c r="N730" s="30">
        <v>46007</v>
      </c>
      <c r="O730" s="43" t="s">
        <v>386</v>
      </c>
      <c r="P730" s="55"/>
      <c r="R730" t="s">
        <v>1510</v>
      </c>
    </row>
    <row r="731" spans="1:18" ht="14.45">
      <c r="A731" s="106" t="b">
        <v>0</v>
      </c>
      <c r="B731" t="str" cm="1">
        <f t="array" ref="B731">_xlfn.SINGLE(_xlfn._xlws.FILTER(t_ServiceCatalogue[Onwer],t_ServiceCatalogue[Category]=t_fac25_requirements[[#This Row],[Category]],""))</f>
        <v>NW</v>
      </c>
      <c r="C731" t="s">
        <v>194</v>
      </c>
      <c r="D731" t="str">
        <f>_xlfn._xlws.FILTER(t_Contact[FA Name],t_Contact[FA]=t_fac25_requirements[[#This Row],[FA]],"")</f>
        <v>Media Operations</v>
      </c>
      <c r="E731" t="s">
        <v>212</v>
      </c>
      <c r="F731" t="s">
        <v>268</v>
      </c>
      <c r="G731" t="s">
        <v>272</v>
      </c>
      <c r="H731" t="s">
        <v>52</v>
      </c>
      <c r="I731" t="s">
        <v>252</v>
      </c>
      <c r="J731" s="28" t="s">
        <v>370</v>
      </c>
      <c r="K731" s="82"/>
      <c r="L731" s="32">
        <v>150</v>
      </c>
      <c r="M731" s="30">
        <v>45986</v>
      </c>
      <c r="N731" s="30">
        <v>46007</v>
      </c>
      <c r="O731" s="43" t="s">
        <v>386</v>
      </c>
      <c r="P731" s="55"/>
      <c r="R731" t="s">
        <v>1511</v>
      </c>
    </row>
    <row r="732" spans="1:18" ht="14.45">
      <c r="A732" s="106" t="b">
        <v>0</v>
      </c>
      <c r="B732" t="str" cm="1">
        <f t="array" ref="B732">_xlfn.SINGLE(_xlfn._xlws.FILTER(t_ServiceCatalogue[Onwer],t_ServiceCatalogue[Category]=t_fac25_requirements[[#This Row],[Category]],""))</f>
        <v>AV</v>
      </c>
      <c r="C732" t="s">
        <v>194</v>
      </c>
      <c r="D732" t="str">
        <f>_xlfn._xlws.FILTER(t_Contact[FA Name],t_Contact[FA]=t_fac25_requirements[[#This Row],[FA]],"")</f>
        <v>Media Operations</v>
      </c>
      <c r="E732" t="s">
        <v>212</v>
      </c>
      <c r="F732" t="s">
        <v>268</v>
      </c>
      <c r="G732" t="s">
        <v>272</v>
      </c>
      <c r="H732" t="s">
        <v>110</v>
      </c>
      <c r="I732" t="s">
        <v>273</v>
      </c>
      <c r="J732" s="28" t="s">
        <v>370</v>
      </c>
      <c r="K732" s="82"/>
      <c r="L732" s="32">
        <v>1</v>
      </c>
      <c r="M732" s="30">
        <v>45986</v>
      </c>
      <c r="N732" s="30">
        <v>46007</v>
      </c>
      <c r="O732" s="43" t="s">
        <v>386</v>
      </c>
      <c r="P732" s="55"/>
      <c r="Q732" t="s">
        <v>1451</v>
      </c>
      <c r="R732" t="s">
        <v>1512</v>
      </c>
    </row>
    <row r="733" spans="1:18" ht="14.45">
      <c r="A733" s="106" t="b">
        <v>0</v>
      </c>
      <c r="B733" t="str" cm="1">
        <f t="array" ref="B733">_xlfn.SINGLE(_xlfn._xlws.FILTER(t_ServiceCatalogue[Onwer],t_ServiceCatalogue[Category]=t_fac25_requirements[[#This Row],[Category]],""))</f>
        <v>NW</v>
      </c>
      <c r="C733" t="s">
        <v>194</v>
      </c>
      <c r="D733" t="str">
        <f>_xlfn._xlws.FILTER(t_Contact[FA Name],t_Contact[FA]=t_fac25_requirements[[#This Row],[FA]],"")</f>
        <v>Media Operations</v>
      </c>
      <c r="E733" t="s">
        <v>212</v>
      </c>
      <c r="F733" t="s">
        <v>305</v>
      </c>
      <c r="G733" t="s">
        <v>366</v>
      </c>
      <c r="H733" t="s">
        <v>52</v>
      </c>
      <c r="I733" t="s">
        <v>252</v>
      </c>
      <c r="J733" s="28" t="s">
        <v>370</v>
      </c>
      <c r="K733" s="82"/>
      <c r="L733" s="32">
        <v>4</v>
      </c>
      <c r="M733" s="30">
        <v>45986</v>
      </c>
      <c r="N733" s="30">
        <v>46007</v>
      </c>
      <c r="O733" s="43" t="s">
        <v>386</v>
      </c>
      <c r="P733" s="55"/>
      <c r="R733" t="s">
        <v>1513</v>
      </c>
    </row>
    <row r="734" spans="1:18" ht="14.45">
      <c r="A734" s="106" t="b">
        <v>0</v>
      </c>
      <c r="B734" t="str" cm="1">
        <f t="array" ref="B734">_xlfn.SINGLE(_xlfn._xlws.FILTER(t_ServiceCatalogue[Onwer],t_ServiceCatalogue[Category]=t_fac25_requirements[[#This Row],[Category]],""))</f>
        <v>AV</v>
      </c>
      <c r="C734" t="s">
        <v>194</v>
      </c>
      <c r="D734" t="str">
        <f>_xlfn._xlws.FILTER(t_Contact[FA Name],t_Contact[FA]=t_fac25_requirements[[#This Row],[FA]],"")</f>
        <v>Media Operations</v>
      </c>
      <c r="E734" t="s">
        <v>212</v>
      </c>
      <c r="F734" t="s">
        <v>305</v>
      </c>
      <c r="G734" t="s">
        <v>366</v>
      </c>
      <c r="H734" t="s">
        <v>58</v>
      </c>
      <c r="I734" t="s">
        <v>59</v>
      </c>
      <c r="J734" s="28" t="s">
        <v>370</v>
      </c>
      <c r="K734" s="82"/>
      <c r="L734" s="32">
        <v>1</v>
      </c>
      <c r="M734" s="30">
        <v>45986</v>
      </c>
      <c r="N734" s="30">
        <v>46007</v>
      </c>
      <c r="O734" s="43" t="s">
        <v>386</v>
      </c>
      <c r="P734" s="55"/>
      <c r="R734" t="s">
        <v>1514</v>
      </c>
    </row>
    <row r="735" spans="1:18" ht="14.45">
      <c r="A735" s="106" t="b">
        <v>1</v>
      </c>
      <c r="B735" t="str" cm="1">
        <f t="array" ref="B735">_xlfn.SINGLE(_xlfn._xlws.FILTER(t_ServiceCatalogue[Onwer],t_ServiceCatalogue[Category]=t_fac25_requirements[[#This Row],[Category]],""))</f>
        <v>EU</v>
      </c>
      <c r="C735" t="s">
        <v>194</v>
      </c>
      <c r="D735" t="str">
        <f>_xlfn._xlws.FILTER(t_Contact[FA Name],t_Contact[FA]=t_fac25_requirements[[#This Row],[FA]],"")</f>
        <v>Media Operations</v>
      </c>
      <c r="E735" t="s">
        <v>212</v>
      </c>
      <c r="F735" t="s">
        <v>305</v>
      </c>
      <c r="G735" t="s">
        <v>366</v>
      </c>
      <c r="H735" t="s">
        <v>22</v>
      </c>
      <c r="I735" t="s">
        <v>28</v>
      </c>
      <c r="J735" s="28" t="s">
        <v>370</v>
      </c>
      <c r="K735" s="82"/>
      <c r="L735" s="32">
        <v>1</v>
      </c>
      <c r="M735" s="30">
        <v>45981</v>
      </c>
      <c r="N735" s="30">
        <v>46010</v>
      </c>
      <c r="O735" s="43" t="s">
        <v>1454</v>
      </c>
      <c r="P735" s="55"/>
      <c r="Q735" t="s">
        <v>1455</v>
      </c>
      <c r="R735" t="s">
        <v>1515</v>
      </c>
    </row>
    <row r="736" spans="1:18" ht="14.45">
      <c r="A736" s="106" t="b">
        <v>1</v>
      </c>
      <c r="B736" t="str" cm="1">
        <f t="array" ref="B736">_xlfn.SINGLE(_xlfn._xlws.FILTER(t_ServiceCatalogue[Onwer],t_ServiceCatalogue[Category]=t_fac25_requirements[[#This Row],[Category]],""))</f>
        <v>AV</v>
      </c>
      <c r="C736" t="s">
        <v>194</v>
      </c>
      <c r="D736" t="str">
        <f>_xlfn._xlws.FILTER(t_Contact[FA Name],t_Contact[FA]=t_fac25_requirements[[#This Row],[FA]],"")</f>
        <v>Media Operations</v>
      </c>
      <c r="E736" t="s">
        <v>212</v>
      </c>
      <c r="F736" t="s">
        <v>305</v>
      </c>
      <c r="G736" t="s">
        <v>385</v>
      </c>
      <c r="H736" t="s">
        <v>58</v>
      </c>
      <c r="I736" t="s">
        <v>59</v>
      </c>
      <c r="J736" s="28" t="s">
        <v>637</v>
      </c>
      <c r="K736" s="82">
        <v>1</v>
      </c>
      <c r="L736" s="32">
        <v>0</v>
      </c>
      <c r="M736" s="30">
        <v>45986</v>
      </c>
      <c r="N736" s="30">
        <v>46007</v>
      </c>
      <c r="O736" s="43" t="s">
        <v>386</v>
      </c>
      <c r="P736" s="55" t="s">
        <v>387</v>
      </c>
      <c r="R736" t="s">
        <v>1516</v>
      </c>
    </row>
    <row r="737" spans="1:18" ht="14.45">
      <c r="A737" s="106" t="b">
        <v>1</v>
      </c>
      <c r="B737" t="str" cm="1">
        <f t="array" ref="B737">_xlfn.SINGLE(_xlfn._xlws.FILTER(t_ServiceCatalogue[Onwer],t_ServiceCatalogue[Category]=t_fac25_requirements[[#This Row],[Category]],""))</f>
        <v>NW</v>
      </c>
      <c r="C737" t="s">
        <v>194</v>
      </c>
      <c r="D737" t="str">
        <f>_xlfn._xlws.FILTER(t_Contact[FA Name],t_Contact[FA]=t_fac25_requirements[[#This Row],[FA]],"")</f>
        <v>Media Operations</v>
      </c>
      <c r="E737" t="s">
        <v>212</v>
      </c>
      <c r="F737" t="s">
        <v>305</v>
      </c>
      <c r="G737" t="s">
        <v>385</v>
      </c>
      <c r="H737" t="s">
        <v>52</v>
      </c>
      <c r="I737" t="s">
        <v>252</v>
      </c>
      <c r="J737" s="28" t="s">
        <v>637</v>
      </c>
      <c r="K737" s="82">
        <v>4</v>
      </c>
      <c r="L737" s="32">
        <v>0</v>
      </c>
      <c r="M737" s="30">
        <v>45986</v>
      </c>
      <c r="N737" s="30">
        <v>46007</v>
      </c>
      <c r="O737" s="43" t="s">
        <v>386</v>
      </c>
      <c r="P737" s="55"/>
      <c r="R737" t="s">
        <v>1517</v>
      </c>
    </row>
    <row r="738" spans="1:18" ht="14.45">
      <c r="A738" s="106" t="b">
        <v>1</v>
      </c>
      <c r="B738" t="str" cm="1">
        <f t="array" ref="B738">_xlfn.SINGLE(_xlfn._xlws.FILTER(t_ServiceCatalogue[Onwer],t_ServiceCatalogue[Category]=t_fac25_requirements[[#This Row],[Category]],""))</f>
        <v>EU</v>
      </c>
      <c r="C738" t="s">
        <v>194</v>
      </c>
      <c r="D738" t="str">
        <f>_xlfn._xlws.FILTER(t_Contact[FA Name],t_Contact[FA]=t_fac25_requirements[[#This Row],[FA]],"")</f>
        <v>Media Operations</v>
      </c>
      <c r="E738" t="s">
        <v>212</v>
      </c>
      <c r="F738" t="s">
        <v>305</v>
      </c>
      <c r="G738" t="s">
        <v>366</v>
      </c>
      <c r="H738" t="s">
        <v>32</v>
      </c>
      <c r="I738" t="s">
        <v>209</v>
      </c>
      <c r="J738" s="28" t="s">
        <v>370</v>
      </c>
      <c r="K738" s="82"/>
      <c r="L738" s="32">
        <v>1</v>
      </c>
      <c r="M738" s="30">
        <v>45986</v>
      </c>
      <c r="N738" s="30">
        <v>46007</v>
      </c>
      <c r="O738" s="43" t="s">
        <v>386</v>
      </c>
      <c r="P738" s="55"/>
      <c r="Q738" t="s">
        <v>1458</v>
      </c>
      <c r="R738" t="s">
        <v>1518</v>
      </c>
    </row>
    <row r="739" spans="1:18" ht="14.45">
      <c r="A739" s="106" t="b">
        <v>0</v>
      </c>
      <c r="B739" t="str" cm="1">
        <f t="array" ref="B739">_xlfn.SINGLE(_xlfn._xlws.FILTER(t_ServiceCatalogue[Onwer],t_ServiceCatalogue[Category]=t_fac25_requirements[[#This Row],[Category]],""))</f>
        <v>NW</v>
      </c>
      <c r="C739" t="s">
        <v>194</v>
      </c>
      <c r="D739" t="str">
        <f>_xlfn._xlws.FILTER(t_Contact[FA Name],t_Contact[FA]=t_fac25_requirements[[#This Row],[FA]],"")</f>
        <v>Media Operations</v>
      </c>
      <c r="E739" t="s">
        <v>212</v>
      </c>
      <c r="F739" t="s">
        <v>268</v>
      </c>
      <c r="G739" t="s">
        <v>269</v>
      </c>
      <c r="H739" t="s">
        <v>52</v>
      </c>
      <c r="I739" t="s">
        <v>252</v>
      </c>
      <c r="J739" s="28" t="s">
        <v>370</v>
      </c>
      <c r="K739" s="82"/>
      <c r="L739" s="32">
        <v>100</v>
      </c>
      <c r="M739" s="30">
        <v>45986</v>
      </c>
      <c r="N739" s="30">
        <v>46007</v>
      </c>
      <c r="O739" s="43" t="s">
        <v>386</v>
      </c>
      <c r="P739" s="55"/>
      <c r="R739" t="s">
        <v>1519</v>
      </c>
    </row>
    <row r="740" spans="1:18" ht="14.45">
      <c r="A740" s="106" t="b">
        <v>1</v>
      </c>
      <c r="B740" t="str" cm="1">
        <f t="array" ref="B740">_xlfn.SINGLE(_xlfn._xlws.FILTER(t_ServiceCatalogue[Onwer],t_ServiceCatalogue[Category]=t_fac25_requirements[[#This Row],[Category]],""))</f>
        <v>NW</v>
      </c>
      <c r="C740" t="s">
        <v>194</v>
      </c>
      <c r="D740" t="str">
        <f>_xlfn._xlws.FILTER(t_Contact[FA Name],t_Contact[FA]=t_fac25_requirements[[#This Row],[FA]],"")</f>
        <v>Media Operations</v>
      </c>
      <c r="E740" t="s">
        <v>208</v>
      </c>
      <c r="F740" t="s">
        <v>268</v>
      </c>
      <c r="G740" t="s">
        <v>270</v>
      </c>
      <c r="H740" t="s">
        <v>52</v>
      </c>
      <c r="I740" t="s">
        <v>252</v>
      </c>
      <c r="J740" s="28" t="s">
        <v>370</v>
      </c>
      <c r="K740" s="82"/>
      <c r="L740" s="32">
        <v>2</v>
      </c>
      <c r="M740" s="30">
        <v>45986</v>
      </c>
      <c r="N740" s="30">
        <v>46007</v>
      </c>
      <c r="O740" s="43" t="s">
        <v>386</v>
      </c>
      <c r="P740" s="55"/>
      <c r="Q740" t="s">
        <v>1492</v>
      </c>
      <c r="R740" t="s">
        <v>1520</v>
      </c>
    </row>
    <row r="741" spans="1:18" ht="14.45">
      <c r="A741" s="106" t="b">
        <v>1</v>
      </c>
      <c r="B741" t="str" cm="1">
        <f t="array" ref="B741">_xlfn.SINGLE(_xlfn._xlws.FILTER(t_ServiceCatalogue[Onwer],t_ServiceCatalogue[Category]=t_fac25_requirements[[#This Row],[Category]],""))</f>
        <v>NW</v>
      </c>
      <c r="C741" t="s">
        <v>194</v>
      </c>
      <c r="D741" t="str">
        <f>_xlfn._xlws.FILTER(t_Contact[FA Name],t_Contact[FA]=t_fac25_requirements[[#This Row],[FA]],"")</f>
        <v>Media Operations</v>
      </c>
      <c r="E741" t="s">
        <v>208</v>
      </c>
      <c r="F741" t="s">
        <v>268</v>
      </c>
      <c r="G741" t="s">
        <v>274</v>
      </c>
      <c r="H741" t="s">
        <v>52</v>
      </c>
      <c r="I741" t="s">
        <v>252</v>
      </c>
      <c r="J741" s="28" t="s">
        <v>370</v>
      </c>
      <c r="K741" s="82"/>
      <c r="L741" s="32">
        <v>5</v>
      </c>
      <c r="M741" s="30">
        <v>45986</v>
      </c>
      <c r="N741" s="30">
        <v>46007</v>
      </c>
      <c r="O741" s="43" t="s">
        <v>386</v>
      </c>
      <c r="P741" s="55"/>
      <c r="R741" t="s">
        <v>1521</v>
      </c>
    </row>
    <row r="742" spans="1:18" ht="14.45">
      <c r="A742" s="106" t="b">
        <v>1</v>
      </c>
      <c r="B742" t="str" cm="1">
        <f t="array" ref="B742">_xlfn.SINGLE(_xlfn._xlws.FILTER(t_ServiceCatalogue[Onwer],t_ServiceCatalogue[Category]=t_fac25_requirements[[#This Row],[Category]],""))</f>
        <v>EU</v>
      </c>
      <c r="C742" t="s">
        <v>194</v>
      </c>
      <c r="D742" t="str">
        <f>_xlfn._xlws.FILTER(t_Contact[FA Name],t_Contact[FA]=t_fac25_requirements[[#This Row],[FA]],"")</f>
        <v>Media Operations</v>
      </c>
      <c r="E742" t="s">
        <v>208</v>
      </c>
      <c r="F742" t="s">
        <v>268</v>
      </c>
      <c r="G742" t="s">
        <v>274</v>
      </c>
      <c r="H742" t="s">
        <v>32</v>
      </c>
      <c r="I742" t="s">
        <v>33</v>
      </c>
      <c r="J742" s="28" t="s">
        <v>370</v>
      </c>
      <c r="K742" s="82"/>
      <c r="L742" s="32">
        <v>2</v>
      </c>
      <c r="M742" s="30">
        <v>45986</v>
      </c>
      <c r="N742" s="30">
        <v>46007</v>
      </c>
      <c r="O742" s="43" t="s">
        <v>386</v>
      </c>
      <c r="P742" s="55"/>
      <c r="R742" t="s">
        <v>1522</v>
      </c>
    </row>
    <row r="743" spans="1:18" ht="14.45">
      <c r="A743" s="106" t="b">
        <v>1</v>
      </c>
      <c r="B743" t="str" cm="1">
        <f t="array" ref="B743">_xlfn.SINGLE(_xlfn._xlws.FILTER(t_ServiceCatalogue[Onwer],t_ServiceCatalogue[Category]=t_fac25_requirements[[#This Row],[Category]],""))</f>
        <v>NW</v>
      </c>
      <c r="C743" t="s">
        <v>194</v>
      </c>
      <c r="D743" t="str">
        <f>_xlfn._xlws.FILTER(t_Contact[FA Name],t_Contact[FA]=t_fac25_requirements[[#This Row],[FA]],"")</f>
        <v>Media Operations</v>
      </c>
      <c r="E743" t="s">
        <v>208</v>
      </c>
      <c r="F743" t="s">
        <v>268</v>
      </c>
      <c r="G743" t="s">
        <v>275</v>
      </c>
      <c r="H743" t="s">
        <v>52</v>
      </c>
      <c r="I743" t="s">
        <v>252</v>
      </c>
      <c r="J743" s="28" t="s">
        <v>370</v>
      </c>
      <c r="K743" s="82">
        <v>300</v>
      </c>
      <c r="L743" s="32">
        <v>150</v>
      </c>
      <c r="M743" s="30">
        <v>45986</v>
      </c>
      <c r="N743" s="30">
        <v>46007</v>
      </c>
      <c r="O743" s="43" t="s">
        <v>386</v>
      </c>
      <c r="P743" s="55"/>
      <c r="Q743" t="s">
        <v>1465</v>
      </c>
      <c r="R743" t="s">
        <v>1523</v>
      </c>
    </row>
    <row r="744" spans="1:18" ht="14.45">
      <c r="A744" s="106" t="b">
        <v>0</v>
      </c>
      <c r="B744" t="str" cm="1">
        <f t="array" ref="B744">_xlfn.SINGLE(_xlfn._xlws.FILTER(t_ServiceCatalogue[Onwer],t_ServiceCatalogue[Category]=t_fac25_requirements[[#This Row],[Category]],""))</f>
        <v>AV</v>
      </c>
      <c r="C744" t="s">
        <v>194</v>
      </c>
      <c r="D744" t="str">
        <f>_xlfn._xlws.FILTER(t_Contact[FA Name],t_Contact[FA]=t_fac25_requirements[[#This Row],[FA]],"")</f>
        <v>Media Operations</v>
      </c>
      <c r="E744" t="s">
        <v>208</v>
      </c>
      <c r="F744" t="s">
        <v>268</v>
      </c>
      <c r="G744" t="s">
        <v>275</v>
      </c>
      <c r="H744" t="s">
        <v>58</v>
      </c>
      <c r="I744" t="s">
        <v>59</v>
      </c>
      <c r="J744" s="28" t="s">
        <v>370</v>
      </c>
      <c r="K744" s="82"/>
      <c r="L744" s="32">
        <v>6</v>
      </c>
      <c r="M744" s="30">
        <v>45986</v>
      </c>
      <c r="N744" s="30">
        <v>46007</v>
      </c>
      <c r="O744" s="43" t="s">
        <v>386</v>
      </c>
      <c r="P744" s="55"/>
      <c r="Q744" t="s">
        <v>1465</v>
      </c>
      <c r="R744" t="s">
        <v>1524</v>
      </c>
    </row>
    <row r="745" spans="1:18" ht="14.45">
      <c r="A745" s="106" t="b">
        <v>1</v>
      </c>
      <c r="B745" t="str" cm="1">
        <f t="array" ref="B745">_xlfn.SINGLE(_xlfn._xlws.FILTER(t_ServiceCatalogue[Onwer],t_ServiceCatalogue[Category]=t_fac25_requirements[[#This Row],[Category]],""))</f>
        <v>NW</v>
      </c>
      <c r="C745" t="s">
        <v>194</v>
      </c>
      <c r="D745" t="str">
        <f>_xlfn._xlws.FILTER(t_Contact[FA Name],t_Contact[FA]=t_fac25_requirements[[#This Row],[FA]],"")</f>
        <v>Media Operations</v>
      </c>
      <c r="E745" t="s">
        <v>208</v>
      </c>
      <c r="F745" t="s">
        <v>268</v>
      </c>
      <c r="G745" t="s">
        <v>275</v>
      </c>
      <c r="H745" t="s">
        <v>46</v>
      </c>
      <c r="I745" t="s">
        <v>47</v>
      </c>
      <c r="J745" s="28" t="s">
        <v>370</v>
      </c>
      <c r="K745" s="82"/>
      <c r="L745" s="32">
        <v>40</v>
      </c>
      <c r="M745" s="30">
        <v>45986</v>
      </c>
      <c r="N745" s="30">
        <v>46007</v>
      </c>
      <c r="O745" s="43" t="s">
        <v>386</v>
      </c>
      <c r="P745" s="55"/>
      <c r="R745" t="s">
        <v>1525</v>
      </c>
    </row>
    <row r="746" spans="1:18" ht="14.45">
      <c r="A746" s="106" t="b">
        <v>1</v>
      </c>
      <c r="B746" t="str" cm="1">
        <f t="array" ref="B746">_xlfn.SINGLE(_xlfn._xlws.FILTER(t_ServiceCatalogue[Onwer],t_ServiceCatalogue[Category]=t_fac25_requirements[[#This Row],[Category]],""))</f>
        <v>NW</v>
      </c>
      <c r="C746" t="s">
        <v>194</v>
      </c>
      <c r="D746" t="str">
        <f>_xlfn._xlws.FILTER(t_Contact[FA Name],t_Contact[FA]=t_fac25_requirements[[#This Row],[FA]],"")</f>
        <v>Media Operations</v>
      </c>
      <c r="E746" t="s">
        <v>208</v>
      </c>
      <c r="F746" t="s">
        <v>278</v>
      </c>
      <c r="G746" t="s">
        <v>285</v>
      </c>
      <c r="H746" t="s">
        <v>46</v>
      </c>
      <c r="I746" t="s">
        <v>47</v>
      </c>
      <c r="J746" s="28" t="s">
        <v>370</v>
      </c>
      <c r="K746" s="82">
        <v>281</v>
      </c>
      <c r="L746" s="32">
        <v>157</v>
      </c>
      <c r="M746" s="30">
        <v>45986</v>
      </c>
      <c r="N746" s="30">
        <v>46007</v>
      </c>
      <c r="O746" s="43" t="s">
        <v>386</v>
      </c>
      <c r="P746" s="55"/>
      <c r="R746" t="s">
        <v>1526</v>
      </c>
    </row>
    <row r="747" spans="1:18" ht="14.45">
      <c r="A747" s="106" t="b">
        <v>0</v>
      </c>
      <c r="B747" t="str" cm="1">
        <f t="array" ref="B747">_xlfn.SINGLE(_xlfn._xlws.FILTER(t_ServiceCatalogue[Onwer],t_ServiceCatalogue[Category]=t_fac25_requirements[[#This Row],[Category]],""))</f>
        <v>AV</v>
      </c>
      <c r="C747" t="s">
        <v>194</v>
      </c>
      <c r="D747" t="str">
        <f>_xlfn._xlws.FILTER(t_Contact[FA Name],t_Contact[FA]=t_fac25_requirements[[#This Row],[FA]],"")</f>
        <v>Media Operations</v>
      </c>
      <c r="E747" t="s">
        <v>208</v>
      </c>
      <c r="F747" t="s">
        <v>278</v>
      </c>
      <c r="G747" t="s">
        <v>285</v>
      </c>
      <c r="H747" t="s">
        <v>58</v>
      </c>
      <c r="I747" t="s">
        <v>282</v>
      </c>
      <c r="J747" s="28" t="s">
        <v>370</v>
      </c>
      <c r="K747" s="82">
        <v>90</v>
      </c>
      <c r="L747" s="32">
        <v>60</v>
      </c>
      <c r="M747" s="30">
        <v>45986</v>
      </c>
      <c r="N747" s="30">
        <v>46007</v>
      </c>
      <c r="O747" s="43" t="s">
        <v>386</v>
      </c>
      <c r="P747" s="55" t="s">
        <v>1438</v>
      </c>
      <c r="Q747" t="s">
        <v>1439</v>
      </c>
      <c r="R747" t="s">
        <v>1527</v>
      </c>
    </row>
    <row r="748" spans="1:18" ht="14.45">
      <c r="A748" s="106" t="b">
        <v>1</v>
      </c>
      <c r="B748" t="str" cm="1">
        <f t="array" ref="B748">_xlfn.SINGLE(_xlfn._xlws.FILTER(t_ServiceCatalogue[Onwer],t_ServiceCatalogue[Category]=t_fac25_requirements[[#This Row],[Category]],""))</f>
        <v>NW</v>
      </c>
      <c r="C748" t="s">
        <v>194</v>
      </c>
      <c r="D748" t="str">
        <f>_xlfn._xlws.FILTER(t_Contact[FA Name],t_Contact[FA]=t_fac25_requirements[[#This Row],[FA]],"")</f>
        <v>Media Operations</v>
      </c>
      <c r="E748" t="s">
        <v>208</v>
      </c>
      <c r="F748" t="s">
        <v>278</v>
      </c>
      <c r="G748" t="s">
        <v>285</v>
      </c>
      <c r="H748" t="s">
        <v>52</v>
      </c>
      <c r="I748" t="s">
        <v>252</v>
      </c>
      <c r="J748" s="28" t="s">
        <v>370</v>
      </c>
      <c r="K748" s="82"/>
      <c r="L748" s="32">
        <v>500</v>
      </c>
      <c r="M748" s="30">
        <v>45986</v>
      </c>
      <c r="N748" s="30">
        <v>46007</v>
      </c>
      <c r="O748" s="43" t="s">
        <v>386</v>
      </c>
      <c r="P748" s="55"/>
      <c r="R748" t="s">
        <v>1528</v>
      </c>
    </row>
    <row r="749" spans="1:18" ht="14.45">
      <c r="A749" s="106" t="b">
        <v>1</v>
      </c>
      <c r="B749" t="str" cm="1">
        <f t="array" ref="B749">_xlfn.SINGLE(_xlfn._xlws.FILTER(t_ServiceCatalogue[Onwer],t_ServiceCatalogue[Category]=t_fac25_requirements[[#This Row],[Category]],""))</f>
        <v>NW</v>
      </c>
      <c r="C749" t="s">
        <v>194</v>
      </c>
      <c r="D749" t="str">
        <f>_xlfn._xlws.FILTER(t_Contact[FA Name],t_Contact[FA]=t_fac25_requirements[[#This Row],[FA]],"")</f>
        <v>Media Operations</v>
      </c>
      <c r="E749" t="s">
        <v>208</v>
      </c>
      <c r="F749" t="s">
        <v>278</v>
      </c>
      <c r="G749" t="s">
        <v>287</v>
      </c>
      <c r="H749" t="s">
        <v>46</v>
      </c>
      <c r="I749" t="s">
        <v>47</v>
      </c>
      <c r="J749" s="28" t="s">
        <v>370</v>
      </c>
      <c r="K749" s="82"/>
      <c r="L749" s="32">
        <v>10</v>
      </c>
      <c r="M749" s="30">
        <v>45986</v>
      </c>
      <c r="N749" s="30">
        <v>46007</v>
      </c>
      <c r="O749" s="43" t="s">
        <v>386</v>
      </c>
      <c r="P749" s="55"/>
      <c r="R749" t="s">
        <v>1529</v>
      </c>
    </row>
    <row r="750" spans="1:18" ht="14.45">
      <c r="A750" s="106" t="b">
        <v>1</v>
      </c>
      <c r="B750" t="str" cm="1">
        <f t="array" ref="B750">_xlfn.SINGLE(_xlfn._xlws.FILTER(t_ServiceCatalogue[Onwer],t_ServiceCatalogue[Category]=t_fac25_requirements[[#This Row],[Category]],""))</f>
        <v>NW</v>
      </c>
      <c r="C750" t="s">
        <v>194</v>
      </c>
      <c r="D750" t="str">
        <f>_xlfn._xlws.FILTER(t_Contact[FA Name],t_Contact[FA]=t_fac25_requirements[[#This Row],[FA]],"")</f>
        <v>Media Operations</v>
      </c>
      <c r="E750" t="s">
        <v>208</v>
      </c>
      <c r="F750" t="s">
        <v>268</v>
      </c>
      <c r="G750" t="s">
        <v>358</v>
      </c>
      <c r="H750" t="s">
        <v>46</v>
      </c>
      <c r="I750" t="s">
        <v>47</v>
      </c>
      <c r="J750" s="28" t="s">
        <v>370</v>
      </c>
      <c r="K750" s="82">
        <v>16</v>
      </c>
      <c r="L750" s="32">
        <v>20</v>
      </c>
      <c r="M750" s="30">
        <v>45986</v>
      </c>
      <c r="N750" s="30">
        <v>46007</v>
      </c>
      <c r="O750" s="43" t="s">
        <v>386</v>
      </c>
      <c r="P750" s="55"/>
      <c r="R750" t="s">
        <v>1530</v>
      </c>
    </row>
    <row r="751" spans="1:18" ht="14.45">
      <c r="A751" s="106" t="b">
        <v>1</v>
      </c>
      <c r="B751" t="str" cm="1">
        <f t="array" ref="B751">_xlfn.SINGLE(_xlfn._xlws.FILTER(t_ServiceCatalogue[Onwer],t_ServiceCatalogue[Category]=t_fac25_requirements[[#This Row],[Category]],""))</f>
        <v>NW</v>
      </c>
      <c r="C751" t="s">
        <v>194</v>
      </c>
      <c r="D751" t="str">
        <f>_xlfn._xlws.FILTER(t_Contact[FA Name],t_Contact[FA]=t_fac25_requirements[[#This Row],[FA]],"")</f>
        <v>Media Operations</v>
      </c>
      <c r="E751" t="s">
        <v>208</v>
      </c>
      <c r="F751" t="s">
        <v>268</v>
      </c>
      <c r="G751" t="s">
        <v>358</v>
      </c>
      <c r="H751" t="s">
        <v>52</v>
      </c>
      <c r="I751" t="s">
        <v>252</v>
      </c>
      <c r="J751" s="28" t="s">
        <v>370</v>
      </c>
      <c r="K751" s="82"/>
      <c r="L751" s="32">
        <v>32</v>
      </c>
      <c r="M751" s="30">
        <v>45986</v>
      </c>
      <c r="N751" s="30">
        <v>46007</v>
      </c>
      <c r="O751" s="43" t="s">
        <v>386</v>
      </c>
      <c r="P751" s="55"/>
      <c r="R751" t="s">
        <v>1531</v>
      </c>
    </row>
    <row r="752" spans="1:18" ht="14.45">
      <c r="A752" s="106" t="b">
        <v>0</v>
      </c>
      <c r="B752" t="str" cm="1">
        <f t="array" ref="B752">_xlfn.SINGLE(_xlfn._xlws.FILTER(t_ServiceCatalogue[Onwer],t_ServiceCatalogue[Category]=t_fac25_requirements[[#This Row],[Category]],""))</f>
        <v>AV</v>
      </c>
      <c r="C752" t="s">
        <v>194</v>
      </c>
      <c r="D752" t="str">
        <f>_xlfn._xlws.FILTER(t_Contact[FA Name],t_Contact[FA]=t_fac25_requirements[[#This Row],[FA]],"")</f>
        <v>Media Operations</v>
      </c>
      <c r="E752" t="s">
        <v>208</v>
      </c>
      <c r="F752" t="s">
        <v>268</v>
      </c>
      <c r="G752" t="s">
        <v>358</v>
      </c>
      <c r="H752" t="s">
        <v>58</v>
      </c>
      <c r="I752" t="s">
        <v>59</v>
      </c>
      <c r="J752" s="28" t="s">
        <v>370</v>
      </c>
      <c r="K752" s="82"/>
      <c r="L752" s="32">
        <v>1</v>
      </c>
      <c r="M752" s="30">
        <v>45986</v>
      </c>
      <c r="N752" s="30">
        <v>46007</v>
      </c>
      <c r="O752" s="43" t="s">
        <v>386</v>
      </c>
      <c r="P752" s="55"/>
      <c r="R752" t="s">
        <v>1532</v>
      </c>
    </row>
    <row r="753" spans="1:18" ht="14.45">
      <c r="A753" s="106" t="b">
        <v>1</v>
      </c>
      <c r="B753" t="str" cm="1">
        <f t="array" ref="B753">_xlfn.SINGLE(_xlfn._xlws.FILTER(t_ServiceCatalogue[Onwer],t_ServiceCatalogue[Category]=t_fac25_requirements[[#This Row],[Category]],""))</f>
        <v>NW</v>
      </c>
      <c r="C753" t="s">
        <v>194</v>
      </c>
      <c r="D753" t="str">
        <f>_xlfn._xlws.FILTER(t_Contact[FA Name],t_Contact[FA]=t_fac25_requirements[[#This Row],[FA]],"")</f>
        <v>Media Operations</v>
      </c>
      <c r="E753" t="s">
        <v>208</v>
      </c>
      <c r="F753" t="s">
        <v>268</v>
      </c>
      <c r="G753" t="s">
        <v>271</v>
      </c>
      <c r="H753" t="s">
        <v>52</v>
      </c>
      <c r="I753" t="s">
        <v>252</v>
      </c>
      <c r="J753" s="28" t="s">
        <v>370</v>
      </c>
      <c r="K753" s="82"/>
      <c r="L753" s="32">
        <v>150</v>
      </c>
      <c r="M753" s="30">
        <v>45986</v>
      </c>
      <c r="N753" s="30">
        <v>46007</v>
      </c>
      <c r="O753" s="43" t="s">
        <v>386</v>
      </c>
      <c r="P753" s="55"/>
      <c r="R753" t="s">
        <v>1533</v>
      </c>
    </row>
    <row r="754" spans="1:18" ht="14.45">
      <c r="A754" s="106" t="b">
        <v>0</v>
      </c>
      <c r="B754" t="str" cm="1">
        <f t="array" ref="B754">_xlfn.SINGLE(_xlfn._xlws.FILTER(t_ServiceCatalogue[Onwer],t_ServiceCatalogue[Category]=t_fac25_requirements[[#This Row],[Category]],""))</f>
        <v>NW</v>
      </c>
      <c r="C754" t="s">
        <v>194</v>
      </c>
      <c r="D754" t="str">
        <f>_xlfn._xlws.FILTER(t_Contact[FA Name],t_Contact[FA]=t_fac25_requirements[[#This Row],[FA]],"")</f>
        <v>Media Operations</v>
      </c>
      <c r="E754" t="s">
        <v>208</v>
      </c>
      <c r="F754" t="s">
        <v>259</v>
      </c>
      <c r="G754" t="s">
        <v>261</v>
      </c>
      <c r="H754" t="s">
        <v>52</v>
      </c>
      <c r="I754" t="s">
        <v>252</v>
      </c>
      <c r="J754" s="28" t="s">
        <v>370</v>
      </c>
      <c r="K754" s="82"/>
      <c r="L754" s="32">
        <v>154</v>
      </c>
      <c r="M754" s="30">
        <v>45986</v>
      </c>
      <c r="N754" s="30">
        <v>46007</v>
      </c>
      <c r="O754" s="43" t="s">
        <v>386</v>
      </c>
      <c r="P754" s="55"/>
      <c r="R754" t="s">
        <v>1534</v>
      </c>
    </row>
    <row r="755" spans="1:18" ht="14.45">
      <c r="A755" s="106" t="b">
        <v>0</v>
      </c>
      <c r="B755" t="str" cm="1">
        <f t="array" ref="B755">_xlfn.SINGLE(_xlfn._xlws.FILTER(t_ServiceCatalogue[Onwer],t_ServiceCatalogue[Category]=t_fac25_requirements[[#This Row],[Category]],""))</f>
        <v>NW</v>
      </c>
      <c r="C755" t="s">
        <v>194</v>
      </c>
      <c r="D755" t="str">
        <f>_xlfn._xlws.FILTER(t_Contact[FA Name],t_Contact[FA]=t_fac25_requirements[[#This Row],[FA]],"")</f>
        <v>Media Operations</v>
      </c>
      <c r="E755" t="s">
        <v>208</v>
      </c>
      <c r="F755" t="s">
        <v>259</v>
      </c>
      <c r="G755" t="s">
        <v>261</v>
      </c>
      <c r="H755" t="s">
        <v>46</v>
      </c>
      <c r="I755" t="s">
        <v>47</v>
      </c>
      <c r="J755" s="28" t="s">
        <v>370</v>
      </c>
      <c r="K755" s="82"/>
      <c r="L755" s="32">
        <v>80</v>
      </c>
      <c r="M755" s="30">
        <v>45986</v>
      </c>
      <c r="N755" s="30">
        <v>46007</v>
      </c>
      <c r="O755" s="43" t="s">
        <v>386</v>
      </c>
      <c r="P755" s="55"/>
      <c r="R755" t="s">
        <v>1535</v>
      </c>
    </row>
    <row r="756" spans="1:18" ht="14.45">
      <c r="A756" s="106" t="b">
        <v>0</v>
      </c>
      <c r="B756" t="str" cm="1">
        <f t="array" ref="B756">_xlfn.SINGLE(_xlfn._xlws.FILTER(t_ServiceCatalogue[Onwer],t_ServiceCatalogue[Category]=t_fac25_requirements[[#This Row],[Category]],""))</f>
        <v>NW</v>
      </c>
      <c r="C756" t="s">
        <v>194</v>
      </c>
      <c r="D756" t="str">
        <f>_xlfn._xlws.FILTER(t_Contact[FA Name],t_Contact[FA]=t_fac25_requirements[[#This Row],[FA]],"")</f>
        <v>Media Operations</v>
      </c>
      <c r="E756" t="s">
        <v>208</v>
      </c>
      <c r="F756" t="s">
        <v>259</v>
      </c>
      <c r="G756" t="s">
        <v>263</v>
      </c>
      <c r="H756" t="s">
        <v>46</v>
      </c>
      <c r="I756" t="s">
        <v>47</v>
      </c>
      <c r="J756" s="28" t="s">
        <v>370</v>
      </c>
      <c r="K756" s="82"/>
      <c r="L756" s="32">
        <v>6</v>
      </c>
      <c r="M756" s="30">
        <v>45986</v>
      </c>
      <c r="N756" s="30">
        <v>46007</v>
      </c>
      <c r="O756" s="43" t="s">
        <v>386</v>
      </c>
      <c r="P756" s="55"/>
      <c r="R756" t="s">
        <v>1536</v>
      </c>
    </row>
    <row r="757" spans="1:18" ht="14.45">
      <c r="A757" s="106" t="b">
        <v>0</v>
      </c>
      <c r="B757" t="str" cm="1">
        <f t="array" ref="B757">_xlfn.SINGLE(_xlfn._xlws.FILTER(t_ServiceCatalogue[Onwer],t_ServiceCatalogue[Category]=t_fac25_requirements[[#This Row],[Category]],""))</f>
        <v>NW</v>
      </c>
      <c r="C757" t="s">
        <v>194</v>
      </c>
      <c r="D757" t="str">
        <f>_xlfn._xlws.FILTER(t_Contact[FA Name],t_Contact[FA]=t_fac25_requirements[[#This Row],[FA]],"")</f>
        <v>Media Operations</v>
      </c>
      <c r="E757" t="s">
        <v>208</v>
      </c>
      <c r="F757" t="s">
        <v>259</v>
      </c>
      <c r="G757" t="s">
        <v>262</v>
      </c>
      <c r="H757" t="s">
        <v>46</v>
      </c>
      <c r="I757" t="s">
        <v>47</v>
      </c>
      <c r="J757" s="28" t="s">
        <v>370</v>
      </c>
      <c r="K757" s="82"/>
      <c r="L757" s="32">
        <v>6</v>
      </c>
      <c r="M757" s="30">
        <v>45986</v>
      </c>
      <c r="N757" s="30">
        <v>46007</v>
      </c>
      <c r="O757" s="43" t="s">
        <v>386</v>
      </c>
      <c r="P757" s="55"/>
      <c r="R757" t="s">
        <v>1537</v>
      </c>
    </row>
    <row r="758" spans="1:18" ht="14.45">
      <c r="A758" s="106" t="b">
        <v>1</v>
      </c>
      <c r="B758" t="str" cm="1">
        <f t="array" ref="B758">_xlfn.SINGLE(_xlfn._xlws.FILTER(t_ServiceCatalogue[Onwer],t_ServiceCatalogue[Category]=t_fac25_requirements[[#This Row],[Category]],""))</f>
        <v>NW</v>
      </c>
      <c r="C758" t="s">
        <v>194</v>
      </c>
      <c r="D758" t="str">
        <f>_xlfn._xlws.FILTER(t_Contact[FA Name],t_Contact[FA]=t_fac25_requirements[[#This Row],[FA]],"")</f>
        <v>Media Operations</v>
      </c>
      <c r="E758" t="s">
        <v>208</v>
      </c>
      <c r="F758" t="s">
        <v>268</v>
      </c>
      <c r="G758" t="s">
        <v>272</v>
      </c>
      <c r="H758" t="s">
        <v>52</v>
      </c>
      <c r="I758" t="s">
        <v>252</v>
      </c>
      <c r="J758" s="28" t="s">
        <v>370</v>
      </c>
      <c r="K758" s="82"/>
      <c r="L758" s="32">
        <v>150</v>
      </c>
      <c r="M758" s="30">
        <v>45986</v>
      </c>
      <c r="N758" s="30">
        <v>46007</v>
      </c>
      <c r="O758" s="43" t="s">
        <v>386</v>
      </c>
      <c r="P758" s="55"/>
      <c r="R758" t="s">
        <v>1538</v>
      </c>
    </row>
    <row r="759" spans="1:18" ht="14.45">
      <c r="A759" s="106" t="b">
        <v>0</v>
      </c>
      <c r="B759" t="str" cm="1">
        <f t="array" ref="B759">_xlfn.SINGLE(_xlfn._xlws.FILTER(t_ServiceCatalogue[Onwer],t_ServiceCatalogue[Category]=t_fac25_requirements[[#This Row],[Category]],""))</f>
        <v>AV</v>
      </c>
      <c r="C759" t="s">
        <v>194</v>
      </c>
      <c r="D759" t="str">
        <f>_xlfn._xlws.FILTER(t_Contact[FA Name],t_Contact[FA]=t_fac25_requirements[[#This Row],[FA]],"")</f>
        <v>Media Operations</v>
      </c>
      <c r="E759" t="s">
        <v>208</v>
      </c>
      <c r="F759" t="s">
        <v>268</v>
      </c>
      <c r="G759" t="s">
        <v>272</v>
      </c>
      <c r="H759" t="s">
        <v>110</v>
      </c>
      <c r="I759" t="s">
        <v>273</v>
      </c>
      <c r="J759" s="28" t="s">
        <v>370</v>
      </c>
      <c r="K759" s="82"/>
      <c r="L759" s="32">
        <v>1</v>
      </c>
      <c r="M759" s="30">
        <v>45986</v>
      </c>
      <c r="N759" s="30">
        <v>46007</v>
      </c>
      <c r="O759" s="43" t="s">
        <v>386</v>
      </c>
      <c r="P759" s="55"/>
      <c r="Q759" t="s">
        <v>1451</v>
      </c>
      <c r="R759" t="s">
        <v>1539</v>
      </c>
    </row>
    <row r="760" spans="1:18" ht="14.45">
      <c r="A760" s="106" t="b">
        <v>1</v>
      </c>
      <c r="B760" t="str" cm="1">
        <f t="array" ref="B760">_xlfn.SINGLE(_xlfn._xlws.FILTER(t_ServiceCatalogue[Onwer],t_ServiceCatalogue[Category]=t_fac25_requirements[[#This Row],[Category]],""))</f>
        <v>NW</v>
      </c>
      <c r="C760" t="s">
        <v>194</v>
      </c>
      <c r="D760" t="str">
        <f>_xlfn._xlws.FILTER(t_Contact[FA Name],t_Contact[FA]=t_fac25_requirements[[#This Row],[FA]],"")</f>
        <v>Media Operations</v>
      </c>
      <c r="E760" t="s">
        <v>208</v>
      </c>
      <c r="F760" t="s">
        <v>305</v>
      </c>
      <c r="G760" t="s">
        <v>314</v>
      </c>
      <c r="H760" t="s">
        <v>52</v>
      </c>
      <c r="I760" t="s">
        <v>252</v>
      </c>
      <c r="J760" s="28" t="s">
        <v>370</v>
      </c>
      <c r="K760" s="82"/>
      <c r="L760" s="32">
        <v>4</v>
      </c>
      <c r="M760" s="30">
        <v>45986</v>
      </c>
      <c r="N760" s="30">
        <v>46007</v>
      </c>
      <c r="O760" s="43" t="s">
        <v>386</v>
      </c>
      <c r="P760" s="55"/>
      <c r="R760" t="s">
        <v>1540</v>
      </c>
    </row>
    <row r="761" spans="1:18" ht="14.45">
      <c r="A761" s="106" t="b">
        <v>0</v>
      </c>
      <c r="B761" t="str" cm="1">
        <f t="array" ref="B761">_xlfn.SINGLE(_xlfn._xlws.FILTER(t_ServiceCatalogue[Onwer],t_ServiceCatalogue[Category]=t_fac25_requirements[[#This Row],[Category]],""))</f>
        <v>AV</v>
      </c>
      <c r="C761" t="s">
        <v>194</v>
      </c>
      <c r="D761" t="str">
        <f>_xlfn._xlws.FILTER(t_Contact[FA Name],t_Contact[FA]=t_fac25_requirements[[#This Row],[FA]],"")</f>
        <v>Media Operations</v>
      </c>
      <c r="E761" t="s">
        <v>208</v>
      </c>
      <c r="F761" t="s">
        <v>305</v>
      </c>
      <c r="G761" t="s">
        <v>366</v>
      </c>
      <c r="H761" t="s">
        <v>58</v>
      </c>
      <c r="I761" t="s">
        <v>59</v>
      </c>
      <c r="J761" s="28" t="s">
        <v>370</v>
      </c>
      <c r="K761" s="82"/>
      <c r="L761" s="32">
        <v>1</v>
      </c>
      <c r="M761" s="30">
        <v>45986</v>
      </c>
      <c r="N761" s="30">
        <v>46007</v>
      </c>
      <c r="O761" s="43" t="s">
        <v>386</v>
      </c>
      <c r="P761" s="55"/>
      <c r="R761" t="s">
        <v>1541</v>
      </c>
    </row>
    <row r="762" spans="1:18" ht="14.45">
      <c r="A762" s="106" t="b">
        <v>1</v>
      </c>
      <c r="B762" t="str" cm="1">
        <f t="array" ref="B762">_xlfn.SINGLE(_xlfn._xlws.FILTER(t_ServiceCatalogue[Onwer],t_ServiceCatalogue[Category]=t_fac25_requirements[[#This Row],[Category]],""))</f>
        <v>EU</v>
      </c>
      <c r="C762" t="s">
        <v>194</v>
      </c>
      <c r="D762" t="str">
        <f>_xlfn._xlws.FILTER(t_Contact[FA Name],t_Contact[FA]=t_fac25_requirements[[#This Row],[FA]],"")</f>
        <v>Media Operations</v>
      </c>
      <c r="E762" t="s">
        <v>208</v>
      </c>
      <c r="F762" t="s">
        <v>305</v>
      </c>
      <c r="G762" t="s">
        <v>314</v>
      </c>
      <c r="H762" t="s">
        <v>22</v>
      </c>
      <c r="I762" t="s">
        <v>23</v>
      </c>
      <c r="J762" s="28" t="s">
        <v>370</v>
      </c>
      <c r="K762" s="82"/>
      <c r="L762" s="32">
        <v>1</v>
      </c>
      <c r="M762" s="30">
        <v>45986</v>
      </c>
      <c r="N762" s="30">
        <v>46007</v>
      </c>
      <c r="O762" s="43" t="s">
        <v>1454</v>
      </c>
      <c r="P762" s="55" t="s">
        <v>1542</v>
      </c>
      <c r="Q762" t="s">
        <v>1455</v>
      </c>
      <c r="R762" t="s">
        <v>1543</v>
      </c>
    </row>
    <row r="763" spans="1:18" ht="14.45">
      <c r="A763" s="106" t="b">
        <v>0</v>
      </c>
      <c r="B763" t="str" cm="1">
        <f t="array" ref="B763">_xlfn.SINGLE(_xlfn._xlws.FILTER(t_ServiceCatalogue[Onwer],t_ServiceCatalogue[Category]=t_fac25_requirements[[#This Row],[Category]],""))</f>
        <v>EU</v>
      </c>
      <c r="C763" t="s">
        <v>194</v>
      </c>
      <c r="D763" t="str">
        <f>_xlfn._xlws.FILTER(t_Contact[FA Name],t_Contact[FA]=t_fac25_requirements[[#This Row],[FA]],"")</f>
        <v>Media Operations</v>
      </c>
      <c r="E763" t="s">
        <v>208</v>
      </c>
      <c r="F763" t="s">
        <v>305</v>
      </c>
      <c r="G763" t="s">
        <v>314</v>
      </c>
      <c r="H763" t="s">
        <v>32</v>
      </c>
      <c r="I763" t="s">
        <v>209</v>
      </c>
      <c r="J763" s="28" t="s">
        <v>370</v>
      </c>
      <c r="K763" s="82"/>
      <c r="L763" s="32">
        <v>1</v>
      </c>
      <c r="M763" s="30">
        <v>45986</v>
      </c>
      <c r="N763" s="30">
        <v>46007</v>
      </c>
      <c r="O763" s="43" t="s">
        <v>386</v>
      </c>
      <c r="P763" s="55"/>
      <c r="Q763" t="s">
        <v>1458</v>
      </c>
      <c r="R763" t="s">
        <v>1544</v>
      </c>
    </row>
    <row r="764" spans="1:18" ht="14.45">
      <c r="A764" s="106" t="b">
        <v>1</v>
      </c>
      <c r="B764" t="str" cm="1">
        <f t="array" ref="B764">_xlfn.SINGLE(_xlfn._xlws.FILTER(t_ServiceCatalogue[Onwer],t_ServiceCatalogue[Category]=t_fac25_requirements[[#This Row],[Category]],""))</f>
        <v>NW</v>
      </c>
      <c r="C764" t="s">
        <v>194</v>
      </c>
      <c r="D764" t="str">
        <f>_xlfn._xlws.FILTER(t_Contact[FA Name],t_Contact[FA]=t_fac25_requirements[[#This Row],[FA]],"")</f>
        <v>Media Operations</v>
      </c>
      <c r="E764" t="s">
        <v>208</v>
      </c>
      <c r="F764" t="s">
        <v>268</v>
      </c>
      <c r="G764" t="s">
        <v>269</v>
      </c>
      <c r="H764" t="s">
        <v>52</v>
      </c>
      <c r="I764" t="s">
        <v>252</v>
      </c>
      <c r="J764" s="28" t="s">
        <v>370</v>
      </c>
      <c r="K764" s="82"/>
      <c r="L764" s="32">
        <v>100</v>
      </c>
      <c r="M764" s="30">
        <v>45986</v>
      </c>
      <c r="N764" s="30">
        <v>46007</v>
      </c>
      <c r="O764" s="43" t="s">
        <v>386</v>
      </c>
      <c r="P764" s="55"/>
      <c r="R764" t="s">
        <v>1545</v>
      </c>
    </row>
    <row r="765" spans="1:18" ht="14.45">
      <c r="A765" s="106" t="b">
        <v>0</v>
      </c>
      <c r="B765" t="str" cm="1">
        <f t="array" ref="B765">_xlfn.SINGLE(_xlfn._xlws.FILTER(t_ServiceCatalogue[Onwer],t_ServiceCatalogue[Category]=t_fac25_requirements[[#This Row],[Category]],""))</f>
        <v>NW</v>
      </c>
      <c r="C765" t="s">
        <v>194</v>
      </c>
      <c r="D765" t="str">
        <f>_xlfn._xlws.FILTER(t_Contact[FA Name],t_Contact[FA]=t_fac25_requirements[[#This Row],[FA]],"")</f>
        <v>Media Operations</v>
      </c>
      <c r="E765" s="43">
        <v>974</v>
      </c>
      <c r="F765" t="s">
        <v>268</v>
      </c>
      <c r="G765" t="s">
        <v>270</v>
      </c>
      <c r="H765" t="s">
        <v>52</v>
      </c>
      <c r="I765" t="s">
        <v>252</v>
      </c>
      <c r="J765" s="28" t="s">
        <v>370</v>
      </c>
      <c r="K765" s="82"/>
      <c r="L765" s="32">
        <v>2</v>
      </c>
      <c r="M765" s="30">
        <v>45986</v>
      </c>
      <c r="N765" s="30">
        <v>46007</v>
      </c>
      <c r="O765" s="43" t="s">
        <v>386</v>
      </c>
      <c r="P765" s="55"/>
      <c r="R765" t="s">
        <v>1546</v>
      </c>
    </row>
    <row r="766" spans="1:18" ht="14.45">
      <c r="A766" s="106" t="b">
        <v>0</v>
      </c>
      <c r="B766" t="str" cm="1">
        <f t="array" ref="B766">_xlfn.SINGLE(_xlfn._xlws.FILTER(t_ServiceCatalogue[Onwer],t_ServiceCatalogue[Category]=t_fac25_requirements[[#This Row],[Category]],""))</f>
        <v>NW</v>
      </c>
      <c r="C766" t="s">
        <v>194</v>
      </c>
      <c r="D766" t="str">
        <f>_xlfn._xlws.FILTER(t_Contact[FA Name],t_Contact[FA]=t_fac25_requirements[[#This Row],[FA]],"")</f>
        <v>Media Operations</v>
      </c>
      <c r="E766" s="43">
        <v>974</v>
      </c>
      <c r="F766" t="s">
        <v>268</v>
      </c>
      <c r="G766" t="s">
        <v>274</v>
      </c>
      <c r="H766" t="s">
        <v>52</v>
      </c>
      <c r="I766" t="s">
        <v>252</v>
      </c>
      <c r="J766" s="28" t="s">
        <v>370</v>
      </c>
      <c r="K766" s="82"/>
      <c r="L766" s="32">
        <v>5</v>
      </c>
      <c r="M766" s="30">
        <v>45986</v>
      </c>
      <c r="N766" s="30">
        <v>46007</v>
      </c>
      <c r="O766" s="43" t="s">
        <v>386</v>
      </c>
      <c r="P766" s="55"/>
      <c r="R766" t="s">
        <v>1547</v>
      </c>
    </row>
    <row r="767" spans="1:18" ht="14.45">
      <c r="A767" s="106" t="b">
        <v>1</v>
      </c>
      <c r="B767" t="str" cm="1">
        <f t="array" ref="B767">_xlfn.SINGLE(_xlfn._xlws.FILTER(t_ServiceCatalogue[Onwer],t_ServiceCatalogue[Category]=t_fac25_requirements[[#This Row],[Category]],""))</f>
        <v>EU</v>
      </c>
      <c r="C767" t="s">
        <v>194</v>
      </c>
      <c r="D767" t="str">
        <f>_xlfn._xlws.FILTER(t_Contact[FA Name],t_Contact[FA]=t_fac25_requirements[[#This Row],[FA]],"")</f>
        <v>Media Operations</v>
      </c>
      <c r="E767" s="43">
        <v>974</v>
      </c>
      <c r="F767" t="s">
        <v>268</v>
      </c>
      <c r="G767" t="s">
        <v>274</v>
      </c>
      <c r="H767" t="s">
        <v>32</v>
      </c>
      <c r="I767" t="s">
        <v>33</v>
      </c>
      <c r="J767" s="28" t="s">
        <v>370</v>
      </c>
      <c r="K767" s="82"/>
      <c r="L767" s="32">
        <v>2</v>
      </c>
      <c r="M767" s="30">
        <v>45986</v>
      </c>
      <c r="N767" s="30">
        <v>46007</v>
      </c>
      <c r="O767" s="43" t="s">
        <v>386</v>
      </c>
      <c r="P767" s="55"/>
      <c r="R767" t="s">
        <v>1548</v>
      </c>
    </row>
    <row r="768" spans="1:18" ht="14.45">
      <c r="A768" s="106" t="b">
        <v>0</v>
      </c>
      <c r="B768" t="str" cm="1">
        <f t="array" ref="B768">_xlfn.SINGLE(_xlfn._xlws.FILTER(t_ServiceCatalogue[Onwer],t_ServiceCatalogue[Category]=t_fac25_requirements[[#This Row],[Category]],""))</f>
        <v>NW</v>
      </c>
      <c r="C768" t="s">
        <v>194</v>
      </c>
      <c r="D768" t="str">
        <f>_xlfn._xlws.FILTER(t_Contact[FA Name],t_Contact[FA]=t_fac25_requirements[[#This Row],[FA]],"")</f>
        <v>Media Operations</v>
      </c>
      <c r="E768" s="43">
        <v>974</v>
      </c>
      <c r="F768" t="s">
        <v>268</v>
      </c>
      <c r="G768" t="s">
        <v>275</v>
      </c>
      <c r="H768" t="s">
        <v>52</v>
      </c>
      <c r="I768" t="s">
        <v>252</v>
      </c>
      <c r="J768" s="28" t="s">
        <v>370</v>
      </c>
      <c r="K768" s="82"/>
      <c r="L768" s="32">
        <v>300</v>
      </c>
      <c r="M768" s="30">
        <v>45986</v>
      </c>
      <c r="N768" s="30">
        <v>46007</v>
      </c>
      <c r="O768" s="43" t="s">
        <v>386</v>
      </c>
      <c r="P768" s="55"/>
      <c r="Q768" t="s">
        <v>1465</v>
      </c>
      <c r="R768" t="s">
        <v>1549</v>
      </c>
    </row>
    <row r="769" spans="1:18" ht="14.45">
      <c r="A769" s="106" t="b">
        <v>0</v>
      </c>
      <c r="B769" t="str" cm="1">
        <f t="array" ref="B769">_xlfn.SINGLE(_xlfn._xlws.FILTER(t_ServiceCatalogue[Onwer],t_ServiceCatalogue[Category]=t_fac25_requirements[[#This Row],[Category]],""))</f>
        <v>AV</v>
      </c>
      <c r="C769" t="s">
        <v>194</v>
      </c>
      <c r="D769" t="str">
        <f>_xlfn._xlws.FILTER(t_Contact[FA Name],t_Contact[FA]=t_fac25_requirements[[#This Row],[FA]],"")</f>
        <v>Media Operations</v>
      </c>
      <c r="E769" s="43">
        <v>974</v>
      </c>
      <c r="F769" t="s">
        <v>268</v>
      </c>
      <c r="G769" t="s">
        <v>275</v>
      </c>
      <c r="H769" t="s">
        <v>58</v>
      </c>
      <c r="I769" t="s">
        <v>59</v>
      </c>
      <c r="J769" s="28" t="s">
        <v>370</v>
      </c>
      <c r="K769" s="82"/>
      <c r="L769" s="32">
        <v>6</v>
      </c>
      <c r="M769" s="30">
        <v>45986</v>
      </c>
      <c r="N769" s="30">
        <v>46007</v>
      </c>
      <c r="O769" s="43" t="s">
        <v>386</v>
      </c>
      <c r="P769" s="55"/>
      <c r="Q769" t="s">
        <v>1465</v>
      </c>
      <c r="R769" t="s">
        <v>1550</v>
      </c>
    </row>
    <row r="770" spans="1:18" ht="14.45">
      <c r="A770" s="106" t="b">
        <v>0</v>
      </c>
      <c r="B770" t="str" cm="1">
        <f t="array" ref="B770">_xlfn.SINGLE(_xlfn._xlws.FILTER(t_ServiceCatalogue[Onwer],t_ServiceCatalogue[Category]=t_fac25_requirements[[#This Row],[Category]],""))</f>
        <v>NW</v>
      </c>
      <c r="C770" t="s">
        <v>194</v>
      </c>
      <c r="D770" t="str">
        <f>_xlfn._xlws.FILTER(t_Contact[FA Name],t_Contact[FA]=t_fac25_requirements[[#This Row],[FA]],"")</f>
        <v>Media Operations</v>
      </c>
      <c r="E770" s="43">
        <v>974</v>
      </c>
      <c r="F770" t="s">
        <v>268</v>
      </c>
      <c r="G770" t="s">
        <v>276</v>
      </c>
      <c r="H770" t="s">
        <v>46</v>
      </c>
      <c r="I770" t="s">
        <v>47</v>
      </c>
      <c r="J770" s="28" t="s">
        <v>370</v>
      </c>
      <c r="K770" s="82">
        <v>20</v>
      </c>
      <c r="L770" s="32">
        <v>40</v>
      </c>
      <c r="M770" s="30">
        <v>45986</v>
      </c>
      <c r="N770" s="30">
        <v>46007</v>
      </c>
      <c r="O770" s="43" t="s">
        <v>386</v>
      </c>
      <c r="P770" s="55"/>
      <c r="R770" t="s">
        <v>1551</v>
      </c>
    </row>
    <row r="771" spans="1:18" ht="14.45">
      <c r="A771" s="106" t="b">
        <v>0</v>
      </c>
      <c r="B771" t="str" cm="1">
        <f t="array" ref="B771">_xlfn.SINGLE(_xlfn._xlws.FILTER(t_ServiceCatalogue[Onwer],t_ServiceCatalogue[Category]=t_fac25_requirements[[#This Row],[Category]],""))</f>
        <v>NW</v>
      </c>
      <c r="C771" t="s">
        <v>194</v>
      </c>
      <c r="D771" t="str">
        <f>_xlfn._xlws.FILTER(t_Contact[FA Name],t_Contact[FA]=t_fac25_requirements[[#This Row],[FA]],"")</f>
        <v>Media Operations</v>
      </c>
      <c r="E771" s="43">
        <v>974</v>
      </c>
      <c r="F771" t="s">
        <v>268</v>
      </c>
      <c r="G771" t="s">
        <v>277</v>
      </c>
      <c r="H771" t="s">
        <v>46</v>
      </c>
      <c r="I771" t="s">
        <v>47</v>
      </c>
      <c r="J771" s="28" t="s">
        <v>370</v>
      </c>
      <c r="K771" s="82">
        <v>25</v>
      </c>
      <c r="L771" s="32">
        <v>40</v>
      </c>
      <c r="M771" s="30">
        <v>45986</v>
      </c>
      <c r="N771" s="30">
        <v>46007</v>
      </c>
      <c r="O771" s="43" t="s">
        <v>386</v>
      </c>
      <c r="P771" s="55"/>
      <c r="R771" t="s">
        <v>1552</v>
      </c>
    </row>
    <row r="772" spans="1:18" ht="14.45">
      <c r="A772" s="106" t="b">
        <v>0</v>
      </c>
      <c r="B772" t="str" cm="1">
        <f t="array" ref="B772">_xlfn.SINGLE(_xlfn._xlws.FILTER(t_ServiceCatalogue[Onwer],t_ServiceCatalogue[Category]=t_fac25_requirements[[#This Row],[Category]],""))</f>
        <v>NW</v>
      </c>
      <c r="C772" t="s">
        <v>194</v>
      </c>
      <c r="D772" t="str">
        <f>_xlfn._xlws.FILTER(t_Contact[FA Name],t_Contact[FA]=t_fac25_requirements[[#This Row],[FA]],"")</f>
        <v>Media Operations</v>
      </c>
      <c r="E772" s="43">
        <v>974</v>
      </c>
      <c r="F772" t="s">
        <v>278</v>
      </c>
      <c r="G772" t="s">
        <v>285</v>
      </c>
      <c r="H772" t="s">
        <v>46</v>
      </c>
      <c r="I772" t="s">
        <v>47</v>
      </c>
      <c r="J772" s="28" t="s">
        <v>370</v>
      </c>
      <c r="K772" s="82">
        <v>281</v>
      </c>
      <c r="L772" s="32">
        <v>170</v>
      </c>
      <c r="M772" s="30">
        <v>45986</v>
      </c>
      <c r="N772" s="30">
        <v>46007</v>
      </c>
      <c r="O772" s="43" t="s">
        <v>386</v>
      </c>
      <c r="P772" s="55"/>
      <c r="R772" t="s">
        <v>1553</v>
      </c>
    </row>
    <row r="773" spans="1:18" ht="14.45">
      <c r="A773" s="106" t="b">
        <v>0</v>
      </c>
      <c r="B773" t="str" cm="1">
        <f t="array" ref="B773">_xlfn.SINGLE(_xlfn._xlws.FILTER(t_ServiceCatalogue[Onwer],t_ServiceCatalogue[Category]=t_fac25_requirements[[#This Row],[Category]],""))</f>
        <v>AV</v>
      </c>
      <c r="C773" t="s">
        <v>194</v>
      </c>
      <c r="D773" t="str">
        <f>_xlfn._xlws.FILTER(t_Contact[FA Name],t_Contact[FA]=t_fac25_requirements[[#This Row],[FA]],"")</f>
        <v>Media Operations</v>
      </c>
      <c r="E773" s="43">
        <v>974</v>
      </c>
      <c r="F773" t="s">
        <v>278</v>
      </c>
      <c r="G773" t="s">
        <v>285</v>
      </c>
      <c r="H773" t="s">
        <v>58</v>
      </c>
      <c r="I773" t="s">
        <v>282</v>
      </c>
      <c r="J773" s="28" t="s">
        <v>370</v>
      </c>
      <c r="K773" s="82">
        <v>90</v>
      </c>
      <c r="L773" s="32">
        <v>58</v>
      </c>
      <c r="M773" s="30">
        <v>45986</v>
      </c>
      <c r="N773" s="30">
        <v>46007</v>
      </c>
      <c r="O773" s="43" t="s">
        <v>386</v>
      </c>
      <c r="P773" s="55" t="s">
        <v>1438</v>
      </c>
      <c r="Q773" t="s">
        <v>1439</v>
      </c>
      <c r="R773" t="s">
        <v>1554</v>
      </c>
    </row>
    <row r="774" spans="1:18" ht="14.45">
      <c r="A774" s="106" t="b">
        <v>0</v>
      </c>
      <c r="B774" t="str" cm="1">
        <f t="array" ref="B774">_xlfn.SINGLE(_xlfn._xlws.FILTER(t_ServiceCatalogue[Onwer],t_ServiceCatalogue[Category]=t_fac25_requirements[[#This Row],[Category]],""))</f>
        <v>NW</v>
      </c>
      <c r="C774" t="s">
        <v>194</v>
      </c>
      <c r="D774" t="str">
        <f>_xlfn._xlws.FILTER(t_Contact[FA Name],t_Contact[FA]=t_fac25_requirements[[#This Row],[FA]],"")</f>
        <v>Media Operations</v>
      </c>
      <c r="E774" s="43">
        <v>974</v>
      </c>
      <c r="F774" t="s">
        <v>278</v>
      </c>
      <c r="G774" t="s">
        <v>285</v>
      </c>
      <c r="H774" t="s">
        <v>52</v>
      </c>
      <c r="I774" t="s">
        <v>252</v>
      </c>
      <c r="J774" s="28" t="s">
        <v>370</v>
      </c>
      <c r="K774" s="82"/>
      <c r="L774" s="32">
        <v>500</v>
      </c>
      <c r="M774" s="30">
        <v>45986</v>
      </c>
      <c r="N774" s="30">
        <v>46007</v>
      </c>
      <c r="O774" s="43" t="s">
        <v>386</v>
      </c>
      <c r="P774" s="55"/>
      <c r="R774" t="s">
        <v>1555</v>
      </c>
    </row>
    <row r="775" spans="1:18" ht="14.45">
      <c r="A775" s="106" t="b">
        <v>0</v>
      </c>
      <c r="B775" t="str" cm="1">
        <f t="array" ref="B775">_xlfn.SINGLE(_xlfn._xlws.FILTER(t_ServiceCatalogue[Onwer],t_ServiceCatalogue[Category]=t_fac25_requirements[[#This Row],[Category]],""))</f>
        <v>NW</v>
      </c>
      <c r="C775" t="s">
        <v>194</v>
      </c>
      <c r="D775" t="str">
        <f>_xlfn._xlws.FILTER(t_Contact[FA Name],t_Contact[FA]=t_fac25_requirements[[#This Row],[FA]],"")</f>
        <v>Media Operations</v>
      </c>
      <c r="E775" s="43">
        <v>974</v>
      </c>
      <c r="F775" t="s">
        <v>278</v>
      </c>
      <c r="G775" t="s">
        <v>287</v>
      </c>
      <c r="H775" t="s">
        <v>46</v>
      </c>
      <c r="I775" t="s">
        <v>47</v>
      </c>
      <c r="J775" s="28" t="s">
        <v>370</v>
      </c>
      <c r="K775" s="82"/>
      <c r="L775" s="32">
        <v>10</v>
      </c>
      <c r="M775" s="30">
        <v>45986</v>
      </c>
      <c r="N775" s="30">
        <v>46007</v>
      </c>
      <c r="O775" s="43" t="s">
        <v>386</v>
      </c>
      <c r="P775" s="55"/>
      <c r="R775" t="s">
        <v>1556</v>
      </c>
    </row>
    <row r="776" spans="1:18" ht="14.45">
      <c r="A776" s="106" t="b">
        <v>0</v>
      </c>
      <c r="B776" t="str" cm="1">
        <f t="array" ref="B776">_xlfn.SINGLE(_xlfn._xlws.FILTER(t_ServiceCatalogue[Onwer],t_ServiceCatalogue[Category]=t_fac25_requirements[[#This Row],[Category]],""))</f>
        <v>NW</v>
      </c>
      <c r="C776" t="s">
        <v>194</v>
      </c>
      <c r="D776" t="str">
        <f>_xlfn._xlws.FILTER(t_Contact[FA Name],t_Contact[FA]=t_fac25_requirements[[#This Row],[FA]],"")</f>
        <v>Media Operations</v>
      </c>
      <c r="E776" s="43">
        <v>974</v>
      </c>
      <c r="F776" t="s">
        <v>268</v>
      </c>
      <c r="G776" t="s">
        <v>271</v>
      </c>
      <c r="H776" t="s">
        <v>52</v>
      </c>
      <c r="I776" t="s">
        <v>252</v>
      </c>
      <c r="J776" s="28" t="s">
        <v>370</v>
      </c>
      <c r="K776" s="82"/>
      <c r="L776" s="32">
        <v>150</v>
      </c>
      <c r="M776" s="30">
        <v>45986</v>
      </c>
      <c r="N776" s="30">
        <v>46007</v>
      </c>
      <c r="O776" s="43" t="s">
        <v>386</v>
      </c>
      <c r="P776" s="55"/>
      <c r="R776" t="s">
        <v>1557</v>
      </c>
    </row>
    <row r="777" spans="1:18" ht="14.45">
      <c r="A777" s="106" t="b">
        <v>0</v>
      </c>
      <c r="B777" t="str" cm="1">
        <f t="array" ref="B777">_xlfn.SINGLE(_xlfn._xlws.FILTER(t_ServiceCatalogue[Onwer],t_ServiceCatalogue[Category]=t_fac25_requirements[[#This Row],[Category]],""))</f>
        <v>NW</v>
      </c>
      <c r="C777" t="s">
        <v>194</v>
      </c>
      <c r="D777" t="str">
        <f>_xlfn._xlws.FILTER(t_Contact[FA Name],t_Contact[FA]=t_fac25_requirements[[#This Row],[FA]],"")</f>
        <v>Media Operations</v>
      </c>
      <c r="E777" s="43">
        <v>974</v>
      </c>
      <c r="F777" t="s">
        <v>259</v>
      </c>
      <c r="G777" t="s">
        <v>261</v>
      </c>
      <c r="H777" t="s">
        <v>52</v>
      </c>
      <c r="I777" t="s">
        <v>252</v>
      </c>
      <c r="J777" s="28" t="s">
        <v>370</v>
      </c>
      <c r="K777" s="82"/>
      <c r="L777" s="32">
        <v>154</v>
      </c>
      <c r="M777" s="30">
        <v>45986</v>
      </c>
      <c r="N777" s="30">
        <v>46007</v>
      </c>
      <c r="O777" s="43" t="s">
        <v>386</v>
      </c>
      <c r="P777" s="55"/>
      <c r="R777" t="s">
        <v>1558</v>
      </c>
    </row>
    <row r="778" spans="1:18" ht="14.45">
      <c r="A778" s="106" t="b">
        <v>0</v>
      </c>
      <c r="B778" t="str" cm="1">
        <f t="array" ref="B778">_xlfn.SINGLE(_xlfn._xlws.FILTER(t_ServiceCatalogue[Onwer],t_ServiceCatalogue[Category]=t_fac25_requirements[[#This Row],[Category]],""))</f>
        <v>NW</v>
      </c>
      <c r="C778" t="s">
        <v>194</v>
      </c>
      <c r="D778" t="str">
        <f>_xlfn._xlws.FILTER(t_Contact[FA Name],t_Contact[FA]=t_fac25_requirements[[#This Row],[FA]],"")</f>
        <v>Media Operations</v>
      </c>
      <c r="E778" s="43">
        <v>974</v>
      </c>
      <c r="F778" t="s">
        <v>259</v>
      </c>
      <c r="G778" t="s">
        <v>261</v>
      </c>
      <c r="H778" t="s">
        <v>46</v>
      </c>
      <c r="I778" t="s">
        <v>47</v>
      </c>
      <c r="J778" s="28" t="s">
        <v>370</v>
      </c>
      <c r="K778" s="82"/>
      <c r="L778" s="32">
        <v>80</v>
      </c>
      <c r="M778" s="30">
        <v>45986</v>
      </c>
      <c r="N778" s="30">
        <v>46007</v>
      </c>
      <c r="O778" s="43" t="s">
        <v>386</v>
      </c>
      <c r="P778" s="55"/>
      <c r="R778" t="s">
        <v>1559</v>
      </c>
    </row>
    <row r="779" spans="1:18" ht="14.45">
      <c r="A779" s="106" t="b">
        <v>0</v>
      </c>
      <c r="B779" t="str" cm="1">
        <f t="array" ref="B779">_xlfn.SINGLE(_xlfn._xlws.FILTER(t_ServiceCatalogue[Onwer],t_ServiceCatalogue[Category]=t_fac25_requirements[[#This Row],[Category]],""))</f>
        <v>NW</v>
      </c>
      <c r="C779" t="s">
        <v>194</v>
      </c>
      <c r="D779" t="str">
        <f>_xlfn._xlws.FILTER(t_Contact[FA Name],t_Contact[FA]=t_fac25_requirements[[#This Row],[FA]],"")</f>
        <v>Media Operations</v>
      </c>
      <c r="E779" s="43">
        <v>974</v>
      </c>
      <c r="F779" t="s">
        <v>268</v>
      </c>
      <c r="G779" t="s">
        <v>272</v>
      </c>
      <c r="H779" t="s">
        <v>52</v>
      </c>
      <c r="I779" t="s">
        <v>252</v>
      </c>
      <c r="J779" s="28" t="s">
        <v>370</v>
      </c>
      <c r="K779" s="82">
        <v>100</v>
      </c>
      <c r="L779" s="32">
        <v>150</v>
      </c>
      <c r="M779" s="30">
        <v>45986</v>
      </c>
      <c r="N779" s="30">
        <v>46007</v>
      </c>
      <c r="O779" s="43" t="s">
        <v>386</v>
      </c>
      <c r="P779" s="55"/>
      <c r="R779" t="s">
        <v>1560</v>
      </c>
    </row>
    <row r="780" spans="1:18" ht="14.45">
      <c r="A780" s="106" t="b">
        <v>0</v>
      </c>
      <c r="B780" t="str" cm="1">
        <f t="array" ref="B780">_xlfn.SINGLE(_xlfn._xlws.FILTER(t_ServiceCatalogue[Onwer],t_ServiceCatalogue[Category]=t_fac25_requirements[[#This Row],[Category]],""))</f>
        <v>AV</v>
      </c>
      <c r="C780" t="s">
        <v>194</v>
      </c>
      <c r="D780" t="str">
        <f>_xlfn._xlws.FILTER(t_Contact[FA Name],t_Contact[FA]=t_fac25_requirements[[#This Row],[FA]],"")</f>
        <v>Media Operations</v>
      </c>
      <c r="E780" s="43">
        <v>974</v>
      </c>
      <c r="F780" t="s">
        <v>268</v>
      </c>
      <c r="G780" t="s">
        <v>272</v>
      </c>
      <c r="H780" t="s">
        <v>110</v>
      </c>
      <c r="I780" t="s">
        <v>273</v>
      </c>
      <c r="J780" s="28" t="s">
        <v>370</v>
      </c>
      <c r="K780" s="82"/>
      <c r="L780" s="32">
        <v>1</v>
      </c>
      <c r="M780" s="30">
        <v>45986</v>
      </c>
      <c r="N780" s="30">
        <v>46007</v>
      </c>
      <c r="O780" s="43" t="s">
        <v>386</v>
      </c>
      <c r="P780" s="55"/>
      <c r="Q780" t="s">
        <v>1451</v>
      </c>
      <c r="R780" t="s">
        <v>1561</v>
      </c>
    </row>
    <row r="781" spans="1:18" ht="14.45">
      <c r="A781" s="106" t="b">
        <v>0</v>
      </c>
      <c r="B781" t="str" cm="1">
        <f t="array" ref="B781">_xlfn.SINGLE(_xlfn._xlws.FILTER(t_ServiceCatalogue[Onwer],t_ServiceCatalogue[Category]=t_fac25_requirements[[#This Row],[Category]],""))</f>
        <v>NW</v>
      </c>
      <c r="C781" t="s">
        <v>194</v>
      </c>
      <c r="D781" t="str">
        <f>_xlfn._xlws.FILTER(t_Contact[FA Name],t_Contact[FA]=t_fac25_requirements[[#This Row],[FA]],"")</f>
        <v>Media Operations</v>
      </c>
      <c r="E781" s="43">
        <v>974</v>
      </c>
      <c r="F781" t="s">
        <v>305</v>
      </c>
      <c r="G781" t="s">
        <v>314</v>
      </c>
      <c r="H781" t="s">
        <v>52</v>
      </c>
      <c r="I781" t="s">
        <v>252</v>
      </c>
      <c r="J781" s="28" t="s">
        <v>370</v>
      </c>
      <c r="K781" s="82"/>
      <c r="L781" s="32">
        <v>4</v>
      </c>
      <c r="M781" s="30">
        <v>45986</v>
      </c>
      <c r="N781" s="30">
        <v>46007</v>
      </c>
      <c r="O781" s="43" t="s">
        <v>386</v>
      </c>
      <c r="P781" s="55"/>
      <c r="R781" t="s">
        <v>1562</v>
      </c>
    </row>
    <row r="782" spans="1:18" ht="14.45">
      <c r="A782" s="106" t="b">
        <v>0</v>
      </c>
      <c r="B782" t="str" cm="1">
        <f t="array" ref="B782">_xlfn.SINGLE(_xlfn._xlws.FILTER(t_ServiceCatalogue[Onwer],t_ServiceCatalogue[Category]=t_fac25_requirements[[#This Row],[Category]],""))</f>
        <v>AV</v>
      </c>
      <c r="C782" t="s">
        <v>194</v>
      </c>
      <c r="D782" t="str">
        <f>_xlfn._xlws.FILTER(t_Contact[FA Name],t_Contact[FA]=t_fac25_requirements[[#This Row],[FA]],"")</f>
        <v>Media Operations</v>
      </c>
      <c r="E782" s="43">
        <v>974</v>
      </c>
      <c r="F782" t="s">
        <v>305</v>
      </c>
      <c r="G782" t="s">
        <v>314</v>
      </c>
      <c r="H782" t="s">
        <v>58</v>
      </c>
      <c r="I782" t="s">
        <v>59</v>
      </c>
      <c r="J782" s="28" t="s">
        <v>370</v>
      </c>
      <c r="K782" s="82"/>
      <c r="L782" s="32">
        <v>1</v>
      </c>
      <c r="M782" s="30">
        <v>45986</v>
      </c>
      <c r="N782" s="30">
        <v>46007</v>
      </c>
      <c r="O782" s="43" t="s">
        <v>386</v>
      </c>
      <c r="P782" s="55"/>
      <c r="R782" t="s">
        <v>1563</v>
      </c>
    </row>
    <row r="783" spans="1:18" ht="14.45">
      <c r="A783" s="106" t="b">
        <v>1</v>
      </c>
      <c r="B783" t="str" cm="1">
        <f t="array" ref="B783">_xlfn.SINGLE(_xlfn._xlws.FILTER(t_ServiceCatalogue[Onwer],t_ServiceCatalogue[Category]=t_fac25_requirements[[#This Row],[Category]],""))</f>
        <v>EU</v>
      </c>
      <c r="C783" t="s">
        <v>194</v>
      </c>
      <c r="D783" t="str">
        <f>_xlfn._xlws.FILTER(t_Contact[FA Name],t_Contact[FA]=t_fac25_requirements[[#This Row],[FA]],"")</f>
        <v>Media Operations</v>
      </c>
      <c r="E783" s="43">
        <v>974</v>
      </c>
      <c r="F783" t="s">
        <v>305</v>
      </c>
      <c r="G783" t="s">
        <v>314</v>
      </c>
      <c r="H783" t="s">
        <v>22</v>
      </c>
      <c r="I783" t="s">
        <v>23</v>
      </c>
      <c r="J783" s="28" t="s">
        <v>370</v>
      </c>
      <c r="K783" s="82"/>
      <c r="L783" s="32">
        <v>1</v>
      </c>
      <c r="M783" s="30">
        <v>45986</v>
      </c>
      <c r="N783" s="30">
        <v>46007</v>
      </c>
      <c r="O783" s="43" t="s">
        <v>1454</v>
      </c>
      <c r="P783" s="55" t="s">
        <v>1542</v>
      </c>
      <c r="Q783" t="s">
        <v>1455</v>
      </c>
      <c r="R783" t="s">
        <v>1564</v>
      </c>
    </row>
    <row r="784" spans="1:18" ht="14.45">
      <c r="A784" s="106" t="b">
        <v>1</v>
      </c>
      <c r="B784" t="str" cm="1">
        <f t="array" ref="B784">_xlfn.SINGLE(_xlfn._xlws.FILTER(t_ServiceCatalogue[Onwer],t_ServiceCatalogue[Category]=t_fac25_requirements[[#This Row],[Category]],""))</f>
        <v>EU</v>
      </c>
      <c r="C784" t="s">
        <v>194</v>
      </c>
      <c r="D784" t="str">
        <f>_xlfn._xlws.FILTER(t_Contact[FA Name],t_Contact[FA]=t_fac25_requirements[[#This Row],[FA]],"")</f>
        <v>Media Operations</v>
      </c>
      <c r="E784" s="43">
        <v>974</v>
      </c>
      <c r="F784" t="s">
        <v>305</v>
      </c>
      <c r="G784" t="s">
        <v>314</v>
      </c>
      <c r="H784" t="s">
        <v>32</v>
      </c>
      <c r="I784" t="s">
        <v>209</v>
      </c>
      <c r="J784" s="28" t="s">
        <v>370</v>
      </c>
      <c r="K784" s="82"/>
      <c r="L784" s="32">
        <v>1</v>
      </c>
      <c r="M784" s="30">
        <v>45986</v>
      </c>
      <c r="N784" s="30">
        <v>46007</v>
      </c>
      <c r="O784" s="43" t="s">
        <v>386</v>
      </c>
      <c r="P784" s="55"/>
      <c r="Q784" t="s">
        <v>1458</v>
      </c>
      <c r="R784" t="s">
        <v>1565</v>
      </c>
    </row>
    <row r="785" spans="1:18" ht="14.45">
      <c r="A785" s="106" t="b">
        <v>0</v>
      </c>
      <c r="B785" t="str" cm="1">
        <f t="array" ref="B785">_xlfn.SINGLE(_xlfn._xlws.FILTER(t_ServiceCatalogue[Onwer],t_ServiceCatalogue[Category]=t_fac25_requirements[[#This Row],[Category]],""))</f>
        <v>NW</v>
      </c>
      <c r="C785" t="s">
        <v>194</v>
      </c>
      <c r="D785" t="str">
        <f>_xlfn._xlws.FILTER(t_Contact[FA Name],t_Contact[FA]=t_fac25_requirements[[#This Row],[FA]],"")</f>
        <v>Media Operations</v>
      </c>
      <c r="E785" s="43">
        <v>974</v>
      </c>
      <c r="F785" t="s">
        <v>268</v>
      </c>
      <c r="G785" t="s">
        <v>269</v>
      </c>
      <c r="H785" t="s">
        <v>52</v>
      </c>
      <c r="I785" t="s">
        <v>252</v>
      </c>
      <c r="J785" s="28" t="s">
        <v>370</v>
      </c>
      <c r="K785" s="82"/>
      <c r="L785" s="32">
        <v>100</v>
      </c>
      <c r="M785" s="30">
        <v>45986</v>
      </c>
      <c r="N785" s="30">
        <v>46007</v>
      </c>
      <c r="O785" s="43" t="s">
        <v>386</v>
      </c>
      <c r="P785" s="55"/>
      <c r="R785" t="s">
        <v>1566</v>
      </c>
    </row>
    <row r="786" spans="1:18" ht="14.45">
      <c r="A786" s="106" t="b">
        <v>0</v>
      </c>
      <c r="B786" t="str" cm="1">
        <f t="array" ref="B786">_xlfn.SINGLE(_xlfn._xlws.FILTER(t_ServiceCatalogue[Onwer],t_ServiceCatalogue[Category]=t_fac25_requirements[[#This Row],[Category]],""))</f>
        <v>NW</v>
      </c>
      <c r="C786" t="s">
        <v>194</v>
      </c>
      <c r="D786" t="str">
        <f>_xlfn._xlws.FILTER(t_Contact[FA Name],t_Contact[FA]=t_fac25_requirements[[#This Row],[FA]],"")</f>
        <v>Media Operations</v>
      </c>
      <c r="E786" s="43">
        <v>974</v>
      </c>
      <c r="F786" t="s">
        <v>259</v>
      </c>
      <c r="G786" t="s">
        <v>263</v>
      </c>
      <c r="H786" t="s">
        <v>46</v>
      </c>
      <c r="I786" t="s">
        <v>47</v>
      </c>
      <c r="J786" s="28" t="s">
        <v>370</v>
      </c>
      <c r="K786" s="82"/>
      <c r="L786" s="32">
        <v>6</v>
      </c>
      <c r="M786" s="30">
        <v>45986</v>
      </c>
      <c r="N786" s="30">
        <v>46007</v>
      </c>
      <c r="O786" s="43" t="s">
        <v>386</v>
      </c>
      <c r="P786" s="55"/>
      <c r="R786" t="s">
        <v>1567</v>
      </c>
    </row>
    <row r="787" spans="1:18" ht="14.45">
      <c r="A787" s="106" t="b">
        <v>0</v>
      </c>
      <c r="B787" t="str" cm="1">
        <f t="array" ref="B787">_xlfn.SINGLE(_xlfn._xlws.FILTER(t_ServiceCatalogue[Onwer],t_ServiceCatalogue[Category]=t_fac25_requirements[[#This Row],[Category]],""))</f>
        <v>NW</v>
      </c>
      <c r="C787" t="s">
        <v>194</v>
      </c>
      <c r="D787" t="str">
        <f>_xlfn._xlws.FILTER(t_Contact[FA Name],t_Contact[FA]=t_fac25_requirements[[#This Row],[FA]],"")</f>
        <v>Media Operations</v>
      </c>
      <c r="E787" s="43">
        <v>974</v>
      </c>
      <c r="F787" t="s">
        <v>259</v>
      </c>
      <c r="G787" t="s">
        <v>262</v>
      </c>
      <c r="H787" t="s">
        <v>46</v>
      </c>
      <c r="I787" t="s">
        <v>47</v>
      </c>
      <c r="J787" s="28" t="s">
        <v>370</v>
      </c>
      <c r="K787" s="82"/>
      <c r="L787" s="32">
        <v>6</v>
      </c>
      <c r="M787" s="30">
        <v>45986</v>
      </c>
      <c r="N787" s="30">
        <v>46007</v>
      </c>
      <c r="O787" s="43" t="s">
        <v>386</v>
      </c>
      <c r="P787" s="55"/>
      <c r="R787" t="s">
        <v>1568</v>
      </c>
    </row>
    <row r="788" spans="1:18" ht="14.45">
      <c r="A788" s="106" t="b">
        <v>0</v>
      </c>
      <c r="B788" t="str" cm="1">
        <f t="array" ref="B788">_xlfn.SINGLE(_xlfn._xlws.FILTER(t_ServiceCatalogue[Onwer],t_ServiceCatalogue[Category]=t_fac25_requirements[[#This Row],[Category]],""))</f>
        <v>NW</v>
      </c>
      <c r="C788" t="s">
        <v>194</v>
      </c>
      <c r="D788" t="str">
        <f>_xlfn._xlws.FILTER(t_Contact[FA Name],t_Contact[FA]=t_fac25_requirements[[#This Row],[FA]],"")</f>
        <v>Media Operations</v>
      </c>
      <c r="E788" t="s">
        <v>213</v>
      </c>
      <c r="F788" t="s">
        <v>268</v>
      </c>
      <c r="G788" t="s">
        <v>270</v>
      </c>
      <c r="H788" t="s">
        <v>52</v>
      </c>
      <c r="I788" t="s">
        <v>252</v>
      </c>
      <c r="J788" s="28" t="s">
        <v>370</v>
      </c>
      <c r="K788" s="82"/>
      <c r="L788" s="32">
        <v>2</v>
      </c>
      <c r="M788" s="30">
        <v>45986</v>
      </c>
      <c r="N788" s="30">
        <v>46007</v>
      </c>
      <c r="O788" s="43" t="s">
        <v>386</v>
      </c>
      <c r="P788" s="55"/>
      <c r="Q788" t="s">
        <v>1569</v>
      </c>
      <c r="R788" t="s">
        <v>1570</v>
      </c>
    </row>
    <row r="789" spans="1:18" ht="14.45">
      <c r="A789" s="106" t="b">
        <v>0</v>
      </c>
      <c r="B789" t="str" cm="1">
        <f t="array" ref="B789">_xlfn.SINGLE(_xlfn._xlws.FILTER(t_ServiceCatalogue[Onwer],t_ServiceCatalogue[Category]=t_fac25_requirements[[#This Row],[Category]],""))</f>
        <v>NW</v>
      </c>
      <c r="C789" t="s">
        <v>194</v>
      </c>
      <c r="D789" t="str">
        <f>_xlfn._xlws.FILTER(t_Contact[FA Name],t_Contact[FA]=t_fac25_requirements[[#This Row],[FA]],"")</f>
        <v>Media Operations</v>
      </c>
      <c r="E789" t="s">
        <v>213</v>
      </c>
      <c r="F789" t="s">
        <v>268</v>
      </c>
      <c r="G789" t="s">
        <v>274</v>
      </c>
      <c r="H789" t="s">
        <v>52</v>
      </c>
      <c r="I789" t="s">
        <v>252</v>
      </c>
      <c r="J789" s="28" t="s">
        <v>370</v>
      </c>
      <c r="K789" s="82"/>
      <c r="L789" s="32">
        <v>5</v>
      </c>
      <c r="M789" s="30">
        <v>45986</v>
      </c>
      <c r="N789" s="30">
        <v>46007</v>
      </c>
      <c r="O789" s="43" t="s">
        <v>386</v>
      </c>
      <c r="P789" s="55"/>
      <c r="Q789" t="s">
        <v>1571</v>
      </c>
      <c r="R789" t="s">
        <v>1572</v>
      </c>
    </row>
    <row r="790" spans="1:18" ht="14.45">
      <c r="A790" s="106" t="b">
        <v>1</v>
      </c>
      <c r="B790" t="str" cm="1">
        <f t="array" ref="B790">_xlfn.SINGLE(_xlfn._xlws.FILTER(t_ServiceCatalogue[Onwer],t_ServiceCatalogue[Category]=t_fac25_requirements[[#This Row],[Category]],""))</f>
        <v>EU</v>
      </c>
      <c r="C790" t="s">
        <v>194</v>
      </c>
      <c r="D790" t="str">
        <f>_xlfn._xlws.FILTER(t_Contact[FA Name],t_Contact[FA]=t_fac25_requirements[[#This Row],[FA]],"")</f>
        <v>Media Operations</v>
      </c>
      <c r="E790" t="s">
        <v>213</v>
      </c>
      <c r="F790" t="s">
        <v>268</v>
      </c>
      <c r="G790" t="s">
        <v>274</v>
      </c>
      <c r="H790" t="s">
        <v>32</v>
      </c>
      <c r="I790" t="s">
        <v>33</v>
      </c>
      <c r="J790" s="28" t="s">
        <v>370</v>
      </c>
      <c r="K790" s="82"/>
      <c r="L790" s="32">
        <v>2</v>
      </c>
      <c r="M790" s="30">
        <v>45986</v>
      </c>
      <c r="N790" s="30">
        <v>46007</v>
      </c>
      <c r="O790" s="43" t="s">
        <v>386</v>
      </c>
      <c r="P790" s="55"/>
      <c r="Q790" t="s">
        <v>1571</v>
      </c>
      <c r="R790" t="s">
        <v>1573</v>
      </c>
    </row>
    <row r="791" spans="1:18" ht="14.45">
      <c r="A791" s="106" t="b">
        <v>0</v>
      </c>
      <c r="B791" t="str" cm="1">
        <f t="array" ref="B791">_xlfn.SINGLE(_xlfn._xlws.FILTER(t_ServiceCatalogue[Onwer],t_ServiceCatalogue[Category]=t_fac25_requirements[[#This Row],[Category]],""))</f>
        <v>NW</v>
      </c>
      <c r="C791" t="s">
        <v>194</v>
      </c>
      <c r="D791" t="str">
        <f>_xlfn._xlws.FILTER(t_Contact[FA Name],t_Contact[FA]=t_fac25_requirements[[#This Row],[FA]],"")</f>
        <v>Media Operations</v>
      </c>
      <c r="E791" t="s">
        <v>213</v>
      </c>
      <c r="F791" t="s">
        <v>268</v>
      </c>
      <c r="G791" t="s">
        <v>275</v>
      </c>
      <c r="H791" t="s">
        <v>52</v>
      </c>
      <c r="I791" t="s">
        <v>252</v>
      </c>
      <c r="J791" s="28" t="s">
        <v>370</v>
      </c>
      <c r="K791" s="82"/>
      <c r="L791" s="32">
        <v>300</v>
      </c>
      <c r="M791" s="30">
        <v>45986</v>
      </c>
      <c r="N791" s="30">
        <v>46007</v>
      </c>
      <c r="O791" s="43" t="s">
        <v>386</v>
      </c>
      <c r="P791" s="55"/>
      <c r="Q791" t="s">
        <v>1571</v>
      </c>
      <c r="R791" t="s">
        <v>1574</v>
      </c>
    </row>
    <row r="792" spans="1:18" ht="14.45">
      <c r="A792" s="106" t="b">
        <v>0</v>
      </c>
      <c r="B792" t="str" cm="1">
        <f t="array" ref="B792">_xlfn.SINGLE(_xlfn._xlws.FILTER(t_ServiceCatalogue[Onwer],t_ServiceCatalogue[Category]=t_fac25_requirements[[#This Row],[Category]],""))</f>
        <v>AV</v>
      </c>
      <c r="C792" t="s">
        <v>194</v>
      </c>
      <c r="D792" t="str">
        <f>_xlfn._xlws.FILTER(t_Contact[FA Name],t_Contact[FA]=t_fac25_requirements[[#This Row],[FA]],"")</f>
        <v>Media Operations</v>
      </c>
      <c r="E792" t="s">
        <v>213</v>
      </c>
      <c r="F792" t="s">
        <v>268</v>
      </c>
      <c r="G792" t="s">
        <v>275</v>
      </c>
      <c r="H792" t="s">
        <v>58</v>
      </c>
      <c r="I792" t="s">
        <v>59</v>
      </c>
      <c r="J792" s="28" t="s">
        <v>370</v>
      </c>
      <c r="K792" s="82">
        <v>6</v>
      </c>
      <c r="L792" s="32">
        <v>5</v>
      </c>
      <c r="M792" s="30">
        <v>45986</v>
      </c>
      <c r="N792" s="30">
        <v>46007</v>
      </c>
      <c r="O792" s="43" t="s">
        <v>386</v>
      </c>
      <c r="P792" s="55"/>
      <c r="Q792" t="s">
        <v>1571</v>
      </c>
      <c r="R792" t="s">
        <v>1575</v>
      </c>
    </row>
    <row r="793" spans="1:18" ht="14.45">
      <c r="A793" s="106" t="b">
        <v>0</v>
      </c>
      <c r="B793" t="str" cm="1">
        <f t="array" ref="B793">_xlfn.SINGLE(_xlfn._xlws.FILTER(t_ServiceCatalogue[Onwer],t_ServiceCatalogue[Category]=t_fac25_requirements[[#This Row],[Category]],""))</f>
        <v>NW</v>
      </c>
      <c r="C793" t="s">
        <v>194</v>
      </c>
      <c r="D793" t="str">
        <f>_xlfn._xlws.FILTER(t_Contact[FA Name],t_Contact[FA]=t_fac25_requirements[[#This Row],[FA]],"")</f>
        <v>Media Operations</v>
      </c>
      <c r="E793" t="s">
        <v>213</v>
      </c>
      <c r="F793" t="s">
        <v>268</v>
      </c>
      <c r="G793" t="s">
        <v>275</v>
      </c>
      <c r="H793" t="s">
        <v>46</v>
      </c>
      <c r="I793" t="s">
        <v>47</v>
      </c>
      <c r="J793" s="28" t="s">
        <v>370</v>
      </c>
      <c r="K793" s="82"/>
      <c r="L793" s="32">
        <v>60</v>
      </c>
      <c r="M793" s="30">
        <v>45986</v>
      </c>
      <c r="N793" s="30">
        <v>46007</v>
      </c>
      <c r="O793" s="43" t="s">
        <v>386</v>
      </c>
      <c r="P793" s="55"/>
      <c r="Q793" t="s">
        <v>1571</v>
      </c>
      <c r="R793" t="s">
        <v>1576</v>
      </c>
    </row>
    <row r="794" spans="1:18" ht="14.45">
      <c r="A794" s="106" t="b">
        <v>0</v>
      </c>
      <c r="B794" t="str" cm="1">
        <f t="array" ref="B794">_xlfn.SINGLE(_xlfn._xlws.FILTER(t_ServiceCatalogue[Onwer],t_ServiceCatalogue[Category]=t_fac25_requirements[[#This Row],[Category]],""))</f>
        <v>NW</v>
      </c>
      <c r="C794" t="s">
        <v>194</v>
      </c>
      <c r="D794" t="str">
        <f>_xlfn._xlws.FILTER(t_Contact[FA Name],t_Contact[FA]=t_fac25_requirements[[#This Row],[FA]],"")</f>
        <v>Media Operations</v>
      </c>
      <c r="E794" t="s">
        <v>213</v>
      </c>
      <c r="F794" t="s">
        <v>278</v>
      </c>
      <c r="G794" t="s">
        <v>285</v>
      </c>
      <c r="H794" t="s">
        <v>46</v>
      </c>
      <c r="I794" t="s">
        <v>47</v>
      </c>
      <c r="J794" s="28" t="s">
        <v>370</v>
      </c>
      <c r="K794" s="82">
        <v>281</v>
      </c>
      <c r="L794" s="32">
        <v>230</v>
      </c>
      <c r="M794" s="30">
        <v>45986</v>
      </c>
      <c r="N794" s="30">
        <v>46007</v>
      </c>
      <c r="O794" s="43" t="s">
        <v>386</v>
      </c>
      <c r="P794" s="55"/>
      <c r="R794" t="s">
        <v>1577</v>
      </c>
    </row>
    <row r="795" spans="1:18" ht="14.45">
      <c r="A795" s="106" t="b">
        <v>0</v>
      </c>
      <c r="B795" t="str" cm="1">
        <f t="array" ref="B795">_xlfn.SINGLE(_xlfn._xlws.FILTER(t_ServiceCatalogue[Onwer],t_ServiceCatalogue[Category]=t_fac25_requirements[[#This Row],[Category]],""))</f>
        <v>AV</v>
      </c>
      <c r="C795" t="s">
        <v>194</v>
      </c>
      <c r="D795" t="str">
        <f>_xlfn._xlws.FILTER(t_Contact[FA Name],t_Contact[FA]=t_fac25_requirements[[#This Row],[FA]],"")</f>
        <v>Media Operations</v>
      </c>
      <c r="E795" t="s">
        <v>213</v>
      </c>
      <c r="F795" t="s">
        <v>278</v>
      </c>
      <c r="G795" t="s">
        <v>285</v>
      </c>
      <c r="H795" t="s">
        <v>58</v>
      </c>
      <c r="I795" t="s">
        <v>282</v>
      </c>
      <c r="J795" s="28" t="s">
        <v>370</v>
      </c>
      <c r="K795" s="82">
        <v>140</v>
      </c>
      <c r="L795" s="32">
        <v>81</v>
      </c>
      <c r="M795" s="30">
        <v>45986</v>
      </c>
      <c r="N795" s="30">
        <v>46007</v>
      </c>
      <c r="O795" s="43" t="s">
        <v>386</v>
      </c>
      <c r="P795" s="55" t="s">
        <v>1438</v>
      </c>
      <c r="Q795" t="s">
        <v>1439</v>
      </c>
      <c r="R795" t="s">
        <v>1578</v>
      </c>
    </row>
    <row r="796" spans="1:18" ht="14.45">
      <c r="A796" s="106" t="b">
        <v>0</v>
      </c>
      <c r="B796" t="str" cm="1">
        <f t="array" ref="B796">_xlfn.SINGLE(_xlfn._xlws.FILTER(t_ServiceCatalogue[Onwer],t_ServiceCatalogue[Category]=t_fac25_requirements[[#This Row],[Category]],""))</f>
        <v>NW</v>
      </c>
      <c r="C796" t="s">
        <v>194</v>
      </c>
      <c r="D796" t="str">
        <f>_xlfn._xlws.FILTER(t_Contact[FA Name],t_Contact[FA]=t_fac25_requirements[[#This Row],[FA]],"")</f>
        <v>Media Operations</v>
      </c>
      <c r="E796" t="s">
        <v>213</v>
      </c>
      <c r="F796" t="s">
        <v>278</v>
      </c>
      <c r="G796" t="s">
        <v>285</v>
      </c>
      <c r="H796" t="s">
        <v>52</v>
      </c>
      <c r="I796" t="s">
        <v>252</v>
      </c>
      <c r="J796" s="28" t="s">
        <v>370</v>
      </c>
      <c r="K796" s="82"/>
      <c r="L796" s="32">
        <v>500</v>
      </c>
      <c r="M796" s="30">
        <v>45986</v>
      </c>
      <c r="N796" s="30">
        <v>46007</v>
      </c>
      <c r="O796" s="43" t="s">
        <v>386</v>
      </c>
      <c r="P796" s="55"/>
      <c r="R796" t="s">
        <v>1579</v>
      </c>
    </row>
    <row r="797" spans="1:18" ht="14.45">
      <c r="A797" s="106" t="b">
        <v>0</v>
      </c>
      <c r="B797" t="str" cm="1">
        <f t="array" ref="B797">_xlfn.SINGLE(_xlfn._xlws.FILTER(t_ServiceCatalogue[Onwer],t_ServiceCatalogue[Category]=t_fac25_requirements[[#This Row],[Category]],""))</f>
        <v>NW</v>
      </c>
      <c r="C797" t="s">
        <v>194</v>
      </c>
      <c r="D797" t="str">
        <f>_xlfn._xlws.FILTER(t_Contact[FA Name],t_Contact[FA]=t_fac25_requirements[[#This Row],[FA]],"")</f>
        <v>Media Operations</v>
      </c>
      <c r="E797" t="s">
        <v>213</v>
      </c>
      <c r="F797" t="s">
        <v>278</v>
      </c>
      <c r="G797" t="s">
        <v>287</v>
      </c>
      <c r="H797" t="s">
        <v>46</v>
      </c>
      <c r="I797" t="s">
        <v>47</v>
      </c>
      <c r="J797" s="28" t="s">
        <v>370</v>
      </c>
      <c r="K797" s="82">
        <v>10</v>
      </c>
      <c r="L797" s="32">
        <v>8</v>
      </c>
      <c r="M797" s="30">
        <v>45986</v>
      </c>
      <c r="N797" s="30">
        <v>46007</v>
      </c>
      <c r="O797" s="43" t="s">
        <v>386</v>
      </c>
      <c r="P797" s="55"/>
      <c r="R797" t="s">
        <v>1580</v>
      </c>
    </row>
    <row r="798" spans="1:18" ht="14.45">
      <c r="A798" s="106" t="b">
        <v>0</v>
      </c>
      <c r="B798" t="str" cm="1">
        <f t="array" ref="B798">_xlfn.SINGLE(_xlfn._xlws.FILTER(t_ServiceCatalogue[Onwer],t_ServiceCatalogue[Category]=t_fac25_requirements[[#This Row],[Category]],""))</f>
        <v>NW</v>
      </c>
      <c r="C798" t="s">
        <v>194</v>
      </c>
      <c r="D798" t="str">
        <f>_xlfn._xlws.FILTER(t_Contact[FA Name],t_Contact[FA]=t_fac25_requirements[[#This Row],[FA]],"")</f>
        <v>Media Operations</v>
      </c>
      <c r="E798" t="s">
        <v>213</v>
      </c>
      <c r="F798" t="s">
        <v>268</v>
      </c>
      <c r="G798" t="s">
        <v>358</v>
      </c>
      <c r="H798" t="s">
        <v>46</v>
      </c>
      <c r="I798" t="s">
        <v>47</v>
      </c>
      <c r="J798" s="28" t="s">
        <v>370</v>
      </c>
      <c r="K798" s="82">
        <v>22</v>
      </c>
      <c r="L798" s="32">
        <v>30</v>
      </c>
      <c r="M798" s="30">
        <v>45986</v>
      </c>
      <c r="N798" s="30">
        <v>46007</v>
      </c>
      <c r="O798" s="43" t="s">
        <v>386</v>
      </c>
      <c r="P798" s="55"/>
      <c r="Q798" t="s">
        <v>1581</v>
      </c>
      <c r="R798" t="s">
        <v>1582</v>
      </c>
    </row>
    <row r="799" spans="1:18" ht="14.45">
      <c r="A799" s="106" t="b">
        <v>0</v>
      </c>
      <c r="B799" t="str" cm="1">
        <f t="array" ref="B799">_xlfn.SINGLE(_xlfn._xlws.FILTER(t_ServiceCatalogue[Onwer],t_ServiceCatalogue[Category]=t_fac25_requirements[[#This Row],[Category]],""))</f>
        <v>NW</v>
      </c>
      <c r="C799" t="s">
        <v>194</v>
      </c>
      <c r="D799" t="str">
        <f>_xlfn._xlws.FILTER(t_Contact[FA Name],t_Contact[FA]=t_fac25_requirements[[#This Row],[FA]],"")</f>
        <v>Media Operations</v>
      </c>
      <c r="E799" t="s">
        <v>213</v>
      </c>
      <c r="F799" t="s">
        <v>268</v>
      </c>
      <c r="G799" t="s">
        <v>358</v>
      </c>
      <c r="H799" t="s">
        <v>52</v>
      </c>
      <c r="I799" t="s">
        <v>252</v>
      </c>
      <c r="J799" s="28" t="s">
        <v>370</v>
      </c>
      <c r="K799" s="82">
        <v>42</v>
      </c>
      <c r="L799" s="32">
        <v>150</v>
      </c>
      <c r="M799" s="30">
        <v>45986</v>
      </c>
      <c r="N799" s="30">
        <v>46007</v>
      </c>
      <c r="O799" s="43" t="s">
        <v>386</v>
      </c>
      <c r="P799" s="55"/>
      <c r="Q799" t="s">
        <v>1581</v>
      </c>
      <c r="R799" t="s">
        <v>1583</v>
      </c>
    </row>
    <row r="800" spans="1:18" ht="14.45">
      <c r="A800" s="106" t="b">
        <v>0</v>
      </c>
      <c r="B800" t="str" cm="1">
        <f t="array" ref="B800">_xlfn.SINGLE(_xlfn._xlws.FILTER(t_ServiceCatalogue[Onwer],t_ServiceCatalogue[Category]=t_fac25_requirements[[#This Row],[Category]],""))</f>
        <v>AV</v>
      </c>
      <c r="C800" t="s">
        <v>194</v>
      </c>
      <c r="D800" t="str">
        <f>_xlfn._xlws.FILTER(t_Contact[FA Name],t_Contact[FA]=t_fac25_requirements[[#This Row],[FA]],"")</f>
        <v>Media Operations</v>
      </c>
      <c r="E800" t="s">
        <v>213</v>
      </c>
      <c r="F800" t="s">
        <v>268</v>
      </c>
      <c r="G800" t="s">
        <v>358</v>
      </c>
      <c r="H800" t="s">
        <v>58</v>
      </c>
      <c r="I800" t="s">
        <v>59</v>
      </c>
      <c r="J800" s="28" t="s">
        <v>370</v>
      </c>
      <c r="K800" s="82">
        <v>1</v>
      </c>
      <c r="L800" s="32">
        <v>2</v>
      </c>
      <c r="M800" s="30">
        <v>45986</v>
      </c>
      <c r="N800" s="30">
        <v>46007</v>
      </c>
      <c r="O800" s="43" t="s">
        <v>386</v>
      </c>
      <c r="P800" s="55"/>
      <c r="Q800" t="s">
        <v>1581</v>
      </c>
      <c r="R800" t="s">
        <v>1584</v>
      </c>
    </row>
    <row r="801" spans="1:18" ht="14.45">
      <c r="A801" s="106" t="b">
        <v>0</v>
      </c>
      <c r="B801" t="str" cm="1">
        <f t="array" ref="B801">_xlfn.SINGLE(_xlfn._xlws.FILTER(t_ServiceCatalogue[Onwer],t_ServiceCatalogue[Category]=t_fac25_requirements[[#This Row],[Category]],""))</f>
        <v>NW</v>
      </c>
      <c r="C801" t="s">
        <v>194</v>
      </c>
      <c r="D801" t="str">
        <f>_xlfn._xlws.FILTER(t_Contact[FA Name],t_Contact[FA]=t_fac25_requirements[[#This Row],[FA]],"")</f>
        <v>Media Operations</v>
      </c>
      <c r="E801" t="s">
        <v>213</v>
      </c>
      <c r="F801" t="s">
        <v>268</v>
      </c>
      <c r="G801" t="s">
        <v>271</v>
      </c>
      <c r="H801" t="s">
        <v>52</v>
      </c>
      <c r="I801" t="s">
        <v>252</v>
      </c>
      <c r="J801" s="28" t="s">
        <v>370</v>
      </c>
      <c r="K801" s="82"/>
      <c r="L801" s="32">
        <v>150</v>
      </c>
      <c r="M801" s="30">
        <v>45986</v>
      </c>
      <c r="N801" s="30">
        <v>46007</v>
      </c>
      <c r="O801" s="43" t="s">
        <v>386</v>
      </c>
      <c r="P801" s="55"/>
      <c r="R801" t="s">
        <v>1585</v>
      </c>
    </row>
    <row r="802" spans="1:18" ht="14.45">
      <c r="A802" s="106" t="b">
        <v>0</v>
      </c>
      <c r="B802" t="str" cm="1">
        <f t="array" ref="B802">_xlfn.SINGLE(_xlfn._xlws.FILTER(t_ServiceCatalogue[Onwer],t_ServiceCatalogue[Category]=t_fac25_requirements[[#This Row],[Category]],""))</f>
        <v>NW</v>
      </c>
      <c r="C802" t="s">
        <v>194</v>
      </c>
      <c r="D802" t="str">
        <f>_xlfn._xlws.FILTER(t_Contact[FA Name],t_Contact[FA]=t_fac25_requirements[[#This Row],[FA]],"")</f>
        <v>Media Operations</v>
      </c>
      <c r="E802" t="s">
        <v>213</v>
      </c>
      <c r="F802" t="s">
        <v>259</v>
      </c>
      <c r="G802" t="s">
        <v>261</v>
      </c>
      <c r="H802" t="s">
        <v>52</v>
      </c>
      <c r="I802" t="s">
        <v>252</v>
      </c>
      <c r="J802" s="28" t="s">
        <v>370</v>
      </c>
      <c r="K802" s="82"/>
      <c r="L802" s="32">
        <v>154</v>
      </c>
      <c r="M802" s="30">
        <v>45986</v>
      </c>
      <c r="N802" s="30">
        <v>46007</v>
      </c>
      <c r="O802" s="43" t="s">
        <v>386</v>
      </c>
      <c r="P802" s="55"/>
      <c r="R802" t="s">
        <v>1586</v>
      </c>
    </row>
    <row r="803" spans="1:18" ht="14.45">
      <c r="A803" s="106" t="b">
        <v>0</v>
      </c>
      <c r="B803" t="str" cm="1">
        <f t="array" ref="B803">_xlfn.SINGLE(_xlfn._xlws.FILTER(t_ServiceCatalogue[Onwer],t_ServiceCatalogue[Category]=t_fac25_requirements[[#This Row],[Category]],""))</f>
        <v>NW</v>
      </c>
      <c r="C803" t="s">
        <v>194</v>
      </c>
      <c r="D803" t="str">
        <f>_xlfn._xlws.FILTER(t_Contact[FA Name],t_Contact[FA]=t_fac25_requirements[[#This Row],[FA]],"")</f>
        <v>Media Operations</v>
      </c>
      <c r="E803" t="s">
        <v>213</v>
      </c>
      <c r="F803" t="s">
        <v>259</v>
      </c>
      <c r="G803" t="s">
        <v>261</v>
      </c>
      <c r="H803" t="s">
        <v>46</v>
      </c>
      <c r="I803" t="s">
        <v>47</v>
      </c>
      <c r="J803" s="28" t="s">
        <v>370</v>
      </c>
      <c r="K803" s="82">
        <v>108</v>
      </c>
      <c r="L803" s="32">
        <v>80</v>
      </c>
      <c r="M803" s="30">
        <v>45986</v>
      </c>
      <c r="N803" s="30">
        <v>46007</v>
      </c>
      <c r="O803" s="43" t="s">
        <v>386</v>
      </c>
      <c r="P803" s="55"/>
      <c r="R803" t="s">
        <v>1587</v>
      </c>
    </row>
    <row r="804" spans="1:18" ht="14.45">
      <c r="A804" s="106" t="b">
        <v>0</v>
      </c>
      <c r="B804" t="str" cm="1">
        <f t="array" ref="B804">_xlfn.SINGLE(_xlfn._xlws.FILTER(t_ServiceCatalogue[Onwer],t_ServiceCatalogue[Category]=t_fac25_requirements[[#This Row],[Category]],""))</f>
        <v>NW</v>
      </c>
      <c r="C804" t="s">
        <v>194</v>
      </c>
      <c r="D804" t="str">
        <f>_xlfn._xlws.FILTER(t_Contact[FA Name],t_Contact[FA]=t_fac25_requirements[[#This Row],[FA]],"")</f>
        <v>Media Operations</v>
      </c>
      <c r="E804" t="s">
        <v>213</v>
      </c>
      <c r="F804" t="s">
        <v>259</v>
      </c>
      <c r="G804" t="s">
        <v>263</v>
      </c>
      <c r="H804" t="s">
        <v>46</v>
      </c>
      <c r="I804" t="s">
        <v>47</v>
      </c>
      <c r="J804" s="28" t="s">
        <v>370</v>
      </c>
      <c r="K804" s="82"/>
      <c r="L804" s="32">
        <v>6</v>
      </c>
      <c r="M804" s="30">
        <v>45986</v>
      </c>
      <c r="N804" s="30">
        <v>46007</v>
      </c>
      <c r="O804" s="43" t="s">
        <v>386</v>
      </c>
      <c r="P804" s="55"/>
      <c r="R804" t="s">
        <v>1588</v>
      </c>
    </row>
    <row r="805" spans="1:18" ht="14.45">
      <c r="A805" s="106" t="b">
        <v>0</v>
      </c>
      <c r="B805" t="str" cm="1">
        <f t="array" ref="B805">_xlfn.SINGLE(_xlfn._xlws.FILTER(t_ServiceCatalogue[Onwer],t_ServiceCatalogue[Category]=t_fac25_requirements[[#This Row],[Category]],""))</f>
        <v>NW</v>
      </c>
      <c r="C805" t="s">
        <v>194</v>
      </c>
      <c r="D805" t="str">
        <f>_xlfn._xlws.FILTER(t_Contact[FA Name],t_Contact[FA]=t_fac25_requirements[[#This Row],[FA]],"")</f>
        <v>Media Operations</v>
      </c>
      <c r="E805" t="s">
        <v>213</v>
      </c>
      <c r="F805" t="s">
        <v>259</v>
      </c>
      <c r="G805" t="s">
        <v>262</v>
      </c>
      <c r="H805" t="s">
        <v>46</v>
      </c>
      <c r="I805" t="s">
        <v>47</v>
      </c>
      <c r="J805" s="28" t="s">
        <v>370</v>
      </c>
      <c r="K805" s="82"/>
      <c r="L805" s="32">
        <v>6</v>
      </c>
      <c r="M805" s="30">
        <v>45986</v>
      </c>
      <c r="N805" s="30">
        <v>46007</v>
      </c>
      <c r="O805" s="43" t="s">
        <v>386</v>
      </c>
      <c r="P805" s="55"/>
      <c r="R805" t="s">
        <v>1589</v>
      </c>
    </row>
    <row r="806" spans="1:18" ht="14.45">
      <c r="A806" s="106" t="b">
        <v>0</v>
      </c>
      <c r="B806" t="str" cm="1">
        <f t="array" ref="B806">_xlfn.SINGLE(_xlfn._xlws.FILTER(t_ServiceCatalogue[Onwer],t_ServiceCatalogue[Category]=t_fac25_requirements[[#This Row],[Category]],""))</f>
        <v>NW</v>
      </c>
      <c r="C806" t="s">
        <v>194</v>
      </c>
      <c r="D806" t="str">
        <f>_xlfn._xlws.FILTER(t_Contact[FA Name],t_Contact[FA]=t_fac25_requirements[[#This Row],[FA]],"")</f>
        <v>Media Operations</v>
      </c>
      <c r="E806" t="s">
        <v>213</v>
      </c>
      <c r="F806" t="s">
        <v>268</v>
      </c>
      <c r="G806" t="s">
        <v>272</v>
      </c>
      <c r="H806" t="s">
        <v>52</v>
      </c>
      <c r="I806" t="s">
        <v>252</v>
      </c>
      <c r="J806" s="28" t="s">
        <v>370</v>
      </c>
      <c r="K806" s="82"/>
      <c r="L806" s="32">
        <v>150</v>
      </c>
      <c r="M806" s="30">
        <v>45986</v>
      </c>
      <c r="N806" s="30">
        <v>46007</v>
      </c>
      <c r="O806" s="43" t="s">
        <v>386</v>
      </c>
      <c r="P806" s="55"/>
      <c r="R806" t="s">
        <v>1590</v>
      </c>
    </row>
    <row r="807" spans="1:18" ht="14.45">
      <c r="A807" s="106" t="b">
        <v>0</v>
      </c>
      <c r="B807" t="str" cm="1">
        <f t="array" ref="B807">_xlfn.SINGLE(_xlfn._xlws.FILTER(t_ServiceCatalogue[Onwer],t_ServiceCatalogue[Category]=t_fac25_requirements[[#This Row],[Category]],""))</f>
        <v>AV</v>
      </c>
      <c r="C807" t="s">
        <v>194</v>
      </c>
      <c r="D807" t="str">
        <f>_xlfn._xlws.FILTER(t_Contact[FA Name],t_Contact[FA]=t_fac25_requirements[[#This Row],[FA]],"")</f>
        <v>Media Operations</v>
      </c>
      <c r="E807" t="s">
        <v>213</v>
      </c>
      <c r="F807" t="s">
        <v>268</v>
      </c>
      <c r="G807" t="s">
        <v>272</v>
      </c>
      <c r="H807" t="s">
        <v>110</v>
      </c>
      <c r="I807" t="s">
        <v>273</v>
      </c>
      <c r="J807" s="28" t="s">
        <v>370</v>
      </c>
      <c r="K807" s="82"/>
      <c r="L807" s="32">
        <v>1</v>
      </c>
      <c r="M807" s="30">
        <v>45986</v>
      </c>
      <c r="N807" s="30">
        <v>46007</v>
      </c>
      <c r="O807" s="43" t="s">
        <v>386</v>
      </c>
      <c r="P807" s="55"/>
      <c r="Q807" t="s">
        <v>1451</v>
      </c>
      <c r="R807" t="s">
        <v>1591</v>
      </c>
    </row>
    <row r="808" spans="1:18" ht="14.45">
      <c r="A808" s="106" t="b">
        <v>0</v>
      </c>
      <c r="B808" t="str" cm="1">
        <f t="array" ref="B808">_xlfn.SINGLE(_xlfn._xlws.FILTER(t_ServiceCatalogue[Onwer],t_ServiceCatalogue[Category]=t_fac25_requirements[[#This Row],[Category]],""))</f>
        <v>NW</v>
      </c>
      <c r="C808" t="s">
        <v>194</v>
      </c>
      <c r="D808" t="str">
        <f>_xlfn._xlws.FILTER(t_Contact[FA Name],t_Contact[FA]=t_fac25_requirements[[#This Row],[FA]],"")</f>
        <v>Media Operations</v>
      </c>
      <c r="E808" t="s">
        <v>213</v>
      </c>
      <c r="F808" t="s">
        <v>305</v>
      </c>
      <c r="G808" t="s">
        <v>366</v>
      </c>
      <c r="H808" t="s">
        <v>52</v>
      </c>
      <c r="I808" t="s">
        <v>252</v>
      </c>
      <c r="J808" s="28" t="s">
        <v>370</v>
      </c>
      <c r="K808" s="82"/>
      <c r="L808" s="32">
        <v>4</v>
      </c>
      <c r="M808" s="30">
        <v>45986</v>
      </c>
      <c r="N808" s="30">
        <v>46007</v>
      </c>
      <c r="O808" s="43" t="s">
        <v>552</v>
      </c>
      <c r="P808" s="55"/>
      <c r="R808" t="s">
        <v>1592</v>
      </c>
    </row>
    <row r="809" spans="1:18" ht="14.45">
      <c r="A809" s="106" t="b">
        <v>0</v>
      </c>
      <c r="B809" t="str" cm="1">
        <f t="array" ref="B809">_xlfn.SINGLE(_xlfn._xlws.FILTER(t_ServiceCatalogue[Onwer],t_ServiceCatalogue[Category]=t_fac25_requirements[[#This Row],[Category]],""))</f>
        <v>AV</v>
      </c>
      <c r="C809" t="s">
        <v>194</v>
      </c>
      <c r="D809" t="str">
        <f>_xlfn._xlws.FILTER(t_Contact[FA Name],t_Contact[FA]=t_fac25_requirements[[#This Row],[FA]],"")</f>
        <v>Media Operations</v>
      </c>
      <c r="E809" t="s">
        <v>213</v>
      </c>
      <c r="F809" t="s">
        <v>305</v>
      </c>
      <c r="G809" t="s">
        <v>366</v>
      </c>
      <c r="H809" t="s">
        <v>58</v>
      </c>
      <c r="I809" t="s">
        <v>59</v>
      </c>
      <c r="J809" s="28" t="s">
        <v>370</v>
      </c>
      <c r="K809" s="82"/>
      <c r="L809" s="32">
        <v>1</v>
      </c>
      <c r="M809" s="30">
        <v>45986</v>
      </c>
      <c r="N809" s="30">
        <v>46007</v>
      </c>
      <c r="O809" s="43" t="s">
        <v>60</v>
      </c>
      <c r="P809" s="55"/>
      <c r="R809" t="s">
        <v>1593</v>
      </c>
    </row>
    <row r="810" spans="1:18" ht="14.45">
      <c r="A810" s="106" t="b">
        <v>1</v>
      </c>
      <c r="B810" t="str" cm="1">
        <f t="array" ref="B810">_xlfn.SINGLE(_xlfn._xlws.FILTER(t_ServiceCatalogue[Onwer],t_ServiceCatalogue[Category]=t_fac25_requirements[[#This Row],[Category]],""))</f>
        <v>EU</v>
      </c>
      <c r="C810" t="s">
        <v>194</v>
      </c>
      <c r="D810" t="str">
        <f>_xlfn._xlws.FILTER(t_Contact[FA Name],t_Contact[FA]=t_fac25_requirements[[#This Row],[FA]],"")</f>
        <v>Media Operations</v>
      </c>
      <c r="E810" t="s">
        <v>213</v>
      </c>
      <c r="F810" t="s">
        <v>305</v>
      </c>
      <c r="G810" t="s">
        <v>366</v>
      </c>
      <c r="H810" t="s">
        <v>22</v>
      </c>
      <c r="I810" t="s">
        <v>28</v>
      </c>
      <c r="J810" s="28" t="s">
        <v>370</v>
      </c>
      <c r="K810" s="82"/>
      <c r="L810" s="78">
        <v>1</v>
      </c>
      <c r="M810" s="30">
        <v>45986</v>
      </c>
      <c r="N810" s="30">
        <v>46007</v>
      </c>
      <c r="O810" s="43" t="s">
        <v>1454</v>
      </c>
      <c r="P810" s="55"/>
      <c r="Q810" t="s">
        <v>1455</v>
      </c>
      <c r="R810" t="s">
        <v>1594</v>
      </c>
    </row>
    <row r="811" spans="1:18" ht="14.45">
      <c r="A811" s="106" t="b">
        <v>1</v>
      </c>
      <c r="B811" t="str" cm="1">
        <f t="array" ref="B811">_xlfn.SINGLE(_xlfn._xlws.FILTER(t_ServiceCatalogue[Onwer],t_ServiceCatalogue[Category]=t_fac25_requirements[[#This Row],[Category]],""))</f>
        <v>AV</v>
      </c>
      <c r="C811" t="s">
        <v>194</v>
      </c>
      <c r="D811" t="str">
        <f>_xlfn._xlws.FILTER(t_Contact[FA Name],t_Contact[FA]=t_fac25_requirements[[#This Row],[FA]],"")</f>
        <v>Media Operations</v>
      </c>
      <c r="E811" t="s">
        <v>213</v>
      </c>
      <c r="F811" t="s">
        <v>305</v>
      </c>
      <c r="G811" t="s">
        <v>385</v>
      </c>
      <c r="H811" t="s">
        <v>58</v>
      </c>
      <c r="I811" t="s">
        <v>59</v>
      </c>
      <c r="J811" s="28" t="s">
        <v>637</v>
      </c>
      <c r="K811" s="82">
        <v>1</v>
      </c>
      <c r="L811" s="32">
        <v>0</v>
      </c>
      <c r="M811" s="30">
        <v>45986</v>
      </c>
      <c r="N811" s="30">
        <v>46007</v>
      </c>
      <c r="O811" s="43" t="s">
        <v>60</v>
      </c>
      <c r="P811" s="55" t="s">
        <v>387</v>
      </c>
      <c r="R811" t="s">
        <v>1595</v>
      </c>
    </row>
    <row r="812" spans="1:18" ht="14.45">
      <c r="A812" s="106" t="b">
        <v>1</v>
      </c>
      <c r="B812" t="str" cm="1">
        <f t="array" ref="B812">_xlfn.SINGLE(_xlfn._xlws.FILTER(t_ServiceCatalogue[Onwer],t_ServiceCatalogue[Category]=t_fac25_requirements[[#This Row],[Category]],""))</f>
        <v>NW</v>
      </c>
      <c r="C812" t="s">
        <v>194</v>
      </c>
      <c r="D812" t="str">
        <f>_xlfn._xlws.FILTER(t_Contact[FA Name],t_Contact[FA]=t_fac25_requirements[[#This Row],[FA]],"")</f>
        <v>Media Operations</v>
      </c>
      <c r="E812" t="s">
        <v>213</v>
      </c>
      <c r="F812" t="s">
        <v>305</v>
      </c>
      <c r="G812" t="s">
        <v>385</v>
      </c>
      <c r="H812" t="s">
        <v>52</v>
      </c>
      <c r="I812" t="s">
        <v>252</v>
      </c>
      <c r="J812" s="28" t="s">
        <v>637</v>
      </c>
      <c r="K812" s="82">
        <v>4</v>
      </c>
      <c r="L812" s="32">
        <v>0</v>
      </c>
      <c r="M812" s="30">
        <v>45986</v>
      </c>
      <c r="N812" s="30">
        <v>46007</v>
      </c>
      <c r="O812" s="43" t="s">
        <v>552</v>
      </c>
      <c r="P812" s="55"/>
      <c r="R812" t="s">
        <v>1596</v>
      </c>
    </row>
    <row r="813" spans="1:18" ht="14.45">
      <c r="A813" s="106" t="b">
        <v>1</v>
      </c>
      <c r="B813" t="str" cm="1">
        <f t="array" ref="B813">_xlfn.SINGLE(_xlfn._xlws.FILTER(t_ServiceCatalogue[Onwer],t_ServiceCatalogue[Category]=t_fac25_requirements[[#This Row],[Category]],""))</f>
        <v>EU</v>
      </c>
      <c r="C813" t="s">
        <v>194</v>
      </c>
      <c r="D813" t="str">
        <f>_xlfn._xlws.FILTER(t_Contact[FA Name],t_Contact[FA]=t_fac25_requirements[[#This Row],[FA]],"")</f>
        <v>Media Operations</v>
      </c>
      <c r="E813" t="s">
        <v>213</v>
      </c>
      <c r="F813" t="s">
        <v>305</v>
      </c>
      <c r="G813" t="s">
        <v>366</v>
      </c>
      <c r="H813" t="s">
        <v>32</v>
      </c>
      <c r="I813" t="s">
        <v>209</v>
      </c>
      <c r="J813" s="28" t="s">
        <v>370</v>
      </c>
      <c r="K813" s="82"/>
      <c r="L813" s="32">
        <v>1</v>
      </c>
      <c r="M813" s="30">
        <v>45986</v>
      </c>
      <c r="N813" s="30">
        <v>46007</v>
      </c>
      <c r="O813" s="43" t="s">
        <v>42</v>
      </c>
      <c r="P813" s="55"/>
      <c r="Q813" t="s">
        <v>1458</v>
      </c>
      <c r="R813" t="s">
        <v>1597</v>
      </c>
    </row>
    <row r="814" spans="1:18" ht="14.45">
      <c r="A814" s="106" t="b">
        <v>1</v>
      </c>
      <c r="B814" t="str" cm="1">
        <f t="array" ref="B814">_xlfn.SINGLE(_xlfn._xlws.FILTER(t_ServiceCatalogue[Onwer],t_ServiceCatalogue[Category]=t_fac25_requirements[[#This Row],[Category]],""))</f>
        <v>NW</v>
      </c>
      <c r="C814" t="s">
        <v>194</v>
      </c>
      <c r="D814" t="str">
        <f>_xlfn._xlws.FILTER(t_Contact[FA Name],t_Contact[FA]=t_fac25_requirements[[#This Row],[FA]],"")</f>
        <v>Media Operations</v>
      </c>
      <c r="E814" t="s">
        <v>19</v>
      </c>
      <c r="F814" t="s">
        <v>345</v>
      </c>
      <c r="G814" t="s">
        <v>360</v>
      </c>
      <c r="H814" t="s">
        <v>52</v>
      </c>
      <c r="I814" t="s">
        <v>252</v>
      </c>
      <c r="J814" s="28" t="s">
        <v>370</v>
      </c>
      <c r="K814" s="82"/>
      <c r="L814" s="32">
        <v>10</v>
      </c>
      <c r="M814" s="30">
        <v>45981</v>
      </c>
      <c r="N814" s="30">
        <v>46010</v>
      </c>
      <c r="O814" s="43" t="s">
        <v>552</v>
      </c>
      <c r="P814" s="55"/>
      <c r="R814" t="s">
        <v>1598</v>
      </c>
    </row>
    <row r="815" spans="1:18" ht="14.45">
      <c r="A815" s="106" t="b">
        <v>1</v>
      </c>
      <c r="B815" t="str" cm="1">
        <f t="array" ref="B815">_xlfn.SINGLE(_xlfn._xlws.FILTER(t_ServiceCatalogue[Onwer],t_ServiceCatalogue[Category]=t_fac25_requirements[[#This Row],[Category]],""))</f>
        <v>NW</v>
      </c>
      <c r="C815" t="s">
        <v>194</v>
      </c>
      <c r="D815" t="str">
        <f>_xlfn._xlws.FILTER(t_Contact[FA Name],t_Contact[FA]=t_fac25_requirements[[#This Row],[FA]],"")</f>
        <v>Media Operations</v>
      </c>
      <c r="E815" t="s">
        <v>19</v>
      </c>
      <c r="F815" t="s">
        <v>345</v>
      </c>
      <c r="G815" t="s">
        <v>360</v>
      </c>
      <c r="H815" t="s">
        <v>46</v>
      </c>
      <c r="I815" t="s">
        <v>47</v>
      </c>
      <c r="J815" s="28" t="s">
        <v>370</v>
      </c>
      <c r="K815" s="82">
        <v>0</v>
      </c>
      <c r="L815" s="32">
        <v>5</v>
      </c>
      <c r="M815" s="30">
        <v>45981</v>
      </c>
      <c r="N815" s="30">
        <v>46010</v>
      </c>
      <c r="O815" s="43" t="s">
        <v>48</v>
      </c>
      <c r="P815" s="55" t="s">
        <v>1599</v>
      </c>
      <c r="R815" t="s">
        <v>1600</v>
      </c>
    </row>
    <row r="816" spans="1:18" ht="14.45">
      <c r="A816" s="106" t="b">
        <v>1</v>
      </c>
      <c r="B816" t="str" cm="1">
        <f t="array" ref="B816">_xlfn.SINGLE(_xlfn._xlws.FILTER(t_ServiceCatalogue[Onwer],t_ServiceCatalogue[Category]=t_fac25_requirements[[#This Row],[Category]],""))</f>
        <v>AV</v>
      </c>
      <c r="C816" t="s">
        <v>194</v>
      </c>
      <c r="D816" t="str">
        <f>_xlfn._xlws.FILTER(t_Contact[FA Name],t_Contact[FA]=t_fac25_requirements[[#This Row],[FA]],"")</f>
        <v>Media Operations</v>
      </c>
      <c r="E816" t="s">
        <v>19</v>
      </c>
      <c r="F816" t="s">
        <v>345</v>
      </c>
      <c r="G816" t="s">
        <v>360</v>
      </c>
      <c r="H816" t="s">
        <v>58</v>
      </c>
      <c r="I816" t="s">
        <v>59</v>
      </c>
      <c r="J816" s="28" t="s">
        <v>370</v>
      </c>
      <c r="K816" s="82"/>
      <c r="L816" s="80">
        <v>1</v>
      </c>
      <c r="M816" s="30">
        <v>45981</v>
      </c>
      <c r="N816" s="30">
        <v>46010</v>
      </c>
      <c r="O816" s="43" t="s">
        <v>60</v>
      </c>
      <c r="P816" s="55"/>
      <c r="R816" t="s">
        <v>1601</v>
      </c>
    </row>
    <row r="817" spans="1:18" ht="14.45">
      <c r="A817" s="106" t="b">
        <v>1</v>
      </c>
      <c r="B817" t="str" cm="1">
        <f t="array" ref="B817">_xlfn.SINGLE(_xlfn._xlws.FILTER(t_ServiceCatalogue[Onwer],t_ServiceCatalogue[Category]=t_fac25_requirements[[#This Row],[Category]],""))</f>
        <v>NW</v>
      </c>
      <c r="C817" t="s">
        <v>194</v>
      </c>
      <c r="D817" t="str">
        <f>_xlfn._xlws.FILTER(t_Contact[FA Name],t_Contact[FA]=t_fac25_requirements[[#This Row],[FA]],"")</f>
        <v>Media Operations</v>
      </c>
      <c r="E817" t="s">
        <v>19</v>
      </c>
      <c r="F817" t="s">
        <v>345</v>
      </c>
      <c r="G817" t="s">
        <v>475</v>
      </c>
      <c r="H817" t="s">
        <v>52</v>
      </c>
      <c r="I817" t="s">
        <v>252</v>
      </c>
      <c r="J817" s="28" t="s">
        <v>370</v>
      </c>
      <c r="K817" s="82"/>
      <c r="L817" s="32">
        <v>10</v>
      </c>
      <c r="M817" s="30">
        <v>45981</v>
      </c>
      <c r="N817" s="30">
        <v>46010</v>
      </c>
      <c r="O817" s="43" t="s">
        <v>552</v>
      </c>
      <c r="P817" s="55"/>
      <c r="R817" t="s">
        <v>1602</v>
      </c>
    </row>
    <row r="818" spans="1:18" ht="14.45">
      <c r="A818" s="106" t="b">
        <v>1</v>
      </c>
      <c r="B818" t="str" cm="1">
        <f t="array" ref="B818">_xlfn.SINGLE(_xlfn._xlws.FILTER(t_ServiceCatalogue[Onwer],t_ServiceCatalogue[Category]=t_fac25_requirements[[#This Row],[Category]],""))</f>
        <v>NW</v>
      </c>
      <c r="C818" t="s">
        <v>194</v>
      </c>
      <c r="D818" t="str">
        <f>_xlfn._xlws.FILTER(t_Contact[FA Name],t_Contact[FA]=t_fac25_requirements[[#This Row],[FA]],"")</f>
        <v>Media Operations</v>
      </c>
      <c r="E818" t="s">
        <v>19</v>
      </c>
      <c r="F818" t="s">
        <v>345</v>
      </c>
      <c r="G818" t="s">
        <v>475</v>
      </c>
      <c r="H818" t="s">
        <v>46</v>
      </c>
      <c r="I818" t="s">
        <v>47</v>
      </c>
      <c r="J818" s="28" t="s">
        <v>370</v>
      </c>
      <c r="K818" s="82"/>
      <c r="L818" s="32">
        <v>6</v>
      </c>
      <c r="M818" s="30">
        <v>45981</v>
      </c>
      <c r="N818" s="30">
        <v>46010</v>
      </c>
      <c r="O818" s="43" t="s">
        <v>48</v>
      </c>
      <c r="P818" s="55"/>
      <c r="R818" t="s">
        <v>1603</v>
      </c>
    </row>
    <row r="819" spans="1:18" ht="14.45">
      <c r="A819" s="106" t="b">
        <v>1</v>
      </c>
      <c r="B819" t="str" cm="1">
        <f t="array" ref="B819">_xlfn.SINGLE(_xlfn._xlws.FILTER(t_ServiceCatalogue[Onwer],t_ServiceCatalogue[Category]=t_fac25_requirements[[#This Row],[Category]],""))</f>
        <v>NW</v>
      </c>
      <c r="C819" t="s">
        <v>194</v>
      </c>
      <c r="D819" t="str">
        <f>_xlfn._xlws.FILTER(t_Contact[FA Name],t_Contact[FA]=t_fac25_requirements[[#This Row],[FA]],"")</f>
        <v>Media Operations</v>
      </c>
      <c r="E819" t="s">
        <v>19</v>
      </c>
      <c r="F819" t="s">
        <v>345</v>
      </c>
      <c r="G819" t="s">
        <v>361</v>
      </c>
      <c r="H819" t="s">
        <v>52</v>
      </c>
      <c r="I819" t="s">
        <v>252</v>
      </c>
      <c r="J819" s="28" t="s">
        <v>370</v>
      </c>
      <c r="K819" s="82">
        <v>250</v>
      </c>
      <c r="L819" s="80">
        <v>350</v>
      </c>
      <c r="M819" s="30">
        <v>45981</v>
      </c>
      <c r="N819" s="30">
        <v>46010</v>
      </c>
      <c r="O819" s="43" t="s">
        <v>552</v>
      </c>
      <c r="P819" s="55" t="s">
        <v>1604</v>
      </c>
      <c r="R819" t="s">
        <v>1605</v>
      </c>
    </row>
    <row r="820" spans="1:18" ht="14.45">
      <c r="A820" s="106" t="b">
        <v>1</v>
      </c>
      <c r="B820" t="str" cm="1">
        <f t="array" ref="B820">_xlfn.SINGLE(_xlfn._xlws.FILTER(t_ServiceCatalogue[Onwer],t_ServiceCatalogue[Category]=t_fac25_requirements[[#This Row],[Category]],""))</f>
        <v>NW</v>
      </c>
      <c r="C820" t="s">
        <v>194</v>
      </c>
      <c r="D820" t="str">
        <f>_xlfn._xlws.FILTER(t_Contact[FA Name],t_Contact[FA]=t_fac25_requirements[[#This Row],[FA]],"")</f>
        <v>Media Operations</v>
      </c>
      <c r="E820" t="s">
        <v>19</v>
      </c>
      <c r="F820" t="s">
        <v>345</v>
      </c>
      <c r="G820" t="s">
        <v>361</v>
      </c>
      <c r="H820" s="79" t="s">
        <v>46</v>
      </c>
      <c r="I820" s="79" t="s">
        <v>47</v>
      </c>
      <c r="J820" s="28" t="s">
        <v>370</v>
      </c>
      <c r="K820" s="82">
        <v>100</v>
      </c>
      <c r="L820" s="32">
        <v>70</v>
      </c>
      <c r="M820" s="30">
        <v>45981</v>
      </c>
      <c r="N820" s="30">
        <v>46010</v>
      </c>
      <c r="O820" s="43" t="s">
        <v>552</v>
      </c>
      <c r="P820" s="55" t="s">
        <v>1606</v>
      </c>
      <c r="R820" t="s">
        <v>1607</v>
      </c>
    </row>
    <row r="821" spans="1:18" ht="14.45">
      <c r="A821" s="106" t="b">
        <v>1</v>
      </c>
      <c r="B821" t="str" cm="1">
        <f t="array" ref="B821">_xlfn.SINGLE(_xlfn._xlws.FILTER(t_ServiceCatalogue[Onwer],t_ServiceCatalogue[Category]=t_fac25_requirements[[#This Row],[Category]],""))</f>
        <v>AV</v>
      </c>
      <c r="C821" t="s">
        <v>194</v>
      </c>
      <c r="D821" t="str">
        <f>_xlfn._xlws.FILTER(t_Contact[FA Name],t_Contact[FA]=t_fac25_requirements[[#This Row],[FA]],"")</f>
        <v>Media Operations</v>
      </c>
      <c r="E821" t="s">
        <v>19</v>
      </c>
      <c r="F821" t="s">
        <v>345</v>
      </c>
      <c r="G821" t="s">
        <v>361</v>
      </c>
      <c r="H821" t="s">
        <v>58</v>
      </c>
      <c r="I821" t="s">
        <v>59</v>
      </c>
      <c r="J821" s="28" t="s">
        <v>370</v>
      </c>
      <c r="K821" s="82"/>
      <c r="L821" s="80">
        <v>8</v>
      </c>
      <c r="M821" s="30">
        <v>45981</v>
      </c>
      <c r="N821" s="30">
        <v>46010</v>
      </c>
      <c r="O821" s="43" t="s">
        <v>60</v>
      </c>
      <c r="P821" s="55"/>
      <c r="R821" t="s">
        <v>1608</v>
      </c>
    </row>
    <row r="822" spans="1:18" ht="14.45">
      <c r="A822" s="106" t="b">
        <v>1</v>
      </c>
      <c r="B822" t="str" cm="1">
        <f t="array" ref="B822">_xlfn.SINGLE(_xlfn._xlws.FILTER(t_ServiceCatalogue[Onwer],t_ServiceCatalogue[Category]=t_fac25_requirements[[#This Row],[Category]],""))</f>
        <v>AV</v>
      </c>
      <c r="C822" t="s">
        <v>194</v>
      </c>
      <c r="D822" t="str">
        <f>_xlfn._xlws.FILTER(t_Contact[FA Name],t_Contact[FA]=t_fac25_requirements[[#This Row],[FA]],"")</f>
        <v>Media Operations</v>
      </c>
      <c r="E822" t="s">
        <v>19</v>
      </c>
      <c r="F822" t="s">
        <v>345</v>
      </c>
      <c r="G822" t="s">
        <v>361</v>
      </c>
      <c r="H822" t="s">
        <v>110</v>
      </c>
      <c r="I822" t="s">
        <v>362</v>
      </c>
      <c r="J822" s="28" t="s">
        <v>370</v>
      </c>
      <c r="K822" s="82"/>
      <c r="L822" s="32">
        <v>1</v>
      </c>
      <c r="M822" s="30">
        <v>45981</v>
      </c>
      <c r="N822" s="30">
        <v>46010</v>
      </c>
      <c r="O822" s="43" t="s">
        <v>116</v>
      </c>
      <c r="P822" s="55"/>
      <c r="Q822" t="s">
        <v>1609</v>
      </c>
      <c r="R822" t="s">
        <v>1610</v>
      </c>
    </row>
    <row r="823" spans="1:18" ht="14.45">
      <c r="A823" s="106" t="b">
        <v>1</v>
      </c>
      <c r="B823" t="str" cm="1">
        <f t="array" ref="B823">_xlfn.SINGLE(_xlfn._xlws.FILTER(t_ServiceCatalogue[Onwer],t_ServiceCatalogue[Category]=t_fac25_requirements[[#This Row],[Category]],""))</f>
        <v>AV</v>
      </c>
      <c r="C823" t="s">
        <v>194</v>
      </c>
      <c r="D823" t="str">
        <f>_xlfn._xlws.FILTER(t_Contact[FA Name],t_Contact[FA]=t_fac25_requirements[[#This Row],[FA]],"")</f>
        <v>Media Operations</v>
      </c>
      <c r="E823" t="s">
        <v>19</v>
      </c>
      <c r="F823" t="s">
        <v>345</v>
      </c>
      <c r="G823" t="s">
        <v>272</v>
      </c>
      <c r="H823" t="s">
        <v>110</v>
      </c>
      <c r="I823" t="s">
        <v>273</v>
      </c>
      <c r="J823" s="28" t="s">
        <v>370</v>
      </c>
      <c r="K823" s="82">
        <v>1</v>
      </c>
      <c r="L823" s="32">
        <v>1</v>
      </c>
      <c r="M823" s="30">
        <v>45981</v>
      </c>
      <c r="N823" s="30">
        <v>46010</v>
      </c>
      <c r="O823" s="43" t="s">
        <v>116</v>
      </c>
      <c r="P823" s="55" t="s">
        <v>1438</v>
      </c>
      <c r="Q823" t="s">
        <v>1451</v>
      </c>
      <c r="R823" t="s">
        <v>1611</v>
      </c>
    </row>
    <row r="824" spans="1:18" ht="14.45">
      <c r="A824" s="106" t="b">
        <v>1</v>
      </c>
      <c r="B824" t="str" cm="1">
        <f t="array" ref="B824">_xlfn.SINGLE(_xlfn._xlws.FILTER(t_ServiceCatalogue[Onwer],t_ServiceCatalogue[Category]=t_fac25_requirements[[#This Row],[Category]],""))</f>
        <v>NW</v>
      </c>
      <c r="C824" t="s">
        <v>194</v>
      </c>
      <c r="D824" t="str">
        <f>_xlfn._xlws.FILTER(t_Contact[FA Name],t_Contact[FA]=t_fac25_requirements[[#This Row],[FA]],"")</f>
        <v>Media Operations</v>
      </c>
      <c r="E824" t="s">
        <v>19</v>
      </c>
      <c r="F824" t="s">
        <v>345</v>
      </c>
      <c r="G824" t="s">
        <v>272</v>
      </c>
      <c r="H824" t="s">
        <v>52</v>
      </c>
      <c r="I824" t="s">
        <v>252</v>
      </c>
      <c r="J824" s="28" t="s">
        <v>370</v>
      </c>
      <c r="K824" s="82">
        <v>80</v>
      </c>
      <c r="L824" s="81">
        <v>200</v>
      </c>
      <c r="M824" s="30">
        <v>45981</v>
      </c>
      <c r="N824" s="30">
        <v>46010</v>
      </c>
      <c r="O824" s="43" t="s">
        <v>552</v>
      </c>
      <c r="P824" s="55" t="s">
        <v>1612</v>
      </c>
      <c r="R824" t="s">
        <v>1613</v>
      </c>
    </row>
    <row r="825" spans="1:18" ht="14.45">
      <c r="A825" s="106" t="b">
        <v>1</v>
      </c>
      <c r="B825" t="str" cm="1">
        <f t="array" ref="B825">_xlfn.SINGLE(_xlfn._xlws.FILTER(t_ServiceCatalogue[Onwer],t_ServiceCatalogue[Category]=t_fac25_requirements[[#This Row],[Category]],""))</f>
        <v>NW</v>
      </c>
      <c r="C825" t="s">
        <v>194</v>
      </c>
      <c r="D825" t="str">
        <f>_xlfn._xlws.FILTER(t_Contact[FA Name],t_Contact[FA]=t_fac25_requirements[[#This Row],[FA]],"")</f>
        <v>Media Operations</v>
      </c>
      <c r="E825" t="s">
        <v>19</v>
      </c>
      <c r="F825" t="s">
        <v>345</v>
      </c>
      <c r="G825" t="s">
        <v>269</v>
      </c>
      <c r="H825" t="s">
        <v>52</v>
      </c>
      <c r="I825" t="s">
        <v>252</v>
      </c>
      <c r="J825" s="28" t="s">
        <v>370</v>
      </c>
      <c r="K825" s="82"/>
      <c r="L825" s="32">
        <v>80</v>
      </c>
      <c r="M825" s="30">
        <v>45981</v>
      </c>
      <c r="N825" s="30">
        <v>46010</v>
      </c>
      <c r="O825" s="43" t="s">
        <v>552</v>
      </c>
      <c r="P825" s="55"/>
      <c r="R825" t="s">
        <v>1614</v>
      </c>
    </row>
    <row r="826" spans="1:18" ht="14.45">
      <c r="A826" s="106" t="b">
        <v>1</v>
      </c>
      <c r="B826" t="str" cm="1">
        <f t="array" ref="B826">_xlfn.SINGLE(_xlfn._xlws.FILTER(t_ServiceCatalogue[Onwer],t_ServiceCatalogue[Category]=t_fac25_requirements[[#This Row],[Category]],""))</f>
        <v>AV</v>
      </c>
      <c r="C826" t="s">
        <v>194</v>
      </c>
      <c r="D826" t="str">
        <f>_xlfn._xlws.FILTER(t_Contact[FA Name],t_Contact[FA]=t_fac25_requirements[[#This Row],[FA]],"")</f>
        <v>Media Operations</v>
      </c>
      <c r="E826" t="s">
        <v>19</v>
      </c>
      <c r="F826" t="s">
        <v>345</v>
      </c>
      <c r="G826" t="s">
        <v>269</v>
      </c>
      <c r="H826" t="s">
        <v>58</v>
      </c>
      <c r="I826" t="s">
        <v>59</v>
      </c>
      <c r="J826" s="28" t="s">
        <v>370</v>
      </c>
      <c r="K826" s="82"/>
      <c r="L826" s="80">
        <v>4</v>
      </c>
      <c r="M826" s="30">
        <v>45981</v>
      </c>
      <c r="N826" s="30">
        <v>46010</v>
      </c>
      <c r="O826" s="43" t="s">
        <v>60</v>
      </c>
      <c r="P826" s="55"/>
      <c r="R826" t="s">
        <v>1615</v>
      </c>
    </row>
    <row r="827" spans="1:18" ht="14.45">
      <c r="A827" s="106" t="b">
        <v>1</v>
      </c>
      <c r="B827" t="str" cm="1">
        <f t="array" ref="B827">_xlfn.SINGLE(_xlfn._xlws.FILTER(t_ServiceCatalogue[Onwer],t_ServiceCatalogue[Category]=t_fac25_requirements[[#This Row],[Category]],""))</f>
        <v>NW</v>
      </c>
      <c r="C827" t="s">
        <v>194</v>
      </c>
      <c r="D827" t="str">
        <f>_xlfn._xlws.FILTER(t_Contact[FA Name],t_Contact[FA]=t_fac25_requirements[[#This Row],[FA]],"")</f>
        <v>Media Operations</v>
      </c>
      <c r="E827" t="s">
        <v>19</v>
      </c>
      <c r="F827" t="s">
        <v>345</v>
      </c>
      <c r="G827" t="s">
        <v>363</v>
      </c>
      <c r="H827" t="s">
        <v>52</v>
      </c>
      <c r="I827" t="s">
        <v>252</v>
      </c>
      <c r="J827" s="28" t="s">
        <v>370</v>
      </c>
      <c r="K827" s="82">
        <v>15</v>
      </c>
      <c r="L827" s="81">
        <v>30</v>
      </c>
      <c r="M827" s="30">
        <v>45981</v>
      </c>
      <c r="N827" s="30">
        <v>46010</v>
      </c>
      <c r="O827" s="43" t="s">
        <v>552</v>
      </c>
      <c r="P827" s="55" t="s">
        <v>1616</v>
      </c>
      <c r="R827" t="s">
        <v>1617</v>
      </c>
    </row>
    <row r="828" spans="1:18" ht="14.45">
      <c r="A828" s="106" t="b">
        <v>1</v>
      </c>
      <c r="B828" t="str" cm="1">
        <f t="array" ref="B828">_xlfn.SINGLE(_xlfn._xlws.FILTER(t_ServiceCatalogue[Onwer],t_ServiceCatalogue[Category]=t_fac25_requirements[[#This Row],[Category]],""))</f>
        <v>NW</v>
      </c>
      <c r="C828" t="s">
        <v>194</v>
      </c>
      <c r="D828" t="str">
        <f>_xlfn._xlws.FILTER(t_Contact[FA Name],t_Contact[FA]=t_fac25_requirements[[#This Row],[FA]],"")</f>
        <v>Media Operations</v>
      </c>
      <c r="E828" t="s">
        <v>19</v>
      </c>
      <c r="F828" t="s">
        <v>345</v>
      </c>
      <c r="G828" t="s">
        <v>363</v>
      </c>
      <c r="H828" t="s">
        <v>46</v>
      </c>
      <c r="I828" t="s">
        <v>47</v>
      </c>
      <c r="J828" s="28" t="s">
        <v>637</v>
      </c>
      <c r="K828" s="82">
        <v>5</v>
      </c>
      <c r="L828" s="32">
        <v>0</v>
      </c>
      <c r="M828" s="30">
        <v>45981</v>
      </c>
      <c r="N828" s="30">
        <v>46010</v>
      </c>
      <c r="O828" s="43" t="s">
        <v>48</v>
      </c>
      <c r="P828" s="55"/>
      <c r="R828" t="s">
        <v>1618</v>
      </c>
    </row>
    <row r="829" spans="1:18" ht="14.45">
      <c r="A829" s="106" t="b">
        <v>1</v>
      </c>
      <c r="B829" t="str" cm="1">
        <f t="array" ref="B829">_xlfn.SINGLE(_xlfn._xlws.FILTER(t_ServiceCatalogue[Onwer],t_ServiceCatalogue[Category]=t_fac25_requirements[[#This Row],[Category]],""))</f>
        <v>AV</v>
      </c>
      <c r="C829" t="s">
        <v>194</v>
      </c>
      <c r="D829" t="str">
        <f>_xlfn._xlws.FILTER(t_Contact[FA Name],t_Contact[FA]=t_fac25_requirements[[#This Row],[FA]],"")</f>
        <v>Media Operations</v>
      </c>
      <c r="E829" t="s">
        <v>19</v>
      </c>
      <c r="F829" t="s">
        <v>345</v>
      </c>
      <c r="G829" t="s">
        <v>363</v>
      </c>
      <c r="H829" t="s">
        <v>58</v>
      </c>
      <c r="I829" t="s">
        <v>59</v>
      </c>
      <c r="J829" s="28" t="s">
        <v>370</v>
      </c>
      <c r="K829" s="82"/>
      <c r="L829" s="80">
        <v>1</v>
      </c>
      <c r="M829" s="30">
        <v>45981</v>
      </c>
      <c r="N829" s="30">
        <v>46010</v>
      </c>
      <c r="O829" s="43" t="s">
        <v>60</v>
      </c>
      <c r="P829" s="55"/>
      <c r="R829" t="s">
        <v>1619</v>
      </c>
    </row>
    <row r="830" spans="1:18" ht="14.45">
      <c r="A830" s="106" t="b">
        <v>1</v>
      </c>
      <c r="B830" t="str" cm="1">
        <f t="array" ref="B830">_xlfn.SINGLE(_xlfn._xlws.FILTER(t_ServiceCatalogue[Onwer],t_ServiceCatalogue[Category]=t_fac25_requirements[[#This Row],[Category]],""))</f>
        <v>EU</v>
      </c>
      <c r="C830" t="s">
        <v>194</v>
      </c>
      <c r="D830" t="str">
        <f>_xlfn._xlws.FILTER(t_Contact[FA Name],t_Contact[FA]=t_fac25_requirements[[#This Row],[FA]],"")</f>
        <v>Media Operations</v>
      </c>
      <c r="E830" t="s">
        <v>19</v>
      </c>
      <c r="F830" t="s">
        <v>345</v>
      </c>
      <c r="G830" t="s">
        <v>363</v>
      </c>
      <c r="H830" t="s">
        <v>22</v>
      </c>
      <c r="I830" t="s">
        <v>28</v>
      </c>
      <c r="J830" s="28" t="s">
        <v>370</v>
      </c>
      <c r="K830" s="82"/>
      <c r="L830" s="32">
        <v>1</v>
      </c>
      <c r="M830" s="30">
        <v>45981</v>
      </c>
      <c r="N830" s="30">
        <v>46010</v>
      </c>
      <c r="O830" s="43" t="s">
        <v>29</v>
      </c>
      <c r="P830" s="55"/>
      <c r="Q830" t="s">
        <v>1455</v>
      </c>
      <c r="R830" t="s">
        <v>1620</v>
      </c>
    </row>
    <row r="831" spans="1:18" ht="14.45">
      <c r="A831" s="106" t="b">
        <v>1</v>
      </c>
      <c r="B831" t="str" cm="1">
        <f t="array" ref="B831">_xlfn.SINGLE(_xlfn._xlws.FILTER(t_ServiceCatalogue[Onwer],t_ServiceCatalogue[Category]=t_fac25_requirements[[#This Row],[Category]],""))</f>
        <v>NW</v>
      </c>
      <c r="C831" t="s">
        <v>194</v>
      </c>
      <c r="D831" t="str">
        <f>_xlfn._xlws.FILTER(t_Contact[FA Name],t_Contact[FA]=t_fac25_requirements[[#This Row],[FA]],"")</f>
        <v>Media Operations</v>
      </c>
      <c r="E831" t="s">
        <v>19</v>
      </c>
      <c r="F831" t="s">
        <v>345</v>
      </c>
      <c r="G831" t="s">
        <v>472</v>
      </c>
      <c r="H831" t="s">
        <v>52</v>
      </c>
      <c r="I831" t="s">
        <v>252</v>
      </c>
      <c r="J831" s="28" t="s">
        <v>370</v>
      </c>
      <c r="K831" s="82"/>
      <c r="L831" s="32">
        <v>10</v>
      </c>
      <c r="M831" s="30">
        <v>45981</v>
      </c>
      <c r="N831" s="30">
        <v>46010</v>
      </c>
      <c r="O831" s="43" t="s">
        <v>552</v>
      </c>
      <c r="P831" s="55"/>
      <c r="R831" t="s">
        <v>1621</v>
      </c>
    </row>
    <row r="832" spans="1:18" ht="14.45">
      <c r="A832" s="106" t="b">
        <v>1</v>
      </c>
      <c r="B832" t="str" cm="1">
        <f t="array" ref="B832">_xlfn.SINGLE(_xlfn._xlws.FILTER(t_ServiceCatalogue[Onwer],t_ServiceCatalogue[Category]=t_fac25_requirements[[#This Row],[Category]],""))</f>
        <v>NW</v>
      </c>
      <c r="C832" t="s">
        <v>194</v>
      </c>
      <c r="D832" t="str">
        <f>_xlfn._xlws.FILTER(t_Contact[FA Name],t_Contact[FA]=t_fac25_requirements[[#This Row],[FA]],"")</f>
        <v>Media Operations</v>
      </c>
      <c r="E832" t="s">
        <v>19</v>
      </c>
      <c r="F832" t="s">
        <v>345</v>
      </c>
      <c r="G832" t="s">
        <v>474</v>
      </c>
      <c r="H832" t="s">
        <v>52</v>
      </c>
      <c r="I832" t="s">
        <v>252</v>
      </c>
      <c r="J832" s="28" t="s">
        <v>370</v>
      </c>
      <c r="K832" s="82"/>
      <c r="L832" s="32">
        <v>10</v>
      </c>
      <c r="M832" s="30">
        <v>45981</v>
      </c>
      <c r="N832" s="30">
        <v>46010</v>
      </c>
      <c r="O832" s="43" t="s">
        <v>552</v>
      </c>
      <c r="P832" s="55"/>
      <c r="R832" t="s">
        <v>1622</v>
      </c>
    </row>
    <row r="833" spans="1:18" ht="14.45">
      <c r="A833" s="106" t="b">
        <v>1</v>
      </c>
      <c r="B833" t="str" cm="1">
        <f t="array" ref="B833">_xlfn.SINGLE(_xlfn._xlws.FILTER(t_ServiceCatalogue[Onwer],t_ServiceCatalogue[Category]=t_fac25_requirements[[#This Row],[Category]],""))</f>
        <v>NW</v>
      </c>
      <c r="C833" t="s">
        <v>194</v>
      </c>
      <c r="D833" t="str">
        <f>_xlfn._xlws.FILTER(t_Contact[FA Name],t_Contact[FA]=t_fac25_requirements[[#This Row],[FA]],"")</f>
        <v>Media Operations</v>
      </c>
      <c r="E833" t="s">
        <v>19</v>
      </c>
      <c r="F833" t="s">
        <v>345</v>
      </c>
      <c r="G833" t="s">
        <v>471</v>
      </c>
      <c r="H833" t="s">
        <v>52</v>
      </c>
      <c r="I833" t="s">
        <v>252</v>
      </c>
      <c r="J833" s="28" t="s">
        <v>370</v>
      </c>
      <c r="K833" s="82"/>
      <c r="L833" s="32">
        <v>5</v>
      </c>
      <c r="M833" s="30">
        <v>45981</v>
      </c>
      <c r="N833" s="30">
        <v>46010</v>
      </c>
      <c r="O833" s="43" t="s">
        <v>552</v>
      </c>
      <c r="P833" s="55"/>
      <c r="R833" t="s">
        <v>1623</v>
      </c>
    </row>
    <row r="834" spans="1:18" ht="14.45">
      <c r="A834" s="106" t="b">
        <v>1</v>
      </c>
      <c r="B834" t="str" cm="1">
        <f t="array" ref="B834">_xlfn.SINGLE(_xlfn._xlws.FILTER(t_ServiceCatalogue[Onwer],t_ServiceCatalogue[Category]=t_fac25_requirements[[#This Row],[Category]],""))</f>
        <v>NW</v>
      </c>
      <c r="C834" t="s">
        <v>194</v>
      </c>
      <c r="D834" t="str">
        <f>_xlfn._xlws.FILTER(t_Contact[FA Name],t_Contact[FA]=t_fac25_requirements[[#This Row],[FA]],"")</f>
        <v>Media Operations</v>
      </c>
      <c r="E834" t="s">
        <v>19</v>
      </c>
      <c r="F834" t="s">
        <v>345</v>
      </c>
      <c r="G834" t="s">
        <v>473</v>
      </c>
      <c r="H834" t="s">
        <v>52</v>
      </c>
      <c r="I834" t="s">
        <v>252</v>
      </c>
      <c r="J834" s="28" t="s">
        <v>370</v>
      </c>
      <c r="K834" s="82">
        <v>5</v>
      </c>
      <c r="L834" s="81">
        <v>10</v>
      </c>
      <c r="M834" s="30">
        <v>45981</v>
      </c>
      <c r="N834" s="30">
        <v>46010</v>
      </c>
      <c r="O834" s="43" t="s">
        <v>552</v>
      </c>
      <c r="P834" s="55" t="s">
        <v>1624</v>
      </c>
      <c r="R834" t="s">
        <v>1625</v>
      </c>
    </row>
    <row r="835" spans="1:18" ht="43.15">
      <c r="A835" s="106" t="b">
        <v>1</v>
      </c>
      <c r="B835" t="str" cm="1">
        <f t="array" ref="B835">_xlfn.SINGLE(_xlfn._xlws.FILTER(t_ServiceCatalogue[Onwer],t_ServiceCatalogue[Category]=t_fac25_requirements[[#This Row],[Category]],""))</f>
        <v>Telco/SIM</v>
      </c>
      <c r="C835" t="s">
        <v>194</v>
      </c>
      <c r="D835" t="str">
        <f>_xlfn._xlws.FILTER(t_Contact[FA Name],t_Contact[FA]=t_fac25_requirements[[#This Row],[FA]],"")</f>
        <v>Media Operations</v>
      </c>
      <c r="E835" t="s">
        <v>19</v>
      </c>
      <c r="F835" t="s">
        <v>347</v>
      </c>
      <c r="G835" t="s">
        <v>348</v>
      </c>
      <c r="H835" t="s">
        <v>84</v>
      </c>
      <c r="I835" t="s">
        <v>165</v>
      </c>
      <c r="J835" s="28" t="s">
        <v>370</v>
      </c>
      <c r="K835" s="82">
        <v>50</v>
      </c>
      <c r="L835" s="32">
        <v>8</v>
      </c>
      <c r="M835" s="30">
        <v>45981</v>
      </c>
      <c r="N835" s="30">
        <v>46010</v>
      </c>
      <c r="O835" s="43" t="s">
        <v>552</v>
      </c>
      <c r="P835" s="70" t="s">
        <v>1626</v>
      </c>
      <c r="Q835" t="s">
        <v>1627</v>
      </c>
      <c r="R835" t="s">
        <v>1628</v>
      </c>
    </row>
    <row r="836" spans="1:18" ht="14.45">
      <c r="A836" s="106" t="b">
        <v>1</v>
      </c>
      <c r="B836" t="s">
        <v>203</v>
      </c>
      <c r="C836" t="s">
        <v>194</v>
      </c>
      <c r="D836" t="str">
        <f>_xlfn._xlws.FILTER(t_Contact[FA Name],t_Contact[FA]=t_fac25_requirements[[#This Row],[FA]],"")</f>
        <v>Media Operations</v>
      </c>
      <c r="E836" t="s">
        <v>19</v>
      </c>
      <c r="F836" t="s">
        <v>345</v>
      </c>
      <c r="G836" t="s">
        <v>360</v>
      </c>
      <c r="H836" t="s">
        <v>32</v>
      </c>
      <c r="I836" t="s">
        <v>33</v>
      </c>
      <c r="J836" s="28" t="s">
        <v>370</v>
      </c>
      <c r="K836" s="136">
        <v>0</v>
      </c>
      <c r="L836" s="136">
        <v>5</v>
      </c>
      <c r="M836" s="30">
        <v>45986</v>
      </c>
      <c r="N836" s="30">
        <v>46010</v>
      </c>
      <c r="O836" s="43" t="s">
        <v>34</v>
      </c>
      <c r="P836" s="55" t="s">
        <v>1629</v>
      </c>
      <c r="R836" t="s">
        <v>1630</v>
      </c>
    </row>
    <row r="837" spans="1:18" ht="15" customHeight="1">
      <c r="A837" s="106" t="b">
        <v>0</v>
      </c>
      <c r="B837" t="str" cm="1">
        <f t="array" ref="B837">_xlfn.SINGLE(_xlfn._xlws.FILTER(t_ServiceCatalogue[Onwer],t_ServiceCatalogue[Category]=t_fac25_requirements[[#This Row],[Category]],""))</f>
        <v>NW</v>
      </c>
      <c r="C837" t="s">
        <v>156</v>
      </c>
      <c r="D837" t="str">
        <f>_xlfn._xlws.FILTER(t_Contact[FA Name],t_Contact[FA]=t_fac25_requirements[[#This Row],[FA]],"")</f>
        <v>Ticketing</v>
      </c>
      <c r="E837" t="s">
        <v>213</v>
      </c>
      <c r="F837" t="s">
        <v>325</v>
      </c>
      <c r="G837" t="s">
        <v>1631</v>
      </c>
      <c r="H837" t="s">
        <v>46</v>
      </c>
      <c r="I837" t="s">
        <v>335</v>
      </c>
      <c r="J837" s="28" t="s">
        <v>370</v>
      </c>
      <c r="K837" s="32"/>
      <c r="L837" s="32">
        <v>30</v>
      </c>
      <c r="M837" s="30">
        <v>45976</v>
      </c>
      <c r="N837" s="30">
        <v>46009</v>
      </c>
      <c r="O837" s="43"/>
      <c r="P837" s="55"/>
      <c r="Q837" t="s">
        <v>1632</v>
      </c>
      <c r="R837" t="s">
        <v>1633</v>
      </c>
    </row>
    <row r="838" spans="1:18" ht="15" customHeight="1">
      <c r="A838" s="106" t="b">
        <v>0</v>
      </c>
      <c r="B838" t="str" cm="1">
        <f t="array" ref="B838">_xlfn.SINGLE(_xlfn._xlws.FILTER(t_ServiceCatalogue[Onwer],t_ServiceCatalogue[Category]=t_fac25_requirements[[#This Row],[Category]],""))</f>
        <v>NW</v>
      </c>
      <c r="C838" t="s">
        <v>156</v>
      </c>
      <c r="D838" t="str">
        <f>_xlfn._xlws.FILTER(t_Contact[FA Name],t_Contact[FA]=t_fac25_requirements[[#This Row],[FA]],"")</f>
        <v>Ticketing</v>
      </c>
      <c r="E838" t="s">
        <v>213</v>
      </c>
      <c r="F838" t="s">
        <v>325</v>
      </c>
      <c r="G838" t="s">
        <v>1631</v>
      </c>
      <c r="H838" t="s">
        <v>52</v>
      </c>
      <c r="I838" t="s">
        <v>53</v>
      </c>
      <c r="J838" s="28" t="s">
        <v>370</v>
      </c>
      <c r="K838" s="32"/>
      <c r="L838" s="32">
        <v>6</v>
      </c>
      <c r="M838" s="30">
        <v>45976</v>
      </c>
      <c r="N838" s="30">
        <v>46009</v>
      </c>
      <c r="O838" s="43"/>
      <c r="P838" s="55"/>
      <c r="Q838" t="s">
        <v>1634</v>
      </c>
      <c r="R838" t="s">
        <v>1635</v>
      </c>
    </row>
    <row r="839" spans="1:18" ht="15" customHeight="1">
      <c r="A839" s="106" t="b">
        <v>1</v>
      </c>
      <c r="B839" t="str" cm="1">
        <f t="array" ref="B839">_xlfn.SINGLE(_xlfn._xlws.FILTER(t_ServiceCatalogue[Onwer],t_ServiceCatalogue[Category]=t_fac25_requirements[[#This Row],[Category]],""))</f>
        <v>EU</v>
      </c>
      <c r="C839" t="s">
        <v>156</v>
      </c>
      <c r="D839" t="str">
        <f>_xlfn._xlws.FILTER(t_Contact[FA Name],t_Contact[FA]=t_fac25_requirements[[#This Row],[FA]],"")</f>
        <v>Ticketing</v>
      </c>
      <c r="E839" t="s">
        <v>213</v>
      </c>
      <c r="F839" t="s">
        <v>325</v>
      </c>
      <c r="G839" t="s">
        <v>330</v>
      </c>
      <c r="H839" t="s">
        <v>22</v>
      </c>
      <c r="I839" t="s">
        <v>23</v>
      </c>
      <c r="J839" s="28" t="s">
        <v>370</v>
      </c>
      <c r="K839" s="32">
        <v>2</v>
      </c>
      <c r="L839" s="32">
        <v>1</v>
      </c>
      <c r="M839" s="30">
        <v>45976</v>
      </c>
      <c r="N839" s="30">
        <v>46009</v>
      </c>
      <c r="O839" s="43"/>
      <c r="P839" s="70" t="s">
        <v>1636</v>
      </c>
      <c r="Q839" t="s">
        <v>1637</v>
      </c>
      <c r="R839" t="s">
        <v>1638</v>
      </c>
    </row>
    <row r="840" spans="1:18" ht="15" customHeight="1">
      <c r="A840" s="106" t="b">
        <v>1</v>
      </c>
      <c r="B840" t="str" cm="1">
        <f t="array" ref="B840">_xlfn.SINGLE(_xlfn._xlws.FILTER(t_ServiceCatalogue[Onwer],t_ServiceCatalogue[Category]=t_fac25_requirements[[#This Row],[Category]],""))</f>
        <v>Telco/SIM</v>
      </c>
      <c r="C840" t="s">
        <v>156</v>
      </c>
      <c r="D840" t="str">
        <f>_xlfn._xlws.FILTER(t_Contact[FA Name],t_Contact[FA]=t_fac25_requirements[[#This Row],[FA]],"")</f>
        <v>Ticketing</v>
      </c>
      <c r="E840" t="s">
        <v>213</v>
      </c>
      <c r="F840" t="s">
        <v>325</v>
      </c>
      <c r="G840" t="s">
        <v>330</v>
      </c>
      <c r="H840" t="s">
        <v>84</v>
      </c>
      <c r="I840" t="s">
        <v>165</v>
      </c>
      <c r="J840" s="28" t="s">
        <v>1639</v>
      </c>
      <c r="K840" s="32">
        <v>6</v>
      </c>
      <c r="L840" s="32">
        <v>4</v>
      </c>
      <c r="M840" s="30">
        <v>45976</v>
      </c>
      <c r="N840" s="30">
        <v>46009</v>
      </c>
      <c r="O840" s="43"/>
      <c r="P840" s="55" t="s">
        <v>1640</v>
      </c>
      <c r="Q840" t="s">
        <v>1641</v>
      </c>
      <c r="R840" t="s">
        <v>1642</v>
      </c>
    </row>
    <row r="841" spans="1:18" ht="15" customHeight="1">
      <c r="A841" s="106" t="b">
        <v>1</v>
      </c>
      <c r="B841" t="str" cm="1">
        <f t="array" ref="B841">_xlfn.SINGLE(_xlfn._xlws.FILTER(t_ServiceCatalogue[Onwer],t_ServiceCatalogue[Category]=t_fac25_requirements[[#This Row],[Category]],""))</f>
        <v>EU</v>
      </c>
      <c r="C841" t="s">
        <v>156</v>
      </c>
      <c r="D841" t="str">
        <f>_xlfn._xlws.FILTER(t_Contact[FA Name],t_Contact[FA]=t_fac25_requirements[[#This Row],[FA]],"")</f>
        <v>Ticketing</v>
      </c>
      <c r="E841" t="s">
        <v>213</v>
      </c>
      <c r="F841" t="s">
        <v>325</v>
      </c>
      <c r="G841" t="s">
        <v>330</v>
      </c>
      <c r="H841" t="s">
        <v>32</v>
      </c>
      <c r="I841" t="s">
        <v>33</v>
      </c>
      <c r="J841" s="28" t="s">
        <v>637</v>
      </c>
      <c r="K841" s="32">
        <v>24</v>
      </c>
      <c r="L841" s="32">
        <v>0</v>
      </c>
      <c r="M841" s="30">
        <v>45976</v>
      </c>
      <c r="N841" s="30">
        <v>46009</v>
      </c>
      <c r="O841" s="43"/>
      <c r="P841" s="55" t="s">
        <v>1643</v>
      </c>
      <c r="Q841" t="s">
        <v>1644</v>
      </c>
      <c r="R841" t="s">
        <v>1645</v>
      </c>
    </row>
    <row r="842" spans="1:18" ht="15" customHeight="1">
      <c r="A842" s="106" t="b">
        <v>1</v>
      </c>
      <c r="B842" t="str" cm="1">
        <f t="array" ref="B842">_xlfn.SINGLE(_xlfn._xlws.FILTER(t_ServiceCatalogue[Onwer],t_ServiceCatalogue[Category]=t_fac25_requirements[[#This Row],[Category]],""))</f>
        <v>NW</v>
      </c>
      <c r="C842" t="s">
        <v>156</v>
      </c>
      <c r="D842" t="str">
        <f>_xlfn._xlws.FILTER(t_Contact[FA Name],t_Contact[FA]=t_fac25_requirements[[#This Row],[FA]],"")</f>
        <v>Ticketing</v>
      </c>
      <c r="E842" t="s">
        <v>213</v>
      </c>
      <c r="F842" t="s">
        <v>325</v>
      </c>
      <c r="G842" t="s">
        <v>356</v>
      </c>
      <c r="H842" t="s">
        <v>52</v>
      </c>
      <c r="I842" t="s">
        <v>53</v>
      </c>
      <c r="J842" s="28" t="s">
        <v>637</v>
      </c>
      <c r="K842" s="32"/>
      <c r="L842" s="32">
        <v>0</v>
      </c>
      <c r="M842" s="30">
        <v>45976</v>
      </c>
      <c r="N842" s="30">
        <v>46009</v>
      </c>
      <c r="O842" s="43"/>
      <c r="P842" s="55" t="s">
        <v>1646</v>
      </c>
      <c r="Q842" t="s">
        <v>1647</v>
      </c>
      <c r="R842" t="s">
        <v>1648</v>
      </c>
    </row>
    <row r="843" spans="1:18" ht="15" customHeight="1">
      <c r="A843" s="106" t="b">
        <v>1</v>
      </c>
      <c r="B843" t="str" cm="1">
        <f t="array" ref="B843">_xlfn.SINGLE(_xlfn._xlws.FILTER(t_ServiceCatalogue[Onwer],t_ServiceCatalogue[Category]=t_fac25_requirements[[#This Row],[Category]],""))</f>
        <v>Telco/SIM</v>
      </c>
      <c r="C843" t="s">
        <v>156</v>
      </c>
      <c r="D843" t="str">
        <f>_xlfn._xlws.FILTER(t_Contact[FA Name],t_Contact[FA]=t_fac25_requirements[[#This Row],[FA]],"")</f>
        <v>Ticketing</v>
      </c>
      <c r="E843" t="s">
        <v>213</v>
      </c>
      <c r="F843" t="s">
        <v>325</v>
      </c>
      <c r="G843" t="s">
        <v>356</v>
      </c>
      <c r="H843" t="s">
        <v>84</v>
      </c>
      <c r="I843" t="s">
        <v>85</v>
      </c>
      <c r="J843" s="28" t="s">
        <v>370</v>
      </c>
      <c r="K843" s="32"/>
      <c r="L843" s="32">
        <v>100</v>
      </c>
      <c r="M843" s="30">
        <v>45976</v>
      </c>
      <c r="N843" s="30">
        <v>46009</v>
      </c>
      <c r="O843" s="43"/>
      <c r="P843" s="55" t="s">
        <v>1649</v>
      </c>
      <c r="Q843" t="s">
        <v>1650</v>
      </c>
      <c r="R843" t="s">
        <v>1651</v>
      </c>
    </row>
    <row r="844" spans="1:18" ht="15" customHeight="1">
      <c r="A844" s="106" t="b">
        <v>0</v>
      </c>
      <c r="B844" t="str" cm="1">
        <f t="array" ref="B844">_xlfn.SINGLE(_xlfn._xlws.FILTER(t_ServiceCatalogue[Onwer],t_ServiceCatalogue[Category]=t_fac25_requirements[[#This Row],[Category]],""))</f>
        <v>NW</v>
      </c>
      <c r="C844" t="s">
        <v>156</v>
      </c>
      <c r="D844" t="str">
        <f>_xlfn._xlws.FILTER(t_Contact[FA Name],t_Contact[FA]=t_fac25_requirements[[#This Row],[FA]],"")</f>
        <v>Ticketing</v>
      </c>
      <c r="E844" t="s">
        <v>213</v>
      </c>
      <c r="F844" t="s">
        <v>296</v>
      </c>
      <c r="G844" t="s">
        <v>304</v>
      </c>
      <c r="H844" t="s">
        <v>46</v>
      </c>
      <c r="I844" t="s">
        <v>148</v>
      </c>
      <c r="J844" s="28" t="s">
        <v>1639</v>
      </c>
      <c r="K844" s="32"/>
      <c r="L844" s="32">
        <v>8</v>
      </c>
      <c r="M844" s="30">
        <v>45976</v>
      </c>
      <c r="N844" s="30">
        <v>46009</v>
      </c>
      <c r="O844" s="43"/>
      <c r="P844" s="55" t="s">
        <v>1652</v>
      </c>
      <c r="Q844" t="s">
        <v>1653</v>
      </c>
      <c r="R844" t="s">
        <v>1654</v>
      </c>
    </row>
    <row r="845" spans="1:18" ht="15" customHeight="1">
      <c r="A845" s="106" t="b">
        <v>0</v>
      </c>
      <c r="B845" t="str" cm="1">
        <f t="array" ref="B845">_xlfn.SINGLE(_xlfn._xlws.FILTER(t_ServiceCatalogue[Onwer],t_ServiceCatalogue[Category]=t_fac25_requirements[[#This Row],[Category]],""))</f>
        <v>NW</v>
      </c>
      <c r="C845" t="s">
        <v>156</v>
      </c>
      <c r="D845" t="str">
        <f>_xlfn._xlws.FILTER(t_Contact[FA Name],t_Contact[FA]=t_fac25_requirements[[#This Row],[FA]],"")</f>
        <v>Ticketing</v>
      </c>
      <c r="E845" t="s">
        <v>213</v>
      </c>
      <c r="F845" t="s">
        <v>296</v>
      </c>
      <c r="G845" t="s">
        <v>304</v>
      </c>
      <c r="H845" t="s">
        <v>52</v>
      </c>
      <c r="I845" t="s">
        <v>53</v>
      </c>
      <c r="J845" s="28" t="s">
        <v>370</v>
      </c>
      <c r="K845" s="32"/>
      <c r="L845" s="32">
        <v>4</v>
      </c>
      <c r="M845" s="30">
        <v>45976</v>
      </c>
      <c r="N845" s="30">
        <v>46009</v>
      </c>
      <c r="O845" s="43"/>
      <c r="P845" s="55"/>
      <c r="Q845" t="s">
        <v>1655</v>
      </c>
      <c r="R845" t="s">
        <v>1656</v>
      </c>
    </row>
    <row r="846" spans="1:18" ht="15" customHeight="1">
      <c r="A846" s="106" t="b">
        <v>1</v>
      </c>
      <c r="B846" t="str" cm="1">
        <f t="array" ref="B846">_xlfn.SINGLE(_xlfn._xlws.FILTER(t_ServiceCatalogue[Onwer],t_ServiceCatalogue[Category]=t_fac25_requirements[[#This Row],[Category]],""))</f>
        <v>Telco/SIM</v>
      </c>
      <c r="C846" t="s">
        <v>156</v>
      </c>
      <c r="D846" t="str">
        <f>_xlfn._xlws.FILTER(t_Contact[FA Name],t_Contact[FA]=t_fac25_requirements[[#This Row],[FA]],"")</f>
        <v>Ticketing</v>
      </c>
      <c r="E846" t="s">
        <v>213</v>
      </c>
      <c r="F846" t="s">
        <v>296</v>
      </c>
      <c r="G846" t="s">
        <v>304</v>
      </c>
      <c r="H846" t="s">
        <v>84</v>
      </c>
      <c r="I846" t="s">
        <v>165</v>
      </c>
      <c r="J846" s="28" t="s">
        <v>637</v>
      </c>
      <c r="K846" s="32">
        <v>4</v>
      </c>
      <c r="L846" s="32">
        <v>0</v>
      </c>
      <c r="M846" s="30">
        <v>45976</v>
      </c>
      <c r="N846" s="30">
        <v>46009</v>
      </c>
      <c r="O846" s="43"/>
      <c r="P846" s="55" t="s">
        <v>1657</v>
      </c>
      <c r="Q846" t="s">
        <v>1658</v>
      </c>
      <c r="R846" t="s">
        <v>1659</v>
      </c>
    </row>
    <row r="847" spans="1:18" ht="15" customHeight="1">
      <c r="A847" s="106" t="b">
        <v>1</v>
      </c>
      <c r="B847" t="str" cm="1">
        <f t="array" ref="B847">_xlfn.SINGLE(_xlfn._xlws.FILTER(t_ServiceCatalogue[Onwer],t_ServiceCatalogue[Category]=t_fac25_requirements[[#This Row],[Category]],""))</f>
        <v>EU</v>
      </c>
      <c r="C847" t="s">
        <v>156</v>
      </c>
      <c r="D847" t="str">
        <f>_xlfn._xlws.FILTER(t_Contact[FA Name],t_Contact[FA]=t_fac25_requirements[[#This Row],[FA]],"")</f>
        <v>Ticketing</v>
      </c>
      <c r="E847" t="s">
        <v>213</v>
      </c>
      <c r="F847" t="s">
        <v>296</v>
      </c>
      <c r="G847" t="s">
        <v>304</v>
      </c>
      <c r="H847" t="s">
        <v>32</v>
      </c>
      <c r="I847" t="s">
        <v>33</v>
      </c>
      <c r="J847" s="28" t="s">
        <v>637</v>
      </c>
      <c r="K847" s="32">
        <v>8</v>
      </c>
      <c r="L847" s="32">
        <v>0</v>
      </c>
      <c r="M847" s="30">
        <v>45976</v>
      </c>
      <c r="N847" s="30">
        <v>46009</v>
      </c>
      <c r="O847" s="43" t="s">
        <v>34</v>
      </c>
      <c r="P847" s="55" t="s">
        <v>1643</v>
      </c>
      <c r="Q847" t="s">
        <v>1660</v>
      </c>
      <c r="R847" t="s">
        <v>1661</v>
      </c>
    </row>
    <row r="848" spans="1:18" ht="15" customHeight="1">
      <c r="A848" s="106" t="b">
        <v>1</v>
      </c>
      <c r="B848" t="str" cm="1">
        <f t="array" ref="B848">_xlfn.SINGLE(_xlfn._xlws.FILTER(t_ServiceCatalogue[Onwer],t_ServiceCatalogue[Category]=t_fac25_requirements[[#This Row],[Category]],""))</f>
        <v>NW</v>
      </c>
      <c r="C848" t="s">
        <v>156</v>
      </c>
      <c r="D848" t="str">
        <f>_xlfn._xlws.FILTER(t_Contact[FA Name],t_Contact[FA]=t_fac25_requirements[[#This Row],[FA]],"")</f>
        <v>Ticketing</v>
      </c>
      <c r="E848" t="s">
        <v>213</v>
      </c>
      <c r="F848" t="s">
        <v>296</v>
      </c>
      <c r="G848" t="s">
        <v>433</v>
      </c>
      <c r="H848" t="s">
        <v>52</v>
      </c>
      <c r="I848" t="s">
        <v>53</v>
      </c>
      <c r="J848" s="28" t="s">
        <v>637</v>
      </c>
      <c r="K848" s="32">
        <v>1</v>
      </c>
      <c r="L848" s="32">
        <v>0</v>
      </c>
      <c r="M848" s="30">
        <v>45976</v>
      </c>
      <c r="N848" s="30">
        <v>46009</v>
      </c>
      <c r="O848" s="43"/>
      <c r="P848" s="55" t="s">
        <v>1662</v>
      </c>
      <c r="Q848" t="s">
        <v>1663</v>
      </c>
      <c r="R848" t="s">
        <v>1664</v>
      </c>
    </row>
    <row r="849" spans="1:18" ht="15" customHeight="1">
      <c r="A849" s="106" t="b">
        <v>1</v>
      </c>
      <c r="B849" t="str" cm="1">
        <f t="array" ref="B849">_xlfn.SINGLE(_xlfn._xlws.FILTER(t_ServiceCatalogue[Onwer],t_ServiceCatalogue[Category]=t_fac25_requirements[[#This Row],[Category]],""))</f>
        <v>NW</v>
      </c>
      <c r="C849" t="s">
        <v>156</v>
      </c>
      <c r="D849" t="str">
        <f>_xlfn._xlws.FILTER(t_Contact[FA Name],t_Contact[FA]=t_fac25_requirements[[#This Row],[FA]],"")</f>
        <v>Ticketing</v>
      </c>
      <c r="E849" t="s">
        <v>213</v>
      </c>
      <c r="F849" t="s">
        <v>305</v>
      </c>
      <c r="G849" t="s">
        <v>421</v>
      </c>
      <c r="H849" t="s">
        <v>52</v>
      </c>
      <c r="I849" t="s">
        <v>53</v>
      </c>
      <c r="J849" s="28" t="s">
        <v>637</v>
      </c>
      <c r="K849" s="32">
        <v>1</v>
      </c>
      <c r="L849" s="32">
        <v>0</v>
      </c>
      <c r="M849" s="30">
        <v>45976</v>
      </c>
      <c r="N849" s="30">
        <v>46009</v>
      </c>
      <c r="O849" s="43"/>
      <c r="P849" s="55"/>
      <c r="Q849" t="s">
        <v>1665</v>
      </c>
      <c r="R849" t="s">
        <v>1666</v>
      </c>
    </row>
    <row r="850" spans="1:18" ht="15" customHeight="1">
      <c r="A850" s="106" t="b">
        <v>1</v>
      </c>
      <c r="B850" t="str" cm="1">
        <f t="array" ref="B850">_xlfn.SINGLE(_xlfn._xlws.FILTER(t_ServiceCatalogue[Onwer],t_ServiceCatalogue[Category]=t_fac25_requirements[[#This Row],[Category]],""))</f>
        <v>NW</v>
      </c>
      <c r="C850" t="s">
        <v>156</v>
      </c>
      <c r="D850" t="str">
        <f>_xlfn._xlws.FILTER(t_Contact[FA Name],t_Contact[FA]=t_fac25_requirements[[#This Row],[FA]],"")</f>
        <v>Ticketing</v>
      </c>
      <c r="E850" t="s">
        <v>213</v>
      </c>
      <c r="F850" t="s">
        <v>305</v>
      </c>
      <c r="G850" t="s">
        <v>421</v>
      </c>
      <c r="H850" t="s">
        <v>46</v>
      </c>
      <c r="I850" t="s">
        <v>148</v>
      </c>
      <c r="J850" s="28" t="s">
        <v>637</v>
      </c>
      <c r="K850" s="32"/>
      <c r="L850" s="32">
        <v>0</v>
      </c>
      <c r="M850" s="30">
        <v>45971</v>
      </c>
      <c r="N850" s="30">
        <v>46009</v>
      </c>
      <c r="O850" s="43"/>
      <c r="P850" s="55" t="s">
        <v>1667</v>
      </c>
      <c r="Q850" t="s">
        <v>1668</v>
      </c>
      <c r="R850" t="s">
        <v>1669</v>
      </c>
    </row>
    <row r="851" spans="1:18" ht="15" customHeight="1">
      <c r="A851" s="106" t="b">
        <v>1</v>
      </c>
      <c r="B851" t="str" cm="1">
        <f t="array" ref="B851">_xlfn.SINGLE(_xlfn._xlws.FILTER(t_ServiceCatalogue[Onwer],t_ServiceCatalogue[Category]=t_fac25_requirements[[#This Row],[Category]],""))</f>
        <v>EU</v>
      </c>
      <c r="C851" t="s">
        <v>156</v>
      </c>
      <c r="D851" t="str">
        <f>_xlfn._xlws.FILTER(t_Contact[FA Name],t_Contact[FA]=t_fac25_requirements[[#This Row],[FA]],"")</f>
        <v>Ticketing</v>
      </c>
      <c r="E851" t="s">
        <v>213</v>
      </c>
      <c r="F851" t="s">
        <v>305</v>
      </c>
      <c r="G851" t="s">
        <v>421</v>
      </c>
      <c r="H851" t="s">
        <v>22</v>
      </c>
      <c r="I851" t="s">
        <v>28</v>
      </c>
      <c r="J851" s="28" t="s">
        <v>637</v>
      </c>
      <c r="K851" s="32"/>
      <c r="L851" s="32">
        <v>0</v>
      </c>
      <c r="M851" s="30">
        <v>45971</v>
      </c>
      <c r="N851" s="30">
        <v>46009</v>
      </c>
      <c r="O851" s="43"/>
      <c r="P851" s="55" t="s">
        <v>1670</v>
      </c>
      <c r="Q851" t="s">
        <v>1671</v>
      </c>
      <c r="R851" t="s">
        <v>1672</v>
      </c>
    </row>
    <row r="852" spans="1:18" ht="15" customHeight="1">
      <c r="A852" s="106" t="b">
        <v>1</v>
      </c>
      <c r="B852" t="str" cm="1">
        <f t="array" ref="B852">_xlfn.SINGLE(_xlfn._xlws.FILTER(t_ServiceCatalogue[Onwer],t_ServiceCatalogue[Category]=t_fac25_requirements[[#This Row],[Category]],""))</f>
        <v>AV</v>
      </c>
      <c r="C852" t="s">
        <v>156</v>
      </c>
      <c r="D852" t="str">
        <f>_xlfn._xlws.FILTER(t_Contact[FA Name],t_Contact[FA]=t_fac25_requirements[[#This Row],[FA]],"")</f>
        <v>Ticketing</v>
      </c>
      <c r="E852" t="s">
        <v>213</v>
      </c>
      <c r="F852" t="s">
        <v>305</v>
      </c>
      <c r="G852" t="s">
        <v>421</v>
      </c>
      <c r="H852" t="s">
        <v>110</v>
      </c>
      <c r="I852" t="s">
        <v>111</v>
      </c>
      <c r="J852" s="28" t="s">
        <v>637</v>
      </c>
      <c r="K852" s="32">
        <v>1</v>
      </c>
      <c r="L852" s="32">
        <v>0</v>
      </c>
      <c r="M852" s="30">
        <v>45971</v>
      </c>
      <c r="N852" s="30">
        <v>46009</v>
      </c>
      <c r="O852" s="43"/>
      <c r="P852" s="55" t="s">
        <v>1673</v>
      </c>
      <c r="Q852" t="s">
        <v>1674</v>
      </c>
      <c r="R852" t="s">
        <v>1675</v>
      </c>
    </row>
    <row r="853" spans="1:18" ht="15" customHeight="1">
      <c r="A853" s="106" t="b">
        <v>1</v>
      </c>
      <c r="B853" t="str" cm="1">
        <f t="array" ref="B853">_xlfn.SINGLE(_xlfn._xlws.FILTER(t_ServiceCatalogue[Onwer],t_ServiceCatalogue[Category]=t_fac25_requirements[[#This Row],[Category]],""))</f>
        <v>NW</v>
      </c>
      <c r="C853" t="s">
        <v>156</v>
      </c>
      <c r="D853" t="str">
        <f>_xlfn._xlws.FILTER(t_Contact[FA Name],t_Contact[FA]=t_fac25_requirements[[#This Row],[FA]],"")</f>
        <v>Ticketing</v>
      </c>
      <c r="E853" t="s">
        <v>213</v>
      </c>
      <c r="F853" t="s">
        <v>305</v>
      </c>
      <c r="G853" t="s">
        <v>320</v>
      </c>
      <c r="H853" t="s">
        <v>46</v>
      </c>
      <c r="I853" t="s">
        <v>148</v>
      </c>
      <c r="J853" s="28" t="s">
        <v>637</v>
      </c>
      <c r="K853" s="32"/>
      <c r="L853" s="32">
        <v>0</v>
      </c>
      <c r="M853" s="30">
        <v>45976</v>
      </c>
      <c r="N853" s="30">
        <v>46009</v>
      </c>
      <c r="O853" s="43"/>
      <c r="P853" s="55" t="s">
        <v>1667</v>
      </c>
      <c r="Q853" t="s">
        <v>1676</v>
      </c>
      <c r="R853" t="s">
        <v>1677</v>
      </c>
    </row>
    <row r="854" spans="1:18" ht="15" customHeight="1">
      <c r="A854" s="106" t="b">
        <v>0</v>
      </c>
      <c r="B854" t="str" cm="1">
        <f t="array" ref="B854">_xlfn.SINGLE(_xlfn._xlws.FILTER(t_ServiceCatalogue[Onwer],t_ServiceCatalogue[Category]=t_fac25_requirements[[#This Row],[Category]],""))</f>
        <v>NW</v>
      </c>
      <c r="C854" t="s">
        <v>156</v>
      </c>
      <c r="D854" t="str">
        <f>_xlfn._xlws.FILTER(t_Contact[FA Name],t_Contact[FA]=t_fac25_requirements[[#This Row],[FA]],"")</f>
        <v>Ticketing</v>
      </c>
      <c r="E854" t="s">
        <v>213</v>
      </c>
      <c r="F854" t="s">
        <v>305</v>
      </c>
      <c r="G854" t="s">
        <v>320</v>
      </c>
      <c r="H854" t="s">
        <v>52</v>
      </c>
      <c r="I854" t="s">
        <v>53</v>
      </c>
      <c r="J854" s="28" t="s">
        <v>370</v>
      </c>
      <c r="K854" s="32"/>
      <c r="L854" s="32">
        <v>1</v>
      </c>
      <c r="M854" s="30">
        <v>45976</v>
      </c>
      <c r="N854" s="30">
        <v>46009</v>
      </c>
      <c r="O854" s="43"/>
      <c r="P854" s="55"/>
      <c r="Q854" t="s">
        <v>1678</v>
      </c>
      <c r="R854" t="s">
        <v>1679</v>
      </c>
    </row>
    <row r="855" spans="1:18" ht="15" customHeight="1">
      <c r="A855" s="106" t="b">
        <v>1</v>
      </c>
      <c r="B855" t="str" cm="1">
        <f t="array" ref="B855">_xlfn.SINGLE(_xlfn._xlws.FILTER(t_ServiceCatalogue[Onwer],t_ServiceCatalogue[Category]=t_fac25_requirements[[#This Row],[Category]],""))</f>
        <v>EU</v>
      </c>
      <c r="C855" t="s">
        <v>156</v>
      </c>
      <c r="D855" t="str">
        <f>_xlfn._xlws.FILTER(t_Contact[FA Name],t_Contact[FA]=t_fac25_requirements[[#This Row],[FA]],"")</f>
        <v>Ticketing</v>
      </c>
      <c r="E855" t="s">
        <v>213</v>
      </c>
      <c r="F855" t="s">
        <v>305</v>
      </c>
      <c r="G855" t="s">
        <v>320</v>
      </c>
      <c r="H855" t="s">
        <v>22</v>
      </c>
      <c r="I855" t="s">
        <v>23</v>
      </c>
      <c r="J855" s="28" t="s">
        <v>637</v>
      </c>
      <c r="K855" s="32"/>
      <c r="L855" s="32">
        <v>0</v>
      </c>
      <c r="M855" s="30">
        <v>45976</v>
      </c>
      <c r="N855" s="30">
        <v>46009</v>
      </c>
      <c r="O855" s="43"/>
      <c r="P855" s="55" t="s">
        <v>1430</v>
      </c>
      <c r="Q855" t="s">
        <v>1680</v>
      </c>
      <c r="R855" t="s">
        <v>1681</v>
      </c>
    </row>
    <row r="856" spans="1:18" ht="15" customHeight="1">
      <c r="A856" s="106" t="b">
        <v>0</v>
      </c>
      <c r="B856" t="str" cm="1">
        <f t="array" ref="B856">_xlfn.SINGLE(_xlfn._xlws.FILTER(t_ServiceCatalogue[Onwer],t_ServiceCatalogue[Category]=t_fac25_requirements[[#This Row],[Category]],""))</f>
        <v>NW</v>
      </c>
      <c r="C856" t="s">
        <v>156</v>
      </c>
      <c r="D856" t="str">
        <f>_xlfn._xlws.FILTER(t_Contact[FA Name],t_Contact[FA]=t_fac25_requirements[[#This Row],[FA]],"")</f>
        <v>Ticketing</v>
      </c>
      <c r="E856" t="s">
        <v>213</v>
      </c>
      <c r="F856" t="s">
        <v>305</v>
      </c>
      <c r="G856" t="s">
        <v>321</v>
      </c>
      <c r="H856" t="s">
        <v>46</v>
      </c>
      <c r="I856" t="s">
        <v>148</v>
      </c>
      <c r="J856" s="28" t="s">
        <v>370</v>
      </c>
      <c r="K856" s="32"/>
      <c r="L856" s="32">
        <v>2</v>
      </c>
      <c r="M856" s="30">
        <v>45981</v>
      </c>
      <c r="N856" s="30">
        <v>46009</v>
      </c>
      <c r="O856" s="43"/>
      <c r="P856" s="55" t="s">
        <v>1682</v>
      </c>
      <c r="Q856" t="s">
        <v>1683</v>
      </c>
      <c r="R856" t="s">
        <v>1684</v>
      </c>
    </row>
    <row r="857" spans="1:18" ht="15" customHeight="1">
      <c r="A857" s="106" t="b">
        <v>1</v>
      </c>
      <c r="B857" t="str" cm="1">
        <f t="array" ref="B857">_xlfn.SINGLE(_xlfn._xlws.FILTER(t_ServiceCatalogue[Onwer],t_ServiceCatalogue[Category]=t_fac25_requirements[[#This Row],[Category]],""))</f>
        <v>EU</v>
      </c>
      <c r="C857" t="s">
        <v>156</v>
      </c>
      <c r="D857" t="str">
        <f>_xlfn._xlws.FILTER(t_Contact[FA Name],t_Contact[FA]=t_fac25_requirements[[#This Row],[FA]],"")</f>
        <v>Ticketing</v>
      </c>
      <c r="E857" t="s">
        <v>213</v>
      </c>
      <c r="F857" t="s">
        <v>305</v>
      </c>
      <c r="G857" t="s">
        <v>321</v>
      </c>
      <c r="H857" t="s">
        <v>32</v>
      </c>
      <c r="I857" t="s">
        <v>33</v>
      </c>
      <c r="J857" s="28" t="s">
        <v>370</v>
      </c>
      <c r="K857" s="32">
        <v>2</v>
      </c>
      <c r="L857" s="32">
        <v>1</v>
      </c>
      <c r="M857" s="30">
        <v>45981</v>
      </c>
      <c r="N857" s="30">
        <v>46009</v>
      </c>
      <c r="O857" s="43"/>
      <c r="P857" s="70" t="s">
        <v>1685</v>
      </c>
      <c r="Q857" t="s">
        <v>1686</v>
      </c>
      <c r="R857" t="s">
        <v>1687</v>
      </c>
    </row>
    <row r="858" spans="1:18" ht="15" customHeight="1">
      <c r="A858" s="106" t="b">
        <v>0</v>
      </c>
      <c r="B858" t="str" cm="1">
        <f t="array" ref="B858">_xlfn.SINGLE(_xlfn._xlws.FILTER(t_ServiceCatalogue[Onwer],t_ServiceCatalogue[Category]=t_fac25_requirements[[#This Row],[Category]],""))</f>
        <v>AV</v>
      </c>
      <c r="C858" t="s">
        <v>182</v>
      </c>
      <c r="D858" t="str">
        <f>_xlfn._xlws.FILTER(t_Contact[FA Name],t_Contact[FA]=t_fac25_requirements[[#This Row],[FA]],"")</f>
        <v>ICT</v>
      </c>
      <c r="E858" t="s">
        <v>213</v>
      </c>
      <c r="F858" t="s">
        <v>305</v>
      </c>
      <c r="G858" t="s">
        <v>324</v>
      </c>
      <c r="H858" t="s">
        <v>110</v>
      </c>
      <c r="I858" t="s">
        <v>111</v>
      </c>
      <c r="J858" s="28" t="s">
        <v>370</v>
      </c>
      <c r="K858" s="32"/>
      <c r="L858" s="32">
        <v>1</v>
      </c>
      <c r="M858" s="30">
        <v>45981</v>
      </c>
      <c r="N858" s="30">
        <v>46009</v>
      </c>
      <c r="O858" s="43"/>
      <c r="P858" s="55" t="s">
        <v>1688</v>
      </c>
      <c r="Q858" t="s">
        <v>1689</v>
      </c>
      <c r="R858" t="s">
        <v>1690</v>
      </c>
    </row>
    <row r="859" spans="1:18" ht="15" customHeight="1">
      <c r="A859" s="106" t="b">
        <v>0</v>
      </c>
      <c r="B859" t="str" cm="1">
        <f t="array" ref="B859">_xlfn.SINGLE(_xlfn._xlws.FILTER(t_ServiceCatalogue[Onwer],t_ServiceCatalogue[Category]=t_fac25_requirements[[#This Row],[Category]],""))</f>
        <v>NW</v>
      </c>
      <c r="C859" t="s">
        <v>156</v>
      </c>
      <c r="D859" t="str">
        <f>_xlfn._xlws.FILTER(t_Contact[FA Name],t_Contact[FA]=t_fac25_requirements[[#This Row],[FA]],"")</f>
        <v>Ticketing</v>
      </c>
      <c r="E859" t="s">
        <v>214</v>
      </c>
      <c r="F859" t="s">
        <v>325</v>
      </c>
      <c r="G859" t="s">
        <v>332</v>
      </c>
      <c r="H859" t="s">
        <v>46</v>
      </c>
      <c r="I859" t="s">
        <v>335</v>
      </c>
      <c r="J859" s="28" t="s">
        <v>407</v>
      </c>
      <c r="K859" s="32"/>
      <c r="L859" s="32">
        <v>8</v>
      </c>
      <c r="M859" s="30">
        <v>45976</v>
      </c>
      <c r="N859" s="30">
        <v>46009</v>
      </c>
      <c r="O859" s="43"/>
      <c r="P859" s="55" t="s">
        <v>1691</v>
      </c>
      <c r="Q859" t="s">
        <v>1632</v>
      </c>
      <c r="R859" t="s">
        <v>1692</v>
      </c>
    </row>
    <row r="860" spans="1:18" ht="15" customHeight="1">
      <c r="A860" s="106" t="b">
        <v>0</v>
      </c>
      <c r="B860" t="str" cm="1">
        <f t="array" ref="B860">_xlfn.SINGLE(_xlfn._xlws.FILTER(t_ServiceCatalogue[Onwer],t_ServiceCatalogue[Category]=t_fac25_requirements[[#This Row],[Category]],""))</f>
        <v>NW</v>
      </c>
      <c r="C860" t="s">
        <v>156</v>
      </c>
      <c r="D860" t="str">
        <f>_xlfn._xlws.FILTER(t_Contact[FA Name],t_Contact[FA]=t_fac25_requirements[[#This Row],[FA]],"")</f>
        <v>Ticketing</v>
      </c>
      <c r="E860" t="s">
        <v>214</v>
      </c>
      <c r="F860" t="s">
        <v>325</v>
      </c>
      <c r="G860" t="s">
        <v>332</v>
      </c>
      <c r="H860" t="s">
        <v>52</v>
      </c>
      <c r="I860" t="s">
        <v>53</v>
      </c>
      <c r="J860" s="28" t="s">
        <v>407</v>
      </c>
      <c r="K860" s="32"/>
      <c r="L860" s="32">
        <v>2</v>
      </c>
      <c r="M860" s="30">
        <v>45976</v>
      </c>
      <c r="N860" s="30">
        <v>46009</v>
      </c>
      <c r="O860" s="43"/>
      <c r="P860" s="55" t="s">
        <v>1691</v>
      </c>
      <c r="Q860" t="s">
        <v>1634</v>
      </c>
      <c r="R860" t="s">
        <v>1693</v>
      </c>
    </row>
    <row r="861" spans="1:18" ht="15" customHeight="1">
      <c r="A861" s="106" t="b">
        <v>0</v>
      </c>
      <c r="B861" t="str" cm="1">
        <f t="array" ref="B861">_xlfn.SINGLE(_xlfn._xlws.FILTER(t_ServiceCatalogue[Onwer],t_ServiceCatalogue[Category]=t_fac25_requirements[[#This Row],[Category]],""))</f>
        <v>EU</v>
      </c>
      <c r="C861" t="s">
        <v>156</v>
      </c>
      <c r="D861" t="str">
        <f>_xlfn._xlws.FILTER(t_Contact[FA Name],t_Contact[FA]=t_fac25_requirements[[#This Row],[FA]],"")</f>
        <v>Ticketing</v>
      </c>
      <c r="E861" t="s">
        <v>214</v>
      </c>
      <c r="F861" t="s">
        <v>325</v>
      </c>
      <c r="G861" t="s">
        <v>346</v>
      </c>
      <c r="H861" t="s">
        <v>22</v>
      </c>
      <c r="I861" t="s">
        <v>23</v>
      </c>
      <c r="J861" s="28" t="s">
        <v>370</v>
      </c>
      <c r="K861" s="32">
        <v>2</v>
      </c>
      <c r="L861" s="32">
        <v>1</v>
      </c>
      <c r="M861" s="30">
        <v>45976</v>
      </c>
      <c r="N861" s="30">
        <v>46009</v>
      </c>
      <c r="O861" s="43"/>
      <c r="P861" s="70" t="s">
        <v>1636</v>
      </c>
      <c r="Q861" t="s">
        <v>1637</v>
      </c>
      <c r="R861" t="s">
        <v>1694</v>
      </c>
    </row>
    <row r="862" spans="1:18" ht="15" customHeight="1">
      <c r="A862" s="106" t="b">
        <v>1</v>
      </c>
      <c r="B862" t="str" cm="1">
        <f t="array" ref="B862">_xlfn.SINGLE(_xlfn._xlws.FILTER(t_ServiceCatalogue[Onwer],t_ServiceCatalogue[Category]=t_fac25_requirements[[#This Row],[Category]],""))</f>
        <v>Telco/SIM</v>
      </c>
      <c r="C862" t="s">
        <v>156</v>
      </c>
      <c r="D862" t="str">
        <f>_xlfn._xlws.FILTER(t_Contact[FA Name],t_Contact[FA]=t_fac25_requirements[[#This Row],[FA]],"")</f>
        <v>Ticketing</v>
      </c>
      <c r="E862" t="s">
        <v>214</v>
      </c>
      <c r="F862" t="s">
        <v>325</v>
      </c>
      <c r="G862" t="s">
        <v>346</v>
      </c>
      <c r="H862" t="s">
        <v>84</v>
      </c>
      <c r="I862" t="s">
        <v>165</v>
      </c>
      <c r="J862" s="28" t="s">
        <v>1639</v>
      </c>
      <c r="K862" s="32">
        <v>8</v>
      </c>
      <c r="L862" s="32">
        <v>5</v>
      </c>
      <c r="M862" s="30">
        <v>45976</v>
      </c>
      <c r="N862" s="30">
        <v>46009</v>
      </c>
      <c r="O862" s="43"/>
      <c r="P862" s="55" t="s">
        <v>1640</v>
      </c>
      <c r="Q862" t="s">
        <v>1641</v>
      </c>
      <c r="R862" t="s">
        <v>1695</v>
      </c>
    </row>
    <row r="863" spans="1:18" ht="15" customHeight="1">
      <c r="A863" s="106" t="b">
        <v>1</v>
      </c>
      <c r="B863" t="str" cm="1">
        <f t="array" ref="B863">_xlfn.SINGLE(_xlfn._xlws.FILTER(t_ServiceCatalogue[Onwer],t_ServiceCatalogue[Category]=t_fac25_requirements[[#This Row],[Category]],""))</f>
        <v>EU</v>
      </c>
      <c r="C863" t="s">
        <v>156</v>
      </c>
      <c r="D863" t="str">
        <f>_xlfn._xlws.FILTER(t_Contact[FA Name],t_Contact[FA]=t_fac25_requirements[[#This Row],[FA]],"")</f>
        <v>Ticketing</v>
      </c>
      <c r="E863" t="s">
        <v>214</v>
      </c>
      <c r="F863" t="s">
        <v>325</v>
      </c>
      <c r="G863" t="s">
        <v>346</v>
      </c>
      <c r="H863" t="s">
        <v>32</v>
      </c>
      <c r="I863" t="s">
        <v>33</v>
      </c>
      <c r="J863" s="28" t="s">
        <v>637</v>
      </c>
      <c r="K863" s="32">
        <v>32</v>
      </c>
      <c r="L863" s="32">
        <v>0</v>
      </c>
      <c r="M863" s="30">
        <v>45976</v>
      </c>
      <c r="N863" s="30">
        <v>46009</v>
      </c>
      <c r="O863" s="43"/>
      <c r="P863" s="55" t="s">
        <v>1643</v>
      </c>
      <c r="Q863" t="s">
        <v>1696</v>
      </c>
      <c r="R863" t="s">
        <v>1697</v>
      </c>
    </row>
    <row r="864" spans="1:18" ht="15" customHeight="1">
      <c r="A864" s="106" t="b">
        <v>1</v>
      </c>
      <c r="B864" t="str" cm="1">
        <f t="array" ref="B864">_xlfn.SINGLE(_xlfn._xlws.FILTER(t_ServiceCatalogue[Onwer],t_ServiceCatalogue[Category]=t_fac25_requirements[[#This Row],[Category]],""))</f>
        <v>NW</v>
      </c>
      <c r="C864" t="s">
        <v>156</v>
      </c>
      <c r="D864" t="str">
        <f>_xlfn._xlws.FILTER(t_Contact[FA Name],t_Contact[FA]=t_fac25_requirements[[#This Row],[FA]],"")</f>
        <v>Ticketing</v>
      </c>
      <c r="E864" t="s">
        <v>214</v>
      </c>
      <c r="F864" t="s">
        <v>325</v>
      </c>
      <c r="G864" t="s">
        <v>354</v>
      </c>
      <c r="H864" t="s">
        <v>52</v>
      </c>
      <c r="I864" t="s">
        <v>53</v>
      </c>
      <c r="J864" s="28" t="s">
        <v>637</v>
      </c>
      <c r="K864" s="32"/>
      <c r="L864" s="32">
        <v>0</v>
      </c>
      <c r="M864" s="30">
        <v>45976</v>
      </c>
      <c r="N864" s="30">
        <v>46009</v>
      </c>
      <c r="O864" s="43"/>
      <c r="P864" s="55" t="s">
        <v>1698</v>
      </c>
      <c r="Q864" t="s">
        <v>1647</v>
      </c>
      <c r="R864" t="s">
        <v>1699</v>
      </c>
    </row>
    <row r="865" spans="1:18" ht="15" customHeight="1">
      <c r="A865" s="106" t="b">
        <v>1</v>
      </c>
      <c r="B865" t="str" cm="1">
        <f t="array" ref="B865">_xlfn.SINGLE(_xlfn._xlws.FILTER(t_ServiceCatalogue[Onwer],t_ServiceCatalogue[Category]=t_fac25_requirements[[#This Row],[Category]],""))</f>
        <v>Telco/SIM</v>
      </c>
      <c r="C865" t="s">
        <v>156</v>
      </c>
      <c r="D865" t="str">
        <f>_xlfn._xlws.FILTER(t_Contact[FA Name],t_Contact[FA]=t_fac25_requirements[[#This Row],[FA]],"")</f>
        <v>Ticketing</v>
      </c>
      <c r="E865" t="s">
        <v>214</v>
      </c>
      <c r="F865" t="s">
        <v>325</v>
      </c>
      <c r="G865" t="s">
        <v>354</v>
      </c>
      <c r="H865" t="s">
        <v>84</v>
      </c>
      <c r="I865" t="s">
        <v>85</v>
      </c>
      <c r="J865" s="28" t="s">
        <v>370</v>
      </c>
      <c r="K865" s="32"/>
      <c r="L865" s="32">
        <v>190</v>
      </c>
      <c r="M865" s="30">
        <v>45976</v>
      </c>
      <c r="N865" s="30">
        <v>46009</v>
      </c>
      <c r="O865" s="43"/>
      <c r="P865" s="55" t="s">
        <v>1649</v>
      </c>
      <c r="Q865" t="s">
        <v>1700</v>
      </c>
      <c r="R865" t="s">
        <v>1701</v>
      </c>
    </row>
    <row r="866" spans="1:18" ht="15" customHeight="1">
      <c r="A866" s="106" t="b">
        <v>0</v>
      </c>
      <c r="B866" t="str" cm="1">
        <f t="array" ref="B866">_xlfn.SINGLE(_xlfn._xlws.FILTER(t_ServiceCatalogue[Onwer],t_ServiceCatalogue[Category]=t_fac25_requirements[[#This Row],[Category]],""))</f>
        <v>NW</v>
      </c>
      <c r="C866" t="s">
        <v>156</v>
      </c>
      <c r="D866" t="str">
        <f>_xlfn._xlws.FILTER(t_Contact[FA Name],t_Contact[FA]=t_fac25_requirements[[#This Row],[FA]],"")</f>
        <v>Ticketing</v>
      </c>
      <c r="E866" t="s">
        <v>214</v>
      </c>
      <c r="F866" t="s">
        <v>296</v>
      </c>
      <c r="G866" t="s">
        <v>352</v>
      </c>
      <c r="H866" t="s">
        <v>46</v>
      </c>
      <c r="I866" t="s">
        <v>148</v>
      </c>
      <c r="J866" s="28" t="s">
        <v>1639</v>
      </c>
      <c r="K866" s="32"/>
      <c r="L866" s="32">
        <v>12</v>
      </c>
      <c r="M866" s="30">
        <v>45976</v>
      </c>
      <c r="N866" s="30">
        <v>46009</v>
      </c>
      <c r="O866" s="43"/>
      <c r="P866" s="55" t="s">
        <v>1652</v>
      </c>
      <c r="Q866" t="s">
        <v>1653</v>
      </c>
      <c r="R866" t="s">
        <v>1702</v>
      </c>
    </row>
    <row r="867" spans="1:18" ht="15" customHeight="1">
      <c r="A867" s="106" t="b">
        <v>0</v>
      </c>
      <c r="B867" t="str" cm="1">
        <f t="array" ref="B867">_xlfn.SINGLE(_xlfn._xlws.FILTER(t_ServiceCatalogue[Onwer],t_ServiceCatalogue[Category]=t_fac25_requirements[[#This Row],[Category]],""))</f>
        <v>NW</v>
      </c>
      <c r="C867" t="s">
        <v>156</v>
      </c>
      <c r="D867" t="str">
        <f>_xlfn._xlws.FILTER(t_Contact[FA Name],t_Contact[FA]=t_fac25_requirements[[#This Row],[FA]],"")</f>
        <v>Ticketing</v>
      </c>
      <c r="E867" t="s">
        <v>214</v>
      </c>
      <c r="F867" t="s">
        <v>296</v>
      </c>
      <c r="G867" t="s">
        <v>352</v>
      </c>
      <c r="H867" t="s">
        <v>52</v>
      </c>
      <c r="I867" t="s">
        <v>53</v>
      </c>
      <c r="J867" s="28" t="s">
        <v>370</v>
      </c>
      <c r="K867" s="32"/>
      <c r="L867" s="32">
        <v>6</v>
      </c>
      <c r="M867" s="30">
        <v>45976</v>
      </c>
      <c r="N867" s="30">
        <v>46009</v>
      </c>
      <c r="O867" s="43"/>
      <c r="P867" s="55"/>
      <c r="Q867" t="s">
        <v>1655</v>
      </c>
      <c r="R867" t="s">
        <v>1703</v>
      </c>
    </row>
    <row r="868" spans="1:18" ht="15" customHeight="1">
      <c r="A868" s="106" t="b">
        <v>1</v>
      </c>
      <c r="B868" t="str" cm="1">
        <f t="array" ref="B868">_xlfn.SINGLE(_xlfn._xlws.FILTER(t_ServiceCatalogue[Onwer],t_ServiceCatalogue[Category]=t_fac25_requirements[[#This Row],[Category]],""))</f>
        <v>Telco/SIM</v>
      </c>
      <c r="C868" t="s">
        <v>156</v>
      </c>
      <c r="D868" t="str">
        <f>_xlfn._xlws.FILTER(t_Contact[FA Name],t_Contact[FA]=t_fac25_requirements[[#This Row],[FA]],"")</f>
        <v>Ticketing</v>
      </c>
      <c r="E868" t="s">
        <v>214</v>
      </c>
      <c r="F868" t="s">
        <v>296</v>
      </c>
      <c r="G868" t="s">
        <v>352</v>
      </c>
      <c r="H868" t="s">
        <v>84</v>
      </c>
      <c r="I868" t="s">
        <v>165</v>
      </c>
      <c r="J868" s="28" t="s">
        <v>637</v>
      </c>
      <c r="K868" s="32">
        <v>6</v>
      </c>
      <c r="L868" s="32">
        <v>0</v>
      </c>
      <c r="M868" s="30">
        <v>45976</v>
      </c>
      <c r="N868" s="30">
        <v>46009</v>
      </c>
      <c r="O868" s="43"/>
      <c r="P868" s="55" t="s">
        <v>1657</v>
      </c>
      <c r="Q868" t="s">
        <v>1658</v>
      </c>
      <c r="R868" t="s">
        <v>1704</v>
      </c>
    </row>
    <row r="869" spans="1:18" ht="15" customHeight="1">
      <c r="A869" s="106" t="b">
        <v>1</v>
      </c>
      <c r="B869" t="str" cm="1">
        <f t="array" ref="B869">_xlfn.SINGLE(_xlfn._xlws.FILTER(t_ServiceCatalogue[Onwer],t_ServiceCatalogue[Category]=t_fac25_requirements[[#This Row],[Category]],""))</f>
        <v>EU</v>
      </c>
      <c r="C869" t="s">
        <v>156</v>
      </c>
      <c r="D869" t="str">
        <f>_xlfn._xlws.FILTER(t_Contact[FA Name],t_Contact[FA]=t_fac25_requirements[[#This Row],[FA]],"")</f>
        <v>Ticketing</v>
      </c>
      <c r="E869" t="s">
        <v>214</v>
      </c>
      <c r="F869" t="s">
        <v>296</v>
      </c>
      <c r="G869" t="s">
        <v>352</v>
      </c>
      <c r="H869" t="s">
        <v>32</v>
      </c>
      <c r="I869" t="s">
        <v>33</v>
      </c>
      <c r="J869" s="28" t="s">
        <v>637</v>
      </c>
      <c r="K869" s="32">
        <v>12</v>
      </c>
      <c r="L869" s="32">
        <v>0</v>
      </c>
      <c r="M869" s="30">
        <v>45976</v>
      </c>
      <c r="N869" s="30">
        <v>46009</v>
      </c>
      <c r="O869" s="43" t="s">
        <v>34</v>
      </c>
      <c r="P869" s="55" t="s">
        <v>1643</v>
      </c>
      <c r="Q869" t="s">
        <v>1705</v>
      </c>
      <c r="R869" t="s">
        <v>1706</v>
      </c>
    </row>
    <row r="870" spans="1:18" ht="15" customHeight="1">
      <c r="A870" s="106" t="b">
        <v>1</v>
      </c>
      <c r="B870" t="str" cm="1">
        <f t="array" ref="B870">_xlfn.SINGLE(_xlfn._xlws.FILTER(t_ServiceCatalogue[Onwer],t_ServiceCatalogue[Category]=t_fac25_requirements[[#This Row],[Category]],""))</f>
        <v>NW</v>
      </c>
      <c r="C870" t="s">
        <v>156</v>
      </c>
      <c r="D870" t="str">
        <f>_xlfn._xlws.FILTER(t_Contact[FA Name],t_Contact[FA]=t_fac25_requirements[[#This Row],[FA]],"")</f>
        <v>Ticketing</v>
      </c>
      <c r="E870" t="s">
        <v>214</v>
      </c>
      <c r="F870" t="s">
        <v>296</v>
      </c>
      <c r="G870" t="s">
        <v>433</v>
      </c>
      <c r="H870" t="s">
        <v>52</v>
      </c>
      <c r="I870" t="s">
        <v>53</v>
      </c>
      <c r="J870" s="28" t="s">
        <v>637</v>
      </c>
      <c r="K870" s="32">
        <v>1</v>
      </c>
      <c r="L870" s="32">
        <v>0</v>
      </c>
      <c r="M870" s="30">
        <v>45976</v>
      </c>
      <c r="N870" s="30">
        <v>46009</v>
      </c>
      <c r="O870" s="43"/>
      <c r="P870" s="55" t="s">
        <v>1662</v>
      </c>
      <c r="Q870" t="s">
        <v>1663</v>
      </c>
      <c r="R870" t="s">
        <v>1707</v>
      </c>
    </row>
    <row r="871" spans="1:18" ht="15" customHeight="1">
      <c r="A871" s="106" t="b">
        <v>1</v>
      </c>
      <c r="B871" t="str" cm="1">
        <f t="array" ref="B871">_xlfn.SINGLE(_xlfn._xlws.FILTER(t_ServiceCatalogue[Onwer],t_ServiceCatalogue[Category]=t_fac25_requirements[[#This Row],[Category]],""))</f>
        <v>NW</v>
      </c>
      <c r="C871" t="s">
        <v>156</v>
      </c>
      <c r="D871" t="str">
        <f>_xlfn._xlws.FILTER(t_Contact[FA Name],t_Contact[FA]=t_fac25_requirements[[#This Row],[FA]],"")</f>
        <v>Ticketing</v>
      </c>
      <c r="E871" t="s">
        <v>214</v>
      </c>
      <c r="F871" t="s">
        <v>305</v>
      </c>
      <c r="G871" t="s">
        <v>421</v>
      </c>
      <c r="H871" t="s">
        <v>52</v>
      </c>
      <c r="I871" t="s">
        <v>53</v>
      </c>
      <c r="J871" s="28" t="s">
        <v>637</v>
      </c>
      <c r="K871" s="32">
        <v>1</v>
      </c>
      <c r="L871" s="32">
        <v>0</v>
      </c>
      <c r="M871" s="30">
        <v>45976</v>
      </c>
      <c r="N871" s="30">
        <v>46009</v>
      </c>
      <c r="O871" s="43"/>
      <c r="P871" s="55"/>
      <c r="Q871" t="s">
        <v>1665</v>
      </c>
      <c r="R871" t="s">
        <v>1708</v>
      </c>
    </row>
    <row r="872" spans="1:18" ht="15" customHeight="1">
      <c r="A872" s="106" t="b">
        <v>1</v>
      </c>
      <c r="B872" t="str" cm="1">
        <f t="array" ref="B872">_xlfn.SINGLE(_xlfn._xlws.FILTER(t_ServiceCatalogue[Onwer],t_ServiceCatalogue[Category]=t_fac25_requirements[[#This Row],[Category]],""))</f>
        <v>NW</v>
      </c>
      <c r="C872" t="s">
        <v>156</v>
      </c>
      <c r="D872" t="str">
        <f>_xlfn._xlws.FILTER(t_Contact[FA Name],t_Contact[FA]=t_fac25_requirements[[#This Row],[FA]],"")</f>
        <v>Ticketing</v>
      </c>
      <c r="E872" t="s">
        <v>214</v>
      </c>
      <c r="F872" t="s">
        <v>305</v>
      </c>
      <c r="G872" t="s">
        <v>421</v>
      </c>
      <c r="H872" t="s">
        <v>46</v>
      </c>
      <c r="I872" t="s">
        <v>148</v>
      </c>
      <c r="J872" s="28" t="s">
        <v>637</v>
      </c>
      <c r="K872" s="32"/>
      <c r="L872" s="32">
        <v>0</v>
      </c>
      <c r="M872" s="30">
        <v>45971</v>
      </c>
      <c r="N872" s="30">
        <v>46009</v>
      </c>
      <c r="O872" s="43"/>
      <c r="P872" s="55" t="s">
        <v>1667</v>
      </c>
      <c r="Q872" t="s">
        <v>1668</v>
      </c>
      <c r="R872" t="s">
        <v>1709</v>
      </c>
    </row>
    <row r="873" spans="1:18" ht="15" customHeight="1">
      <c r="A873" s="106" t="b">
        <v>1</v>
      </c>
      <c r="B873" t="str" cm="1">
        <f t="array" ref="B873">_xlfn.SINGLE(_xlfn._xlws.FILTER(t_ServiceCatalogue[Onwer],t_ServiceCatalogue[Category]=t_fac25_requirements[[#This Row],[Category]],""))</f>
        <v>EU</v>
      </c>
      <c r="C873" t="s">
        <v>156</v>
      </c>
      <c r="D873" t="str">
        <f>_xlfn._xlws.FILTER(t_Contact[FA Name],t_Contact[FA]=t_fac25_requirements[[#This Row],[FA]],"")</f>
        <v>Ticketing</v>
      </c>
      <c r="E873" t="s">
        <v>214</v>
      </c>
      <c r="F873" t="s">
        <v>305</v>
      </c>
      <c r="G873" t="s">
        <v>421</v>
      </c>
      <c r="H873" t="s">
        <v>22</v>
      </c>
      <c r="I873" t="s">
        <v>28</v>
      </c>
      <c r="J873" s="28" t="s">
        <v>637</v>
      </c>
      <c r="K873" s="32"/>
      <c r="L873" s="32">
        <v>0</v>
      </c>
      <c r="M873" s="30">
        <v>45971</v>
      </c>
      <c r="N873" s="30">
        <v>46009</v>
      </c>
      <c r="O873" s="43"/>
      <c r="P873" s="55" t="s">
        <v>1670</v>
      </c>
      <c r="Q873" t="s">
        <v>1671</v>
      </c>
      <c r="R873" t="s">
        <v>1710</v>
      </c>
    </row>
    <row r="874" spans="1:18" ht="15" customHeight="1">
      <c r="A874" s="106" t="b">
        <v>1</v>
      </c>
      <c r="B874" t="str" cm="1">
        <f t="array" ref="B874">_xlfn.SINGLE(_xlfn._xlws.FILTER(t_ServiceCatalogue[Onwer],t_ServiceCatalogue[Category]=t_fac25_requirements[[#This Row],[Category]],""))</f>
        <v>AV</v>
      </c>
      <c r="C874" t="s">
        <v>156</v>
      </c>
      <c r="D874" t="str">
        <f>_xlfn._xlws.FILTER(t_Contact[FA Name],t_Contact[FA]=t_fac25_requirements[[#This Row],[FA]],"")</f>
        <v>Ticketing</v>
      </c>
      <c r="E874" t="s">
        <v>214</v>
      </c>
      <c r="F874" t="s">
        <v>305</v>
      </c>
      <c r="G874" t="s">
        <v>421</v>
      </c>
      <c r="H874" t="s">
        <v>110</v>
      </c>
      <c r="I874" t="s">
        <v>111</v>
      </c>
      <c r="J874" s="28" t="s">
        <v>637</v>
      </c>
      <c r="K874" s="32">
        <v>1</v>
      </c>
      <c r="L874" s="32">
        <v>0</v>
      </c>
      <c r="M874" s="30">
        <v>45971</v>
      </c>
      <c r="N874" s="30">
        <v>46009</v>
      </c>
      <c r="O874" s="43"/>
      <c r="P874" s="55" t="s">
        <v>1673</v>
      </c>
      <c r="Q874" t="s">
        <v>1674</v>
      </c>
      <c r="R874" t="s">
        <v>1711</v>
      </c>
    </row>
    <row r="875" spans="1:18" ht="15" customHeight="1">
      <c r="A875" s="106" t="b">
        <v>1</v>
      </c>
      <c r="B875" t="str" cm="1">
        <f t="array" ref="B875">_xlfn.SINGLE(_xlfn._xlws.FILTER(t_ServiceCatalogue[Onwer],t_ServiceCatalogue[Category]=t_fac25_requirements[[#This Row],[Category]],""))</f>
        <v>NW</v>
      </c>
      <c r="C875" t="s">
        <v>156</v>
      </c>
      <c r="D875" t="str">
        <f>_xlfn._xlws.FILTER(t_Contact[FA Name],t_Contact[FA]=t_fac25_requirements[[#This Row],[FA]],"")</f>
        <v>Ticketing</v>
      </c>
      <c r="E875" t="s">
        <v>214</v>
      </c>
      <c r="F875" t="s">
        <v>305</v>
      </c>
      <c r="G875" t="s">
        <v>320</v>
      </c>
      <c r="H875" t="s">
        <v>46</v>
      </c>
      <c r="I875" t="s">
        <v>148</v>
      </c>
      <c r="J875" s="28" t="s">
        <v>637</v>
      </c>
      <c r="K875" s="32"/>
      <c r="L875" s="32">
        <v>0</v>
      </c>
      <c r="M875" s="30">
        <v>45976</v>
      </c>
      <c r="N875" s="30">
        <v>46009</v>
      </c>
      <c r="O875" s="43"/>
      <c r="P875" s="55" t="s">
        <v>1667</v>
      </c>
      <c r="Q875" t="s">
        <v>1676</v>
      </c>
      <c r="R875" t="s">
        <v>1712</v>
      </c>
    </row>
    <row r="876" spans="1:18" ht="15" customHeight="1">
      <c r="A876" s="106" t="b">
        <v>0</v>
      </c>
      <c r="B876" t="str" cm="1">
        <f t="array" ref="B876">_xlfn.SINGLE(_xlfn._xlws.FILTER(t_ServiceCatalogue[Onwer],t_ServiceCatalogue[Category]=t_fac25_requirements[[#This Row],[Category]],""))</f>
        <v>NW</v>
      </c>
      <c r="C876" t="s">
        <v>156</v>
      </c>
      <c r="D876" t="str">
        <f>_xlfn._xlws.FILTER(t_Contact[FA Name],t_Contact[FA]=t_fac25_requirements[[#This Row],[FA]],"")</f>
        <v>Ticketing</v>
      </c>
      <c r="E876" t="s">
        <v>214</v>
      </c>
      <c r="F876" t="s">
        <v>305</v>
      </c>
      <c r="G876" t="s">
        <v>320</v>
      </c>
      <c r="H876" t="s">
        <v>52</v>
      </c>
      <c r="I876" t="s">
        <v>53</v>
      </c>
      <c r="J876" s="28" t="s">
        <v>370</v>
      </c>
      <c r="K876" s="32"/>
      <c r="L876" s="32">
        <v>1</v>
      </c>
      <c r="M876" s="30">
        <v>45976</v>
      </c>
      <c r="N876" s="30">
        <v>46009</v>
      </c>
      <c r="O876" s="43"/>
      <c r="P876" s="55"/>
      <c r="Q876" t="s">
        <v>1678</v>
      </c>
      <c r="R876" t="s">
        <v>1713</v>
      </c>
    </row>
    <row r="877" spans="1:18" ht="15" customHeight="1">
      <c r="A877" s="106" t="b">
        <v>1</v>
      </c>
      <c r="B877" t="str" cm="1">
        <f t="array" ref="B877">_xlfn.SINGLE(_xlfn._xlws.FILTER(t_ServiceCatalogue[Onwer],t_ServiceCatalogue[Category]=t_fac25_requirements[[#This Row],[Category]],""))</f>
        <v>EU</v>
      </c>
      <c r="C877" t="s">
        <v>156</v>
      </c>
      <c r="D877" t="str">
        <f>_xlfn._xlws.FILTER(t_Contact[FA Name],t_Contact[FA]=t_fac25_requirements[[#This Row],[FA]],"")</f>
        <v>Ticketing</v>
      </c>
      <c r="E877" t="s">
        <v>214</v>
      </c>
      <c r="F877" t="s">
        <v>305</v>
      </c>
      <c r="G877" t="s">
        <v>320</v>
      </c>
      <c r="H877" t="s">
        <v>22</v>
      </c>
      <c r="I877" t="s">
        <v>23</v>
      </c>
      <c r="J877" s="28" t="s">
        <v>637</v>
      </c>
      <c r="K877" s="32"/>
      <c r="L877" s="32">
        <v>0</v>
      </c>
      <c r="M877" s="30">
        <v>45976</v>
      </c>
      <c r="N877" s="30">
        <v>46009</v>
      </c>
      <c r="O877" s="43"/>
      <c r="P877" s="55" t="s">
        <v>1430</v>
      </c>
      <c r="Q877" t="s">
        <v>1680</v>
      </c>
      <c r="R877" t="s">
        <v>1714</v>
      </c>
    </row>
    <row r="878" spans="1:18" ht="15" customHeight="1">
      <c r="A878" s="106" t="b">
        <v>0</v>
      </c>
      <c r="B878" t="str" cm="1">
        <f t="array" ref="B878">_xlfn.SINGLE(_xlfn._xlws.FILTER(t_ServiceCatalogue[Onwer],t_ServiceCatalogue[Category]=t_fac25_requirements[[#This Row],[Category]],""))</f>
        <v>NW</v>
      </c>
      <c r="C878" t="s">
        <v>156</v>
      </c>
      <c r="D878" t="str">
        <f>_xlfn._xlws.FILTER(t_Contact[FA Name],t_Contact[FA]=t_fac25_requirements[[#This Row],[FA]],"")</f>
        <v>Ticketing</v>
      </c>
      <c r="E878" t="s">
        <v>214</v>
      </c>
      <c r="F878" t="s">
        <v>305</v>
      </c>
      <c r="G878" t="s">
        <v>321</v>
      </c>
      <c r="H878" t="s">
        <v>46</v>
      </c>
      <c r="I878" t="s">
        <v>148</v>
      </c>
      <c r="J878" s="28" t="s">
        <v>370</v>
      </c>
      <c r="K878" s="32"/>
      <c r="L878" s="32">
        <v>2</v>
      </c>
      <c r="M878" s="30">
        <v>45981</v>
      </c>
      <c r="N878" s="30">
        <v>46009</v>
      </c>
      <c r="O878" s="43"/>
      <c r="P878" s="55" t="s">
        <v>1682</v>
      </c>
      <c r="Q878" t="s">
        <v>1683</v>
      </c>
      <c r="R878" t="s">
        <v>1715</v>
      </c>
    </row>
    <row r="879" spans="1:18" ht="15" customHeight="1">
      <c r="A879" s="106" t="b">
        <v>1</v>
      </c>
      <c r="B879" t="str" cm="1">
        <f t="array" ref="B879">_xlfn.SINGLE(_xlfn._xlws.FILTER(t_ServiceCatalogue[Onwer],t_ServiceCatalogue[Category]=t_fac25_requirements[[#This Row],[Category]],""))</f>
        <v>EU</v>
      </c>
      <c r="C879" t="s">
        <v>156</v>
      </c>
      <c r="D879" t="str">
        <f>_xlfn._xlws.FILTER(t_Contact[FA Name],t_Contact[FA]=t_fac25_requirements[[#This Row],[FA]],"")</f>
        <v>Ticketing</v>
      </c>
      <c r="E879" t="s">
        <v>214</v>
      </c>
      <c r="F879" t="s">
        <v>305</v>
      </c>
      <c r="G879" t="s">
        <v>321</v>
      </c>
      <c r="H879" t="s">
        <v>32</v>
      </c>
      <c r="I879" t="s">
        <v>33</v>
      </c>
      <c r="J879" s="28" t="s">
        <v>370</v>
      </c>
      <c r="K879" s="32">
        <v>2</v>
      </c>
      <c r="L879" s="32">
        <v>1</v>
      </c>
      <c r="M879" s="30">
        <v>45981</v>
      </c>
      <c r="N879" s="30">
        <v>46009</v>
      </c>
      <c r="O879" s="43"/>
      <c r="P879" s="70" t="s">
        <v>1685</v>
      </c>
      <c r="Q879" t="s">
        <v>1686</v>
      </c>
      <c r="R879" t="s">
        <v>1716</v>
      </c>
    </row>
    <row r="880" spans="1:18" ht="15" customHeight="1">
      <c r="A880" s="106" t="b">
        <v>1</v>
      </c>
      <c r="B880" t="str" cm="1">
        <f t="array" ref="B880">_xlfn.SINGLE(_xlfn._xlws.FILTER(t_ServiceCatalogue[Onwer],t_ServiceCatalogue[Category]=t_fac25_requirements[[#This Row],[Category]],""))</f>
        <v>AV</v>
      </c>
      <c r="C880" t="s">
        <v>156</v>
      </c>
      <c r="D880" t="str">
        <f>_xlfn._xlws.FILTER(t_Contact[FA Name],t_Contact[FA]=t_fac25_requirements[[#This Row],[FA]],"")</f>
        <v>Ticketing</v>
      </c>
      <c r="E880" t="s">
        <v>214</v>
      </c>
      <c r="F880" t="s">
        <v>305</v>
      </c>
      <c r="G880" t="s">
        <v>321</v>
      </c>
      <c r="H880" t="s">
        <v>110</v>
      </c>
      <c r="I880" t="s">
        <v>111</v>
      </c>
      <c r="J880" s="28" t="s">
        <v>370</v>
      </c>
      <c r="K880" s="32"/>
      <c r="L880" s="32">
        <v>1</v>
      </c>
      <c r="M880" s="30">
        <v>45981</v>
      </c>
      <c r="N880" s="30">
        <v>46009</v>
      </c>
      <c r="O880" s="43"/>
      <c r="P880" s="55" t="s">
        <v>1717</v>
      </c>
      <c r="Q880" t="s">
        <v>1689</v>
      </c>
      <c r="R880" t="s">
        <v>1718</v>
      </c>
    </row>
    <row r="881" spans="1:18" ht="15" customHeight="1">
      <c r="A881" s="106" t="b">
        <v>0</v>
      </c>
      <c r="B881" t="str" cm="1">
        <f t="array" ref="B881">_xlfn.SINGLE(_xlfn._xlws.FILTER(t_ServiceCatalogue[Onwer],t_ServiceCatalogue[Category]=t_fac25_requirements[[#This Row],[Category]],""))</f>
        <v>NW</v>
      </c>
      <c r="C881" t="s">
        <v>156</v>
      </c>
      <c r="D881" t="str">
        <f>_xlfn._xlws.FILTER(t_Contact[FA Name],t_Contact[FA]=t_fac25_requirements[[#This Row],[FA]],"")</f>
        <v>Ticketing</v>
      </c>
      <c r="E881" t="s">
        <v>211</v>
      </c>
      <c r="F881" t="s">
        <v>325</v>
      </c>
      <c r="G881" t="s">
        <v>1631</v>
      </c>
      <c r="H881" t="s">
        <v>46</v>
      </c>
      <c r="I881" t="s">
        <v>335</v>
      </c>
      <c r="J881" s="28" t="s">
        <v>407</v>
      </c>
      <c r="K881" s="32"/>
      <c r="L881" s="32">
        <v>4</v>
      </c>
      <c r="M881" s="30">
        <v>45976</v>
      </c>
      <c r="N881" s="30">
        <v>46006</v>
      </c>
      <c r="O881" s="43"/>
      <c r="P881" s="55" t="s">
        <v>1691</v>
      </c>
      <c r="Q881" t="s">
        <v>1632</v>
      </c>
      <c r="R881" t="s">
        <v>1719</v>
      </c>
    </row>
    <row r="882" spans="1:18" ht="15" customHeight="1">
      <c r="A882" s="106" t="b">
        <v>0</v>
      </c>
      <c r="B882" t="str" cm="1">
        <f t="array" ref="B882">_xlfn.SINGLE(_xlfn._xlws.FILTER(t_ServiceCatalogue[Onwer],t_ServiceCatalogue[Category]=t_fac25_requirements[[#This Row],[Category]],""))</f>
        <v>NW</v>
      </c>
      <c r="C882" t="s">
        <v>156</v>
      </c>
      <c r="D882" t="str">
        <f>_xlfn._xlws.FILTER(t_Contact[FA Name],t_Contact[FA]=t_fac25_requirements[[#This Row],[FA]],"")</f>
        <v>Ticketing</v>
      </c>
      <c r="E882" t="s">
        <v>211</v>
      </c>
      <c r="F882" t="s">
        <v>325</v>
      </c>
      <c r="G882" t="s">
        <v>1631</v>
      </c>
      <c r="H882" t="s">
        <v>52</v>
      </c>
      <c r="I882" t="s">
        <v>53</v>
      </c>
      <c r="J882" s="28" t="s">
        <v>407</v>
      </c>
      <c r="K882" s="32"/>
      <c r="L882" s="32">
        <v>1</v>
      </c>
      <c r="M882" s="30">
        <v>45976</v>
      </c>
      <c r="N882" s="30">
        <v>46006</v>
      </c>
      <c r="O882" s="43"/>
      <c r="P882" s="55" t="s">
        <v>1691</v>
      </c>
      <c r="Q882" t="s">
        <v>1634</v>
      </c>
      <c r="R882" t="s">
        <v>1720</v>
      </c>
    </row>
    <row r="883" spans="1:18" ht="15" customHeight="1">
      <c r="A883" s="106" t="b">
        <v>0</v>
      </c>
      <c r="B883" t="str" cm="1">
        <f t="array" ref="B883">_xlfn.SINGLE(_xlfn._xlws.FILTER(t_ServiceCatalogue[Onwer],t_ServiceCatalogue[Category]=t_fac25_requirements[[#This Row],[Category]],""))</f>
        <v>EU</v>
      </c>
      <c r="C883" t="s">
        <v>156</v>
      </c>
      <c r="D883" t="str">
        <f>_xlfn._xlws.FILTER(t_Contact[FA Name],t_Contact[FA]=t_fac25_requirements[[#This Row],[FA]],"")</f>
        <v>Ticketing</v>
      </c>
      <c r="E883" t="s">
        <v>211</v>
      </c>
      <c r="F883" t="s">
        <v>325</v>
      </c>
      <c r="G883" t="s">
        <v>346</v>
      </c>
      <c r="H883" t="s">
        <v>22</v>
      </c>
      <c r="I883" t="s">
        <v>23</v>
      </c>
      <c r="J883" s="28" t="s">
        <v>370</v>
      </c>
      <c r="K883" s="32">
        <v>2</v>
      </c>
      <c r="L883" s="32">
        <v>1</v>
      </c>
      <c r="M883" s="30">
        <v>45976</v>
      </c>
      <c r="N883" s="30">
        <v>46006</v>
      </c>
      <c r="O883" s="43"/>
      <c r="P883" s="70" t="s">
        <v>1636</v>
      </c>
      <c r="Q883" t="s">
        <v>1637</v>
      </c>
      <c r="R883" t="s">
        <v>1721</v>
      </c>
    </row>
    <row r="884" spans="1:18" ht="15" customHeight="1">
      <c r="A884" s="106" t="b">
        <v>1</v>
      </c>
      <c r="B884" t="str" cm="1">
        <f t="array" ref="B884">_xlfn.SINGLE(_xlfn._xlws.FILTER(t_ServiceCatalogue[Onwer],t_ServiceCatalogue[Category]=t_fac25_requirements[[#This Row],[Category]],""))</f>
        <v>Telco/SIM</v>
      </c>
      <c r="C884" t="s">
        <v>156</v>
      </c>
      <c r="D884" t="str">
        <f>_xlfn._xlws.FILTER(t_Contact[FA Name],t_Contact[FA]=t_fac25_requirements[[#This Row],[FA]],"")</f>
        <v>Ticketing</v>
      </c>
      <c r="E884" t="s">
        <v>211</v>
      </c>
      <c r="F884" t="s">
        <v>325</v>
      </c>
      <c r="G884" t="s">
        <v>346</v>
      </c>
      <c r="H884" t="s">
        <v>84</v>
      </c>
      <c r="I884" t="s">
        <v>165</v>
      </c>
      <c r="J884" s="28" t="s">
        <v>1639</v>
      </c>
      <c r="K884" s="32">
        <v>8</v>
      </c>
      <c r="L884" s="32">
        <v>5</v>
      </c>
      <c r="M884" s="30">
        <v>45976</v>
      </c>
      <c r="N884" s="30">
        <v>46006</v>
      </c>
      <c r="O884" s="43"/>
      <c r="P884" s="55" t="s">
        <v>1640</v>
      </c>
      <c r="Q884" t="s">
        <v>1641</v>
      </c>
      <c r="R884" t="s">
        <v>1722</v>
      </c>
    </row>
    <row r="885" spans="1:18" ht="15" customHeight="1">
      <c r="A885" s="106" t="b">
        <v>1</v>
      </c>
      <c r="B885" t="str" cm="1">
        <f t="array" ref="B885">_xlfn.SINGLE(_xlfn._xlws.FILTER(t_ServiceCatalogue[Onwer],t_ServiceCatalogue[Category]=t_fac25_requirements[[#This Row],[Category]],""))</f>
        <v>EU</v>
      </c>
      <c r="C885" t="s">
        <v>156</v>
      </c>
      <c r="D885" t="str">
        <f>_xlfn._xlws.FILTER(t_Contact[FA Name],t_Contact[FA]=t_fac25_requirements[[#This Row],[FA]],"")</f>
        <v>Ticketing</v>
      </c>
      <c r="E885" t="s">
        <v>211</v>
      </c>
      <c r="F885" t="s">
        <v>325</v>
      </c>
      <c r="G885" t="s">
        <v>346</v>
      </c>
      <c r="H885" t="s">
        <v>32</v>
      </c>
      <c r="I885" t="s">
        <v>33</v>
      </c>
      <c r="J885" s="28" t="s">
        <v>637</v>
      </c>
      <c r="K885" s="32">
        <v>32</v>
      </c>
      <c r="L885" s="32">
        <v>0</v>
      </c>
      <c r="M885" s="30">
        <v>45976</v>
      </c>
      <c r="N885" s="30">
        <v>46006</v>
      </c>
      <c r="O885" s="43"/>
      <c r="P885" s="55" t="s">
        <v>1643</v>
      </c>
      <c r="Q885" t="s">
        <v>1696</v>
      </c>
      <c r="R885" t="s">
        <v>1723</v>
      </c>
    </row>
    <row r="886" spans="1:18" ht="15" customHeight="1">
      <c r="A886" s="106" t="b">
        <v>1</v>
      </c>
      <c r="B886" t="str" cm="1">
        <f t="array" ref="B886">_xlfn.SINGLE(_xlfn._xlws.FILTER(t_ServiceCatalogue[Onwer],t_ServiceCatalogue[Category]=t_fac25_requirements[[#This Row],[Category]],""))</f>
        <v>NW</v>
      </c>
      <c r="C886" t="s">
        <v>156</v>
      </c>
      <c r="D886" t="str">
        <f>_xlfn._xlws.FILTER(t_Contact[FA Name],t_Contact[FA]=t_fac25_requirements[[#This Row],[FA]],"")</f>
        <v>Ticketing</v>
      </c>
      <c r="E886" t="s">
        <v>211</v>
      </c>
      <c r="F886" t="s">
        <v>325</v>
      </c>
      <c r="G886" t="s">
        <v>355</v>
      </c>
      <c r="H886" t="s">
        <v>52</v>
      </c>
      <c r="I886" t="s">
        <v>53</v>
      </c>
      <c r="J886" s="28" t="s">
        <v>637</v>
      </c>
      <c r="K886" s="32"/>
      <c r="L886" s="32">
        <v>0</v>
      </c>
      <c r="M886" s="30">
        <v>45976</v>
      </c>
      <c r="N886" s="30">
        <v>46006</v>
      </c>
      <c r="O886" s="43"/>
      <c r="P886" s="55" t="s">
        <v>1724</v>
      </c>
      <c r="Q886" t="s">
        <v>1647</v>
      </c>
      <c r="R886" t="s">
        <v>1725</v>
      </c>
    </row>
    <row r="887" spans="1:18" ht="15" customHeight="1">
      <c r="A887" s="106" t="b">
        <v>1</v>
      </c>
      <c r="B887" t="str" cm="1">
        <f t="array" ref="B887">_xlfn.SINGLE(_xlfn._xlws.FILTER(t_ServiceCatalogue[Onwer],t_ServiceCatalogue[Category]=t_fac25_requirements[[#This Row],[Category]],""))</f>
        <v>Telco/SIM</v>
      </c>
      <c r="C887" t="s">
        <v>156</v>
      </c>
      <c r="D887" t="str">
        <f>_xlfn._xlws.FILTER(t_Contact[FA Name],t_Contact[FA]=t_fac25_requirements[[#This Row],[FA]],"")</f>
        <v>Ticketing</v>
      </c>
      <c r="E887" t="s">
        <v>211</v>
      </c>
      <c r="F887" t="s">
        <v>325</v>
      </c>
      <c r="G887" t="s">
        <v>355</v>
      </c>
      <c r="H887" t="s">
        <v>84</v>
      </c>
      <c r="I887" t="s">
        <v>85</v>
      </c>
      <c r="J887" s="28" t="s">
        <v>370</v>
      </c>
      <c r="K887" s="32"/>
      <c r="L887" s="32">
        <v>160</v>
      </c>
      <c r="M887" s="30">
        <v>45976</v>
      </c>
      <c r="N887" s="30">
        <v>46006</v>
      </c>
      <c r="O887" s="43"/>
      <c r="P887" s="55" t="s">
        <v>1649</v>
      </c>
      <c r="Q887" t="s">
        <v>1700</v>
      </c>
      <c r="R887" t="s">
        <v>1726</v>
      </c>
    </row>
    <row r="888" spans="1:18" ht="15" customHeight="1">
      <c r="A888" s="106" t="b">
        <v>0</v>
      </c>
      <c r="B888" t="str" cm="1">
        <f t="array" ref="B888">_xlfn.SINGLE(_xlfn._xlws.FILTER(t_ServiceCatalogue[Onwer],t_ServiceCatalogue[Category]=t_fac25_requirements[[#This Row],[Category]],""))</f>
        <v>NW</v>
      </c>
      <c r="C888" t="s">
        <v>156</v>
      </c>
      <c r="D888" t="str">
        <f>_xlfn._xlws.FILTER(t_Contact[FA Name],t_Contact[FA]=t_fac25_requirements[[#This Row],[FA]],"")</f>
        <v>Ticketing</v>
      </c>
      <c r="E888" t="s">
        <v>211</v>
      </c>
      <c r="F888" t="s">
        <v>296</v>
      </c>
      <c r="G888" t="s">
        <v>352</v>
      </c>
      <c r="H888" t="s">
        <v>46</v>
      </c>
      <c r="I888" t="s">
        <v>148</v>
      </c>
      <c r="J888" s="28" t="s">
        <v>1639</v>
      </c>
      <c r="K888" s="32"/>
      <c r="L888" s="32">
        <v>12</v>
      </c>
      <c r="M888" s="30">
        <v>45976</v>
      </c>
      <c r="N888" s="30">
        <v>46006</v>
      </c>
      <c r="O888" s="43"/>
      <c r="P888" s="55" t="s">
        <v>1652</v>
      </c>
      <c r="Q888" t="s">
        <v>1653</v>
      </c>
      <c r="R888" t="s">
        <v>1727</v>
      </c>
    </row>
    <row r="889" spans="1:18" ht="15" customHeight="1">
      <c r="A889" s="106" t="b">
        <v>0</v>
      </c>
      <c r="B889" t="str" cm="1">
        <f t="array" ref="B889">_xlfn.SINGLE(_xlfn._xlws.FILTER(t_ServiceCatalogue[Onwer],t_ServiceCatalogue[Category]=t_fac25_requirements[[#This Row],[Category]],""))</f>
        <v>NW</v>
      </c>
      <c r="C889" t="s">
        <v>156</v>
      </c>
      <c r="D889" t="str">
        <f>_xlfn._xlws.FILTER(t_Contact[FA Name],t_Contact[FA]=t_fac25_requirements[[#This Row],[FA]],"")</f>
        <v>Ticketing</v>
      </c>
      <c r="E889" t="s">
        <v>211</v>
      </c>
      <c r="F889" t="s">
        <v>296</v>
      </c>
      <c r="G889" t="s">
        <v>352</v>
      </c>
      <c r="H889" t="s">
        <v>52</v>
      </c>
      <c r="I889" t="s">
        <v>53</v>
      </c>
      <c r="J889" s="28" t="s">
        <v>370</v>
      </c>
      <c r="K889" s="32"/>
      <c r="L889" s="32">
        <v>6</v>
      </c>
      <c r="M889" s="30">
        <v>45976</v>
      </c>
      <c r="N889" s="30">
        <v>46006</v>
      </c>
      <c r="O889" s="43"/>
      <c r="P889" s="55"/>
      <c r="Q889" t="s">
        <v>1655</v>
      </c>
      <c r="R889" t="s">
        <v>1728</v>
      </c>
    </row>
    <row r="890" spans="1:18" ht="15" customHeight="1">
      <c r="A890" s="106" t="b">
        <v>1</v>
      </c>
      <c r="B890" t="str" cm="1">
        <f t="array" ref="B890">_xlfn.SINGLE(_xlfn._xlws.FILTER(t_ServiceCatalogue[Onwer],t_ServiceCatalogue[Category]=t_fac25_requirements[[#This Row],[Category]],""))</f>
        <v>Telco/SIM</v>
      </c>
      <c r="C890" t="s">
        <v>156</v>
      </c>
      <c r="D890" t="str">
        <f>_xlfn._xlws.FILTER(t_Contact[FA Name],t_Contact[FA]=t_fac25_requirements[[#This Row],[FA]],"")</f>
        <v>Ticketing</v>
      </c>
      <c r="E890" t="s">
        <v>211</v>
      </c>
      <c r="F890" t="s">
        <v>296</v>
      </c>
      <c r="G890" t="s">
        <v>352</v>
      </c>
      <c r="H890" t="s">
        <v>84</v>
      </c>
      <c r="I890" t="s">
        <v>165</v>
      </c>
      <c r="J890" s="28" t="s">
        <v>637</v>
      </c>
      <c r="K890" s="32">
        <v>6</v>
      </c>
      <c r="L890" s="32">
        <v>0</v>
      </c>
      <c r="M890" s="30">
        <v>45976</v>
      </c>
      <c r="N890" s="30">
        <v>46006</v>
      </c>
      <c r="O890" s="43"/>
      <c r="P890" s="55" t="s">
        <v>1657</v>
      </c>
      <c r="Q890" t="s">
        <v>1658</v>
      </c>
      <c r="R890" t="s">
        <v>1729</v>
      </c>
    </row>
    <row r="891" spans="1:18" ht="15" customHeight="1">
      <c r="A891" s="106" t="b">
        <v>1</v>
      </c>
      <c r="B891" t="str" cm="1">
        <f t="array" ref="B891">_xlfn.SINGLE(_xlfn._xlws.FILTER(t_ServiceCatalogue[Onwer],t_ServiceCatalogue[Category]=t_fac25_requirements[[#This Row],[Category]],""))</f>
        <v>EU</v>
      </c>
      <c r="C891" t="s">
        <v>156</v>
      </c>
      <c r="D891" t="str">
        <f>_xlfn._xlws.FILTER(t_Contact[FA Name],t_Contact[FA]=t_fac25_requirements[[#This Row],[FA]],"")</f>
        <v>Ticketing</v>
      </c>
      <c r="E891" t="s">
        <v>211</v>
      </c>
      <c r="F891" t="s">
        <v>296</v>
      </c>
      <c r="G891" t="s">
        <v>352</v>
      </c>
      <c r="H891" t="s">
        <v>32</v>
      </c>
      <c r="I891" t="s">
        <v>33</v>
      </c>
      <c r="J891" s="28" t="s">
        <v>637</v>
      </c>
      <c r="K891" s="32">
        <v>12</v>
      </c>
      <c r="L891" s="32">
        <v>0</v>
      </c>
      <c r="M891" s="30">
        <v>45976</v>
      </c>
      <c r="N891" s="30">
        <v>46006</v>
      </c>
      <c r="O891" s="43" t="s">
        <v>34</v>
      </c>
      <c r="P891" s="55" t="s">
        <v>1643</v>
      </c>
      <c r="Q891" t="s">
        <v>1705</v>
      </c>
      <c r="R891" t="s">
        <v>1730</v>
      </c>
    </row>
    <row r="892" spans="1:18" ht="15" customHeight="1">
      <c r="A892" s="106" t="b">
        <v>1</v>
      </c>
      <c r="B892" t="str" cm="1">
        <f t="array" ref="B892">_xlfn.SINGLE(_xlfn._xlws.FILTER(t_ServiceCatalogue[Onwer],t_ServiceCatalogue[Category]=t_fac25_requirements[[#This Row],[Category]],""))</f>
        <v>NW</v>
      </c>
      <c r="C892" t="s">
        <v>156</v>
      </c>
      <c r="D892" t="str">
        <f>_xlfn._xlws.FILTER(t_Contact[FA Name],t_Contact[FA]=t_fac25_requirements[[#This Row],[FA]],"")</f>
        <v>Ticketing</v>
      </c>
      <c r="E892" t="s">
        <v>211</v>
      </c>
      <c r="F892" t="s">
        <v>296</v>
      </c>
      <c r="G892" t="s">
        <v>433</v>
      </c>
      <c r="H892" t="s">
        <v>52</v>
      </c>
      <c r="I892" t="s">
        <v>53</v>
      </c>
      <c r="J892" s="28" t="s">
        <v>637</v>
      </c>
      <c r="K892" s="32">
        <v>1</v>
      </c>
      <c r="L892" s="32">
        <v>0</v>
      </c>
      <c r="M892" s="30">
        <v>45976</v>
      </c>
      <c r="N892" s="30">
        <v>46006</v>
      </c>
      <c r="O892" s="43"/>
      <c r="P892" s="55" t="s">
        <v>1662</v>
      </c>
      <c r="Q892" t="s">
        <v>1663</v>
      </c>
      <c r="R892" t="s">
        <v>1731</v>
      </c>
    </row>
    <row r="893" spans="1:18" ht="15" customHeight="1">
      <c r="A893" s="106" t="b">
        <v>1</v>
      </c>
      <c r="B893" t="str" cm="1">
        <f t="array" ref="B893">_xlfn.SINGLE(_xlfn._xlws.FILTER(t_ServiceCatalogue[Onwer],t_ServiceCatalogue[Category]=t_fac25_requirements[[#This Row],[Category]],""))</f>
        <v>NW</v>
      </c>
      <c r="C893" t="s">
        <v>156</v>
      </c>
      <c r="D893" t="str">
        <f>_xlfn._xlws.FILTER(t_Contact[FA Name],t_Contact[FA]=t_fac25_requirements[[#This Row],[FA]],"")</f>
        <v>Ticketing</v>
      </c>
      <c r="E893" t="s">
        <v>211</v>
      </c>
      <c r="F893" t="s">
        <v>305</v>
      </c>
      <c r="G893" t="s">
        <v>421</v>
      </c>
      <c r="H893" t="s">
        <v>52</v>
      </c>
      <c r="I893" t="s">
        <v>53</v>
      </c>
      <c r="J893" s="28" t="s">
        <v>637</v>
      </c>
      <c r="K893" s="32">
        <v>1</v>
      </c>
      <c r="L893" s="32">
        <v>0</v>
      </c>
      <c r="M893" s="30">
        <v>45976</v>
      </c>
      <c r="N893" s="30">
        <v>46006</v>
      </c>
      <c r="O893" s="43"/>
      <c r="P893" s="55"/>
      <c r="Q893" t="s">
        <v>1665</v>
      </c>
      <c r="R893" t="s">
        <v>1732</v>
      </c>
    </row>
    <row r="894" spans="1:18" ht="15" customHeight="1">
      <c r="A894" s="106" t="b">
        <v>1</v>
      </c>
      <c r="B894" t="str" cm="1">
        <f t="array" ref="B894">_xlfn.SINGLE(_xlfn._xlws.FILTER(t_ServiceCatalogue[Onwer],t_ServiceCatalogue[Category]=t_fac25_requirements[[#This Row],[Category]],""))</f>
        <v>NW</v>
      </c>
      <c r="C894" t="s">
        <v>156</v>
      </c>
      <c r="D894" t="str">
        <f>_xlfn._xlws.FILTER(t_Contact[FA Name],t_Contact[FA]=t_fac25_requirements[[#This Row],[FA]],"")</f>
        <v>Ticketing</v>
      </c>
      <c r="E894" t="s">
        <v>211</v>
      </c>
      <c r="F894" t="s">
        <v>305</v>
      </c>
      <c r="G894" t="s">
        <v>421</v>
      </c>
      <c r="H894" t="s">
        <v>46</v>
      </c>
      <c r="I894" t="s">
        <v>148</v>
      </c>
      <c r="J894" s="28" t="s">
        <v>637</v>
      </c>
      <c r="K894" s="32"/>
      <c r="L894" s="32">
        <v>0</v>
      </c>
      <c r="M894" s="30">
        <v>45971</v>
      </c>
      <c r="N894" s="30">
        <v>46006</v>
      </c>
      <c r="O894" s="43"/>
      <c r="P894" s="55" t="s">
        <v>1667</v>
      </c>
      <c r="Q894" t="s">
        <v>1668</v>
      </c>
      <c r="R894" t="s">
        <v>1733</v>
      </c>
    </row>
    <row r="895" spans="1:18" ht="15" customHeight="1">
      <c r="A895" s="106" t="b">
        <v>1</v>
      </c>
      <c r="B895" t="str" cm="1">
        <f t="array" ref="B895">_xlfn.SINGLE(_xlfn._xlws.FILTER(t_ServiceCatalogue[Onwer],t_ServiceCatalogue[Category]=t_fac25_requirements[[#This Row],[Category]],""))</f>
        <v>EU</v>
      </c>
      <c r="C895" t="s">
        <v>156</v>
      </c>
      <c r="D895" t="str">
        <f>_xlfn._xlws.FILTER(t_Contact[FA Name],t_Contact[FA]=t_fac25_requirements[[#This Row],[FA]],"")</f>
        <v>Ticketing</v>
      </c>
      <c r="E895" t="s">
        <v>211</v>
      </c>
      <c r="F895" t="s">
        <v>305</v>
      </c>
      <c r="G895" t="s">
        <v>421</v>
      </c>
      <c r="H895" t="s">
        <v>22</v>
      </c>
      <c r="I895" t="s">
        <v>28</v>
      </c>
      <c r="J895" s="28" t="s">
        <v>637</v>
      </c>
      <c r="K895" s="32"/>
      <c r="L895" s="32">
        <v>0</v>
      </c>
      <c r="M895" s="30">
        <v>45971</v>
      </c>
      <c r="N895" s="30">
        <v>46006</v>
      </c>
      <c r="O895" s="43"/>
      <c r="P895" s="55" t="s">
        <v>1670</v>
      </c>
      <c r="Q895" t="s">
        <v>1671</v>
      </c>
      <c r="R895" t="s">
        <v>1734</v>
      </c>
    </row>
    <row r="896" spans="1:18" ht="15" customHeight="1">
      <c r="A896" s="106" t="b">
        <v>1</v>
      </c>
      <c r="B896" t="str" cm="1">
        <f t="array" ref="B896">_xlfn.SINGLE(_xlfn._xlws.FILTER(t_ServiceCatalogue[Onwer],t_ServiceCatalogue[Category]=t_fac25_requirements[[#This Row],[Category]],""))</f>
        <v>AV</v>
      </c>
      <c r="C896" t="s">
        <v>156</v>
      </c>
      <c r="D896" t="str">
        <f>_xlfn._xlws.FILTER(t_Contact[FA Name],t_Contact[FA]=t_fac25_requirements[[#This Row],[FA]],"")</f>
        <v>Ticketing</v>
      </c>
      <c r="E896" t="s">
        <v>211</v>
      </c>
      <c r="F896" t="s">
        <v>305</v>
      </c>
      <c r="G896" t="s">
        <v>421</v>
      </c>
      <c r="H896" t="s">
        <v>110</v>
      </c>
      <c r="I896" t="s">
        <v>111</v>
      </c>
      <c r="J896" s="28" t="s">
        <v>637</v>
      </c>
      <c r="K896" s="32">
        <v>1</v>
      </c>
      <c r="L896" s="32">
        <v>0</v>
      </c>
      <c r="M896" s="30">
        <v>45971</v>
      </c>
      <c r="N896" s="30">
        <v>46006</v>
      </c>
      <c r="O896" s="43"/>
      <c r="P896" s="55" t="s">
        <v>1673</v>
      </c>
      <c r="Q896" t="s">
        <v>1674</v>
      </c>
      <c r="R896" t="s">
        <v>1735</v>
      </c>
    </row>
    <row r="897" spans="1:18" ht="15" customHeight="1">
      <c r="A897" s="106" t="b">
        <v>1</v>
      </c>
      <c r="B897" t="str" cm="1">
        <f t="array" ref="B897">_xlfn.SINGLE(_xlfn._xlws.FILTER(t_ServiceCatalogue[Onwer],t_ServiceCatalogue[Category]=t_fac25_requirements[[#This Row],[Category]],""))</f>
        <v>NW</v>
      </c>
      <c r="C897" t="s">
        <v>156</v>
      </c>
      <c r="D897" t="str">
        <f>_xlfn._xlws.FILTER(t_Contact[FA Name],t_Contact[FA]=t_fac25_requirements[[#This Row],[FA]],"")</f>
        <v>Ticketing</v>
      </c>
      <c r="E897" t="s">
        <v>211</v>
      </c>
      <c r="F897" t="s">
        <v>305</v>
      </c>
      <c r="G897" t="s">
        <v>320</v>
      </c>
      <c r="H897" t="s">
        <v>46</v>
      </c>
      <c r="I897" t="s">
        <v>148</v>
      </c>
      <c r="J897" s="28" t="s">
        <v>637</v>
      </c>
      <c r="K897" s="32"/>
      <c r="L897" s="32">
        <v>0</v>
      </c>
      <c r="M897" s="30">
        <v>45976</v>
      </c>
      <c r="N897" s="30">
        <v>46006</v>
      </c>
      <c r="O897" s="43"/>
      <c r="P897" s="55" t="s">
        <v>1667</v>
      </c>
      <c r="Q897" t="s">
        <v>1676</v>
      </c>
      <c r="R897" t="s">
        <v>1736</v>
      </c>
    </row>
    <row r="898" spans="1:18" ht="15" customHeight="1">
      <c r="A898" s="106" t="b">
        <v>0</v>
      </c>
      <c r="B898" t="str" cm="1">
        <f t="array" ref="B898">_xlfn.SINGLE(_xlfn._xlws.FILTER(t_ServiceCatalogue[Onwer],t_ServiceCatalogue[Category]=t_fac25_requirements[[#This Row],[Category]],""))</f>
        <v>NW</v>
      </c>
      <c r="C898" t="s">
        <v>156</v>
      </c>
      <c r="D898" t="str">
        <f>_xlfn._xlws.FILTER(t_Contact[FA Name],t_Contact[FA]=t_fac25_requirements[[#This Row],[FA]],"")</f>
        <v>Ticketing</v>
      </c>
      <c r="E898" t="s">
        <v>211</v>
      </c>
      <c r="F898" t="s">
        <v>305</v>
      </c>
      <c r="G898" t="s">
        <v>320</v>
      </c>
      <c r="H898" t="s">
        <v>52</v>
      </c>
      <c r="I898" t="s">
        <v>53</v>
      </c>
      <c r="J898" s="28" t="s">
        <v>370</v>
      </c>
      <c r="K898" s="32"/>
      <c r="L898" s="32">
        <v>1</v>
      </c>
      <c r="M898" s="30">
        <v>45976</v>
      </c>
      <c r="N898" s="30">
        <v>46006</v>
      </c>
      <c r="O898" s="43"/>
      <c r="P898" s="55"/>
      <c r="Q898" t="s">
        <v>1678</v>
      </c>
      <c r="R898" t="s">
        <v>1737</v>
      </c>
    </row>
    <row r="899" spans="1:18" ht="15" customHeight="1">
      <c r="A899" s="106" t="b">
        <v>1</v>
      </c>
      <c r="B899" t="str" cm="1">
        <f t="array" ref="B899">_xlfn.SINGLE(_xlfn._xlws.FILTER(t_ServiceCatalogue[Onwer],t_ServiceCatalogue[Category]=t_fac25_requirements[[#This Row],[Category]],""))</f>
        <v>EU</v>
      </c>
      <c r="C899" t="s">
        <v>156</v>
      </c>
      <c r="D899" t="str">
        <f>_xlfn._xlws.FILTER(t_Contact[FA Name],t_Contact[FA]=t_fac25_requirements[[#This Row],[FA]],"")</f>
        <v>Ticketing</v>
      </c>
      <c r="E899" t="s">
        <v>211</v>
      </c>
      <c r="F899" t="s">
        <v>305</v>
      </c>
      <c r="G899" t="s">
        <v>320</v>
      </c>
      <c r="H899" t="s">
        <v>22</v>
      </c>
      <c r="I899" t="s">
        <v>23</v>
      </c>
      <c r="J899" s="28" t="s">
        <v>637</v>
      </c>
      <c r="K899" s="32"/>
      <c r="L899" s="32">
        <v>0</v>
      </c>
      <c r="M899" s="30">
        <v>45976</v>
      </c>
      <c r="N899" s="30">
        <v>46006</v>
      </c>
      <c r="O899" s="43"/>
      <c r="P899" s="55" t="s">
        <v>1430</v>
      </c>
      <c r="Q899" t="s">
        <v>1680</v>
      </c>
      <c r="R899" t="s">
        <v>1738</v>
      </c>
    </row>
    <row r="900" spans="1:18" ht="15" customHeight="1">
      <c r="A900" s="106" t="b">
        <v>0</v>
      </c>
      <c r="B900" t="str" cm="1">
        <f t="array" ref="B900">_xlfn.SINGLE(_xlfn._xlws.FILTER(t_ServiceCatalogue[Onwer],t_ServiceCatalogue[Category]=t_fac25_requirements[[#This Row],[Category]],""))</f>
        <v>NW</v>
      </c>
      <c r="C900" t="s">
        <v>156</v>
      </c>
      <c r="D900" t="str">
        <f>_xlfn._xlws.FILTER(t_Contact[FA Name],t_Contact[FA]=t_fac25_requirements[[#This Row],[FA]],"")</f>
        <v>Ticketing</v>
      </c>
      <c r="E900" t="s">
        <v>211</v>
      </c>
      <c r="F900" t="s">
        <v>305</v>
      </c>
      <c r="G900" t="s">
        <v>321</v>
      </c>
      <c r="H900" t="s">
        <v>46</v>
      </c>
      <c r="I900" t="s">
        <v>148</v>
      </c>
      <c r="J900" s="28" t="s">
        <v>370</v>
      </c>
      <c r="K900" s="32"/>
      <c r="L900" s="32">
        <v>2</v>
      </c>
      <c r="M900" s="30">
        <v>45981</v>
      </c>
      <c r="N900" s="30">
        <v>46006</v>
      </c>
      <c r="O900" s="43"/>
      <c r="P900" s="55" t="s">
        <v>1682</v>
      </c>
      <c r="Q900" t="s">
        <v>1683</v>
      </c>
      <c r="R900" t="s">
        <v>1739</v>
      </c>
    </row>
    <row r="901" spans="1:18" ht="15" customHeight="1">
      <c r="A901" s="106" t="b">
        <v>1</v>
      </c>
      <c r="B901" t="str" cm="1">
        <f t="array" ref="B901">_xlfn.SINGLE(_xlfn._xlws.FILTER(t_ServiceCatalogue[Onwer],t_ServiceCatalogue[Category]=t_fac25_requirements[[#This Row],[Category]],""))</f>
        <v>EU</v>
      </c>
      <c r="C901" t="s">
        <v>156</v>
      </c>
      <c r="D901" t="str">
        <f>_xlfn._xlws.FILTER(t_Contact[FA Name],t_Contact[FA]=t_fac25_requirements[[#This Row],[FA]],"")</f>
        <v>Ticketing</v>
      </c>
      <c r="E901" t="s">
        <v>211</v>
      </c>
      <c r="F901" t="s">
        <v>305</v>
      </c>
      <c r="G901" t="s">
        <v>321</v>
      </c>
      <c r="H901" t="s">
        <v>32</v>
      </c>
      <c r="I901" t="s">
        <v>33</v>
      </c>
      <c r="J901" s="28" t="s">
        <v>370</v>
      </c>
      <c r="K901" s="32">
        <v>2</v>
      </c>
      <c r="L901" s="32">
        <v>1</v>
      </c>
      <c r="M901" s="30">
        <v>45981</v>
      </c>
      <c r="N901" s="30">
        <v>46006</v>
      </c>
      <c r="O901" s="43"/>
      <c r="P901" s="70" t="s">
        <v>1685</v>
      </c>
      <c r="Q901" t="s">
        <v>1686</v>
      </c>
      <c r="R901" t="s">
        <v>1740</v>
      </c>
    </row>
    <row r="902" spans="1:18" ht="15" customHeight="1">
      <c r="A902" s="106" t="b">
        <v>0</v>
      </c>
      <c r="B902" t="str" cm="1">
        <f t="array" ref="B902">_xlfn.SINGLE(_xlfn._xlws.FILTER(t_ServiceCatalogue[Onwer],t_ServiceCatalogue[Category]=t_fac25_requirements[[#This Row],[Category]],""))</f>
        <v>AV</v>
      </c>
      <c r="C902" t="s">
        <v>156</v>
      </c>
      <c r="D902" t="str">
        <f>_xlfn._xlws.FILTER(t_Contact[FA Name],t_Contact[FA]=t_fac25_requirements[[#This Row],[FA]],"")</f>
        <v>Ticketing</v>
      </c>
      <c r="E902" t="s">
        <v>211</v>
      </c>
      <c r="F902" t="s">
        <v>305</v>
      </c>
      <c r="G902" t="s">
        <v>321</v>
      </c>
      <c r="H902" t="s">
        <v>110</v>
      </c>
      <c r="I902" t="s">
        <v>111</v>
      </c>
      <c r="J902" s="28" t="s">
        <v>370</v>
      </c>
      <c r="K902" s="32"/>
      <c r="L902" s="32">
        <v>1</v>
      </c>
      <c r="M902" s="30">
        <v>45981</v>
      </c>
      <c r="N902" s="30">
        <v>46006</v>
      </c>
      <c r="O902" s="43"/>
      <c r="P902" s="55" t="s">
        <v>1717</v>
      </c>
      <c r="Q902" t="s">
        <v>1689</v>
      </c>
      <c r="R902" t="s">
        <v>1741</v>
      </c>
    </row>
    <row r="903" spans="1:18" ht="15" customHeight="1">
      <c r="A903" s="106" t="b">
        <v>1</v>
      </c>
      <c r="B903" t="str" cm="1">
        <f t="array" ref="B903">_xlfn.SINGLE(_xlfn._xlws.FILTER(t_ServiceCatalogue[Onwer],t_ServiceCatalogue[Category]=t_fac25_requirements[[#This Row],[Category]],""))</f>
        <v>NW</v>
      </c>
      <c r="C903" t="s">
        <v>156</v>
      </c>
      <c r="D903" t="str">
        <f>_xlfn._xlws.FILTER(t_Contact[FA Name],t_Contact[FA]=t_fac25_requirements[[#This Row],[FA]],"")</f>
        <v>Ticketing</v>
      </c>
      <c r="E903" t="s">
        <v>208</v>
      </c>
      <c r="F903" t="s">
        <v>325</v>
      </c>
      <c r="G903" t="s">
        <v>1631</v>
      </c>
      <c r="H903" t="s">
        <v>46</v>
      </c>
      <c r="I903" t="s">
        <v>335</v>
      </c>
      <c r="J903" s="28" t="s">
        <v>370</v>
      </c>
      <c r="K903" s="32"/>
      <c r="L903" s="32">
        <v>4</v>
      </c>
      <c r="M903" s="30">
        <v>45976</v>
      </c>
      <c r="N903" s="30">
        <v>46008</v>
      </c>
      <c r="O903" s="43"/>
      <c r="P903" s="55"/>
      <c r="Q903" t="s">
        <v>1632</v>
      </c>
      <c r="R903" t="s">
        <v>1742</v>
      </c>
    </row>
    <row r="904" spans="1:18" ht="15" customHeight="1">
      <c r="A904" s="106" t="b">
        <v>1</v>
      </c>
      <c r="B904" t="str" cm="1">
        <f t="array" ref="B904">_xlfn.SINGLE(_xlfn._xlws.FILTER(t_ServiceCatalogue[Onwer],t_ServiceCatalogue[Category]=t_fac25_requirements[[#This Row],[Category]],""))</f>
        <v>NW</v>
      </c>
      <c r="C904" t="s">
        <v>156</v>
      </c>
      <c r="D904" t="str">
        <f>_xlfn._xlws.FILTER(t_Contact[FA Name],t_Contact[FA]=t_fac25_requirements[[#This Row],[FA]],"")</f>
        <v>Ticketing</v>
      </c>
      <c r="E904" t="s">
        <v>208</v>
      </c>
      <c r="F904" t="s">
        <v>325</v>
      </c>
      <c r="G904" t="s">
        <v>1631</v>
      </c>
      <c r="H904" t="s">
        <v>52</v>
      </c>
      <c r="I904" t="s">
        <v>53</v>
      </c>
      <c r="J904" s="28" t="s">
        <v>370</v>
      </c>
      <c r="K904" s="32"/>
      <c r="L904" s="32">
        <v>1</v>
      </c>
      <c r="M904" s="30">
        <v>45976</v>
      </c>
      <c r="N904" s="30">
        <v>46008</v>
      </c>
      <c r="O904" s="43"/>
      <c r="P904" s="55"/>
      <c r="Q904" t="s">
        <v>1634</v>
      </c>
      <c r="R904" t="s">
        <v>1743</v>
      </c>
    </row>
    <row r="905" spans="1:18" ht="15" customHeight="1">
      <c r="A905" s="106" t="b">
        <v>1</v>
      </c>
      <c r="B905" t="str" cm="1">
        <f t="array" ref="B905">_xlfn.SINGLE(_xlfn._xlws.FILTER(t_ServiceCatalogue[Onwer],t_ServiceCatalogue[Category]=t_fac25_requirements[[#This Row],[Category]],""))</f>
        <v>EU</v>
      </c>
      <c r="C905" t="s">
        <v>156</v>
      </c>
      <c r="D905" t="str">
        <f>_xlfn._xlws.FILTER(t_Contact[FA Name],t_Contact[FA]=t_fac25_requirements[[#This Row],[FA]],"")</f>
        <v>Ticketing</v>
      </c>
      <c r="E905" t="s">
        <v>208</v>
      </c>
      <c r="F905" t="s">
        <v>325</v>
      </c>
      <c r="G905" t="s">
        <v>346</v>
      </c>
      <c r="H905" t="s">
        <v>22</v>
      </c>
      <c r="I905" t="s">
        <v>23</v>
      </c>
      <c r="J905" s="28" t="s">
        <v>370</v>
      </c>
      <c r="K905" s="32">
        <v>2</v>
      </c>
      <c r="L905" s="32">
        <v>1</v>
      </c>
      <c r="M905" s="30">
        <v>45976</v>
      </c>
      <c r="N905" s="30">
        <v>46008</v>
      </c>
      <c r="O905" s="43"/>
      <c r="P905" s="70" t="s">
        <v>1636</v>
      </c>
      <c r="Q905" t="s">
        <v>1637</v>
      </c>
      <c r="R905" t="s">
        <v>1744</v>
      </c>
    </row>
    <row r="906" spans="1:18" ht="15" customHeight="1">
      <c r="A906" s="106" t="b">
        <v>1</v>
      </c>
      <c r="B906" t="str" cm="1">
        <f t="array" ref="B906">_xlfn.SINGLE(_xlfn._xlws.FILTER(t_ServiceCatalogue[Onwer],t_ServiceCatalogue[Category]=t_fac25_requirements[[#This Row],[Category]],""))</f>
        <v>Telco/SIM</v>
      </c>
      <c r="C906" t="s">
        <v>156</v>
      </c>
      <c r="D906" t="str">
        <f>_xlfn._xlws.FILTER(t_Contact[FA Name],t_Contact[FA]=t_fac25_requirements[[#This Row],[FA]],"")</f>
        <v>Ticketing</v>
      </c>
      <c r="E906" t="s">
        <v>208</v>
      </c>
      <c r="F906" t="s">
        <v>325</v>
      </c>
      <c r="G906" t="s">
        <v>346</v>
      </c>
      <c r="H906" t="s">
        <v>84</v>
      </c>
      <c r="I906" t="s">
        <v>165</v>
      </c>
      <c r="J906" s="28" t="s">
        <v>1639</v>
      </c>
      <c r="K906" s="32">
        <v>8</v>
      </c>
      <c r="L906" s="32">
        <v>4</v>
      </c>
      <c r="M906" s="30">
        <v>45976</v>
      </c>
      <c r="N906" s="30">
        <v>46008</v>
      </c>
      <c r="O906" s="43"/>
      <c r="P906" s="55" t="s">
        <v>1640</v>
      </c>
      <c r="Q906" t="s">
        <v>1641</v>
      </c>
      <c r="R906" t="s">
        <v>1745</v>
      </c>
    </row>
    <row r="907" spans="1:18" ht="15" customHeight="1">
      <c r="A907" s="106" t="b">
        <v>1</v>
      </c>
      <c r="B907" t="str" cm="1">
        <f t="array" ref="B907">_xlfn.SINGLE(_xlfn._xlws.FILTER(t_ServiceCatalogue[Onwer],t_ServiceCatalogue[Category]=t_fac25_requirements[[#This Row],[Category]],""))</f>
        <v>EU</v>
      </c>
      <c r="C907" t="s">
        <v>156</v>
      </c>
      <c r="D907" t="str">
        <f>_xlfn._xlws.FILTER(t_Contact[FA Name],t_Contact[FA]=t_fac25_requirements[[#This Row],[FA]],"")</f>
        <v>Ticketing</v>
      </c>
      <c r="E907" t="s">
        <v>208</v>
      </c>
      <c r="F907" t="s">
        <v>325</v>
      </c>
      <c r="G907" t="s">
        <v>346</v>
      </c>
      <c r="H907" t="s">
        <v>32</v>
      </c>
      <c r="I907" t="s">
        <v>33</v>
      </c>
      <c r="J907" s="28" t="s">
        <v>637</v>
      </c>
      <c r="K907" s="32">
        <v>32</v>
      </c>
      <c r="L907" s="32">
        <v>0</v>
      </c>
      <c r="M907" s="30">
        <v>45976</v>
      </c>
      <c r="N907" s="30">
        <v>46008</v>
      </c>
      <c r="O907" s="43"/>
      <c r="P907" s="55" t="s">
        <v>1643</v>
      </c>
      <c r="Q907" t="s">
        <v>1696</v>
      </c>
      <c r="R907" t="s">
        <v>1746</v>
      </c>
    </row>
    <row r="908" spans="1:18" ht="15" customHeight="1">
      <c r="A908" s="106" t="b">
        <v>1</v>
      </c>
      <c r="B908" t="str" cm="1">
        <f t="array" ref="B908">_xlfn.SINGLE(_xlfn._xlws.FILTER(t_ServiceCatalogue[Onwer],t_ServiceCatalogue[Category]=t_fac25_requirements[[#This Row],[Category]],""))</f>
        <v>NW</v>
      </c>
      <c r="C908" t="s">
        <v>156</v>
      </c>
      <c r="D908" t="str">
        <f>_xlfn._xlws.FILTER(t_Contact[FA Name],t_Contact[FA]=t_fac25_requirements[[#This Row],[FA]],"")</f>
        <v>Ticketing</v>
      </c>
      <c r="E908" t="s">
        <v>208</v>
      </c>
      <c r="F908" t="s">
        <v>325</v>
      </c>
      <c r="G908" t="s">
        <v>356</v>
      </c>
      <c r="H908" t="s">
        <v>52</v>
      </c>
      <c r="I908" t="s">
        <v>53</v>
      </c>
      <c r="J908" s="28" t="s">
        <v>637</v>
      </c>
      <c r="K908" s="32"/>
      <c r="L908" s="32">
        <v>0</v>
      </c>
      <c r="M908" s="30">
        <v>45976</v>
      </c>
      <c r="N908" s="30">
        <v>46008</v>
      </c>
      <c r="O908" s="43"/>
      <c r="P908" s="55" t="s">
        <v>1646</v>
      </c>
      <c r="Q908" t="s">
        <v>1647</v>
      </c>
      <c r="R908" t="s">
        <v>1747</v>
      </c>
    </row>
    <row r="909" spans="1:18" ht="15" customHeight="1">
      <c r="A909" s="106" t="b">
        <v>1</v>
      </c>
      <c r="B909" t="str" cm="1">
        <f t="array" ref="B909">_xlfn.SINGLE(_xlfn._xlws.FILTER(t_ServiceCatalogue[Onwer],t_ServiceCatalogue[Category]=t_fac25_requirements[[#This Row],[Category]],""))</f>
        <v>Telco/SIM</v>
      </c>
      <c r="C909" t="s">
        <v>156</v>
      </c>
      <c r="D909" t="str">
        <f>_xlfn._xlws.FILTER(t_Contact[FA Name],t_Contact[FA]=t_fac25_requirements[[#This Row],[FA]],"")</f>
        <v>Ticketing</v>
      </c>
      <c r="E909" t="s">
        <v>208</v>
      </c>
      <c r="F909" t="s">
        <v>325</v>
      </c>
      <c r="G909" t="s">
        <v>356</v>
      </c>
      <c r="H909" t="s">
        <v>84</v>
      </c>
      <c r="I909" t="s">
        <v>85</v>
      </c>
      <c r="J909" s="28" t="s">
        <v>370</v>
      </c>
      <c r="K909" s="32"/>
      <c r="L909" s="32">
        <v>110</v>
      </c>
      <c r="M909" s="30">
        <v>45976</v>
      </c>
      <c r="N909" s="30">
        <v>46008</v>
      </c>
      <c r="O909" s="43"/>
      <c r="P909" s="55" t="s">
        <v>1649</v>
      </c>
      <c r="Q909" t="s">
        <v>1700</v>
      </c>
      <c r="R909" t="s">
        <v>1748</v>
      </c>
    </row>
    <row r="910" spans="1:18" ht="15" customHeight="1">
      <c r="A910" s="106" t="b">
        <v>0</v>
      </c>
      <c r="B910" t="str" cm="1">
        <f t="array" ref="B910">_xlfn.SINGLE(_xlfn._xlws.FILTER(t_ServiceCatalogue[Onwer],t_ServiceCatalogue[Category]=t_fac25_requirements[[#This Row],[Category]],""))</f>
        <v>NW</v>
      </c>
      <c r="C910" t="s">
        <v>156</v>
      </c>
      <c r="D910" t="str">
        <f>_xlfn._xlws.FILTER(t_Contact[FA Name],t_Contact[FA]=t_fac25_requirements[[#This Row],[FA]],"")</f>
        <v>Ticketing</v>
      </c>
      <c r="E910" t="s">
        <v>208</v>
      </c>
      <c r="F910" t="s">
        <v>296</v>
      </c>
      <c r="G910" t="s">
        <v>304</v>
      </c>
      <c r="H910" t="s">
        <v>46</v>
      </c>
      <c r="I910" t="s">
        <v>148</v>
      </c>
      <c r="J910" s="28" t="s">
        <v>1639</v>
      </c>
      <c r="K910" s="32"/>
      <c r="L910" s="32">
        <v>8</v>
      </c>
      <c r="M910" s="30">
        <v>45976</v>
      </c>
      <c r="N910" s="30">
        <v>46008</v>
      </c>
      <c r="O910" s="43"/>
      <c r="P910" s="55" t="s">
        <v>1652</v>
      </c>
      <c r="Q910" t="s">
        <v>1653</v>
      </c>
      <c r="R910" t="s">
        <v>1749</v>
      </c>
    </row>
    <row r="911" spans="1:18" ht="15" customHeight="1">
      <c r="A911" s="106" t="b">
        <v>1</v>
      </c>
      <c r="B911" t="str" cm="1">
        <f t="array" ref="B911">_xlfn.SINGLE(_xlfn._xlws.FILTER(t_ServiceCatalogue[Onwer],t_ServiceCatalogue[Category]=t_fac25_requirements[[#This Row],[Category]],""))</f>
        <v>NW</v>
      </c>
      <c r="C911" t="s">
        <v>156</v>
      </c>
      <c r="D911" t="str">
        <f>_xlfn._xlws.FILTER(t_Contact[FA Name],t_Contact[FA]=t_fac25_requirements[[#This Row],[FA]],"")</f>
        <v>Ticketing</v>
      </c>
      <c r="E911" t="s">
        <v>208</v>
      </c>
      <c r="F911" t="s">
        <v>296</v>
      </c>
      <c r="G911" t="s">
        <v>304</v>
      </c>
      <c r="H911" t="s">
        <v>52</v>
      </c>
      <c r="I911" t="s">
        <v>53</v>
      </c>
      <c r="J911" s="28" t="s">
        <v>370</v>
      </c>
      <c r="K911" s="32"/>
      <c r="L911" s="32">
        <v>4</v>
      </c>
      <c r="M911" s="30">
        <v>45976</v>
      </c>
      <c r="N911" s="30">
        <v>46008</v>
      </c>
      <c r="O911" s="43"/>
      <c r="P911" s="55"/>
      <c r="Q911" t="s">
        <v>1655</v>
      </c>
      <c r="R911" t="s">
        <v>1750</v>
      </c>
    </row>
    <row r="912" spans="1:18" ht="15" customHeight="1">
      <c r="A912" s="106" t="b">
        <v>1</v>
      </c>
      <c r="B912" t="str" cm="1">
        <f t="array" ref="B912">_xlfn.SINGLE(_xlfn._xlws.FILTER(t_ServiceCatalogue[Onwer],t_ServiceCatalogue[Category]=t_fac25_requirements[[#This Row],[Category]],""))</f>
        <v>Telco/SIM</v>
      </c>
      <c r="C912" t="s">
        <v>156</v>
      </c>
      <c r="D912" t="str">
        <f>_xlfn._xlws.FILTER(t_Contact[FA Name],t_Contact[FA]=t_fac25_requirements[[#This Row],[FA]],"")</f>
        <v>Ticketing</v>
      </c>
      <c r="E912" t="s">
        <v>208</v>
      </c>
      <c r="F912" t="s">
        <v>296</v>
      </c>
      <c r="G912" t="s">
        <v>304</v>
      </c>
      <c r="H912" t="s">
        <v>84</v>
      </c>
      <c r="I912" t="s">
        <v>165</v>
      </c>
      <c r="J912" s="28" t="s">
        <v>637</v>
      </c>
      <c r="K912" s="32">
        <v>4</v>
      </c>
      <c r="L912" s="32">
        <v>0</v>
      </c>
      <c r="M912" s="30">
        <v>45976</v>
      </c>
      <c r="N912" s="30">
        <v>46008</v>
      </c>
      <c r="O912" s="43"/>
      <c r="P912" s="55" t="s">
        <v>1657</v>
      </c>
      <c r="Q912" t="s">
        <v>1658</v>
      </c>
      <c r="R912" t="s">
        <v>1751</v>
      </c>
    </row>
    <row r="913" spans="1:18" ht="15" customHeight="1">
      <c r="A913" s="106" t="b">
        <v>1</v>
      </c>
      <c r="B913" t="str" cm="1">
        <f t="array" ref="B913">_xlfn.SINGLE(_xlfn._xlws.FILTER(t_ServiceCatalogue[Onwer],t_ServiceCatalogue[Category]=t_fac25_requirements[[#This Row],[Category]],""))</f>
        <v>EU</v>
      </c>
      <c r="C913" t="s">
        <v>156</v>
      </c>
      <c r="D913" t="str">
        <f>_xlfn._xlws.FILTER(t_Contact[FA Name],t_Contact[FA]=t_fac25_requirements[[#This Row],[FA]],"")</f>
        <v>Ticketing</v>
      </c>
      <c r="E913" t="s">
        <v>208</v>
      </c>
      <c r="F913" t="s">
        <v>296</v>
      </c>
      <c r="G913" t="s">
        <v>304</v>
      </c>
      <c r="H913" t="s">
        <v>32</v>
      </c>
      <c r="I913" t="s">
        <v>33</v>
      </c>
      <c r="J913" s="28" t="s">
        <v>637</v>
      </c>
      <c r="K913" s="32">
        <v>8</v>
      </c>
      <c r="L913" s="32">
        <v>0</v>
      </c>
      <c r="M913" s="30">
        <v>45976</v>
      </c>
      <c r="N913" s="30">
        <v>46008</v>
      </c>
      <c r="O913" s="43" t="s">
        <v>34</v>
      </c>
      <c r="P913" s="55" t="s">
        <v>1643</v>
      </c>
      <c r="Q913" t="s">
        <v>1660</v>
      </c>
      <c r="R913" t="s">
        <v>1752</v>
      </c>
    </row>
    <row r="914" spans="1:18" ht="15" customHeight="1">
      <c r="A914" s="106" t="b">
        <v>1</v>
      </c>
      <c r="B914" t="str" cm="1">
        <f t="array" ref="B914">_xlfn.SINGLE(_xlfn._xlws.FILTER(t_ServiceCatalogue[Onwer],t_ServiceCatalogue[Category]=t_fac25_requirements[[#This Row],[Category]],""))</f>
        <v>NW</v>
      </c>
      <c r="C914" t="s">
        <v>156</v>
      </c>
      <c r="D914" t="str">
        <f>_xlfn._xlws.FILTER(t_Contact[FA Name],t_Contact[FA]=t_fac25_requirements[[#This Row],[FA]],"")</f>
        <v>Ticketing</v>
      </c>
      <c r="E914" t="s">
        <v>208</v>
      </c>
      <c r="F914" t="s">
        <v>296</v>
      </c>
      <c r="G914" t="s">
        <v>433</v>
      </c>
      <c r="H914" t="s">
        <v>52</v>
      </c>
      <c r="I914" t="s">
        <v>53</v>
      </c>
      <c r="J914" s="28" t="s">
        <v>637</v>
      </c>
      <c r="K914" s="32">
        <v>1</v>
      </c>
      <c r="L914" s="32">
        <v>0</v>
      </c>
      <c r="M914" s="30">
        <v>45976</v>
      </c>
      <c r="N914" s="30">
        <v>46008</v>
      </c>
      <c r="O914" s="43"/>
      <c r="P914" s="55" t="s">
        <v>1662</v>
      </c>
      <c r="Q914" t="s">
        <v>1663</v>
      </c>
      <c r="R914" t="s">
        <v>1753</v>
      </c>
    </row>
    <row r="915" spans="1:18" ht="15" customHeight="1">
      <c r="A915" s="106" t="b">
        <v>1</v>
      </c>
      <c r="B915" t="str" cm="1">
        <f t="array" ref="B915">_xlfn.SINGLE(_xlfn._xlws.FILTER(t_ServiceCatalogue[Onwer],t_ServiceCatalogue[Category]=t_fac25_requirements[[#This Row],[Category]],""))</f>
        <v>NW</v>
      </c>
      <c r="C915" t="s">
        <v>156</v>
      </c>
      <c r="D915" t="str">
        <f>_xlfn._xlws.FILTER(t_Contact[FA Name],t_Contact[FA]=t_fac25_requirements[[#This Row],[FA]],"")</f>
        <v>Ticketing</v>
      </c>
      <c r="E915" t="s">
        <v>208</v>
      </c>
      <c r="F915" t="s">
        <v>305</v>
      </c>
      <c r="G915" t="s">
        <v>421</v>
      </c>
      <c r="H915" t="s">
        <v>52</v>
      </c>
      <c r="I915" t="s">
        <v>53</v>
      </c>
      <c r="J915" s="28" t="s">
        <v>637</v>
      </c>
      <c r="K915" s="32">
        <v>1</v>
      </c>
      <c r="L915" s="32">
        <v>0</v>
      </c>
      <c r="M915" s="30">
        <v>45976</v>
      </c>
      <c r="N915" s="30">
        <v>46008</v>
      </c>
      <c r="O915" s="43"/>
      <c r="P915" s="55"/>
      <c r="Q915" t="s">
        <v>1665</v>
      </c>
      <c r="R915" t="s">
        <v>1754</v>
      </c>
    </row>
    <row r="916" spans="1:18" ht="15" customHeight="1">
      <c r="A916" s="106" t="b">
        <v>1</v>
      </c>
      <c r="B916" t="str" cm="1">
        <f t="array" ref="B916">_xlfn.SINGLE(_xlfn._xlws.FILTER(t_ServiceCatalogue[Onwer],t_ServiceCatalogue[Category]=t_fac25_requirements[[#This Row],[Category]],""))</f>
        <v>NW</v>
      </c>
      <c r="C916" t="s">
        <v>156</v>
      </c>
      <c r="D916" t="str">
        <f>_xlfn._xlws.FILTER(t_Contact[FA Name],t_Contact[FA]=t_fac25_requirements[[#This Row],[FA]],"")</f>
        <v>Ticketing</v>
      </c>
      <c r="E916" t="s">
        <v>208</v>
      </c>
      <c r="F916" t="s">
        <v>305</v>
      </c>
      <c r="G916" t="s">
        <v>421</v>
      </c>
      <c r="H916" t="s">
        <v>46</v>
      </c>
      <c r="I916" t="s">
        <v>148</v>
      </c>
      <c r="J916" s="28" t="s">
        <v>637</v>
      </c>
      <c r="K916" s="32"/>
      <c r="L916" s="32">
        <v>0</v>
      </c>
      <c r="M916" s="30">
        <v>45971</v>
      </c>
      <c r="N916" s="30">
        <v>46008</v>
      </c>
      <c r="O916" s="43"/>
      <c r="P916" s="55" t="s">
        <v>1667</v>
      </c>
      <c r="Q916" t="s">
        <v>1668</v>
      </c>
      <c r="R916" t="s">
        <v>1755</v>
      </c>
    </row>
    <row r="917" spans="1:18" ht="15" customHeight="1">
      <c r="A917" s="106" t="b">
        <v>1</v>
      </c>
      <c r="B917" t="str" cm="1">
        <f t="array" ref="B917">_xlfn.SINGLE(_xlfn._xlws.FILTER(t_ServiceCatalogue[Onwer],t_ServiceCatalogue[Category]=t_fac25_requirements[[#This Row],[Category]],""))</f>
        <v>EU</v>
      </c>
      <c r="C917" t="s">
        <v>156</v>
      </c>
      <c r="D917" t="str">
        <f>_xlfn._xlws.FILTER(t_Contact[FA Name],t_Contact[FA]=t_fac25_requirements[[#This Row],[FA]],"")</f>
        <v>Ticketing</v>
      </c>
      <c r="E917" t="s">
        <v>208</v>
      </c>
      <c r="F917" t="s">
        <v>305</v>
      </c>
      <c r="G917" t="s">
        <v>421</v>
      </c>
      <c r="H917" t="s">
        <v>22</v>
      </c>
      <c r="I917" t="s">
        <v>28</v>
      </c>
      <c r="J917" s="28" t="s">
        <v>637</v>
      </c>
      <c r="K917" s="32"/>
      <c r="L917" s="32">
        <v>0</v>
      </c>
      <c r="M917" s="30">
        <v>45971</v>
      </c>
      <c r="N917" s="30">
        <v>46008</v>
      </c>
      <c r="O917" s="43"/>
      <c r="P917" s="55" t="s">
        <v>1670</v>
      </c>
      <c r="Q917" t="s">
        <v>1671</v>
      </c>
      <c r="R917" t="s">
        <v>1756</v>
      </c>
    </row>
    <row r="918" spans="1:18" ht="15" customHeight="1">
      <c r="A918" s="106" t="b">
        <v>1</v>
      </c>
      <c r="B918" t="str" cm="1">
        <f t="array" ref="B918">_xlfn.SINGLE(_xlfn._xlws.FILTER(t_ServiceCatalogue[Onwer],t_ServiceCatalogue[Category]=t_fac25_requirements[[#This Row],[Category]],""))</f>
        <v>AV</v>
      </c>
      <c r="C918" t="s">
        <v>156</v>
      </c>
      <c r="D918" t="str">
        <f>_xlfn._xlws.FILTER(t_Contact[FA Name],t_Contact[FA]=t_fac25_requirements[[#This Row],[FA]],"")</f>
        <v>Ticketing</v>
      </c>
      <c r="E918" t="s">
        <v>208</v>
      </c>
      <c r="F918" t="s">
        <v>305</v>
      </c>
      <c r="G918" t="s">
        <v>421</v>
      </c>
      <c r="H918" t="s">
        <v>110</v>
      </c>
      <c r="I918" t="s">
        <v>111</v>
      </c>
      <c r="J918" s="28" t="s">
        <v>637</v>
      </c>
      <c r="K918" s="32">
        <v>1</v>
      </c>
      <c r="L918" s="32">
        <v>0</v>
      </c>
      <c r="M918" s="30">
        <v>45971</v>
      </c>
      <c r="N918" s="30">
        <v>46008</v>
      </c>
      <c r="O918" s="43"/>
      <c r="P918" s="55" t="s">
        <v>1673</v>
      </c>
      <c r="Q918" t="s">
        <v>1674</v>
      </c>
      <c r="R918" t="s">
        <v>1757</v>
      </c>
    </row>
    <row r="919" spans="1:18" ht="15" customHeight="1">
      <c r="A919" s="106" t="b">
        <v>1</v>
      </c>
      <c r="B919" t="str" cm="1">
        <f t="array" ref="B919">_xlfn.SINGLE(_xlfn._xlws.FILTER(t_ServiceCatalogue[Onwer],t_ServiceCatalogue[Category]=t_fac25_requirements[[#This Row],[Category]],""))</f>
        <v>NW</v>
      </c>
      <c r="C919" t="s">
        <v>156</v>
      </c>
      <c r="D919" t="str">
        <f>_xlfn._xlws.FILTER(t_Contact[FA Name],t_Contact[FA]=t_fac25_requirements[[#This Row],[FA]],"")</f>
        <v>Ticketing</v>
      </c>
      <c r="E919" t="s">
        <v>208</v>
      </c>
      <c r="F919" t="s">
        <v>305</v>
      </c>
      <c r="G919" t="s">
        <v>320</v>
      </c>
      <c r="H919" t="s">
        <v>46</v>
      </c>
      <c r="I919" t="s">
        <v>148</v>
      </c>
      <c r="J919" s="28" t="s">
        <v>637</v>
      </c>
      <c r="K919" s="32"/>
      <c r="L919" s="32">
        <v>0</v>
      </c>
      <c r="M919" s="30">
        <v>45976</v>
      </c>
      <c r="N919" s="30">
        <v>46008</v>
      </c>
      <c r="O919" s="43"/>
      <c r="P919" s="55" t="s">
        <v>1667</v>
      </c>
      <c r="Q919" t="s">
        <v>1676</v>
      </c>
      <c r="R919" t="s">
        <v>1758</v>
      </c>
    </row>
    <row r="920" spans="1:18" ht="15" customHeight="1">
      <c r="A920" s="106" t="b">
        <v>1</v>
      </c>
      <c r="B920" t="str" cm="1">
        <f t="array" ref="B920">_xlfn.SINGLE(_xlfn._xlws.FILTER(t_ServiceCatalogue[Onwer],t_ServiceCatalogue[Category]=t_fac25_requirements[[#This Row],[Category]],""))</f>
        <v>NW</v>
      </c>
      <c r="C920" t="s">
        <v>156</v>
      </c>
      <c r="D920" t="str">
        <f>_xlfn._xlws.FILTER(t_Contact[FA Name],t_Contact[FA]=t_fac25_requirements[[#This Row],[FA]],"")</f>
        <v>Ticketing</v>
      </c>
      <c r="E920" t="s">
        <v>208</v>
      </c>
      <c r="F920" t="s">
        <v>305</v>
      </c>
      <c r="G920" t="s">
        <v>320</v>
      </c>
      <c r="H920" t="s">
        <v>52</v>
      </c>
      <c r="I920" t="s">
        <v>53</v>
      </c>
      <c r="J920" s="28" t="s">
        <v>370</v>
      </c>
      <c r="K920" s="32"/>
      <c r="L920" s="32">
        <v>1</v>
      </c>
      <c r="M920" s="30">
        <v>45976</v>
      </c>
      <c r="N920" s="30">
        <v>46008</v>
      </c>
      <c r="O920" s="43"/>
      <c r="P920" s="55"/>
      <c r="Q920" t="s">
        <v>1678</v>
      </c>
      <c r="R920" t="s">
        <v>1759</v>
      </c>
    </row>
    <row r="921" spans="1:18" ht="15" customHeight="1">
      <c r="A921" s="106" t="b">
        <v>1</v>
      </c>
      <c r="B921" t="str" cm="1">
        <f t="array" ref="B921">_xlfn.SINGLE(_xlfn._xlws.FILTER(t_ServiceCatalogue[Onwer],t_ServiceCatalogue[Category]=t_fac25_requirements[[#This Row],[Category]],""))</f>
        <v>EU</v>
      </c>
      <c r="C921" t="s">
        <v>156</v>
      </c>
      <c r="D921" t="str">
        <f>_xlfn._xlws.FILTER(t_Contact[FA Name],t_Contact[FA]=t_fac25_requirements[[#This Row],[FA]],"")</f>
        <v>Ticketing</v>
      </c>
      <c r="E921" t="s">
        <v>208</v>
      </c>
      <c r="F921" t="s">
        <v>305</v>
      </c>
      <c r="G921" t="s">
        <v>320</v>
      </c>
      <c r="H921" t="s">
        <v>22</v>
      </c>
      <c r="I921" t="s">
        <v>23</v>
      </c>
      <c r="J921" s="28" t="s">
        <v>637</v>
      </c>
      <c r="K921" s="32"/>
      <c r="L921" s="32">
        <v>0</v>
      </c>
      <c r="M921" s="30">
        <v>45976</v>
      </c>
      <c r="N921" s="30">
        <v>46008</v>
      </c>
      <c r="O921" s="43"/>
      <c r="P921" s="55" t="s">
        <v>1430</v>
      </c>
      <c r="Q921" t="s">
        <v>1680</v>
      </c>
      <c r="R921" t="s">
        <v>1760</v>
      </c>
    </row>
    <row r="922" spans="1:18" ht="15" customHeight="1">
      <c r="A922" s="106" t="b">
        <v>1</v>
      </c>
      <c r="B922" t="str" cm="1">
        <f t="array" ref="B922">_xlfn.SINGLE(_xlfn._xlws.FILTER(t_ServiceCatalogue[Onwer],t_ServiceCatalogue[Category]=t_fac25_requirements[[#This Row],[Category]],""))</f>
        <v>NW</v>
      </c>
      <c r="C922" t="s">
        <v>156</v>
      </c>
      <c r="D922" t="str">
        <f>_xlfn._xlws.FILTER(t_Contact[FA Name],t_Contact[FA]=t_fac25_requirements[[#This Row],[FA]],"")</f>
        <v>Ticketing</v>
      </c>
      <c r="E922" t="s">
        <v>208</v>
      </c>
      <c r="F922" t="s">
        <v>305</v>
      </c>
      <c r="G922" t="s">
        <v>321</v>
      </c>
      <c r="H922" t="s">
        <v>46</v>
      </c>
      <c r="I922" t="s">
        <v>148</v>
      </c>
      <c r="J922" s="28" t="s">
        <v>370</v>
      </c>
      <c r="K922" s="32"/>
      <c r="L922" s="32">
        <v>2</v>
      </c>
      <c r="M922" s="30">
        <v>45981</v>
      </c>
      <c r="N922" s="30">
        <v>46008</v>
      </c>
      <c r="O922" s="43"/>
      <c r="P922" s="55" t="s">
        <v>1682</v>
      </c>
      <c r="Q922" t="s">
        <v>1683</v>
      </c>
      <c r="R922" t="s">
        <v>1761</v>
      </c>
    </row>
    <row r="923" spans="1:18" ht="15" customHeight="1">
      <c r="A923" s="106" t="b">
        <v>1</v>
      </c>
      <c r="B923" t="str" cm="1">
        <f t="array" ref="B923">_xlfn.SINGLE(_xlfn._xlws.FILTER(t_ServiceCatalogue[Onwer],t_ServiceCatalogue[Category]=t_fac25_requirements[[#This Row],[Category]],""))</f>
        <v>EU</v>
      </c>
      <c r="C923" t="s">
        <v>156</v>
      </c>
      <c r="D923" t="str">
        <f>_xlfn._xlws.FILTER(t_Contact[FA Name],t_Contact[FA]=t_fac25_requirements[[#This Row],[FA]],"")</f>
        <v>Ticketing</v>
      </c>
      <c r="E923" t="s">
        <v>208</v>
      </c>
      <c r="F923" t="s">
        <v>305</v>
      </c>
      <c r="G923" t="s">
        <v>321</v>
      </c>
      <c r="H923" t="s">
        <v>32</v>
      </c>
      <c r="I923" t="s">
        <v>33</v>
      </c>
      <c r="J923" s="28" t="s">
        <v>370</v>
      </c>
      <c r="K923" s="32">
        <v>2</v>
      </c>
      <c r="L923" s="32">
        <v>1</v>
      </c>
      <c r="M923" s="30">
        <v>45981</v>
      </c>
      <c r="N923" s="30">
        <v>46008</v>
      </c>
      <c r="O923" s="43"/>
      <c r="P923" s="70" t="s">
        <v>1685</v>
      </c>
      <c r="Q923" t="s">
        <v>1686</v>
      </c>
      <c r="R923" t="s">
        <v>1762</v>
      </c>
    </row>
    <row r="924" spans="1:18" ht="15" customHeight="1">
      <c r="A924" s="106" t="b">
        <v>1</v>
      </c>
      <c r="B924" t="str" cm="1">
        <f t="array" ref="B924">_xlfn.SINGLE(_xlfn._xlws.FILTER(t_ServiceCatalogue[Onwer],t_ServiceCatalogue[Category]=t_fac25_requirements[[#This Row],[Category]],""))</f>
        <v>AV</v>
      </c>
      <c r="C924" t="s">
        <v>182</v>
      </c>
      <c r="D924" t="str">
        <f>_xlfn._xlws.FILTER(t_Contact[FA Name],t_Contact[FA]=t_fac25_requirements[[#This Row],[FA]],"")</f>
        <v>ICT</v>
      </c>
      <c r="E924" t="s">
        <v>208</v>
      </c>
      <c r="F924" t="s">
        <v>305</v>
      </c>
      <c r="G924" t="s">
        <v>324</v>
      </c>
      <c r="H924" t="s">
        <v>110</v>
      </c>
      <c r="I924" t="s">
        <v>111</v>
      </c>
      <c r="J924" s="28" t="s">
        <v>370</v>
      </c>
      <c r="K924" s="32"/>
      <c r="L924" s="32">
        <v>1</v>
      </c>
      <c r="M924" s="30">
        <v>45981</v>
      </c>
      <c r="N924" s="30">
        <v>46008</v>
      </c>
      <c r="O924" s="43"/>
      <c r="P924" s="55" t="s">
        <v>1688</v>
      </c>
      <c r="Q924" t="s">
        <v>1689</v>
      </c>
      <c r="R924" t="s">
        <v>1763</v>
      </c>
    </row>
    <row r="925" spans="1:18" ht="15" customHeight="1">
      <c r="A925" s="106" t="b">
        <v>0</v>
      </c>
      <c r="B925" t="str" cm="1">
        <f t="array" ref="B925">_xlfn.SINGLE(_xlfn._xlws.FILTER(t_ServiceCatalogue[Onwer],t_ServiceCatalogue[Category]=t_fac25_requirements[[#This Row],[Category]],""))</f>
        <v>NW</v>
      </c>
      <c r="C925" t="s">
        <v>156</v>
      </c>
      <c r="D925" t="str">
        <f>_xlfn._xlws.FILTER(t_Contact[FA Name],t_Contact[FA]=t_fac25_requirements[[#This Row],[FA]],"")</f>
        <v>Ticketing</v>
      </c>
      <c r="E925" t="s">
        <v>212</v>
      </c>
      <c r="F925" t="s">
        <v>325</v>
      </c>
      <c r="G925" t="s">
        <v>332</v>
      </c>
      <c r="H925" t="s">
        <v>46</v>
      </c>
      <c r="I925" t="s">
        <v>335</v>
      </c>
      <c r="J925" s="28" t="s">
        <v>407</v>
      </c>
      <c r="K925" s="32"/>
      <c r="L925" s="32">
        <v>8</v>
      </c>
      <c r="M925" s="30">
        <v>45976</v>
      </c>
      <c r="N925" s="30">
        <v>46003</v>
      </c>
      <c r="O925" s="43"/>
      <c r="P925" s="55" t="s">
        <v>1691</v>
      </c>
      <c r="Q925" t="s">
        <v>1632</v>
      </c>
      <c r="R925" t="s">
        <v>1764</v>
      </c>
    </row>
    <row r="926" spans="1:18" ht="15" customHeight="1">
      <c r="A926" s="106" t="b">
        <v>0</v>
      </c>
      <c r="B926" t="str" cm="1">
        <f t="array" ref="B926">_xlfn.SINGLE(_xlfn._xlws.FILTER(t_ServiceCatalogue[Onwer],t_ServiceCatalogue[Category]=t_fac25_requirements[[#This Row],[Category]],""))</f>
        <v>NW</v>
      </c>
      <c r="C926" t="s">
        <v>156</v>
      </c>
      <c r="D926" t="str">
        <f>_xlfn._xlws.FILTER(t_Contact[FA Name],t_Contact[FA]=t_fac25_requirements[[#This Row],[FA]],"")</f>
        <v>Ticketing</v>
      </c>
      <c r="E926" t="s">
        <v>212</v>
      </c>
      <c r="F926" t="s">
        <v>325</v>
      </c>
      <c r="G926" t="s">
        <v>332</v>
      </c>
      <c r="H926" t="s">
        <v>52</v>
      </c>
      <c r="I926" t="s">
        <v>53</v>
      </c>
      <c r="J926" s="28" t="s">
        <v>407</v>
      </c>
      <c r="K926" s="32"/>
      <c r="L926" s="32">
        <v>2</v>
      </c>
      <c r="M926" s="30">
        <v>45976</v>
      </c>
      <c r="N926" s="30">
        <v>46003</v>
      </c>
      <c r="O926" s="43"/>
      <c r="P926" s="55" t="s">
        <v>1691</v>
      </c>
      <c r="Q926" t="s">
        <v>1634</v>
      </c>
      <c r="R926" t="s">
        <v>1765</v>
      </c>
    </row>
    <row r="927" spans="1:18" ht="15" customHeight="1">
      <c r="A927" s="106" t="b">
        <v>1</v>
      </c>
      <c r="B927" t="str" cm="1">
        <f t="array" ref="B927">_xlfn.SINGLE(_xlfn._xlws.FILTER(t_ServiceCatalogue[Onwer],t_ServiceCatalogue[Category]=t_fac25_requirements[[#This Row],[Category]],""))</f>
        <v>EU</v>
      </c>
      <c r="C927" t="s">
        <v>156</v>
      </c>
      <c r="D927" t="str">
        <f>_xlfn._xlws.FILTER(t_Contact[FA Name],t_Contact[FA]=t_fac25_requirements[[#This Row],[FA]],"")</f>
        <v>Ticketing</v>
      </c>
      <c r="E927" t="s">
        <v>212</v>
      </c>
      <c r="F927" t="s">
        <v>325</v>
      </c>
      <c r="G927" t="s">
        <v>330</v>
      </c>
      <c r="H927" t="s">
        <v>22</v>
      </c>
      <c r="I927" t="s">
        <v>23</v>
      </c>
      <c r="J927" s="28" t="s">
        <v>370</v>
      </c>
      <c r="K927" s="32">
        <v>2</v>
      </c>
      <c r="L927" s="32">
        <v>1</v>
      </c>
      <c r="M927" s="30">
        <v>45976</v>
      </c>
      <c r="N927" s="30">
        <v>46003</v>
      </c>
      <c r="O927" s="43"/>
      <c r="P927" s="70" t="s">
        <v>1636</v>
      </c>
      <c r="Q927" t="s">
        <v>1637</v>
      </c>
      <c r="R927" t="s">
        <v>1766</v>
      </c>
    </row>
    <row r="928" spans="1:18" ht="15" customHeight="1">
      <c r="A928" s="106" t="b">
        <v>0</v>
      </c>
      <c r="B928" t="str" cm="1">
        <f t="array" ref="B928">_xlfn.SINGLE(_xlfn._xlws.FILTER(t_ServiceCatalogue[Onwer],t_ServiceCatalogue[Category]=t_fac25_requirements[[#This Row],[Category]],""))</f>
        <v>Telco/SIM</v>
      </c>
      <c r="C928" t="s">
        <v>156</v>
      </c>
      <c r="D928" t="str">
        <f>_xlfn._xlws.FILTER(t_Contact[FA Name],t_Contact[FA]=t_fac25_requirements[[#This Row],[FA]],"")</f>
        <v>Ticketing</v>
      </c>
      <c r="E928" t="s">
        <v>212</v>
      </c>
      <c r="F928" t="s">
        <v>325</v>
      </c>
      <c r="G928" t="s">
        <v>330</v>
      </c>
      <c r="H928" t="s">
        <v>84</v>
      </c>
      <c r="I928" t="s">
        <v>165</v>
      </c>
      <c r="J928" s="28" t="s">
        <v>1639</v>
      </c>
      <c r="K928" s="32">
        <v>6</v>
      </c>
      <c r="L928" s="32">
        <v>3</v>
      </c>
      <c r="M928" s="30">
        <v>45976</v>
      </c>
      <c r="N928" s="30">
        <v>46003</v>
      </c>
      <c r="O928" s="43"/>
      <c r="P928" s="55" t="s">
        <v>1640</v>
      </c>
      <c r="Q928" t="s">
        <v>1641</v>
      </c>
      <c r="R928" t="s">
        <v>1767</v>
      </c>
    </row>
    <row r="929" spans="1:18" ht="15" customHeight="1">
      <c r="A929" s="106" t="b">
        <v>1</v>
      </c>
      <c r="B929" t="str" cm="1">
        <f t="array" ref="B929">_xlfn.SINGLE(_xlfn._xlws.FILTER(t_ServiceCatalogue[Onwer],t_ServiceCatalogue[Category]=t_fac25_requirements[[#This Row],[Category]],""))</f>
        <v>EU</v>
      </c>
      <c r="C929" t="s">
        <v>156</v>
      </c>
      <c r="D929" t="str">
        <f>_xlfn._xlws.FILTER(t_Contact[FA Name],t_Contact[FA]=t_fac25_requirements[[#This Row],[FA]],"")</f>
        <v>Ticketing</v>
      </c>
      <c r="E929" t="s">
        <v>212</v>
      </c>
      <c r="F929" t="s">
        <v>325</v>
      </c>
      <c r="G929" t="s">
        <v>330</v>
      </c>
      <c r="H929" t="s">
        <v>32</v>
      </c>
      <c r="I929" t="s">
        <v>33</v>
      </c>
      <c r="J929" s="28" t="s">
        <v>637</v>
      </c>
      <c r="K929" s="32">
        <v>24</v>
      </c>
      <c r="L929" s="32">
        <v>0</v>
      </c>
      <c r="M929" s="30">
        <v>45976</v>
      </c>
      <c r="N929" s="30">
        <v>46003</v>
      </c>
      <c r="O929" s="43"/>
      <c r="P929" s="55" t="s">
        <v>1643</v>
      </c>
      <c r="Q929" t="s">
        <v>1644</v>
      </c>
      <c r="R929" t="s">
        <v>1768</v>
      </c>
    </row>
    <row r="930" spans="1:18" ht="15" customHeight="1">
      <c r="A930" s="106" t="b">
        <v>1</v>
      </c>
      <c r="B930" t="str" cm="1">
        <f t="array" ref="B930">_xlfn.SINGLE(_xlfn._xlws.FILTER(t_ServiceCatalogue[Onwer],t_ServiceCatalogue[Category]=t_fac25_requirements[[#This Row],[Category]],""))</f>
        <v>NW</v>
      </c>
      <c r="C930" t="s">
        <v>156</v>
      </c>
      <c r="D930" t="str">
        <f>_xlfn._xlws.FILTER(t_Contact[FA Name],t_Contact[FA]=t_fac25_requirements[[#This Row],[FA]],"")</f>
        <v>Ticketing</v>
      </c>
      <c r="E930" t="s">
        <v>212</v>
      </c>
      <c r="F930" t="s">
        <v>325</v>
      </c>
      <c r="G930" t="s">
        <v>329</v>
      </c>
      <c r="H930" t="s">
        <v>52</v>
      </c>
      <c r="I930" t="s">
        <v>53</v>
      </c>
      <c r="J930" s="28" t="s">
        <v>637</v>
      </c>
      <c r="K930" s="32"/>
      <c r="L930" s="32">
        <v>0</v>
      </c>
      <c r="M930" s="30">
        <v>45976</v>
      </c>
      <c r="N930" s="30">
        <v>46003</v>
      </c>
      <c r="O930" s="43"/>
      <c r="P930" s="55" t="s">
        <v>1769</v>
      </c>
      <c r="Q930" t="s">
        <v>1647</v>
      </c>
      <c r="R930" t="s">
        <v>1770</v>
      </c>
    </row>
    <row r="931" spans="1:18" ht="15" customHeight="1">
      <c r="A931" s="106" t="b">
        <v>1</v>
      </c>
      <c r="B931" t="str" cm="1">
        <f t="array" ref="B931">_xlfn.SINGLE(_xlfn._xlws.FILTER(t_ServiceCatalogue[Onwer],t_ServiceCatalogue[Category]=t_fac25_requirements[[#This Row],[Category]],""))</f>
        <v>Telco/SIM</v>
      </c>
      <c r="C931" t="s">
        <v>156</v>
      </c>
      <c r="D931" t="str">
        <f>_xlfn._xlws.FILTER(t_Contact[FA Name],t_Contact[FA]=t_fac25_requirements[[#This Row],[FA]],"")</f>
        <v>Ticketing</v>
      </c>
      <c r="E931" t="s">
        <v>212</v>
      </c>
      <c r="F931" t="s">
        <v>325</v>
      </c>
      <c r="G931" t="s">
        <v>329</v>
      </c>
      <c r="H931" t="s">
        <v>84</v>
      </c>
      <c r="I931" t="s">
        <v>85</v>
      </c>
      <c r="J931" s="28" t="s">
        <v>370</v>
      </c>
      <c r="K931" s="32"/>
      <c r="L931" s="32">
        <v>90</v>
      </c>
      <c r="M931" s="30">
        <v>45976</v>
      </c>
      <c r="N931" s="30">
        <v>46003</v>
      </c>
      <c r="O931" s="43"/>
      <c r="P931" s="55" t="s">
        <v>1649</v>
      </c>
      <c r="Q931" t="s">
        <v>1700</v>
      </c>
      <c r="R931" t="s">
        <v>1771</v>
      </c>
    </row>
    <row r="932" spans="1:18" ht="15" customHeight="1">
      <c r="A932" s="106" t="b">
        <v>0</v>
      </c>
      <c r="B932" t="str" cm="1">
        <f t="array" ref="B932">_xlfn.SINGLE(_xlfn._xlws.FILTER(t_ServiceCatalogue[Onwer],t_ServiceCatalogue[Category]=t_fac25_requirements[[#This Row],[Category]],""))</f>
        <v>NW</v>
      </c>
      <c r="C932" t="s">
        <v>156</v>
      </c>
      <c r="D932" t="str">
        <f>_xlfn._xlws.FILTER(t_Contact[FA Name],t_Contact[FA]=t_fac25_requirements[[#This Row],[FA]],"")</f>
        <v>Ticketing</v>
      </c>
      <c r="E932" t="s">
        <v>212</v>
      </c>
      <c r="F932" t="s">
        <v>296</v>
      </c>
      <c r="G932" t="s">
        <v>304</v>
      </c>
      <c r="H932" t="s">
        <v>46</v>
      </c>
      <c r="I932" t="s">
        <v>148</v>
      </c>
      <c r="J932" s="28" t="s">
        <v>1639</v>
      </c>
      <c r="K932" s="32"/>
      <c r="L932" s="32">
        <v>8</v>
      </c>
      <c r="M932" s="30">
        <v>45976</v>
      </c>
      <c r="N932" s="30">
        <v>46003</v>
      </c>
      <c r="O932" s="43"/>
      <c r="P932" s="55" t="s">
        <v>1652</v>
      </c>
      <c r="Q932" t="s">
        <v>1653</v>
      </c>
      <c r="R932" t="s">
        <v>1772</v>
      </c>
    </row>
    <row r="933" spans="1:18" ht="15" customHeight="1">
      <c r="A933" s="106" t="b">
        <v>0</v>
      </c>
      <c r="B933" t="str" cm="1">
        <f t="array" ref="B933">_xlfn.SINGLE(_xlfn._xlws.FILTER(t_ServiceCatalogue[Onwer],t_ServiceCatalogue[Category]=t_fac25_requirements[[#This Row],[Category]],""))</f>
        <v>NW</v>
      </c>
      <c r="C933" t="s">
        <v>156</v>
      </c>
      <c r="D933" t="str">
        <f>_xlfn._xlws.FILTER(t_Contact[FA Name],t_Contact[FA]=t_fac25_requirements[[#This Row],[FA]],"")</f>
        <v>Ticketing</v>
      </c>
      <c r="E933" t="s">
        <v>212</v>
      </c>
      <c r="F933" t="s">
        <v>296</v>
      </c>
      <c r="G933" t="s">
        <v>304</v>
      </c>
      <c r="H933" t="s">
        <v>52</v>
      </c>
      <c r="I933" t="s">
        <v>53</v>
      </c>
      <c r="J933" s="28" t="s">
        <v>370</v>
      </c>
      <c r="K933" s="32"/>
      <c r="L933" s="32">
        <v>4</v>
      </c>
      <c r="M933" s="30">
        <v>45976</v>
      </c>
      <c r="N933" s="30">
        <v>46003</v>
      </c>
      <c r="O933" s="43"/>
      <c r="P933" s="55"/>
      <c r="Q933" t="s">
        <v>1655</v>
      </c>
      <c r="R933" t="s">
        <v>1773</v>
      </c>
    </row>
    <row r="934" spans="1:18" ht="15" customHeight="1">
      <c r="A934" s="106" t="b">
        <v>1</v>
      </c>
      <c r="B934" t="str" cm="1">
        <f t="array" ref="B934">_xlfn.SINGLE(_xlfn._xlws.FILTER(t_ServiceCatalogue[Onwer],t_ServiceCatalogue[Category]=t_fac25_requirements[[#This Row],[Category]],""))</f>
        <v>Telco/SIM</v>
      </c>
      <c r="C934" t="s">
        <v>156</v>
      </c>
      <c r="D934" t="str">
        <f>_xlfn._xlws.FILTER(t_Contact[FA Name],t_Contact[FA]=t_fac25_requirements[[#This Row],[FA]],"")</f>
        <v>Ticketing</v>
      </c>
      <c r="E934" t="s">
        <v>212</v>
      </c>
      <c r="F934" t="s">
        <v>296</v>
      </c>
      <c r="G934" t="s">
        <v>304</v>
      </c>
      <c r="H934" t="s">
        <v>84</v>
      </c>
      <c r="I934" t="s">
        <v>165</v>
      </c>
      <c r="J934" s="28" t="s">
        <v>637</v>
      </c>
      <c r="K934" s="32">
        <v>4</v>
      </c>
      <c r="L934" s="32">
        <v>0</v>
      </c>
      <c r="M934" s="30">
        <v>45976</v>
      </c>
      <c r="N934" s="30">
        <v>46003</v>
      </c>
      <c r="O934" s="43"/>
      <c r="P934" s="55" t="s">
        <v>1657</v>
      </c>
      <c r="Q934" t="s">
        <v>1658</v>
      </c>
      <c r="R934" t="s">
        <v>1774</v>
      </c>
    </row>
    <row r="935" spans="1:18" ht="15" customHeight="1">
      <c r="A935" s="106" t="b">
        <v>1</v>
      </c>
      <c r="B935" t="str" cm="1">
        <f t="array" ref="B935">_xlfn.SINGLE(_xlfn._xlws.FILTER(t_ServiceCatalogue[Onwer],t_ServiceCatalogue[Category]=t_fac25_requirements[[#This Row],[Category]],""))</f>
        <v>EU</v>
      </c>
      <c r="C935" t="s">
        <v>156</v>
      </c>
      <c r="D935" t="str">
        <f>_xlfn._xlws.FILTER(t_Contact[FA Name],t_Contact[FA]=t_fac25_requirements[[#This Row],[FA]],"")</f>
        <v>Ticketing</v>
      </c>
      <c r="E935" t="s">
        <v>212</v>
      </c>
      <c r="F935" t="s">
        <v>296</v>
      </c>
      <c r="G935" t="s">
        <v>304</v>
      </c>
      <c r="H935" t="s">
        <v>32</v>
      </c>
      <c r="I935" t="s">
        <v>33</v>
      </c>
      <c r="J935" s="28" t="s">
        <v>637</v>
      </c>
      <c r="K935" s="32">
        <v>8</v>
      </c>
      <c r="L935" s="32">
        <v>0</v>
      </c>
      <c r="M935" s="30">
        <v>45976</v>
      </c>
      <c r="N935" s="30">
        <v>46003</v>
      </c>
      <c r="O935" s="43" t="s">
        <v>34</v>
      </c>
      <c r="P935" s="55" t="s">
        <v>1643</v>
      </c>
      <c r="Q935" t="s">
        <v>1660</v>
      </c>
      <c r="R935" t="s">
        <v>1775</v>
      </c>
    </row>
    <row r="936" spans="1:18" ht="15" customHeight="1">
      <c r="A936" s="106" t="b">
        <v>1</v>
      </c>
      <c r="B936" t="str" cm="1">
        <f t="array" ref="B936">_xlfn.SINGLE(_xlfn._xlws.FILTER(t_ServiceCatalogue[Onwer],t_ServiceCatalogue[Category]=t_fac25_requirements[[#This Row],[Category]],""))</f>
        <v>NW</v>
      </c>
      <c r="C936" t="s">
        <v>156</v>
      </c>
      <c r="D936" t="str">
        <f>_xlfn._xlws.FILTER(t_Contact[FA Name],t_Contact[FA]=t_fac25_requirements[[#This Row],[FA]],"")</f>
        <v>Ticketing</v>
      </c>
      <c r="E936" t="s">
        <v>212</v>
      </c>
      <c r="F936" t="s">
        <v>296</v>
      </c>
      <c r="G936" t="s">
        <v>433</v>
      </c>
      <c r="H936" t="s">
        <v>52</v>
      </c>
      <c r="I936" t="s">
        <v>53</v>
      </c>
      <c r="J936" s="28" t="s">
        <v>637</v>
      </c>
      <c r="K936" s="32">
        <v>1</v>
      </c>
      <c r="L936" s="32">
        <v>0</v>
      </c>
      <c r="M936" s="30">
        <v>45976</v>
      </c>
      <c r="N936" s="30">
        <v>46003</v>
      </c>
      <c r="O936" s="43"/>
      <c r="P936" s="55" t="s">
        <v>1662</v>
      </c>
      <c r="Q936" t="s">
        <v>1663</v>
      </c>
      <c r="R936" t="s">
        <v>1776</v>
      </c>
    </row>
    <row r="937" spans="1:18" ht="15" customHeight="1">
      <c r="A937" s="106" t="b">
        <v>1</v>
      </c>
      <c r="B937" t="str" cm="1">
        <f t="array" ref="B937">_xlfn.SINGLE(_xlfn._xlws.FILTER(t_ServiceCatalogue[Onwer],t_ServiceCatalogue[Category]=t_fac25_requirements[[#This Row],[Category]],""))</f>
        <v>NW</v>
      </c>
      <c r="C937" t="s">
        <v>156</v>
      </c>
      <c r="D937" t="str">
        <f>_xlfn._xlws.FILTER(t_Contact[FA Name],t_Contact[FA]=t_fac25_requirements[[#This Row],[FA]],"")</f>
        <v>Ticketing</v>
      </c>
      <c r="E937" t="s">
        <v>212</v>
      </c>
      <c r="F937" t="s">
        <v>305</v>
      </c>
      <c r="G937" t="s">
        <v>421</v>
      </c>
      <c r="H937" t="s">
        <v>52</v>
      </c>
      <c r="I937" t="s">
        <v>53</v>
      </c>
      <c r="J937" s="28" t="s">
        <v>637</v>
      </c>
      <c r="K937" s="32">
        <v>1</v>
      </c>
      <c r="L937" s="32">
        <v>0</v>
      </c>
      <c r="M937" s="30">
        <v>45976</v>
      </c>
      <c r="N937" s="30">
        <v>46003</v>
      </c>
      <c r="O937" s="43"/>
      <c r="P937" s="55"/>
      <c r="Q937" t="s">
        <v>1665</v>
      </c>
      <c r="R937" t="s">
        <v>1777</v>
      </c>
    </row>
    <row r="938" spans="1:18" ht="15" customHeight="1">
      <c r="A938" s="106" t="b">
        <v>1</v>
      </c>
      <c r="B938" t="str" cm="1">
        <f t="array" ref="B938">_xlfn.SINGLE(_xlfn._xlws.FILTER(t_ServiceCatalogue[Onwer],t_ServiceCatalogue[Category]=t_fac25_requirements[[#This Row],[Category]],""))</f>
        <v>NW</v>
      </c>
      <c r="C938" t="s">
        <v>156</v>
      </c>
      <c r="D938" t="str">
        <f>_xlfn._xlws.FILTER(t_Contact[FA Name],t_Contact[FA]=t_fac25_requirements[[#This Row],[FA]],"")</f>
        <v>Ticketing</v>
      </c>
      <c r="E938" t="s">
        <v>212</v>
      </c>
      <c r="F938" t="s">
        <v>305</v>
      </c>
      <c r="G938" t="s">
        <v>421</v>
      </c>
      <c r="H938" t="s">
        <v>46</v>
      </c>
      <c r="I938" t="s">
        <v>148</v>
      </c>
      <c r="J938" s="28" t="s">
        <v>637</v>
      </c>
      <c r="K938" s="32"/>
      <c r="L938" s="32">
        <v>0</v>
      </c>
      <c r="M938" s="30">
        <v>45971</v>
      </c>
      <c r="N938" s="30">
        <v>46003</v>
      </c>
      <c r="O938" s="43"/>
      <c r="P938" s="55" t="s">
        <v>1667</v>
      </c>
      <c r="Q938" t="s">
        <v>1668</v>
      </c>
      <c r="R938" t="s">
        <v>1778</v>
      </c>
    </row>
    <row r="939" spans="1:18" ht="15" customHeight="1">
      <c r="A939" s="106" t="b">
        <v>1</v>
      </c>
      <c r="B939" t="str" cm="1">
        <f t="array" ref="B939">_xlfn.SINGLE(_xlfn._xlws.FILTER(t_ServiceCatalogue[Onwer],t_ServiceCatalogue[Category]=t_fac25_requirements[[#This Row],[Category]],""))</f>
        <v>EU</v>
      </c>
      <c r="C939" t="s">
        <v>156</v>
      </c>
      <c r="D939" t="str">
        <f>_xlfn._xlws.FILTER(t_Contact[FA Name],t_Contact[FA]=t_fac25_requirements[[#This Row],[FA]],"")</f>
        <v>Ticketing</v>
      </c>
      <c r="E939" t="s">
        <v>212</v>
      </c>
      <c r="F939" t="s">
        <v>305</v>
      </c>
      <c r="G939" t="s">
        <v>421</v>
      </c>
      <c r="H939" t="s">
        <v>22</v>
      </c>
      <c r="I939" t="s">
        <v>28</v>
      </c>
      <c r="J939" s="28" t="s">
        <v>637</v>
      </c>
      <c r="K939" s="32"/>
      <c r="L939" s="32">
        <v>0</v>
      </c>
      <c r="M939" s="30">
        <v>45971</v>
      </c>
      <c r="N939" s="30">
        <v>46003</v>
      </c>
      <c r="O939" s="43"/>
      <c r="P939" s="55" t="s">
        <v>1670</v>
      </c>
      <c r="Q939" t="s">
        <v>1671</v>
      </c>
      <c r="R939" t="s">
        <v>1779</v>
      </c>
    </row>
    <row r="940" spans="1:18" ht="15" customHeight="1">
      <c r="A940" s="106" t="b">
        <v>1</v>
      </c>
      <c r="B940" t="str" cm="1">
        <f t="array" ref="B940">_xlfn.SINGLE(_xlfn._xlws.FILTER(t_ServiceCatalogue[Onwer],t_ServiceCatalogue[Category]=t_fac25_requirements[[#This Row],[Category]],""))</f>
        <v>AV</v>
      </c>
      <c r="C940" t="s">
        <v>156</v>
      </c>
      <c r="D940" t="str">
        <f>_xlfn._xlws.FILTER(t_Contact[FA Name],t_Contact[FA]=t_fac25_requirements[[#This Row],[FA]],"")</f>
        <v>Ticketing</v>
      </c>
      <c r="E940" t="s">
        <v>212</v>
      </c>
      <c r="F940" t="s">
        <v>305</v>
      </c>
      <c r="G940" t="s">
        <v>421</v>
      </c>
      <c r="H940" t="s">
        <v>110</v>
      </c>
      <c r="I940" t="s">
        <v>111</v>
      </c>
      <c r="J940" s="28" t="s">
        <v>637</v>
      </c>
      <c r="K940" s="32">
        <v>1</v>
      </c>
      <c r="L940" s="32">
        <v>0</v>
      </c>
      <c r="M940" s="30">
        <v>45971</v>
      </c>
      <c r="N940" s="30">
        <v>46003</v>
      </c>
      <c r="O940" s="43"/>
      <c r="P940" s="55" t="s">
        <v>1673</v>
      </c>
      <c r="Q940" t="s">
        <v>1674</v>
      </c>
      <c r="R940" t="s">
        <v>1780</v>
      </c>
    </row>
    <row r="941" spans="1:18" ht="15" customHeight="1">
      <c r="A941" s="106" t="b">
        <v>1</v>
      </c>
      <c r="B941" t="str" cm="1">
        <f t="array" ref="B941">_xlfn.SINGLE(_xlfn._xlws.FILTER(t_ServiceCatalogue[Onwer],t_ServiceCatalogue[Category]=t_fac25_requirements[[#This Row],[Category]],""))</f>
        <v>NW</v>
      </c>
      <c r="C941" t="s">
        <v>156</v>
      </c>
      <c r="D941" t="str">
        <f>_xlfn._xlws.FILTER(t_Contact[FA Name],t_Contact[FA]=t_fac25_requirements[[#This Row],[FA]],"")</f>
        <v>Ticketing</v>
      </c>
      <c r="E941" t="s">
        <v>212</v>
      </c>
      <c r="F941" t="s">
        <v>305</v>
      </c>
      <c r="G941" t="s">
        <v>320</v>
      </c>
      <c r="H941" t="s">
        <v>46</v>
      </c>
      <c r="I941" t="s">
        <v>148</v>
      </c>
      <c r="J941" s="28" t="s">
        <v>637</v>
      </c>
      <c r="K941" s="32"/>
      <c r="L941" s="32">
        <v>0</v>
      </c>
      <c r="M941" s="30">
        <v>45976</v>
      </c>
      <c r="N941" s="30">
        <v>46003</v>
      </c>
      <c r="O941" s="43"/>
      <c r="P941" s="55" t="s">
        <v>1667</v>
      </c>
      <c r="Q941" t="s">
        <v>1676</v>
      </c>
      <c r="R941" t="s">
        <v>1781</v>
      </c>
    </row>
    <row r="942" spans="1:18" ht="15" customHeight="1">
      <c r="A942" s="106" t="b">
        <v>0</v>
      </c>
      <c r="B942" t="str" cm="1">
        <f t="array" ref="B942">_xlfn.SINGLE(_xlfn._xlws.FILTER(t_ServiceCatalogue[Onwer],t_ServiceCatalogue[Category]=t_fac25_requirements[[#This Row],[Category]],""))</f>
        <v>NW</v>
      </c>
      <c r="C942" t="s">
        <v>156</v>
      </c>
      <c r="D942" t="str">
        <f>_xlfn._xlws.FILTER(t_Contact[FA Name],t_Contact[FA]=t_fac25_requirements[[#This Row],[FA]],"")</f>
        <v>Ticketing</v>
      </c>
      <c r="E942" t="s">
        <v>212</v>
      </c>
      <c r="F942" t="s">
        <v>305</v>
      </c>
      <c r="G942" t="s">
        <v>320</v>
      </c>
      <c r="H942" t="s">
        <v>52</v>
      </c>
      <c r="I942" t="s">
        <v>53</v>
      </c>
      <c r="J942" s="28" t="s">
        <v>370</v>
      </c>
      <c r="K942" s="32"/>
      <c r="L942" s="32">
        <v>1</v>
      </c>
      <c r="M942" s="30">
        <v>45976</v>
      </c>
      <c r="N942" s="30">
        <v>46003</v>
      </c>
      <c r="O942" s="43"/>
      <c r="P942" s="55"/>
      <c r="Q942" t="s">
        <v>1678</v>
      </c>
      <c r="R942" t="s">
        <v>1782</v>
      </c>
    </row>
    <row r="943" spans="1:18" ht="15" customHeight="1">
      <c r="A943" s="106" t="b">
        <v>1</v>
      </c>
      <c r="B943" t="str" cm="1">
        <f t="array" ref="B943">_xlfn.SINGLE(_xlfn._xlws.FILTER(t_ServiceCatalogue[Onwer],t_ServiceCatalogue[Category]=t_fac25_requirements[[#This Row],[Category]],""))</f>
        <v>EU</v>
      </c>
      <c r="C943" t="s">
        <v>156</v>
      </c>
      <c r="D943" t="str">
        <f>_xlfn._xlws.FILTER(t_Contact[FA Name],t_Contact[FA]=t_fac25_requirements[[#This Row],[FA]],"")</f>
        <v>Ticketing</v>
      </c>
      <c r="E943" t="s">
        <v>212</v>
      </c>
      <c r="F943" t="s">
        <v>305</v>
      </c>
      <c r="G943" t="s">
        <v>320</v>
      </c>
      <c r="H943" t="s">
        <v>22</v>
      </c>
      <c r="I943" t="s">
        <v>23</v>
      </c>
      <c r="J943" s="28" t="s">
        <v>637</v>
      </c>
      <c r="K943" s="32"/>
      <c r="L943" s="32">
        <v>0</v>
      </c>
      <c r="M943" s="30">
        <v>45976</v>
      </c>
      <c r="N943" s="30">
        <v>46003</v>
      </c>
      <c r="O943" s="43"/>
      <c r="P943" s="55" t="s">
        <v>1430</v>
      </c>
      <c r="Q943" t="s">
        <v>1680</v>
      </c>
      <c r="R943" t="s">
        <v>1783</v>
      </c>
    </row>
    <row r="944" spans="1:18" ht="15" customHeight="1">
      <c r="A944" s="106" t="b">
        <v>0</v>
      </c>
      <c r="B944" t="str" cm="1">
        <f t="array" ref="B944">_xlfn.SINGLE(_xlfn._xlws.FILTER(t_ServiceCatalogue[Onwer],t_ServiceCatalogue[Category]=t_fac25_requirements[[#This Row],[Category]],""))</f>
        <v>NW</v>
      </c>
      <c r="C944" t="s">
        <v>156</v>
      </c>
      <c r="D944" t="str">
        <f>_xlfn._xlws.FILTER(t_Contact[FA Name],t_Contact[FA]=t_fac25_requirements[[#This Row],[FA]],"")</f>
        <v>Ticketing</v>
      </c>
      <c r="E944" t="s">
        <v>212</v>
      </c>
      <c r="F944" t="s">
        <v>305</v>
      </c>
      <c r="G944" t="s">
        <v>321</v>
      </c>
      <c r="H944" t="s">
        <v>46</v>
      </c>
      <c r="I944" t="s">
        <v>148</v>
      </c>
      <c r="J944" s="28" t="s">
        <v>370</v>
      </c>
      <c r="K944" s="32"/>
      <c r="L944" s="32">
        <v>2</v>
      </c>
      <c r="M944" s="30">
        <v>45981</v>
      </c>
      <c r="N944" s="30">
        <v>46003</v>
      </c>
      <c r="O944" s="43"/>
      <c r="P944" s="55" t="s">
        <v>1682</v>
      </c>
      <c r="Q944" t="s">
        <v>1683</v>
      </c>
      <c r="R944" t="s">
        <v>1784</v>
      </c>
    </row>
    <row r="945" spans="1:18" ht="15" customHeight="1">
      <c r="A945" s="106" t="b">
        <v>1</v>
      </c>
      <c r="B945" t="str" cm="1">
        <f t="array" ref="B945">_xlfn.SINGLE(_xlfn._xlws.FILTER(t_ServiceCatalogue[Onwer],t_ServiceCatalogue[Category]=t_fac25_requirements[[#This Row],[Category]],""))</f>
        <v>EU</v>
      </c>
      <c r="C945" t="s">
        <v>156</v>
      </c>
      <c r="D945" t="str">
        <f>_xlfn._xlws.FILTER(t_Contact[FA Name],t_Contact[FA]=t_fac25_requirements[[#This Row],[FA]],"")</f>
        <v>Ticketing</v>
      </c>
      <c r="E945" t="s">
        <v>212</v>
      </c>
      <c r="F945" t="s">
        <v>305</v>
      </c>
      <c r="G945" t="s">
        <v>321</v>
      </c>
      <c r="H945" t="s">
        <v>32</v>
      </c>
      <c r="I945" t="s">
        <v>33</v>
      </c>
      <c r="J945" s="28" t="s">
        <v>370</v>
      </c>
      <c r="K945" s="32">
        <v>2</v>
      </c>
      <c r="L945" s="32">
        <v>1</v>
      </c>
      <c r="M945" s="30">
        <v>45981</v>
      </c>
      <c r="N945" s="30">
        <v>46003</v>
      </c>
      <c r="O945" s="43"/>
      <c r="P945" s="70" t="s">
        <v>1685</v>
      </c>
      <c r="Q945" t="s">
        <v>1686</v>
      </c>
      <c r="R945" t="s">
        <v>1785</v>
      </c>
    </row>
    <row r="946" spans="1:18" ht="15" customHeight="1">
      <c r="A946" s="106" t="b">
        <v>0</v>
      </c>
      <c r="B946" t="str" cm="1">
        <f t="array" ref="B946">_xlfn.SINGLE(_xlfn._xlws.FILTER(t_ServiceCatalogue[Onwer],t_ServiceCatalogue[Category]=t_fac25_requirements[[#This Row],[Category]],""))</f>
        <v>AV</v>
      </c>
      <c r="C946" t="s">
        <v>156</v>
      </c>
      <c r="D946" t="str">
        <f>_xlfn._xlws.FILTER(t_Contact[FA Name],t_Contact[FA]=t_fac25_requirements[[#This Row],[FA]],"")</f>
        <v>Ticketing</v>
      </c>
      <c r="E946" t="s">
        <v>212</v>
      </c>
      <c r="F946" t="s">
        <v>305</v>
      </c>
      <c r="G946" t="s">
        <v>321</v>
      </c>
      <c r="H946" t="s">
        <v>110</v>
      </c>
      <c r="I946" t="s">
        <v>111</v>
      </c>
      <c r="J946" s="28" t="s">
        <v>370</v>
      </c>
      <c r="K946" s="32"/>
      <c r="L946" s="32">
        <v>1</v>
      </c>
      <c r="M946" s="30">
        <v>45981</v>
      </c>
      <c r="N946" s="30">
        <v>46003</v>
      </c>
      <c r="O946" s="43"/>
      <c r="P946" s="55" t="s">
        <v>1717</v>
      </c>
      <c r="Q946" t="s">
        <v>1689</v>
      </c>
      <c r="R946" t="s">
        <v>1786</v>
      </c>
    </row>
    <row r="947" spans="1:18" ht="15" customHeight="1">
      <c r="A947" s="106" t="b">
        <v>0</v>
      </c>
      <c r="B947" t="str" cm="1">
        <f t="array" ref="B947">_xlfn.SINGLE(_xlfn._xlws.FILTER(t_ServiceCatalogue[Onwer],t_ServiceCatalogue[Category]=t_fac25_requirements[[#This Row],[Category]],""))</f>
        <v>NW</v>
      </c>
      <c r="C947" t="s">
        <v>156</v>
      </c>
      <c r="D947" t="str">
        <f>_xlfn._xlws.FILTER(t_Contact[FA Name],t_Contact[FA]=t_fac25_requirements[[#This Row],[FA]],"")</f>
        <v>Ticketing</v>
      </c>
      <c r="E947" s="43">
        <v>974</v>
      </c>
      <c r="F947" t="s">
        <v>325</v>
      </c>
      <c r="G947" t="s">
        <v>332</v>
      </c>
      <c r="H947" t="s">
        <v>46</v>
      </c>
      <c r="I947" t="s">
        <v>148</v>
      </c>
      <c r="J947" s="28" t="s">
        <v>407</v>
      </c>
      <c r="K947" s="32"/>
      <c r="L947" s="32">
        <v>8</v>
      </c>
      <c r="M947" s="30">
        <v>45976</v>
      </c>
      <c r="N947" s="30">
        <v>46000</v>
      </c>
      <c r="O947" s="43"/>
      <c r="P947" s="55" t="s">
        <v>1787</v>
      </c>
      <c r="Q947" t="s">
        <v>1632</v>
      </c>
      <c r="R947" t="s">
        <v>1788</v>
      </c>
    </row>
    <row r="948" spans="1:18" ht="15" customHeight="1">
      <c r="A948" s="106" t="b">
        <v>0</v>
      </c>
      <c r="B948" t="str" cm="1">
        <f t="array" ref="B948">_xlfn.SINGLE(_xlfn._xlws.FILTER(t_ServiceCatalogue[Onwer],t_ServiceCatalogue[Category]=t_fac25_requirements[[#This Row],[Category]],""))</f>
        <v>NW</v>
      </c>
      <c r="C948" t="s">
        <v>156</v>
      </c>
      <c r="D948" t="str">
        <f>_xlfn._xlws.FILTER(t_Contact[FA Name],t_Contact[FA]=t_fac25_requirements[[#This Row],[FA]],"")</f>
        <v>Ticketing</v>
      </c>
      <c r="E948" s="43">
        <v>974</v>
      </c>
      <c r="F948" t="s">
        <v>325</v>
      </c>
      <c r="G948" t="s">
        <v>332</v>
      </c>
      <c r="H948" t="s">
        <v>52</v>
      </c>
      <c r="I948" t="s">
        <v>53</v>
      </c>
      <c r="J948" s="28" t="s">
        <v>407</v>
      </c>
      <c r="K948" s="32"/>
      <c r="L948" s="32">
        <v>2</v>
      </c>
      <c r="M948" s="30">
        <v>45976</v>
      </c>
      <c r="N948" s="30">
        <v>46000</v>
      </c>
      <c r="O948" s="43"/>
      <c r="P948" s="55" t="s">
        <v>1787</v>
      </c>
      <c r="Q948" t="s">
        <v>1634</v>
      </c>
      <c r="R948" t="s">
        <v>1789</v>
      </c>
    </row>
    <row r="949" spans="1:18" ht="15" customHeight="1">
      <c r="A949" s="106" t="b">
        <v>1</v>
      </c>
      <c r="B949" t="str" cm="1">
        <f t="array" ref="B949">_xlfn.SINGLE(_xlfn._xlws.FILTER(t_ServiceCatalogue[Onwer],t_ServiceCatalogue[Category]=t_fac25_requirements[[#This Row],[Category]],""))</f>
        <v>EU</v>
      </c>
      <c r="C949" t="s">
        <v>156</v>
      </c>
      <c r="D949" t="str">
        <f>_xlfn._xlws.FILTER(t_Contact[FA Name],t_Contact[FA]=t_fac25_requirements[[#This Row],[FA]],"")</f>
        <v>Ticketing</v>
      </c>
      <c r="E949" s="43">
        <v>974</v>
      </c>
      <c r="F949" t="s">
        <v>325</v>
      </c>
      <c r="G949" t="s">
        <v>330</v>
      </c>
      <c r="H949" t="s">
        <v>22</v>
      </c>
      <c r="I949" t="s">
        <v>23</v>
      </c>
      <c r="J949" s="28" t="s">
        <v>370</v>
      </c>
      <c r="K949" s="32">
        <v>2</v>
      </c>
      <c r="L949" s="32">
        <v>1</v>
      </c>
      <c r="M949" s="30">
        <v>45976</v>
      </c>
      <c r="N949" s="30">
        <v>46000</v>
      </c>
      <c r="O949" s="43"/>
      <c r="P949" s="70" t="s">
        <v>1636</v>
      </c>
      <c r="Q949" t="s">
        <v>1637</v>
      </c>
      <c r="R949" t="s">
        <v>1790</v>
      </c>
    </row>
    <row r="950" spans="1:18" ht="15" customHeight="1">
      <c r="A950" s="106" t="b">
        <v>1</v>
      </c>
      <c r="B950" t="str" cm="1">
        <f t="array" ref="B950">_xlfn.SINGLE(_xlfn._xlws.FILTER(t_ServiceCatalogue[Onwer],t_ServiceCatalogue[Category]=t_fac25_requirements[[#This Row],[Category]],""))</f>
        <v>Telco/SIM</v>
      </c>
      <c r="C950" t="s">
        <v>156</v>
      </c>
      <c r="D950" t="str">
        <f>_xlfn._xlws.FILTER(t_Contact[FA Name],t_Contact[FA]=t_fac25_requirements[[#This Row],[FA]],"")</f>
        <v>Ticketing</v>
      </c>
      <c r="E950" s="43">
        <v>974</v>
      </c>
      <c r="F950" t="s">
        <v>325</v>
      </c>
      <c r="G950" t="s">
        <v>330</v>
      </c>
      <c r="H950" t="s">
        <v>84</v>
      </c>
      <c r="I950" t="s">
        <v>165</v>
      </c>
      <c r="J950" s="28" t="s">
        <v>1639</v>
      </c>
      <c r="K950" s="32">
        <v>6</v>
      </c>
      <c r="L950" s="32">
        <v>2</v>
      </c>
      <c r="M950" s="30">
        <v>45976</v>
      </c>
      <c r="N950" s="30">
        <v>46000</v>
      </c>
      <c r="O950" s="43"/>
      <c r="P950" s="55" t="s">
        <v>1640</v>
      </c>
      <c r="Q950" t="s">
        <v>1641</v>
      </c>
      <c r="R950" t="s">
        <v>1791</v>
      </c>
    </row>
    <row r="951" spans="1:18" ht="15" customHeight="1">
      <c r="A951" s="106" t="b">
        <v>1</v>
      </c>
      <c r="B951" t="str" cm="1">
        <f t="array" ref="B951">_xlfn.SINGLE(_xlfn._xlws.FILTER(t_ServiceCatalogue[Onwer],t_ServiceCatalogue[Category]=t_fac25_requirements[[#This Row],[Category]],""))</f>
        <v>EU</v>
      </c>
      <c r="C951" t="s">
        <v>156</v>
      </c>
      <c r="D951" t="str">
        <f>_xlfn._xlws.FILTER(t_Contact[FA Name],t_Contact[FA]=t_fac25_requirements[[#This Row],[FA]],"")</f>
        <v>Ticketing</v>
      </c>
      <c r="E951" s="43">
        <v>974</v>
      </c>
      <c r="F951" t="s">
        <v>325</v>
      </c>
      <c r="G951" t="s">
        <v>330</v>
      </c>
      <c r="H951" t="s">
        <v>32</v>
      </c>
      <c r="I951" t="s">
        <v>33</v>
      </c>
      <c r="J951" s="28" t="s">
        <v>637</v>
      </c>
      <c r="K951" s="32">
        <v>24</v>
      </c>
      <c r="L951" s="32">
        <v>0</v>
      </c>
      <c r="M951" s="30">
        <v>45976</v>
      </c>
      <c r="N951" s="30">
        <v>46000</v>
      </c>
      <c r="O951" s="43"/>
      <c r="P951" s="55" t="s">
        <v>1643</v>
      </c>
      <c r="Q951" t="s">
        <v>1644</v>
      </c>
      <c r="R951" t="s">
        <v>1792</v>
      </c>
    </row>
    <row r="952" spans="1:18" ht="15" customHeight="1">
      <c r="A952" s="106" t="b">
        <v>1</v>
      </c>
      <c r="B952" t="str" cm="1">
        <f t="array" ref="B952">_xlfn.SINGLE(_xlfn._xlws.FILTER(t_ServiceCatalogue[Onwer],t_ServiceCatalogue[Category]=t_fac25_requirements[[#This Row],[Category]],""))</f>
        <v>NW</v>
      </c>
      <c r="C952" t="s">
        <v>156</v>
      </c>
      <c r="D952" t="str">
        <f>_xlfn._xlws.FILTER(t_Contact[FA Name],t_Contact[FA]=t_fac25_requirements[[#This Row],[FA]],"")</f>
        <v>Ticketing</v>
      </c>
      <c r="E952" s="43">
        <v>974</v>
      </c>
      <c r="F952" t="s">
        <v>325</v>
      </c>
      <c r="G952" t="s">
        <v>329</v>
      </c>
      <c r="H952" t="s">
        <v>52</v>
      </c>
      <c r="I952" t="s">
        <v>53</v>
      </c>
      <c r="J952" s="28" t="s">
        <v>637</v>
      </c>
      <c r="K952" s="32"/>
      <c r="L952" s="32">
        <v>0</v>
      </c>
      <c r="M952" s="30">
        <v>45976</v>
      </c>
      <c r="N952" s="30">
        <v>46000</v>
      </c>
      <c r="O952" s="43"/>
      <c r="P952" s="55" t="s">
        <v>1769</v>
      </c>
      <c r="Q952" t="s">
        <v>1647</v>
      </c>
      <c r="R952" t="s">
        <v>1793</v>
      </c>
    </row>
    <row r="953" spans="1:18" ht="15" customHeight="1">
      <c r="A953" s="106" t="b">
        <v>1</v>
      </c>
      <c r="B953" t="str" cm="1">
        <f t="array" ref="B953">_xlfn.SINGLE(_xlfn._xlws.FILTER(t_ServiceCatalogue[Onwer],t_ServiceCatalogue[Category]=t_fac25_requirements[[#This Row],[Category]],""))</f>
        <v>Telco/SIM</v>
      </c>
      <c r="C953" t="s">
        <v>156</v>
      </c>
      <c r="D953" t="str">
        <f>_xlfn._xlws.FILTER(t_Contact[FA Name],t_Contact[FA]=t_fac25_requirements[[#This Row],[FA]],"")</f>
        <v>Ticketing</v>
      </c>
      <c r="E953" s="43">
        <v>974</v>
      </c>
      <c r="F953" t="s">
        <v>325</v>
      </c>
      <c r="G953" t="s">
        <v>329</v>
      </c>
      <c r="H953" t="s">
        <v>84</v>
      </c>
      <c r="I953" t="s">
        <v>85</v>
      </c>
      <c r="J953" s="28" t="s">
        <v>370</v>
      </c>
      <c r="K953" s="32"/>
      <c r="L953" s="32">
        <v>100</v>
      </c>
      <c r="M953" s="30">
        <v>45976</v>
      </c>
      <c r="N953" s="30">
        <v>46000</v>
      </c>
      <c r="O953" s="43"/>
      <c r="P953" s="55" t="s">
        <v>1649</v>
      </c>
      <c r="Q953" t="s">
        <v>1700</v>
      </c>
      <c r="R953" t="s">
        <v>1794</v>
      </c>
    </row>
    <row r="954" spans="1:18" ht="15" customHeight="1">
      <c r="A954" s="106" t="b">
        <v>0</v>
      </c>
      <c r="B954" t="str" cm="1">
        <f t="array" ref="B954">_xlfn.SINGLE(_xlfn._xlws.FILTER(t_ServiceCatalogue[Onwer],t_ServiceCatalogue[Category]=t_fac25_requirements[[#This Row],[Category]],""))</f>
        <v>NW</v>
      </c>
      <c r="C954" t="s">
        <v>156</v>
      </c>
      <c r="D954" t="str">
        <f>_xlfn._xlws.FILTER(t_Contact[FA Name],t_Contact[FA]=t_fac25_requirements[[#This Row],[FA]],"")</f>
        <v>Ticketing</v>
      </c>
      <c r="E954" s="43">
        <v>974</v>
      </c>
      <c r="F954" t="s">
        <v>296</v>
      </c>
      <c r="G954" t="s">
        <v>304</v>
      </c>
      <c r="H954" t="s">
        <v>46</v>
      </c>
      <c r="I954" t="s">
        <v>148</v>
      </c>
      <c r="J954" s="28" t="s">
        <v>1639</v>
      </c>
      <c r="K954" s="32"/>
      <c r="L954" s="32">
        <v>8</v>
      </c>
      <c r="M954" s="30">
        <v>45976</v>
      </c>
      <c r="N954" s="30">
        <v>46000</v>
      </c>
      <c r="O954" s="43"/>
      <c r="P954" s="55" t="s">
        <v>1652</v>
      </c>
      <c r="Q954" t="s">
        <v>1653</v>
      </c>
      <c r="R954" t="s">
        <v>1795</v>
      </c>
    </row>
    <row r="955" spans="1:18" ht="15" customHeight="1">
      <c r="A955" s="106" t="b">
        <v>0</v>
      </c>
      <c r="B955" t="str" cm="1">
        <f t="array" ref="B955">_xlfn.SINGLE(_xlfn._xlws.FILTER(t_ServiceCatalogue[Onwer],t_ServiceCatalogue[Category]=t_fac25_requirements[[#This Row],[Category]],""))</f>
        <v>NW</v>
      </c>
      <c r="C955" t="s">
        <v>156</v>
      </c>
      <c r="D955" t="str">
        <f>_xlfn._xlws.FILTER(t_Contact[FA Name],t_Contact[FA]=t_fac25_requirements[[#This Row],[FA]],"")</f>
        <v>Ticketing</v>
      </c>
      <c r="E955" s="43">
        <v>974</v>
      </c>
      <c r="F955" t="s">
        <v>296</v>
      </c>
      <c r="G955" t="s">
        <v>304</v>
      </c>
      <c r="H955" t="s">
        <v>52</v>
      </c>
      <c r="I955" t="s">
        <v>53</v>
      </c>
      <c r="J955" s="28" t="s">
        <v>370</v>
      </c>
      <c r="K955" s="32"/>
      <c r="L955" s="32">
        <v>4</v>
      </c>
      <c r="M955" s="30">
        <v>45976</v>
      </c>
      <c r="N955" s="30">
        <v>46000</v>
      </c>
      <c r="O955" s="43"/>
      <c r="P955" s="55"/>
      <c r="Q955" t="s">
        <v>1655</v>
      </c>
      <c r="R955" t="s">
        <v>1796</v>
      </c>
    </row>
    <row r="956" spans="1:18" ht="15" customHeight="1">
      <c r="A956" s="106" t="b">
        <v>1</v>
      </c>
      <c r="B956" t="str" cm="1">
        <f t="array" ref="B956">_xlfn.SINGLE(_xlfn._xlws.FILTER(t_ServiceCatalogue[Onwer],t_ServiceCatalogue[Category]=t_fac25_requirements[[#This Row],[Category]],""))</f>
        <v>Telco/SIM</v>
      </c>
      <c r="C956" t="s">
        <v>156</v>
      </c>
      <c r="D956" t="str">
        <f>_xlfn._xlws.FILTER(t_Contact[FA Name],t_Contact[FA]=t_fac25_requirements[[#This Row],[FA]],"")</f>
        <v>Ticketing</v>
      </c>
      <c r="E956" s="43">
        <v>974</v>
      </c>
      <c r="F956" t="s">
        <v>296</v>
      </c>
      <c r="G956" t="s">
        <v>304</v>
      </c>
      <c r="H956" t="s">
        <v>84</v>
      </c>
      <c r="I956" t="s">
        <v>165</v>
      </c>
      <c r="J956" s="28" t="s">
        <v>637</v>
      </c>
      <c r="K956" s="32">
        <v>4</v>
      </c>
      <c r="L956" s="32">
        <v>0</v>
      </c>
      <c r="M956" s="30">
        <v>45976</v>
      </c>
      <c r="N956" s="30">
        <v>46000</v>
      </c>
      <c r="O956" s="43"/>
      <c r="P956" s="55" t="s">
        <v>1657</v>
      </c>
      <c r="Q956" t="s">
        <v>1658</v>
      </c>
      <c r="R956" t="s">
        <v>1797</v>
      </c>
    </row>
    <row r="957" spans="1:18" ht="15" customHeight="1">
      <c r="A957" s="106" t="b">
        <v>1</v>
      </c>
      <c r="B957" t="str" cm="1">
        <f t="array" ref="B957">_xlfn.SINGLE(_xlfn._xlws.FILTER(t_ServiceCatalogue[Onwer],t_ServiceCatalogue[Category]=t_fac25_requirements[[#This Row],[Category]],""))</f>
        <v>EU</v>
      </c>
      <c r="C957" t="s">
        <v>156</v>
      </c>
      <c r="D957" t="str">
        <f>_xlfn._xlws.FILTER(t_Contact[FA Name],t_Contact[FA]=t_fac25_requirements[[#This Row],[FA]],"")</f>
        <v>Ticketing</v>
      </c>
      <c r="E957" s="43">
        <v>974</v>
      </c>
      <c r="F957" t="s">
        <v>296</v>
      </c>
      <c r="G957" t="s">
        <v>304</v>
      </c>
      <c r="H957" t="s">
        <v>32</v>
      </c>
      <c r="I957" t="s">
        <v>33</v>
      </c>
      <c r="J957" s="28" t="s">
        <v>637</v>
      </c>
      <c r="K957" s="32">
        <v>8</v>
      </c>
      <c r="L957" s="32">
        <v>0</v>
      </c>
      <c r="M957" s="30">
        <v>45976</v>
      </c>
      <c r="N957" s="30">
        <v>46000</v>
      </c>
      <c r="O957" s="43" t="s">
        <v>34</v>
      </c>
      <c r="P957" s="55" t="s">
        <v>1643</v>
      </c>
      <c r="Q957" t="s">
        <v>1660</v>
      </c>
      <c r="R957" t="s">
        <v>1798</v>
      </c>
    </row>
    <row r="958" spans="1:18" ht="15" customHeight="1">
      <c r="A958" s="106" t="b">
        <v>1</v>
      </c>
      <c r="B958" t="str" cm="1">
        <f t="array" ref="B958">_xlfn.SINGLE(_xlfn._xlws.FILTER(t_ServiceCatalogue[Onwer],t_ServiceCatalogue[Category]=t_fac25_requirements[[#This Row],[Category]],""))</f>
        <v>NW</v>
      </c>
      <c r="C958" t="s">
        <v>156</v>
      </c>
      <c r="D958" t="str">
        <f>_xlfn._xlws.FILTER(t_Contact[FA Name],t_Contact[FA]=t_fac25_requirements[[#This Row],[FA]],"")</f>
        <v>Ticketing</v>
      </c>
      <c r="E958" s="43">
        <v>974</v>
      </c>
      <c r="F958" t="s">
        <v>296</v>
      </c>
      <c r="G958" t="s">
        <v>433</v>
      </c>
      <c r="H958" t="s">
        <v>52</v>
      </c>
      <c r="I958" t="s">
        <v>53</v>
      </c>
      <c r="J958" s="28" t="s">
        <v>637</v>
      </c>
      <c r="K958" s="32">
        <v>1</v>
      </c>
      <c r="L958" s="32">
        <v>0</v>
      </c>
      <c r="M958" s="30">
        <v>45976</v>
      </c>
      <c r="N958" s="30">
        <v>46000</v>
      </c>
      <c r="O958" s="43"/>
      <c r="P958" s="55" t="s">
        <v>1662</v>
      </c>
      <c r="Q958" t="s">
        <v>1663</v>
      </c>
      <c r="R958" t="s">
        <v>1799</v>
      </c>
    </row>
    <row r="959" spans="1:18" ht="15" customHeight="1">
      <c r="A959" s="106" t="b">
        <v>1</v>
      </c>
      <c r="B959" t="str" cm="1">
        <f t="array" ref="B959">_xlfn.SINGLE(_xlfn._xlws.FILTER(t_ServiceCatalogue[Onwer],t_ServiceCatalogue[Category]=t_fac25_requirements[[#This Row],[Category]],""))</f>
        <v>NW</v>
      </c>
      <c r="C959" t="s">
        <v>156</v>
      </c>
      <c r="D959" t="str">
        <f>_xlfn._xlws.FILTER(t_Contact[FA Name],t_Contact[FA]=t_fac25_requirements[[#This Row],[FA]],"")</f>
        <v>Ticketing</v>
      </c>
      <c r="E959" s="43">
        <v>974</v>
      </c>
      <c r="F959" t="s">
        <v>305</v>
      </c>
      <c r="G959" t="s">
        <v>421</v>
      </c>
      <c r="H959" t="s">
        <v>52</v>
      </c>
      <c r="I959" t="s">
        <v>53</v>
      </c>
      <c r="J959" s="28" t="s">
        <v>637</v>
      </c>
      <c r="K959" s="32">
        <v>1</v>
      </c>
      <c r="L959" s="32">
        <v>0</v>
      </c>
      <c r="M959" s="30">
        <v>45976</v>
      </c>
      <c r="N959" s="30">
        <v>46000</v>
      </c>
      <c r="O959" s="43"/>
      <c r="P959" s="55"/>
      <c r="Q959" t="s">
        <v>1665</v>
      </c>
      <c r="R959" t="s">
        <v>1800</v>
      </c>
    </row>
    <row r="960" spans="1:18" ht="15" customHeight="1">
      <c r="A960" s="106" t="b">
        <v>1</v>
      </c>
      <c r="B960" t="str" cm="1">
        <f t="array" ref="B960">_xlfn.SINGLE(_xlfn._xlws.FILTER(t_ServiceCatalogue[Onwer],t_ServiceCatalogue[Category]=t_fac25_requirements[[#This Row],[Category]],""))</f>
        <v>NW</v>
      </c>
      <c r="C960" t="s">
        <v>156</v>
      </c>
      <c r="D960" t="str">
        <f>_xlfn._xlws.FILTER(t_Contact[FA Name],t_Contact[FA]=t_fac25_requirements[[#This Row],[FA]],"")</f>
        <v>Ticketing</v>
      </c>
      <c r="E960" s="43">
        <v>974</v>
      </c>
      <c r="F960" t="s">
        <v>305</v>
      </c>
      <c r="G960" t="s">
        <v>421</v>
      </c>
      <c r="H960" t="s">
        <v>46</v>
      </c>
      <c r="I960" t="s">
        <v>148</v>
      </c>
      <c r="J960" s="28" t="s">
        <v>637</v>
      </c>
      <c r="K960" s="32"/>
      <c r="L960" s="32">
        <v>0</v>
      </c>
      <c r="M960" s="30">
        <v>45971</v>
      </c>
      <c r="N960" s="30">
        <v>46000</v>
      </c>
      <c r="O960" s="43"/>
      <c r="P960" s="55" t="s">
        <v>1667</v>
      </c>
      <c r="Q960" t="s">
        <v>1668</v>
      </c>
      <c r="R960" t="s">
        <v>1801</v>
      </c>
    </row>
    <row r="961" spans="1:18" ht="15" customHeight="1">
      <c r="A961" s="106" t="b">
        <v>1</v>
      </c>
      <c r="B961" t="str" cm="1">
        <f t="array" ref="B961">_xlfn.SINGLE(_xlfn._xlws.FILTER(t_ServiceCatalogue[Onwer],t_ServiceCatalogue[Category]=t_fac25_requirements[[#This Row],[Category]],""))</f>
        <v>EU</v>
      </c>
      <c r="C961" t="s">
        <v>156</v>
      </c>
      <c r="D961" t="str">
        <f>_xlfn._xlws.FILTER(t_Contact[FA Name],t_Contact[FA]=t_fac25_requirements[[#This Row],[FA]],"")</f>
        <v>Ticketing</v>
      </c>
      <c r="E961" s="43">
        <v>974</v>
      </c>
      <c r="F961" t="s">
        <v>305</v>
      </c>
      <c r="G961" t="s">
        <v>421</v>
      </c>
      <c r="H961" t="s">
        <v>22</v>
      </c>
      <c r="I961" t="s">
        <v>28</v>
      </c>
      <c r="J961" s="28" t="s">
        <v>637</v>
      </c>
      <c r="K961" s="32"/>
      <c r="L961" s="32">
        <v>0</v>
      </c>
      <c r="M961" s="30">
        <v>45971</v>
      </c>
      <c r="N961" s="30">
        <v>46000</v>
      </c>
      <c r="O961" s="43"/>
      <c r="P961" s="55" t="s">
        <v>1670</v>
      </c>
      <c r="Q961" t="s">
        <v>1671</v>
      </c>
      <c r="R961" t="s">
        <v>1802</v>
      </c>
    </row>
    <row r="962" spans="1:18" ht="15" customHeight="1">
      <c r="A962" s="106" t="b">
        <v>1</v>
      </c>
      <c r="B962" t="str" cm="1">
        <f t="array" ref="B962">_xlfn.SINGLE(_xlfn._xlws.FILTER(t_ServiceCatalogue[Onwer],t_ServiceCatalogue[Category]=t_fac25_requirements[[#This Row],[Category]],""))</f>
        <v>AV</v>
      </c>
      <c r="C962" t="s">
        <v>156</v>
      </c>
      <c r="D962" t="str">
        <f>_xlfn._xlws.FILTER(t_Contact[FA Name],t_Contact[FA]=t_fac25_requirements[[#This Row],[FA]],"")</f>
        <v>Ticketing</v>
      </c>
      <c r="E962" s="43">
        <v>974</v>
      </c>
      <c r="F962" t="s">
        <v>305</v>
      </c>
      <c r="G962" t="s">
        <v>421</v>
      </c>
      <c r="H962" t="s">
        <v>110</v>
      </c>
      <c r="I962" t="s">
        <v>111</v>
      </c>
      <c r="J962" s="28" t="s">
        <v>637</v>
      </c>
      <c r="K962" s="32">
        <v>1</v>
      </c>
      <c r="L962" s="32">
        <v>0</v>
      </c>
      <c r="M962" s="30">
        <v>45971</v>
      </c>
      <c r="N962" s="30">
        <v>46000</v>
      </c>
      <c r="O962" s="43"/>
      <c r="P962" s="55" t="s">
        <v>1673</v>
      </c>
      <c r="Q962" t="s">
        <v>1674</v>
      </c>
      <c r="R962" t="s">
        <v>1803</v>
      </c>
    </row>
    <row r="963" spans="1:18" ht="15" customHeight="1">
      <c r="A963" s="106" t="b">
        <v>1</v>
      </c>
      <c r="B963" t="str" cm="1">
        <f t="array" ref="B963">_xlfn.SINGLE(_xlfn._xlws.FILTER(t_ServiceCatalogue[Onwer],t_ServiceCatalogue[Category]=t_fac25_requirements[[#This Row],[Category]],""))</f>
        <v>NW</v>
      </c>
      <c r="C963" t="s">
        <v>156</v>
      </c>
      <c r="D963" t="str">
        <f>_xlfn._xlws.FILTER(t_Contact[FA Name],t_Contact[FA]=t_fac25_requirements[[#This Row],[FA]],"")</f>
        <v>Ticketing</v>
      </c>
      <c r="E963" s="43">
        <v>974</v>
      </c>
      <c r="F963" t="s">
        <v>305</v>
      </c>
      <c r="G963" t="s">
        <v>320</v>
      </c>
      <c r="H963" t="s">
        <v>46</v>
      </c>
      <c r="I963" t="s">
        <v>148</v>
      </c>
      <c r="J963" s="28" t="s">
        <v>637</v>
      </c>
      <c r="K963" s="32"/>
      <c r="L963" s="32">
        <v>0</v>
      </c>
      <c r="M963" s="30">
        <v>45976</v>
      </c>
      <c r="N963" s="30">
        <v>46000</v>
      </c>
      <c r="O963" s="43"/>
      <c r="P963" s="55" t="s">
        <v>1667</v>
      </c>
      <c r="Q963" t="s">
        <v>1676</v>
      </c>
      <c r="R963" t="s">
        <v>1804</v>
      </c>
    </row>
    <row r="964" spans="1:18" ht="15" customHeight="1">
      <c r="A964" s="106" t="b">
        <v>0</v>
      </c>
      <c r="B964" t="str" cm="1">
        <f t="array" ref="B964">_xlfn.SINGLE(_xlfn._xlws.FILTER(t_ServiceCatalogue[Onwer],t_ServiceCatalogue[Category]=t_fac25_requirements[[#This Row],[Category]],""))</f>
        <v>NW</v>
      </c>
      <c r="C964" t="s">
        <v>156</v>
      </c>
      <c r="D964" t="str">
        <f>_xlfn._xlws.FILTER(t_Contact[FA Name],t_Contact[FA]=t_fac25_requirements[[#This Row],[FA]],"")</f>
        <v>Ticketing</v>
      </c>
      <c r="E964" s="43">
        <v>974</v>
      </c>
      <c r="F964" t="s">
        <v>305</v>
      </c>
      <c r="G964" t="s">
        <v>320</v>
      </c>
      <c r="H964" t="s">
        <v>52</v>
      </c>
      <c r="I964" t="s">
        <v>53</v>
      </c>
      <c r="J964" s="28" t="s">
        <v>370</v>
      </c>
      <c r="K964" s="32"/>
      <c r="L964" s="32">
        <v>1</v>
      </c>
      <c r="M964" s="30">
        <v>45976</v>
      </c>
      <c r="N964" s="30">
        <v>46000</v>
      </c>
      <c r="O964" s="43"/>
      <c r="P964" s="55"/>
      <c r="Q964" t="s">
        <v>1678</v>
      </c>
      <c r="R964" t="s">
        <v>1805</v>
      </c>
    </row>
    <row r="965" spans="1:18" ht="15" customHeight="1">
      <c r="A965" s="106" t="b">
        <v>1</v>
      </c>
      <c r="B965" t="str" cm="1">
        <f t="array" ref="B965">_xlfn.SINGLE(_xlfn._xlws.FILTER(t_ServiceCatalogue[Onwer],t_ServiceCatalogue[Category]=t_fac25_requirements[[#This Row],[Category]],""))</f>
        <v>EU</v>
      </c>
      <c r="C965" t="s">
        <v>156</v>
      </c>
      <c r="D965" t="str">
        <f>_xlfn._xlws.FILTER(t_Contact[FA Name],t_Contact[FA]=t_fac25_requirements[[#This Row],[FA]],"")</f>
        <v>Ticketing</v>
      </c>
      <c r="E965" s="43">
        <v>974</v>
      </c>
      <c r="F965" t="s">
        <v>305</v>
      </c>
      <c r="G965" t="s">
        <v>320</v>
      </c>
      <c r="H965" t="s">
        <v>22</v>
      </c>
      <c r="I965" t="s">
        <v>23</v>
      </c>
      <c r="J965" s="28" t="s">
        <v>637</v>
      </c>
      <c r="K965" s="32"/>
      <c r="L965" s="32">
        <v>0</v>
      </c>
      <c r="M965" s="30">
        <v>45976</v>
      </c>
      <c r="N965" s="30">
        <v>46000</v>
      </c>
      <c r="O965" s="43"/>
      <c r="P965" s="55" t="s">
        <v>1430</v>
      </c>
      <c r="Q965" t="s">
        <v>1680</v>
      </c>
      <c r="R965" t="s">
        <v>1806</v>
      </c>
    </row>
    <row r="966" spans="1:18" ht="15" customHeight="1">
      <c r="A966" s="106" t="b">
        <v>0</v>
      </c>
      <c r="B966" t="str" cm="1">
        <f t="array" ref="B966">_xlfn.SINGLE(_xlfn._xlws.FILTER(t_ServiceCatalogue[Onwer],t_ServiceCatalogue[Category]=t_fac25_requirements[[#This Row],[Category]],""))</f>
        <v>NW</v>
      </c>
      <c r="C966" t="s">
        <v>156</v>
      </c>
      <c r="D966" t="str">
        <f>_xlfn._xlws.FILTER(t_Contact[FA Name],t_Contact[FA]=t_fac25_requirements[[#This Row],[FA]],"")</f>
        <v>Ticketing</v>
      </c>
      <c r="E966" s="43">
        <v>974</v>
      </c>
      <c r="F966" t="s">
        <v>305</v>
      </c>
      <c r="G966" t="s">
        <v>321</v>
      </c>
      <c r="H966" t="s">
        <v>46</v>
      </c>
      <c r="I966" t="s">
        <v>148</v>
      </c>
      <c r="J966" s="28" t="s">
        <v>370</v>
      </c>
      <c r="K966" s="32"/>
      <c r="L966" s="32">
        <v>2</v>
      </c>
      <c r="M966" s="30">
        <v>45981</v>
      </c>
      <c r="N966" s="30">
        <v>46000</v>
      </c>
      <c r="O966" s="43"/>
      <c r="P966" s="55" t="s">
        <v>1682</v>
      </c>
      <c r="Q966" t="s">
        <v>1683</v>
      </c>
      <c r="R966" t="s">
        <v>1807</v>
      </c>
    </row>
    <row r="967" spans="1:18" ht="15" customHeight="1">
      <c r="A967" s="106" t="b">
        <v>1</v>
      </c>
      <c r="B967" t="str" cm="1">
        <f t="array" ref="B967">_xlfn.SINGLE(_xlfn._xlws.FILTER(t_ServiceCatalogue[Onwer],t_ServiceCatalogue[Category]=t_fac25_requirements[[#This Row],[Category]],""))</f>
        <v>EU</v>
      </c>
      <c r="C967" t="s">
        <v>156</v>
      </c>
      <c r="D967" t="str">
        <f>_xlfn._xlws.FILTER(t_Contact[FA Name],t_Contact[FA]=t_fac25_requirements[[#This Row],[FA]],"")</f>
        <v>Ticketing</v>
      </c>
      <c r="E967" s="43">
        <v>974</v>
      </c>
      <c r="F967" t="s">
        <v>305</v>
      </c>
      <c r="G967" t="s">
        <v>321</v>
      </c>
      <c r="H967" t="s">
        <v>32</v>
      </c>
      <c r="I967" t="s">
        <v>33</v>
      </c>
      <c r="J967" s="28" t="s">
        <v>370</v>
      </c>
      <c r="K967" s="32">
        <v>2</v>
      </c>
      <c r="L967" s="32">
        <v>1</v>
      </c>
      <c r="M967" s="30">
        <v>45981</v>
      </c>
      <c r="N967" s="30">
        <v>46000</v>
      </c>
      <c r="O967" s="43"/>
      <c r="P967" s="70" t="s">
        <v>1685</v>
      </c>
      <c r="Q967" t="s">
        <v>1686</v>
      </c>
      <c r="R967" t="s">
        <v>1808</v>
      </c>
    </row>
    <row r="968" spans="1:18" ht="15" customHeight="1">
      <c r="A968" s="106" t="b">
        <v>0</v>
      </c>
      <c r="B968" t="str" cm="1">
        <f t="array" ref="B968">_xlfn.SINGLE(_xlfn._xlws.FILTER(t_ServiceCatalogue[Onwer],t_ServiceCatalogue[Category]=t_fac25_requirements[[#This Row],[Category]],""))</f>
        <v>AV</v>
      </c>
      <c r="C968" t="s">
        <v>182</v>
      </c>
      <c r="D968" t="str">
        <f>_xlfn._xlws.FILTER(t_Contact[FA Name],t_Contact[FA]=t_fac25_requirements[[#This Row],[FA]],"")</f>
        <v>ICT</v>
      </c>
      <c r="E968" s="43">
        <v>974</v>
      </c>
      <c r="F968" t="s">
        <v>305</v>
      </c>
      <c r="G968" t="s">
        <v>324</v>
      </c>
      <c r="H968" t="s">
        <v>110</v>
      </c>
      <c r="I968" t="s">
        <v>111</v>
      </c>
      <c r="J968" s="28" t="s">
        <v>370</v>
      </c>
      <c r="K968" s="32"/>
      <c r="L968" s="32">
        <v>1</v>
      </c>
      <c r="M968" s="30">
        <v>45981</v>
      </c>
      <c r="N968" s="30">
        <v>46000</v>
      </c>
      <c r="O968" s="43"/>
      <c r="P968" s="55" t="s">
        <v>1688</v>
      </c>
      <c r="Q968" t="s">
        <v>1689</v>
      </c>
      <c r="R968" t="s">
        <v>1809</v>
      </c>
    </row>
    <row r="969" spans="1:18" ht="15" customHeight="1">
      <c r="A969" s="106" t="b">
        <v>1</v>
      </c>
      <c r="B969" t="str" cm="1">
        <f t="array" ref="B969">_xlfn.SINGLE(_xlfn._xlws.FILTER(t_ServiceCatalogue[Onwer],t_ServiceCatalogue[Category]=t_fac25_requirements[[#This Row],[Category]],""))</f>
        <v>EU</v>
      </c>
      <c r="C969" t="s">
        <v>156</v>
      </c>
      <c r="D969" t="str">
        <f>_xlfn._xlws.FILTER(t_Contact[FA Name],t_Contact[FA]=t_fac25_requirements[[#This Row],[FA]],"")</f>
        <v>Ticketing</v>
      </c>
      <c r="E969" t="s">
        <v>19</v>
      </c>
      <c r="F969" s="28" t="s">
        <v>71</v>
      </c>
      <c r="G969" t="s">
        <v>351</v>
      </c>
      <c r="H969" t="s">
        <v>32</v>
      </c>
      <c r="I969" t="s">
        <v>94</v>
      </c>
      <c r="J969" s="28" t="s">
        <v>370</v>
      </c>
      <c r="K969" s="32"/>
      <c r="L969" s="32">
        <v>20</v>
      </c>
      <c r="M969" s="30">
        <v>45915</v>
      </c>
      <c r="N969" s="30">
        <v>46021</v>
      </c>
      <c r="O969" s="43" t="s">
        <v>95</v>
      </c>
      <c r="P969" s="55" t="s">
        <v>1810</v>
      </c>
      <c r="Q969" s="135" t="s">
        <v>1811</v>
      </c>
      <c r="R969" t="s">
        <v>1812</v>
      </c>
    </row>
    <row r="970" spans="1:18" ht="15" customHeight="1">
      <c r="A970" s="106" t="b">
        <v>1</v>
      </c>
      <c r="B970" t="str" cm="1">
        <f t="array" ref="B970">_xlfn.SINGLE(_xlfn._xlws.FILTER(t_ServiceCatalogue[Onwer],t_ServiceCatalogue[Category]=t_fac25_requirements[[#This Row],[Category]],""))</f>
        <v>AV</v>
      </c>
      <c r="C970" t="s">
        <v>156</v>
      </c>
      <c r="D970" t="str">
        <f>_xlfn._xlws.FILTER(t_Contact[FA Name],t_Contact[FA]=t_fac25_requirements[[#This Row],[FA]],"")</f>
        <v>Ticketing</v>
      </c>
      <c r="E970" t="s">
        <v>19</v>
      </c>
      <c r="F970" s="28" t="s">
        <v>71</v>
      </c>
      <c r="G970" t="s">
        <v>351</v>
      </c>
      <c r="H970" t="s">
        <v>110</v>
      </c>
      <c r="I970" t="s">
        <v>115</v>
      </c>
      <c r="J970" s="28" t="s">
        <v>637</v>
      </c>
      <c r="K970" s="32"/>
      <c r="L970" s="32">
        <v>0</v>
      </c>
      <c r="M970" s="30">
        <v>45962</v>
      </c>
      <c r="N970" s="30">
        <v>46021</v>
      </c>
      <c r="O970" s="43" t="s">
        <v>116</v>
      </c>
      <c r="P970" s="55" t="s">
        <v>1813</v>
      </c>
      <c r="Q970" t="s">
        <v>1814</v>
      </c>
      <c r="R970" t="s">
        <v>1815</v>
      </c>
    </row>
    <row r="971" spans="1:18" ht="15" customHeight="1">
      <c r="A971" s="106" t="b">
        <v>0</v>
      </c>
      <c r="B971" t="str" cm="1">
        <f t="array" ref="B971">_xlfn.SINGLE(_xlfn._xlws.FILTER(t_ServiceCatalogue[Onwer],t_ServiceCatalogue[Category]=t_fac25_requirements[[#This Row],[Category]],""))</f>
        <v>Telco/SIM</v>
      </c>
      <c r="C971" t="s">
        <v>82</v>
      </c>
      <c r="D971" t="str">
        <f>_xlfn._xlws.FILTER(t_Contact[FA Name],t_Contact[FA]=t_fac25_requirements[[#This Row],[FA]],"")</f>
        <v>Team Services</v>
      </c>
      <c r="E971" t="s">
        <v>19</v>
      </c>
      <c r="F971" t="s">
        <v>71</v>
      </c>
      <c r="G971" t="s">
        <v>83</v>
      </c>
      <c r="H971" t="s">
        <v>84</v>
      </c>
      <c r="I971" t="s">
        <v>85</v>
      </c>
      <c r="J971" s="28" t="s">
        <v>370</v>
      </c>
      <c r="K971" s="32"/>
      <c r="L971" s="32">
        <v>20</v>
      </c>
      <c r="M971" s="30">
        <v>45944</v>
      </c>
      <c r="N971" s="30">
        <v>45989</v>
      </c>
      <c r="O971" s="43" t="s">
        <v>86</v>
      </c>
      <c r="P971" s="55" t="s">
        <v>87</v>
      </c>
      <c r="Q971" t="s">
        <v>88</v>
      </c>
      <c r="R971" t="s">
        <v>89</v>
      </c>
    </row>
    <row r="972" spans="1:18" ht="15" customHeight="1">
      <c r="A972" s="106" t="b">
        <v>1</v>
      </c>
      <c r="B972" t="str" cm="1">
        <f t="array" ref="B972">_xlfn.SINGLE(_xlfn._xlws.FILTER(t_ServiceCatalogue[Onwer],t_ServiceCatalogue[Category]=t_fac25_requirements[[#This Row],[Category]],""))</f>
        <v>AV</v>
      </c>
      <c r="C972" t="s">
        <v>90</v>
      </c>
      <c r="D972" t="str">
        <f>_xlfn._xlws.FILTER(t_Contact[FA Name],t_Contact[FA]=t_fac25_requirements[[#This Row],[FA]],"")</f>
        <v>Workforce</v>
      </c>
      <c r="E972" t="s">
        <v>19</v>
      </c>
      <c r="F972" t="s">
        <v>20</v>
      </c>
      <c r="G972" t="s">
        <v>128</v>
      </c>
      <c r="H972" t="s">
        <v>110</v>
      </c>
      <c r="I972" t="s">
        <v>134</v>
      </c>
      <c r="J972" s="28" t="s">
        <v>370</v>
      </c>
      <c r="K972" s="32"/>
      <c r="L972" s="32">
        <v>1</v>
      </c>
      <c r="M972" s="30">
        <v>45931</v>
      </c>
      <c r="N972" s="30">
        <v>46009</v>
      </c>
      <c r="O972" s="43" t="s">
        <v>135</v>
      </c>
      <c r="P972" s="55" t="s">
        <v>87</v>
      </c>
      <c r="Q972" t="s">
        <v>106</v>
      </c>
      <c r="R972" t="s">
        <v>136</v>
      </c>
    </row>
    <row r="973" spans="1:18" ht="14.45">
      <c r="A973" s="106" t="b">
        <v>1</v>
      </c>
      <c r="B973" t="str" cm="1">
        <f t="array" ref="B973">_xlfn.SINGLE(_xlfn._xlws.FILTER(t_ServiceCatalogue[Onwer],t_ServiceCatalogue[Category]=t_fac25_requirements[[#This Row],[Category]],""))</f>
        <v>AV</v>
      </c>
      <c r="C973" t="s">
        <v>90</v>
      </c>
      <c r="D973" t="str">
        <f>_xlfn._xlws.FILTER(t_Contact[FA Name],t_Contact[FA]=t_fac25_requirements[[#This Row],[FA]],"")</f>
        <v>Workforce</v>
      </c>
      <c r="E973" t="s">
        <v>19</v>
      </c>
      <c r="F973" t="s">
        <v>20</v>
      </c>
      <c r="G973" t="s">
        <v>91</v>
      </c>
      <c r="H973" t="s">
        <v>110</v>
      </c>
      <c r="I973" t="s">
        <v>115</v>
      </c>
      <c r="J973" s="28" t="s">
        <v>637</v>
      </c>
      <c r="K973" s="32">
        <v>13</v>
      </c>
      <c r="L973" s="32">
        <v>0</v>
      </c>
      <c r="M973" s="30">
        <v>45931</v>
      </c>
      <c r="N973" s="30">
        <v>46009</v>
      </c>
      <c r="O973" s="43" t="s">
        <v>116</v>
      </c>
      <c r="P973" s="55" t="s">
        <v>1816</v>
      </c>
      <c r="Q973" t="s">
        <v>117</v>
      </c>
      <c r="R973" t="s">
        <v>118</v>
      </c>
    </row>
    <row r="974" spans="1:18" ht="15" customHeight="1">
      <c r="A974" s="106" t="b">
        <v>1</v>
      </c>
      <c r="B974" t="str" cm="1">
        <f t="array" ref="B974">_xlfn.SINGLE(_xlfn._xlws.FILTER(t_ServiceCatalogue[Onwer],t_ServiceCatalogue[Category]=t_fac25_requirements[[#This Row],[Category]],""))</f>
        <v>AV</v>
      </c>
      <c r="C974" t="s">
        <v>198</v>
      </c>
      <c r="D974" t="str">
        <f>_xlfn._xlws.FILTER(t_Contact[FA Name],t_Contact[FA]=t_fac25_requirements[[#This Row],[FA]],"")</f>
        <v>Venue Management</v>
      </c>
      <c r="E974" s="28" t="s">
        <v>19</v>
      </c>
      <c r="F974" s="28" t="s">
        <v>20</v>
      </c>
      <c r="G974" s="28" t="s">
        <v>1817</v>
      </c>
      <c r="H974" s="28" t="s">
        <v>110</v>
      </c>
      <c r="I974" s="28" t="s">
        <v>111</v>
      </c>
      <c r="J974" s="28" t="s">
        <v>370</v>
      </c>
      <c r="K974" s="29"/>
      <c r="L974" s="29">
        <v>1</v>
      </c>
      <c r="M974" s="30">
        <v>45931</v>
      </c>
      <c r="N974" s="30">
        <v>46009</v>
      </c>
      <c r="O974" s="43" t="s">
        <v>112</v>
      </c>
      <c r="P974" s="63" t="s">
        <v>87</v>
      </c>
      <c r="Q974" s="28"/>
      <c r="R974" t="s">
        <v>1818</v>
      </c>
    </row>
    <row r="975" spans="1:18" ht="15" customHeight="1">
      <c r="A975" s="106" t="b">
        <v>1</v>
      </c>
      <c r="B975" t="str" cm="1">
        <f t="array" ref="B975">_xlfn.SINGLE(_xlfn._xlws.FILTER(t_ServiceCatalogue[Onwer],t_ServiceCatalogue[Category]=t_fac25_requirements[[#This Row],[Category]],""))</f>
        <v>AV</v>
      </c>
      <c r="C975" t="s">
        <v>90</v>
      </c>
      <c r="D975" t="str">
        <f>_xlfn._xlws.FILTER(t_Contact[FA Name],t_Contact[FA]=t_fac25_requirements[[#This Row],[FA]],"")</f>
        <v>Workforce</v>
      </c>
      <c r="E975" t="s">
        <v>19</v>
      </c>
      <c r="F975" t="s">
        <v>20</v>
      </c>
      <c r="G975" t="s">
        <v>91</v>
      </c>
      <c r="H975" t="s">
        <v>110</v>
      </c>
      <c r="I975" t="s">
        <v>111</v>
      </c>
      <c r="J975" s="28" t="s">
        <v>370</v>
      </c>
      <c r="K975" s="32">
        <v>0</v>
      </c>
      <c r="L975" s="32">
        <v>1</v>
      </c>
      <c r="M975" s="30">
        <v>45931</v>
      </c>
      <c r="N975" s="30">
        <v>46009</v>
      </c>
      <c r="O975" s="43" t="s">
        <v>112</v>
      </c>
      <c r="P975" s="55" t="s">
        <v>1819</v>
      </c>
      <c r="Q975" t="s">
        <v>113</v>
      </c>
      <c r="R975" t="s">
        <v>114</v>
      </c>
    </row>
    <row r="976" spans="1:18" ht="15" customHeight="1">
      <c r="A976" s="106" t="b">
        <v>1</v>
      </c>
      <c r="B976" t="str" cm="1">
        <f t="array" ref="B976">_xlfn.SINGLE(_xlfn._xlws.FILTER(t_ServiceCatalogue[Onwer],t_ServiceCatalogue[Category]=t_fac25_requirements[[#This Row],[Category]],""))</f>
        <v>AV</v>
      </c>
      <c r="C976" t="s">
        <v>90</v>
      </c>
      <c r="D976" t="str">
        <f>_xlfn._xlws.FILTER(t_Contact[FA Name],t_Contact[FA]=t_fac25_requirements[[#This Row],[FA]],"")</f>
        <v>Workforce</v>
      </c>
      <c r="E976" t="s">
        <v>19</v>
      </c>
      <c r="F976" t="s">
        <v>20</v>
      </c>
      <c r="G976" t="s">
        <v>119</v>
      </c>
      <c r="H976" t="s">
        <v>110</v>
      </c>
      <c r="I976" t="s">
        <v>111</v>
      </c>
      <c r="J976" s="28" t="s">
        <v>370</v>
      </c>
      <c r="K976" s="32"/>
      <c r="L976" s="32">
        <v>1</v>
      </c>
      <c r="M976" s="30">
        <v>45931</v>
      </c>
      <c r="N976" s="30">
        <v>46009</v>
      </c>
      <c r="O976" s="43" t="s">
        <v>112</v>
      </c>
      <c r="P976" s="55" t="s">
        <v>87</v>
      </c>
      <c r="Q976" t="s">
        <v>126</v>
      </c>
      <c r="R976" t="s">
        <v>127</v>
      </c>
    </row>
    <row r="977" spans="1:18" ht="15" customHeight="1">
      <c r="A977" s="106" t="b">
        <v>1</v>
      </c>
      <c r="B977" t="str" cm="1">
        <f t="array" ref="B977">_xlfn.SINGLE(_xlfn._xlws.FILTER(t_ServiceCatalogue[Onwer],t_ServiceCatalogue[Category]=t_fac25_requirements[[#This Row],[Category]],""))</f>
        <v>EU</v>
      </c>
      <c r="C977" t="s">
        <v>189</v>
      </c>
      <c r="D977" t="str">
        <f>_xlfn._xlws.FILTER(t_Contact[FA Name],t_Contact[FA]=t_fac25_requirements[[#This Row],[FA]],"")</f>
        <v>Catering</v>
      </c>
      <c r="E977" t="s">
        <v>19</v>
      </c>
      <c r="F977" t="s">
        <v>20</v>
      </c>
      <c r="G977" t="s">
        <v>452</v>
      </c>
      <c r="H977" t="s">
        <v>32</v>
      </c>
      <c r="I977" s="28" t="s">
        <v>37</v>
      </c>
      <c r="J977" s="28" t="s">
        <v>370</v>
      </c>
      <c r="K977" s="29"/>
      <c r="L977" s="29">
        <v>2</v>
      </c>
      <c r="M977" s="30">
        <v>45931</v>
      </c>
      <c r="N977" s="30">
        <v>46009</v>
      </c>
      <c r="O977" s="43" t="s">
        <v>38</v>
      </c>
      <c r="P977" s="63" t="s">
        <v>87</v>
      </c>
      <c r="Q977" t="s">
        <v>639</v>
      </c>
      <c r="R977" t="s">
        <v>1820</v>
      </c>
    </row>
    <row r="978" spans="1:18" ht="15" customHeight="1">
      <c r="A978" s="106" t="b">
        <v>1</v>
      </c>
      <c r="B978" t="str" cm="1">
        <f t="array" ref="B978">_xlfn.SINGLE(_xlfn._xlws.FILTER(t_ServiceCatalogue[Onwer],t_ServiceCatalogue[Category]=t_fac25_requirements[[#This Row],[Category]],""))</f>
        <v>EU</v>
      </c>
      <c r="C978" t="s">
        <v>18</v>
      </c>
      <c r="D978" t="str">
        <f>_xlfn._xlws.FILTER(t_Contact[FA Name],t_Contact[FA]=t_fac25_requirements[[#This Row],[FA]],"")</f>
        <v>Accreditation</v>
      </c>
      <c r="E978" t="s">
        <v>19</v>
      </c>
      <c r="F978" t="s">
        <v>20</v>
      </c>
      <c r="G978" t="s">
        <v>21</v>
      </c>
      <c r="H978" t="s">
        <v>32</v>
      </c>
      <c r="I978" t="s">
        <v>37</v>
      </c>
      <c r="J978" s="28" t="s">
        <v>370</v>
      </c>
      <c r="K978" s="32"/>
      <c r="L978" s="32">
        <v>30</v>
      </c>
      <c r="M978" s="30">
        <v>45923</v>
      </c>
      <c r="N978" s="30">
        <v>46010</v>
      </c>
      <c r="O978" s="43" t="s">
        <v>38</v>
      </c>
      <c r="P978" s="55"/>
      <c r="Q978" t="s">
        <v>39</v>
      </c>
      <c r="R978" t="s">
        <v>40</v>
      </c>
    </row>
    <row r="979" spans="1:18" ht="15" customHeight="1">
      <c r="A979" s="106" t="b">
        <v>1</v>
      </c>
      <c r="B979" t="str" cm="1">
        <f t="array" ref="B979">_xlfn.SINGLE(_xlfn._xlws.FILTER(t_ServiceCatalogue[Onwer],t_ServiceCatalogue[Category]=t_fac25_requirements[[#This Row],[Category]],""))</f>
        <v>EU</v>
      </c>
      <c r="C979" t="s">
        <v>90</v>
      </c>
      <c r="D979" t="str">
        <f>_xlfn._xlws.FILTER(t_Contact[FA Name],t_Contact[FA]=t_fac25_requirements[[#This Row],[FA]],"")</f>
        <v>Workforce</v>
      </c>
      <c r="E979" t="s">
        <v>19</v>
      </c>
      <c r="F979" t="s">
        <v>20</v>
      </c>
      <c r="G979" t="s">
        <v>119</v>
      </c>
      <c r="H979" t="s">
        <v>32</v>
      </c>
      <c r="I979" t="s">
        <v>37</v>
      </c>
      <c r="J979" s="28" t="s">
        <v>370</v>
      </c>
      <c r="K979" s="32"/>
      <c r="L979" s="32">
        <v>12</v>
      </c>
      <c r="M979" s="30">
        <v>45931</v>
      </c>
      <c r="N979" s="30">
        <v>46009</v>
      </c>
      <c r="O979" s="43" t="s">
        <v>38</v>
      </c>
      <c r="P979" s="55" t="s">
        <v>87</v>
      </c>
      <c r="Q979" t="s">
        <v>106</v>
      </c>
      <c r="R979" t="s">
        <v>125</v>
      </c>
    </row>
    <row r="980" spans="1:18" ht="15" customHeight="1">
      <c r="A980" s="106" t="b">
        <v>1</v>
      </c>
      <c r="B980" t="str" cm="1">
        <f t="array" ref="B980">_xlfn.SINGLE(_xlfn._xlws.FILTER(t_ServiceCatalogue[Onwer],t_ServiceCatalogue[Category]=t_fac25_requirements[[#This Row],[Category]],""))</f>
        <v>EU</v>
      </c>
      <c r="C980" t="s">
        <v>189</v>
      </c>
      <c r="D980" t="str">
        <f>_xlfn._xlws.FILTER(t_Contact[FA Name],t_Contact[FA]=t_fac25_requirements[[#This Row],[FA]],"")</f>
        <v>Catering</v>
      </c>
      <c r="E980" t="s">
        <v>19</v>
      </c>
      <c r="F980" t="s">
        <v>20</v>
      </c>
      <c r="G980" t="s">
        <v>452</v>
      </c>
      <c r="H980" t="s">
        <v>32</v>
      </c>
      <c r="I980" s="28" t="s">
        <v>33</v>
      </c>
      <c r="J980" s="28" t="s">
        <v>370</v>
      </c>
      <c r="K980" s="29"/>
      <c r="L980" s="29">
        <v>2</v>
      </c>
      <c r="M980" s="30">
        <v>45931</v>
      </c>
      <c r="N980" s="30">
        <v>46009</v>
      </c>
      <c r="O980" s="43" t="s">
        <v>34</v>
      </c>
      <c r="P980" s="63" t="s">
        <v>87</v>
      </c>
      <c r="Q980" t="s">
        <v>639</v>
      </c>
      <c r="R980" t="s">
        <v>1821</v>
      </c>
    </row>
    <row r="981" spans="1:18" ht="15" customHeight="1">
      <c r="A981" s="106" t="b">
        <v>1</v>
      </c>
      <c r="B981" t="str" cm="1">
        <f t="array" ref="B981">_xlfn.SINGLE(_xlfn._xlws.FILTER(t_ServiceCatalogue[Onwer],t_ServiceCatalogue[Category]=t_fac25_requirements[[#This Row],[Category]],""))</f>
        <v>EU</v>
      </c>
      <c r="C981" t="s">
        <v>18</v>
      </c>
      <c r="D981" t="str">
        <f>_xlfn._xlws.FILTER(t_Contact[FA Name],t_Contact[FA]=t_fac25_requirements[[#This Row],[FA]],"")</f>
        <v>Accreditation</v>
      </c>
      <c r="E981" t="s">
        <v>19</v>
      </c>
      <c r="F981" t="s">
        <v>20</v>
      </c>
      <c r="G981" t="s">
        <v>21</v>
      </c>
      <c r="H981" t="s">
        <v>32</v>
      </c>
      <c r="I981" t="s">
        <v>33</v>
      </c>
      <c r="J981" s="28" t="s">
        <v>370</v>
      </c>
      <c r="K981" s="32"/>
      <c r="L981" s="32">
        <v>32</v>
      </c>
      <c r="M981" s="30">
        <v>45923</v>
      </c>
      <c r="N981" s="30">
        <v>46010</v>
      </c>
      <c r="O981" s="43" t="s">
        <v>34</v>
      </c>
      <c r="P981" s="55"/>
      <c r="Q981" t="s">
        <v>35</v>
      </c>
      <c r="R981" t="s">
        <v>36</v>
      </c>
    </row>
    <row r="982" spans="1:18" ht="15" customHeight="1">
      <c r="A982" s="106" t="b">
        <v>1</v>
      </c>
      <c r="B982" t="str" cm="1">
        <f t="array" ref="B982">_xlfn.SINGLE(_xlfn._xlws.FILTER(t_ServiceCatalogue[Onwer],t_ServiceCatalogue[Category]=t_fac25_requirements[[#This Row],[Category]],""))</f>
        <v>EU</v>
      </c>
      <c r="C982" t="s">
        <v>90</v>
      </c>
      <c r="D982" t="str">
        <f>_xlfn._xlws.FILTER(t_Contact[FA Name],t_Contact[FA]=t_fac25_requirements[[#This Row],[FA]],"")</f>
        <v>Workforce</v>
      </c>
      <c r="E982" t="s">
        <v>19</v>
      </c>
      <c r="F982" t="s">
        <v>20</v>
      </c>
      <c r="G982" t="s">
        <v>91</v>
      </c>
      <c r="H982" t="s">
        <v>32</v>
      </c>
      <c r="I982" t="s">
        <v>33</v>
      </c>
      <c r="J982" s="28" t="s">
        <v>370</v>
      </c>
      <c r="K982" s="32">
        <v>2</v>
      </c>
      <c r="L982" s="32">
        <v>4</v>
      </c>
      <c r="M982" s="30">
        <v>45931</v>
      </c>
      <c r="N982" s="30">
        <v>46009</v>
      </c>
      <c r="O982" s="43" t="s">
        <v>34</v>
      </c>
      <c r="P982" s="55" t="s">
        <v>87</v>
      </c>
      <c r="Q982" t="s">
        <v>92</v>
      </c>
      <c r="R982" t="s">
        <v>93</v>
      </c>
    </row>
    <row r="983" spans="1:18" ht="15" customHeight="1">
      <c r="A983" s="106" t="b">
        <v>1</v>
      </c>
      <c r="B983" t="str" cm="1">
        <f t="array" ref="B983">_xlfn.SINGLE(_xlfn._xlws.FILTER(t_ServiceCatalogue[Onwer],t_ServiceCatalogue[Category]=t_fac25_requirements[[#This Row],[Category]],""))</f>
        <v>EU</v>
      </c>
      <c r="C983" t="s">
        <v>90</v>
      </c>
      <c r="D983" t="str">
        <f>_xlfn._xlws.FILTER(t_Contact[FA Name],t_Contact[FA]=t_fac25_requirements[[#This Row],[FA]],"")</f>
        <v>Workforce</v>
      </c>
      <c r="E983" t="s">
        <v>19</v>
      </c>
      <c r="F983" t="s">
        <v>20</v>
      </c>
      <c r="G983" t="s">
        <v>119</v>
      </c>
      <c r="H983" t="s">
        <v>32</v>
      </c>
      <c r="I983" t="s">
        <v>33</v>
      </c>
      <c r="J983" s="28" t="s">
        <v>370</v>
      </c>
      <c r="K983" s="32"/>
      <c r="L983" s="32">
        <v>10</v>
      </c>
      <c r="M983" s="30">
        <v>45931</v>
      </c>
      <c r="N983" s="30">
        <v>46009</v>
      </c>
      <c r="O983" s="43" t="s">
        <v>34</v>
      </c>
      <c r="P983" s="55" t="s">
        <v>87</v>
      </c>
      <c r="Q983" t="s">
        <v>106</v>
      </c>
      <c r="R983" t="s">
        <v>123</v>
      </c>
    </row>
    <row r="984" spans="1:18" ht="15" customHeight="1">
      <c r="A984" s="106" t="b">
        <v>1</v>
      </c>
      <c r="B984" t="str" cm="1">
        <f t="array" ref="B984">_xlfn.SINGLE(_xlfn._xlws.FILTER(t_ServiceCatalogue[Onwer],t_ServiceCatalogue[Category]=t_fac25_requirements[[#This Row],[Category]],""))</f>
        <v>EU</v>
      </c>
      <c r="C984" t="s">
        <v>90</v>
      </c>
      <c r="D984" t="str">
        <f>_xlfn._xlws.FILTER(t_Contact[FA Name],t_Contact[FA]=t_fac25_requirements[[#This Row],[FA]],"")</f>
        <v>Workforce</v>
      </c>
      <c r="E984" t="s">
        <v>19</v>
      </c>
      <c r="F984" t="s">
        <v>20</v>
      </c>
      <c r="G984" t="s">
        <v>128</v>
      </c>
      <c r="H984" t="s">
        <v>32</v>
      </c>
      <c r="I984" t="s">
        <v>33</v>
      </c>
      <c r="J984" s="28" t="s">
        <v>370</v>
      </c>
      <c r="K984" s="32">
        <v>3</v>
      </c>
      <c r="L984" s="32">
        <v>2</v>
      </c>
      <c r="M984" s="30">
        <v>45931</v>
      </c>
      <c r="N984" s="30">
        <v>46009</v>
      </c>
      <c r="O984" s="43" t="s">
        <v>34</v>
      </c>
      <c r="P984" s="55" t="s">
        <v>87</v>
      </c>
      <c r="Q984" t="s">
        <v>106</v>
      </c>
      <c r="R984" t="s">
        <v>129</v>
      </c>
    </row>
    <row r="985" spans="1:18" ht="15" customHeight="1">
      <c r="A985" s="106" t="b">
        <v>1</v>
      </c>
      <c r="B985" t="str" cm="1">
        <f t="array" ref="B985">_xlfn.SINGLE(_xlfn._xlws.FILTER(t_ServiceCatalogue[Onwer],t_ServiceCatalogue[Category]=t_fac25_requirements[[#This Row],[Category]],""))</f>
        <v>EU</v>
      </c>
      <c r="C985" t="s">
        <v>198</v>
      </c>
      <c r="D985" t="str">
        <f>_xlfn._xlws.FILTER(t_Contact[FA Name],t_Contact[FA]=t_fac25_requirements[[#This Row],[FA]],"")</f>
        <v>Venue Management</v>
      </c>
      <c r="E985" s="28" t="s">
        <v>19</v>
      </c>
      <c r="F985" s="28" t="s">
        <v>20</v>
      </c>
      <c r="G985" s="28" t="s">
        <v>1817</v>
      </c>
      <c r="H985" s="28" t="s">
        <v>32</v>
      </c>
      <c r="I985" s="28" t="s">
        <v>94</v>
      </c>
      <c r="J985" s="28" t="s">
        <v>637</v>
      </c>
      <c r="K985" s="29">
        <v>2</v>
      </c>
      <c r="L985" s="29">
        <v>0</v>
      </c>
      <c r="M985" s="30">
        <v>45931</v>
      </c>
      <c r="N985" s="30">
        <v>46009</v>
      </c>
      <c r="O985" s="43" t="s">
        <v>95</v>
      </c>
      <c r="P985" s="55" t="s">
        <v>1822</v>
      </c>
      <c r="Q985" s="28"/>
      <c r="R985" t="s">
        <v>1823</v>
      </c>
    </row>
    <row r="986" spans="1:18" ht="15" customHeight="1">
      <c r="A986" s="106" t="b">
        <v>1</v>
      </c>
      <c r="B986" t="str" cm="1">
        <f t="array" ref="B986">_xlfn.SINGLE(_xlfn._xlws.FILTER(t_ServiceCatalogue[Onwer],t_ServiceCatalogue[Category]=t_fac25_requirements[[#This Row],[Category]],""))</f>
        <v>EU</v>
      </c>
      <c r="C986" t="s">
        <v>90</v>
      </c>
      <c r="D986" t="str">
        <f>_xlfn._xlws.FILTER(t_Contact[FA Name],t_Contact[FA]=t_fac25_requirements[[#This Row],[FA]],"")</f>
        <v>Workforce</v>
      </c>
      <c r="E986" t="s">
        <v>19</v>
      </c>
      <c r="F986" t="s">
        <v>20</v>
      </c>
      <c r="G986" t="s">
        <v>91</v>
      </c>
      <c r="H986" t="s">
        <v>32</v>
      </c>
      <c r="I986" t="s">
        <v>94</v>
      </c>
      <c r="J986" s="28" t="s">
        <v>637</v>
      </c>
      <c r="K986" s="32">
        <v>7</v>
      </c>
      <c r="L986" s="32">
        <v>0</v>
      </c>
      <c r="M986" s="30">
        <v>45931</v>
      </c>
      <c r="N986" s="30">
        <v>46009</v>
      </c>
      <c r="O986" s="43" t="s">
        <v>95</v>
      </c>
      <c r="P986" s="55" t="s">
        <v>87</v>
      </c>
      <c r="Q986" t="s">
        <v>92</v>
      </c>
      <c r="R986" t="s">
        <v>96</v>
      </c>
    </row>
    <row r="987" spans="1:18" ht="15" customHeight="1">
      <c r="A987" s="106" t="b">
        <v>1</v>
      </c>
      <c r="B987" t="str" cm="1">
        <f t="array" ref="B987">_xlfn.SINGLE(_xlfn._xlws.FILTER(t_ServiceCatalogue[Onwer],t_ServiceCatalogue[Category]=t_fac25_requirements[[#This Row],[Category]],""))</f>
        <v>EU</v>
      </c>
      <c r="C987" t="s">
        <v>90</v>
      </c>
      <c r="D987" t="str">
        <f>_xlfn._xlws.FILTER(t_Contact[FA Name],t_Contact[FA]=t_fac25_requirements[[#This Row],[FA]],"")</f>
        <v>Workforce</v>
      </c>
      <c r="E987" t="s">
        <v>19</v>
      </c>
      <c r="F987" t="s">
        <v>20</v>
      </c>
      <c r="G987" t="s">
        <v>119</v>
      </c>
      <c r="H987" t="s">
        <v>32</v>
      </c>
      <c r="I987" t="s">
        <v>94</v>
      </c>
      <c r="J987" s="28" t="s">
        <v>637</v>
      </c>
      <c r="K987" s="32">
        <v>10</v>
      </c>
      <c r="L987" s="32">
        <v>0</v>
      </c>
      <c r="M987" s="30">
        <v>45931</v>
      </c>
      <c r="N987" s="30">
        <v>46009</v>
      </c>
      <c r="O987" s="43" t="s">
        <v>95</v>
      </c>
      <c r="P987" s="55" t="s">
        <v>87</v>
      </c>
      <c r="Q987" t="s">
        <v>106</v>
      </c>
      <c r="R987" t="s">
        <v>124</v>
      </c>
    </row>
    <row r="988" spans="1:18" ht="15" customHeight="1">
      <c r="A988" s="106" t="b">
        <v>1</v>
      </c>
      <c r="B988" t="str" cm="1">
        <f t="array" ref="B988">_xlfn.SINGLE(_xlfn._xlws.FILTER(t_ServiceCatalogue[Onwer],t_ServiceCatalogue[Category]=t_fac25_requirements[[#This Row],[Category]],""))</f>
        <v>EU</v>
      </c>
      <c r="C988" t="s">
        <v>18</v>
      </c>
      <c r="D988" t="str">
        <f>_xlfn._xlws.FILTER(t_Contact[FA Name],t_Contact[FA]=t_fac25_requirements[[#This Row],[FA]],"")</f>
        <v>Accreditation</v>
      </c>
      <c r="E988" t="s">
        <v>19</v>
      </c>
      <c r="F988" t="s">
        <v>20</v>
      </c>
      <c r="G988" t="s">
        <v>21</v>
      </c>
      <c r="H988" t="s">
        <v>32</v>
      </c>
      <c r="I988" t="s">
        <v>215</v>
      </c>
      <c r="J988" s="28" t="s">
        <v>370</v>
      </c>
      <c r="K988" s="32"/>
      <c r="L988" s="32">
        <v>32</v>
      </c>
      <c r="M988" s="30">
        <v>45923</v>
      </c>
      <c r="N988" s="30">
        <v>46010</v>
      </c>
      <c r="O988" s="43" t="s">
        <v>1824</v>
      </c>
      <c r="P988" s="55" t="s">
        <v>1825</v>
      </c>
      <c r="R988" t="s">
        <v>1826</v>
      </c>
    </row>
    <row r="989" spans="1:18" ht="15" customHeight="1">
      <c r="A989" s="106" t="b">
        <v>1</v>
      </c>
      <c r="B989" t="str" cm="1">
        <f t="array" ref="B989">_xlfn.SINGLE(_xlfn._xlws.FILTER(t_ServiceCatalogue[Onwer],t_ServiceCatalogue[Category]=t_fac25_requirements[[#This Row],[Category]],""))</f>
        <v>EU</v>
      </c>
      <c r="C989" t="s">
        <v>18</v>
      </c>
      <c r="D989" t="str">
        <f>_xlfn._xlws.FILTER(t_Contact[FA Name],t_Contact[FA]=t_fac25_requirements[[#This Row],[FA]],"")</f>
        <v>Accreditation</v>
      </c>
      <c r="E989" t="s">
        <v>19</v>
      </c>
      <c r="F989" t="s">
        <v>20</v>
      </c>
      <c r="G989" t="s">
        <v>21</v>
      </c>
      <c r="H989" t="s">
        <v>32</v>
      </c>
      <c r="I989" t="s">
        <v>210</v>
      </c>
      <c r="J989" s="28" t="s">
        <v>370</v>
      </c>
      <c r="K989" s="32"/>
      <c r="L989" s="32">
        <v>32</v>
      </c>
      <c r="M989" s="30">
        <v>45923</v>
      </c>
      <c r="N989" s="30">
        <v>46010</v>
      </c>
      <c r="O989" s="43" t="s">
        <v>42</v>
      </c>
      <c r="P989" s="55" t="s">
        <v>1827</v>
      </c>
      <c r="Q989" t="s">
        <v>44</v>
      </c>
      <c r="R989" t="s">
        <v>45</v>
      </c>
    </row>
    <row r="990" spans="1:18" ht="15" customHeight="1">
      <c r="A990" s="106" t="b">
        <v>1</v>
      </c>
      <c r="B990" t="str" cm="1">
        <f t="array" ref="B990">_xlfn.SINGLE(_xlfn._xlws.FILTER(t_ServiceCatalogue[Onwer],t_ServiceCatalogue[Category]=t_fac25_requirements[[#This Row],[Category]],""))</f>
        <v>EU</v>
      </c>
      <c r="C990" t="s">
        <v>90</v>
      </c>
      <c r="D990" t="str">
        <f>_xlfn._xlws.FILTER(t_Contact[FA Name],t_Contact[FA]=t_fac25_requirements[[#This Row],[FA]],"")</f>
        <v>Workforce</v>
      </c>
      <c r="E990" t="s">
        <v>19</v>
      </c>
      <c r="F990" t="s">
        <v>20</v>
      </c>
      <c r="G990" t="s">
        <v>91</v>
      </c>
      <c r="H990" t="s">
        <v>32</v>
      </c>
      <c r="I990" t="s">
        <v>210</v>
      </c>
      <c r="J990" s="28" t="s">
        <v>370</v>
      </c>
      <c r="K990" s="32">
        <v>8</v>
      </c>
      <c r="L990" s="32">
        <v>4</v>
      </c>
      <c r="M990" s="30">
        <v>45931</v>
      </c>
      <c r="N990" s="30">
        <v>46009</v>
      </c>
      <c r="O990" s="43" t="s">
        <v>42</v>
      </c>
      <c r="P990" s="55"/>
      <c r="Q990" s="83" t="s">
        <v>1828</v>
      </c>
      <c r="R990" t="s">
        <v>109</v>
      </c>
    </row>
    <row r="991" spans="1:18" ht="15" customHeight="1">
      <c r="A991" s="106" t="b">
        <v>1</v>
      </c>
      <c r="B991" t="str" cm="1">
        <f t="array" ref="B991">_xlfn.SINGLE(_xlfn._xlws.FILTER(t_ServiceCatalogue[Onwer],t_ServiceCatalogue[Category]=t_fac25_requirements[[#This Row],[Category]],""))</f>
        <v>NW</v>
      </c>
      <c r="C991" t="s">
        <v>18</v>
      </c>
      <c r="D991" t="str">
        <f>_xlfn._xlws.FILTER(t_Contact[FA Name],t_Contact[FA]=t_fac25_requirements[[#This Row],[FA]],"")</f>
        <v>Accreditation</v>
      </c>
      <c r="E991" t="s">
        <v>19</v>
      </c>
      <c r="F991" t="s">
        <v>20</v>
      </c>
      <c r="G991" t="s">
        <v>21</v>
      </c>
      <c r="H991" t="s">
        <v>46</v>
      </c>
      <c r="I991" t="s">
        <v>47</v>
      </c>
      <c r="J991" s="28" t="s">
        <v>370</v>
      </c>
      <c r="K991" s="32"/>
      <c r="L991" s="32">
        <v>55</v>
      </c>
      <c r="M991" s="30">
        <v>45923</v>
      </c>
      <c r="N991" s="30">
        <v>46010</v>
      </c>
      <c r="O991" s="43" t="s">
        <v>48</v>
      </c>
      <c r="P991" s="55"/>
      <c r="Q991" t="s">
        <v>49</v>
      </c>
      <c r="R991" t="s">
        <v>50</v>
      </c>
    </row>
    <row r="992" spans="1:18" ht="15" customHeight="1">
      <c r="A992" s="106" t="b">
        <v>1</v>
      </c>
      <c r="B992" t="str" cm="1">
        <f t="array" ref="B992">_xlfn.SINGLE(_xlfn._xlws.FILTER(t_ServiceCatalogue[Onwer],t_ServiceCatalogue[Category]=t_fac25_requirements[[#This Row],[Category]],""))</f>
        <v>NW</v>
      </c>
      <c r="C992" t="s">
        <v>90</v>
      </c>
      <c r="D992" t="str">
        <f>_xlfn._xlws.FILTER(t_Contact[FA Name],t_Contact[FA]=t_fac25_requirements[[#This Row],[FA]],"")</f>
        <v>Workforce</v>
      </c>
      <c r="E992" t="s">
        <v>19</v>
      </c>
      <c r="F992" t="s">
        <v>20</v>
      </c>
      <c r="G992" t="s">
        <v>91</v>
      </c>
      <c r="H992" t="s">
        <v>46</v>
      </c>
      <c r="I992" t="s">
        <v>47</v>
      </c>
      <c r="J992" s="28" t="s">
        <v>370</v>
      </c>
      <c r="K992" s="32">
        <v>6</v>
      </c>
      <c r="L992" s="32">
        <v>4</v>
      </c>
      <c r="M992" s="30">
        <v>45931</v>
      </c>
      <c r="N992" s="30">
        <v>46009</v>
      </c>
      <c r="O992" s="43" t="s">
        <v>48</v>
      </c>
      <c r="P992" s="55" t="s">
        <v>87</v>
      </c>
      <c r="Q992" t="s">
        <v>92</v>
      </c>
      <c r="R992" t="s">
        <v>98</v>
      </c>
    </row>
    <row r="993" spans="1:18" ht="15" customHeight="1">
      <c r="A993" s="106" t="b">
        <v>1</v>
      </c>
      <c r="B993" t="str" cm="1">
        <f t="array" ref="B993">_xlfn.SINGLE(_xlfn._xlws.FILTER(t_ServiceCatalogue[Onwer],t_ServiceCatalogue[Category]=t_fac25_requirements[[#This Row],[Category]],""))</f>
        <v>EU</v>
      </c>
      <c r="C993" t="s">
        <v>198</v>
      </c>
      <c r="D993" t="str">
        <f>_xlfn._xlws.FILTER(t_Contact[FA Name],t_Contact[FA]=t_fac25_requirements[[#This Row],[FA]],"")</f>
        <v>Venue Management</v>
      </c>
      <c r="E993" s="28" t="s">
        <v>19</v>
      </c>
      <c r="F993" s="28" t="s">
        <v>20</v>
      </c>
      <c r="G993" s="28" t="s">
        <v>1817</v>
      </c>
      <c r="H993" s="28" t="s">
        <v>22</v>
      </c>
      <c r="I993" s="28" t="s">
        <v>28</v>
      </c>
      <c r="J993" s="28" t="s">
        <v>370</v>
      </c>
      <c r="K993" s="29"/>
      <c r="L993" s="29">
        <v>1</v>
      </c>
      <c r="M993" s="30">
        <v>45931</v>
      </c>
      <c r="N993" s="30">
        <v>46009</v>
      </c>
      <c r="O993" s="43" t="s">
        <v>29</v>
      </c>
      <c r="P993" s="55" t="s">
        <v>1829</v>
      </c>
      <c r="Q993" s="28"/>
      <c r="R993" t="s">
        <v>1830</v>
      </c>
    </row>
    <row r="994" spans="1:18" ht="15" customHeight="1">
      <c r="A994" s="106" t="b">
        <v>1</v>
      </c>
      <c r="B994" t="str" cm="1">
        <f t="array" ref="B994">_xlfn.SINGLE(_xlfn._xlws.FILTER(t_ServiceCatalogue[Onwer],t_ServiceCatalogue[Category]=t_fac25_requirements[[#This Row],[Category]],""))</f>
        <v>EU</v>
      </c>
      <c r="C994" t="s">
        <v>18</v>
      </c>
      <c r="D994" t="str">
        <f>_xlfn._xlws.FILTER(t_Contact[FA Name],t_Contact[FA]=t_fac25_requirements[[#This Row],[FA]],"")</f>
        <v>Accreditation</v>
      </c>
      <c r="E994" t="s">
        <v>19</v>
      </c>
      <c r="F994" t="s">
        <v>20</v>
      </c>
      <c r="G994" t="s">
        <v>27</v>
      </c>
      <c r="H994" t="s">
        <v>22</v>
      </c>
      <c r="I994" t="s">
        <v>28</v>
      </c>
      <c r="J994" s="28" t="s">
        <v>370</v>
      </c>
      <c r="K994" s="32"/>
      <c r="L994" s="32">
        <v>1</v>
      </c>
      <c r="M994" s="30">
        <v>45923</v>
      </c>
      <c r="N994" s="30">
        <v>46010</v>
      </c>
      <c r="O994" s="43" t="s">
        <v>29</v>
      </c>
      <c r="P994" s="55"/>
      <c r="Q994" t="s">
        <v>30</v>
      </c>
      <c r="R994" t="s">
        <v>31</v>
      </c>
    </row>
    <row r="995" spans="1:18" ht="15" customHeight="1">
      <c r="A995" s="106" t="b">
        <v>1</v>
      </c>
      <c r="B995" t="str" cm="1">
        <f t="array" ref="B995">_xlfn.SINGLE(_xlfn._xlws.FILTER(t_ServiceCatalogue[Onwer],t_ServiceCatalogue[Category]=t_fac25_requirements[[#This Row],[Category]],""))</f>
        <v>EU</v>
      </c>
      <c r="C995" t="s">
        <v>90</v>
      </c>
      <c r="D995" t="str">
        <f>_xlfn._xlws.FILTER(t_Contact[FA Name],t_Contact[FA]=t_fac25_requirements[[#This Row],[FA]],"")</f>
        <v>Workforce</v>
      </c>
      <c r="E995" t="s">
        <v>19</v>
      </c>
      <c r="F995" t="s">
        <v>20</v>
      </c>
      <c r="G995" t="s">
        <v>91</v>
      </c>
      <c r="H995" t="s">
        <v>22</v>
      </c>
      <c r="I995" t="s">
        <v>28</v>
      </c>
      <c r="J995" s="28" t="s">
        <v>637</v>
      </c>
      <c r="K995" s="32">
        <v>1</v>
      </c>
      <c r="L995" s="32">
        <v>0</v>
      </c>
      <c r="M995" s="30">
        <v>45931</v>
      </c>
      <c r="N995" s="30">
        <v>46009</v>
      </c>
      <c r="O995" s="43" t="s">
        <v>29</v>
      </c>
      <c r="P995" s="55" t="s">
        <v>1831</v>
      </c>
      <c r="Q995" t="s">
        <v>99</v>
      </c>
      <c r="R995" t="s">
        <v>100</v>
      </c>
    </row>
    <row r="996" spans="1:18" ht="15" customHeight="1">
      <c r="A996" s="106" t="b">
        <v>1</v>
      </c>
      <c r="B996" t="str" cm="1">
        <f t="array" ref="B996">_xlfn.SINGLE(_xlfn._xlws.FILTER(t_ServiceCatalogue[Onwer],t_ServiceCatalogue[Category]=t_fac25_requirements[[#This Row],[Category]],""))</f>
        <v>EU</v>
      </c>
      <c r="C996" t="s">
        <v>18</v>
      </c>
      <c r="D996" t="str">
        <f>_xlfn._xlws.FILTER(t_Contact[FA Name],t_Contact[FA]=t_fac25_requirements[[#This Row],[FA]],"")</f>
        <v>Accreditation</v>
      </c>
      <c r="E996" t="s">
        <v>19</v>
      </c>
      <c r="F996" t="s">
        <v>20</v>
      </c>
      <c r="G996" t="s">
        <v>21</v>
      </c>
      <c r="H996" t="s">
        <v>22</v>
      </c>
      <c r="I996" t="s">
        <v>23</v>
      </c>
      <c r="J996" s="28" t="s">
        <v>370</v>
      </c>
      <c r="K996" s="32"/>
      <c r="L996" s="32">
        <v>24</v>
      </c>
      <c r="M996" s="30">
        <v>45923</v>
      </c>
      <c r="N996" s="30">
        <v>46010</v>
      </c>
      <c r="O996" s="43" t="s">
        <v>24</v>
      </c>
      <c r="P996" s="55"/>
      <c r="Q996" t="s">
        <v>25</v>
      </c>
      <c r="R996" t="s">
        <v>26</v>
      </c>
    </row>
    <row r="997" spans="1:18" ht="15" customHeight="1">
      <c r="A997" s="106" t="b">
        <v>1</v>
      </c>
      <c r="B997" t="s">
        <v>203</v>
      </c>
      <c r="C997" t="s">
        <v>18</v>
      </c>
      <c r="D997" t="str">
        <f>_xlfn._xlws.FILTER(t_Contact[FA Name],t_Contact[FA]=t_fac25_requirements[[#This Row],[FA]],"")</f>
        <v>Accreditation</v>
      </c>
      <c r="E997" t="s">
        <v>19</v>
      </c>
      <c r="F997" t="s">
        <v>20</v>
      </c>
      <c r="G997" t="s">
        <v>453</v>
      </c>
      <c r="H997" t="s">
        <v>22</v>
      </c>
      <c r="I997" t="s">
        <v>23</v>
      </c>
      <c r="J997" s="28" t="s">
        <v>370</v>
      </c>
      <c r="K997" s="32"/>
      <c r="L997" s="32">
        <v>6</v>
      </c>
      <c r="M997" s="30">
        <v>45950</v>
      </c>
      <c r="N997" s="30">
        <v>46010</v>
      </c>
      <c r="O997" s="43" t="s">
        <v>24</v>
      </c>
      <c r="P997" s="55" t="s">
        <v>1832</v>
      </c>
    </row>
    <row r="998" spans="1:18" ht="15" customHeight="1">
      <c r="A998" s="106" t="b">
        <v>1</v>
      </c>
      <c r="B998" t="str" cm="1">
        <f t="array" ref="B998">_xlfn.SINGLE(_xlfn._xlws.FILTER(t_ServiceCatalogue[Onwer],t_ServiceCatalogue[Category]=t_fac25_requirements[[#This Row],[Category]],""))</f>
        <v>EU</v>
      </c>
      <c r="C998" t="s">
        <v>90</v>
      </c>
      <c r="D998" t="str">
        <f>_xlfn._xlws.FILTER(t_Contact[FA Name],t_Contact[FA]=t_fac25_requirements[[#This Row],[FA]],"")</f>
        <v>Workforce</v>
      </c>
      <c r="E998" t="s">
        <v>19</v>
      </c>
      <c r="F998" t="s">
        <v>20</v>
      </c>
      <c r="G998" t="s">
        <v>119</v>
      </c>
      <c r="H998" t="s">
        <v>22</v>
      </c>
      <c r="I998" t="s">
        <v>23</v>
      </c>
      <c r="J998" s="28" t="s">
        <v>370</v>
      </c>
      <c r="K998" s="32"/>
      <c r="L998" s="32">
        <v>3</v>
      </c>
      <c r="M998" s="30">
        <v>45931</v>
      </c>
      <c r="N998" s="30">
        <v>46009</v>
      </c>
      <c r="O998" s="43" t="s">
        <v>24</v>
      </c>
      <c r="P998" s="55" t="s">
        <v>87</v>
      </c>
      <c r="Q998" t="s">
        <v>121</v>
      </c>
      <c r="R998" t="s">
        <v>122</v>
      </c>
    </row>
    <row r="999" spans="1:18" ht="15" customHeight="1">
      <c r="A999" s="106" t="b">
        <v>1</v>
      </c>
      <c r="B999" t="str" cm="1">
        <f t="array" ref="B999">_xlfn.SINGLE(_xlfn._xlws.FILTER(t_ServiceCatalogue[Onwer],t_ServiceCatalogue[Category]=t_fac25_requirements[[#This Row],[Category]],""))</f>
        <v>EU</v>
      </c>
      <c r="C999" t="s">
        <v>182</v>
      </c>
      <c r="D999" t="str">
        <f>_xlfn._xlws.FILTER(t_Contact[FA Name],t_Contact[FA]=t_fac25_requirements[[#This Row],[FA]],"")</f>
        <v>ICT</v>
      </c>
      <c r="E999" t="s">
        <v>19</v>
      </c>
      <c r="F999" t="s">
        <v>20</v>
      </c>
      <c r="G999" t="s">
        <v>183</v>
      </c>
      <c r="H999" t="s">
        <v>22</v>
      </c>
      <c r="I999" t="s">
        <v>23</v>
      </c>
      <c r="J999" s="28" t="s">
        <v>370</v>
      </c>
      <c r="K999" s="32"/>
      <c r="L999" s="32">
        <v>1</v>
      </c>
      <c r="M999" s="30">
        <v>45931</v>
      </c>
      <c r="N999" s="30">
        <v>46011</v>
      </c>
      <c r="O999" s="43" t="s">
        <v>24</v>
      </c>
      <c r="P999" s="55"/>
      <c r="R999" t="s">
        <v>184</v>
      </c>
    </row>
    <row r="1000" spans="1:18" ht="15" customHeight="1">
      <c r="A1000" s="106" t="b">
        <v>1</v>
      </c>
      <c r="B1000" t="str" cm="1">
        <f t="array" ref="B1000">_xlfn.SINGLE(_xlfn._xlws.FILTER(t_ServiceCatalogue[Onwer],t_ServiceCatalogue[Category]=t_fac25_requirements[[#This Row],[Category]],""))</f>
        <v>Telco/SIM</v>
      </c>
      <c r="C1000" t="s">
        <v>90</v>
      </c>
      <c r="D1000" t="str">
        <f>_xlfn._xlws.FILTER(t_Contact[FA Name],t_Contact[FA]=t_fac25_requirements[[#This Row],[FA]],"")</f>
        <v>Workforce</v>
      </c>
      <c r="E1000" t="s">
        <v>19</v>
      </c>
      <c r="F1000" t="s">
        <v>20</v>
      </c>
      <c r="G1000" t="s">
        <v>91</v>
      </c>
      <c r="H1000" t="s">
        <v>84</v>
      </c>
      <c r="I1000" t="s">
        <v>221</v>
      </c>
      <c r="J1000" s="28" t="s">
        <v>370</v>
      </c>
      <c r="K1000" s="32"/>
      <c r="L1000" s="32">
        <v>5</v>
      </c>
      <c r="M1000" s="30">
        <v>45923</v>
      </c>
      <c r="N1000" s="30">
        <v>46009</v>
      </c>
      <c r="O1000" s="43" t="s">
        <v>1833</v>
      </c>
      <c r="P1000" s="55" t="s">
        <v>103</v>
      </c>
      <c r="Q1000" t="s">
        <v>104</v>
      </c>
      <c r="R1000" t="s">
        <v>105</v>
      </c>
    </row>
    <row r="1001" spans="1:18" ht="15" customHeight="1">
      <c r="A1001" s="106" t="b">
        <v>1</v>
      </c>
      <c r="B1001" t="str" cm="1">
        <f t="array" ref="B1001">_xlfn.SINGLE(_xlfn._xlws.FILTER(t_ServiceCatalogue[Onwer],t_ServiceCatalogue[Category]=t_fac25_requirements[[#This Row],[Category]],""))</f>
        <v>Telco/SIM</v>
      </c>
      <c r="C1001" t="s">
        <v>90</v>
      </c>
      <c r="D1001" t="str">
        <f>_xlfn._xlws.FILTER(t_Contact[FA Name],t_Contact[FA]=t_fac25_requirements[[#This Row],[FA]],"")</f>
        <v>Workforce</v>
      </c>
      <c r="E1001" t="s">
        <v>19</v>
      </c>
      <c r="F1001" t="s">
        <v>20</v>
      </c>
      <c r="G1001" t="s">
        <v>128</v>
      </c>
      <c r="H1001" t="s">
        <v>84</v>
      </c>
      <c r="I1001" t="s">
        <v>221</v>
      </c>
      <c r="J1001" s="28" t="s">
        <v>370</v>
      </c>
      <c r="K1001" s="32"/>
      <c r="L1001" s="32">
        <v>2</v>
      </c>
      <c r="M1001" s="30">
        <v>45925</v>
      </c>
      <c r="N1001" s="30">
        <v>46009</v>
      </c>
      <c r="O1001" s="43" t="s">
        <v>1833</v>
      </c>
      <c r="P1001" s="55"/>
      <c r="Q1001" s="83" t="s">
        <v>131</v>
      </c>
      <c r="R1001" t="s">
        <v>132</v>
      </c>
    </row>
    <row r="1002" spans="1:18" ht="15" customHeight="1">
      <c r="A1002" s="106" t="b">
        <v>1</v>
      </c>
      <c r="B1002" t="str" cm="1">
        <f t="array" ref="B1002">_xlfn.SINGLE(_xlfn._xlws.FILTER(t_ServiceCatalogue[Onwer],t_ServiceCatalogue[Category]=t_fac25_requirements[[#This Row],[Category]],""))</f>
        <v>AV</v>
      </c>
      <c r="C1002" t="s">
        <v>18</v>
      </c>
      <c r="D1002" t="str">
        <f>_xlfn._xlws.FILTER(t_Contact[FA Name],t_Contact[FA]=t_fac25_requirements[[#This Row],[FA]],"")</f>
        <v>Accreditation</v>
      </c>
      <c r="E1002" t="s">
        <v>19</v>
      </c>
      <c r="F1002" t="s">
        <v>20</v>
      </c>
      <c r="G1002" t="s">
        <v>57</v>
      </c>
      <c r="H1002" t="s">
        <v>58</v>
      </c>
      <c r="I1002" t="s">
        <v>59</v>
      </c>
      <c r="J1002" s="28" t="s">
        <v>370</v>
      </c>
      <c r="K1002" s="32"/>
      <c r="L1002" s="32">
        <v>2</v>
      </c>
      <c r="M1002" s="30">
        <v>45923</v>
      </c>
      <c r="N1002" s="30">
        <v>46010</v>
      </c>
      <c r="O1002" s="43" t="s">
        <v>60</v>
      </c>
      <c r="P1002" s="55"/>
      <c r="Q1002" t="s">
        <v>61</v>
      </c>
      <c r="R1002" t="s">
        <v>62</v>
      </c>
    </row>
    <row r="1003" spans="1:18" ht="15" customHeight="1">
      <c r="A1003" s="106" t="b">
        <v>1</v>
      </c>
      <c r="B1003" t="str" cm="1">
        <f t="array" ref="B1003">_xlfn.SINGLE(_xlfn._xlws.FILTER(t_ServiceCatalogue[Onwer],t_ServiceCatalogue[Category]=t_fac25_requirements[[#This Row],[Category]],""))</f>
        <v>AV</v>
      </c>
      <c r="C1003" t="s">
        <v>90</v>
      </c>
      <c r="D1003" t="str">
        <f>_xlfn._xlws.FILTER(t_Contact[FA Name],t_Contact[FA]=t_fac25_requirements[[#This Row],[FA]],"")</f>
        <v>Workforce</v>
      </c>
      <c r="E1003" t="s">
        <v>19</v>
      </c>
      <c r="F1003" t="s">
        <v>20</v>
      </c>
      <c r="G1003" t="s">
        <v>91</v>
      </c>
      <c r="H1003" t="s">
        <v>58</v>
      </c>
      <c r="I1003" t="s">
        <v>59</v>
      </c>
      <c r="J1003" s="28" t="s">
        <v>370</v>
      </c>
      <c r="K1003" s="32">
        <v>0</v>
      </c>
      <c r="L1003" s="32">
        <v>1</v>
      </c>
      <c r="M1003" s="30">
        <v>45931</v>
      </c>
      <c r="N1003" s="30">
        <v>46009</v>
      </c>
      <c r="O1003" s="43" t="s">
        <v>60</v>
      </c>
      <c r="P1003" s="55" t="s">
        <v>87</v>
      </c>
      <c r="Q1003" t="s">
        <v>92</v>
      </c>
      <c r="R1003" t="s">
        <v>97</v>
      </c>
    </row>
    <row r="1004" spans="1:18" ht="15" customHeight="1">
      <c r="A1004" s="106" t="b">
        <v>1</v>
      </c>
      <c r="B1004" t="str" cm="1">
        <f t="array" ref="B1004">_xlfn.SINGLE(_xlfn._xlws.FILTER(t_ServiceCatalogue[Onwer],t_ServiceCatalogue[Category]=t_fac25_requirements[[#This Row],[Category]],""))</f>
        <v>AV</v>
      </c>
      <c r="C1004" t="s">
        <v>90</v>
      </c>
      <c r="D1004" t="str">
        <f>_xlfn._xlws.FILTER(t_Contact[FA Name],t_Contact[FA]=t_fac25_requirements[[#This Row],[FA]],"")</f>
        <v>Workforce</v>
      </c>
      <c r="E1004" t="s">
        <v>19</v>
      </c>
      <c r="F1004" t="s">
        <v>20</v>
      </c>
      <c r="G1004" t="s">
        <v>128</v>
      </c>
      <c r="H1004" t="s">
        <v>58</v>
      </c>
      <c r="I1004" t="s">
        <v>59</v>
      </c>
      <c r="J1004" s="28" t="s">
        <v>370</v>
      </c>
      <c r="K1004" s="32"/>
      <c r="L1004" s="32">
        <v>1</v>
      </c>
      <c r="M1004" s="30">
        <v>45931</v>
      </c>
      <c r="N1004" s="30">
        <v>46009</v>
      </c>
      <c r="O1004" s="43" t="s">
        <v>60</v>
      </c>
      <c r="P1004" s="55" t="s">
        <v>87</v>
      </c>
      <c r="Q1004" t="s">
        <v>106</v>
      </c>
      <c r="R1004" t="s">
        <v>133</v>
      </c>
    </row>
    <row r="1005" spans="1:18" ht="15" customHeight="1">
      <c r="A1005" s="106" t="b">
        <v>1</v>
      </c>
      <c r="B1005" t="str" cm="1">
        <f t="array" ref="B1005">_xlfn.SINGLE(_xlfn._xlws.FILTER(t_ServiceCatalogue[Onwer],t_ServiceCatalogue[Category]=t_fac25_requirements[[#This Row],[Category]],""))</f>
        <v>NW</v>
      </c>
      <c r="C1005" t="s">
        <v>198</v>
      </c>
      <c r="D1005" t="str">
        <f>_xlfn._xlws.FILTER(t_Contact[FA Name],t_Contact[FA]=t_fac25_requirements[[#This Row],[FA]],"")</f>
        <v>Venue Management</v>
      </c>
      <c r="E1005" s="28" t="s">
        <v>19</v>
      </c>
      <c r="F1005" s="28" t="s">
        <v>20</v>
      </c>
      <c r="G1005" s="28" t="s">
        <v>1817</v>
      </c>
      <c r="H1005" s="28" t="s">
        <v>52</v>
      </c>
      <c r="I1005" s="28" t="s">
        <v>53</v>
      </c>
      <c r="J1005" s="28" t="s">
        <v>370</v>
      </c>
      <c r="K1005" s="29"/>
      <c r="L1005" s="29">
        <v>1</v>
      </c>
      <c r="M1005" s="30">
        <v>45931</v>
      </c>
      <c r="N1005" s="30">
        <v>46009</v>
      </c>
      <c r="O1005" s="43" t="s">
        <v>54</v>
      </c>
      <c r="P1005" s="63" t="s">
        <v>87</v>
      </c>
      <c r="Q1005" s="28"/>
      <c r="R1005" t="s">
        <v>1834</v>
      </c>
    </row>
    <row r="1006" spans="1:18" ht="15" customHeight="1">
      <c r="A1006" s="106" t="b">
        <v>1</v>
      </c>
      <c r="B1006" t="str" cm="1">
        <f t="array" ref="B1006">_xlfn.SINGLE(_xlfn._xlws.FILTER(t_ServiceCatalogue[Onwer],t_ServiceCatalogue[Category]=t_fac25_requirements[[#This Row],[Category]],""))</f>
        <v>NW</v>
      </c>
      <c r="C1006" t="s">
        <v>189</v>
      </c>
      <c r="D1006" t="str">
        <f>_xlfn._xlws.FILTER(t_Contact[FA Name],t_Contact[FA]=t_fac25_requirements[[#This Row],[FA]],"")</f>
        <v>Catering</v>
      </c>
      <c r="E1006" t="s">
        <v>19</v>
      </c>
      <c r="F1006" t="s">
        <v>20</v>
      </c>
      <c r="G1006" t="s">
        <v>452</v>
      </c>
      <c r="H1006" t="s">
        <v>52</v>
      </c>
      <c r="I1006" s="28" t="s">
        <v>53</v>
      </c>
      <c r="J1006" s="28" t="s">
        <v>370</v>
      </c>
      <c r="K1006" s="29"/>
      <c r="L1006" s="29">
        <v>1</v>
      </c>
      <c r="M1006" s="30">
        <v>45931</v>
      </c>
      <c r="N1006" s="30">
        <v>46009</v>
      </c>
      <c r="O1006" s="43" t="s">
        <v>54</v>
      </c>
      <c r="P1006" s="63" t="s">
        <v>87</v>
      </c>
      <c r="Q1006" t="s">
        <v>755</v>
      </c>
      <c r="R1006" t="s">
        <v>1835</v>
      </c>
    </row>
    <row r="1007" spans="1:18" ht="15" customHeight="1">
      <c r="A1007" s="106" t="b">
        <v>1</v>
      </c>
      <c r="B1007" t="str" cm="1">
        <f t="array" ref="B1007">_xlfn.SINGLE(_xlfn._xlws.FILTER(t_ServiceCatalogue[Onwer],t_ServiceCatalogue[Category]=t_fac25_requirements[[#This Row],[Category]],""))</f>
        <v>NW</v>
      </c>
      <c r="C1007" t="s">
        <v>18</v>
      </c>
      <c r="D1007" t="str">
        <f>_xlfn._xlws.FILTER(t_Contact[FA Name],t_Contact[FA]=t_fac25_requirements[[#This Row],[FA]],"")</f>
        <v>Accreditation</v>
      </c>
      <c r="E1007" t="s">
        <v>19</v>
      </c>
      <c r="F1007" t="s">
        <v>20</v>
      </c>
      <c r="G1007" t="s">
        <v>51</v>
      </c>
      <c r="H1007" t="s">
        <v>52</v>
      </c>
      <c r="I1007" t="s">
        <v>53</v>
      </c>
      <c r="J1007" s="28" t="s">
        <v>370</v>
      </c>
      <c r="K1007" s="32"/>
      <c r="L1007" s="32">
        <v>1</v>
      </c>
      <c r="M1007" s="30">
        <v>45923</v>
      </c>
      <c r="N1007" s="30">
        <v>46010</v>
      </c>
      <c r="O1007" s="43" t="s">
        <v>54</v>
      </c>
      <c r="P1007" s="55"/>
      <c r="Q1007" t="s">
        <v>55</v>
      </c>
      <c r="R1007" t="s">
        <v>56</v>
      </c>
    </row>
    <row r="1008" spans="1:18" ht="15" customHeight="1">
      <c r="A1008" s="106" t="b">
        <v>1</v>
      </c>
      <c r="B1008" t="str" cm="1">
        <f t="array" ref="B1008">_xlfn.SINGLE(_xlfn._xlws.FILTER(t_ServiceCatalogue[Onwer],t_ServiceCatalogue[Category]=t_fac25_requirements[[#This Row],[Category]],""))</f>
        <v>NW</v>
      </c>
      <c r="C1008" t="s">
        <v>90</v>
      </c>
      <c r="D1008" t="str">
        <f>_xlfn._xlws.FILTER(t_Contact[FA Name],t_Contact[FA]=t_fac25_requirements[[#This Row],[FA]],"")</f>
        <v>Workforce</v>
      </c>
      <c r="E1008" t="s">
        <v>19</v>
      </c>
      <c r="F1008" t="s">
        <v>20</v>
      </c>
      <c r="G1008" t="s">
        <v>91</v>
      </c>
      <c r="H1008" t="s">
        <v>52</v>
      </c>
      <c r="I1008" t="s">
        <v>53</v>
      </c>
      <c r="J1008" s="28" t="s">
        <v>370</v>
      </c>
      <c r="K1008" s="32"/>
      <c r="L1008" s="32">
        <v>1</v>
      </c>
      <c r="M1008" s="30">
        <v>45931</v>
      </c>
      <c r="N1008" s="30">
        <v>46009</v>
      </c>
      <c r="O1008" s="43" t="s">
        <v>54</v>
      </c>
      <c r="P1008" s="55" t="s">
        <v>87</v>
      </c>
      <c r="Q1008" t="s">
        <v>106</v>
      </c>
      <c r="R1008" t="s">
        <v>107</v>
      </c>
    </row>
    <row r="1009" spans="1:18" ht="15" customHeight="1">
      <c r="A1009" s="106" t="b">
        <v>1</v>
      </c>
      <c r="B1009" t="str" cm="1">
        <f t="array" ref="B1009">_xlfn.SINGLE(_xlfn._xlws.FILTER(t_ServiceCatalogue[Onwer],t_ServiceCatalogue[Category]=t_fac25_requirements[[#This Row],[Category]],""))</f>
        <v>EU</v>
      </c>
      <c r="C1009" t="s">
        <v>177</v>
      </c>
      <c r="D1009" t="str">
        <f>_xlfn._xlws.FILTER(t_Contact[FA Name],t_Contact[FA]=t_fac25_requirements[[#This Row],[FA]],"")</f>
        <v>Arrival &amp; Departure</v>
      </c>
      <c r="E1009" t="s">
        <v>19</v>
      </c>
      <c r="F1009" t="s">
        <v>177</v>
      </c>
      <c r="G1009" t="s">
        <v>178</v>
      </c>
      <c r="H1009" t="s">
        <v>22</v>
      </c>
      <c r="I1009" t="s">
        <v>23</v>
      </c>
      <c r="J1009" s="28" t="s">
        <v>370</v>
      </c>
      <c r="K1009" s="32"/>
      <c r="L1009" s="32">
        <v>1</v>
      </c>
      <c r="M1009" s="30">
        <v>45950</v>
      </c>
      <c r="N1009" s="30">
        <v>46011</v>
      </c>
      <c r="O1009" s="43" t="s">
        <v>24</v>
      </c>
      <c r="P1009" s="55"/>
      <c r="R1009" t="s">
        <v>179</v>
      </c>
    </row>
    <row r="1010" spans="1:18" ht="15" customHeight="1">
      <c r="A1010" s="106" t="b">
        <v>1</v>
      </c>
      <c r="B1010" t="str" cm="1">
        <f t="array" ref="B1010">_xlfn.SINGLE(_xlfn._xlws.FILTER(t_ServiceCatalogue[Onwer],t_ServiceCatalogue[Category]=t_fac25_requirements[[#This Row],[Category]],""))</f>
        <v>Telco/SIM</v>
      </c>
      <c r="C1010" t="s">
        <v>177</v>
      </c>
      <c r="D1010" t="str">
        <f>_xlfn._xlws.FILTER(t_Contact[FA Name],t_Contact[FA]=t_fac25_requirements[[#This Row],[FA]],"")</f>
        <v>Arrival &amp; Departure</v>
      </c>
      <c r="E1010" t="s">
        <v>19</v>
      </c>
      <c r="F1010" t="s">
        <v>177</v>
      </c>
      <c r="G1010" t="s">
        <v>178</v>
      </c>
      <c r="H1010" t="s">
        <v>84</v>
      </c>
      <c r="I1010" t="s">
        <v>85</v>
      </c>
      <c r="J1010" s="28" t="s">
        <v>370</v>
      </c>
      <c r="K1010" s="32"/>
      <c r="L1010" s="32">
        <v>2</v>
      </c>
      <c r="M1010" s="30">
        <v>45950</v>
      </c>
      <c r="N1010" s="30">
        <v>46011</v>
      </c>
      <c r="O1010" s="43" t="s">
        <v>86</v>
      </c>
      <c r="P1010" s="55"/>
      <c r="R1010" t="s">
        <v>180</v>
      </c>
    </row>
    <row r="1011" spans="1:18" ht="15" customHeight="1">
      <c r="A1011" s="106" t="b">
        <v>1</v>
      </c>
      <c r="B1011" t="str" cm="1">
        <f t="array" ref="B1011">_xlfn.SINGLE(_xlfn._xlws.FILTER(t_ServiceCatalogue[Onwer],t_ServiceCatalogue[Category]=t_fac25_requirements[[#This Row],[Category]],""))</f>
        <v>EU</v>
      </c>
      <c r="C1011" t="s">
        <v>177</v>
      </c>
      <c r="D1011" t="str">
        <f>_xlfn._xlws.FILTER(t_Contact[FA Name],t_Contact[FA]=t_fac25_requirements[[#This Row],[FA]],"")</f>
        <v>Arrival &amp; Departure</v>
      </c>
      <c r="E1011" t="s">
        <v>19</v>
      </c>
      <c r="F1011" t="s">
        <v>177</v>
      </c>
      <c r="G1011" t="s">
        <v>178</v>
      </c>
      <c r="H1011" t="s">
        <v>32</v>
      </c>
      <c r="I1011" t="s">
        <v>94</v>
      </c>
      <c r="J1011" s="28" t="s">
        <v>637</v>
      </c>
      <c r="K1011" s="32">
        <v>1</v>
      </c>
      <c r="L1011" s="32">
        <v>0</v>
      </c>
      <c r="M1011" s="30">
        <v>45950</v>
      </c>
      <c r="N1011" s="30">
        <v>46011</v>
      </c>
      <c r="O1011" s="43" t="s">
        <v>95</v>
      </c>
      <c r="P1011" s="55" t="s">
        <v>1836</v>
      </c>
      <c r="R1011" t="s">
        <v>181</v>
      </c>
    </row>
    <row r="1012" spans="1:18" ht="15" customHeight="1">
      <c r="A1012" s="106" t="b">
        <v>1</v>
      </c>
      <c r="B1012" t="str" cm="1">
        <f t="array" ref="B1012">_xlfn.SINGLE(_xlfn._xlws.FILTER(t_ServiceCatalogue[Onwer],t_ServiceCatalogue[Category]=t_fac25_requirements[[#This Row],[Category]],""))</f>
        <v>NW</v>
      </c>
      <c r="C1012" t="s">
        <v>90</v>
      </c>
      <c r="D1012" t="str">
        <f>_xlfn._xlws.FILTER(t_Contact[FA Name],t_Contact[FA]=t_fac25_requirements[[#This Row],[FA]],"")</f>
        <v>Workforce</v>
      </c>
      <c r="E1012" t="s">
        <v>19</v>
      </c>
      <c r="F1012" t="s">
        <v>20</v>
      </c>
      <c r="G1012" t="s">
        <v>119</v>
      </c>
      <c r="H1012" t="s">
        <v>52</v>
      </c>
      <c r="I1012" t="s">
        <v>53</v>
      </c>
      <c r="J1012" s="28" t="s">
        <v>370</v>
      </c>
      <c r="K1012" s="32"/>
      <c r="L1012" s="32">
        <v>1</v>
      </c>
      <c r="M1012" s="30">
        <v>45931</v>
      </c>
      <c r="N1012" s="30">
        <v>46009</v>
      </c>
      <c r="O1012" s="43" t="s">
        <v>54</v>
      </c>
      <c r="P1012" s="55" t="s">
        <v>87</v>
      </c>
      <c r="Q1012" t="s">
        <v>106</v>
      </c>
      <c r="R1012" t="s">
        <v>120</v>
      </c>
    </row>
    <row r="1013" spans="1:18" ht="15" customHeight="1">
      <c r="A1013" s="106" t="b">
        <v>1</v>
      </c>
      <c r="B1013" t="str" cm="1">
        <f t="array" ref="B1013">_xlfn.SINGLE(_xlfn._xlws.FILTER(t_ServiceCatalogue[Onwer],t_ServiceCatalogue[Category]=t_fac25_requirements[[#This Row],[Category]],""))</f>
        <v>NW</v>
      </c>
      <c r="C1013" t="s">
        <v>90</v>
      </c>
      <c r="D1013" t="str">
        <f>_xlfn._xlws.FILTER(t_Contact[FA Name],t_Contact[FA]=t_fac25_requirements[[#This Row],[FA]],"")</f>
        <v>Workforce</v>
      </c>
      <c r="E1013" t="s">
        <v>19</v>
      </c>
      <c r="F1013" t="s">
        <v>20</v>
      </c>
      <c r="G1013" t="s">
        <v>128</v>
      </c>
      <c r="H1013" t="s">
        <v>52</v>
      </c>
      <c r="I1013" t="s">
        <v>53</v>
      </c>
      <c r="J1013" s="28" t="s">
        <v>370</v>
      </c>
      <c r="K1013" s="32"/>
      <c r="L1013" s="32">
        <v>1</v>
      </c>
      <c r="M1013" s="30">
        <v>45931</v>
      </c>
      <c r="N1013" s="30">
        <v>46009</v>
      </c>
      <c r="O1013" s="43" t="s">
        <v>54</v>
      </c>
      <c r="P1013" s="55" t="s">
        <v>87</v>
      </c>
      <c r="Q1013" t="s">
        <v>106</v>
      </c>
      <c r="R1013" t="s">
        <v>130</v>
      </c>
    </row>
    <row r="1014" spans="1:18" ht="15" customHeight="1">
      <c r="A1014" s="106" t="b">
        <v>0</v>
      </c>
      <c r="B1014" t="s">
        <v>220</v>
      </c>
      <c r="C1014" t="s">
        <v>182</v>
      </c>
      <c r="D1014" t="str">
        <f>_xlfn._xlws.FILTER(t_Contact[FA Name],t_Contact[FA]=t_fac25_requirements[[#This Row],[FA]],"")</f>
        <v>ICT</v>
      </c>
      <c r="E1014" t="s">
        <v>214</v>
      </c>
      <c r="F1014" t="s">
        <v>296</v>
      </c>
      <c r="G1014" t="s">
        <v>302</v>
      </c>
      <c r="H1014" t="s">
        <v>84</v>
      </c>
      <c r="I1014" t="s">
        <v>303</v>
      </c>
      <c r="J1014" s="28" t="s">
        <v>370</v>
      </c>
      <c r="K1014" s="32"/>
      <c r="L1014" s="32">
        <v>1</v>
      </c>
      <c r="M1014" s="30"/>
      <c r="N1014" s="30"/>
      <c r="O1014" s="43"/>
      <c r="P1014" s="55" t="s">
        <v>1837</v>
      </c>
      <c r="R1014" t="s">
        <v>1838</v>
      </c>
    </row>
    <row r="1015" spans="1:18" ht="15" customHeight="1">
      <c r="A1015" s="106" t="b">
        <v>0</v>
      </c>
      <c r="B1015" t="s">
        <v>220</v>
      </c>
      <c r="C1015" t="s">
        <v>182</v>
      </c>
      <c r="D1015" t="str">
        <f>_xlfn._xlws.FILTER(t_Contact[FA Name],t_Contact[FA]=t_fac25_requirements[[#This Row],[FA]],"")</f>
        <v>ICT</v>
      </c>
      <c r="E1015" t="s">
        <v>211</v>
      </c>
      <c r="F1015" t="s">
        <v>296</v>
      </c>
      <c r="G1015" t="s">
        <v>302</v>
      </c>
      <c r="H1015" t="s">
        <v>84</v>
      </c>
      <c r="I1015" t="s">
        <v>303</v>
      </c>
      <c r="J1015" s="28" t="s">
        <v>370</v>
      </c>
      <c r="K1015" s="32"/>
      <c r="L1015" s="32">
        <v>1</v>
      </c>
      <c r="M1015" s="30"/>
      <c r="N1015" s="30"/>
      <c r="O1015" s="43"/>
      <c r="P1015" s="55" t="s">
        <v>1837</v>
      </c>
      <c r="R1015" t="s">
        <v>1839</v>
      </c>
    </row>
    <row r="1016" spans="1:18" ht="15" customHeight="1">
      <c r="A1016" s="106" t="b">
        <v>1</v>
      </c>
      <c r="B1016" t="s">
        <v>220</v>
      </c>
      <c r="C1016" t="s">
        <v>182</v>
      </c>
      <c r="D1016" t="str">
        <f>_xlfn._xlws.FILTER(t_Contact[FA Name],t_Contact[FA]=t_fac25_requirements[[#This Row],[FA]],"")</f>
        <v>ICT</v>
      </c>
      <c r="E1016" t="s">
        <v>208</v>
      </c>
      <c r="F1016" t="s">
        <v>296</v>
      </c>
      <c r="G1016" t="s">
        <v>302</v>
      </c>
      <c r="H1016" t="s">
        <v>84</v>
      </c>
      <c r="I1016" t="s">
        <v>303</v>
      </c>
      <c r="J1016" s="28" t="s">
        <v>370</v>
      </c>
      <c r="K1016" s="32"/>
      <c r="L1016" s="32">
        <v>1</v>
      </c>
      <c r="M1016" s="30"/>
      <c r="N1016" s="30"/>
      <c r="O1016" s="43"/>
      <c r="P1016" s="55" t="s">
        <v>1837</v>
      </c>
      <c r="R1016" t="s">
        <v>1840</v>
      </c>
    </row>
    <row r="1017" spans="1:18" ht="15" customHeight="1">
      <c r="A1017" s="106" t="b">
        <v>0</v>
      </c>
      <c r="B1017" t="s">
        <v>220</v>
      </c>
      <c r="C1017" t="s">
        <v>182</v>
      </c>
      <c r="D1017" t="str">
        <f>_xlfn._xlws.FILTER(t_Contact[FA Name],t_Contact[FA]=t_fac25_requirements[[#This Row],[FA]],"")</f>
        <v>ICT</v>
      </c>
      <c r="E1017" t="s">
        <v>213</v>
      </c>
      <c r="F1017" t="s">
        <v>296</v>
      </c>
      <c r="G1017" t="s">
        <v>302</v>
      </c>
      <c r="H1017" t="s">
        <v>84</v>
      </c>
      <c r="I1017" t="s">
        <v>303</v>
      </c>
      <c r="J1017" s="28" t="s">
        <v>370</v>
      </c>
      <c r="K1017" s="32"/>
      <c r="L1017" s="32">
        <v>1</v>
      </c>
      <c r="M1017" s="30"/>
      <c r="N1017" s="30"/>
      <c r="O1017" s="43"/>
      <c r="P1017" s="55" t="s">
        <v>1837</v>
      </c>
      <c r="R1017" t="s">
        <v>1841</v>
      </c>
    </row>
    <row r="1018" spans="1:18" ht="15" customHeight="1">
      <c r="A1018" s="106" t="b">
        <v>0</v>
      </c>
      <c r="B1018" t="s">
        <v>220</v>
      </c>
      <c r="C1018" t="s">
        <v>182</v>
      </c>
      <c r="D1018" t="str">
        <f>_xlfn._xlws.FILTER(t_Contact[FA Name],t_Contact[FA]=t_fac25_requirements[[#This Row],[FA]],"")</f>
        <v>ICT</v>
      </c>
      <c r="E1018" s="43">
        <v>974</v>
      </c>
      <c r="F1018" t="s">
        <v>296</v>
      </c>
      <c r="G1018" t="s">
        <v>302</v>
      </c>
      <c r="H1018" t="s">
        <v>84</v>
      </c>
      <c r="I1018" t="s">
        <v>303</v>
      </c>
      <c r="J1018" s="28" t="s">
        <v>370</v>
      </c>
      <c r="K1018" s="32"/>
      <c r="L1018" s="32">
        <v>1</v>
      </c>
      <c r="M1018" s="30"/>
      <c r="N1018" s="30"/>
      <c r="O1018" s="43"/>
      <c r="P1018" s="55" t="s">
        <v>1837</v>
      </c>
      <c r="R1018" t="s">
        <v>1842</v>
      </c>
    </row>
    <row r="1019" spans="1:18" ht="15" customHeight="1">
      <c r="A1019" s="106" t="b">
        <v>0</v>
      </c>
      <c r="B1019" t="s">
        <v>220</v>
      </c>
      <c r="C1019" t="s">
        <v>182</v>
      </c>
      <c r="D1019" t="str">
        <f>_xlfn._xlws.FILTER(t_Contact[FA Name],t_Contact[FA]=t_fac25_requirements[[#This Row],[FA]],"")</f>
        <v>ICT</v>
      </c>
      <c r="E1019" t="s">
        <v>212</v>
      </c>
      <c r="F1019" t="s">
        <v>296</v>
      </c>
      <c r="G1019" t="s">
        <v>302</v>
      </c>
      <c r="H1019" t="s">
        <v>84</v>
      </c>
      <c r="I1019" t="s">
        <v>303</v>
      </c>
      <c r="J1019" s="28" t="s">
        <v>370</v>
      </c>
      <c r="K1019" s="32"/>
      <c r="L1019" s="32">
        <v>1</v>
      </c>
      <c r="M1019" s="30"/>
      <c r="N1019" s="30"/>
      <c r="O1019" s="43"/>
      <c r="P1019" s="55" t="s">
        <v>1837</v>
      </c>
      <c r="R1019" t="s">
        <v>1843</v>
      </c>
    </row>
    <row r="1020" spans="1:18" ht="15" customHeight="1">
      <c r="A1020" s="106" t="b">
        <v>0</v>
      </c>
      <c r="B1020" t="str" cm="1">
        <f t="array" ref="B1020">_xlfn.SINGLE(_xlfn._xlws.FILTER(t_ServiceCatalogue[Onwer],t_ServiceCatalogue[Category]=t_fac25_requirements[[#This Row],[Category]],""))</f>
        <v>NW</v>
      </c>
      <c r="C1020" t="s">
        <v>190</v>
      </c>
      <c r="D1020" t="str">
        <f>_xlfn._xlws.FILTER(t_Contact[FA Name],t_Contact[FA]=t_fac25_requirements[[#This Row],[FA]],"")</f>
        <v>Ceremonies &amp; Infotainment</v>
      </c>
      <c r="E1020" t="s">
        <v>214</v>
      </c>
      <c r="F1020" t="s">
        <v>305</v>
      </c>
      <c r="G1020" t="s">
        <v>313</v>
      </c>
      <c r="H1020" t="s">
        <v>46</v>
      </c>
      <c r="I1020" t="s">
        <v>47</v>
      </c>
      <c r="J1020" s="28" t="s">
        <v>370</v>
      </c>
      <c r="K1020" s="32"/>
      <c r="L1020" s="32">
        <v>1</v>
      </c>
      <c r="M1020" s="91">
        <v>45962</v>
      </c>
      <c r="N1020" s="91">
        <v>46009</v>
      </c>
      <c r="O1020" s="43" t="s">
        <v>149</v>
      </c>
      <c r="P1020" s="55" t="s">
        <v>1844</v>
      </c>
      <c r="Q1020" s="95" t="s">
        <v>674</v>
      </c>
    </row>
    <row r="1021" spans="1:18" ht="15" customHeight="1">
      <c r="A1021" s="106" t="b">
        <v>0</v>
      </c>
      <c r="B1021" t="str" cm="1">
        <f t="array" ref="B1021">_xlfn.SINGLE(_xlfn._xlws.FILTER(t_ServiceCatalogue[Onwer],t_ServiceCatalogue[Category]=t_fac25_requirements[[#This Row],[Category]],""))</f>
        <v>NW</v>
      </c>
      <c r="C1021" t="s">
        <v>190</v>
      </c>
      <c r="D1021" t="str">
        <f>_xlfn._xlws.FILTER(t_Contact[FA Name],t_Contact[FA]=t_fac25_requirements[[#This Row],[FA]],"")</f>
        <v>Ceremonies &amp; Infotainment</v>
      </c>
      <c r="E1021" t="s">
        <v>211</v>
      </c>
      <c r="F1021" t="s">
        <v>305</v>
      </c>
      <c r="G1021" t="s">
        <v>313</v>
      </c>
      <c r="H1021" t="s">
        <v>46</v>
      </c>
      <c r="I1021" t="s">
        <v>47</v>
      </c>
      <c r="J1021" s="28" t="s">
        <v>370</v>
      </c>
      <c r="K1021" s="32"/>
      <c r="L1021" s="32">
        <v>1</v>
      </c>
      <c r="M1021" s="91">
        <v>45962</v>
      </c>
      <c r="N1021" s="91">
        <v>46009</v>
      </c>
      <c r="O1021" s="43" t="s">
        <v>149</v>
      </c>
      <c r="P1021" s="55" t="s">
        <v>1844</v>
      </c>
      <c r="Q1021" s="95" t="s">
        <v>674</v>
      </c>
    </row>
    <row r="1022" spans="1:18" ht="15" customHeight="1">
      <c r="A1022" s="106" t="b">
        <v>0</v>
      </c>
      <c r="B1022" t="str" cm="1">
        <f t="array" ref="B1022">_xlfn.SINGLE(_xlfn._xlws.FILTER(t_ServiceCatalogue[Onwer],t_ServiceCatalogue[Category]=t_fac25_requirements[[#This Row],[Category]],""))</f>
        <v>NW</v>
      </c>
      <c r="C1022" t="s">
        <v>190</v>
      </c>
      <c r="D1022" t="str">
        <f>_xlfn._xlws.FILTER(t_Contact[FA Name],t_Contact[FA]=t_fac25_requirements[[#This Row],[FA]],"")</f>
        <v>Ceremonies &amp; Infotainment</v>
      </c>
      <c r="E1022" s="43">
        <v>974</v>
      </c>
      <c r="F1022" t="s">
        <v>305</v>
      </c>
      <c r="G1022" s="28" t="s">
        <v>313</v>
      </c>
      <c r="H1022" t="s">
        <v>46</v>
      </c>
      <c r="I1022" t="s">
        <v>47</v>
      </c>
      <c r="J1022" s="28" t="s">
        <v>370</v>
      </c>
      <c r="K1022" s="32"/>
      <c r="L1022" s="32">
        <v>1</v>
      </c>
      <c r="M1022" s="91">
        <v>45962</v>
      </c>
      <c r="N1022" s="91">
        <v>46009</v>
      </c>
      <c r="O1022" s="43" t="s">
        <v>149</v>
      </c>
      <c r="P1022" s="55" t="s">
        <v>1844</v>
      </c>
      <c r="Q1022" s="95" t="s">
        <v>674</v>
      </c>
    </row>
    <row r="1023" spans="1:18" ht="15" customHeight="1">
      <c r="A1023" s="106" t="b">
        <v>0</v>
      </c>
      <c r="B1023" t="str" cm="1">
        <f t="array" ref="B1023">_xlfn.SINGLE(_xlfn._xlws.FILTER(t_ServiceCatalogue[Onwer],t_ServiceCatalogue[Category]=t_fac25_requirements[[#This Row],[Category]],""))</f>
        <v>NW</v>
      </c>
      <c r="C1023" t="s">
        <v>190</v>
      </c>
      <c r="D1023" t="str">
        <f>_xlfn._xlws.FILTER(t_Contact[FA Name],t_Contact[FA]=t_fac25_requirements[[#This Row],[FA]],"")</f>
        <v>Ceremonies &amp; Infotainment</v>
      </c>
      <c r="E1023" s="28" t="s">
        <v>208</v>
      </c>
      <c r="F1023" t="s">
        <v>305</v>
      </c>
      <c r="G1023" s="28" t="s">
        <v>313</v>
      </c>
      <c r="H1023" t="s">
        <v>46</v>
      </c>
      <c r="I1023" t="s">
        <v>47</v>
      </c>
      <c r="J1023" s="28" t="s">
        <v>370</v>
      </c>
      <c r="K1023" s="32"/>
      <c r="L1023" s="32">
        <v>1</v>
      </c>
      <c r="M1023" s="91">
        <v>45962</v>
      </c>
      <c r="N1023" s="91">
        <v>46009</v>
      </c>
      <c r="O1023" s="43" t="s">
        <v>149</v>
      </c>
      <c r="P1023" s="55" t="s">
        <v>1844</v>
      </c>
      <c r="Q1023" s="95" t="s">
        <v>674</v>
      </c>
    </row>
    <row r="1024" spans="1:18" ht="15" customHeight="1">
      <c r="A1024" s="106" t="b">
        <v>0</v>
      </c>
      <c r="B1024" t="str" cm="1">
        <f t="array" ref="B1024">_xlfn.SINGLE(_xlfn._xlws.FILTER(t_ServiceCatalogue[Onwer],t_ServiceCatalogue[Category]=t_fac25_requirements[[#This Row],[Category]],""))</f>
        <v>NW</v>
      </c>
      <c r="C1024" t="s">
        <v>190</v>
      </c>
      <c r="D1024" t="str">
        <f>_xlfn._xlws.FILTER(t_Contact[FA Name],t_Contact[FA]=t_fac25_requirements[[#This Row],[FA]],"")</f>
        <v>Ceremonies &amp; Infotainment</v>
      </c>
      <c r="E1024" s="28" t="s">
        <v>212</v>
      </c>
      <c r="F1024" t="s">
        <v>305</v>
      </c>
      <c r="G1024" s="28" t="s">
        <v>313</v>
      </c>
      <c r="H1024" t="s">
        <v>46</v>
      </c>
      <c r="I1024" t="s">
        <v>47</v>
      </c>
      <c r="J1024" s="28" t="s">
        <v>370</v>
      </c>
      <c r="K1024" s="32"/>
      <c r="L1024" s="32">
        <v>1</v>
      </c>
      <c r="M1024" s="91">
        <v>45962</v>
      </c>
      <c r="N1024" s="91">
        <v>46009</v>
      </c>
      <c r="O1024" s="43" t="s">
        <v>149</v>
      </c>
      <c r="P1024" s="55" t="s">
        <v>1844</v>
      </c>
      <c r="Q1024" s="95" t="s">
        <v>674</v>
      </c>
    </row>
    <row r="1025" spans="1:17" ht="15" customHeight="1">
      <c r="A1025" s="106" t="b">
        <v>0</v>
      </c>
      <c r="B1025" t="str" cm="1">
        <f t="array" ref="B1025">_xlfn.SINGLE(_xlfn._xlws.FILTER(t_ServiceCatalogue[Onwer],t_ServiceCatalogue[Category]=t_fac25_requirements[[#This Row],[Category]],""))</f>
        <v>NW</v>
      </c>
      <c r="C1025" t="s">
        <v>190</v>
      </c>
      <c r="D1025" t="str">
        <f>_xlfn._xlws.FILTER(t_Contact[FA Name],t_Contact[FA]=t_fac25_requirements[[#This Row],[FA]],"")</f>
        <v>Ceremonies &amp; Infotainment</v>
      </c>
      <c r="E1025" s="28" t="s">
        <v>213</v>
      </c>
      <c r="F1025" t="s">
        <v>305</v>
      </c>
      <c r="G1025" s="28" t="s">
        <v>313</v>
      </c>
      <c r="H1025" t="s">
        <v>46</v>
      </c>
      <c r="I1025" t="s">
        <v>47</v>
      </c>
      <c r="J1025" s="28" t="s">
        <v>370</v>
      </c>
      <c r="K1025" s="32"/>
      <c r="L1025" s="32">
        <v>1</v>
      </c>
      <c r="M1025" s="91">
        <v>45962</v>
      </c>
      <c r="N1025" s="91">
        <v>46009</v>
      </c>
      <c r="O1025" s="43" t="s">
        <v>149</v>
      </c>
      <c r="P1025" s="55" t="s">
        <v>1844</v>
      </c>
      <c r="Q1025" s="95" t="s">
        <v>674</v>
      </c>
    </row>
    <row r="1026" spans="1:17" ht="15" customHeight="1">
      <c r="A1026" s="106" t="b">
        <v>0</v>
      </c>
      <c r="B1026" t="s">
        <v>203</v>
      </c>
      <c r="C1026" t="s">
        <v>199</v>
      </c>
      <c r="D1026" t="str">
        <f>_xlfn._xlws.FILTER(t_Contact[FA Name],t_Contact[FA]=t_fac25_requirements[[#This Row],[FA]],"")</f>
        <v>Spectator Services</v>
      </c>
      <c r="E1026" s="115" t="s">
        <v>211</v>
      </c>
      <c r="F1026" s="116" t="s">
        <v>305</v>
      </c>
      <c r="G1026" s="116" t="s">
        <v>301</v>
      </c>
      <c r="H1026" s="116" t="s">
        <v>22</v>
      </c>
      <c r="I1026" s="116" t="s">
        <v>23</v>
      </c>
      <c r="J1026" s="28" t="s">
        <v>370</v>
      </c>
      <c r="K1026" s="32"/>
      <c r="L1026" s="123">
        <v>1</v>
      </c>
      <c r="M1026" s="126">
        <v>45981</v>
      </c>
      <c r="N1026" s="124">
        <v>46009</v>
      </c>
      <c r="O1026" s="43" t="s">
        <v>24</v>
      </c>
      <c r="P1026" s="55" t="s">
        <v>1845</v>
      </c>
      <c r="Q1026" s="132" t="s">
        <v>1846</v>
      </c>
    </row>
    <row r="1027" spans="1:17" ht="15" customHeight="1">
      <c r="A1027" s="106" t="b">
        <v>1</v>
      </c>
      <c r="B1027" t="s">
        <v>203</v>
      </c>
      <c r="C1027" t="s">
        <v>199</v>
      </c>
      <c r="D1027" t="str">
        <f>_xlfn._xlws.FILTER(t_Contact[FA Name],t_Contact[FA]=t_fac25_requirements[[#This Row],[FA]],"")</f>
        <v>Spectator Services</v>
      </c>
      <c r="E1027" s="115" t="s">
        <v>214</v>
      </c>
      <c r="F1027" s="117" t="s">
        <v>305</v>
      </c>
      <c r="G1027" s="117" t="s">
        <v>301</v>
      </c>
      <c r="H1027" s="117" t="s">
        <v>22</v>
      </c>
      <c r="I1027" s="117" t="s">
        <v>23</v>
      </c>
      <c r="J1027" s="28" t="s">
        <v>370</v>
      </c>
      <c r="K1027" s="32"/>
      <c r="L1027" s="125">
        <v>1</v>
      </c>
      <c r="M1027" s="126">
        <v>45981</v>
      </c>
      <c r="N1027" s="126">
        <v>46009</v>
      </c>
      <c r="O1027" s="43" t="s">
        <v>24</v>
      </c>
      <c r="P1027" s="55" t="s">
        <v>1845</v>
      </c>
      <c r="Q1027" s="132" t="s">
        <v>1847</v>
      </c>
    </row>
    <row r="1028" spans="1:17" ht="15" customHeight="1">
      <c r="A1028" s="106" t="b">
        <v>1</v>
      </c>
      <c r="B1028" t="s">
        <v>203</v>
      </c>
      <c r="C1028" t="s">
        <v>199</v>
      </c>
      <c r="D1028" t="str">
        <f>_xlfn._xlws.FILTER(t_Contact[FA Name],t_Contact[FA]=t_fac25_requirements[[#This Row],[FA]],"")</f>
        <v>Spectator Services</v>
      </c>
      <c r="E1028" s="43">
        <v>974</v>
      </c>
      <c r="F1028" s="117" t="s">
        <v>305</v>
      </c>
      <c r="G1028" s="117" t="s">
        <v>301</v>
      </c>
      <c r="H1028" s="117" t="s">
        <v>22</v>
      </c>
      <c r="I1028" s="117" t="s">
        <v>23</v>
      </c>
      <c r="J1028" s="28" t="s">
        <v>370</v>
      </c>
      <c r="K1028" s="32"/>
      <c r="L1028" s="125">
        <v>1</v>
      </c>
      <c r="M1028" s="126">
        <v>45981</v>
      </c>
      <c r="N1028" s="126">
        <v>46009</v>
      </c>
      <c r="O1028" s="43" t="s">
        <v>24</v>
      </c>
      <c r="P1028" s="55" t="s">
        <v>1845</v>
      </c>
      <c r="Q1028" s="132" t="s">
        <v>1848</v>
      </c>
    </row>
    <row r="1029" spans="1:17" ht="15" customHeight="1">
      <c r="A1029" s="106" t="b">
        <v>1</v>
      </c>
      <c r="B1029" t="s">
        <v>203</v>
      </c>
      <c r="C1029" t="s">
        <v>199</v>
      </c>
      <c r="D1029" t="str">
        <f>_xlfn._xlws.FILTER(t_Contact[FA Name],t_Contact[FA]=t_fac25_requirements[[#This Row],[FA]],"")</f>
        <v>Spectator Services</v>
      </c>
      <c r="E1029" s="115" t="s">
        <v>208</v>
      </c>
      <c r="F1029" s="117" t="s">
        <v>305</v>
      </c>
      <c r="G1029" s="117" t="s">
        <v>301</v>
      </c>
      <c r="H1029" s="117" t="s">
        <v>22</v>
      </c>
      <c r="I1029" s="117" t="s">
        <v>23</v>
      </c>
      <c r="J1029" s="28" t="s">
        <v>370</v>
      </c>
      <c r="K1029" s="32"/>
      <c r="L1029" s="125">
        <v>1</v>
      </c>
      <c r="M1029" s="126">
        <v>45981</v>
      </c>
      <c r="N1029" s="126">
        <v>46009</v>
      </c>
      <c r="O1029" s="43" t="s">
        <v>24</v>
      </c>
      <c r="P1029" s="55" t="s">
        <v>1845</v>
      </c>
      <c r="Q1029" s="132" t="s">
        <v>1848</v>
      </c>
    </row>
    <row r="1030" spans="1:17" ht="15" customHeight="1">
      <c r="A1030" s="106" t="b">
        <v>1</v>
      </c>
      <c r="B1030" t="s">
        <v>203</v>
      </c>
      <c r="C1030" t="s">
        <v>199</v>
      </c>
      <c r="D1030" t="str">
        <f>_xlfn._xlws.FILTER(t_Contact[FA Name],t_Contact[FA]=t_fac25_requirements[[#This Row],[FA]],"")</f>
        <v>Spectator Services</v>
      </c>
      <c r="E1030" s="115" t="s">
        <v>212</v>
      </c>
      <c r="F1030" s="117" t="s">
        <v>305</v>
      </c>
      <c r="G1030" s="117" t="s">
        <v>301</v>
      </c>
      <c r="H1030" s="117" t="s">
        <v>22</v>
      </c>
      <c r="I1030" s="117" t="s">
        <v>23</v>
      </c>
      <c r="J1030" s="28" t="s">
        <v>370</v>
      </c>
      <c r="K1030" s="32"/>
      <c r="L1030" s="125">
        <v>1</v>
      </c>
      <c r="M1030" s="126">
        <v>45981</v>
      </c>
      <c r="N1030" s="126">
        <v>46009</v>
      </c>
      <c r="O1030" s="43" t="s">
        <v>24</v>
      </c>
      <c r="P1030" s="55" t="s">
        <v>1845</v>
      </c>
      <c r="Q1030" s="132" t="s">
        <v>1848</v>
      </c>
    </row>
    <row r="1031" spans="1:17" ht="15" customHeight="1">
      <c r="A1031" s="106" t="b">
        <v>1</v>
      </c>
      <c r="B1031" t="s">
        <v>203</v>
      </c>
      <c r="C1031" t="s">
        <v>199</v>
      </c>
      <c r="D1031" t="str">
        <f>_xlfn._xlws.FILTER(t_Contact[FA Name],t_Contact[FA]=t_fac25_requirements[[#This Row],[FA]],"")</f>
        <v>Spectator Services</v>
      </c>
      <c r="E1031" s="115" t="s">
        <v>213</v>
      </c>
      <c r="F1031" s="117" t="s">
        <v>305</v>
      </c>
      <c r="G1031" s="117" t="s">
        <v>301</v>
      </c>
      <c r="H1031" s="117" t="s">
        <v>22</v>
      </c>
      <c r="I1031" s="117" t="s">
        <v>23</v>
      </c>
      <c r="J1031" s="28" t="s">
        <v>370</v>
      </c>
      <c r="K1031" s="32"/>
      <c r="L1031" s="125">
        <v>1</v>
      </c>
      <c r="M1031" s="126">
        <v>45981</v>
      </c>
      <c r="N1031" s="126">
        <v>46009</v>
      </c>
      <c r="O1031" s="43" t="s">
        <v>24</v>
      </c>
      <c r="P1031" s="55" t="s">
        <v>1845</v>
      </c>
      <c r="Q1031" s="132" t="s">
        <v>1849</v>
      </c>
    </row>
    <row r="1032" spans="1:17" ht="15" customHeight="1">
      <c r="A1032" s="106" t="b">
        <v>0</v>
      </c>
      <c r="B1032" t="s">
        <v>219</v>
      </c>
      <c r="C1032" t="s">
        <v>199</v>
      </c>
      <c r="D1032" t="str">
        <f>_xlfn._xlws.FILTER(t_Contact[FA Name],t_Contact[FA]=t_fac25_requirements[[#This Row],[FA]],"")</f>
        <v>Spectator Services</v>
      </c>
      <c r="E1032" s="115" t="s">
        <v>211</v>
      </c>
      <c r="F1032" s="117" t="s">
        <v>305</v>
      </c>
      <c r="G1032" s="117" t="s">
        <v>301</v>
      </c>
      <c r="H1032" s="117" t="s">
        <v>52</v>
      </c>
      <c r="I1032" s="117" t="s">
        <v>53</v>
      </c>
      <c r="J1032" s="28" t="s">
        <v>370</v>
      </c>
      <c r="K1032" s="32"/>
      <c r="L1032" s="125">
        <v>1</v>
      </c>
      <c r="M1032" s="126">
        <v>45981</v>
      </c>
      <c r="N1032" s="126">
        <v>46009</v>
      </c>
      <c r="O1032" s="43" t="s">
        <v>54</v>
      </c>
      <c r="P1032" s="55" t="s">
        <v>1845</v>
      </c>
      <c r="Q1032" s="132" t="s">
        <v>1850</v>
      </c>
    </row>
    <row r="1033" spans="1:17" ht="15" customHeight="1">
      <c r="A1033" s="106" t="b">
        <v>0</v>
      </c>
      <c r="B1033" t="s">
        <v>219</v>
      </c>
      <c r="C1033" t="s">
        <v>199</v>
      </c>
      <c r="D1033" t="str">
        <f>_xlfn._xlws.FILTER(t_Contact[FA Name],t_Contact[FA]=t_fac25_requirements[[#This Row],[FA]],"")</f>
        <v>Spectator Services</v>
      </c>
      <c r="E1033" s="115" t="s">
        <v>214</v>
      </c>
      <c r="F1033" s="117" t="s">
        <v>305</v>
      </c>
      <c r="G1033" s="117" t="s">
        <v>301</v>
      </c>
      <c r="H1033" s="117" t="s">
        <v>52</v>
      </c>
      <c r="I1033" s="117" t="s">
        <v>53</v>
      </c>
      <c r="J1033" s="28" t="s">
        <v>370</v>
      </c>
      <c r="K1033" s="32"/>
      <c r="L1033" s="125">
        <v>1</v>
      </c>
      <c r="M1033" s="126">
        <v>45981</v>
      </c>
      <c r="N1033" s="126">
        <v>46009</v>
      </c>
      <c r="O1033" s="43" t="s">
        <v>54</v>
      </c>
      <c r="P1033" s="55" t="s">
        <v>1845</v>
      </c>
      <c r="Q1033" s="132" t="s">
        <v>1850</v>
      </c>
    </row>
    <row r="1034" spans="1:17" ht="15" customHeight="1">
      <c r="A1034" s="106" t="b">
        <v>0</v>
      </c>
      <c r="B1034" t="s">
        <v>219</v>
      </c>
      <c r="C1034" t="s">
        <v>199</v>
      </c>
      <c r="D1034" t="str">
        <f>_xlfn._xlws.FILTER(t_Contact[FA Name],t_Contact[FA]=t_fac25_requirements[[#This Row],[FA]],"")</f>
        <v>Spectator Services</v>
      </c>
      <c r="E1034" s="43">
        <v>974</v>
      </c>
      <c r="F1034" s="117" t="s">
        <v>296</v>
      </c>
      <c r="G1034" s="117" t="s">
        <v>301</v>
      </c>
      <c r="H1034" s="117" t="s">
        <v>52</v>
      </c>
      <c r="I1034" s="117" t="s">
        <v>53</v>
      </c>
      <c r="J1034" s="28" t="s">
        <v>370</v>
      </c>
      <c r="K1034" s="32"/>
      <c r="L1034" s="125">
        <v>1</v>
      </c>
      <c r="M1034" s="126">
        <v>45981</v>
      </c>
      <c r="N1034" s="126">
        <v>46009</v>
      </c>
      <c r="O1034" s="43" t="s">
        <v>54</v>
      </c>
      <c r="P1034" s="55" t="s">
        <v>1845</v>
      </c>
      <c r="Q1034" s="132" t="s">
        <v>1850</v>
      </c>
    </row>
    <row r="1035" spans="1:17" ht="15" customHeight="1">
      <c r="A1035" s="106" t="b">
        <v>1</v>
      </c>
      <c r="B1035" t="s">
        <v>219</v>
      </c>
      <c r="C1035" t="s">
        <v>199</v>
      </c>
      <c r="D1035" t="str">
        <f>_xlfn._xlws.FILTER(t_Contact[FA Name],t_Contact[FA]=t_fac25_requirements[[#This Row],[FA]],"")</f>
        <v>Spectator Services</v>
      </c>
      <c r="E1035" s="115" t="s">
        <v>208</v>
      </c>
      <c r="F1035" s="117" t="s">
        <v>296</v>
      </c>
      <c r="G1035" s="117" t="s">
        <v>301</v>
      </c>
      <c r="H1035" s="117" t="s">
        <v>52</v>
      </c>
      <c r="I1035" s="117" t="s">
        <v>53</v>
      </c>
      <c r="J1035" s="28" t="s">
        <v>370</v>
      </c>
      <c r="K1035" s="32"/>
      <c r="L1035" s="125">
        <v>1</v>
      </c>
      <c r="M1035" s="126">
        <v>45981</v>
      </c>
      <c r="N1035" s="126">
        <v>46009</v>
      </c>
      <c r="O1035" s="43" t="s">
        <v>54</v>
      </c>
      <c r="P1035" s="55" t="s">
        <v>1845</v>
      </c>
      <c r="Q1035" s="132" t="s">
        <v>1850</v>
      </c>
    </row>
    <row r="1036" spans="1:17" ht="15" customHeight="1">
      <c r="A1036" s="106" t="b">
        <v>0</v>
      </c>
      <c r="B1036" t="s">
        <v>219</v>
      </c>
      <c r="C1036" t="s">
        <v>199</v>
      </c>
      <c r="D1036" t="str">
        <f>_xlfn._xlws.FILTER(t_Contact[FA Name],t_Contact[FA]=t_fac25_requirements[[#This Row],[FA]],"")</f>
        <v>Spectator Services</v>
      </c>
      <c r="E1036" s="115" t="s">
        <v>212</v>
      </c>
      <c r="F1036" s="117" t="s">
        <v>305</v>
      </c>
      <c r="G1036" s="117" t="s">
        <v>301</v>
      </c>
      <c r="H1036" s="117" t="s">
        <v>52</v>
      </c>
      <c r="I1036" s="117" t="s">
        <v>53</v>
      </c>
      <c r="J1036" s="28" t="s">
        <v>370</v>
      </c>
      <c r="K1036" s="32"/>
      <c r="L1036" s="125">
        <v>1</v>
      </c>
      <c r="M1036" s="126">
        <v>45981</v>
      </c>
      <c r="N1036" s="126">
        <v>46009</v>
      </c>
      <c r="O1036" s="43" t="s">
        <v>54</v>
      </c>
      <c r="P1036" s="55" t="s">
        <v>1845</v>
      </c>
      <c r="Q1036" s="132" t="s">
        <v>1850</v>
      </c>
    </row>
    <row r="1037" spans="1:17" ht="15" customHeight="1">
      <c r="A1037" s="106" t="b">
        <v>0</v>
      </c>
      <c r="B1037" t="s">
        <v>219</v>
      </c>
      <c r="C1037" t="s">
        <v>199</v>
      </c>
      <c r="D1037" t="str">
        <f>_xlfn._xlws.FILTER(t_Contact[FA Name],t_Contact[FA]=t_fac25_requirements[[#This Row],[FA]],"")</f>
        <v>Spectator Services</v>
      </c>
      <c r="E1037" s="115" t="s">
        <v>213</v>
      </c>
      <c r="F1037" s="117" t="s">
        <v>305</v>
      </c>
      <c r="G1037" s="117" t="s">
        <v>301</v>
      </c>
      <c r="H1037" s="117" t="s">
        <v>52</v>
      </c>
      <c r="I1037" s="117" t="s">
        <v>53</v>
      </c>
      <c r="J1037" s="28" t="s">
        <v>370</v>
      </c>
      <c r="K1037" s="32"/>
      <c r="L1037" s="125">
        <v>1</v>
      </c>
      <c r="M1037" s="126">
        <v>45981</v>
      </c>
      <c r="N1037" s="126">
        <v>46009</v>
      </c>
      <c r="O1037" s="43" t="s">
        <v>54</v>
      </c>
      <c r="P1037" s="55" t="s">
        <v>1845</v>
      </c>
      <c r="Q1037" s="132" t="s">
        <v>1850</v>
      </c>
    </row>
    <row r="1038" spans="1:17" ht="15" customHeight="1">
      <c r="A1038" s="106" t="b">
        <v>1</v>
      </c>
      <c r="B1038" t="s">
        <v>220</v>
      </c>
      <c r="C1038" t="s">
        <v>199</v>
      </c>
      <c r="D1038" t="str">
        <f>_xlfn._xlws.FILTER(t_Contact[FA Name],t_Contact[FA]=t_fac25_requirements[[#This Row],[FA]],"")</f>
        <v>Spectator Services</v>
      </c>
      <c r="E1038" s="115" t="s">
        <v>211</v>
      </c>
      <c r="F1038" s="117" t="s">
        <v>325</v>
      </c>
      <c r="G1038" s="117" t="s">
        <v>353</v>
      </c>
      <c r="H1038" s="117" t="s">
        <v>84</v>
      </c>
      <c r="I1038" s="117" t="s">
        <v>165</v>
      </c>
      <c r="J1038" s="28" t="s">
        <v>407</v>
      </c>
      <c r="K1038" s="32"/>
      <c r="L1038" s="125">
        <v>4</v>
      </c>
      <c r="M1038" s="126">
        <v>45981</v>
      </c>
      <c r="N1038" s="126">
        <v>46009</v>
      </c>
      <c r="O1038" s="43" t="s">
        <v>166</v>
      </c>
      <c r="P1038" s="55" t="s">
        <v>1845</v>
      </c>
      <c r="Q1038" s="132" t="s">
        <v>1851</v>
      </c>
    </row>
    <row r="1039" spans="1:17" ht="15" customHeight="1">
      <c r="A1039" s="106" t="b">
        <v>1</v>
      </c>
      <c r="B1039" t="s">
        <v>220</v>
      </c>
      <c r="C1039" t="s">
        <v>199</v>
      </c>
      <c r="D1039" t="str">
        <f>_xlfn._xlws.FILTER(t_Contact[FA Name],t_Contact[FA]=t_fac25_requirements[[#This Row],[FA]],"")</f>
        <v>Spectator Services</v>
      </c>
      <c r="E1039" s="115" t="s">
        <v>214</v>
      </c>
      <c r="F1039" s="117" t="s">
        <v>325</v>
      </c>
      <c r="G1039" s="117" t="s">
        <v>353</v>
      </c>
      <c r="H1039" s="117" t="s">
        <v>84</v>
      </c>
      <c r="I1039" s="117" t="s">
        <v>165</v>
      </c>
      <c r="J1039" s="28" t="s">
        <v>407</v>
      </c>
      <c r="K1039" s="32"/>
      <c r="L1039" s="125">
        <v>5</v>
      </c>
      <c r="M1039" s="126">
        <v>45981</v>
      </c>
      <c r="N1039" s="126">
        <v>46009</v>
      </c>
      <c r="O1039" s="43" t="s">
        <v>166</v>
      </c>
      <c r="P1039" s="55" t="s">
        <v>1845</v>
      </c>
      <c r="Q1039" s="132" t="s">
        <v>1851</v>
      </c>
    </row>
    <row r="1040" spans="1:17" ht="15" customHeight="1">
      <c r="A1040" s="106" t="b">
        <v>1</v>
      </c>
      <c r="B1040" t="s">
        <v>220</v>
      </c>
      <c r="C1040" t="s">
        <v>199</v>
      </c>
      <c r="D1040" t="str">
        <f>_xlfn._xlws.FILTER(t_Contact[FA Name],t_Contact[FA]=t_fac25_requirements[[#This Row],[FA]],"")</f>
        <v>Spectator Services</v>
      </c>
      <c r="E1040" s="43">
        <v>974</v>
      </c>
      <c r="F1040" s="117" t="s">
        <v>325</v>
      </c>
      <c r="G1040" s="117" t="s">
        <v>353</v>
      </c>
      <c r="H1040" s="117" t="s">
        <v>84</v>
      </c>
      <c r="I1040" s="117" t="s">
        <v>165</v>
      </c>
      <c r="J1040" s="28" t="s">
        <v>407</v>
      </c>
      <c r="K1040" s="32"/>
      <c r="L1040" s="125">
        <v>3</v>
      </c>
      <c r="M1040" s="126">
        <v>45981</v>
      </c>
      <c r="N1040" s="126">
        <v>46009</v>
      </c>
      <c r="O1040" s="43" t="s">
        <v>166</v>
      </c>
      <c r="P1040" s="55" t="s">
        <v>1845</v>
      </c>
      <c r="Q1040" s="132" t="s">
        <v>1851</v>
      </c>
    </row>
    <row r="1041" spans="1:17" ht="15" customHeight="1">
      <c r="A1041" s="106" t="b">
        <v>1</v>
      </c>
      <c r="B1041" t="s">
        <v>220</v>
      </c>
      <c r="C1041" t="s">
        <v>199</v>
      </c>
      <c r="D1041" t="str">
        <f>_xlfn._xlws.FILTER(t_Contact[FA Name],t_Contact[FA]=t_fac25_requirements[[#This Row],[FA]],"")</f>
        <v>Spectator Services</v>
      </c>
      <c r="E1041" s="115" t="s">
        <v>208</v>
      </c>
      <c r="F1041" s="117" t="s">
        <v>325</v>
      </c>
      <c r="G1041" s="117" t="s">
        <v>353</v>
      </c>
      <c r="H1041" s="117" t="s">
        <v>84</v>
      </c>
      <c r="I1041" s="117" t="s">
        <v>165</v>
      </c>
      <c r="J1041" s="28" t="s">
        <v>407</v>
      </c>
      <c r="K1041" s="32">
        <v>4</v>
      </c>
      <c r="L1041" s="125">
        <v>2</v>
      </c>
      <c r="M1041" s="126">
        <v>45981</v>
      </c>
      <c r="N1041" s="126">
        <v>46009</v>
      </c>
      <c r="O1041" s="43" t="s">
        <v>166</v>
      </c>
      <c r="P1041" s="70" t="s">
        <v>1852</v>
      </c>
      <c r="Q1041" s="132" t="s">
        <v>1851</v>
      </c>
    </row>
    <row r="1042" spans="1:17" ht="15" customHeight="1">
      <c r="A1042" s="106" t="b">
        <v>1</v>
      </c>
      <c r="B1042" t="s">
        <v>220</v>
      </c>
      <c r="C1042" t="s">
        <v>199</v>
      </c>
      <c r="D1042" t="str">
        <f>_xlfn._xlws.FILTER(t_Contact[FA Name],t_Contact[FA]=t_fac25_requirements[[#This Row],[FA]],"")</f>
        <v>Spectator Services</v>
      </c>
      <c r="E1042" s="115" t="s">
        <v>212</v>
      </c>
      <c r="F1042" s="117" t="s">
        <v>325</v>
      </c>
      <c r="G1042" s="117" t="s">
        <v>353</v>
      </c>
      <c r="H1042" s="117" t="s">
        <v>84</v>
      </c>
      <c r="I1042" s="117" t="s">
        <v>165</v>
      </c>
      <c r="J1042" s="28" t="s">
        <v>407</v>
      </c>
      <c r="K1042" s="32"/>
      <c r="L1042" s="125">
        <v>3</v>
      </c>
      <c r="M1042" s="126">
        <v>45981</v>
      </c>
      <c r="N1042" s="126">
        <v>46009</v>
      </c>
      <c r="O1042" s="43" t="s">
        <v>166</v>
      </c>
      <c r="P1042" s="55" t="s">
        <v>1845</v>
      </c>
      <c r="Q1042" s="132" t="s">
        <v>1851</v>
      </c>
    </row>
    <row r="1043" spans="1:17" ht="15" customHeight="1">
      <c r="A1043" s="106" t="b">
        <v>1</v>
      </c>
      <c r="B1043" t="s">
        <v>220</v>
      </c>
      <c r="C1043" t="s">
        <v>199</v>
      </c>
      <c r="D1043" t="str">
        <f>_xlfn._xlws.FILTER(t_Contact[FA Name],t_Contact[FA]=t_fac25_requirements[[#This Row],[FA]],"")</f>
        <v>Spectator Services</v>
      </c>
      <c r="E1043" s="115" t="s">
        <v>213</v>
      </c>
      <c r="F1043" s="117" t="s">
        <v>325</v>
      </c>
      <c r="G1043" s="117" t="s">
        <v>353</v>
      </c>
      <c r="H1043" s="117" t="s">
        <v>84</v>
      </c>
      <c r="I1043" s="117" t="s">
        <v>165</v>
      </c>
      <c r="J1043" s="28" t="s">
        <v>407</v>
      </c>
      <c r="K1043" s="32"/>
      <c r="L1043" s="125">
        <v>3</v>
      </c>
      <c r="M1043" s="126">
        <v>45981</v>
      </c>
      <c r="N1043" s="126">
        <v>46009</v>
      </c>
      <c r="O1043" s="43" t="s">
        <v>166</v>
      </c>
      <c r="P1043" s="55" t="s">
        <v>1845</v>
      </c>
      <c r="Q1043" s="132" t="s">
        <v>1851</v>
      </c>
    </row>
    <row r="1044" spans="1:17" ht="15" customHeight="1">
      <c r="A1044" s="106" t="b">
        <v>1</v>
      </c>
      <c r="B1044" t="s">
        <v>203</v>
      </c>
      <c r="C1044" t="s">
        <v>199</v>
      </c>
      <c r="D1044" t="str">
        <f>_xlfn._xlws.FILTER(t_Contact[FA Name],t_Contact[FA]=t_fac25_requirements[[#This Row],[FA]],"")</f>
        <v>Spectator Services</v>
      </c>
      <c r="E1044" s="115" t="s">
        <v>211</v>
      </c>
      <c r="F1044" s="117" t="s">
        <v>325</v>
      </c>
      <c r="G1044" s="117" t="s">
        <v>353</v>
      </c>
      <c r="H1044" s="117" t="s">
        <v>32</v>
      </c>
      <c r="I1044" s="54" t="s">
        <v>33</v>
      </c>
      <c r="J1044" s="28" t="s">
        <v>370</v>
      </c>
      <c r="K1044" s="32"/>
      <c r="L1044" s="127">
        <v>11</v>
      </c>
      <c r="M1044" s="126">
        <v>45981</v>
      </c>
      <c r="N1044" s="126">
        <v>46009</v>
      </c>
      <c r="O1044" s="43" t="s">
        <v>34</v>
      </c>
      <c r="P1044" s="55" t="s">
        <v>1845</v>
      </c>
      <c r="Q1044" s="132" t="s">
        <v>1853</v>
      </c>
    </row>
    <row r="1045" spans="1:17" ht="15" customHeight="1">
      <c r="A1045" s="106" t="b">
        <v>1</v>
      </c>
      <c r="B1045" t="s">
        <v>203</v>
      </c>
      <c r="C1045" t="s">
        <v>199</v>
      </c>
      <c r="D1045" t="str">
        <f>_xlfn._xlws.FILTER(t_Contact[FA Name],t_Contact[FA]=t_fac25_requirements[[#This Row],[FA]],"")</f>
        <v>Spectator Services</v>
      </c>
      <c r="E1045" s="115" t="s">
        <v>214</v>
      </c>
      <c r="F1045" s="117" t="s">
        <v>325</v>
      </c>
      <c r="G1045" s="117" t="s">
        <v>353</v>
      </c>
      <c r="H1045" s="118" t="s">
        <v>32</v>
      </c>
      <c r="I1045" s="119" t="s">
        <v>33</v>
      </c>
      <c r="J1045" s="28" t="s">
        <v>370</v>
      </c>
      <c r="K1045" s="32"/>
      <c r="L1045" s="128">
        <v>13</v>
      </c>
      <c r="M1045" s="126">
        <v>45981</v>
      </c>
      <c r="N1045" s="126">
        <v>46009</v>
      </c>
      <c r="O1045" s="43" t="s">
        <v>34</v>
      </c>
      <c r="P1045" s="55" t="s">
        <v>1845</v>
      </c>
      <c r="Q1045" s="132" t="s">
        <v>1853</v>
      </c>
    </row>
    <row r="1046" spans="1:17" ht="15" customHeight="1">
      <c r="A1046" s="106" t="b">
        <v>1</v>
      </c>
      <c r="B1046" t="s">
        <v>203</v>
      </c>
      <c r="C1046" t="s">
        <v>199</v>
      </c>
      <c r="D1046" t="str">
        <f>_xlfn._xlws.FILTER(t_Contact[FA Name],t_Contact[FA]=t_fac25_requirements[[#This Row],[FA]],"")</f>
        <v>Spectator Services</v>
      </c>
      <c r="E1046" s="43">
        <v>974</v>
      </c>
      <c r="F1046" s="117" t="s">
        <v>325</v>
      </c>
      <c r="G1046" s="117" t="s">
        <v>353</v>
      </c>
      <c r="H1046" s="117" t="s">
        <v>32</v>
      </c>
      <c r="I1046" s="118" t="s">
        <v>33</v>
      </c>
      <c r="J1046" s="28" t="s">
        <v>370</v>
      </c>
      <c r="K1046" s="32"/>
      <c r="L1046" s="128">
        <v>6</v>
      </c>
      <c r="M1046" s="126">
        <v>45981</v>
      </c>
      <c r="N1046" s="126">
        <v>46009</v>
      </c>
      <c r="O1046" s="43" t="s">
        <v>34</v>
      </c>
      <c r="P1046" s="55" t="s">
        <v>1845</v>
      </c>
      <c r="Q1046" s="132" t="s">
        <v>1853</v>
      </c>
    </row>
    <row r="1047" spans="1:17" ht="15" customHeight="1">
      <c r="A1047" s="106" t="b">
        <v>1</v>
      </c>
      <c r="B1047" t="s">
        <v>203</v>
      </c>
      <c r="C1047" t="s">
        <v>199</v>
      </c>
      <c r="D1047" t="str">
        <f>_xlfn._xlws.FILTER(t_Contact[FA Name],t_Contact[FA]=t_fac25_requirements[[#This Row],[FA]],"")</f>
        <v>Spectator Services</v>
      </c>
      <c r="E1047" s="115" t="s">
        <v>208</v>
      </c>
      <c r="F1047" s="117" t="s">
        <v>325</v>
      </c>
      <c r="G1047" s="117" t="s">
        <v>353</v>
      </c>
      <c r="H1047" s="117" t="s">
        <v>32</v>
      </c>
      <c r="I1047" s="118" t="s">
        <v>33</v>
      </c>
      <c r="J1047" s="28" t="s">
        <v>370</v>
      </c>
      <c r="K1047" s="32"/>
      <c r="L1047" s="128">
        <v>6</v>
      </c>
      <c r="M1047" s="126">
        <v>45981</v>
      </c>
      <c r="N1047" s="126">
        <v>46009</v>
      </c>
      <c r="O1047" s="43" t="s">
        <v>34</v>
      </c>
      <c r="P1047" s="55" t="s">
        <v>1845</v>
      </c>
      <c r="Q1047" s="132" t="s">
        <v>1853</v>
      </c>
    </row>
    <row r="1048" spans="1:17" ht="15" customHeight="1">
      <c r="A1048" s="106" t="b">
        <v>1</v>
      </c>
      <c r="B1048" t="s">
        <v>203</v>
      </c>
      <c r="C1048" t="s">
        <v>199</v>
      </c>
      <c r="D1048" t="str">
        <f>_xlfn._xlws.FILTER(t_Contact[FA Name],t_Contact[FA]=t_fac25_requirements[[#This Row],[FA]],"")</f>
        <v>Spectator Services</v>
      </c>
      <c r="E1048" s="115" t="s">
        <v>212</v>
      </c>
      <c r="F1048" s="117" t="s">
        <v>325</v>
      </c>
      <c r="G1048" s="117" t="s">
        <v>353</v>
      </c>
      <c r="H1048" s="117" t="s">
        <v>32</v>
      </c>
      <c r="I1048" s="118" t="s">
        <v>33</v>
      </c>
      <c r="J1048" s="28" t="s">
        <v>370</v>
      </c>
      <c r="K1048" s="32"/>
      <c r="L1048" s="128">
        <v>7</v>
      </c>
      <c r="M1048" s="126">
        <v>45981</v>
      </c>
      <c r="N1048" s="126">
        <v>46009</v>
      </c>
      <c r="O1048" s="43" t="s">
        <v>34</v>
      </c>
      <c r="P1048" s="55" t="s">
        <v>1845</v>
      </c>
      <c r="Q1048" s="132" t="s">
        <v>1853</v>
      </c>
    </row>
    <row r="1049" spans="1:17" ht="15" customHeight="1">
      <c r="A1049" s="106" t="b">
        <v>1</v>
      </c>
      <c r="B1049" t="s">
        <v>203</v>
      </c>
      <c r="C1049" t="s">
        <v>199</v>
      </c>
      <c r="D1049" t="str">
        <f>_xlfn._xlws.FILTER(t_Contact[FA Name],t_Contact[FA]=t_fac25_requirements[[#This Row],[FA]],"")</f>
        <v>Spectator Services</v>
      </c>
      <c r="E1049" s="115" t="s">
        <v>213</v>
      </c>
      <c r="F1049" s="117" t="s">
        <v>325</v>
      </c>
      <c r="G1049" s="117" t="s">
        <v>353</v>
      </c>
      <c r="H1049" s="117" t="s">
        <v>32</v>
      </c>
      <c r="I1049" s="118" t="s">
        <v>33</v>
      </c>
      <c r="J1049" s="28" t="s">
        <v>370</v>
      </c>
      <c r="K1049" s="32"/>
      <c r="L1049" s="128">
        <v>7</v>
      </c>
      <c r="M1049" s="126">
        <v>45981</v>
      </c>
      <c r="N1049" s="126">
        <v>46009</v>
      </c>
      <c r="O1049" s="43" t="s">
        <v>34</v>
      </c>
      <c r="P1049" s="55" t="s">
        <v>1845</v>
      </c>
      <c r="Q1049" s="132" t="s">
        <v>1853</v>
      </c>
    </row>
    <row r="1050" spans="1:17" ht="15" customHeight="1">
      <c r="A1050" s="106" t="b">
        <v>1</v>
      </c>
      <c r="B1050" t="s">
        <v>203</v>
      </c>
      <c r="C1050" t="s">
        <v>199</v>
      </c>
      <c r="D1050" t="str">
        <f>_xlfn._xlws.FILTER(t_Contact[FA Name],t_Contact[FA]=t_fac25_requirements[[#This Row],[FA]],"")</f>
        <v>Spectator Services</v>
      </c>
      <c r="E1050" s="115" t="s">
        <v>211</v>
      </c>
      <c r="F1050" s="117" t="s">
        <v>325</v>
      </c>
      <c r="G1050" s="117" t="s">
        <v>353</v>
      </c>
      <c r="H1050" s="117" t="s">
        <v>32</v>
      </c>
      <c r="I1050" s="118" t="s">
        <v>37</v>
      </c>
      <c r="J1050" s="28" t="s">
        <v>370</v>
      </c>
      <c r="K1050" s="32"/>
      <c r="L1050" s="128">
        <v>11</v>
      </c>
      <c r="M1050" s="126">
        <v>45981</v>
      </c>
      <c r="N1050" s="126">
        <v>46009</v>
      </c>
      <c r="O1050" s="43" t="s">
        <v>38</v>
      </c>
      <c r="P1050" s="55" t="s">
        <v>1845</v>
      </c>
      <c r="Q1050" s="132" t="s">
        <v>1850</v>
      </c>
    </row>
    <row r="1051" spans="1:17" ht="15" customHeight="1">
      <c r="A1051" s="106" t="b">
        <v>1</v>
      </c>
      <c r="B1051" t="s">
        <v>203</v>
      </c>
      <c r="C1051" t="s">
        <v>199</v>
      </c>
      <c r="D1051" t="str">
        <f>_xlfn._xlws.FILTER(t_Contact[FA Name],t_Contact[FA]=t_fac25_requirements[[#This Row],[FA]],"")</f>
        <v>Spectator Services</v>
      </c>
      <c r="E1051" s="115" t="s">
        <v>214</v>
      </c>
      <c r="F1051" s="117" t="s">
        <v>325</v>
      </c>
      <c r="G1051" s="117" t="s">
        <v>353</v>
      </c>
      <c r="H1051" s="117" t="s">
        <v>32</v>
      </c>
      <c r="I1051" s="118" t="s">
        <v>37</v>
      </c>
      <c r="J1051" s="28" t="s">
        <v>370</v>
      </c>
      <c r="K1051" s="32"/>
      <c r="L1051" s="128">
        <v>13</v>
      </c>
      <c r="M1051" s="126">
        <v>45981</v>
      </c>
      <c r="N1051" s="126">
        <v>46009</v>
      </c>
      <c r="O1051" s="43" t="s">
        <v>38</v>
      </c>
      <c r="P1051" s="55" t="s">
        <v>1845</v>
      </c>
      <c r="Q1051" s="132" t="s">
        <v>1850</v>
      </c>
    </row>
    <row r="1052" spans="1:17" ht="15" customHeight="1">
      <c r="A1052" s="106" t="b">
        <v>1</v>
      </c>
      <c r="B1052" t="s">
        <v>203</v>
      </c>
      <c r="C1052" t="s">
        <v>199</v>
      </c>
      <c r="D1052" t="str">
        <f>_xlfn._xlws.FILTER(t_Contact[FA Name],t_Contact[FA]=t_fac25_requirements[[#This Row],[FA]],"")</f>
        <v>Spectator Services</v>
      </c>
      <c r="E1052" s="43">
        <v>974</v>
      </c>
      <c r="F1052" s="117" t="s">
        <v>325</v>
      </c>
      <c r="G1052" s="117" t="s">
        <v>353</v>
      </c>
      <c r="H1052" s="117" t="s">
        <v>32</v>
      </c>
      <c r="I1052" s="118" t="s">
        <v>37</v>
      </c>
      <c r="J1052" s="28" t="s">
        <v>370</v>
      </c>
      <c r="K1052" s="32"/>
      <c r="L1052" s="128">
        <v>6</v>
      </c>
      <c r="M1052" s="126">
        <v>45981</v>
      </c>
      <c r="N1052" s="126">
        <v>46009</v>
      </c>
      <c r="O1052" s="43" t="s">
        <v>38</v>
      </c>
      <c r="P1052" s="55" t="s">
        <v>1845</v>
      </c>
      <c r="Q1052" s="132" t="s">
        <v>1850</v>
      </c>
    </row>
    <row r="1053" spans="1:17" ht="15" customHeight="1">
      <c r="A1053" s="106" t="b">
        <v>1</v>
      </c>
      <c r="B1053" t="s">
        <v>203</v>
      </c>
      <c r="C1053" t="s">
        <v>199</v>
      </c>
      <c r="D1053" t="str">
        <f>_xlfn._xlws.FILTER(t_Contact[FA Name],t_Contact[FA]=t_fac25_requirements[[#This Row],[FA]],"")</f>
        <v>Spectator Services</v>
      </c>
      <c r="E1053" s="115" t="s">
        <v>208</v>
      </c>
      <c r="F1053" s="117" t="s">
        <v>325</v>
      </c>
      <c r="G1053" s="117" t="s">
        <v>353</v>
      </c>
      <c r="H1053" s="117" t="s">
        <v>32</v>
      </c>
      <c r="I1053" s="118" t="s">
        <v>37</v>
      </c>
      <c r="J1053" s="28" t="s">
        <v>370</v>
      </c>
      <c r="K1053" s="32"/>
      <c r="L1053" s="128">
        <v>6</v>
      </c>
      <c r="M1053" s="126">
        <v>45981</v>
      </c>
      <c r="N1053" s="126">
        <v>46009</v>
      </c>
      <c r="O1053" s="43" t="s">
        <v>38</v>
      </c>
      <c r="P1053" s="55" t="s">
        <v>1845</v>
      </c>
      <c r="Q1053" s="132" t="s">
        <v>1850</v>
      </c>
    </row>
    <row r="1054" spans="1:17" ht="15" customHeight="1">
      <c r="A1054" s="106" t="b">
        <v>1</v>
      </c>
      <c r="B1054" t="s">
        <v>203</v>
      </c>
      <c r="C1054" t="s">
        <v>199</v>
      </c>
      <c r="D1054" t="str">
        <f>_xlfn._xlws.FILTER(t_Contact[FA Name],t_Contact[FA]=t_fac25_requirements[[#This Row],[FA]],"")</f>
        <v>Spectator Services</v>
      </c>
      <c r="E1054" s="115" t="s">
        <v>212</v>
      </c>
      <c r="F1054" s="117" t="s">
        <v>325</v>
      </c>
      <c r="G1054" s="117" t="s">
        <v>353</v>
      </c>
      <c r="H1054" s="117" t="s">
        <v>32</v>
      </c>
      <c r="I1054" s="118" t="s">
        <v>37</v>
      </c>
      <c r="J1054" s="28" t="s">
        <v>370</v>
      </c>
      <c r="K1054" s="32"/>
      <c r="L1054" s="128">
        <v>7</v>
      </c>
      <c r="M1054" s="126">
        <v>45981</v>
      </c>
      <c r="N1054" s="126">
        <v>46009</v>
      </c>
      <c r="O1054" s="43" t="s">
        <v>38</v>
      </c>
      <c r="P1054" s="55" t="s">
        <v>1845</v>
      </c>
      <c r="Q1054" s="132" t="s">
        <v>1850</v>
      </c>
    </row>
    <row r="1055" spans="1:17" ht="15" customHeight="1">
      <c r="A1055" s="106" t="b">
        <v>1</v>
      </c>
      <c r="B1055" t="s">
        <v>203</v>
      </c>
      <c r="C1055" t="s">
        <v>199</v>
      </c>
      <c r="D1055" t="str">
        <f>_xlfn._xlws.FILTER(t_Contact[FA Name],t_Contact[FA]=t_fac25_requirements[[#This Row],[FA]],"")</f>
        <v>Spectator Services</v>
      </c>
      <c r="E1055" s="115" t="s">
        <v>213</v>
      </c>
      <c r="F1055" s="117" t="s">
        <v>325</v>
      </c>
      <c r="G1055" s="117" t="s">
        <v>353</v>
      </c>
      <c r="H1055" s="117" t="s">
        <v>32</v>
      </c>
      <c r="I1055" s="118" t="s">
        <v>37</v>
      </c>
      <c r="J1055" s="28" t="s">
        <v>370</v>
      </c>
      <c r="K1055" s="32"/>
      <c r="L1055" s="128">
        <v>7</v>
      </c>
      <c r="M1055" s="126">
        <v>45981</v>
      </c>
      <c r="N1055" s="126">
        <v>46009</v>
      </c>
      <c r="O1055" s="43" t="s">
        <v>38</v>
      </c>
      <c r="P1055" s="55" t="s">
        <v>1845</v>
      </c>
      <c r="Q1055" s="132" t="s">
        <v>1850</v>
      </c>
    </row>
    <row r="1056" spans="1:17" ht="15" customHeight="1">
      <c r="A1056" s="106" t="b">
        <v>1</v>
      </c>
      <c r="B1056" t="s">
        <v>220</v>
      </c>
      <c r="C1056" t="s">
        <v>199</v>
      </c>
      <c r="D1056" t="str">
        <f>_xlfn._xlws.FILTER(t_Contact[FA Name],t_Contact[FA]=t_fac25_requirements[[#This Row],[FA]],"")</f>
        <v>Spectator Services</v>
      </c>
      <c r="E1056" s="115" t="s">
        <v>211</v>
      </c>
      <c r="F1056" s="117" t="s">
        <v>325</v>
      </c>
      <c r="G1056" s="117" t="s">
        <v>353</v>
      </c>
      <c r="H1056" s="117" t="s">
        <v>84</v>
      </c>
      <c r="I1056" t="s">
        <v>221</v>
      </c>
      <c r="J1056" s="28" t="s">
        <v>370</v>
      </c>
      <c r="K1056" s="32"/>
      <c r="L1056" s="125">
        <v>5</v>
      </c>
      <c r="M1056" s="126">
        <v>45981</v>
      </c>
      <c r="N1056" s="126">
        <v>46009</v>
      </c>
      <c r="O1056" s="43" t="s">
        <v>86</v>
      </c>
      <c r="P1056" s="55" t="s">
        <v>1845</v>
      </c>
      <c r="Q1056" s="132" t="s">
        <v>1854</v>
      </c>
    </row>
    <row r="1057" spans="1:17" ht="15" customHeight="1">
      <c r="A1057" s="106" t="b">
        <v>1</v>
      </c>
      <c r="B1057" t="s">
        <v>220</v>
      </c>
      <c r="C1057" t="s">
        <v>199</v>
      </c>
      <c r="D1057" t="str">
        <f>_xlfn._xlws.FILTER(t_Contact[FA Name],t_Contact[FA]=t_fac25_requirements[[#This Row],[FA]],"")</f>
        <v>Spectator Services</v>
      </c>
      <c r="E1057" s="115" t="s">
        <v>214</v>
      </c>
      <c r="F1057" s="117" t="s">
        <v>325</v>
      </c>
      <c r="G1057" s="117" t="s">
        <v>353</v>
      </c>
      <c r="H1057" s="117" t="s">
        <v>84</v>
      </c>
      <c r="I1057" t="s">
        <v>221</v>
      </c>
      <c r="J1057" s="28" t="s">
        <v>370</v>
      </c>
      <c r="K1057" s="32"/>
      <c r="L1057" s="125">
        <v>9</v>
      </c>
      <c r="M1057" s="126">
        <v>45981</v>
      </c>
      <c r="N1057" s="126">
        <v>46009</v>
      </c>
      <c r="O1057" s="43" t="s">
        <v>86</v>
      </c>
      <c r="P1057" s="55" t="s">
        <v>1845</v>
      </c>
      <c r="Q1057" s="132" t="s">
        <v>1854</v>
      </c>
    </row>
    <row r="1058" spans="1:17" ht="15" customHeight="1">
      <c r="A1058" s="106" t="b">
        <v>1</v>
      </c>
      <c r="B1058" t="s">
        <v>220</v>
      </c>
      <c r="C1058" t="s">
        <v>199</v>
      </c>
      <c r="D1058" t="str">
        <f>_xlfn._xlws.FILTER(t_Contact[FA Name],t_Contact[FA]=t_fac25_requirements[[#This Row],[FA]],"")</f>
        <v>Spectator Services</v>
      </c>
      <c r="E1058" s="43">
        <v>974</v>
      </c>
      <c r="F1058" s="117" t="s">
        <v>325</v>
      </c>
      <c r="G1058" s="117" t="s">
        <v>353</v>
      </c>
      <c r="H1058" s="117" t="s">
        <v>84</v>
      </c>
      <c r="I1058" t="s">
        <v>221</v>
      </c>
      <c r="J1058" s="28" t="s">
        <v>370</v>
      </c>
      <c r="K1058" s="32"/>
      <c r="L1058" s="125">
        <v>5</v>
      </c>
      <c r="M1058" s="126">
        <v>45981</v>
      </c>
      <c r="N1058" s="126">
        <v>46009</v>
      </c>
      <c r="O1058" s="43" t="s">
        <v>86</v>
      </c>
      <c r="P1058" s="55" t="s">
        <v>1845</v>
      </c>
      <c r="Q1058" s="132" t="s">
        <v>1854</v>
      </c>
    </row>
    <row r="1059" spans="1:17" ht="15" customHeight="1">
      <c r="A1059" s="106" t="b">
        <v>1</v>
      </c>
      <c r="B1059" t="s">
        <v>220</v>
      </c>
      <c r="C1059" t="s">
        <v>199</v>
      </c>
      <c r="D1059" t="str">
        <f>_xlfn._xlws.FILTER(t_Contact[FA Name],t_Contact[FA]=t_fac25_requirements[[#This Row],[FA]],"")</f>
        <v>Spectator Services</v>
      </c>
      <c r="E1059" s="115" t="s">
        <v>208</v>
      </c>
      <c r="F1059" s="117" t="s">
        <v>325</v>
      </c>
      <c r="G1059" s="117" t="s">
        <v>353</v>
      </c>
      <c r="H1059" s="117" t="s">
        <v>84</v>
      </c>
      <c r="I1059" t="s">
        <v>221</v>
      </c>
      <c r="J1059" s="28" t="s">
        <v>370</v>
      </c>
      <c r="K1059" s="32"/>
      <c r="L1059" s="125">
        <v>5</v>
      </c>
      <c r="M1059" s="126">
        <v>45981</v>
      </c>
      <c r="N1059" s="126">
        <v>46009</v>
      </c>
      <c r="O1059" s="43" t="s">
        <v>86</v>
      </c>
      <c r="P1059" s="55" t="s">
        <v>1845</v>
      </c>
      <c r="Q1059" s="132" t="s">
        <v>1854</v>
      </c>
    </row>
    <row r="1060" spans="1:17" ht="15" customHeight="1">
      <c r="A1060" s="106" t="b">
        <v>1</v>
      </c>
      <c r="B1060" t="s">
        <v>220</v>
      </c>
      <c r="C1060" t="s">
        <v>199</v>
      </c>
      <c r="D1060" t="str">
        <f>_xlfn._xlws.FILTER(t_Contact[FA Name],t_Contact[FA]=t_fac25_requirements[[#This Row],[FA]],"")</f>
        <v>Spectator Services</v>
      </c>
      <c r="E1060" s="115" t="s">
        <v>212</v>
      </c>
      <c r="F1060" s="117" t="s">
        <v>325</v>
      </c>
      <c r="G1060" s="117" t="s">
        <v>353</v>
      </c>
      <c r="H1060" s="117" t="s">
        <v>84</v>
      </c>
      <c r="I1060" t="s">
        <v>221</v>
      </c>
      <c r="J1060" s="28" t="s">
        <v>370</v>
      </c>
      <c r="K1060" s="32"/>
      <c r="L1060" s="125">
        <v>5</v>
      </c>
      <c r="M1060" s="126">
        <v>45981</v>
      </c>
      <c r="N1060" s="126">
        <v>46009</v>
      </c>
      <c r="O1060" s="43" t="s">
        <v>86</v>
      </c>
      <c r="P1060" s="55" t="s">
        <v>1845</v>
      </c>
      <c r="Q1060" s="132" t="s">
        <v>1854</v>
      </c>
    </row>
    <row r="1061" spans="1:17" ht="15" customHeight="1">
      <c r="A1061" s="106" t="b">
        <v>1</v>
      </c>
      <c r="B1061" t="s">
        <v>220</v>
      </c>
      <c r="C1061" t="s">
        <v>199</v>
      </c>
      <c r="D1061" t="str">
        <f>_xlfn._xlws.FILTER(t_Contact[FA Name],t_Contact[FA]=t_fac25_requirements[[#This Row],[FA]],"")</f>
        <v>Spectator Services</v>
      </c>
      <c r="E1061" s="120" t="s">
        <v>213</v>
      </c>
      <c r="F1061" s="121" t="s">
        <v>325</v>
      </c>
      <c r="G1061" s="121" t="s">
        <v>353</v>
      </c>
      <c r="H1061" s="121" t="s">
        <v>84</v>
      </c>
      <c r="I1061" t="s">
        <v>221</v>
      </c>
      <c r="J1061" s="28" t="s">
        <v>370</v>
      </c>
      <c r="K1061" s="32"/>
      <c r="L1061" s="125">
        <v>5</v>
      </c>
      <c r="M1061" s="126">
        <v>45981</v>
      </c>
      <c r="N1061" s="126">
        <v>46009</v>
      </c>
      <c r="O1061" s="43" t="s">
        <v>86</v>
      </c>
      <c r="P1061" s="55" t="s">
        <v>1845</v>
      </c>
      <c r="Q1061" s="132" t="s">
        <v>1854</v>
      </c>
    </row>
    <row r="1062" spans="1:17" ht="15" customHeight="1">
      <c r="A1062" s="106" t="b">
        <v>1</v>
      </c>
      <c r="B1062" t="str" cm="1">
        <f t="array" ref="B1062">_xlfn.SINGLE(_xlfn._xlws.FILTER(t_ServiceCatalogue[Onwer],t_ServiceCatalogue[Category]=t_fac25_requirements[[#This Row],[Category]],""))</f>
        <v>AV</v>
      </c>
      <c r="C1062" t="s">
        <v>389</v>
      </c>
      <c r="D1062" t="str">
        <f>_xlfn._xlws.FILTER(t_Contact[FA Name],t_Contact[FA]=t_fac25_requirements[[#This Row],[FA]],"")</f>
        <v>Hospitality Services</v>
      </c>
      <c r="E1062" t="s">
        <v>214</v>
      </c>
      <c r="F1062" s="28" t="s">
        <v>293</v>
      </c>
      <c r="G1062" t="s">
        <v>294</v>
      </c>
      <c r="H1062" t="s">
        <v>58</v>
      </c>
      <c r="I1062" t="s">
        <v>59</v>
      </c>
      <c r="J1062" s="28" t="s">
        <v>370</v>
      </c>
      <c r="K1062" s="32">
        <v>22</v>
      </c>
      <c r="L1062" s="32">
        <v>12</v>
      </c>
      <c r="M1062" s="126"/>
      <c r="N1062" s="126"/>
      <c r="O1062" s="43" t="s">
        <v>116</v>
      </c>
      <c r="P1062" s="146" t="s">
        <v>1855</v>
      </c>
    </row>
    <row r="1063" spans="1:17" ht="15" customHeight="1">
      <c r="A1063" s="106" t="b">
        <v>0</v>
      </c>
      <c r="B1063" t="str" cm="1">
        <f t="array" ref="B1063">_xlfn.SINGLE(_xlfn._xlws.FILTER(t_ServiceCatalogue[Onwer],t_ServiceCatalogue[Category]=t_fac25_requirements[[#This Row],[Category]],""))</f>
        <v>NW</v>
      </c>
      <c r="C1063" t="s">
        <v>389</v>
      </c>
      <c r="D1063" t="str">
        <f>_xlfn._xlws.FILTER(t_Contact[FA Name],t_Contact[FA]=t_fac25_requirements[[#This Row],[FA]],"")</f>
        <v>Hospitality Services</v>
      </c>
      <c r="E1063" t="s">
        <v>214</v>
      </c>
      <c r="F1063" s="28" t="s">
        <v>293</v>
      </c>
      <c r="G1063" t="s">
        <v>294</v>
      </c>
      <c r="H1063" t="s">
        <v>52</v>
      </c>
      <c r="I1063" t="s">
        <v>295</v>
      </c>
      <c r="J1063" s="28" t="s">
        <v>370</v>
      </c>
      <c r="K1063" s="32"/>
      <c r="L1063" s="32">
        <v>1</v>
      </c>
      <c r="M1063" s="126"/>
      <c r="N1063" s="126"/>
      <c r="O1063" s="43" t="s">
        <v>54</v>
      </c>
      <c r="P1063" s="146" t="s">
        <v>1856</v>
      </c>
    </row>
    <row r="1064" spans="1:17" ht="15" customHeight="1">
      <c r="A1064" s="106" t="b">
        <v>0</v>
      </c>
      <c r="B1064" t="str" cm="1">
        <f t="array" ref="B1064">_xlfn.SINGLE(_xlfn._xlws.FILTER(t_ServiceCatalogue[Onwer],t_ServiceCatalogue[Category]=t_fac25_requirements[[#This Row],[Category]],""))</f>
        <v>AV</v>
      </c>
      <c r="C1064" t="s">
        <v>389</v>
      </c>
      <c r="D1064" t="str">
        <f>_xlfn._xlws.FILTER(t_Contact[FA Name],t_Contact[FA]=t_fac25_requirements[[#This Row],[FA]],"")</f>
        <v>Hospitality Services</v>
      </c>
      <c r="E1064" t="s">
        <v>212</v>
      </c>
      <c r="F1064" s="28" t="s">
        <v>293</v>
      </c>
      <c r="G1064" t="s">
        <v>294</v>
      </c>
      <c r="H1064" t="s">
        <v>58</v>
      </c>
      <c r="I1064" t="s">
        <v>59</v>
      </c>
      <c r="J1064" s="28" t="s">
        <v>370</v>
      </c>
      <c r="K1064" s="32">
        <v>6</v>
      </c>
      <c r="L1064" s="32">
        <v>4</v>
      </c>
      <c r="M1064" s="126"/>
      <c r="N1064" s="126"/>
      <c r="O1064" s="43" t="s">
        <v>116</v>
      </c>
      <c r="P1064" s="146" t="s">
        <v>1857</v>
      </c>
    </row>
    <row r="1065" spans="1:17" ht="15" customHeight="1">
      <c r="A1065" s="106" t="b">
        <v>0</v>
      </c>
      <c r="B1065" t="str" cm="1">
        <f t="array" ref="B1065">_xlfn.SINGLE(_xlfn._xlws.FILTER(t_ServiceCatalogue[Onwer],t_ServiceCatalogue[Category]=t_fac25_requirements[[#This Row],[Category]],""))</f>
        <v>NW</v>
      </c>
      <c r="C1065" t="s">
        <v>389</v>
      </c>
      <c r="D1065" t="str">
        <f>_xlfn._xlws.FILTER(t_Contact[FA Name],t_Contact[FA]=t_fac25_requirements[[#This Row],[FA]],"")</f>
        <v>Hospitality Services</v>
      </c>
      <c r="E1065" t="s">
        <v>212</v>
      </c>
      <c r="F1065" s="28" t="s">
        <v>293</v>
      </c>
      <c r="G1065" t="s">
        <v>294</v>
      </c>
      <c r="H1065" t="s">
        <v>52</v>
      </c>
      <c r="I1065" t="s">
        <v>295</v>
      </c>
      <c r="J1065" s="28" t="s">
        <v>370</v>
      </c>
      <c r="K1065" s="32"/>
      <c r="L1065" s="32">
        <v>1</v>
      </c>
      <c r="M1065" s="126"/>
      <c r="N1065" s="126"/>
      <c r="O1065" s="43" t="s">
        <v>54</v>
      </c>
      <c r="P1065" s="146" t="s">
        <v>1856</v>
      </c>
    </row>
    <row r="1066" spans="1:17" ht="15" customHeight="1">
      <c r="A1066" s="106" t="b">
        <v>0</v>
      </c>
      <c r="B1066" t="str" cm="1">
        <f t="array" ref="B1066">_xlfn.SINGLE(_xlfn._xlws.FILTER(t_ServiceCatalogue[Onwer],t_ServiceCatalogue[Category]=t_fac25_requirements[[#This Row],[Category]],""))</f>
        <v>AV</v>
      </c>
      <c r="C1066" t="s">
        <v>389</v>
      </c>
      <c r="D1066" t="str">
        <f>_xlfn._xlws.FILTER(t_Contact[FA Name],t_Contact[FA]=t_fac25_requirements[[#This Row],[FA]],"")</f>
        <v>Hospitality Services</v>
      </c>
      <c r="E1066" t="s">
        <v>211</v>
      </c>
      <c r="F1066" s="28" t="s">
        <v>293</v>
      </c>
      <c r="G1066" t="s">
        <v>294</v>
      </c>
      <c r="H1066" t="s">
        <v>58</v>
      </c>
      <c r="I1066" t="s">
        <v>59</v>
      </c>
      <c r="J1066" s="28" t="s">
        <v>370</v>
      </c>
      <c r="K1066" s="32">
        <v>26</v>
      </c>
      <c r="L1066" s="32">
        <v>16</v>
      </c>
      <c r="M1066" s="126"/>
      <c r="N1066" s="126"/>
      <c r="O1066" s="43" t="s">
        <v>116</v>
      </c>
      <c r="P1066" s="146" t="s">
        <v>391</v>
      </c>
    </row>
    <row r="1067" spans="1:17" ht="15" customHeight="1">
      <c r="A1067" s="106" t="b">
        <v>0</v>
      </c>
      <c r="B1067" t="str" cm="1">
        <f t="array" ref="B1067">_xlfn.SINGLE(_xlfn._xlws.FILTER(t_ServiceCatalogue[Onwer],t_ServiceCatalogue[Category]=t_fac25_requirements[[#This Row],[Category]],""))</f>
        <v>NW</v>
      </c>
      <c r="C1067" t="s">
        <v>389</v>
      </c>
      <c r="D1067" t="str">
        <f>_xlfn._xlws.FILTER(t_Contact[FA Name],t_Contact[FA]=t_fac25_requirements[[#This Row],[FA]],"")</f>
        <v>Hospitality Services</v>
      </c>
      <c r="E1067" t="s">
        <v>211</v>
      </c>
      <c r="F1067" s="28" t="s">
        <v>293</v>
      </c>
      <c r="G1067" t="s">
        <v>294</v>
      </c>
      <c r="H1067" t="s">
        <v>52</v>
      </c>
      <c r="I1067" t="s">
        <v>295</v>
      </c>
      <c r="J1067" s="28" t="s">
        <v>370</v>
      </c>
      <c r="K1067" s="32"/>
      <c r="L1067" s="32">
        <v>1</v>
      </c>
      <c r="M1067" s="126"/>
      <c r="N1067" s="126"/>
      <c r="O1067" s="43" t="s">
        <v>54</v>
      </c>
      <c r="P1067" s="146" t="s">
        <v>1856</v>
      </c>
    </row>
    <row r="1068" spans="1:17" ht="15" customHeight="1">
      <c r="A1068" s="106" t="b">
        <v>0</v>
      </c>
      <c r="B1068" t="str" cm="1">
        <f t="array" ref="B1068">_xlfn.SINGLE(_xlfn._xlws.FILTER(t_ServiceCatalogue[Onwer],t_ServiceCatalogue[Category]=t_fac25_requirements[[#This Row],[Category]],""))</f>
        <v>AV</v>
      </c>
      <c r="C1068" t="s">
        <v>389</v>
      </c>
      <c r="D1068" t="str">
        <f>_xlfn._xlws.FILTER(t_Contact[FA Name],t_Contact[FA]=t_fac25_requirements[[#This Row],[FA]],"")</f>
        <v>Hospitality Services</v>
      </c>
      <c r="E1068" t="s">
        <v>213</v>
      </c>
      <c r="F1068" s="28" t="s">
        <v>293</v>
      </c>
      <c r="G1068" t="s">
        <v>294</v>
      </c>
      <c r="H1068" t="s">
        <v>58</v>
      </c>
      <c r="I1068" t="s">
        <v>59</v>
      </c>
      <c r="J1068" s="28" t="s">
        <v>370</v>
      </c>
      <c r="K1068" s="32">
        <v>10</v>
      </c>
      <c r="L1068" s="32">
        <v>8</v>
      </c>
      <c r="M1068" s="126"/>
      <c r="N1068" s="126"/>
      <c r="O1068" s="43" t="s">
        <v>116</v>
      </c>
      <c r="P1068" s="146" t="s">
        <v>1855</v>
      </c>
    </row>
    <row r="1069" spans="1:17" ht="15" customHeight="1">
      <c r="A1069" s="106" t="b">
        <v>0</v>
      </c>
      <c r="B1069" t="str" cm="1">
        <f t="array" ref="B1069">_xlfn.SINGLE(_xlfn._xlws.FILTER(t_ServiceCatalogue[Onwer],t_ServiceCatalogue[Category]=t_fac25_requirements[[#This Row],[Category]],""))</f>
        <v>NW</v>
      </c>
      <c r="C1069" t="s">
        <v>389</v>
      </c>
      <c r="D1069" t="str">
        <f>_xlfn._xlws.FILTER(t_Contact[FA Name],t_Contact[FA]=t_fac25_requirements[[#This Row],[FA]],"")</f>
        <v>Hospitality Services</v>
      </c>
      <c r="E1069" t="s">
        <v>213</v>
      </c>
      <c r="F1069" s="28" t="s">
        <v>293</v>
      </c>
      <c r="G1069" t="s">
        <v>294</v>
      </c>
      <c r="H1069" t="s">
        <v>52</v>
      </c>
      <c r="I1069" t="s">
        <v>295</v>
      </c>
      <c r="J1069" s="28" t="s">
        <v>370</v>
      </c>
      <c r="K1069" s="32"/>
      <c r="L1069" s="32">
        <v>1</v>
      </c>
      <c r="M1069" s="126"/>
      <c r="N1069" s="126"/>
      <c r="O1069" s="43" t="s">
        <v>54</v>
      </c>
      <c r="P1069" s="146" t="s">
        <v>1856</v>
      </c>
    </row>
    <row r="1070" spans="1:17" ht="15" customHeight="1">
      <c r="A1070" s="106" t="b">
        <v>1</v>
      </c>
      <c r="B1070" t="str" cm="1">
        <f t="array" ref="B1070">_xlfn.SINGLE(_xlfn._xlws.FILTER(t_ServiceCatalogue[Onwer],t_ServiceCatalogue[Category]=t_fac25_requirements[[#This Row],[Category]],""))</f>
        <v>AV</v>
      </c>
      <c r="C1070" t="s">
        <v>389</v>
      </c>
      <c r="D1070" t="str">
        <f>_xlfn._xlws.FILTER(t_Contact[FA Name],t_Contact[FA]=t_fac25_requirements[[#This Row],[FA]],"")</f>
        <v>Hospitality Services</v>
      </c>
      <c r="E1070" t="s">
        <v>208</v>
      </c>
      <c r="F1070" s="28" t="s">
        <v>293</v>
      </c>
      <c r="G1070" t="s">
        <v>294</v>
      </c>
      <c r="H1070" t="s">
        <v>58</v>
      </c>
      <c r="I1070" t="s">
        <v>59</v>
      </c>
      <c r="J1070" s="28" t="s">
        <v>637</v>
      </c>
      <c r="K1070" s="32">
        <v>14</v>
      </c>
      <c r="L1070" s="32">
        <v>0</v>
      </c>
      <c r="M1070" s="126"/>
      <c r="N1070" s="126"/>
      <c r="O1070" s="43" t="s">
        <v>116</v>
      </c>
      <c r="P1070" s="146" t="s">
        <v>1858</v>
      </c>
    </row>
    <row r="1071" spans="1:17" ht="15" customHeight="1">
      <c r="A1071" s="106" t="b">
        <v>1</v>
      </c>
      <c r="B1071" t="str" cm="1">
        <f t="array" ref="B1071">_xlfn.SINGLE(_xlfn._xlws.FILTER(t_ServiceCatalogue[Onwer],t_ServiceCatalogue[Category]=t_fac25_requirements[[#This Row],[Category]],""))</f>
        <v>NW</v>
      </c>
      <c r="C1071" t="s">
        <v>389</v>
      </c>
      <c r="D1071" t="str">
        <f>_xlfn._xlws.FILTER(t_Contact[FA Name],t_Contact[FA]=t_fac25_requirements[[#This Row],[FA]],"")</f>
        <v>Hospitality Services</v>
      </c>
      <c r="E1071" t="s">
        <v>208</v>
      </c>
      <c r="F1071" s="28" t="s">
        <v>293</v>
      </c>
      <c r="G1071" t="s">
        <v>294</v>
      </c>
      <c r="H1071" t="s">
        <v>52</v>
      </c>
      <c r="I1071" t="s">
        <v>295</v>
      </c>
      <c r="J1071" s="28" t="s">
        <v>370</v>
      </c>
      <c r="K1071" s="32">
        <v>1</v>
      </c>
      <c r="L1071" s="32">
        <v>1</v>
      </c>
      <c r="M1071" s="126"/>
      <c r="N1071" s="126"/>
      <c r="O1071" s="43" t="s">
        <v>54</v>
      </c>
      <c r="P1071" s="146" t="s">
        <v>1859</v>
      </c>
    </row>
    <row r="1072" spans="1:17" ht="15" customHeight="1">
      <c r="A1072" s="106" t="b">
        <v>1</v>
      </c>
      <c r="B1072" t="str" cm="1">
        <f t="array" ref="B1072">_xlfn.SINGLE(_xlfn._xlws.FILTER(t_ServiceCatalogue[Onwer],t_ServiceCatalogue[Category]=t_fac25_requirements[[#This Row],[Category]],""))</f>
        <v>AV</v>
      </c>
      <c r="C1072" t="s">
        <v>389</v>
      </c>
      <c r="D1072" t="str">
        <f>_xlfn._xlws.FILTER(t_Contact[FA Name],t_Contact[FA]=t_fac25_requirements[[#This Row],[FA]],"")</f>
        <v>Hospitality Services</v>
      </c>
      <c r="E1072" s="43">
        <v>974</v>
      </c>
      <c r="F1072" s="28" t="s">
        <v>293</v>
      </c>
      <c r="G1072" t="s">
        <v>294</v>
      </c>
      <c r="H1072" t="s">
        <v>58</v>
      </c>
      <c r="I1072" t="s">
        <v>59</v>
      </c>
      <c r="J1072" s="28" t="s">
        <v>637</v>
      </c>
      <c r="K1072" s="32">
        <v>4</v>
      </c>
      <c r="L1072" s="32">
        <v>0</v>
      </c>
      <c r="M1072" s="126"/>
      <c r="N1072" s="126"/>
      <c r="O1072" s="43" t="s">
        <v>116</v>
      </c>
      <c r="P1072" s="146" t="s">
        <v>1860</v>
      </c>
    </row>
    <row r="1073" spans="1:17" ht="15" customHeight="1">
      <c r="A1073" s="106" t="b">
        <v>0</v>
      </c>
      <c r="B1073" t="str" cm="1">
        <f t="array" ref="B1073">_xlfn.SINGLE(_xlfn._xlws.FILTER(t_ServiceCatalogue[Onwer],t_ServiceCatalogue[Category]=t_fac25_requirements[[#This Row],[Category]],""))</f>
        <v>NW</v>
      </c>
      <c r="C1073" t="s">
        <v>389</v>
      </c>
      <c r="D1073" t="str">
        <f>_xlfn._xlws.FILTER(t_Contact[FA Name],t_Contact[FA]=t_fac25_requirements[[#This Row],[FA]],"")</f>
        <v>Hospitality Services</v>
      </c>
      <c r="E1073" s="43">
        <v>974</v>
      </c>
      <c r="F1073" s="28" t="s">
        <v>293</v>
      </c>
      <c r="G1073" t="s">
        <v>294</v>
      </c>
      <c r="H1073" t="s">
        <v>52</v>
      </c>
      <c r="I1073" t="s">
        <v>295</v>
      </c>
      <c r="J1073" s="28" t="s">
        <v>370</v>
      </c>
      <c r="K1073" s="32">
        <v>1</v>
      </c>
      <c r="L1073" s="32">
        <v>1</v>
      </c>
      <c r="M1073" s="126"/>
      <c r="N1073" s="126"/>
      <c r="O1073" s="43" t="s">
        <v>54</v>
      </c>
      <c r="P1073" s="146" t="s">
        <v>1859</v>
      </c>
    </row>
    <row r="1074" spans="1:17" ht="15" customHeight="1">
      <c r="A1074" s="106" t="b">
        <v>1</v>
      </c>
      <c r="B1074" t="str" cm="1">
        <f t="array" ref="B1074">_xlfn.SINGLE(_xlfn._xlws.FILTER(t_ServiceCatalogue[Onwer],t_ServiceCatalogue[Category]=t_fac25_requirements[[#This Row],[Category]],""))</f>
        <v>Telco/SIM</v>
      </c>
      <c r="C1074" t="s">
        <v>177</v>
      </c>
      <c r="D1074" t="str">
        <f>_xlfn._xlws.FILTER(t_Contact[FA Name],t_Contact[FA]=t_fac25_requirements[[#This Row],[FA]],"")</f>
        <v>Arrival &amp; Departure</v>
      </c>
      <c r="E1074" t="s">
        <v>19</v>
      </c>
      <c r="F1074" t="s">
        <v>177</v>
      </c>
      <c r="G1074" t="s">
        <v>178</v>
      </c>
      <c r="H1074" t="s">
        <v>84</v>
      </c>
      <c r="I1074" t="s">
        <v>85</v>
      </c>
      <c r="J1074" s="28" t="s">
        <v>370</v>
      </c>
      <c r="K1074" s="32"/>
      <c r="L1074" s="32">
        <v>1</v>
      </c>
      <c r="M1074" s="30">
        <v>45950</v>
      </c>
      <c r="N1074" s="30">
        <v>46011</v>
      </c>
      <c r="O1074" s="43" t="s">
        <v>86</v>
      </c>
      <c r="P1074" s="55" t="s">
        <v>1861</v>
      </c>
    </row>
    <row r="1075" spans="1:17" ht="15" customHeight="1">
      <c r="A1075" s="106" t="b">
        <v>1</v>
      </c>
      <c r="B1075" t="str" cm="1">
        <f t="array" ref="B1075">_xlfn.SINGLE(_xlfn._xlws.FILTER(t_ServiceCatalogue[Onwer],t_ServiceCatalogue[Category]=t_fac25_requirements[[#This Row],[Category]],""))</f>
        <v>AV</v>
      </c>
      <c r="C1075" t="s">
        <v>194</v>
      </c>
      <c r="D1075" t="str">
        <f>_xlfn._xlws.FILTER(t_Contact[FA Name],t_Contact[FA]=t_fac25_requirements[[#This Row],[FA]],"")</f>
        <v>Media Operations</v>
      </c>
      <c r="E1075" t="s">
        <v>214</v>
      </c>
      <c r="F1075" s="28" t="s">
        <v>268</v>
      </c>
      <c r="G1075" t="s">
        <v>271</v>
      </c>
      <c r="H1075" t="s">
        <v>58</v>
      </c>
      <c r="I1075" t="s">
        <v>59</v>
      </c>
      <c r="J1075" s="28" t="s">
        <v>370</v>
      </c>
      <c r="K1075" s="32"/>
      <c r="L1075" s="32">
        <v>1</v>
      </c>
      <c r="M1075" s="147">
        <v>45990</v>
      </c>
      <c r="N1075" s="147">
        <v>45980</v>
      </c>
      <c r="O1075" s="43" t="s">
        <v>116</v>
      </c>
      <c r="P1075" s="133" t="s">
        <v>393</v>
      </c>
    </row>
    <row r="1076" spans="1:17" ht="15" customHeight="1">
      <c r="A1076" s="106" t="b">
        <v>0</v>
      </c>
      <c r="B1076" t="str" cm="1">
        <f t="array" ref="B1076">_xlfn.SINGLE(_xlfn._xlws.FILTER(t_ServiceCatalogue[Onwer],t_ServiceCatalogue[Category]=t_fac25_requirements[[#This Row],[Category]],""))</f>
        <v>AV</v>
      </c>
      <c r="C1076" t="s">
        <v>194</v>
      </c>
      <c r="D1076" t="str">
        <f>_xlfn._xlws.FILTER(t_Contact[FA Name],t_Contact[FA]=t_fac25_requirements[[#This Row],[FA]],"")</f>
        <v>Media Operations</v>
      </c>
      <c r="E1076" t="s">
        <v>212</v>
      </c>
      <c r="F1076" t="s">
        <v>268</v>
      </c>
      <c r="G1076" t="s">
        <v>271</v>
      </c>
      <c r="H1076" t="s">
        <v>58</v>
      </c>
      <c r="I1076" t="s">
        <v>59</v>
      </c>
      <c r="J1076" s="28" t="s">
        <v>370</v>
      </c>
      <c r="K1076" s="32"/>
      <c r="L1076" s="32">
        <v>1</v>
      </c>
      <c r="M1076" s="147">
        <v>45990</v>
      </c>
      <c r="N1076" s="147">
        <v>45979</v>
      </c>
      <c r="O1076" s="43" t="s">
        <v>116</v>
      </c>
      <c r="P1076" s="133" t="s">
        <v>393</v>
      </c>
    </row>
    <row r="1077" spans="1:17" ht="15" customHeight="1">
      <c r="A1077" s="106" t="b">
        <v>0</v>
      </c>
      <c r="B1077" t="str" cm="1">
        <f t="array" ref="B1077">_xlfn.SINGLE(_xlfn._xlws.FILTER(t_ServiceCatalogue[Onwer],t_ServiceCatalogue[Category]=t_fac25_requirements[[#This Row],[Category]],""))</f>
        <v>AV</v>
      </c>
      <c r="C1077" t="s">
        <v>194</v>
      </c>
      <c r="D1077" t="str">
        <f>_xlfn._xlws.FILTER(t_Contact[FA Name],t_Contact[FA]=t_fac25_requirements[[#This Row],[FA]],"")</f>
        <v>Media Operations</v>
      </c>
      <c r="E1077" t="s">
        <v>211</v>
      </c>
      <c r="F1077" t="s">
        <v>268</v>
      </c>
      <c r="G1077" t="s">
        <v>271</v>
      </c>
      <c r="H1077" t="s">
        <v>58</v>
      </c>
      <c r="I1077" t="s">
        <v>59</v>
      </c>
      <c r="J1077" s="28" t="s">
        <v>370</v>
      </c>
      <c r="K1077" s="32"/>
      <c r="L1077" s="32">
        <v>1</v>
      </c>
      <c r="M1077" s="147">
        <v>45990</v>
      </c>
      <c r="N1077" s="147">
        <v>45946</v>
      </c>
      <c r="O1077" s="43" t="s">
        <v>116</v>
      </c>
      <c r="P1077" s="133" t="s">
        <v>393</v>
      </c>
    </row>
    <row r="1078" spans="1:17" ht="15" customHeight="1">
      <c r="A1078" s="106" t="b">
        <v>0</v>
      </c>
      <c r="B1078" t="str" cm="1">
        <f t="array" ref="B1078">_xlfn.SINGLE(_xlfn._xlws.FILTER(t_ServiceCatalogue[Onwer],t_ServiceCatalogue[Category]=t_fac25_requirements[[#This Row],[Category]],""))</f>
        <v>AV</v>
      </c>
      <c r="C1078" t="s">
        <v>194</v>
      </c>
      <c r="D1078" t="str">
        <f>_xlfn._xlws.FILTER(t_Contact[FA Name],t_Contact[FA]=t_fac25_requirements[[#This Row],[FA]],"")</f>
        <v>Media Operations</v>
      </c>
      <c r="E1078" t="s">
        <v>213</v>
      </c>
      <c r="F1078" t="s">
        <v>268</v>
      </c>
      <c r="G1078" t="s">
        <v>271</v>
      </c>
      <c r="H1078" t="s">
        <v>58</v>
      </c>
      <c r="I1078" t="s">
        <v>59</v>
      </c>
      <c r="J1078" s="28" t="s">
        <v>370</v>
      </c>
      <c r="K1078" s="32"/>
      <c r="L1078" s="32">
        <v>1</v>
      </c>
      <c r="M1078" s="147">
        <v>45990</v>
      </c>
      <c r="N1078" s="147">
        <v>45980</v>
      </c>
      <c r="O1078" s="43" t="s">
        <v>116</v>
      </c>
      <c r="P1078" s="133" t="s">
        <v>393</v>
      </c>
    </row>
    <row r="1079" spans="1:17" ht="15" customHeight="1">
      <c r="A1079" s="106" t="b">
        <v>0</v>
      </c>
      <c r="B1079" t="str" cm="1">
        <f t="array" ref="B1079">_xlfn.SINGLE(_xlfn._xlws.FILTER(t_ServiceCatalogue[Onwer],t_ServiceCatalogue[Category]=t_fac25_requirements[[#This Row],[Category]],""))</f>
        <v>AV</v>
      </c>
      <c r="C1079" t="s">
        <v>194</v>
      </c>
      <c r="D1079" t="str">
        <f>_xlfn._xlws.FILTER(t_Contact[FA Name],t_Contact[FA]=t_fac25_requirements[[#This Row],[FA]],"")</f>
        <v>Media Operations</v>
      </c>
      <c r="E1079" t="s">
        <v>208</v>
      </c>
      <c r="F1079" t="s">
        <v>268</v>
      </c>
      <c r="G1079" t="s">
        <v>271</v>
      </c>
      <c r="H1079" t="s">
        <v>58</v>
      </c>
      <c r="I1079" t="s">
        <v>59</v>
      </c>
      <c r="J1079" s="28" t="s">
        <v>370</v>
      </c>
      <c r="K1079" s="32"/>
      <c r="L1079" s="32">
        <v>1</v>
      </c>
      <c r="M1079" s="147">
        <v>45990</v>
      </c>
      <c r="N1079" s="147">
        <v>45979</v>
      </c>
      <c r="O1079" s="43" t="s">
        <v>116</v>
      </c>
      <c r="P1079" s="133" t="s">
        <v>393</v>
      </c>
    </row>
    <row r="1080" spans="1:17" ht="15" customHeight="1">
      <c r="A1080" s="106" t="b">
        <v>0</v>
      </c>
      <c r="B1080" t="str" cm="1">
        <f t="array" ref="B1080">_xlfn.SINGLE(_xlfn._xlws.FILTER(t_ServiceCatalogue[Onwer],t_ServiceCatalogue[Category]=t_fac25_requirements[[#This Row],[Category]],""))</f>
        <v>AV</v>
      </c>
      <c r="C1080" t="s">
        <v>194</v>
      </c>
      <c r="D1080" t="str">
        <f>_xlfn._xlws.FILTER(t_Contact[FA Name],t_Contact[FA]=t_fac25_requirements[[#This Row],[FA]],"")</f>
        <v>Media Operations</v>
      </c>
      <c r="E1080" s="43">
        <v>974</v>
      </c>
      <c r="F1080" t="s">
        <v>268</v>
      </c>
      <c r="G1080" t="s">
        <v>271</v>
      </c>
      <c r="H1080" t="s">
        <v>58</v>
      </c>
      <c r="I1080" t="s">
        <v>59</v>
      </c>
      <c r="J1080" s="28" t="s">
        <v>370</v>
      </c>
      <c r="K1080" s="32"/>
      <c r="L1080" s="32">
        <v>1</v>
      </c>
      <c r="M1080" s="147">
        <v>45990</v>
      </c>
      <c r="N1080" s="147">
        <v>45978</v>
      </c>
      <c r="O1080" s="43" t="s">
        <v>116</v>
      </c>
      <c r="P1080" s="133" t="s">
        <v>393</v>
      </c>
    </row>
    <row r="1081" spans="1:17" ht="15" customHeight="1">
      <c r="A1081" s="106" t="b">
        <v>0</v>
      </c>
      <c r="B1081" t="str" cm="1">
        <f t="array" ref="B1081">_xlfn.SINGLE(_xlfn._xlws.FILTER(t_ServiceCatalogue[Onwer],t_ServiceCatalogue[Category]=t_fac25_requirements[[#This Row],[Category]],""))</f>
        <v>AV</v>
      </c>
      <c r="C1081" t="s">
        <v>394</v>
      </c>
      <c r="D1081" t="str">
        <f>_xlfn._xlws.FILTER(t_Contact[FA Name],t_Contact[FA]=t_fac25_requirements[[#This Row],[FA]],"")</f>
        <v>Commercial/MRD</v>
      </c>
      <c r="E1081" t="s">
        <v>211</v>
      </c>
      <c r="F1081" t="s">
        <v>305</v>
      </c>
      <c r="G1081" t="s">
        <v>316</v>
      </c>
      <c r="H1081" t="s">
        <v>110</v>
      </c>
      <c r="I1081" t="s">
        <v>111</v>
      </c>
      <c r="J1081" s="28" t="s">
        <v>370</v>
      </c>
      <c r="K1081" s="32"/>
      <c r="L1081" s="32">
        <v>1</v>
      </c>
      <c r="M1081" s="30">
        <v>45962</v>
      </c>
      <c r="N1081" s="30">
        <v>46006</v>
      </c>
      <c r="O1081" s="43" t="s">
        <v>60</v>
      </c>
      <c r="P1081" s="55" t="s">
        <v>396</v>
      </c>
      <c r="Q1081" t="s">
        <v>397</v>
      </c>
    </row>
    <row r="1082" spans="1:17" ht="15" customHeight="1">
      <c r="A1082" s="106" t="b">
        <v>1</v>
      </c>
      <c r="B1082" t="str" cm="1">
        <f t="array" ref="B1082">_xlfn.SINGLE(_xlfn._xlws.FILTER(t_ServiceCatalogue[Onwer],t_ServiceCatalogue[Category]=t_fac25_requirements[[#This Row],[Category]],""))</f>
        <v>AV</v>
      </c>
      <c r="C1082" t="s">
        <v>394</v>
      </c>
      <c r="D1082" t="str">
        <f>_xlfn._xlws.FILTER(t_Contact[FA Name],t_Contact[FA]=t_fac25_requirements[[#This Row],[FA]],"")</f>
        <v>Commercial/MRD</v>
      </c>
      <c r="E1082" t="s">
        <v>214</v>
      </c>
      <c r="F1082" t="s">
        <v>305</v>
      </c>
      <c r="G1082" t="s">
        <v>316</v>
      </c>
      <c r="H1082" t="s">
        <v>110</v>
      </c>
      <c r="I1082" t="s">
        <v>111</v>
      </c>
      <c r="J1082" s="28" t="s">
        <v>370</v>
      </c>
      <c r="K1082" s="32"/>
      <c r="L1082" s="32">
        <v>1</v>
      </c>
      <c r="M1082" s="30">
        <v>45962</v>
      </c>
      <c r="N1082" s="30">
        <v>46006</v>
      </c>
      <c r="O1082" s="43" t="s">
        <v>60</v>
      </c>
      <c r="P1082" s="55" t="s">
        <v>1194</v>
      </c>
      <c r="Q1082" t="s">
        <v>397</v>
      </c>
    </row>
    <row r="1083" spans="1:17" ht="15" customHeight="1">
      <c r="A1083" s="106" t="b">
        <v>0</v>
      </c>
      <c r="B1083" t="str" cm="1">
        <f t="array" ref="B1083">_xlfn.SINGLE(_xlfn._xlws.FILTER(t_ServiceCatalogue[Onwer],t_ServiceCatalogue[Category]=t_fac25_requirements[[#This Row],[Category]],""))</f>
        <v>AV</v>
      </c>
      <c r="C1083" t="s">
        <v>394</v>
      </c>
      <c r="D1083" t="str">
        <f>_xlfn._xlws.FILTER(t_Contact[FA Name],t_Contact[FA]=t_fac25_requirements[[#This Row],[FA]],"")</f>
        <v>Commercial/MRD</v>
      </c>
      <c r="E1083" s="43">
        <v>974</v>
      </c>
      <c r="F1083" t="s">
        <v>305</v>
      </c>
      <c r="G1083" t="s">
        <v>316</v>
      </c>
      <c r="H1083" t="s">
        <v>110</v>
      </c>
      <c r="I1083" t="s">
        <v>111</v>
      </c>
      <c r="J1083" s="28" t="s">
        <v>370</v>
      </c>
      <c r="K1083" s="32"/>
      <c r="L1083" s="32">
        <v>1</v>
      </c>
      <c r="M1083" s="30">
        <v>45962</v>
      </c>
      <c r="N1083" s="30">
        <v>46006</v>
      </c>
      <c r="O1083" s="43" t="s">
        <v>60</v>
      </c>
      <c r="P1083" s="55" t="s">
        <v>396</v>
      </c>
      <c r="Q1083" t="s">
        <v>397</v>
      </c>
    </row>
    <row r="1084" spans="1:17" ht="15" customHeight="1">
      <c r="A1084" s="106" t="b">
        <v>0</v>
      </c>
      <c r="B1084" t="str" cm="1">
        <f t="array" ref="B1084">_xlfn.SINGLE(_xlfn._xlws.FILTER(t_ServiceCatalogue[Onwer],t_ServiceCatalogue[Category]=t_fac25_requirements[[#This Row],[Category]],""))</f>
        <v>AV</v>
      </c>
      <c r="C1084" t="s">
        <v>394</v>
      </c>
      <c r="D1084" t="str">
        <f>_xlfn._xlws.FILTER(t_Contact[FA Name],t_Contact[FA]=t_fac25_requirements[[#This Row],[FA]],"")</f>
        <v>Commercial/MRD</v>
      </c>
      <c r="E1084" t="s">
        <v>208</v>
      </c>
      <c r="F1084" t="s">
        <v>305</v>
      </c>
      <c r="G1084" t="s">
        <v>316</v>
      </c>
      <c r="H1084" t="s">
        <v>110</v>
      </c>
      <c r="I1084" t="s">
        <v>111</v>
      </c>
      <c r="J1084" s="28" t="s">
        <v>370</v>
      </c>
      <c r="K1084" s="32"/>
      <c r="L1084" s="32">
        <v>1</v>
      </c>
      <c r="M1084" s="30">
        <v>45962</v>
      </c>
      <c r="N1084" s="30">
        <v>46006</v>
      </c>
      <c r="O1084" s="43" t="s">
        <v>60</v>
      </c>
      <c r="P1084" s="55" t="s">
        <v>396</v>
      </c>
      <c r="Q1084" t="s">
        <v>397</v>
      </c>
    </row>
    <row r="1085" spans="1:17" ht="15" customHeight="1">
      <c r="A1085" s="106" t="b">
        <v>0</v>
      </c>
      <c r="B1085" t="str" cm="1">
        <f t="array" ref="B1085">_xlfn.SINGLE(_xlfn._xlws.FILTER(t_ServiceCatalogue[Onwer],t_ServiceCatalogue[Category]=t_fac25_requirements[[#This Row],[Category]],""))</f>
        <v>AV</v>
      </c>
      <c r="C1085" t="s">
        <v>394</v>
      </c>
      <c r="D1085" t="str">
        <f>_xlfn._xlws.FILTER(t_Contact[FA Name],t_Contact[FA]=t_fac25_requirements[[#This Row],[FA]],"")</f>
        <v>Commercial/MRD</v>
      </c>
      <c r="E1085" t="s">
        <v>212</v>
      </c>
      <c r="F1085" t="s">
        <v>305</v>
      </c>
      <c r="G1085" t="s">
        <v>316</v>
      </c>
      <c r="H1085" t="s">
        <v>110</v>
      </c>
      <c r="I1085" t="s">
        <v>111</v>
      </c>
      <c r="J1085" s="28" t="s">
        <v>370</v>
      </c>
      <c r="K1085" s="32"/>
      <c r="L1085" s="32">
        <v>1</v>
      </c>
      <c r="M1085" s="30">
        <v>45962</v>
      </c>
      <c r="N1085" s="30">
        <v>46006</v>
      </c>
      <c r="O1085" s="43" t="s">
        <v>60</v>
      </c>
      <c r="P1085" s="55" t="s">
        <v>396</v>
      </c>
      <c r="Q1085" t="s">
        <v>397</v>
      </c>
    </row>
    <row r="1086" spans="1:17" ht="15" customHeight="1">
      <c r="A1086" s="106" t="b">
        <v>0</v>
      </c>
      <c r="B1086" t="str" cm="1">
        <f t="array" ref="B1086">_xlfn.SINGLE(_xlfn._xlws.FILTER(t_ServiceCatalogue[Onwer],t_ServiceCatalogue[Category]=t_fac25_requirements[[#This Row],[Category]],""))</f>
        <v>AV</v>
      </c>
      <c r="C1086" t="s">
        <v>394</v>
      </c>
      <c r="D1086" t="str">
        <f>_xlfn._xlws.FILTER(t_Contact[FA Name],t_Contact[FA]=t_fac25_requirements[[#This Row],[FA]],"")</f>
        <v>Commercial/MRD</v>
      </c>
      <c r="E1086" t="s">
        <v>213</v>
      </c>
      <c r="F1086" t="s">
        <v>305</v>
      </c>
      <c r="G1086" t="s">
        <v>316</v>
      </c>
      <c r="H1086" t="s">
        <v>110</v>
      </c>
      <c r="I1086" t="s">
        <v>111</v>
      </c>
      <c r="J1086" s="28" t="s">
        <v>370</v>
      </c>
      <c r="K1086" s="32"/>
      <c r="L1086" s="32">
        <v>1</v>
      </c>
      <c r="M1086" s="30">
        <v>45962</v>
      </c>
      <c r="N1086" s="30">
        <v>46006</v>
      </c>
      <c r="O1086" s="43" t="s">
        <v>60</v>
      </c>
      <c r="P1086" s="55" t="s">
        <v>396</v>
      </c>
      <c r="Q1086" t="s">
        <v>397</v>
      </c>
    </row>
    <row r="1087" spans="1:17" ht="15" customHeight="1">
      <c r="A1087" s="106" t="b">
        <v>0</v>
      </c>
      <c r="B1087" t="str" cm="1">
        <f t="array" ref="B1087">_xlfn.SINGLE(_xlfn._xlws.FILTER(t_ServiceCatalogue[Onwer],t_ServiceCatalogue[Category]=t_fac25_requirements[[#This Row],[Category]],""))</f>
        <v>NW</v>
      </c>
      <c r="C1087" t="s">
        <v>194</v>
      </c>
      <c r="D1087" t="str">
        <f>_xlfn._xlws.FILTER(t_Contact[FA Name],t_Contact[FA]=t_fac25_requirements[[#This Row],[FA]],"")</f>
        <v>Media Operations</v>
      </c>
      <c r="E1087" s="43">
        <v>974</v>
      </c>
      <c r="F1087" t="s">
        <v>259</v>
      </c>
      <c r="G1087" t="s">
        <v>264</v>
      </c>
      <c r="H1087" t="s">
        <v>46</v>
      </c>
      <c r="I1087" t="s">
        <v>47</v>
      </c>
      <c r="J1087" s="28" t="s">
        <v>370</v>
      </c>
      <c r="K1087" s="82"/>
      <c r="L1087" s="32">
        <v>8</v>
      </c>
      <c r="M1087" s="30">
        <v>45986</v>
      </c>
      <c r="N1087" s="30">
        <v>46007</v>
      </c>
      <c r="O1087" s="43" t="s">
        <v>48</v>
      </c>
      <c r="P1087" s="55"/>
    </row>
    <row r="1088" spans="1:17" ht="15" customHeight="1">
      <c r="A1088" s="106" t="b">
        <v>0</v>
      </c>
      <c r="B1088" t="str" cm="1">
        <f t="array" ref="B1088">_xlfn.SINGLE(_xlfn._xlws.FILTER(t_ServiceCatalogue[Onwer],t_ServiceCatalogue[Category]=t_fac25_requirements[[#This Row],[Category]],""))</f>
        <v>NW</v>
      </c>
      <c r="C1088" t="s">
        <v>194</v>
      </c>
      <c r="D1088" t="str">
        <f>_xlfn._xlws.FILTER(t_Contact[FA Name],t_Contact[FA]=t_fac25_requirements[[#This Row],[FA]],"")</f>
        <v>Media Operations</v>
      </c>
      <c r="E1088" t="s">
        <v>208</v>
      </c>
      <c r="F1088" t="s">
        <v>259</v>
      </c>
      <c r="G1088" t="s">
        <v>264</v>
      </c>
      <c r="H1088" t="s">
        <v>46</v>
      </c>
      <c r="I1088" t="s">
        <v>47</v>
      </c>
      <c r="J1088" s="28" t="s">
        <v>370</v>
      </c>
      <c r="K1088" s="82"/>
      <c r="L1088" s="32">
        <v>8</v>
      </c>
      <c r="M1088" s="30">
        <v>45986</v>
      </c>
      <c r="N1088" s="30">
        <v>46007</v>
      </c>
      <c r="O1088" s="43" t="s">
        <v>48</v>
      </c>
      <c r="P1088" s="55"/>
    </row>
    <row r="1089" spans="1:18" ht="15" customHeight="1">
      <c r="A1089" s="106" t="b">
        <v>0</v>
      </c>
      <c r="B1089" t="str" cm="1">
        <f t="array" ref="B1089">_xlfn.SINGLE(_xlfn._xlws.FILTER(t_ServiceCatalogue[Onwer],t_ServiceCatalogue[Category]=t_fac25_requirements[[#This Row],[Category]],""))</f>
        <v>NW</v>
      </c>
      <c r="C1089" t="s">
        <v>194</v>
      </c>
      <c r="D1089" t="str">
        <f>_xlfn._xlws.FILTER(t_Contact[FA Name],t_Contact[FA]=t_fac25_requirements[[#This Row],[FA]],"")</f>
        <v>Media Operations</v>
      </c>
      <c r="E1089" t="s">
        <v>211</v>
      </c>
      <c r="F1089" t="s">
        <v>259</v>
      </c>
      <c r="G1089" t="s">
        <v>264</v>
      </c>
      <c r="H1089" t="s">
        <v>46</v>
      </c>
      <c r="I1089" t="s">
        <v>47</v>
      </c>
      <c r="J1089" s="28" t="s">
        <v>370</v>
      </c>
      <c r="K1089" s="82"/>
      <c r="L1089" s="32">
        <v>8</v>
      </c>
      <c r="M1089" s="30">
        <v>45986</v>
      </c>
      <c r="N1089" s="30">
        <v>46007</v>
      </c>
      <c r="O1089" s="43" t="s">
        <v>48</v>
      </c>
      <c r="P1089" s="55"/>
    </row>
    <row r="1090" spans="1:18" ht="15" customHeight="1">
      <c r="A1090" s="106" t="b">
        <v>0</v>
      </c>
      <c r="B1090" t="str" cm="1">
        <f t="array" ref="B1090">_xlfn.SINGLE(_xlfn._xlws.FILTER(t_ServiceCatalogue[Onwer],t_ServiceCatalogue[Category]=t_fac25_requirements[[#This Row],[Category]],""))</f>
        <v>NW</v>
      </c>
      <c r="C1090" t="s">
        <v>194</v>
      </c>
      <c r="D1090" t="str">
        <f>_xlfn._xlws.FILTER(t_Contact[FA Name],t_Contact[FA]=t_fac25_requirements[[#This Row],[FA]],"")</f>
        <v>Media Operations</v>
      </c>
      <c r="E1090" t="s">
        <v>212</v>
      </c>
      <c r="F1090" t="s">
        <v>259</v>
      </c>
      <c r="G1090" t="s">
        <v>264</v>
      </c>
      <c r="H1090" t="s">
        <v>46</v>
      </c>
      <c r="I1090" t="s">
        <v>47</v>
      </c>
      <c r="J1090" s="28" t="s">
        <v>370</v>
      </c>
      <c r="K1090" s="82"/>
      <c r="L1090" s="32">
        <v>8</v>
      </c>
      <c r="M1090" s="30">
        <v>45986</v>
      </c>
      <c r="N1090" s="30">
        <v>46007</v>
      </c>
      <c r="O1090" s="43" t="s">
        <v>48</v>
      </c>
      <c r="P1090" s="55"/>
    </row>
    <row r="1091" spans="1:18" ht="15" customHeight="1">
      <c r="A1091" s="106" t="b">
        <v>0</v>
      </c>
      <c r="B1091" t="str" cm="1">
        <f t="array" ref="B1091">_xlfn.SINGLE(_xlfn._xlws.FILTER(t_ServiceCatalogue[Onwer],t_ServiceCatalogue[Category]=t_fac25_requirements[[#This Row],[Category]],""))</f>
        <v>NW</v>
      </c>
      <c r="C1091" t="s">
        <v>194</v>
      </c>
      <c r="D1091" t="str">
        <f>_xlfn._xlws.FILTER(t_Contact[FA Name],t_Contact[FA]=t_fac25_requirements[[#This Row],[FA]],"")</f>
        <v>Media Operations</v>
      </c>
      <c r="E1091" t="s">
        <v>213</v>
      </c>
      <c r="F1091" t="s">
        <v>259</v>
      </c>
      <c r="G1091" t="s">
        <v>264</v>
      </c>
      <c r="H1091" t="s">
        <v>46</v>
      </c>
      <c r="I1091" t="s">
        <v>47</v>
      </c>
      <c r="J1091" s="28" t="s">
        <v>370</v>
      </c>
      <c r="K1091" s="82"/>
      <c r="L1091" s="32">
        <v>8</v>
      </c>
      <c r="M1091" s="30">
        <v>45986</v>
      </c>
      <c r="N1091" s="30">
        <v>46007</v>
      </c>
      <c r="O1091" s="43" t="s">
        <v>48</v>
      </c>
      <c r="P1091" s="55"/>
    </row>
    <row r="1092" spans="1:18" ht="15" customHeight="1">
      <c r="A1092" s="106" t="b">
        <v>0</v>
      </c>
      <c r="B1092" t="str" cm="1">
        <f t="array" ref="B1092">_xlfn.SINGLE(_xlfn._xlws.FILTER(t_ServiceCatalogue[Onwer],t_ServiceCatalogue[Category]=t_fac25_requirements[[#This Row],[Category]],""))</f>
        <v>NW</v>
      </c>
      <c r="C1092" t="s">
        <v>194</v>
      </c>
      <c r="D1092" t="str">
        <f>_xlfn._xlws.FILTER(t_Contact[FA Name],t_Contact[FA]=t_fac25_requirements[[#This Row],[FA]],"")</f>
        <v>Media Operations</v>
      </c>
      <c r="E1092" t="s">
        <v>214</v>
      </c>
      <c r="F1092" t="s">
        <v>259</v>
      </c>
      <c r="G1092" t="s">
        <v>264</v>
      </c>
      <c r="H1092" t="s">
        <v>46</v>
      </c>
      <c r="I1092" t="s">
        <v>256</v>
      </c>
      <c r="J1092" s="28" t="s">
        <v>370</v>
      </c>
      <c r="K1092" s="82"/>
      <c r="L1092" s="32">
        <v>8</v>
      </c>
      <c r="M1092" s="30">
        <v>45986</v>
      </c>
      <c r="N1092" s="30">
        <v>46007</v>
      </c>
      <c r="O1092" s="43" t="s">
        <v>48</v>
      </c>
      <c r="P1092" s="55"/>
    </row>
    <row r="1093" spans="1:18" ht="15" customHeight="1">
      <c r="A1093" s="106" t="b">
        <v>0</v>
      </c>
      <c r="B1093" t="str" cm="1">
        <f t="array" ref="B1093">_xlfn.SINGLE(_xlfn._xlws.FILTER(t_ServiceCatalogue[Onwer],t_ServiceCatalogue[Category]=t_fac25_requirements[[#This Row],[Category]],""))</f>
        <v>NW</v>
      </c>
      <c r="C1093" t="s">
        <v>194</v>
      </c>
      <c r="D1093" t="str">
        <f>_xlfn._xlws.FILTER(t_Contact[FA Name],t_Contact[FA]=t_fac25_requirements[[#This Row],[FA]],"")</f>
        <v>Media Operations</v>
      </c>
      <c r="E1093" t="s">
        <v>211</v>
      </c>
      <c r="F1093" t="s">
        <v>268</v>
      </c>
      <c r="G1093" t="s">
        <v>270</v>
      </c>
      <c r="H1093" t="s">
        <v>52</v>
      </c>
      <c r="I1093" t="s">
        <v>252</v>
      </c>
      <c r="J1093" s="28" t="s">
        <v>370</v>
      </c>
      <c r="K1093" s="82"/>
      <c r="L1093" s="32">
        <v>2</v>
      </c>
      <c r="M1093" s="30">
        <v>45986</v>
      </c>
      <c r="N1093" s="30">
        <v>46007</v>
      </c>
      <c r="O1093" s="43" t="s">
        <v>386</v>
      </c>
      <c r="P1093" s="55"/>
      <c r="Q1093" t="s">
        <v>1569</v>
      </c>
      <c r="R1093" t="s">
        <v>1570</v>
      </c>
    </row>
    <row r="1094" spans="1:18" ht="15" customHeight="1">
      <c r="A1094" s="106" t="b">
        <v>1</v>
      </c>
      <c r="B1094" t="s">
        <v>203</v>
      </c>
      <c r="C1094" t="s">
        <v>182</v>
      </c>
      <c r="D1094" t="str">
        <f>_xlfn._xlws.FILTER(t_Contact[FA Name],t_Contact[FA]=t_fac25_requirements[[#This Row],[FA]],"")</f>
        <v>ICT</v>
      </c>
      <c r="E1094" t="s">
        <v>211</v>
      </c>
      <c r="F1094" t="s">
        <v>288</v>
      </c>
      <c r="G1094" t="s">
        <v>324</v>
      </c>
      <c r="H1094" t="s">
        <v>22</v>
      </c>
      <c r="I1094" t="s">
        <v>23</v>
      </c>
      <c r="J1094" s="28" t="s">
        <v>370</v>
      </c>
      <c r="K1094" s="32">
        <v>1</v>
      </c>
      <c r="L1094" s="32">
        <v>2</v>
      </c>
      <c r="M1094" s="30">
        <v>45968</v>
      </c>
      <c r="N1094" s="30">
        <v>46019</v>
      </c>
      <c r="O1094" s="43" t="s">
        <v>24</v>
      </c>
      <c r="P1094" t="s">
        <v>1862</v>
      </c>
    </row>
    <row r="1095" spans="1:18" ht="15" customHeight="1">
      <c r="A1095" s="106" t="b">
        <v>1</v>
      </c>
      <c r="B1095" t="s">
        <v>203</v>
      </c>
      <c r="C1095" t="s">
        <v>182</v>
      </c>
      <c r="D1095" t="str">
        <f>_xlfn._xlws.FILTER(t_Contact[FA Name],t_Contact[FA]=t_fac25_requirements[[#This Row],[FA]],"")</f>
        <v>ICT</v>
      </c>
      <c r="E1095" t="s">
        <v>214</v>
      </c>
      <c r="F1095" t="s">
        <v>288</v>
      </c>
      <c r="G1095" t="s">
        <v>324</v>
      </c>
      <c r="H1095" t="s">
        <v>22</v>
      </c>
      <c r="I1095" t="s">
        <v>23</v>
      </c>
      <c r="J1095" s="28" t="s">
        <v>370</v>
      </c>
      <c r="K1095" s="32">
        <v>1</v>
      </c>
      <c r="L1095" s="32">
        <v>2</v>
      </c>
      <c r="M1095" s="30">
        <v>45968</v>
      </c>
      <c r="N1095" s="30">
        <v>46019</v>
      </c>
      <c r="O1095" s="43" t="s">
        <v>24</v>
      </c>
      <c r="P1095" t="s">
        <v>1862</v>
      </c>
    </row>
    <row r="1096" spans="1:18" ht="15" customHeight="1">
      <c r="A1096" s="106" t="b">
        <v>1</v>
      </c>
      <c r="B1096" t="s">
        <v>203</v>
      </c>
      <c r="C1096" t="s">
        <v>182</v>
      </c>
      <c r="D1096" t="str">
        <f>_xlfn._xlws.FILTER(t_Contact[FA Name],t_Contact[FA]=t_fac25_requirements[[#This Row],[FA]],"")</f>
        <v>ICT</v>
      </c>
      <c r="E1096" t="s">
        <v>213</v>
      </c>
      <c r="F1096" t="s">
        <v>288</v>
      </c>
      <c r="G1096" t="s">
        <v>324</v>
      </c>
      <c r="H1096" t="s">
        <v>22</v>
      </c>
      <c r="I1096" t="s">
        <v>23</v>
      </c>
      <c r="J1096" s="28" t="s">
        <v>370</v>
      </c>
      <c r="K1096" s="32">
        <v>1</v>
      </c>
      <c r="L1096" s="32">
        <v>2</v>
      </c>
      <c r="M1096" s="30">
        <v>45968</v>
      </c>
      <c r="N1096" s="30">
        <v>46019</v>
      </c>
      <c r="O1096" s="43" t="s">
        <v>24</v>
      </c>
      <c r="P1096" t="s">
        <v>1862</v>
      </c>
    </row>
    <row r="1097" spans="1:18" ht="15" customHeight="1">
      <c r="A1097" s="106" t="b">
        <v>1</v>
      </c>
      <c r="B1097" t="s">
        <v>203</v>
      </c>
      <c r="C1097" t="s">
        <v>182</v>
      </c>
      <c r="D1097" t="str">
        <f>_xlfn._xlws.FILTER(t_Contact[FA Name],t_Contact[FA]=t_fac25_requirements[[#This Row],[FA]],"")</f>
        <v>ICT</v>
      </c>
      <c r="E1097" t="s">
        <v>208</v>
      </c>
      <c r="F1097" t="s">
        <v>288</v>
      </c>
      <c r="G1097" t="s">
        <v>324</v>
      </c>
      <c r="H1097" t="s">
        <v>22</v>
      </c>
      <c r="I1097" t="s">
        <v>23</v>
      </c>
      <c r="J1097" s="28" t="s">
        <v>370</v>
      </c>
      <c r="K1097" s="32">
        <v>1</v>
      </c>
      <c r="L1097" s="32">
        <v>2</v>
      </c>
      <c r="M1097" s="30">
        <v>45968</v>
      </c>
      <c r="N1097" s="30">
        <v>46019</v>
      </c>
      <c r="O1097" s="43" t="s">
        <v>24</v>
      </c>
      <c r="P1097" t="s">
        <v>1862</v>
      </c>
    </row>
    <row r="1098" spans="1:18" ht="15" customHeight="1">
      <c r="A1098" s="106" t="b">
        <v>1</v>
      </c>
      <c r="B1098" t="s">
        <v>203</v>
      </c>
      <c r="C1098" t="s">
        <v>182</v>
      </c>
      <c r="D1098" t="str">
        <f>_xlfn._xlws.FILTER(t_Contact[FA Name],t_Contact[FA]=t_fac25_requirements[[#This Row],[FA]],"")</f>
        <v>ICT</v>
      </c>
      <c r="E1098" s="43">
        <v>974</v>
      </c>
      <c r="F1098" t="s">
        <v>288</v>
      </c>
      <c r="G1098" t="s">
        <v>324</v>
      </c>
      <c r="H1098" t="s">
        <v>22</v>
      </c>
      <c r="I1098" t="s">
        <v>23</v>
      </c>
      <c r="J1098" s="28" t="s">
        <v>370</v>
      </c>
      <c r="K1098" s="32">
        <v>1</v>
      </c>
      <c r="L1098" s="32">
        <v>2</v>
      </c>
      <c r="M1098" s="30">
        <v>45968</v>
      </c>
      <c r="N1098" s="30">
        <v>46019</v>
      </c>
      <c r="O1098" s="43" t="s">
        <v>24</v>
      </c>
      <c r="P1098" t="s">
        <v>1862</v>
      </c>
    </row>
    <row r="1099" spans="1:18" ht="15" customHeight="1">
      <c r="A1099" s="106" t="b">
        <v>1</v>
      </c>
      <c r="B1099" t="s">
        <v>203</v>
      </c>
      <c r="C1099" t="s">
        <v>182</v>
      </c>
      <c r="D1099" t="str">
        <f>_xlfn._xlws.FILTER(t_Contact[FA Name],t_Contact[FA]=t_fac25_requirements[[#This Row],[FA]],"")</f>
        <v>ICT</v>
      </c>
      <c r="E1099" t="s">
        <v>212</v>
      </c>
      <c r="F1099" t="s">
        <v>288</v>
      </c>
      <c r="G1099" t="s">
        <v>324</v>
      </c>
      <c r="H1099" t="s">
        <v>22</v>
      </c>
      <c r="I1099" t="s">
        <v>23</v>
      </c>
      <c r="J1099" s="28" t="s">
        <v>370</v>
      </c>
      <c r="K1099" s="32">
        <v>1</v>
      </c>
      <c r="L1099" s="32">
        <v>2</v>
      </c>
      <c r="M1099" s="30">
        <v>45968</v>
      </c>
      <c r="N1099" s="30">
        <v>46019</v>
      </c>
      <c r="O1099" s="43" t="s">
        <v>24</v>
      </c>
      <c r="P1099" t="s">
        <v>1862</v>
      </c>
    </row>
    <row r="1100" spans="1:18" ht="14.45">
      <c r="A1100" s="106" t="b">
        <v>1</v>
      </c>
      <c r="B1100" t="str" cm="1">
        <f t="array" ref="B1100">_xlfn.SINGLE(_xlfn._xlws.FILTER(t_ServiceCatalogue[Onwer],t_ServiceCatalogue[Category]=t_fac25_requirements[[#This Row],[Category]],""))</f>
        <v>EU</v>
      </c>
      <c r="C1100" t="s">
        <v>182</v>
      </c>
      <c r="D1100" t="str">
        <f>_xlfn._xlws.FILTER(t_Contact[FA Name],t_Contact[FA]=t_fac25_requirements[[#This Row],[FA]],"")</f>
        <v>ICT</v>
      </c>
      <c r="E1100" t="s">
        <v>208</v>
      </c>
      <c r="F1100" t="s">
        <v>288</v>
      </c>
      <c r="G1100" t="s">
        <v>324</v>
      </c>
      <c r="H1100" t="s">
        <v>22</v>
      </c>
      <c r="I1100" t="s">
        <v>23</v>
      </c>
      <c r="J1100" s="28" t="s">
        <v>370</v>
      </c>
      <c r="K1100" s="32"/>
      <c r="L1100" s="32">
        <v>1</v>
      </c>
      <c r="M1100" s="30">
        <v>45991</v>
      </c>
      <c r="N1100" s="30">
        <v>46010</v>
      </c>
      <c r="O1100" s="43" t="s">
        <v>24</v>
      </c>
      <c r="P1100" s="55" t="s">
        <v>1863</v>
      </c>
    </row>
    <row r="1101" spans="1:18" ht="14.45">
      <c r="A1101" s="106" t="b">
        <v>1</v>
      </c>
      <c r="B1101" t="s">
        <v>203</v>
      </c>
      <c r="C1101" t="s">
        <v>182</v>
      </c>
      <c r="D1101" t="str">
        <f>_xlfn._xlws.FILTER(t_Contact[FA Name],t_Contact[FA]=t_fac25_requirements[[#This Row],[FA]],"")</f>
        <v>ICT</v>
      </c>
      <c r="E1101" t="s">
        <v>214</v>
      </c>
      <c r="F1101" t="s">
        <v>288</v>
      </c>
      <c r="G1101" t="s">
        <v>324</v>
      </c>
      <c r="H1101" t="s">
        <v>22</v>
      </c>
      <c r="I1101" t="s">
        <v>23</v>
      </c>
      <c r="J1101" s="28" t="s">
        <v>370</v>
      </c>
      <c r="K1101" s="32"/>
      <c r="L1101" s="32">
        <v>1</v>
      </c>
      <c r="M1101" s="30">
        <v>45991</v>
      </c>
      <c r="N1101" s="30">
        <v>46010</v>
      </c>
      <c r="O1101" s="43" t="s">
        <v>24</v>
      </c>
      <c r="P1101" s="55" t="s">
        <v>1863</v>
      </c>
    </row>
    <row r="1102" spans="1:18" ht="14.45">
      <c r="A1102" s="106" t="b">
        <v>1</v>
      </c>
      <c r="B1102" t="s">
        <v>203</v>
      </c>
      <c r="C1102" t="s">
        <v>182</v>
      </c>
      <c r="D1102" t="str">
        <f>_xlfn._xlws.FILTER(t_Contact[FA Name],t_Contact[FA]=t_fac25_requirements[[#This Row],[FA]],"")</f>
        <v>ICT</v>
      </c>
      <c r="E1102" s="43">
        <v>974</v>
      </c>
      <c r="F1102" t="s">
        <v>288</v>
      </c>
      <c r="G1102" t="s">
        <v>324</v>
      </c>
      <c r="H1102" t="s">
        <v>22</v>
      </c>
      <c r="I1102" t="s">
        <v>23</v>
      </c>
      <c r="J1102" s="28" t="s">
        <v>370</v>
      </c>
      <c r="K1102" s="32"/>
      <c r="L1102" s="32">
        <v>1</v>
      </c>
      <c r="M1102" s="30">
        <v>45991</v>
      </c>
      <c r="N1102" s="30">
        <v>46010</v>
      </c>
      <c r="O1102" s="43" t="s">
        <v>24</v>
      </c>
      <c r="P1102" s="55" t="s">
        <v>1863</v>
      </c>
    </row>
    <row r="1103" spans="1:18" ht="14.45">
      <c r="A1103" s="106" t="b">
        <v>0</v>
      </c>
      <c r="B1103" t="s">
        <v>203</v>
      </c>
      <c r="C1103" t="s">
        <v>182</v>
      </c>
      <c r="D1103" t="str">
        <f>_xlfn._xlws.FILTER(t_Contact[FA Name],t_Contact[FA]=t_fac25_requirements[[#This Row],[FA]],"")</f>
        <v>ICT</v>
      </c>
      <c r="E1103" t="s">
        <v>212</v>
      </c>
      <c r="F1103" t="s">
        <v>288</v>
      </c>
      <c r="G1103" t="s">
        <v>324</v>
      </c>
      <c r="H1103" t="s">
        <v>22</v>
      </c>
      <c r="I1103" t="s">
        <v>23</v>
      </c>
      <c r="J1103" s="28" t="s">
        <v>370</v>
      </c>
      <c r="K1103" s="32"/>
      <c r="L1103" s="32">
        <v>1</v>
      </c>
      <c r="M1103" s="30">
        <v>45991</v>
      </c>
      <c r="N1103" s="30">
        <v>46010</v>
      </c>
      <c r="O1103" s="43" t="s">
        <v>24</v>
      </c>
      <c r="P1103" s="55" t="s">
        <v>1863</v>
      </c>
    </row>
    <row r="1104" spans="1:18" ht="14.45">
      <c r="A1104" s="106" t="b">
        <v>0</v>
      </c>
      <c r="B1104" t="str" cm="1">
        <f t="array" ref="B1104">_xlfn.SINGLE(_xlfn._xlws.FILTER(t_ServiceCatalogue[Onwer],t_ServiceCatalogue[Category]=t_fac25_requirements[[#This Row],[Category]],""))</f>
        <v>EU</v>
      </c>
      <c r="C1104" t="s">
        <v>182</v>
      </c>
      <c r="D1104" t="str">
        <f>_xlfn._xlws.FILTER(t_Contact[FA Name],t_Contact[FA]=t_fac25_requirements[[#This Row],[FA]],"")</f>
        <v>ICT</v>
      </c>
      <c r="E1104" t="s">
        <v>211</v>
      </c>
      <c r="F1104" t="s">
        <v>288</v>
      </c>
      <c r="G1104" t="s">
        <v>324</v>
      </c>
      <c r="H1104" t="s">
        <v>22</v>
      </c>
      <c r="I1104" t="s">
        <v>23</v>
      </c>
      <c r="J1104" s="28" t="s">
        <v>370</v>
      </c>
      <c r="K1104" s="32"/>
      <c r="L1104" s="32">
        <v>1</v>
      </c>
      <c r="M1104" s="30">
        <v>45991</v>
      </c>
      <c r="N1104" s="30">
        <v>46010</v>
      </c>
      <c r="O1104" s="43" t="s">
        <v>24</v>
      </c>
      <c r="P1104" s="55" t="s">
        <v>1863</v>
      </c>
    </row>
    <row r="1105" spans="1:16" ht="15" customHeight="1">
      <c r="A1105" s="106" t="b">
        <v>1</v>
      </c>
      <c r="B1105" t="str" cm="1">
        <f t="array" ref="B1105">_xlfn.SINGLE(_xlfn._xlws.FILTER(t_ServiceCatalogue[Onwer],t_ServiceCatalogue[Category]=t_fac25_requirements[[#This Row],[Category]],""))</f>
        <v>EU</v>
      </c>
      <c r="C1105" t="s">
        <v>193</v>
      </c>
      <c r="D1105" t="str">
        <f>_xlfn._xlws.FILTER(t_Contact[FA Name],t_Contact[FA]=t_fac25_requirements[[#This Row],[FA]],"")</f>
        <v>Guest Operations</v>
      </c>
      <c r="E1105" t="s">
        <v>19</v>
      </c>
      <c r="F1105" t="s">
        <v>226</v>
      </c>
      <c r="G1105" t="s">
        <v>231</v>
      </c>
      <c r="H1105" t="s">
        <v>22</v>
      </c>
      <c r="I1105" t="s">
        <v>28</v>
      </c>
      <c r="J1105" s="28" t="s">
        <v>370</v>
      </c>
      <c r="K1105" s="32"/>
      <c r="L1105" s="32">
        <v>1</v>
      </c>
      <c r="M1105" s="30">
        <v>45983</v>
      </c>
      <c r="N1105" s="30">
        <v>46011</v>
      </c>
      <c r="O1105" s="43"/>
      <c r="P1105" s="55"/>
    </row>
    <row r="1106" spans="1:16" ht="15" customHeight="1">
      <c r="A1106" s="106" t="b">
        <v>1</v>
      </c>
      <c r="B1106" t="str" cm="1">
        <f t="array" ref="B1106">_xlfn.SINGLE(_xlfn._xlws.FILTER(t_ServiceCatalogue[Onwer],t_ServiceCatalogue[Category]=t_fac25_requirements[[#This Row],[Category]],""))</f>
        <v>EU</v>
      </c>
      <c r="C1106" t="s">
        <v>193</v>
      </c>
      <c r="D1106" t="str">
        <f>_xlfn._xlws.FILTER(t_Contact[FA Name],t_Contact[FA]=t_fac25_requirements[[#This Row],[FA]],"")</f>
        <v>Guest Operations</v>
      </c>
      <c r="E1106" t="s">
        <v>19</v>
      </c>
      <c r="F1106" t="s">
        <v>226</v>
      </c>
      <c r="G1106" t="s">
        <v>231</v>
      </c>
      <c r="H1106" t="s">
        <v>32</v>
      </c>
      <c r="I1106" t="s">
        <v>94</v>
      </c>
      <c r="J1106" s="28" t="s">
        <v>370</v>
      </c>
      <c r="K1106" s="32"/>
      <c r="L1106" s="32">
        <v>12</v>
      </c>
      <c r="M1106" s="30">
        <v>45983</v>
      </c>
      <c r="N1106" s="30">
        <v>46011</v>
      </c>
      <c r="O1106" s="43"/>
      <c r="P1106" s="55"/>
    </row>
    <row r="1107" spans="1:16" ht="15" customHeight="1">
      <c r="A1107" s="106" t="b">
        <v>1</v>
      </c>
      <c r="B1107" t="str" cm="1">
        <f t="array" ref="B1107">_xlfn.SINGLE(_xlfn._xlws.FILTER(t_ServiceCatalogue[Onwer],t_ServiceCatalogue[Category]=t_fac25_requirements[[#This Row],[Category]],""))</f>
        <v>NW</v>
      </c>
      <c r="C1107" t="s">
        <v>193</v>
      </c>
      <c r="D1107" t="str">
        <f>_xlfn._xlws.FILTER(t_Contact[FA Name],t_Contact[FA]=t_fac25_requirements[[#This Row],[FA]],"")</f>
        <v>Guest Operations</v>
      </c>
      <c r="E1107" t="s">
        <v>19</v>
      </c>
      <c r="F1107" t="s">
        <v>226</v>
      </c>
      <c r="G1107" t="s">
        <v>232</v>
      </c>
      <c r="H1107" t="s">
        <v>52</v>
      </c>
      <c r="I1107" t="s">
        <v>53</v>
      </c>
      <c r="J1107" s="28" t="s">
        <v>370</v>
      </c>
      <c r="K1107" s="32"/>
      <c r="L1107" s="32">
        <v>1</v>
      </c>
      <c r="M1107" s="30">
        <v>45983</v>
      </c>
      <c r="N1107" s="30">
        <v>46011</v>
      </c>
      <c r="O1107" s="43"/>
      <c r="P1107" s="55" t="s">
        <v>1864</v>
      </c>
    </row>
    <row r="1108" spans="1:16" ht="15" customHeight="1">
      <c r="A1108" s="106" t="b">
        <v>1</v>
      </c>
      <c r="B1108" t="str" cm="1">
        <f t="array" ref="B1108">_xlfn.SINGLE(_xlfn._xlws.FILTER(t_ServiceCatalogue[Onwer],t_ServiceCatalogue[Category]=t_fac25_requirements[[#This Row],[Category]],""))</f>
        <v>NW</v>
      </c>
      <c r="C1108" t="s">
        <v>193</v>
      </c>
      <c r="D1108" t="str">
        <f>_xlfn._xlws.FILTER(t_Contact[FA Name],t_Contact[FA]=t_fac25_requirements[[#This Row],[FA]],"")</f>
        <v>Guest Operations</v>
      </c>
      <c r="E1108" t="s">
        <v>19</v>
      </c>
      <c r="F1108" t="s">
        <v>226</v>
      </c>
      <c r="G1108" t="s">
        <v>232</v>
      </c>
      <c r="H1108" t="s">
        <v>52</v>
      </c>
      <c r="I1108" t="s">
        <v>233</v>
      </c>
      <c r="J1108" s="28" t="s">
        <v>370</v>
      </c>
      <c r="K1108" s="32"/>
      <c r="L1108" s="32">
        <v>1</v>
      </c>
      <c r="M1108" s="30">
        <v>45983</v>
      </c>
      <c r="N1108" s="30">
        <v>46011</v>
      </c>
      <c r="O1108" s="43"/>
      <c r="P1108" s="55"/>
    </row>
    <row r="1109" spans="1:16" ht="15" customHeight="1">
      <c r="A1109" s="106" t="b">
        <v>1</v>
      </c>
      <c r="B1109" t="str" cm="1">
        <f t="array" ref="B1109">_xlfn.SINGLE(_xlfn._xlws.FILTER(t_ServiceCatalogue[Onwer],t_ServiceCatalogue[Category]=t_fac25_requirements[[#This Row],[Category]],""))</f>
        <v>EU</v>
      </c>
      <c r="C1109" t="s">
        <v>200</v>
      </c>
      <c r="D1109" t="str">
        <f>_xlfn._xlws.FILTER(t_Contact[FA Name],t_Contact[FA]=t_fac25_requirements[[#This Row],[FA]],"")</f>
        <v>FIFA Guest OPS</v>
      </c>
      <c r="E1109" t="s">
        <v>19</v>
      </c>
      <c r="F1109" t="s">
        <v>226</v>
      </c>
      <c r="G1109" t="s">
        <v>227</v>
      </c>
      <c r="H1109" t="s">
        <v>22</v>
      </c>
      <c r="I1109" t="s">
        <v>28</v>
      </c>
      <c r="J1109" s="28" t="s">
        <v>370</v>
      </c>
      <c r="K1109" s="32"/>
      <c r="L1109" s="32">
        <v>1</v>
      </c>
      <c r="M1109" s="30">
        <v>45996</v>
      </c>
      <c r="N1109" s="30">
        <v>46011</v>
      </c>
      <c r="O1109" s="43"/>
      <c r="P1109" s="55"/>
    </row>
    <row r="1110" spans="1:16" ht="15" customHeight="1">
      <c r="A1110" s="106" t="b">
        <v>1</v>
      </c>
      <c r="B1110" t="str" cm="1">
        <f t="array" ref="B1110">_xlfn.SINGLE(_xlfn._xlws.FILTER(t_ServiceCatalogue[Onwer],t_ServiceCatalogue[Category]=t_fac25_requirements[[#This Row],[Category]],""))</f>
        <v>Telco/SIM</v>
      </c>
      <c r="C1110" t="s">
        <v>200</v>
      </c>
      <c r="D1110" t="str">
        <f>_xlfn._xlws.FILTER(t_Contact[FA Name],t_Contact[FA]=t_fac25_requirements[[#This Row],[FA]],"")</f>
        <v>FIFA Guest OPS</v>
      </c>
      <c r="E1110" t="s">
        <v>19</v>
      </c>
      <c r="F1110" t="s">
        <v>226</v>
      </c>
      <c r="G1110" t="s">
        <v>227</v>
      </c>
      <c r="H1110" t="s">
        <v>84</v>
      </c>
      <c r="I1110" t="s">
        <v>228</v>
      </c>
      <c r="J1110" s="28" t="s">
        <v>370</v>
      </c>
      <c r="K1110" s="32"/>
      <c r="L1110" s="32">
        <v>30</v>
      </c>
      <c r="M1110" s="30">
        <v>45996</v>
      </c>
      <c r="N1110" s="30">
        <v>46011</v>
      </c>
      <c r="O1110" s="43"/>
      <c r="P1110" s="55" t="s">
        <v>1865</v>
      </c>
    </row>
    <row r="1111" spans="1:16" ht="15" customHeight="1">
      <c r="A1111" s="106" t="b">
        <v>1</v>
      </c>
      <c r="B1111" t="str" cm="1">
        <f t="array" ref="B1111">_xlfn.SINGLE(_xlfn._xlws.FILTER(t_ServiceCatalogue[Onwer],t_ServiceCatalogue[Category]=t_fac25_requirements[[#This Row],[Category]],""))</f>
        <v>EU</v>
      </c>
      <c r="C1111" t="s">
        <v>200</v>
      </c>
      <c r="D1111" t="str">
        <f>_xlfn._xlws.FILTER(t_Contact[FA Name],t_Contact[FA]=t_fac25_requirements[[#This Row],[FA]],"")</f>
        <v>FIFA Guest OPS</v>
      </c>
      <c r="E1111" t="s">
        <v>19</v>
      </c>
      <c r="F1111" t="s">
        <v>226</v>
      </c>
      <c r="G1111" t="s">
        <v>227</v>
      </c>
      <c r="H1111" t="s">
        <v>32</v>
      </c>
      <c r="I1111" t="s">
        <v>216</v>
      </c>
      <c r="J1111" s="28" t="s">
        <v>370</v>
      </c>
      <c r="K1111" s="32"/>
      <c r="L1111" s="32">
        <v>4</v>
      </c>
      <c r="M1111" s="30">
        <v>45996</v>
      </c>
      <c r="N1111" s="30">
        <v>46011</v>
      </c>
      <c r="O1111" s="43"/>
      <c r="P1111" s="55"/>
    </row>
    <row r="1112" spans="1:16" ht="15" customHeight="1">
      <c r="A1112" s="106" t="b">
        <v>1</v>
      </c>
      <c r="B1112" t="str" cm="1">
        <f t="array" ref="B1112">_xlfn.SINGLE(_xlfn._xlws.FILTER(t_ServiceCatalogue[Onwer],t_ServiceCatalogue[Category]=t_fac25_requirements[[#This Row],[Category]],""))</f>
        <v>EU</v>
      </c>
      <c r="C1112" t="s">
        <v>200</v>
      </c>
      <c r="D1112" t="str">
        <f>_xlfn._xlws.FILTER(t_Contact[FA Name],t_Contact[FA]=t_fac25_requirements[[#This Row],[FA]],"")</f>
        <v>FIFA Guest OPS</v>
      </c>
      <c r="E1112" t="s">
        <v>19</v>
      </c>
      <c r="F1112" t="s">
        <v>226</v>
      </c>
      <c r="G1112" t="s">
        <v>229</v>
      </c>
      <c r="H1112" t="s">
        <v>32</v>
      </c>
      <c r="I1112" t="s">
        <v>94</v>
      </c>
      <c r="J1112" s="28" t="s">
        <v>370</v>
      </c>
      <c r="K1112" s="32"/>
      <c r="L1112" s="32">
        <v>4</v>
      </c>
      <c r="M1112" s="30">
        <v>45996</v>
      </c>
      <c r="N1112" s="30">
        <v>46011</v>
      </c>
      <c r="O1112" s="43"/>
      <c r="P1112" s="55" t="s">
        <v>1866</v>
      </c>
    </row>
    <row r="1113" spans="1:16" ht="15" customHeight="1">
      <c r="A1113" s="106" t="b">
        <v>1</v>
      </c>
      <c r="B1113" t="str" cm="1">
        <f t="array" ref="B1113">_xlfn.SINGLE(_xlfn._xlws.FILTER(t_ServiceCatalogue[Onwer],t_ServiceCatalogue[Category]=t_fac25_requirements[[#This Row],[Category]],""))</f>
        <v>AV</v>
      </c>
      <c r="C1113" t="s">
        <v>200</v>
      </c>
      <c r="D1113" t="str">
        <f>_xlfn._xlws.FILTER(t_Contact[FA Name],t_Contact[FA]=t_fac25_requirements[[#This Row],[FA]],"")</f>
        <v>FIFA Guest OPS</v>
      </c>
      <c r="E1113" t="s">
        <v>19</v>
      </c>
      <c r="F1113" t="s">
        <v>226</v>
      </c>
      <c r="G1113" t="s">
        <v>230</v>
      </c>
      <c r="H1113" t="s">
        <v>110</v>
      </c>
      <c r="I1113" t="s">
        <v>111</v>
      </c>
      <c r="J1113" s="28" t="s">
        <v>370</v>
      </c>
      <c r="K1113" s="32"/>
      <c r="L1113" s="32">
        <v>2</v>
      </c>
      <c r="M1113" s="30">
        <v>45996</v>
      </c>
      <c r="N1113" s="30">
        <v>46011</v>
      </c>
      <c r="O1113" s="43"/>
      <c r="P1113" s="55"/>
    </row>
    <row r="1114" spans="1:16" ht="15" customHeight="1">
      <c r="A1114" s="106" t="b">
        <v>0</v>
      </c>
      <c r="B1114" s="150" t="str" cm="1">
        <f t="array" ref="B1114">_xlfn.SINGLE(_xlfn._xlws.FILTER(t_ServiceCatalogue[Onwer],t_ServiceCatalogue[Category]=t_fac25_requirements[[#This Row],[Category]],""))</f>
        <v>AV</v>
      </c>
      <c r="C1114" t="s">
        <v>201</v>
      </c>
      <c r="D1114" s="152" t="str">
        <f>_xlfn._xlws.FILTER(t_Contact[FA Name],t_Contact[FA]=t_fac25_requirements[[#This Row],[FA]],"")</f>
        <v>Referee</v>
      </c>
      <c r="E1114" s="150" t="s">
        <v>19</v>
      </c>
      <c r="F1114" t="s">
        <v>234</v>
      </c>
      <c r="G1114" t="s">
        <v>235</v>
      </c>
      <c r="H1114" t="s">
        <v>110</v>
      </c>
      <c r="I1114" t="s">
        <v>111</v>
      </c>
      <c r="J1114" s="151" t="s">
        <v>370</v>
      </c>
      <c r="K1114" s="32"/>
      <c r="L1114" s="32">
        <v>2</v>
      </c>
      <c r="M1114" s="30">
        <v>45983</v>
      </c>
      <c r="N1114" s="30">
        <v>46011</v>
      </c>
      <c r="O1114" s="43"/>
      <c r="P1114" s="55"/>
    </row>
    <row r="1115" spans="1:16" ht="15" customHeight="1">
      <c r="A1115" s="106" t="b">
        <v>0</v>
      </c>
      <c r="B1115" s="150" t="str" cm="1">
        <f t="array" ref="B1115">_xlfn.SINGLE(_xlfn._xlws.FILTER(t_ServiceCatalogue[Onwer],t_ServiceCatalogue[Category]=t_fac25_requirements[[#This Row],[Category]],""))</f>
        <v>NW</v>
      </c>
      <c r="C1115" t="s">
        <v>201</v>
      </c>
      <c r="D1115" s="152" t="str">
        <f>_xlfn._xlws.FILTER(t_Contact[FA Name],t_Contact[FA]=t_fac25_requirements[[#This Row],[FA]],"")</f>
        <v>Referee</v>
      </c>
      <c r="E1115" s="150" t="s">
        <v>19</v>
      </c>
      <c r="F1115" t="s">
        <v>234</v>
      </c>
      <c r="G1115" t="s">
        <v>235</v>
      </c>
      <c r="H1115" t="s">
        <v>52</v>
      </c>
      <c r="I1115" t="s">
        <v>236</v>
      </c>
      <c r="J1115" s="151" t="s">
        <v>370</v>
      </c>
      <c r="K1115" s="32"/>
      <c r="L1115" s="32">
        <v>1</v>
      </c>
      <c r="M1115" s="30">
        <v>45983</v>
      </c>
      <c r="N1115" s="30">
        <v>46011</v>
      </c>
      <c r="O1115" s="43"/>
      <c r="P1115" s="55"/>
    </row>
    <row r="1116" spans="1:16" ht="15" customHeight="1">
      <c r="A1116" s="106" t="b">
        <v>0</v>
      </c>
      <c r="B1116" s="150" t="str" cm="1">
        <f t="array" ref="B1116">_xlfn.SINGLE(_xlfn._xlws.FILTER(t_ServiceCatalogue[Onwer],t_ServiceCatalogue[Category]=t_fac25_requirements[[#This Row],[Category]],""))</f>
        <v>AV</v>
      </c>
      <c r="C1116" t="s">
        <v>201</v>
      </c>
      <c r="D1116" s="152" t="str">
        <f>_xlfn._xlws.FILTER(t_Contact[FA Name],t_Contact[FA]=t_fac25_requirements[[#This Row],[FA]],"")</f>
        <v>Referee</v>
      </c>
      <c r="E1116" s="150" t="s">
        <v>19</v>
      </c>
      <c r="F1116" t="s">
        <v>234</v>
      </c>
      <c r="G1116" t="s">
        <v>237</v>
      </c>
      <c r="H1116" t="s">
        <v>110</v>
      </c>
      <c r="I1116" t="s">
        <v>238</v>
      </c>
      <c r="J1116" s="151" t="s">
        <v>370</v>
      </c>
      <c r="K1116" s="32"/>
      <c r="L1116" s="32">
        <v>1</v>
      </c>
      <c r="M1116" s="30">
        <v>45984</v>
      </c>
      <c r="N1116" s="30">
        <v>46011</v>
      </c>
      <c r="O1116" s="43" t="s">
        <v>1867</v>
      </c>
      <c r="P1116" s="55" t="s">
        <v>1868</v>
      </c>
    </row>
    <row r="1117" spans="1:16" ht="15" customHeight="1">
      <c r="A1117" s="106" t="b">
        <v>0</v>
      </c>
      <c r="B1117" t="str" cm="1">
        <f t="array" ref="B1117">_xlfn.SINGLE(_xlfn._xlws.FILTER(t_ServiceCatalogue[Onwer],t_ServiceCatalogue[Category]=t_fac25_requirements[[#This Row],[Category]],""))</f>
        <v>NW</v>
      </c>
      <c r="C1117" t="s">
        <v>201</v>
      </c>
      <c r="D1117" s="152" t="str">
        <f>_xlfn._xlws.FILTER(t_Contact[FA Name],t_Contact[FA]=t_fac25_requirements[[#This Row],[FA]],"")</f>
        <v>Referee</v>
      </c>
      <c r="E1117" s="150" t="s">
        <v>19</v>
      </c>
      <c r="F1117" t="s">
        <v>234</v>
      </c>
      <c r="G1117" t="s">
        <v>237</v>
      </c>
      <c r="H1117" t="s">
        <v>1869</v>
      </c>
      <c r="I1117" t="s">
        <v>236</v>
      </c>
      <c r="J1117" s="151" t="s">
        <v>370</v>
      </c>
      <c r="K1117" s="32"/>
      <c r="L1117" s="32">
        <v>1</v>
      </c>
      <c r="M1117" s="30">
        <v>45984</v>
      </c>
      <c r="N1117" s="30">
        <v>46011</v>
      </c>
      <c r="O1117" s="43"/>
      <c r="P1117" s="55"/>
    </row>
    <row r="1118" spans="1:16" ht="15" customHeight="1">
      <c r="A1118" s="106" t="b">
        <v>0</v>
      </c>
      <c r="B1118" t="str" cm="1">
        <f t="array" ref="B1118">_xlfn.SINGLE(_xlfn._xlws.FILTER(t_ServiceCatalogue[Onwer],t_ServiceCatalogue[Category]=t_fac25_requirements[[#This Row],[Category]],""))</f>
        <v>AV</v>
      </c>
      <c r="C1118" t="s">
        <v>201</v>
      </c>
      <c r="D1118" s="152" t="str">
        <f>_xlfn._xlws.FILTER(t_Contact[FA Name],t_Contact[FA]=t_fac25_requirements[[#This Row],[FA]],"")</f>
        <v>Referee</v>
      </c>
      <c r="E1118" s="150" t="s">
        <v>19</v>
      </c>
      <c r="F1118" t="s">
        <v>234</v>
      </c>
      <c r="G1118" t="s">
        <v>239</v>
      </c>
      <c r="H1118" t="s">
        <v>58</v>
      </c>
      <c r="I1118" t="s">
        <v>59</v>
      </c>
      <c r="J1118" s="151" t="s">
        <v>370</v>
      </c>
      <c r="K1118" s="32"/>
      <c r="L1118" s="32">
        <v>1</v>
      </c>
      <c r="M1118" s="30">
        <v>45984</v>
      </c>
      <c r="N1118" s="30">
        <v>46011</v>
      </c>
      <c r="O1118" s="43" t="s">
        <v>1867</v>
      </c>
      <c r="P1118" s="55"/>
    </row>
    <row r="1119" spans="1:16" ht="15" customHeight="1">
      <c r="A1119" s="106" t="b">
        <v>0</v>
      </c>
      <c r="B1119" t="str" cm="1">
        <f t="array" ref="B1119">_xlfn.SINGLE(_xlfn._xlws.FILTER(t_ServiceCatalogue[Onwer],t_ServiceCatalogue[Category]=t_fac25_requirements[[#This Row],[Category]],""))</f>
        <v>NW</v>
      </c>
      <c r="C1119" t="s">
        <v>201</v>
      </c>
      <c r="D1119" s="152" t="str">
        <f>_xlfn._xlws.FILTER(t_Contact[FA Name],t_Contact[FA]=t_fac25_requirements[[#This Row],[FA]],"")</f>
        <v>Referee</v>
      </c>
      <c r="E1119" s="150" t="s">
        <v>19</v>
      </c>
      <c r="F1119" t="s">
        <v>234</v>
      </c>
      <c r="G1119" t="s">
        <v>239</v>
      </c>
      <c r="H1119" t="s">
        <v>46</v>
      </c>
      <c r="I1119" t="s">
        <v>47</v>
      </c>
      <c r="J1119" s="151" t="s">
        <v>370</v>
      </c>
      <c r="K1119" s="32"/>
      <c r="L1119" s="32">
        <v>2</v>
      </c>
      <c r="M1119" s="30">
        <v>45984</v>
      </c>
      <c r="N1119" s="30">
        <v>46011</v>
      </c>
      <c r="O1119" s="43" t="s">
        <v>1870</v>
      </c>
      <c r="P1119" s="55"/>
    </row>
    <row r="1120" spans="1:16" ht="15" customHeight="1">
      <c r="A1120" s="106" t="b">
        <v>0</v>
      </c>
      <c r="B1120" t="str" cm="1">
        <f t="array" ref="B1120">_xlfn.SINGLE(_xlfn._xlws.FILTER(t_ServiceCatalogue[Onwer],t_ServiceCatalogue[Category]=t_fac25_requirements[[#This Row],[Category]],""))</f>
        <v>AV</v>
      </c>
      <c r="C1120" t="s">
        <v>201</v>
      </c>
      <c r="D1120" s="152" t="str">
        <f>_xlfn._xlws.FILTER(t_Contact[FA Name],t_Contact[FA]=t_fac25_requirements[[#This Row],[FA]],"")</f>
        <v>Referee</v>
      </c>
      <c r="E1120" s="150" t="s">
        <v>19</v>
      </c>
      <c r="F1120" t="s">
        <v>234</v>
      </c>
      <c r="G1120" t="s">
        <v>239</v>
      </c>
      <c r="H1120" t="s">
        <v>110</v>
      </c>
      <c r="I1120" t="s">
        <v>238</v>
      </c>
      <c r="J1120" s="151" t="s">
        <v>370</v>
      </c>
      <c r="K1120" s="32"/>
      <c r="L1120" s="32">
        <v>1</v>
      </c>
      <c r="M1120" s="30">
        <v>45984</v>
      </c>
      <c r="N1120" s="30">
        <v>46011</v>
      </c>
      <c r="O1120" s="43"/>
      <c r="P1120" s="55"/>
    </row>
    <row r="1121" spans="1:16" ht="15" customHeight="1">
      <c r="A1121" s="106" t="b">
        <v>0</v>
      </c>
      <c r="B1121" t="str" cm="1">
        <f t="array" ref="B1121">_xlfn.SINGLE(_xlfn._xlws.FILTER(t_ServiceCatalogue[Onwer],t_ServiceCatalogue[Category]=t_fac25_requirements[[#This Row],[Category]],""))</f>
        <v>AV</v>
      </c>
      <c r="C1121" t="s">
        <v>201</v>
      </c>
      <c r="D1121" s="152" t="str">
        <f>_xlfn._xlws.FILTER(t_Contact[FA Name],t_Contact[FA]=t_fac25_requirements[[#This Row],[FA]],"")</f>
        <v>Referee</v>
      </c>
      <c r="E1121" s="150" t="s">
        <v>19</v>
      </c>
      <c r="F1121" t="s">
        <v>234</v>
      </c>
      <c r="G1121" t="s">
        <v>239</v>
      </c>
      <c r="H1121" t="s">
        <v>110</v>
      </c>
      <c r="I1121" t="s">
        <v>240</v>
      </c>
      <c r="J1121" s="151" t="s">
        <v>370</v>
      </c>
      <c r="K1121" s="32"/>
      <c r="L1121" s="32">
        <v>1</v>
      </c>
      <c r="M1121" s="30">
        <v>45984</v>
      </c>
      <c r="N1121" s="30">
        <v>46011</v>
      </c>
      <c r="O1121" s="43"/>
      <c r="P1121" s="55" t="s">
        <v>1871</v>
      </c>
    </row>
    <row r="1122" spans="1:16" ht="15" customHeight="1">
      <c r="A1122" s="106" t="b">
        <v>0</v>
      </c>
      <c r="B1122" t="str" cm="1">
        <f t="array" ref="B1122">_xlfn.SINGLE(_xlfn._xlws.FILTER(t_ServiceCatalogue[Onwer],t_ServiceCatalogue[Category]=t_fac25_requirements[[#This Row],[Category]],""))</f>
        <v>NW</v>
      </c>
      <c r="C1122" t="s">
        <v>201</v>
      </c>
      <c r="D1122" s="152" t="str">
        <f>_xlfn._xlws.FILTER(t_Contact[FA Name],t_Contact[FA]=t_fac25_requirements[[#This Row],[FA]],"")</f>
        <v>Referee</v>
      </c>
      <c r="E1122" s="150" t="s">
        <v>19</v>
      </c>
      <c r="F1122" t="s">
        <v>234</v>
      </c>
      <c r="G1122" t="s">
        <v>239</v>
      </c>
      <c r="H1122" t="s">
        <v>52</v>
      </c>
      <c r="I1122" t="s">
        <v>236</v>
      </c>
      <c r="J1122" s="151" t="s">
        <v>370</v>
      </c>
      <c r="K1122" s="32"/>
      <c r="L1122" s="32">
        <v>1</v>
      </c>
      <c r="M1122" s="30">
        <v>45984</v>
      </c>
      <c r="N1122" s="30">
        <v>46011</v>
      </c>
      <c r="O1122" s="43"/>
      <c r="P1122" s="55"/>
    </row>
    <row r="1123" spans="1:16" ht="15" customHeight="1">
      <c r="A1123" s="106" t="b">
        <v>1</v>
      </c>
      <c r="B1123" t="str" cm="1">
        <f t="array" ref="B1123">_xlfn.SINGLE(_xlfn._xlws.FILTER(t_ServiceCatalogue[Onwer],t_ServiceCatalogue[Category]=t_fac25_requirements[[#This Row],[Category]],""))</f>
        <v>EU</v>
      </c>
      <c r="C1123" t="s">
        <v>201</v>
      </c>
      <c r="D1123" s="152" t="str">
        <f>_xlfn._xlws.FILTER(t_Contact[FA Name],t_Contact[FA]=t_fac25_requirements[[#This Row],[FA]],"")</f>
        <v>Referee</v>
      </c>
      <c r="E1123" s="150" t="s">
        <v>19</v>
      </c>
      <c r="F1123" t="s">
        <v>234</v>
      </c>
      <c r="G1123" t="s">
        <v>241</v>
      </c>
      <c r="H1123" t="s">
        <v>22</v>
      </c>
      <c r="I1123" t="s">
        <v>23</v>
      </c>
      <c r="J1123" s="151" t="s">
        <v>370</v>
      </c>
      <c r="K1123" s="32"/>
      <c r="L1123" s="32">
        <v>1</v>
      </c>
      <c r="M1123" s="30">
        <v>45984</v>
      </c>
      <c r="N1123" s="30">
        <v>46011</v>
      </c>
      <c r="O1123" s="43" t="s">
        <v>1867</v>
      </c>
      <c r="P1123" s="55" t="s">
        <v>1872</v>
      </c>
    </row>
    <row r="1124" spans="1:16" ht="15" customHeight="1">
      <c r="A1124" s="106" t="b">
        <v>1</v>
      </c>
      <c r="B1124" t="str" cm="1">
        <f t="array" ref="B1124">_xlfn.SINGLE(_xlfn._xlws.FILTER(t_ServiceCatalogue[Onwer],t_ServiceCatalogue[Category]=t_fac25_requirements[[#This Row],[Category]],""))</f>
        <v>EU</v>
      </c>
      <c r="C1124" t="s">
        <v>201</v>
      </c>
      <c r="D1124" s="152" t="str">
        <f>_xlfn._xlws.FILTER(t_Contact[FA Name],t_Contact[FA]=t_fac25_requirements[[#This Row],[FA]],"")</f>
        <v>Referee</v>
      </c>
      <c r="E1124" s="150" t="s">
        <v>19</v>
      </c>
      <c r="F1124" t="s">
        <v>234</v>
      </c>
      <c r="G1124" t="s">
        <v>241</v>
      </c>
      <c r="H1124" t="s">
        <v>32</v>
      </c>
      <c r="I1124" t="s">
        <v>216</v>
      </c>
      <c r="J1124" s="151" t="s">
        <v>370</v>
      </c>
      <c r="K1124" s="32"/>
      <c r="L1124" s="32">
        <v>4</v>
      </c>
      <c r="M1124" s="30">
        <v>45984</v>
      </c>
      <c r="N1124" s="30">
        <v>46011</v>
      </c>
      <c r="O1124" s="43"/>
      <c r="P1124" s="55"/>
    </row>
    <row r="1125" spans="1:16" ht="15" customHeight="1">
      <c r="A1125" s="106" t="b">
        <v>0</v>
      </c>
      <c r="B1125" t="str" cm="1">
        <f t="array" ref="B1125">_xlfn.SINGLE(_xlfn._xlws.FILTER(t_ServiceCatalogue[Onwer],t_ServiceCatalogue[Category]=t_fac25_requirements[[#This Row],[Category]],""))</f>
        <v>AV</v>
      </c>
      <c r="C1125" t="s">
        <v>201</v>
      </c>
      <c r="D1125" s="152" t="str">
        <f>_xlfn._xlws.FILTER(t_Contact[FA Name],t_Contact[FA]=t_fac25_requirements[[#This Row],[FA]],"")</f>
        <v>Referee</v>
      </c>
      <c r="E1125" s="150" t="s">
        <v>19</v>
      </c>
      <c r="F1125" t="s">
        <v>234</v>
      </c>
      <c r="G1125" t="s">
        <v>241</v>
      </c>
      <c r="H1125" t="s">
        <v>58</v>
      </c>
      <c r="I1125" t="s">
        <v>59</v>
      </c>
      <c r="J1125" s="151" t="s">
        <v>370</v>
      </c>
      <c r="K1125" s="32"/>
      <c r="L1125" s="32">
        <v>4</v>
      </c>
      <c r="M1125" s="30">
        <v>45984</v>
      </c>
      <c r="N1125" s="30">
        <v>46011</v>
      </c>
      <c r="O1125" s="43"/>
      <c r="P1125" s="55" t="s">
        <v>1873</v>
      </c>
    </row>
    <row r="1126" spans="1:16" ht="15" customHeight="1">
      <c r="A1126" s="106" t="b">
        <v>0</v>
      </c>
      <c r="B1126" t="str" cm="1">
        <f t="array" ref="B1126">_xlfn.SINGLE(_xlfn._xlws.FILTER(t_ServiceCatalogue[Onwer],t_ServiceCatalogue[Category]=t_fac25_requirements[[#This Row],[Category]],""))</f>
        <v>NW</v>
      </c>
      <c r="C1126" t="s">
        <v>201</v>
      </c>
      <c r="D1126" s="152" t="str">
        <f>_xlfn._xlws.FILTER(t_Contact[FA Name],t_Contact[FA]=t_fac25_requirements[[#This Row],[FA]],"")</f>
        <v>Referee</v>
      </c>
      <c r="E1126" s="150" t="s">
        <v>19</v>
      </c>
      <c r="F1126" t="s">
        <v>234</v>
      </c>
      <c r="G1126" t="s">
        <v>241</v>
      </c>
      <c r="H1126" t="s">
        <v>46</v>
      </c>
      <c r="I1126" t="s">
        <v>242</v>
      </c>
      <c r="J1126" s="151" t="s">
        <v>370</v>
      </c>
      <c r="K1126" s="32"/>
      <c r="L1126" s="32">
        <v>1</v>
      </c>
      <c r="M1126" s="30">
        <v>45984</v>
      </c>
      <c r="N1126" s="30">
        <v>46011</v>
      </c>
      <c r="O1126" s="43" t="s">
        <v>1874</v>
      </c>
      <c r="P1126" s="55"/>
    </row>
    <row r="1127" spans="1:16" ht="15" customHeight="1">
      <c r="A1127" s="106" t="b">
        <v>1</v>
      </c>
      <c r="B1127" t="str" cm="1">
        <f t="array" ref="B1127">_xlfn.SINGLE(_xlfn._xlws.FILTER(t_ServiceCatalogue[Onwer],t_ServiceCatalogue[Category]=t_fac25_requirements[[#This Row],[Category]],""))</f>
        <v>EU</v>
      </c>
      <c r="C1127" t="s">
        <v>201</v>
      </c>
      <c r="D1127" s="152" t="str">
        <f>_xlfn._xlws.FILTER(t_Contact[FA Name],t_Contact[FA]=t_fac25_requirements[[#This Row],[FA]],"")</f>
        <v>Referee</v>
      </c>
      <c r="E1127" s="150" t="s">
        <v>19</v>
      </c>
      <c r="F1127" t="s">
        <v>234</v>
      </c>
      <c r="G1127" t="s">
        <v>241</v>
      </c>
      <c r="H1127" t="s">
        <v>32</v>
      </c>
      <c r="I1127" t="s">
        <v>94</v>
      </c>
      <c r="J1127" s="151" t="s">
        <v>370</v>
      </c>
      <c r="K1127" s="32"/>
      <c r="L1127" s="32">
        <v>2</v>
      </c>
      <c r="M1127" s="30">
        <v>45984</v>
      </c>
      <c r="N1127" s="30">
        <v>46011</v>
      </c>
      <c r="O1127" s="43"/>
      <c r="P1127" s="55"/>
    </row>
    <row r="1128" spans="1:16" ht="15" customHeight="1">
      <c r="A1128" s="106" t="b">
        <v>0</v>
      </c>
      <c r="B1128" t="str" cm="1">
        <f t="array" ref="B1128">_xlfn.SINGLE(_xlfn._xlws.FILTER(t_ServiceCatalogue[Onwer],t_ServiceCatalogue[Category]=t_fac25_requirements[[#This Row],[Category]],""))</f>
        <v>NW</v>
      </c>
      <c r="C1128" t="s">
        <v>201</v>
      </c>
      <c r="D1128" s="152" t="str">
        <f>_xlfn._xlws.FILTER(t_Contact[FA Name],t_Contact[FA]=t_fac25_requirements[[#This Row],[FA]],"")</f>
        <v>Referee</v>
      </c>
      <c r="E1128" s="150" t="s">
        <v>19</v>
      </c>
      <c r="F1128" t="s">
        <v>234</v>
      </c>
      <c r="G1128" t="s">
        <v>241</v>
      </c>
      <c r="H1128" t="s">
        <v>52</v>
      </c>
      <c r="I1128" t="s">
        <v>236</v>
      </c>
      <c r="J1128" s="151" t="s">
        <v>370</v>
      </c>
      <c r="K1128" s="32"/>
      <c r="L1128" s="32">
        <v>1</v>
      </c>
      <c r="M1128" s="30">
        <v>45984</v>
      </c>
      <c r="N1128" s="30">
        <v>46011</v>
      </c>
      <c r="O1128" s="43"/>
      <c r="P1128" s="55"/>
    </row>
    <row r="1129" spans="1:16" ht="15" customHeight="1">
      <c r="A1129" s="106" t="b">
        <v>1</v>
      </c>
      <c r="B1129" t="str" cm="1">
        <f t="array" ref="B1129">_xlfn.SINGLE(_xlfn._xlws.FILTER(t_ServiceCatalogue[Onwer],t_ServiceCatalogue[Category]=t_fac25_requirements[[#This Row],[Category]],""))</f>
        <v>EU</v>
      </c>
      <c r="C1129" t="s">
        <v>201</v>
      </c>
      <c r="D1129" s="152" t="str">
        <f>_xlfn._xlws.FILTER(t_Contact[FA Name],t_Contact[FA]=t_fac25_requirements[[#This Row],[FA]],"")</f>
        <v>Referee</v>
      </c>
      <c r="E1129" s="150" t="s">
        <v>19</v>
      </c>
      <c r="F1129" t="s">
        <v>234</v>
      </c>
      <c r="G1129" t="s">
        <v>243</v>
      </c>
      <c r="H1129" t="s">
        <v>22</v>
      </c>
      <c r="I1129" t="s">
        <v>23</v>
      </c>
      <c r="J1129" s="151" t="s">
        <v>370</v>
      </c>
      <c r="K1129" s="32"/>
      <c r="L1129" s="32">
        <v>1</v>
      </c>
      <c r="M1129" s="30">
        <v>45984</v>
      </c>
      <c r="N1129" s="30">
        <v>46011</v>
      </c>
      <c r="O1129" s="43" t="s">
        <v>1867</v>
      </c>
      <c r="P1129" s="55" t="s">
        <v>1875</v>
      </c>
    </row>
    <row r="1130" spans="1:16" ht="15" customHeight="1">
      <c r="A1130" s="106" t="b">
        <v>0</v>
      </c>
      <c r="B1130" t="str" cm="1">
        <f t="array" ref="B1130">_xlfn.SINGLE(_xlfn._xlws.FILTER(t_ServiceCatalogue[Onwer],t_ServiceCatalogue[Category]=t_fac25_requirements[[#This Row],[Category]],""))</f>
        <v>AV</v>
      </c>
      <c r="C1130" t="s">
        <v>201</v>
      </c>
      <c r="D1130" s="152" t="str">
        <f>_xlfn._xlws.FILTER(t_Contact[FA Name],t_Contact[FA]=t_fac25_requirements[[#This Row],[FA]],"")</f>
        <v>Referee</v>
      </c>
      <c r="E1130" s="150" t="s">
        <v>19</v>
      </c>
      <c r="F1130" t="s">
        <v>234</v>
      </c>
      <c r="G1130" t="s">
        <v>243</v>
      </c>
      <c r="H1130" t="s">
        <v>110</v>
      </c>
      <c r="I1130" t="s">
        <v>238</v>
      </c>
      <c r="J1130" s="151" t="s">
        <v>370</v>
      </c>
      <c r="K1130" s="32"/>
      <c r="L1130" s="32">
        <v>1</v>
      </c>
      <c r="M1130" s="30">
        <v>45984</v>
      </c>
      <c r="N1130" s="30">
        <v>46011</v>
      </c>
      <c r="O1130" s="43" t="s">
        <v>1876</v>
      </c>
      <c r="P1130" s="55" t="s">
        <v>1877</v>
      </c>
    </row>
    <row r="1131" spans="1:16" ht="15" customHeight="1">
      <c r="A1131" s="106" t="b">
        <v>1</v>
      </c>
      <c r="B1131" t="str" cm="1">
        <f t="array" ref="B1131">_xlfn.SINGLE(_xlfn._xlws.FILTER(t_ServiceCatalogue[Onwer],t_ServiceCatalogue[Category]=t_fac25_requirements[[#This Row],[Category]],""))</f>
        <v>EU</v>
      </c>
      <c r="C1131" t="s">
        <v>201</v>
      </c>
      <c r="D1131" s="152" t="str">
        <f>_xlfn._xlws.FILTER(t_Contact[FA Name],t_Contact[FA]=t_fac25_requirements[[#This Row],[FA]],"")</f>
        <v>Referee</v>
      </c>
      <c r="E1131" s="150" t="s">
        <v>19</v>
      </c>
      <c r="F1131" t="s">
        <v>234</v>
      </c>
      <c r="G1131" t="s">
        <v>243</v>
      </c>
      <c r="H1131" t="s">
        <v>32</v>
      </c>
      <c r="I1131" t="s">
        <v>94</v>
      </c>
      <c r="J1131" s="151" t="s">
        <v>370</v>
      </c>
      <c r="K1131" s="32"/>
      <c r="L1131" s="32">
        <v>3</v>
      </c>
      <c r="M1131" s="30">
        <v>45984</v>
      </c>
      <c r="N1131" s="30">
        <v>46011</v>
      </c>
      <c r="O1131" s="43"/>
      <c r="P1131" s="55"/>
    </row>
    <row r="1132" spans="1:16" ht="15" customHeight="1">
      <c r="A1132" s="106" t="b">
        <v>0</v>
      </c>
      <c r="B1132" t="str" cm="1">
        <f t="array" ref="B1132">_xlfn.SINGLE(_xlfn._xlws.FILTER(t_ServiceCatalogue[Onwer],t_ServiceCatalogue[Category]=t_fac25_requirements[[#This Row],[Category]],""))</f>
        <v>NW</v>
      </c>
      <c r="C1132" t="s">
        <v>201</v>
      </c>
      <c r="D1132" s="152" t="str">
        <f>_xlfn._xlws.FILTER(t_Contact[FA Name],t_Contact[FA]=t_fac25_requirements[[#This Row],[FA]],"")</f>
        <v>Referee</v>
      </c>
      <c r="E1132" s="150" t="s">
        <v>19</v>
      </c>
      <c r="F1132" t="s">
        <v>234</v>
      </c>
      <c r="G1132" t="s">
        <v>243</v>
      </c>
      <c r="H1132" t="s">
        <v>52</v>
      </c>
      <c r="I1132" t="s">
        <v>236</v>
      </c>
      <c r="J1132" s="151" t="s">
        <v>370</v>
      </c>
      <c r="K1132" s="32"/>
      <c r="L1132" s="32">
        <v>1</v>
      </c>
      <c r="M1132" s="30">
        <v>45984</v>
      </c>
      <c r="N1132" s="30">
        <v>46011</v>
      </c>
      <c r="O1132" s="43"/>
      <c r="P1132" s="55"/>
    </row>
    <row r="1133" spans="1:16" ht="15" customHeight="1">
      <c r="A1133" s="106" t="b">
        <v>0</v>
      </c>
      <c r="B1133" t="str" cm="1">
        <f t="array" ref="B1133">_xlfn.SINGLE(_xlfn._xlws.FILTER(t_ServiceCatalogue[Onwer],t_ServiceCatalogue[Category]=t_fac25_requirements[[#This Row],[Category]],""))</f>
        <v>AV</v>
      </c>
      <c r="C1133" t="s">
        <v>201</v>
      </c>
      <c r="D1133" s="152" t="str">
        <f>_xlfn._xlws.FILTER(t_Contact[FA Name],t_Contact[FA]=t_fac25_requirements[[#This Row],[FA]],"")</f>
        <v>Referee</v>
      </c>
      <c r="E1133" s="150" t="s">
        <v>19</v>
      </c>
      <c r="F1133" t="s">
        <v>234</v>
      </c>
      <c r="G1133" t="s">
        <v>244</v>
      </c>
      <c r="H1133" t="s">
        <v>58</v>
      </c>
      <c r="I1133" t="s">
        <v>59</v>
      </c>
      <c r="J1133" s="151" t="s">
        <v>370</v>
      </c>
      <c r="K1133" s="32"/>
      <c r="L1133" s="32">
        <v>1</v>
      </c>
      <c r="M1133" s="30">
        <v>45984</v>
      </c>
      <c r="N1133" s="30">
        <v>46011</v>
      </c>
      <c r="O1133" s="43" t="s">
        <v>1867</v>
      </c>
      <c r="P1133" s="55"/>
    </row>
    <row r="1134" spans="1:16" ht="15" customHeight="1">
      <c r="A1134" s="106" t="b">
        <v>1</v>
      </c>
      <c r="B1134" t="str" cm="1">
        <f t="array" ref="B1134">_xlfn.SINGLE(_xlfn._xlws.FILTER(t_ServiceCatalogue[Onwer],t_ServiceCatalogue[Category]=t_fac25_requirements[[#This Row],[Category]],""))</f>
        <v>EU</v>
      </c>
      <c r="C1134" t="s">
        <v>201</v>
      </c>
      <c r="D1134" s="152" t="str">
        <f>_xlfn._xlws.FILTER(t_Contact[FA Name],t_Contact[FA]=t_fac25_requirements[[#This Row],[FA]],"")</f>
        <v>Referee</v>
      </c>
      <c r="E1134" s="150" t="s">
        <v>19</v>
      </c>
      <c r="F1134" t="s">
        <v>234</v>
      </c>
      <c r="G1134" t="s">
        <v>244</v>
      </c>
      <c r="H1134" t="s">
        <v>32</v>
      </c>
      <c r="I1134" t="s">
        <v>94</v>
      </c>
      <c r="J1134" s="151" t="s">
        <v>370</v>
      </c>
      <c r="K1134" s="32"/>
      <c r="L1134" s="32">
        <v>2</v>
      </c>
      <c r="M1134" s="30">
        <v>45984</v>
      </c>
      <c r="N1134" s="30">
        <v>46011</v>
      </c>
      <c r="O1134" s="43"/>
      <c r="P1134" s="55"/>
    </row>
    <row r="1135" spans="1:16" ht="15" customHeight="1">
      <c r="A1135" s="106" t="b">
        <v>0</v>
      </c>
      <c r="B1135" t="str" cm="1">
        <f t="array" ref="B1135">_xlfn.SINGLE(_xlfn._xlws.FILTER(t_ServiceCatalogue[Onwer],t_ServiceCatalogue[Category]=t_fac25_requirements[[#This Row],[Category]],""))</f>
        <v>NW</v>
      </c>
      <c r="C1135" t="s">
        <v>201</v>
      </c>
      <c r="D1135" s="152" t="str">
        <f>_xlfn._xlws.FILTER(t_Contact[FA Name],t_Contact[FA]=t_fac25_requirements[[#This Row],[FA]],"")</f>
        <v>Referee</v>
      </c>
      <c r="E1135" s="150" t="s">
        <v>19</v>
      </c>
      <c r="F1135" t="s">
        <v>234</v>
      </c>
      <c r="G1135" t="s">
        <v>244</v>
      </c>
      <c r="H1135" t="s">
        <v>52</v>
      </c>
      <c r="I1135" t="s">
        <v>236</v>
      </c>
      <c r="J1135" s="151" t="s">
        <v>370</v>
      </c>
      <c r="K1135" s="32"/>
      <c r="L1135" s="32">
        <v>1</v>
      </c>
      <c r="M1135" s="30">
        <v>45984</v>
      </c>
      <c r="N1135" s="30">
        <v>46011</v>
      </c>
      <c r="O1135" s="43"/>
      <c r="P1135" s="55"/>
    </row>
    <row r="1136" spans="1:16" ht="15" customHeight="1">
      <c r="A1136" s="106" t="b">
        <v>1</v>
      </c>
      <c r="B1136" t="str" cm="1">
        <f t="array" ref="B1136">_xlfn.SINGLE(_xlfn._xlws.FILTER(t_ServiceCatalogue[Onwer],t_ServiceCatalogue[Category]=t_fac25_requirements[[#This Row],[Category]],""))</f>
        <v>EU</v>
      </c>
      <c r="C1136" t="s">
        <v>201</v>
      </c>
      <c r="D1136" s="152" t="str">
        <f>_xlfn._xlws.FILTER(t_Contact[FA Name],t_Contact[FA]=t_fac25_requirements[[#This Row],[FA]],"")</f>
        <v>Referee</v>
      </c>
      <c r="E1136" s="150" t="s">
        <v>19</v>
      </c>
      <c r="F1136" t="s">
        <v>234</v>
      </c>
      <c r="G1136" t="s">
        <v>244</v>
      </c>
      <c r="H1136" t="s">
        <v>22</v>
      </c>
      <c r="I1136" t="s">
        <v>28</v>
      </c>
      <c r="J1136" s="151" t="s">
        <v>370</v>
      </c>
      <c r="K1136" s="32"/>
      <c r="L1136" s="32">
        <v>1</v>
      </c>
      <c r="M1136" s="30">
        <v>45984</v>
      </c>
      <c r="N1136" s="30">
        <v>46011</v>
      </c>
      <c r="O1136" s="43"/>
      <c r="P1136" s="55"/>
    </row>
    <row r="1137" spans="1:17" ht="15" customHeight="1">
      <c r="A1137" s="106" t="b">
        <v>0</v>
      </c>
      <c r="B1137" t="str" cm="1">
        <f t="array" ref="B1137">_xlfn.SINGLE(_xlfn._xlws.FILTER(t_ServiceCatalogue[Onwer],t_ServiceCatalogue[Category]=t_fac25_requirements[[#This Row],[Category]],""))</f>
        <v>AV</v>
      </c>
      <c r="C1137" t="s">
        <v>201</v>
      </c>
      <c r="D1137" s="153" t="str">
        <f>_xlfn._xlws.FILTER(t_Contact[FA Name],t_Contact[FA]=t_fac25_requirements[[#This Row],[FA]],"")</f>
        <v>Referee</v>
      </c>
      <c r="E1137" s="8" t="s">
        <v>19</v>
      </c>
      <c r="F1137" t="s">
        <v>234</v>
      </c>
      <c r="G1137" t="s">
        <v>245</v>
      </c>
      <c r="H1137" t="s">
        <v>58</v>
      </c>
      <c r="I1137" t="s">
        <v>59</v>
      </c>
      <c r="J1137" s="149" t="s">
        <v>370</v>
      </c>
      <c r="K1137" s="32">
        <v>2</v>
      </c>
      <c r="L1137" s="32">
        <v>1</v>
      </c>
      <c r="M1137" s="30">
        <v>45984</v>
      </c>
      <c r="N1137" s="30">
        <v>46011</v>
      </c>
      <c r="O1137" s="43" t="s">
        <v>1867</v>
      </c>
      <c r="P1137" s="55" t="s">
        <v>1878</v>
      </c>
    </row>
    <row r="1138" spans="1:17" ht="15" customHeight="1">
      <c r="A1138" s="106" t="b">
        <v>1</v>
      </c>
      <c r="B1138" t="str" cm="1">
        <f t="array" ref="B1138">_xlfn.SINGLE(_xlfn._xlws.FILTER(t_ServiceCatalogue[Onwer],t_ServiceCatalogue[Category]=t_fac25_requirements[[#This Row],[Category]],""))</f>
        <v>EU</v>
      </c>
      <c r="C1138" t="s">
        <v>182</v>
      </c>
      <c r="D1138" t="str">
        <f>_xlfn._xlws.FILTER(t_Contact[FA Name],t_Contact[FA]=t_fac25_requirements[[#This Row],[FA]],"")</f>
        <v>ICT</v>
      </c>
      <c r="E1138" s="8" t="s">
        <v>19</v>
      </c>
      <c r="F1138" t="s">
        <v>288</v>
      </c>
      <c r="G1138" t="s">
        <v>1879</v>
      </c>
      <c r="H1138" t="s">
        <v>32</v>
      </c>
      <c r="I1138" t="s">
        <v>33</v>
      </c>
      <c r="J1138" s="28" t="s">
        <v>370</v>
      </c>
      <c r="K1138" s="32"/>
      <c r="L1138" s="32">
        <v>19</v>
      </c>
      <c r="M1138" s="30">
        <v>45980</v>
      </c>
      <c r="N1138" s="30">
        <v>46009</v>
      </c>
      <c r="O1138" s="43"/>
      <c r="P1138" s="55" t="s">
        <v>1880</v>
      </c>
      <c r="Q1138" t="s">
        <v>1881</v>
      </c>
    </row>
    <row r="1139" spans="1:17" ht="15" customHeight="1">
      <c r="A1139" s="106" t="b">
        <v>0</v>
      </c>
      <c r="B1139" t="str" cm="1">
        <f t="array" ref="B1139">_xlfn.SINGLE(_xlfn._xlws.FILTER(t_ServiceCatalogue[Onwer],t_ServiceCatalogue[Category]=t_fac25_requirements[[#This Row],[Category]],""))</f>
        <v>EU</v>
      </c>
      <c r="C1139" t="s">
        <v>90</v>
      </c>
      <c r="D1139" t="str">
        <f>_xlfn._xlws.FILTER(t_Contact[FA Name],t_Contact[FA]=t_fac25_requirements[[#This Row],[FA]],"")</f>
        <v>Workforce</v>
      </c>
      <c r="E1139" s="8" t="s">
        <v>19</v>
      </c>
      <c r="F1139" t="s">
        <v>288</v>
      </c>
      <c r="G1139" t="s">
        <v>349</v>
      </c>
      <c r="H1139" t="s">
        <v>32</v>
      </c>
      <c r="I1139" t="s">
        <v>209</v>
      </c>
      <c r="J1139" s="28" t="s">
        <v>370</v>
      </c>
      <c r="K1139" s="32"/>
      <c r="L1139" s="32">
        <v>10</v>
      </c>
      <c r="M1139" s="30"/>
      <c r="N1139" s="30"/>
      <c r="O1139" s="43"/>
      <c r="P1139" s="55" t="s">
        <v>1882</v>
      </c>
      <c r="Q1139" t="s">
        <v>1883</v>
      </c>
    </row>
    <row r="1140" spans="1:17" ht="14.45">
      <c r="A1140" s="106" t="b">
        <v>0</v>
      </c>
      <c r="B1140" t="str" cm="1">
        <f t="array" ref="B1140">_xlfn.SINGLE(_xlfn._xlws.FILTER(t_ServiceCatalogue[Onwer],t_ServiceCatalogue[Category]=t_fac25_requirements[[#This Row],[Category]],""))</f>
        <v>NW</v>
      </c>
      <c r="C1140" t="s">
        <v>191</v>
      </c>
      <c r="D1140" t="str">
        <f>_xlfn._xlws.FILTER(t_Contact[FA Name],t_Contact[FA]=t_fac25_requirements[[#This Row],[FA]],"")</f>
        <v>Competition</v>
      </c>
      <c r="E1140" t="s">
        <v>214</v>
      </c>
      <c r="F1140" t="s">
        <v>259</v>
      </c>
      <c r="G1140" t="s">
        <v>260</v>
      </c>
      <c r="H1140" t="s">
        <v>46</v>
      </c>
      <c r="I1140" t="s">
        <v>47</v>
      </c>
      <c r="J1140" s="28" t="s">
        <v>370</v>
      </c>
      <c r="K1140" s="32"/>
      <c r="L1140" s="32">
        <v>1</v>
      </c>
      <c r="M1140" s="30">
        <v>45986</v>
      </c>
      <c r="N1140" s="30">
        <v>46010</v>
      </c>
      <c r="O1140" s="43" t="s">
        <v>149</v>
      </c>
      <c r="P1140" s="55" t="s">
        <v>87</v>
      </c>
      <c r="Q1140" t="s">
        <v>1319</v>
      </c>
    </row>
    <row r="1141" spans="1:17" ht="14.45">
      <c r="A1141" s="106" t="b">
        <v>0</v>
      </c>
      <c r="B1141" t="str" cm="1">
        <f t="array" ref="B1141">_xlfn.SINGLE(_xlfn._xlws.FILTER(t_ServiceCatalogue[Onwer],t_ServiceCatalogue[Category]=t_fac25_requirements[[#This Row],[Category]],""))</f>
        <v>NW</v>
      </c>
      <c r="C1141" t="s">
        <v>191</v>
      </c>
      <c r="D1141" t="str">
        <f>_xlfn._xlws.FILTER(t_Contact[FA Name],t_Contact[FA]=t_fac25_requirements[[#This Row],[FA]],"")</f>
        <v>Competition</v>
      </c>
      <c r="E1141" t="s">
        <v>208</v>
      </c>
      <c r="F1141" t="s">
        <v>259</v>
      </c>
      <c r="G1141" t="s">
        <v>260</v>
      </c>
      <c r="H1141" t="s">
        <v>46</v>
      </c>
      <c r="I1141" t="s">
        <v>47</v>
      </c>
      <c r="J1141" s="28" t="s">
        <v>370</v>
      </c>
      <c r="K1141" s="32"/>
      <c r="L1141" s="32">
        <v>1</v>
      </c>
      <c r="M1141" s="30">
        <v>45986</v>
      </c>
      <c r="N1141" s="30">
        <v>46010</v>
      </c>
      <c r="O1141" s="43" t="s">
        <v>149</v>
      </c>
      <c r="P1141" s="55" t="s">
        <v>87</v>
      </c>
      <c r="Q1141" t="s">
        <v>1319</v>
      </c>
    </row>
    <row r="1142" spans="1:17" ht="14.45">
      <c r="A1142" s="106" t="b">
        <v>0</v>
      </c>
      <c r="B1142" t="str" cm="1">
        <f t="array" ref="B1142">_xlfn.SINGLE(_xlfn._xlws.FILTER(t_ServiceCatalogue[Onwer],t_ServiceCatalogue[Category]=t_fac25_requirements[[#This Row],[Category]],""))</f>
        <v>NW</v>
      </c>
      <c r="C1142" t="s">
        <v>188</v>
      </c>
      <c r="D1142" t="str">
        <f>_xlfn._xlws.FILTER(t_Contact[FA Name],t_Contact[FA]=t_fac25_requirements[[#This Row],[FA]],"")</f>
        <v>Broadcast Operations</v>
      </c>
      <c r="E1142" t="s">
        <v>211</v>
      </c>
      <c r="F1142" t="s">
        <v>246</v>
      </c>
      <c r="G1142" t="s">
        <v>251</v>
      </c>
      <c r="H1142" t="s">
        <v>52</v>
      </c>
      <c r="I1142" t="s">
        <v>53</v>
      </c>
      <c r="J1142" s="28" t="s">
        <v>370</v>
      </c>
      <c r="K1142" s="32"/>
      <c r="L1142" s="32">
        <v>1</v>
      </c>
      <c r="M1142" s="30">
        <v>45986</v>
      </c>
      <c r="N1142" s="30">
        <v>46010</v>
      </c>
      <c r="O1142" s="43" t="s">
        <v>149</v>
      </c>
      <c r="P1142" s="55" t="s">
        <v>87</v>
      </c>
      <c r="Q1142" t="s">
        <v>1319</v>
      </c>
    </row>
    <row r="1143" spans="1:17" ht="14.45">
      <c r="A1143" s="106" t="b">
        <v>0</v>
      </c>
      <c r="B1143" t="str" cm="1">
        <f t="array" ref="B1143">_xlfn.SINGLE(_xlfn._xlws.FILTER(t_ServiceCatalogue[Onwer],t_ServiceCatalogue[Category]=t_fac25_requirements[[#This Row],[Category]],""))</f>
        <v>NW</v>
      </c>
      <c r="C1143" t="s">
        <v>188</v>
      </c>
      <c r="D1143" t="str">
        <f>_xlfn._xlws.FILTER(t_Contact[FA Name],t_Contact[FA]=t_fac25_requirements[[#This Row],[FA]],"")</f>
        <v>Broadcast Operations</v>
      </c>
      <c r="E1143" s="43">
        <v>974</v>
      </c>
      <c r="F1143" t="s">
        <v>246</v>
      </c>
      <c r="G1143" t="s">
        <v>251</v>
      </c>
      <c r="H1143" t="s">
        <v>52</v>
      </c>
      <c r="I1143" t="s">
        <v>53</v>
      </c>
      <c r="J1143" s="28" t="s">
        <v>370</v>
      </c>
      <c r="K1143" s="32"/>
      <c r="L1143" s="32">
        <v>1</v>
      </c>
      <c r="M1143" s="30">
        <v>45986</v>
      </c>
      <c r="N1143" s="30">
        <v>46010</v>
      </c>
      <c r="O1143" s="43" t="s">
        <v>149</v>
      </c>
      <c r="P1143" s="55" t="s">
        <v>87</v>
      </c>
      <c r="Q1143" t="s">
        <v>1319</v>
      </c>
    </row>
    <row r="1144" spans="1:17" ht="14.45">
      <c r="A1144" s="106" t="b">
        <v>0</v>
      </c>
      <c r="B1144" t="str" cm="1">
        <f t="array" ref="B1144">_xlfn.SINGLE(_xlfn._xlws.FILTER(t_ServiceCatalogue[Onwer],t_ServiceCatalogue[Category]=t_fac25_requirements[[#This Row],[Category]],""))</f>
        <v>NW</v>
      </c>
      <c r="C1144" t="s">
        <v>188</v>
      </c>
      <c r="D1144" t="str">
        <f>_xlfn._xlws.FILTER(t_Contact[FA Name],t_Contact[FA]=t_fac25_requirements[[#This Row],[FA]],"")</f>
        <v>Broadcast Operations</v>
      </c>
      <c r="E1144" t="s">
        <v>213</v>
      </c>
      <c r="F1144" t="s">
        <v>246</v>
      </c>
      <c r="G1144" t="s">
        <v>251</v>
      </c>
      <c r="H1144" t="s">
        <v>52</v>
      </c>
      <c r="I1144" t="s">
        <v>53</v>
      </c>
      <c r="J1144" s="28" t="s">
        <v>370</v>
      </c>
      <c r="K1144" s="32"/>
      <c r="L1144" s="32">
        <v>1</v>
      </c>
      <c r="M1144" s="30">
        <v>45986</v>
      </c>
      <c r="N1144" s="30">
        <v>46010</v>
      </c>
      <c r="O1144" s="43" t="s">
        <v>149</v>
      </c>
      <c r="P1144" s="55" t="s">
        <v>87</v>
      </c>
      <c r="Q1144" t="s">
        <v>1319</v>
      </c>
    </row>
    <row r="1145" spans="1:17" ht="14.45">
      <c r="A1145" s="106" t="b">
        <v>0</v>
      </c>
      <c r="B1145" t="str" cm="1">
        <f t="array" ref="B1145">_xlfn.SINGLE(_xlfn._xlws.FILTER(t_ServiceCatalogue[Onwer],t_ServiceCatalogue[Category]=t_fac25_requirements[[#This Row],[Category]],""))</f>
        <v>NW</v>
      </c>
      <c r="C1145" t="s">
        <v>188</v>
      </c>
      <c r="D1145" t="str">
        <f>_xlfn._xlws.FILTER(t_Contact[FA Name],t_Contact[FA]=t_fac25_requirements[[#This Row],[FA]],"")</f>
        <v>Broadcast Operations</v>
      </c>
      <c r="E1145" t="s">
        <v>212</v>
      </c>
      <c r="F1145" t="s">
        <v>246</v>
      </c>
      <c r="G1145" t="s">
        <v>251</v>
      </c>
      <c r="H1145" t="s">
        <v>52</v>
      </c>
      <c r="I1145" t="s">
        <v>53</v>
      </c>
      <c r="J1145" s="28" t="s">
        <v>370</v>
      </c>
      <c r="K1145" s="32"/>
      <c r="L1145" s="32">
        <v>1</v>
      </c>
      <c r="M1145" s="30">
        <v>45986</v>
      </c>
      <c r="N1145" s="30">
        <v>46010</v>
      </c>
      <c r="O1145" s="43" t="s">
        <v>149</v>
      </c>
      <c r="P1145" s="55" t="s">
        <v>87</v>
      </c>
      <c r="Q1145" t="s">
        <v>1319</v>
      </c>
    </row>
    <row r="1146" spans="1:17" ht="14.45">
      <c r="A1146" s="106" t="b">
        <v>0</v>
      </c>
      <c r="B1146" t="str" cm="1">
        <f t="array" ref="B1146">_xlfn.SINGLE(_xlfn._xlws.FILTER(t_ServiceCatalogue[Onwer],t_ServiceCatalogue[Category]=t_fac25_requirements[[#This Row],[Category]],""))</f>
        <v>NW</v>
      </c>
      <c r="C1146" t="s">
        <v>188</v>
      </c>
      <c r="D1146" t="str">
        <f>_xlfn._xlws.FILTER(t_Contact[FA Name],t_Contact[FA]=t_fac25_requirements[[#This Row],[FA]],"")</f>
        <v>Broadcast Operations</v>
      </c>
      <c r="E1146" t="s">
        <v>214</v>
      </c>
      <c r="F1146" t="s">
        <v>246</v>
      </c>
      <c r="G1146" t="s">
        <v>251</v>
      </c>
      <c r="H1146" t="s">
        <v>52</v>
      </c>
      <c r="I1146" t="s">
        <v>53</v>
      </c>
      <c r="J1146" s="28" t="s">
        <v>370</v>
      </c>
      <c r="K1146" s="32"/>
      <c r="L1146" s="32">
        <v>1</v>
      </c>
      <c r="M1146" s="30">
        <v>45986</v>
      </c>
      <c r="N1146" s="30">
        <v>46010</v>
      </c>
      <c r="O1146" s="43" t="s">
        <v>149</v>
      </c>
      <c r="P1146" s="55" t="s">
        <v>87</v>
      </c>
      <c r="Q1146" t="s">
        <v>1319</v>
      </c>
    </row>
    <row r="1147" spans="1:17" ht="14.45">
      <c r="A1147" s="106" t="b">
        <v>1</v>
      </c>
      <c r="B1147" t="str" cm="1">
        <f t="array" ref="B1147">_xlfn.SINGLE(_xlfn._xlws.FILTER(t_ServiceCatalogue[Onwer],t_ServiceCatalogue[Category]=t_fac25_requirements[[#This Row],[Category]],""))</f>
        <v>NW</v>
      </c>
      <c r="C1147" t="s">
        <v>188</v>
      </c>
      <c r="D1147" t="str">
        <f>_xlfn._xlws.FILTER(t_Contact[FA Name],t_Contact[FA]=t_fac25_requirements[[#This Row],[FA]],"")</f>
        <v>Broadcast Operations</v>
      </c>
      <c r="E1147" t="s">
        <v>208</v>
      </c>
      <c r="F1147" t="s">
        <v>246</v>
      </c>
      <c r="G1147" t="s">
        <v>251</v>
      </c>
      <c r="H1147" t="s">
        <v>52</v>
      </c>
      <c r="I1147" t="s">
        <v>53</v>
      </c>
      <c r="J1147" s="28" t="s">
        <v>370</v>
      </c>
      <c r="K1147" s="32"/>
      <c r="L1147" s="32">
        <v>1</v>
      </c>
      <c r="M1147" s="30">
        <v>45986</v>
      </c>
      <c r="N1147" s="30">
        <v>46010</v>
      </c>
      <c r="O1147" s="43" t="s">
        <v>149</v>
      </c>
      <c r="P1147" s="55" t="s">
        <v>87</v>
      </c>
      <c r="Q1147" t="s">
        <v>1319</v>
      </c>
    </row>
    <row r="1148" spans="1:17" ht="14.45">
      <c r="A1148" s="106" t="b">
        <v>0</v>
      </c>
      <c r="B1148" t="str" cm="1">
        <f t="array" ref="B1148">_xlfn.SINGLE(_xlfn._xlws.FILTER(t_ServiceCatalogue[Onwer],t_ServiceCatalogue[Category]=t_fac25_requirements[[#This Row],[Category]],""))</f>
        <v>NW</v>
      </c>
      <c r="C1148" t="s">
        <v>188</v>
      </c>
      <c r="D1148" t="str">
        <f>_xlfn._xlws.FILTER(t_Contact[FA Name],t_Contact[FA]=t_fac25_requirements[[#This Row],[FA]],"")</f>
        <v>Broadcast Operations</v>
      </c>
      <c r="E1148" t="s">
        <v>211</v>
      </c>
      <c r="F1148" t="s">
        <v>246</v>
      </c>
      <c r="G1148" t="s">
        <v>251</v>
      </c>
      <c r="H1148" t="s">
        <v>52</v>
      </c>
      <c r="I1148" t="s">
        <v>252</v>
      </c>
      <c r="J1148" s="28" t="s">
        <v>370</v>
      </c>
      <c r="K1148" s="32"/>
      <c r="L1148" s="32">
        <v>1</v>
      </c>
      <c r="M1148" s="30">
        <v>45986</v>
      </c>
      <c r="N1148" s="30">
        <v>46010</v>
      </c>
      <c r="O1148" s="43" t="s">
        <v>149</v>
      </c>
      <c r="P1148" s="55" t="s">
        <v>87</v>
      </c>
      <c r="Q1148" t="s">
        <v>1319</v>
      </c>
    </row>
    <row r="1149" spans="1:17" ht="14.45">
      <c r="A1149" s="106" t="b">
        <v>0</v>
      </c>
      <c r="B1149" t="str" cm="1">
        <f t="array" ref="B1149">_xlfn.SINGLE(_xlfn._xlws.FILTER(t_ServiceCatalogue[Onwer],t_ServiceCatalogue[Category]=t_fac25_requirements[[#This Row],[Category]],""))</f>
        <v>NW</v>
      </c>
      <c r="C1149" t="s">
        <v>188</v>
      </c>
      <c r="D1149" t="str">
        <f>_xlfn._xlws.FILTER(t_Contact[FA Name],t_Contact[FA]=t_fac25_requirements[[#This Row],[FA]],"")</f>
        <v>Broadcast Operations</v>
      </c>
      <c r="E1149" s="43">
        <v>974</v>
      </c>
      <c r="F1149" t="s">
        <v>246</v>
      </c>
      <c r="G1149" t="s">
        <v>251</v>
      </c>
      <c r="H1149" t="s">
        <v>52</v>
      </c>
      <c r="I1149" t="s">
        <v>252</v>
      </c>
      <c r="J1149" s="28" t="s">
        <v>370</v>
      </c>
      <c r="K1149" s="32"/>
      <c r="L1149" s="32">
        <v>1</v>
      </c>
      <c r="M1149" s="30">
        <v>45986</v>
      </c>
      <c r="N1149" s="30">
        <v>46010</v>
      </c>
      <c r="O1149" s="43" t="s">
        <v>149</v>
      </c>
      <c r="P1149" s="55" t="s">
        <v>87</v>
      </c>
      <c r="Q1149" t="s">
        <v>1319</v>
      </c>
    </row>
    <row r="1150" spans="1:17" ht="14.45">
      <c r="A1150" s="106" t="b">
        <v>0</v>
      </c>
      <c r="B1150" t="str" cm="1">
        <f t="array" ref="B1150">_xlfn.SINGLE(_xlfn._xlws.FILTER(t_ServiceCatalogue[Onwer],t_ServiceCatalogue[Category]=t_fac25_requirements[[#This Row],[Category]],""))</f>
        <v>NW</v>
      </c>
      <c r="C1150" t="s">
        <v>188</v>
      </c>
      <c r="D1150" t="str">
        <f>_xlfn._xlws.FILTER(t_Contact[FA Name],t_Contact[FA]=t_fac25_requirements[[#This Row],[FA]],"")</f>
        <v>Broadcast Operations</v>
      </c>
      <c r="E1150" t="s">
        <v>213</v>
      </c>
      <c r="F1150" t="s">
        <v>246</v>
      </c>
      <c r="G1150" t="s">
        <v>251</v>
      </c>
      <c r="H1150" t="s">
        <v>52</v>
      </c>
      <c r="I1150" t="s">
        <v>252</v>
      </c>
      <c r="J1150" s="28" t="s">
        <v>370</v>
      </c>
      <c r="K1150" s="32"/>
      <c r="L1150" s="32">
        <v>1</v>
      </c>
      <c r="M1150" s="30">
        <v>45986</v>
      </c>
      <c r="N1150" s="30">
        <v>46010</v>
      </c>
      <c r="O1150" s="43" t="s">
        <v>149</v>
      </c>
      <c r="P1150" s="55" t="s">
        <v>87</v>
      </c>
      <c r="Q1150" t="s">
        <v>1319</v>
      </c>
    </row>
    <row r="1151" spans="1:17" ht="14.45">
      <c r="A1151" s="106" t="b">
        <v>0</v>
      </c>
      <c r="B1151" t="str" cm="1">
        <f t="array" ref="B1151">_xlfn.SINGLE(_xlfn._xlws.FILTER(t_ServiceCatalogue[Onwer],t_ServiceCatalogue[Category]=t_fac25_requirements[[#This Row],[Category]],""))</f>
        <v>NW</v>
      </c>
      <c r="C1151" t="s">
        <v>188</v>
      </c>
      <c r="D1151" t="str">
        <f>_xlfn._xlws.FILTER(t_Contact[FA Name],t_Contact[FA]=t_fac25_requirements[[#This Row],[FA]],"")</f>
        <v>Broadcast Operations</v>
      </c>
      <c r="E1151" t="s">
        <v>212</v>
      </c>
      <c r="F1151" t="s">
        <v>246</v>
      </c>
      <c r="G1151" t="s">
        <v>251</v>
      </c>
      <c r="H1151" t="s">
        <v>52</v>
      </c>
      <c r="I1151" t="s">
        <v>252</v>
      </c>
      <c r="J1151" s="28" t="s">
        <v>370</v>
      </c>
      <c r="K1151" s="32"/>
      <c r="L1151" s="32">
        <v>1</v>
      </c>
      <c r="M1151" s="30">
        <v>45986</v>
      </c>
      <c r="N1151" s="30">
        <v>46010</v>
      </c>
      <c r="O1151" s="43" t="s">
        <v>149</v>
      </c>
      <c r="P1151" s="55" t="s">
        <v>87</v>
      </c>
      <c r="Q1151" t="s">
        <v>1319</v>
      </c>
    </row>
    <row r="1152" spans="1:17" ht="14.45">
      <c r="A1152" s="106" t="b">
        <v>0</v>
      </c>
      <c r="B1152" t="str" cm="1">
        <f t="array" ref="B1152">_xlfn.SINGLE(_xlfn._xlws.FILTER(t_ServiceCatalogue[Onwer],t_ServiceCatalogue[Category]=t_fac25_requirements[[#This Row],[Category]],""))</f>
        <v>NW</v>
      </c>
      <c r="C1152" t="s">
        <v>188</v>
      </c>
      <c r="D1152" t="str">
        <f>_xlfn._xlws.FILTER(t_Contact[FA Name],t_Contact[FA]=t_fac25_requirements[[#This Row],[FA]],"")</f>
        <v>Broadcast Operations</v>
      </c>
      <c r="E1152" t="s">
        <v>214</v>
      </c>
      <c r="F1152" t="s">
        <v>246</v>
      </c>
      <c r="G1152" t="s">
        <v>251</v>
      </c>
      <c r="H1152" t="s">
        <v>52</v>
      </c>
      <c r="I1152" t="s">
        <v>252</v>
      </c>
      <c r="J1152" s="28" t="s">
        <v>370</v>
      </c>
      <c r="K1152" s="32"/>
      <c r="L1152" s="32">
        <v>1</v>
      </c>
      <c r="M1152" s="30">
        <v>45986</v>
      </c>
      <c r="N1152" s="30">
        <v>46010</v>
      </c>
      <c r="O1152" s="43" t="s">
        <v>149</v>
      </c>
      <c r="P1152" s="55" t="s">
        <v>87</v>
      </c>
      <c r="Q1152" t="s">
        <v>1319</v>
      </c>
    </row>
    <row r="1153" spans="1:18" ht="14.45">
      <c r="A1153" s="106" t="b">
        <v>1</v>
      </c>
      <c r="B1153" t="str" cm="1">
        <f t="array" ref="B1153">_xlfn.SINGLE(_xlfn._xlws.FILTER(t_ServiceCatalogue[Onwer],t_ServiceCatalogue[Category]=t_fac25_requirements[[#This Row],[Category]],""))</f>
        <v>NW</v>
      </c>
      <c r="C1153" t="s">
        <v>188</v>
      </c>
      <c r="D1153" t="str">
        <f>_xlfn._xlws.FILTER(t_Contact[FA Name],t_Contact[FA]=t_fac25_requirements[[#This Row],[FA]],"")</f>
        <v>Broadcast Operations</v>
      </c>
      <c r="E1153" t="s">
        <v>208</v>
      </c>
      <c r="F1153" t="s">
        <v>246</v>
      </c>
      <c r="G1153" t="s">
        <v>251</v>
      </c>
      <c r="H1153" t="s">
        <v>52</v>
      </c>
      <c r="I1153" t="s">
        <v>252</v>
      </c>
      <c r="J1153" s="28" t="s">
        <v>370</v>
      </c>
      <c r="K1153" s="32"/>
      <c r="L1153" s="32">
        <v>1</v>
      </c>
      <c r="M1153" s="30">
        <v>45986</v>
      </c>
      <c r="N1153" s="30">
        <v>46010</v>
      </c>
      <c r="O1153" s="43" t="s">
        <v>149</v>
      </c>
      <c r="P1153" s="55" t="s">
        <v>87</v>
      </c>
      <c r="Q1153" t="s">
        <v>1319</v>
      </c>
    </row>
    <row r="1154" spans="1:18" ht="15" customHeight="1">
      <c r="A1154" s="106" t="b">
        <v>1</v>
      </c>
      <c r="B1154" t="str" cm="1">
        <f t="array" ref="B1154">_xlfn.SINGLE(_xlfn._xlws.FILTER(t_ServiceCatalogue[Onwer],t_ServiceCatalogue[Category]=t_fac25_requirements[[#This Row],[Category]],""))</f>
        <v>Telco/SIM</v>
      </c>
      <c r="C1154" t="s">
        <v>90</v>
      </c>
      <c r="D1154" t="str">
        <f>_xlfn._xlws.FILTER(t_Contact[FA Name],t_Contact[FA]=t_fac25_requirements[[#This Row],[FA]],"")</f>
        <v>Workforce</v>
      </c>
      <c r="E1154" s="8" t="s">
        <v>19</v>
      </c>
      <c r="F1154" t="s">
        <v>288</v>
      </c>
      <c r="G1154" t="s">
        <v>349</v>
      </c>
      <c r="H1154" t="s">
        <v>84</v>
      </c>
      <c r="I1154" t="s">
        <v>85</v>
      </c>
      <c r="J1154" s="28" t="s">
        <v>370</v>
      </c>
      <c r="K1154" s="32"/>
      <c r="L1154" s="32">
        <v>10</v>
      </c>
      <c r="M1154" s="30"/>
      <c r="N1154" s="30"/>
      <c r="O1154" s="43"/>
      <c r="P1154" s="55" t="s">
        <v>1882</v>
      </c>
      <c r="Q1154" t="s">
        <v>1883</v>
      </c>
    </row>
    <row r="1155" spans="1:18" ht="15" customHeight="1">
      <c r="A1155" s="106" t="b">
        <v>0</v>
      </c>
      <c r="B1155" t="str" cm="1">
        <f t="array" ref="B1155">_xlfn.SINGLE(_xlfn._xlws.FILTER(t_ServiceCatalogue[Onwer],t_ServiceCatalogue[Category]=t_fac25_requirements[[#This Row],[Category]],""))</f>
        <v>NW</v>
      </c>
      <c r="C1155" t="s">
        <v>156</v>
      </c>
      <c r="D1155" t="str">
        <f>_xlfn._xlws.FILTER(t_Contact[FA Name],t_Contact[FA]=t_fac25_requirements[[#This Row],[FA]],"")</f>
        <v>Ticketing</v>
      </c>
      <c r="E1155" s="43">
        <v>974</v>
      </c>
      <c r="F1155" t="s">
        <v>325</v>
      </c>
      <c r="G1155" s="8" t="s">
        <v>334</v>
      </c>
      <c r="H1155" t="s">
        <v>46</v>
      </c>
      <c r="I1155" t="s">
        <v>335</v>
      </c>
      <c r="J1155" s="28" t="s">
        <v>407</v>
      </c>
      <c r="K1155" s="32"/>
      <c r="L1155" s="32">
        <v>8</v>
      </c>
      <c r="M1155" s="30">
        <v>45976</v>
      </c>
      <c r="N1155" s="30">
        <v>46000</v>
      </c>
      <c r="O1155" s="43"/>
      <c r="P1155" s="159" t="s">
        <v>1787</v>
      </c>
      <c r="Q1155" t="s">
        <v>1632</v>
      </c>
      <c r="R1155" t="s">
        <v>1788</v>
      </c>
    </row>
    <row r="1156" spans="1:18" ht="15" customHeight="1">
      <c r="A1156" s="106" t="b">
        <v>0</v>
      </c>
      <c r="B1156" t="str" cm="1">
        <f t="array" ref="B1156">_xlfn.SINGLE(_xlfn._xlws.FILTER(t_ServiceCatalogue[Onwer],t_ServiceCatalogue[Category]=t_fac25_requirements[[#This Row],[Category]],""))</f>
        <v>NW</v>
      </c>
      <c r="C1156" t="s">
        <v>156</v>
      </c>
      <c r="D1156" t="str">
        <f>_xlfn._xlws.FILTER(t_Contact[FA Name],t_Contact[FA]=t_fac25_requirements[[#This Row],[FA]],"")</f>
        <v>Ticketing</v>
      </c>
      <c r="E1156" s="43">
        <v>974</v>
      </c>
      <c r="F1156" t="s">
        <v>325</v>
      </c>
      <c r="G1156" s="8" t="s">
        <v>334</v>
      </c>
      <c r="H1156" t="s">
        <v>52</v>
      </c>
      <c r="I1156" t="s">
        <v>53</v>
      </c>
      <c r="J1156" s="28" t="s">
        <v>407</v>
      </c>
      <c r="K1156" s="32"/>
      <c r="L1156" s="32">
        <v>2</v>
      </c>
      <c r="M1156" s="30">
        <v>45976</v>
      </c>
      <c r="N1156" s="30">
        <v>46000</v>
      </c>
      <c r="O1156" s="43"/>
      <c r="P1156" s="159" t="s">
        <v>1787</v>
      </c>
      <c r="Q1156" t="s">
        <v>1634</v>
      </c>
      <c r="R1156" t="s">
        <v>1789</v>
      </c>
    </row>
    <row r="1157" spans="1:18" ht="15" customHeight="1">
      <c r="A1157" s="106" t="b">
        <v>0</v>
      </c>
      <c r="B1157" t="str" cm="1">
        <f t="array" ref="B1157">_xlfn.SINGLE(_xlfn._xlws.FILTER(t_ServiceCatalogue[Onwer],t_ServiceCatalogue[Category]=t_fac25_requirements[[#This Row],[Category]],""))</f>
        <v>NW</v>
      </c>
      <c r="C1157" t="s">
        <v>156</v>
      </c>
      <c r="D1157" t="str">
        <f>_xlfn._xlws.FILTER(t_Contact[FA Name],t_Contact[FA]=t_fac25_requirements[[#This Row],[FA]],"")</f>
        <v>Ticketing</v>
      </c>
      <c r="E1157" t="s">
        <v>213</v>
      </c>
      <c r="F1157" t="s">
        <v>325</v>
      </c>
      <c r="G1157" t="s">
        <v>1884</v>
      </c>
      <c r="H1157" t="s">
        <v>46</v>
      </c>
      <c r="I1157" t="s">
        <v>335</v>
      </c>
      <c r="J1157" s="28" t="s">
        <v>370</v>
      </c>
      <c r="K1157" s="32"/>
      <c r="L1157" s="32">
        <v>30</v>
      </c>
      <c r="M1157" s="30">
        <v>45976</v>
      </c>
      <c r="N1157" s="30">
        <v>46009</v>
      </c>
      <c r="O1157" s="43"/>
      <c r="P1157" s="55"/>
      <c r="Q1157" t="s">
        <v>1632</v>
      </c>
      <c r="R1157" t="s">
        <v>1633</v>
      </c>
    </row>
    <row r="1158" spans="1:18" ht="15" customHeight="1">
      <c r="A1158" s="106" t="b">
        <v>0</v>
      </c>
      <c r="B1158" t="str" cm="1">
        <f t="array" ref="B1158">_xlfn.SINGLE(_xlfn._xlws.FILTER(t_ServiceCatalogue[Onwer],t_ServiceCatalogue[Category]=t_fac25_requirements[[#This Row],[Category]],""))</f>
        <v>NW</v>
      </c>
      <c r="C1158" t="s">
        <v>156</v>
      </c>
      <c r="D1158" t="str">
        <f>_xlfn._xlws.FILTER(t_Contact[FA Name],t_Contact[FA]=t_fac25_requirements[[#This Row],[FA]],"")</f>
        <v>Ticketing</v>
      </c>
      <c r="E1158" t="s">
        <v>213</v>
      </c>
      <c r="F1158" t="s">
        <v>325</v>
      </c>
      <c r="G1158" t="s">
        <v>1884</v>
      </c>
      <c r="H1158" t="s">
        <v>52</v>
      </c>
      <c r="I1158" t="s">
        <v>53</v>
      </c>
      <c r="J1158" s="28" t="s">
        <v>370</v>
      </c>
      <c r="K1158" s="32"/>
      <c r="L1158" s="32">
        <v>6</v>
      </c>
      <c r="M1158" s="30">
        <v>45976</v>
      </c>
      <c r="N1158" s="30">
        <v>46009</v>
      </c>
      <c r="O1158" s="43"/>
      <c r="P1158" s="55"/>
      <c r="Q1158" t="s">
        <v>1634</v>
      </c>
      <c r="R1158" t="s">
        <v>1635</v>
      </c>
    </row>
    <row r="1159" spans="1:18" ht="15" customHeight="1">
      <c r="A1159" s="106" t="b">
        <v>0</v>
      </c>
      <c r="B1159" t="str" cm="1">
        <f t="array" ref="B1159">_xlfn.SINGLE(_xlfn._xlws.FILTER(t_ServiceCatalogue[Onwer],t_ServiceCatalogue[Category]=t_fac25_requirements[[#This Row],[Category]],""))</f>
        <v>NW</v>
      </c>
      <c r="C1159" t="s">
        <v>156</v>
      </c>
      <c r="D1159" t="str">
        <f>_xlfn._xlws.FILTER(t_Contact[FA Name],t_Contact[FA]=t_fac25_requirements[[#This Row],[FA]],"")</f>
        <v>Ticketing</v>
      </c>
      <c r="E1159" t="s">
        <v>213</v>
      </c>
      <c r="F1159" t="s">
        <v>325</v>
      </c>
      <c r="G1159" t="s">
        <v>1885</v>
      </c>
      <c r="H1159" t="s">
        <v>46</v>
      </c>
      <c r="I1159" t="s">
        <v>335</v>
      </c>
      <c r="J1159" s="28" t="s">
        <v>370</v>
      </c>
      <c r="K1159" s="32"/>
      <c r="L1159" s="32">
        <v>30</v>
      </c>
      <c r="M1159" s="30">
        <v>45976</v>
      </c>
      <c r="N1159" s="30">
        <v>46009</v>
      </c>
      <c r="O1159" s="43"/>
      <c r="P1159" s="55"/>
      <c r="Q1159" t="s">
        <v>1632</v>
      </c>
      <c r="R1159" t="s">
        <v>1633</v>
      </c>
    </row>
    <row r="1160" spans="1:18" ht="15" customHeight="1">
      <c r="A1160" s="106" t="b">
        <v>0</v>
      </c>
      <c r="B1160" t="str" cm="1">
        <f t="array" ref="B1160">_xlfn.SINGLE(_xlfn._xlws.FILTER(t_ServiceCatalogue[Onwer],t_ServiceCatalogue[Category]=t_fac25_requirements[[#This Row],[Category]],""))</f>
        <v>NW</v>
      </c>
      <c r="C1160" t="s">
        <v>156</v>
      </c>
      <c r="D1160" t="str">
        <f>_xlfn._xlws.FILTER(t_Contact[FA Name],t_Contact[FA]=t_fac25_requirements[[#This Row],[FA]],"")</f>
        <v>Ticketing</v>
      </c>
      <c r="E1160" t="s">
        <v>213</v>
      </c>
      <c r="F1160" t="s">
        <v>325</v>
      </c>
      <c r="G1160" t="s">
        <v>1885</v>
      </c>
      <c r="H1160" t="s">
        <v>52</v>
      </c>
      <c r="I1160" t="s">
        <v>53</v>
      </c>
      <c r="J1160" s="28" t="s">
        <v>370</v>
      </c>
      <c r="K1160" s="32"/>
      <c r="L1160" s="32">
        <v>6</v>
      </c>
      <c r="M1160" s="30">
        <v>45976</v>
      </c>
      <c r="N1160" s="30">
        <v>46009</v>
      </c>
      <c r="O1160" s="43"/>
      <c r="P1160" s="55"/>
      <c r="Q1160" t="s">
        <v>1634</v>
      </c>
      <c r="R1160" t="s">
        <v>1635</v>
      </c>
    </row>
    <row r="1161" spans="1:18" ht="15" customHeight="1">
      <c r="A1161" s="106" t="b">
        <v>0</v>
      </c>
      <c r="B1161" t="str" cm="1">
        <f t="array" ref="B1161">_xlfn.SINGLE(_xlfn._xlws.FILTER(t_ServiceCatalogue[Onwer],t_ServiceCatalogue[Category]=t_fac25_requirements[[#This Row],[Category]],""))</f>
        <v>NW</v>
      </c>
      <c r="C1161" t="s">
        <v>156</v>
      </c>
      <c r="D1161" t="str">
        <f>_xlfn._xlws.FILTER(t_Contact[FA Name],t_Contact[FA]=t_fac25_requirements[[#This Row],[FA]],"")</f>
        <v>Ticketing</v>
      </c>
      <c r="E1161" t="s">
        <v>213</v>
      </c>
      <c r="F1161" t="s">
        <v>325</v>
      </c>
      <c r="G1161" t="s">
        <v>1886</v>
      </c>
      <c r="H1161" t="s">
        <v>46</v>
      </c>
      <c r="I1161" t="s">
        <v>335</v>
      </c>
      <c r="J1161" s="28" t="s">
        <v>370</v>
      </c>
      <c r="K1161" s="32"/>
      <c r="L1161" s="32">
        <v>30</v>
      </c>
      <c r="M1161" s="30">
        <v>45976</v>
      </c>
      <c r="N1161" s="30">
        <v>46009</v>
      </c>
      <c r="O1161" s="43"/>
      <c r="P1161" s="55"/>
      <c r="Q1161" t="s">
        <v>1632</v>
      </c>
      <c r="R1161" t="s">
        <v>1633</v>
      </c>
    </row>
    <row r="1162" spans="1:18" ht="15" customHeight="1">
      <c r="A1162" s="106" t="b">
        <v>0</v>
      </c>
      <c r="B1162" t="str" cm="1">
        <f t="array" ref="B1162">_xlfn.SINGLE(_xlfn._xlws.FILTER(t_ServiceCatalogue[Onwer],t_ServiceCatalogue[Category]=t_fac25_requirements[[#This Row],[Category]],""))</f>
        <v>NW</v>
      </c>
      <c r="C1162" t="s">
        <v>156</v>
      </c>
      <c r="D1162" t="str">
        <f>_xlfn._xlws.FILTER(t_Contact[FA Name],t_Contact[FA]=t_fac25_requirements[[#This Row],[FA]],"")</f>
        <v>Ticketing</v>
      </c>
      <c r="E1162" t="s">
        <v>213</v>
      </c>
      <c r="F1162" t="s">
        <v>325</v>
      </c>
      <c r="G1162" t="s">
        <v>1886</v>
      </c>
      <c r="H1162" t="s">
        <v>52</v>
      </c>
      <c r="I1162" t="s">
        <v>53</v>
      </c>
      <c r="J1162" s="28" t="s">
        <v>370</v>
      </c>
      <c r="K1162" s="32"/>
      <c r="L1162" s="32">
        <v>6</v>
      </c>
      <c r="M1162" s="30">
        <v>45976</v>
      </c>
      <c r="N1162" s="30">
        <v>46009</v>
      </c>
      <c r="O1162" s="43"/>
      <c r="P1162" s="55"/>
      <c r="Q1162" t="s">
        <v>1634</v>
      </c>
      <c r="R1162" t="s">
        <v>1635</v>
      </c>
    </row>
    <row r="1163" spans="1:18" ht="15" customHeight="1">
      <c r="A1163" s="106" t="b">
        <v>0</v>
      </c>
      <c r="B1163" t="str" cm="1">
        <f t="array" ref="B1163">_xlfn.SINGLE(_xlfn._xlws.FILTER(t_ServiceCatalogue[Onwer],t_ServiceCatalogue[Category]=t_fac25_requirements[[#This Row],[Category]],""))</f>
        <v>NW</v>
      </c>
      <c r="C1163" t="s">
        <v>156</v>
      </c>
      <c r="D1163" t="str">
        <f>_xlfn._xlws.FILTER(t_Contact[FA Name],t_Contact[FA]=t_fac25_requirements[[#This Row],[FA]],"")</f>
        <v>Ticketing</v>
      </c>
      <c r="E1163" t="s">
        <v>214</v>
      </c>
      <c r="F1163" t="s">
        <v>325</v>
      </c>
      <c r="G1163" t="s">
        <v>334</v>
      </c>
      <c r="H1163" t="s">
        <v>46</v>
      </c>
      <c r="I1163" t="s">
        <v>335</v>
      </c>
      <c r="J1163" s="28" t="s">
        <v>407</v>
      </c>
      <c r="K1163" s="32"/>
      <c r="L1163" s="32">
        <v>8</v>
      </c>
      <c r="M1163" s="30">
        <v>45976</v>
      </c>
      <c r="N1163" s="30">
        <v>46009</v>
      </c>
      <c r="O1163" s="43"/>
      <c r="P1163" s="55" t="s">
        <v>1691</v>
      </c>
      <c r="Q1163" t="s">
        <v>1632</v>
      </c>
      <c r="R1163" t="s">
        <v>1692</v>
      </c>
    </row>
    <row r="1164" spans="1:18" ht="15" customHeight="1">
      <c r="A1164" s="106" t="b">
        <v>0</v>
      </c>
      <c r="B1164" t="str" cm="1">
        <f t="array" ref="B1164">_xlfn.SINGLE(_xlfn._xlws.FILTER(t_ServiceCatalogue[Onwer],t_ServiceCatalogue[Category]=t_fac25_requirements[[#This Row],[Category]],""))</f>
        <v>NW</v>
      </c>
      <c r="C1164" t="s">
        <v>156</v>
      </c>
      <c r="D1164" t="str">
        <f>_xlfn._xlws.FILTER(t_Contact[FA Name],t_Contact[FA]=t_fac25_requirements[[#This Row],[FA]],"")</f>
        <v>Ticketing</v>
      </c>
      <c r="E1164" t="s">
        <v>214</v>
      </c>
      <c r="F1164" t="s">
        <v>325</v>
      </c>
      <c r="G1164" t="s">
        <v>334</v>
      </c>
      <c r="H1164" t="s">
        <v>52</v>
      </c>
      <c r="I1164" t="s">
        <v>53</v>
      </c>
      <c r="J1164" s="28" t="s">
        <v>407</v>
      </c>
      <c r="K1164" s="32"/>
      <c r="L1164" s="32">
        <v>2</v>
      </c>
      <c r="M1164" s="30">
        <v>45976</v>
      </c>
      <c r="N1164" s="30">
        <v>46009</v>
      </c>
      <c r="O1164" s="43"/>
      <c r="P1164" s="55" t="s">
        <v>1691</v>
      </c>
      <c r="Q1164" t="s">
        <v>1634</v>
      </c>
      <c r="R1164" t="s">
        <v>1693</v>
      </c>
    </row>
    <row r="1165" spans="1:18" ht="15" customHeight="1">
      <c r="A1165" s="106" t="b">
        <v>0</v>
      </c>
      <c r="B1165" t="str" cm="1">
        <f t="array" ref="B1165">_xlfn.SINGLE(_xlfn._xlws.FILTER(t_ServiceCatalogue[Onwer],t_ServiceCatalogue[Category]=t_fac25_requirements[[#This Row],[Category]],""))</f>
        <v>NW</v>
      </c>
      <c r="C1165" t="s">
        <v>156</v>
      </c>
      <c r="D1165" t="str">
        <f>_xlfn._xlws.FILTER(t_Contact[FA Name],t_Contact[FA]=t_fac25_requirements[[#This Row],[FA]],"")</f>
        <v>Ticketing</v>
      </c>
      <c r="E1165" t="s">
        <v>214</v>
      </c>
      <c r="F1165" t="s">
        <v>325</v>
      </c>
      <c r="G1165" t="s">
        <v>1887</v>
      </c>
      <c r="H1165" t="s">
        <v>46</v>
      </c>
      <c r="I1165" t="s">
        <v>335</v>
      </c>
      <c r="J1165" s="28" t="s">
        <v>407</v>
      </c>
      <c r="K1165" s="32"/>
      <c r="L1165" s="32">
        <v>8</v>
      </c>
      <c r="M1165" s="30">
        <v>45976</v>
      </c>
      <c r="N1165" s="30">
        <v>46009</v>
      </c>
      <c r="O1165" s="43"/>
      <c r="P1165" s="55" t="s">
        <v>1691</v>
      </c>
      <c r="Q1165" t="s">
        <v>1632</v>
      </c>
      <c r="R1165" t="s">
        <v>1692</v>
      </c>
    </row>
    <row r="1166" spans="1:18" ht="15" customHeight="1">
      <c r="A1166" s="106" t="b">
        <v>0</v>
      </c>
      <c r="B1166" t="str" cm="1">
        <f t="array" ref="B1166">_xlfn.SINGLE(_xlfn._xlws.FILTER(t_ServiceCatalogue[Onwer],t_ServiceCatalogue[Category]=t_fac25_requirements[[#This Row],[Category]],""))</f>
        <v>NW</v>
      </c>
      <c r="C1166" t="s">
        <v>156</v>
      </c>
      <c r="D1166" t="str">
        <f>_xlfn._xlws.FILTER(t_Contact[FA Name],t_Contact[FA]=t_fac25_requirements[[#This Row],[FA]],"")</f>
        <v>Ticketing</v>
      </c>
      <c r="E1166" t="s">
        <v>214</v>
      </c>
      <c r="F1166" t="s">
        <v>325</v>
      </c>
      <c r="G1166" t="s">
        <v>1887</v>
      </c>
      <c r="H1166" t="s">
        <v>52</v>
      </c>
      <c r="I1166" t="s">
        <v>53</v>
      </c>
      <c r="J1166" s="28" t="s">
        <v>407</v>
      </c>
      <c r="K1166" s="32"/>
      <c r="L1166" s="32">
        <v>2</v>
      </c>
      <c r="M1166" s="30">
        <v>45976</v>
      </c>
      <c r="N1166" s="30">
        <v>46009</v>
      </c>
      <c r="O1166" s="43"/>
      <c r="P1166" s="55" t="s">
        <v>1691</v>
      </c>
      <c r="Q1166" t="s">
        <v>1634</v>
      </c>
      <c r="R1166" t="s">
        <v>1693</v>
      </c>
    </row>
    <row r="1167" spans="1:18" ht="15" customHeight="1">
      <c r="A1167" s="106" t="b">
        <v>0</v>
      </c>
      <c r="B1167" t="str" cm="1">
        <f t="array" ref="B1167">_xlfn.SINGLE(_xlfn._xlws.FILTER(t_ServiceCatalogue[Onwer],t_ServiceCatalogue[Category]=t_fac25_requirements[[#This Row],[Category]],""))</f>
        <v>NW</v>
      </c>
      <c r="C1167" t="s">
        <v>156</v>
      </c>
      <c r="D1167" t="str">
        <f>_xlfn._xlws.FILTER(t_Contact[FA Name],t_Contact[FA]=t_fac25_requirements[[#This Row],[FA]],"")</f>
        <v>Ticketing</v>
      </c>
      <c r="E1167" t="s">
        <v>214</v>
      </c>
      <c r="F1167" t="s">
        <v>325</v>
      </c>
      <c r="G1167" t="s">
        <v>1888</v>
      </c>
      <c r="H1167" t="s">
        <v>46</v>
      </c>
      <c r="I1167" t="s">
        <v>335</v>
      </c>
      <c r="J1167" s="28" t="s">
        <v>407</v>
      </c>
      <c r="K1167" s="32"/>
      <c r="L1167" s="32">
        <v>4</v>
      </c>
      <c r="M1167" s="30">
        <v>45976</v>
      </c>
      <c r="N1167" s="30">
        <v>46009</v>
      </c>
      <c r="O1167" s="43"/>
      <c r="P1167" s="55" t="s">
        <v>1691</v>
      </c>
      <c r="Q1167" t="s">
        <v>1632</v>
      </c>
      <c r="R1167" t="s">
        <v>1692</v>
      </c>
    </row>
    <row r="1168" spans="1:18" ht="15" customHeight="1">
      <c r="A1168" s="106" t="b">
        <v>0</v>
      </c>
      <c r="B1168" t="str" cm="1">
        <f t="array" ref="B1168">_xlfn.SINGLE(_xlfn._xlws.FILTER(t_ServiceCatalogue[Onwer],t_ServiceCatalogue[Category]=t_fac25_requirements[[#This Row],[Category]],""))</f>
        <v>NW</v>
      </c>
      <c r="C1168" t="s">
        <v>156</v>
      </c>
      <c r="D1168" t="str">
        <f>_xlfn._xlws.FILTER(t_Contact[FA Name],t_Contact[FA]=t_fac25_requirements[[#This Row],[FA]],"")</f>
        <v>Ticketing</v>
      </c>
      <c r="E1168" t="s">
        <v>214</v>
      </c>
      <c r="F1168" t="s">
        <v>325</v>
      </c>
      <c r="G1168" t="s">
        <v>1888</v>
      </c>
      <c r="H1168" t="s">
        <v>52</v>
      </c>
      <c r="I1168" t="s">
        <v>53</v>
      </c>
      <c r="J1168" s="28" t="s">
        <v>407</v>
      </c>
      <c r="K1168" s="32"/>
      <c r="L1168" s="32">
        <v>1</v>
      </c>
      <c r="M1168" s="30">
        <v>45976</v>
      </c>
      <c r="N1168" s="30">
        <v>46009</v>
      </c>
      <c r="O1168" s="43"/>
      <c r="P1168" s="55" t="s">
        <v>1691</v>
      </c>
      <c r="Q1168" t="s">
        <v>1634</v>
      </c>
      <c r="R1168" t="s">
        <v>1693</v>
      </c>
    </row>
    <row r="1169" spans="1:18" ht="15" customHeight="1">
      <c r="A1169" s="106" t="b">
        <v>0</v>
      </c>
      <c r="B1169" t="str" cm="1">
        <f t="array" ref="B1169">_xlfn.SINGLE(_xlfn._xlws.FILTER(t_ServiceCatalogue[Onwer],t_ServiceCatalogue[Category]=t_fac25_requirements[[#This Row],[Category]],""))</f>
        <v>NW</v>
      </c>
      <c r="C1169" t="s">
        <v>156</v>
      </c>
      <c r="D1169" t="str">
        <f>_xlfn._xlws.FILTER(t_Contact[FA Name],t_Contact[FA]=t_fac25_requirements[[#This Row],[FA]],"")</f>
        <v>Ticketing</v>
      </c>
      <c r="E1169" t="s">
        <v>214</v>
      </c>
      <c r="F1169" t="s">
        <v>325</v>
      </c>
      <c r="G1169" t="s">
        <v>1889</v>
      </c>
      <c r="H1169" t="s">
        <v>46</v>
      </c>
      <c r="I1169" t="s">
        <v>335</v>
      </c>
      <c r="J1169" s="28" t="s">
        <v>407</v>
      </c>
      <c r="K1169" s="32"/>
      <c r="L1169" s="32">
        <v>4</v>
      </c>
      <c r="M1169" s="30">
        <v>45976</v>
      </c>
      <c r="N1169" s="30">
        <v>46009</v>
      </c>
      <c r="O1169" s="43"/>
      <c r="P1169" s="55" t="s">
        <v>1691</v>
      </c>
      <c r="Q1169" t="s">
        <v>1632</v>
      </c>
      <c r="R1169" t="s">
        <v>1692</v>
      </c>
    </row>
    <row r="1170" spans="1:18" ht="15" customHeight="1">
      <c r="A1170" s="106" t="b">
        <v>0</v>
      </c>
      <c r="B1170" t="str" cm="1">
        <f t="array" ref="B1170">_xlfn.SINGLE(_xlfn._xlws.FILTER(t_ServiceCatalogue[Onwer],t_ServiceCatalogue[Category]=t_fac25_requirements[[#This Row],[Category]],""))</f>
        <v>NW</v>
      </c>
      <c r="C1170" t="s">
        <v>156</v>
      </c>
      <c r="D1170" t="str">
        <f>_xlfn._xlws.FILTER(t_Contact[FA Name],t_Contact[FA]=t_fac25_requirements[[#This Row],[FA]],"")</f>
        <v>Ticketing</v>
      </c>
      <c r="E1170" t="s">
        <v>214</v>
      </c>
      <c r="F1170" t="s">
        <v>325</v>
      </c>
      <c r="G1170" t="s">
        <v>1889</v>
      </c>
      <c r="H1170" t="s">
        <v>52</v>
      </c>
      <c r="I1170" t="s">
        <v>53</v>
      </c>
      <c r="J1170" s="28" t="s">
        <v>407</v>
      </c>
      <c r="K1170" s="32"/>
      <c r="L1170" s="32">
        <v>1</v>
      </c>
      <c r="M1170" s="30">
        <v>45976</v>
      </c>
      <c r="N1170" s="30">
        <v>46009</v>
      </c>
      <c r="O1170" s="43"/>
      <c r="P1170" s="55" t="s">
        <v>1691</v>
      </c>
      <c r="Q1170" t="s">
        <v>1634</v>
      </c>
      <c r="R1170" t="s">
        <v>1693</v>
      </c>
    </row>
    <row r="1171" spans="1:18" ht="15" customHeight="1">
      <c r="A1171" s="106" t="b">
        <v>0</v>
      </c>
      <c r="B1171" t="str" cm="1">
        <f t="array" ref="B1171">_xlfn.SINGLE(_xlfn._xlws.FILTER(t_ServiceCatalogue[Onwer],t_ServiceCatalogue[Category]=t_fac25_requirements[[#This Row],[Category]],""))</f>
        <v>NW</v>
      </c>
      <c r="C1171" t="s">
        <v>156</v>
      </c>
      <c r="D1171" t="str">
        <f>_xlfn._xlws.FILTER(t_Contact[FA Name],t_Contact[FA]=t_fac25_requirements[[#This Row],[FA]],"")</f>
        <v>Ticketing</v>
      </c>
      <c r="E1171" t="s">
        <v>211</v>
      </c>
      <c r="F1171" t="s">
        <v>325</v>
      </c>
      <c r="G1171" t="s">
        <v>1884</v>
      </c>
      <c r="H1171" t="s">
        <v>46</v>
      </c>
      <c r="I1171" t="s">
        <v>335</v>
      </c>
      <c r="J1171" s="28" t="s">
        <v>407</v>
      </c>
      <c r="K1171" s="32"/>
      <c r="L1171" s="32">
        <v>4</v>
      </c>
      <c r="M1171" s="30">
        <v>45976</v>
      </c>
      <c r="N1171" s="30">
        <v>46006</v>
      </c>
      <c r="O1171" s="43"/>
      <c r="P1171" s="55" t="s">
        <v>1691</v>
      </c>
      <c r="Q1171" t="s">
        <v>1632</v>
      </c>
      <c r="R1171" t="s">
        <v>1719</v>
      </c>
    </row>
    <row r="1172" spans="1:18" ht="15" customHeight="1">
      <c r="A1172" s="106" t="b">
        <v>0</v>
      </c>
      <c r="B1172" t="str" cm="1">
        <f t="array" ref="B1172">_xlfn.SINGLE(_xlfn._xlws.FILTER(t_ServiceCatalogue[Onwer],t_ServiceCatalogue[Category]=t_fac25_requirements[[#This Row],[Category]],""))</f>
        <v>NW</v>
      </c>
      <c r="C1172" t="s">
        <v>156</v>
      </c>
      <c r="D1172" t="str">
        <f>_xlfn._xlws.FILTER(t_Contact[FA Name],t_Contact[FA]=t_fac25_requirements[[#This Row],[FA]],"")</f>
        <v>Ticketing</v>
      </c>
      <c r="E1172" t="s">
        <v>211</v>
      </c>
      <c r="F1172" t="s">
        <v>325</v>
      </c>
      <c r="G1172" t="s">
        <v>1884</v>
      </c>
      <c r="H1172" t="s">
        <v>52</v>
      </c>
      <c r="I1172" t="s">
        <v>53</v>
      </c>
      <c r="J1172" s="28" t="s">
        <v>407</v>
      </c>
      <c r="K1172" s="32"/>
      <c r="L1172" s="32">
        <v>1</v>
      </c>
      <c r="M1172" s="30">
        <v>45976</v>
      </c>
      <c r="N1172" s="30">
        <v>46006</v>
      </c>
      <c r="O1172" s="43"/>
      <c r="P1172" s="55" t="s">
        <v>1691</v>
      </c>
      <c r="Q1172" t="s">
        <v>1634</v>
      </c>
      <c r="R1172" t="s">
        <v>1720</v>
      </c>
    </row>
    <row r="1173" spans="1:18" ht="15" customHeight="1">
      <c r="A1173" s="106" t="b">
        <v>0</v>
      </c>
      <c r="B1173" t="str" cm="1">
        <f t="array" ref="B1173">_xlfn.SINGLE(_xlfn._xlws.FILTER(t_ServiceCatalogue[Onwer],t_ServiceCatalogue[Category]=t_fac25_requirements[[#This Row],[Category]],""))</f>
        <v>NW</v>
      </c>
      <c r="C1173" t="s">
        <v>156</v>
      </c>
      <c r="D1173" t="str">
        <f>_xlfn._xlws.FILTER(t_Contact[FA Name],t_Contact[FA]=t_fac25_requirements[[#This Row],[FA]],"")</f>
        <v>Ticketing</v>
      </c>
      <c r="E1173" t="s">
        <v>211</v>
      </c>
      <c r="F1173" t="s">
        <v>325</v>
      </c>
      <c r="G1173" t="s">
        <v>334</v>
      </c>
      <c r="H1173" t="s">
        <v>46</v>
      </c>
      <c r="I1173" t="s">
        <v>335</v>
      </c>
      <c r="J1173" s="28" t="s">
        <v>407</v>
      </c>
      <c r="K1173" s="32"/>
      <c r="L1173" s="32">
        <v>8</v>
      </c>
      <c r="M1173" s="30">
        <v>45976</v>
      </c>
      <c r="N1173" s="30">
        <v>46006</v>
      </c>
      <c r="O1173" s="43"/>
      <c r="P1173" s="55" t="s">
        <v>1691</v>
      </c>
      <c r="Q1173" t="s">
        <v>1632</v>
      </c>
      <c r="R1173" t="s">
        <v>1719</v>
      </c>
    </row>
    <row r="1174" spans="1:18" ht="15" customHeight="1">
      <c r="A1174" s="106" t="b">
        <v>0</v>
      </c>
      <c r="B1174" t="str" cm="1">
        <f t="array" ref="B1174">_xlfn.SINGLE(_xlfn._xlws.FILTER(t_ServiceCatalogue[Onwer],t_ServiceCatalogue[Category]=t_fac25_requirements[[#This Row],[Category]],""))</f>
        <v>NW</v>
      </c>
      <c r="C1174" t="s">
        <v>156</v>
      </c>
      <c r="D1174" t="str">
        <f>_xlfn._xlws.FILTER(t_Contact[FA Name],t_Contact[FA]=t_fac25_requirements[[#This Row],[FA]],"")</f>
        <v>Ticketing</v>
      </c>
      <c r="E1174" t="s">
        <v>211</v>
      </c>
      <c r="F1174" t="s">
        <v>325</v>
      </c>
      <c r="G1174" t="s">
        <v>334</v>
      </c>
      <c r="H1174" t="s">
        <v>52</v>
      </c>
      <c r="I1174" t="s">
        <v>53</v>
      </c>
      <c r="J1174" s="28" t="s">
        <v>407</v>
      </c>
      <c r="K1174" s="32"/>
      <c r="L1174" s="32">
        <v>2</v>
      </c>
      <c r="M1174" s="30">
        <v>45976</v>
      </c>
      <c r="N1174" s="30">
        <v>46006</v>
      </c>
      <c r="O1174" s="43"/>
      <c r="P1174" s="55" t="s">
        <v>1691</v>
      </c>
      <c r="Q1174" t="s">
        <v>1634</v>
      </c>
      <c r="R1174" t="s">
        <v>1720</v>
      </c>
    </row>
    <row r="1175" spans="1:18" ht="15" customHeight="1">
      <c r="A1175" s="106" t="b">
        <v>0</v>
      </c>
      <c r="B1175" t="str" cm="1">
        <f t="array" ref="B1175">_xlfn.SINGLE(_xlfn._xlws.FILTER(t_ServiceCatalogue[Onwer],t_ServiceCatalogue[Category]=t_fac25_requirements[[#This Row],[Category]],""))</f>
        <v>NW</v>
      </c>
      <c r="C1175" t="s">
        <v>156</v>
      </c>
      <c r="D1175" t="str">
        <f>_xlfn._xlws.FILTER(t_Contact[FA Name],t_Contact[FA]=t_fac25_requirements[[#This Row],[FA]],"")</f>
        <v>Ticketing</v>
      </c>
      <c r="E1175" t="s">
        <v>211</v>
      </c>
      <c r="F1175" t="s">
        <v>325</v>
      </c>
      <c r="G1175" t="s">
        <v>1890</v>
      </c>
      <c r="H1175" t="s">
        <v>46</v>
      </c>
      <c r="I1175" t="s">
        <v>335</v>
      </c>
      <c r="J1175" s="28" t="s">
        <v>407</v>
      </c>
      <c r="K1175" s="32"/>
      <c r="L1175" s="32">
        <v>4</v>
      </c>
      <c r="M1175" s="30">
        <v>45976</v>
      </c>
      <c r="N1175" s="30">
        <v>46006</v>
      </c>
      <c r="O1175" s="43"/>
      <c r="P1175" s="55" t="s">
        <v>1691</v>
      </c>
      <c r="Q1175" t="s">
        <v>1632</v>
      </c>
      <c r="R1175" t="s">
        <v>1719</v>
      </c>
    </row>
    <row r="1176" spans="1:18" ht="15" customHeight="1">
      <c r="A1176" s="106" t="b">
        <v>0</v>
      </c>
      <c r="B1176" t="str" cm="1">
        <f t="array" ref="B1176">_xlfn.SINGLE(_xlfn._xlws.FILTER(t_ServiceCatalogue[Onwer],t_ServiceCatalogue[Category]=t_fac25_requirements[[#This Row],[Category]],""))</f>
        <v>NW</v>
      </c>
      <c r="C1176" t="s">
        <v>156</v>
      </c>
      <c r="D1176" t="str">
        <f>_xlfn._xlws.FILTER(t_Contact[FA Name],t_Contact[FA]=t_fac25_requirements[[#This Row],[FA]],"")</f>
        <v>Ticketing</v>
      </c>
      <c r="E1176" t="s">
        <v>211</v>
      </c>
      <c r="F1176" t="s">
        <v>325</v>
      </c>
      <c r="G1176" t="s">
        <v>1890</v>
      </c>
      <c r="H1176" t="s">
        <v>52</v>
      </c>
      <c r="I1176" t="s">
        <v>53</v>
      </c>
      <c r="J1176" s="28" t="s">
        <v>407</v>
      </c>
      <c r="K1176" s="32"/>
      <c r="L1176" s="32">
        <v>1</v>
      </c>
      <c r="M1176" s="30">
        <v>45976</v>
      </c>
      <c r="N1176" s="30">
        <v>46006</v>
      </c>
      <c r="O1176" s="43"/>
      <c r="P1176" s="55" t="s">
        <v>1691</v>
      </c>
      <c r="Q1176" t="s">
        <v>1634</v>
      </c>
      <c r="R1176" t="s">
        <v>1720</v>
      </c>
    </row>
    <row r="1177" spans="1:18" ht="15" customHeight="1">
      <c r="A1177" s="106" t="b">
        <v>0</v>
      </c>
      <c r="B1177" t="str" cm="1">
        <f t="array" ref="B1177">_xlfn.SINGLE(_xlfn._xlws.FILTER(t_ServiceCatalogue[Onwer],t_ServiceCatalogue[Category]=t_fac25_requirements[[#This Row],[Category]],""))</f>
        <v>NW</v>
      </c>
      <c r="C1177" t="s">
        <v>156</v>
      </c>
      <c r="D1177" t="str">
        <f>_xlfn._xlws.FILTER(t_Contact[FA Name],t_Contact[FA]=t_fac25_requirements[[#This Row],[FA]],"")</f>
        <v>Ticketing</v>
      </c>
      <c r="E1177" t="s">
        <v>211</v>
      </c>
      <c r="F1177" t="s">
        <v>325</v>
      </c>
      <c r="G1177" t="s">
        <v>1891</v>
      </c>
      <c r="H1177" t="s">
        <v>46</v>
      </c>
      <c r="I1177" t="s">
        <v>335</v>
      </c>
      <c r="J1177" s="28" t="s">
        <v>407</v>
      </c>
      <c r="K1177" s="32"/>
      <c r="L1177" s="32">
        <v>4</v>
      </c>
      <c r="M1177" s="30">
        <v>45976</v>
      </c>
      <c r="N1177" s="30">
        <v>46006</v>
      </c>
      <c r="O1177" s="43"/>
      <c r="P1177" s="55" t="s">
        <v>1691</v>
      </c>
      <c r="Q1177" t="s">
        <v>1632</v>
      </c>
      <c r="R1177" t="s">
        <v>1719</v>
      </c>
    </row>
    <row r="1178" spans="1:18" ht="15" customHeight="1">
      <c r="A1178" s="106" t="b">
        <v>0</v>
      </c>
      <c r="B1178" t="str" cm="1">
        <f t="array" ref="B1178">_xlfn.SINGLE(_xlfn._xlws.FILTER(t_ServiceCatalogue[Onwer],t_ServiceCatalogue[Category]=t_fac25_requirements[[#This Row],[Category]],""))</f>
        <v>NW</v>
      </c>
      <c r="C1178" t="s">
        <v>156</v>
      </c>
      <c r="D1178" t="str">
        <f>_xlfn._xlws.FILTER(t_Contact[FA Name],t_Contact[FA]=t_fac25_requirements[[#This Row],[FA]],"")</f>
        <v>Ticketing</v>
      </c>
      <c r="E1178" t="s">
        <v>211</v>
      </c>
      <c r="F1178" t="s">
        <v>325</v>
      </c>
      <c r="G1178" t="s">
        <v>1891</v>
      </c>
      <c r="H1178" t="s">
        <v>52</v>
      </c>
      <c r="I1178" t="s">
        <v>53</v>
      </c>
      <c r="J1178" s="28" t="s">
        <v>407</v>
      </c>
      <c r="K1178" s="32"/>
      <c r="L1178" s="32">
        <v>1</v>
      </c>
      <c r="M1178" s="30">
        <v>45976</v>
      </c>
      <c r="N1178" s="30">
        <v>46006</v>
      </c>
      <c r="O1178" s="43"/>
      <c r="P1178" s="55" t="s">
        <v>1691</v>
      </c>
      <c r="Q1178" t="s">
        <v>1634</v>
      </c>
      <c r="R1178" t="s">
        <v>1720</v>
      </c>
    </row>
    <row r="1179" spans="1:18" ht="15" customHeight="1">
      <c r="A1179" s="106" t="b">
        <v>0</v>
      </c>
      <c r="B1179" t="str" cm="1">
        <f t="array" ref="B1179">_xlfn.SINGLE(_xlfn._xlws.FILTER(t_ServiceCatalogue[Onwer],t_ServiceCatalogue[Category]=t_fac25_requirements[[#This Row],[Category]],""))</f>
        <v>NW</v>
      </c>
      <c r="C1179" t="s">
        <v>156</v>
      </c>
      <c r="D1179" t="str">
        <f>_xlfn._xlws.FILTER(t_Contact[FA Name],t_Contact[FA]=t_fac25_requirements[[#This Row],[FA]],"")</f>
        <v>Ticketing</v>
      </c>
      <c r="E1179" t="s">
        <v>212</v>
      </c>
      <c r="F1179" t="s">
        <v>325</v>
      </c>
      <c r="G1179" t="s">
        <v>334</v>
      </c>
      <c r="H1179" t="s">
        <v>46</v>
      </c>
      <c r="I1179" t="s">
        <v>335</v>
      </c>
      <c r="J1179" s="28" t="s">
        <v>407</v>
      </c>
      <c r="K1179" s="32"/>
      <c r="L1179" s="32">
        <v>8</v>
      </c>
      <c r="M1179" s="30">
        <v>45976</v>
      </c>
      <c r="N1179" s="30">
        <v>46003</v>
      </c>
      <c r="O1179" s="43"/>
      <c r="P1179" s="55" t="s">
        <v>1691</v>
      </c>
      <c r="Q1179" t="s">
        <v>1632</v>
      </c>
      <c r="R1179" t="s">
        <v>1764</v>
      </c>
    </row>
    <row r="1180" spans="1:18" ht="15" customHeight="1">
      <c r="A1180" s="106" t="b">
        <v>0</v>
      </c>
      <c r="B1180" t="str" cm="1">
        <f t="array" ref="B1180">_xlfn.SINGLE(_xlfn._xlws.FILTER(t_ServiceCatalogue[Onwer],t_ServiceCatalogue[Category]=t_fac25_requirements[[#This Row],[Category]],""))</f>
        <v>NW</v>
      </c>
      <c r="C1180" t="s">
        <v>156</v>
      </c>
      <c r="D1180" t="str">
        <f>_xlfn._xlws.FILTER(t_Contact[FA Name],t_Contact[FA]=t_fac25_requirements[[#This Row],[FA]],"")</f>
        <v>Ticketing</v>
      </c>
      <c r="E1180" t="s">
        <v>212</v>
      </c>
      <c r="F1180" t="s">
        <v>325</v>
      </c>
      <c r="G1180" t="s">
        <v>334</v>
      </c>
      <c r="H1180" t="s">
        <v>52</v>
      </c>
      <c r="I1180" t="s">
        <v>53</v>
      </c>
      <c r="J1180" s="28" t="s">
        <v>407</v>
      </c>
      <c r="K1180" s="32"/>
      <c r="L1180" s="32">
        <v>2</v>
      </c>
      <c r="M1180" s="30">
        <v>45976</v>
      </c>
      <c r="N1180" s="30">
        <v>46003</v>
      </c>
      <c r="O1180" s="43"/>
      <c r="P1180" s="55" t="s">
        <v>1691</v>
      </c>
      <c r="Q1180" t="s">
        <v>1634</v>
      </c>
      <c r="R1180" t="s">
        <v>1765</v>
      </c>
    </row>
    <row r="1181" spans="1:18" ht="15" customHeight="1">
      <c r="A1181" s="106" t="b">
        <v>0</v>
      </c>
      <c r="B1181" t="str" cm="1">
        <f t="array" ref="B1181">_xlfn.SINGLE(_xlfn._xlws.FILTER(t_ServiceCatalogue[Onwer],t_ServiceCatalogue[Category]=t_fac25_requirements[[#This Row],[Category]],""))</f>
        <v>NW</v>
      </c>
      <c r="C1181" t="s">
        <v>156</v>
      </c>
      <c r="D1181" t="str">
        <f>_xlfn._xlws.FILTER(t_Contact[FA Name],t_Contact[FA]=t_fac25_requirements[[#This Row],[FA]],"")</f>
        <v>Ticketing</v>
      </c>
      <c r="E1181" t="s">
        <v>212</v>
      </c>
      <c r="F1181" t="s">
        <v>325</v>
      </c>
      <c r="G1181" t="s">
        <v>1887</v>
      </c>
      <c r="H1181" t="s">
        <v>46</v>
      </c>
      <c r="I1181" t="s">
        <v>335</v>
      </c>
      <c r="J1181" s="28" t="s">
        <v>407</v>
      </c>
      <c r="K1181" s="32"/>
      <c r="L1181" s="32">
        <v>8</v>
      </c>
      <c r="M1181" s="30">
        <v>45976</v>
      </c>
      <c r="N1181" s="30">
        <v>46003</v>
      </c>
      <c r="O1181" s="43"/>
      <c r="P1181" s="55" t="s">
        <v>1691</v>
      </c>
      <c r="Q1181" t="s">
        <v>1632</v>
      </c>
      <c r="R1181" t="s">
        <v>1764</v>
      </c>
    </row>
    <row r="1182" spans="1:18" ht="15" customHeight="1">
      <c r="A1182" s="106" t="b">
        <v>0</v>
      </c>
      <c r="B1182" t="str" cm="1">
        <f t="array" ref="B1182">_xlfn.SINGLE(_xlfn._xlws.FILTER(t_ServiceCatalogue[Onwer],t_ServiceCatalogue[Category]=t_fac25_requirements[[#This Row],[Category]],""))</f>
        <v>NW</v>
      </c>
      <c r="C1182" t="s">
        <v>156</v>
      </c>
      <c r="D1182" t="str">
        <f>_xlfn._xlws.FILTER(t_Contact[FA Name],t_Contact[FA]=t_fac25_requirements[[#This Row],[FA]],"")</f>
        <v>Ticketing</v>
      </c>
      <c r="E1182" t="s">
        <v>212</v>
      </c>
      <c r="F1182" t="s">
        <v>325</v>
      </c>
      <c r="G1182" t="s">
        <v>1887</v>
      </c>
      <c r="H1182" t="s">
        <v>52</v>
      </c>
      <c r="I1182" t="s">
        <v>53</v>
      </c>
      <c r="J1182" s="28" t="s">
        <v>407</v>
      </c>
      <c r="K1182" s="32"/>
      <c r="L1182" s="32">
        <v>2</v>
      </c>
      <c r="M1182" s="30">
        <v>45976</v>
      </c>
      <c r="N1182" s="30">
        <v>46003</v>
      </c>
      <c r="O1182" s="43"/>
      <c r="P1182" s="55" t="s">
        <v>1691</v>
      </c>
      <c r="Q1182" t="s">
        <v>1634</v>
      </c>
      <c r="R1182" t="s">
        <v>1765</v>
      </c>
    </row>
    <row r="1183" spans="1:18" ht="15" customHeight="1">
      <c r="A1183" s="106" t="b">
        <v>1</v>
      </c>
      <c r="B1183" t="str" cm="1">
        <f t="array" ref="B1183">_xlfn.SINGLE(_xlfn._xlws.FILTER(t_ServiceCatalogue[Onwer],t_ServiceCatalogue[Category]=t_fac25_requirements[[#This Row],[Category]],""))</f>
        <v>NW</v>
      </c>
      <c r="C1183" t="s">
        <v>156</v>
      </c>
      <c r="D1183" t="str">
        <f>_xlfn._xlws.FILTER(t_Contact[FA Name],t_Contact[FA]=t_fac25_requirements[[#This Row],[FA]],"")</f>
        <v>Ticketing</v>
      </c>
      <c r="E1183" t="s">
        <v>208</v>
      </c>
      <c r="F1183" t="s">
        <v>325</v>
      </c>
      <c r="G1183" t="s">
        <v>1884</v>
      </c>
      <c r="H1183" t="s">
        <v>46</v>
      </c>
      <c r="I1183" t="s">
        <v>335</v>
      </c>
      <c r="J1183" s="28" t="s">
        <v>370</v>
      </c>
      <c r="K1183" s="32"/>
      <c r="L1183" s="32">
        <v>4</v>
      </c>
      <c r="M1183" s="30">
        <v>45976</v>
      </c>
      <c r="N1183" s="30">
        <v>46008</v>
      </c>
      <c r="O1183" s="43"/>
      <c r="P1183" s="55"/>
      <c r="Q1183" t="s">
        <v>1632</v>
      </c>
      <c r="R1183" t="s">
        <v>1742</v>
      </c>
    </row>
    <row r="1184" spans="1:18" ht="15" customHeight="1">
      <c r="A1184" s="106" t="b">
        <v>1</v>
      </c>
      <c r="B1184" t="str" cm="1">
        <f t="array" ref="B1184">_xlfn.SINGLE(_xlfn._xlws.FILTER(t_ServiceCatalogue[Onwer],t_ServiceCatalogue[Category]=t_fac25_requirements[[#This Row],[Category]],""))</f>
        <v>NW</v>
      </c>
      <c r="C1184" t="s">
        <v>156</v>
      </c>
      <c r="D1184" t="str">
        <f>_xlfn._xlws.FILTER(t_Contact[FA Name],t_Contact[FA]=t_fac25_requirements[[#This Row],[FA]],"")</f>
        <v>Ticketing</v>
      </c>
      <c r="E1184" t="s">
        <v>208</v>
      </c>
      <c r="F1184" t="s">
        <v>325</v>
      </c>
      <c r="G1184" t="s">
        <v>1884</v>
      </c>
      <c r="H1184" t="s">
        <v>52</v>
      </c>
      <c r="I1184" t="s">
        <v>53</v>
      </c>
      <c r="J1184" s="28" t="s">
        <v>370</v>
      </c>
      <c r="K1184" s="32"/>
      <c r="L1184" s="32">
        <v>1</v>
      </c>
      <c r="M1184" s="30">
        <v>45976</v>
      </c>
      <c r="N1184" s="30">
        <v>46008</v>
      </c>
      <c r="O1184" s="43"/>
      <c r="P1184" s="55"/>
      <c r="Q1184" t="s">
        <v>1634</v>
      </c>
      <c r="R1184" t="s">
        <v>1743</v>
      </c>
    </row>
    <row r="1185" spans="1:18" ht="15" customHeight="1">
      <c r="A1185" s="106" t="b">
        <v>1</v>
      </c>
      <c r="B1185" t="str" cm="1">
        <f t="array" ref="B1185">_xlfn.SINGLE(_xlfn._xlws.FILTER(t_ServiceCatalogue[Onwer],t_ServiceCatalogue[Category]=t_fac25_requirements[[#This Row],[Category]],""))</f>
        <v>NW</v>
      </c>
      <c r="C1185" t="s">
        <v>156</v>
      </c>
      <c r="D1185" t="str">
        <f>_xlfn._xlws.FILTER(t_Contact[FA Name],t_Contact[FA]=t_fac25_requirements[[#This Row],[FA]],"")</f>
        <v>Ticketing</v>
      </c>
      <c r="E1185" t="s">
        <v>208</v>
      </c>
      <c r="F1185" t="s">
        <v>325</v>
      </c>
      <c r="G1185" t="s">
        <v>334</v>
      </c>
      <c r="H1185" t="s">
        <v>46</v>
      </c>
      <c r="I1185" t="s">
        <v>335</v>
      </c>
      <c r="J1185" s="28" t="s">
        <v>370</v>
      </c>
      <c r="K1185" s="32"/>
      <c r="L1185" s="32">
        <v>8</v>
      </c>
      <c r="M1185" s="30">
        <v>45976</v>
      </c>
      <c r="N1185" s="30">
        <v>46008</v>
      </c>
      <c r="O1185" s="43"/>
      <c r="P1185" s="55"/>
      <c r="Q1185" t="s">
        <v>1632</v>
      </c>
      <c r="R1185" t="s">
        <v>1742</v>
      </c>
    </row>
    <row r="1186" spans="1:18" ht="15" customHeight="1">
      <c r="A1186" s="106" t="b">
        <v>1</v>
      </c>
      <c r="B1186" t="str" cm="1">
        <f t="array" ref="B1186">_xlfn.SINGLE(_xlfn._xlws.FILTER(t_ServiceCatalogue[Onwer],t_ServiceCatalogue[Category]=t_fac25_requirements[[#This Row],[Category]],""))</f>
        <v>NW</v>
      </c>
      <c r="C1186" t="s">
        <v>156</v>
      </c>
      <c r="D1186" t="str">
        <f>_xlfn._xlws.FILTER(t_Contact[FA Name],t_Contact[FA]=t_fac25_requirements[[#This Row],[FA]],"")</f>
        <v>Ticketing</v>
      </c>
      <c r="E1186" t="s">
        <v>208</v>
      </c>
      <c r="F1186" t="s">
        <v>325</v>
      </c>
      <c r="G1186" t="s">
        <v>334</v>
      </c>
      <c r="H1186" t="s">
        <v>52</v>
      </c>
      <c r="I1186" t="s">
        <v>53</v>
      </c>
      <c r="J1186" s="28" t="s">
        <v>370</v>
      </c>
      <c r="K1186" s="32"/>
      <c r="L1186" s="32">
        <v>2</v>
      </c>
      <c r="M1186" s="30">
        <v>45976</v>
      </c>
      <c r="N1186" s="30">
        <v>46008</v>
      </c>
      <c r="O1186" s="43"/>
      <c r="P1186" s="55"/>
      <c r="Q1186" t="s">
        <v>1634</v>
      </c>
      <c r="R1186" t="s">
        <v>1743</v>
      </c>
    </row>
    <row r="1187" spans="1:18" ht="15" customHeight="1">
      <c r="A1187" s="106" t="b">
        <v>1</v>
      </c>
      <c r="B1187" t="str" cm="1">
        <f t="array" ref="B1187">_xlfn.SINGLE(_xlfn._xlws.FILTER(t_ServiceCatalogue[Onwer],t_ServiceCatalogue[Category]=t_fac25_requirements[[#This Row],[Category]],""))</f>
        <v>NW</v>
      </c>
      <c r="C1187" t="s">
        <v>156</v>
      </c>
      <c r="D1187" t="str">
        <f>_xlfn._xlws.FILTER(t_Contact[FA Name],t_Contact[FA]=t_fac25_requirements[[#This Row],[FA]],"")</f>
        <v>Ticketing</v>
      </c>
      <c r="E1187" t="s">
        <v>208</v>
      </c>
      <c r="F1187" t="s">
        <v>325</v>
      </c>
      <c r="G1187" t="s">
        <v>1887</v>
      </c>
      <c r="H1187" t="s">
        <v>46</v>
      </c>
      <c r="I1187" t="s">
        <v>335</v>
      </c>
      <c r="J1187" s="28" t="s">
        <v>370</v>
      </c>
      <c r="K1187" s="32"/>
      <c r="L1187" s="32">
        <v>8</v>
      </c>
      <c r="M1187" s="30">
        <v>45976</v>
      </c>
      <c r="N1187" s="30">
        <v>46008</v>
      </c>
      <c r="O1187" s="43"/>
      <c r="P1187" s="55"/>
      <c r="Q1187" t="s">
        <v>1632</v>
      </c>
      <c r="R1187" t="s">
        <v>1742</v>
      </c>
    </row>
    <row r="1188" spans="1:18" ht="15" customHeight="1">
      <c r="A1188" s="106" t="b">
        <v>1</v>
      </c>
      <c r="B1188" t="str" cm="1">
        <f t="array" ref="B1188">_xlfn.SINGLE(_xlfn._xlws.FILTER(t_ServiceCatalogue[Onwer],t_ServiceCatalogue[Category]=t_fac25_requirements[[#This Row],[Category]],""))</f>
        <v>NW</v>
      </c>
      <c r="C1188" t="s">
        <v>156</v>
      </c>
      <c r="D1188" t="str">
        <f>_xlfn._xlws.FILTER(t_Contact[FA Name],t_Contact[FA]=t_fac25_requirements[[#This Row],[FA]],"")</f>
        <v>Ticketing</v>
      </c>
      <c r="E1188" t="s">
        <v>208</v>
      </c>
      <c r="F1188" t="s">
        <v>325</v>
      </c>
      <c r="G1188" t="s">
        <v>1887</v>
      </c>
      <c r="H1188" t="s">
        <v>52</v>
      </c>
      <c r="I1188" t="s">
        <v>53</v>
      </c>
      <c r="J1188" s="28" t="s">
        <v>370</v>
      </c>
      <c r="K1188" s="32"/>
      <c r="L1188" s="32">
        <v>2</v>
      </c>
      <c r="M1188" s="30">
        <v>45976</v>
      </c>
      <c r="N1188" s="30">
        <v>46008</v>
      </c>
      <c r="O1188" s="43"/>
      <c r="P1188" s="55"/>
      <c r="Q1188" t="s">
        <v>1634</v>
      </c>
      <c r="R1188" t="s">
        <v>1743</v>
      </c>
    </row>
    <row r="1189" spans="1:18" ht="15" customHeight="1">
      <c r="A1189" s="106" t="b">
        <v>0</v>
      </c>
      <c r="B1189" t="str" cm="1">
        <f t="array" ref="B1189">_xlfn.SINGLE(_xlfn._xlws.FILTER(t_ServiceCatalogue[Onwer],t_ServiceCatalogue[Category]=t_fac25_requirements[[#This Row],[Category]],""))</f>
        <v>NW</v>
      </c>
      <c r="C1189" t="s">
        <v>156</v>
      </c>
      <c r="D1189" t="str">
        <f>_xlfn._xlws.FILTER(t_Contact[FA Name],t_Contact[FA]=t_fac25_requirements[[#This Row],[FA]],"")</f>
        <v>Ticketing</v>
      </c>
      <c r="E1189" t="s">
        <v>213</v>
      </c>
      <c r="F1189" t="s">
        <v>325</v>
      </c>
      <c r="G1189" t="s">
        <v>1631</v>
      </c>
      <c r="H1189" t="s">
        <v>52</v>
      </c>
      <c r="I1189" t="s">
        <v>333</v>
      </c>
      <c r="J1189" s="28" t="s">
        <v>407</v>
      </c>
      <c r="K1189" s="32"/>
      <c r="L1189" s="32">
        <v>1</v>
      </c>
      <c r="M1189" s="30">
        <v>45976</v>
      </c>
      <c r="N1189" s="30">
        <v>46009</v>
      </c>
      <c r="O1189" s="43"/>
      <c r="P1189" s="55" t="s">
        <v>1892</v>
      </c>
      <c r="R1189" t="s">
        <v>1635</v>
      </c>
    </row>
    <row r="1190" spans="1:18" ht="15" customHeight="1">
      <c r="A1190" s="106" t="b">
        <v>0</v>
      </c>
      <c r="B1190" t="str" cm="1">
        <f t="array" ref="B1190">_xlfn.SINGLE(_xlfn._xlws.FILTER(t_ServiceCatalogue[Onwer],t_ServiceCatalogue[Category]=t_fac25_requirements[[#This Row],[Category]],""))</f>
        <v>NW</v>
      </c>
      <c r="C1190" t="s">
        <v>156</v>
      </c>
      <c r="D1190" t="str">
        <f>_xlfn._xlws.FILTER(t_Contact[FA Name],t_Contact[FA]=t_fac25_requirements[[#This Row],[FA]],"")</f>
        <v>Ticketing</v>
      </c>
      <c r="E1190" t="s">
        <v>214</v>
      </c>
      <c r="F1190" t="s">
        <v>325</v>
      </c>
      <c r="G1190" t="s">
        <v>332</v>
      </c>
      <c r="H1190" t="s">
        <v>52</v>
      </c>
      <c r="I1190" t="s">
        <v>333</v>
      </c>
      <c r="J1190" s="28" t="s">
        <v>407</v>
      </c>
      <c r="K1190" s="32"/>
      <c r="L1190" s="32">
        <v>1</v>
      </c>
      <c r="M1190" s="30">
        <v>45976</v>
      </c>
      <c r="N1190" s="30">
        <v>46009</v>
      </c>
      <c r="O1190" s="43"/>
      <c r="P1190" s="55" t="s">
        <v>1892</v>
      </c>
      <c r="R1190" t="s">
        <v>1693</v>
      </c>
    </row>
    <row r="1191" spans="1:18" ht="15" customHeight="1">
      <c r="A1191" s="106" t="b">
        <v>0</v>
      </c>
      <c r="B1191" t="str" cm="1">
        <f t="array" ref="B1191">_xlfn.SINGLE(_xlfn._xlws.FILTER(t_ServiceCatalogue[Onwer],t_ServiceCatalogue[Category]=t_fac25_requirements[[#This Row],[Category]],""))</f>
        <v>NW</v>
      </c>
      <c r="C1191" t="s">
        <v>156</v>
      </c>
      <c r="D1191" t="str">
        <f>_xlfn._xlws.FILTER(t_Contact[FA Name],t_Contact[FA]=t_fac25_requirements[[#This Row],[FA]],"")</f>
        <v>Ticketing</v>
      </c>
      <c r="E1191" t="s">
        <v>211</v>
      </c>
      <c r="F1191" t="s">
        <v>325</v>
      </c>
      <c r="G1191" t="s">
        <v>1631</v>
      </c>
      <c r="H1191" t="s">
        <v>52</v>
      </c>
      <c r="I1191" t="s">
        <v>333</v>
      </c>
      <c r="J1191" s="28" t="s">
        <v>407</v>
      </c>
      <c r="K1191" s="32"/>
      <c r="L1191" s="32">
        <v>1</v>
      </c>
      <c r="M1191" s="30">
        <v>45976</v>
      </c>
      <c r="N1191" s="30">
        <v>46006</v>
      </c>
      <c r="O1191" s="43"/>
      <c r="P1191" s="55" t="s">
        <v>1892</v>
      </c>
      <c r="R1191" t="s">
        <v>1720</v>
      </c>
    </row>
    <row r="1192" spans="1:18" ht="15" customHeight="1">
      <c r="A1192" s="106" t="b">
        <v>1</v>
      </c>
      <c r="B1192" t="str" cm="1">
        <f t="array" ref="B1192">_xlfn.SINGLE(_xlfn._xlws.FILTER(t_ServiceCatalogue[Onwer],t_ServiceCatalogue[Category]=t_fac25_requirements[[#This Row],[Category]],""))</f>
        <v>NW</v>
      </c>
      <c r="C1192" t="s">
        <v>156</v>
      </c>
      <c r="D1192" t="str">
        <f>_xlfn._xlws.FILTER(t_Contact[FA Name],t_Contact[FA]=t_fac25_requirements[[#This Row],[FA]],"")</f>
        <v>Ticketing</v>
      </c>
      <c r="E1192" t="s">
        <v>208</v>
      </c>
      <c r="F1192" t="s">
        <v>325</v>
      </c>
      <c r="G1192" t="s">
        <v>1631</v>
      </c>
      <c r="H1192" t="s">
        <v>52</v>
      </c>
      <c r="I1192" t="s">
        <v>333</v>
      </c>
      <c r="J1192" s="28" t="s">
        <v>407</v>
      </c>
      <c r="K1192" s="32"/>
      <c r="L1192" s="32">
        <v>1</v>
      </c>
      <c r="M1192" s="30">
        <v>45976</v>
      </c>
      <c r="N1192" s="30">
        <v>46008</v>
      </c>
      <c r="O1192" s="43"/>
      <c r="P1192" s="55" t="s">
        <v>1892</v>
      </c>
      <c r="R1192" t="s">
        <v>1743</v>
      </c>
    </row>
    <row r="1193" spans="1:18" ht="15" customHeight="1">
      <c r="A1193" s="106" t="b">
        <v>0</v>
      </c>
      <c r="B1193" t="str" cm="1">
        <f t="array" ref="B1193">_xlfn.SINGLE(_xlfn._xlws.FILTER(t_ServiceCatalogue[Onwer],t_ServiceCatalogue[Category]=t_fac25_requirements[[#This Row],[Category]],""))</f>
        <v>NW</v>
      </c>
      <c r="C1193" t="s">
        <v>156</v>
      </c>
      <c r="D1193" t="str">
        <f>_xlfn._xlws.FILTER(t_Contact[FA Name],t_Contact[FA]=t_fac25_requirements[[#This Row],[FA]],"")</f>
        <v>Ticketing</v>
      </c>
      <c r="E1193" t="s">
        <v>212</v>
      </c>
      <c r="F1193" t="s">
        <v>325</v>
      </c>
      <c r="G1193" t="s">
        <v>332</v>
      </c>
      <c r="H1193" t="s">
        <v>52</v>
      </c>
      <c r="I1193" t="s">
        <v>333</v>
      </c>
      <c r="J1193" s="28" t="s">
        <v>407</v>
      </c>
      <c r="K1193" s="32"/>
      <c r="L1193" s="32">
        <v>1</v>
      </c>
      <c r="M1193" s="30">
        <v>45976</v>
      </c>
      <c r="N1193" s="30">
        <v>46003</v>
      </c>
      <c r="O1193" s="43"/>
      <c r="P1193" s="55" t="s">
        <v>1892</v>
      </c>
      <c r="R1193" t="s">
        <v>1765</v>
      </c>
    </row>
    <row r="1194" spans="1:18" ht="15" customHeight="1">
      <c r="A1194" s="106" t="b">
        <v>0</v>
      </c>
      <c r="B1194" t="str" cm="1">
        <f t="array" ref="B1194">_xlfn.SINGLE(_xlfn._xlws.FILTER(t_ServiceCatalogue[Onwer],t_ServiceCatalogue[Category]=t_fac25_requirements[[#This Row],[Category]],""))</f>
        <v>NW</v>
      </c>
      <c r="C1194" t="s">
        <v>156</v>
      </c>
      <c r="D1194" t="str">
        <f>_xlfn._xlws.FILTER(t_Contact[FA Name],t_Contact[FA]=t_fac25_requirements[[#This Row],[FA]],"")</f>
        <v>Ticketing</v>
      </c>
      <c r="E1194" s="43">
        <v>974</v>
      </c>
      <c r="F1194" t="s">
        <v>325</v>
      </c>
      <c r="G1194" t="s">
        <v>332</v>
      </c>
      <c r="H1194" t="s">
        <v>52</v>
      </c>
      <c r="I1194" t="s">
        <v>333</v>
      </c>
      <c r="J1194" s="28" t="s">
        <v>407</v>
      </c>
      <c r="K1194" s="32"/>
      <c r="L1194" s="32">
        <v>1</v>
      </c>
      <c r="M1194" s="30">
        <v>45976</v>
      </c>
      <c r="N1194" s="30">
        <v>46000</v>
      </c>
      <c r="O1194" s="43"/>
      <c r="P1194" s="55" t="s">
        <v>1892</v>
      </c>
      <c r="R1194" t="s">
        <v>1789</v>
      </c>
    </row>
    <row r="1195" spans="1:18" ht="15" customHeight="1">
      <c r="A1195" s="106" t="b">
        <v>0</v>
      </c>
      <c r="B1195" t="str" cm="1">
        <f t="array" ref="B1195">_xlfn.SINGLE(_xlfn._xlws.FILTER(t_ServiceCatalogue[Onwer],t_ServiceCatalogue[Category]=t_fac25_requirements[[#This Row],[Category]],""))</f>
        <v>NW</v>
      </c>
      <c r="C1195" t="s">
        <v>156</v>
      </c>
      <c r="D1195" t="str">
        <f>_xlfn._xlws.FILTER(t_Contact[FA Name],t_Contact[FA]=t_fac25_requirements[[#This Row],[FA]],"")</f>
        <v>Ticketing</v>
      </c>
      <c r="E1195" s="43">
        <v>974</v>
      </c>
      <c r="F1195" t="s">
        <v>325</v>
      </c>
      <c r="G1195" s="8" t="s">
        <v>334</v>
      </c>
      <c r="H1195" t="s">
        <v>52</v>
      </c>
      <c r="I1195" t="s">
        <v>333</v>
      </c>
      <c r="J1195" s="28" t="s">
        <v>407</v>
      </c>
      <c r="K1195" s="32"/>
      <c r="L1195" s="32">
        <v>1</v>
      </c>
      <c r="M1195" s="30">
        <v>45976</v>
      </c>
      <c r="N1195" s="30">
        <v>46000</v>
      </c>
      <c r="O1195" s="43"/>
      <c r="P1195" s="55" t="s">
        <v>1892</v>
      </c>
      <c r="R1195" t="s">
        <v>1789</v>
      </c>
    </row>
    <row r="1196" spans="1:18" ht="15" customHeight="1">
      <c r="A1196" s="106" t="b">
        <v>0</v>
      </c>
      <c r="B1196" t="str" cm="1">
        <f t="array" ref="B1196">_xlfn.SINGLE(_xlfn._xlws.FILTER(t_ServiceCatalogue[Onwer],t_ServiceCatalogue[Category]=t_fac25_requirements[[#This Row],[Category]],""))</f>
        <v>NW</v>
      </c>
      <c r="C1196" t="s">
        <v>156</v>
      </c>
      <c r="D1196" t="str">
        <f>_xlfn._xlws.FILTER(t_Contact[FA Name],t_Contact[FA]=t_fac25_requirements[[#This Row],[FA]],"")</f>
        <v>Ticketing</v>
      </c>
      <c r="E1196" t="s">
        <v>213</v>
      </c>
      <c r="F1196" t="s">
        <v>325</v>
      </c>
      <c r="G1196" t="s">
        <v>1884</v>
      </c>
      <c r="H1196" t="s">
        <v>52</v>
      </c>
      <c r="I1196" t="s">
        <v>333</v>
      </c>
      <c r="J1196" s="28" t="s">
        <v>407</v>
      </c>
      <c r="K1196" s="32"/>
      <c r="L1196" s="32">
        <v>1</v>
      </c>
      <c r="M1196" s="30">
        <v>45976</v>
      </c>
      <c r="N1196" s="30">
        <v>46009</v>
      </c>
      <c r="O1196" s="43"/>
      <c r="P1196" s="55" t="s">
        <v>1892</v>
      </c>
      <c r="R1196" t="s">
        <v>1635</v>
      </c>
    </row>
    <row r="1197" spans="1:18" ht="15" customHeight="1">
      <c r="A1197" s="106" t="b">
        <v>0</v>
      </c>
      <c r="B1197" t="str" cm="1">
        <f t="array" ref="B1197">_xlfn.SINGLE(_xlfn._xlws.FILTER(t_ServiceCatalogue[Onwer],t_ServiceCatalogue[Category]=t_fac25_requirements[[#This Row],[Category]],""))</f>
        <v>NW</v>
      </c>
      <c r="C1197" t="s">
        <v>156</v>
      </c>
      <c r="D1197" t="str">
        <f>_xlfn._xlws.FILTER(t_Contact[FA Name],t_Contact[FA]=t_fac25_requirements[[#This Row],[FA]],"")</f>
        <v>Ticketing</v>
      </c>
      <c r="E1197" t="s">
        <v>213</v>
      </c>
      <c r="F1197" t="s">
        <v>325</v>
      </c>
      <c r="G1197" t="s">
        <v>1885</v>
      </c>
      <c r="H1197" t="s">
        <v>52</v>
      </c>
      <c r="I1197" t="s">
        <v>333</v>
      </c>
      <c r="J1197" s="28" t="s">
        <v>407</v>
      </c>
      <c r="K1197" s="32"/>
      <c r="L1197" s="32">
        <v>1</v>
      </c>
      <c r="M1197" s="30">
        <v>45976</v>
      </c>
      <c r="N1197" s="30">
        <v>46009</v>
      </c>
      <c r="O1197" s="43"/>
      <c r="P1197" s="55" t="s">
        <v>1892</v>
      </c>
      <c r="R1197" t="s">
        <v>1635</v>
      </c>
    </row>
    <row r="1198" spans="1:18" ht="15" customHeight="1">
      <c r="A1198" s="106" t="b">
        <v>0</v>
      </c>
      <c r="B1198" t="str" cm="1">
        <f t="array" ref="B1198">_xlfn.SINGLE(_xlfn._xlws.FILTER(t_ServiceCatalogue[Onwer],t_ServiceCatalogue[Category]=t_fac25_requirements[[#This Row],[Category]],""))</f>
        <v>NW</v>
      </c>
      <c r="C1198" t="s">
        <v>156</v>
      </c>
      <c r="D1198" t="str">
        <f>_xlfn._xlws.FILTER(t_Contact[FA Name],t_Contact[FA]=t_fac25_requirements[[#This Row],[FA]],"")</f>
        <v>Ticketing</v>
      </c>
      <c r="E1198" t="s">
        <v>213</v>
      </c>
      <c r="F1198" t="s">
        <v>325</v>
      </c>
      <c r="G1198" t="s">
        <v>1886</v>
      </c>
      <c r="H1198" t="s">
        <v>52</v>
      </c>
      <c r="I1198" t="s">
        <v>333</v>
      </c>
      <c r="J1198" s="28" t="s">
        <v>407</v>
      </c>
      <c r="K1198" s="32"/>
      <c r="L1198" s="32">
        <v>1</v>
      </c>
      <c r="M1198" s="30">
        <v>45976</v>
      </c>
      <c r="N1198" s="30">
        <v>46009</v>
      </c>
      <c r="O1198" s="43"/>
      <c r="P1198" s="55" t="s">
        <v>1892</v>
      </c>
      <c r="R1198" t="s">
        <v>1635</v>
      </c>
    </row>
    <row r="1199" spans="1:18" ht="15" customHeight="1">
      <c r="A1199" s="106" t="b">
        <v>0</v>
      </c>
      <c r="B1199" t="str" cm="1">
        <f t="array" ref="B1199">_xlfn.SINGLE(_xlfn._xlws.FILTER(t_ServiceCatalogue[Onwer],t_ServiceCatalogue[Category]=t_fac25_requirements[[#This Row],[Category]],""))</f>
        <v>NW</v>
      </c>
      <c r="C1199" t="s">
        <v>156</v>
      </c>
      <c r="D1199" t="str">
        <f>_xlfn._xlws.FILTER(t_Contact[FA Name],t_Contact[FA]=t_fac25_requirements[[#This Row],[FA]],"")</f>
        <v>Ticketing</v>
      </c>
      <c r="E1199" t="s">
        <v>214</v>
      </c>
      <c r="F1199" t="s">
        <v>325</v>
      </c>
      <c r="G1199" t="s">
        <v>334</v>
      </c>
      <c r="H1199" t="s">
        <v>52</v>
      </c>
      <c r="I1199" t="s">
        <v>333</v>
      </c>
      <c r="J1199" s="28" t="s">
        <v>407</v>
      </c>
      <c r="K1199" s="32"/>
      <c r="L1199" s="32">
        <v>1</v>
      </c>
      <c r="M1199" s="30">
        <v>45976</v>
      </c>
      <c r="N1199" s="30">
        <v>46009</v>
      </c>
      <c r="O1199" s="43"/>
      <c r="P1199" s="55" t="s">
        <v>1892</v>
      </c>
      <c r="R1199" t="s">
        <v>1693</v>
      </c>
    </row>
    <row r="1200" spans="1:18" ht="15" customHeight="1">
      <c r="A1200" s="106" t="b">
        <v>0</v>
      </c>
      <c r="B1200" t="str" cm="1">
        <f t="array" ref="B1200">_xlfn.SINGLE(_xlfn._xlws.FILTER(t_ServiceCatalogue[Onwer],t_ServiceCatalogue[Category]=t_fac25_requirements[[#This Row],[Category]],""))</f>
        <v>NW</v>
      </c>
      <c r="C1200" t="s">
        <v>156</v>
      </c>
      <c r="D1200" t="str">
        <f>_xlfn._xlws.FILTER(t_Contact[FA Name],t_Contact[FA]=t_fac25_requirements[[#This Row],[FA]],"")</f>
        <v>Ticketing</v>
      </c>
      <c r="E1200" t="s">
        <v>214</v>
      </c>
      <c r="F1200" t="s">
        <v>325</v>
      </c>
      <c r="G1200" t="s">
        <v>1887</v>
      </c>
      <c r="H1200" t="s">
        <v>52</v>
      </c>
      <c r="I1200" t="s">
        <v>333</v>
      </c>
      <c r="J1200" s="28" t="s">
        <v>407</v>
      </c>
      <c r="K1200" s="32"/>
      <c r="L1200" s="32">
        <v>1</v>
      </c>
      <c r="M1200" s="30">
        <v>45976</v>
      </c>
      <c r="N1200" s="30">
        <v>46009</v>
      </c>
      <c r="O1200" s="43"/>
      <c r="P1200" s="55" t="s">
        <v>1892</v>
      </c>
      <c r="R1200" t="s">
        <v>1693</v>
      </c>
    </row>
    <row r="1201" spans="1:18" ht="15" customHeight="1">
      <c r="A1201" s="106" t="b">
        <v>0</v>
      </c>
      <c r="B1201" t="str" cm="1">
        <f t="array" ref="B1201">_xlfn.SINGLE(_xlfn._xlws.FILTER(t_ServiceCatalogue[Onwer],t_ServiceCatalogue[Category]=t_fac25_requirements[[#This Row],[Category]],""))</f>
        <v>NW</v>
      </c>
      <c r="C1201" t="s">
        <v>156</v>
      </c>
      <c r="D1201" t="str">
        <f>_xlfn._xlws.FILTER(t_Contact[FA Name],t_Contact[FA]=t_fac25_requirements[[#This Row],[FA]],"")</f>
        <v>Ticketing</v>
      </c>
      <c r="E1201" t="s">
        <v>214</v>
      </c>
      <c r="F1201" t="s">
        <v>325</v>
      </c>
      <c r="G1201" t="s">
        <v>1888</v>
      </c>
      <c r="H1201" t="s">
        <v>52</v>
      </c>
      <c r="I1201" t="s">
        <v>333</v>
      </c>
      <c r="J1201" s="28" t="s">
        <v>407</v>
      </c>
      <c r="K1201" s="32"/>
      <c r="L1201" s="32">
        <v>1</v>
      </c>
      <c r="M1201" s="30">
        <v>45976</v>
      </c>
      <c r="N1201" s="30">
        <v>46009</v>
      </c>
      <c r="O1201" s="43"/>
      <c r="P1201" s="55" t="s">
        <v>1892</v>
      </c>
      <c r="R1201" t="s">
        <v>1693</v>
      </c>
    </row>
    <row r="1202" spans="1:18" ht="15" customHeight="1">
      <c r="A1202" s="106" t="b">
        <v>0</v>
      </c>
      <c r="B1202" t="str" cm="1">
        <f t="array" ref="B1202">_xlfn.SINGLE(_xlfn._xlws.FILTER(t_ServiceCatalogue[Onwer],t_ServiceCatalogue[Category]=t_fac25_requirements[[#This Row],[Category]],""))</f>
        <v>NW</v>
      </c>
      <c r="C1202" t="s">
        <v>156</v>
      </c>
      <c r="D1202" t="str">
        <f>_xlfn._xlws.FILTER(t_Contact[FA Name],t_Contact[FA]=t_fac25_requirements[[#This Row],[FA]],"")</f>
        <v>Ticketing</v>
      </c>
      <c r="E1202" t="s">
        <v>214</v>
      </c>
      <c r="F1202" t="s">
        <v>325</v>
      </c>
      <c r="G1202" t="s">
        <v>1889</v>
      </c>
      <c r="H1202" t="s">
        <v>52</v>
      </c>
      <c r="I1202" t="s">
        <v>333</v>
      </c>
      <c r="J1202" s="28" t="s">
        <v>407</v>
      </c>
      <c r="K1202" s="32"/>
      <c r="L1202" s="32">
        <v>1</v>
      </c>
      <c r="M1202" s="30">
        <v>45976</v>
      </c>
      <c r="N1202" s="30">
        <v>46009</v>
      </c>
      <c r="O1202" s="43"/>
      <c r="P1202" s="55" t="s">
        <v>1892</v>
      </c>
      <c r="R1202" t="s">
        <v>1693</v>
      </c>
    </row>
    <row r="1203" spans="1:18" ht="15" customHeight="1">
      <c r="A1203" s="106" t="b">
        <v>0</v>
      </c>
      <c r="B1203" t="str" cm="1">
        <f t="array" ref="B1203">_xlfn.SINGLE(_xlfn._xlws.FILTER(t_ServiceCatalogue[Onwer],t_ServiceCatalogue[Category]=t_fac25_requirements[[#This Row],[Category]],""))</f>
        <v>NW</v>
      </c>
      <c r="C1203" t="s">
        <v>156</v>
      </c>
      <c r="D1203" t="str">
        <f>_xlfn._xlws.FILTER(t_Contact[FA Name],t_Contact[FA]=t_fac25_requirements[[#This Row],[FA]],"")</f>
        <v>Ticketing</v>
      </c>
      <c r="E1203" t="s">
        <v>211</v>
      </c>
      <c r="F1203" t="s">
        <v>325</v>
      </c>
      <c r="G1203" t="s">
        <v>1884</v>
      </c>
      <c r="H1203" t="s">
        <v>52</v>
      </c>
      <c r="I1203" t="s">
        <v>333</v>
      </c>
      <c r="J1203" s="28" t="s">
        <v>407</v>
      </c>
      <c r="K1203" s="32"/>
      <c r="L1203" s="32">
        <v>1</v>
      </c>
      <c r="M1203" s="30">
        <v>45976</v>
      </c>
      <c r="N1203" s="30">
        <v>46006</v>
      </c>
      <c r="O1203" s="43"/>
      <c r="P1203" s="55" t="s">
        <v>1892</v>
      </c>
      <c r="R1203" t="s">
        <v>1720</v>
      </c>
    </row>
    <row r="1204" spans="1:18" ht="15" customHeight="1">
      <c r="A1204" s="106" t="b">
        <v>0</v>
      </c>
      <c r="B1204" t="str" cm="1">
        <f t="array" ref="B1204">_xlfn.SINGLE(_xlfn._xlws.FILTER(t_ServiceCatalogue[Onwer],t_ServiceCatalogue[Category]=t_fac25_requirements[[#This Row],[Category]],""))</f>
        <v>NW</v>
      </c>
      <c r="C1204" t="s">
        <v>156</v>
      </c>
      <c r="D1204" t="str">
        <f>_xlfn._xlws.FILTER(t_Contact[FA Name],t_Contact[FA]=t_fac25_requirements[[#This Row],[FA]],"")</f>
        <v>Ticketing</v>
      </c>
      <c r="E1204" t="s">
        <v>211</v>
      </c>
      <c r="F1204" t="s">
        <v>325</v>
      </c>
      <c r="G1204" t="s">
        <v>334</v>
      </c>
      <c r="H1204" t="s">
        <v>52</v>
      </c>
      <c r="I1204" t="s">
        <v>333</v>
      </c>
      <c r="J1204" s="28" t="s">
        <v>407</v>
      </c>
      <c r="K1204" s="32"/>
      <c r="L1204" s="32">
        <v>1</v>
      </c>
      <c r="M1204" s="30">
        <v>45976</v>
      </c>
      <c r="N1204" s="30">
        <v>46006</v>
      </c>
      <c r="O1204" s="43"/>
      <c r="P1204" s="55" t="s">
        <v>1892</v>
      </c>
      <c r="R1204" t="s">
        <v>1720</v>
      </c>
    </row>
    <row r="1205" spans="1:18" ht="15" customHeight="1">
      <c r="A1205" s="106" t="b">
        <v>0</v>
      </c>
      <c r="B1205" t="str" cm="1">
        <f t="array" ref="B1205">_xlfn.SINGLE(_xlfn._xlws.FILTER(t_ServiceCatalogue[Onwer],t_ServiceCatalogue[Category]=t_fac25_requirements[[#This Row],[Category]],""))</f>
        <v>NW</v>
      </c>
      <c r="C1205" t="s">
        <v>156</v>
      </c>
      <c r="D1205" t="str">
        <f>_xlfn._xlws.FILTER(t_Contact[FA Name],t_Contact[FA]=t_fac25_requirements[[#This Row],[FA]],"")</f>
        <v>Ticketing</v>
      </c>
      <c r="E1205" t="s">
        <v>211</v>
      </c>
      <c r="F1205" t="s">
        <v>325</v>
      </c>
      <c r="G1205" t="s">
        <v>1890</v>
      </c>
      <c r="H1205" t="s">
        <v>52</v>
      </c>
      <c r="I1205" t="s">
        <v>333</v>
      </c>
      <c r="J1205" s="28" t="s">
        <v>407</v>
      </c>
      <c r="K1205" s="32"/>
      <c r="L1205" s="32">
        <v>1</v>
      </c>
      <c r="M1205" s="30">
        <v>45976</v>
      </c>
      <c r="N1205" s="30">
        <v>46006</v>
      </c>
      <c r="O1205" s="43"/>
      <c r="P1205" s="55" t="s">
        <v>1892</v>
      </c>
      <c r="R1205" t="s">
        <v>1720</v>
      </c>
    </row>
    <row r="1206" spans="1:18" ht="15" customHeight="1">
      <c r="A1206" s="106" t="b">
        <v>0</v>
      </c>
      <c r="B1206" t="str" cm="1">
        <f t="array" ref="B1206">_xlfn.SINGLE(_xlfn._xlws.FILTER(t_ServiceCatalogue[Onwer],t_ServiceCatalogue[Category]=t_fac25_requirements[[#This Row],[Category]],""))</f>
        <v>NW</v>
      </c>
      <c r="C1206" t="s">
        <v>156</v>
      </c>
      <c r="D1206" t="str">
        <f>_xlfn._xlws.FILTER(t_Contact[FA Name],t_Contact[FA]=t_fac25_requirements[[#This Row],[FA]],"")</f>
        <v>Ticketing</v>
      </c>
      <c r="E1206" t="s">
        <v>211</v>
      </c>
      <c r="F1206" t="s">
        <v>325</v>
      </c>
      <c r="G1206" t="s">
        <v>1891</v>
      </c>
      <c r="H1206" t="s">
        <v>52</v>
      </c>
      <c r="I1206" t="s">
        <v>333</v>
      </c>
      <c r="J1206" s="28" t="s">
        <v>407</v>
      </c>
      <c r="K1206" s="32"/>
      <c r="L1206" s="32">
        <v>1</v>
      </c>
      <c r="M1206" s="30">
        <v>45976</v>
      </c>
      <c r="N1206" s="30">
        <v>46006</v>
      </c>
      <c r="O1206" s="43"/>
      <c r="P1206" s="55" t="s">
        <v>1892</v>
      </c>
      <c r="R1206" t="s">
        <v>1720</v>
      </c>
    </row>
    <row r="1207" spans="1:18" ht="15" customHeight="1">
      <c r="A1207" s="106" t="b">
        <v>0</v>
      </c>
      <c r="B1207" t="str" cm="1">
        <f t="array" ref="B1207">_xlfn.SINGLE(_xlfn._xlws.FILTER(t_ServiceCatalogue[Onwer],t_ServiceCatalogue[Category]=t_fac25_requirements[[#This Row],[Category]],""))</f>
        <v>NW</v>
      </c>
      <c r="C1207" t="s">
        <v>156</v>
      </c>
      <c r="D1207" t="str">
        <f>_xlfn._xlws.FILTER(t_Contact[FA Name],t_Contact[FA]=t_fac25_requirements[[#This Row],[FA]],"")</f>
        <v>Ticketing</v>
      </c>
      <c r="E1207" t="s">
        <v>212</v>
      </c>
      <c r="F1207" t="s">
        <v>325</v>
      </c>
      <c r="G1207" t="s">
        <v>334</v>
      </c>
      <c r="H1207" t="s">
        <v>52</v>
      </c>
      <c r="I1207" t="s">
        <v>333</v>
      </c>
      <c r="J1207" s="28" t="s">
        <v>407</v>
      </c>
      <c r="K1207" s="32"/>
      <c r="L1207" s="32">
        <v>1</v>
      </c>
      <c r="M1207" s="30">
        <v>45976</v>
      </c>
      <c r="N1207" s="30">
        <v>46003</v>
      </c>
      <c r="O1207" s="43"/>
      <c r="P1207" s="55" t="s">
        <v>1892</v>
      </c>
      <c r="R1207" t="s">
        <v>1765</v>
      </c>
    </row>
    <row r="1208" spans="1:18" ht="15" customHeight="1">
      <c r="A1208" s="106" t="b">
        <v>0</v>
      </c>
      <c r="B1208" t="str" cm="1">
        <f t="array" ref="B1208">_xlfn.SINGLE(_xlfn._xlws.FILTER(t_ServiceCatalogue[Onwer],t_ServiceCatalogue[Category]=t_fac25_requirements[[#This Row],[Category]],""))</f>
        <v>NW</v>
      </c>
      <c r="C1208" t="s">
        <v>156</v>
      </c>
      <c r="D1208" t="str">
        <f>_xlfn._xlws.FILTER(t_Contact[FA Name],t_Contact[FA]=t_fac25_requirements[[#This Row],[FA]],"")</f>
        <v>Ticketing</v>
      </c>
      <c r="E1208" t="s">
        <v>212</v>
      </c>
      <c r="F1208" t="s">
        <v>325</v>
      </c>
      <c r="G1208" t="s">
        <v>1887</v>
      </c>
      <c r="H1208" t="s">
        <v>52</v>
      </c>
      <c r="I1208" t="s">
        <v>333</v>
      </c>
      <c r="J1208" s="28" t="s">
        <v>407</v>
      </c>
      <c r="K1208" s="32"/>
      <c r="L1208" s="32">
        <v>1</v>
      </c>
      <c r="M1208" s="30">
        <v>45976</v>
      </c>
      <c r="N1208" s="30">
        <v>46003</v>
      </c>
      <c r="O1208" s="43"/>
      <c r="P1208" s="55" t="s">
        <v>1892</v>
      </c>
      <c r="R1208" t="s">
        <v>1765</v>
      </c>
    </row>
    <row r="1209" spans="1:18" ht="15" customHeight="1">
      <c r="A1209" s="106" t="b">
        <v>1</v>
      </c>
      <c r="B1209" t="str" cm="1">
        <f t="array" ref="B1209">_xlfn.SINGLE(_xlfn._xlws.FILTER(t_ServiceCatalogue[Onwer],t_ServiceCatalogue[Category]=t_fac25_requirements[[#This Row],[Category]],""))</f>
        <v>NW</v>
      </c>
      <c r="C1209" t="s">
        <v>156</v>
      </c>
      <c r="D1209" t="str">
        <f>_xlfn._xlws.FILTER(t_Contact[FA Name],t_Contact[FA]=t_fac25_requirements[[#This Row],[FA]],"")</f>
        <v>Ticketing</v>
      </c>
      <c r="E1209" t="s">
        <v>208</v>
      </c>
      <c r="F1209" t="s">
        <v>325</v>
      </c>
      <c r="G1209" t="s">
        <v>1884</v>
      </c>
      <c r="H1209" t="s">
        <v>52</v>
      </c>
      <c r="I1209" t="s">
        <v>333</v>
      </c>
      <c r="J1209" s="28" t="s">
        <v>407</v>
      </c>
      <c r="K1209" s="32"/>
      <c r="L1209" s="32">
        <v>1</v>
      </c>
      <c r="M1209" s="30">
        <v>45976</v>
      </c>
      <c r="N1209" s="30">
        <v>46008</v>
      </c>
      <c r="O1209" s="43"/>
      <c r="P1209" s="55" t="s">
        <v>1892</v>
      </c>
      <c r="R1209" t="s">
        <v>1743</v>
      </c>
    </row>
    <row r="1210" spans="1:18" ht="15" customHeight="1">
      <c r="A1210" s="106" t="b">
        <v>1</v>
      </c>
      <c r="B1210" t="str" cm="1">
        <f t="array" ref="B1210">_xlfn.SINGLE(_xlfn._xlws.FILTER(t_ServiceCatalogue[Onwer],t_ServiceCatalogue[Category]=t_fac25_requirements[[#This Row],[Category]],""))</f>
        <v>NW</v>
      </c>
      <c r="C1210" t="s">
        <v>156</v>
      </c>
      <c r="D1210" t="str">
        <f>_xlfn._xlws.FILTER(t_Contact[FA Name],t_Contact[FA]=t_fac25_requirements[[#This Row],[FA]],"")</f>
        <v>Ticketing</v>
      </c>
      <c r="E1210" t="s">
        <v>208</v>
      </c>
      <c r="F1210" t="s">
        <v>325</v>
      </c>
      <c r="G1210" t="s">
        <v>334</v>
      </c>
      <c r="H1210" t="s">
        <v>52</v>
      </c>
      <c r="I1210" t="s">
        <v>333</v>
      </c>
      <c r="J1210" s="28" t="s">
        <v>407</v>
      </c>
      <c r="K1210" s="32"/>
      <c r="L1210" s="32">
        <v>1</v>
      </c>
      <c r="M1210" s="30">
        <v>45976</v>
      </c>
      <c r="N1210" s="30">
        <v>46008</v>
      </c>
      <c r="O1210" s="43"/>
      <c r="P1210" s="55" t="s">
        <v>1892</v>
      </c>
      <c r="R1210" t="s">
        <v>1743</v>
      </c>
    </row>
    <row r="1211" spans="1:18" ht="15" customHeight="1">
      <c r="A1211" s="106" t="b">
        <v>1</v>
      </c>
      <c r="B1211" t="str" cm="1">
        <f t="array" ref="B1211">_xlfn.SINGLE(_xlfn._xlws.FILTER(t_ServiceCatalogue[Onwer],t_ServiceCatalogue[Category]=t_fac25_requirements[[#This Row],[Category]],""))</f>
        <v>NW</v>
      </c>
      <c r="C1211" t="s">
        <v>156</v>
      </c>
      <c r="D1211" t="str">
        <f>_xlfn._xlws.FILTER(t_Contact[FA Name],t_Contact[FA]=t_fac25_requirements[[#This Row],[FA]],"")</f>
        <v>Ticketing</v>
      </c>
      <c r="E1211" t="s">
        <v>208</v>
      </c>
      <c r="F1211" t="s">
        <v>325</v>
      </c>
      <c r="G1211" t="s">
        <v>1887</v>
      </c>
      <c r="H1211" t="s">
        <v>52</v>
      </c>
      <c r="I1211" t="s">
        <v>333</v>
      </c>
      <c r="J1211" s="28" t="s">
        <v>407</v>
      </c>
      <c r="K1211" s="32"/>
      <c r="L1211" s="32">
        <v>1</v>
      </c>
      <c r="M1211" s="30">
        <v>45976</v>
      </c>
      <c r="N1211" s="30">
        <v>46008</v>
      </c>
      <c r="O1211" s="43"/>
      <c r="P1211" s="55" t="s">
        <v>1892</v>
      </c>
      <c r="R1211" t="s">
        <v>1743</v>
      </c>
    </row>
    <row r="1212" spans="1:18" ht="15" customHeight="1">
      <c r="A1212" s="106" t="b">
        <v>0</v>
      </c>
      <c r="B1212" t="str" cm="1">
        <f t="array" ref="B1212">_xlfn.SINGLE(_xlfn._xlws.FILTER(t_ServiceCatalogue[Onwer],t_ServiceCatalogue[Category]=t_fac25_requirements[[#This Row],[Category]],""))</f>
        <v>AV</v>
      </c>
      <c r="C1212" t="s">
        <v>195</v>
      </c>
      <c r="D1212" t="str">
        <f>_xlfn._xlws.FILTER(t_Contact[FA Name],t_Contact[FA]=t_fac25_requirements[[#This Row],[FA]],"")</f>
        <v>Planning and Integration</v>
      </c>
      <c r="E1212" s="43">
        <v>974</v>
      </c>
      <c r="F1212" t="s">
        <v>342</v>
      </c>
      <c r="G1212" s="28" t="s">
        <v>343</v>
      </c>
      <c r="H1212" s="28" t="s">
        <v>58</v>
      </c>
      <c r="I1212" s="28" t="s">
        <v>59</v>
      </c>
      <c r="J1212" s="28" t="s">
        <v>407</v>
      </c>
      <c r="K1212" s="29"/>
      <c r="L1212" s="29">
        <v>1</v>
      </c>
      <c r="M1212" s="30">
        <v>45991</v>
      </c>
      <c r="N1212" s="30">
        <v>46009</v>
      </c>
      <c r="O1212" s="43" t="s">
        <v>60</v>
      </c>
      <c r="P1212" s="55" t="s">
        <v>1893</v>
      </c>
      <c r="Q1212" s="28"/>
    </row>
    <row r="1213" spans="1:18" ht="15" customHeight="1">
      <c r="A1213" s="106" t="b">
        <v>0</v>
      </c>
      <c r="B1213" t="str" cm="1">
        <f t="array" ref="B1213">_xlfn.SINGLE(_xlfn._xlws.FILTER(t_ServiceCatalogue[Onwer],t_ServiceCatalogue[Category]=t_fac25_requirements[[#This Row],[Category]],""))</f>
        <v>AV</v>
      </c>
      <c r="C1213" t="s">
        <v>195</v>
      </c>
      <c r="D1213" t="str">
        <f>_xlfn._xlws.FILTER(t_Contact[FA Name],t_Contact[FA]=t_fac25_requirements[[#This Row],[FA]],"")</f>
        <v>Planning and Integration</v>
      </c>
      <c r="E1213" t="s">
        <v>213</v>
      </c>
      <c r="F1213" t="s">
        <v>342</v>
      </c>
      <c r="G1213" s="28" t="s">
        <v>343</v>
      </c>
      <c r="H1213" s="28" t="s">
        <v>58</v>
      </c>
      <c r="I1213" s="28" t="s">
        <v>59</v>
      </c>
      <c r="J1213" s="28" t="s">
        <v>407</v>
      </c>
      <c r="K1213" s="29"/>
      <c r="L1213" s="29">
        <v>1</v>
      </c>
      <c r="M1213" s="30">
        <v>45991</v>
      </c>
      <c r="N1213" s="30">
        <v>46009</v>
      </c>
      <c r="O1213" s="43" t="s">
        <v>60</v>
      </c>
      <c r="P1213" s="55" t="s">
        <v>1893</v>
      </c>
      <c r="Q1213" s="28"/>
    </row>
    <row r="1214" spans="1:18" ht="15" customHeight="1">
      <c r="A1214" s="106" t="b">
        <v>0</v>
      </c>
      <c r="B1214" t="str" cm="1">
        <f t="array" ref="B1214">_xlfn.SINGLE(_xlfn._xlws.FILTER(t_ServiceCatalogue[Onwer],t_ServiceCatalogue[Category]=t_fac25_requirements[[#This Row],[Category]],""))</f>
        <v>AV</v>
      </c>
      <c r="C1214" t="s">
        <v>195</v>
      </c>
      <c r="D1214" t="str">
        <f>_xlfn._xlws.FILTER(t_Contact[FA Name],t_Contact[FA]=t_fac25_requirements[[#This Row],[FA]],"")</f>
        <v>Planning and Integration</v>
      </c>
      <c r="E1214" t="s">
        <v>212</v>
      </c>
      <c r="F1214" t="s">
        <v>342</v>
      </c>
      <c r="G1214" s="28" t="s">
        <v>343</v>
      </c>
      <c r="H1214" s="28" t="s">
        <v>58</v>
      </c>
      <c r="I1214" s="28" t="s">
        <v>59</v>
      </c>
      <c r="J1214" s="28" t="s">
        <v>407</v>
      </c>
      <c r="K1214" s="29"/>
      <c r="L1214" s="29">
        <v>1</v>
      </c>
      <c r="M1214" s="30">
        <v>45991</v>
      </c>
      <c r="N1214" s="30">
        <v>46009</v>
      </c>
      <c r="O1214" s="43" t="s">
        <v>60</v>
      </c>
      <c r="P1214" s="55" t="s">
        <v>1893</v>
      </c>
      <c r="Q1214" s="28"/>
    </row>
    <row r="1215" spans="1:18" ht="15" customHeight="1">
      <c r="A1215" s="106" t="b">
        <v>0</v>
      </c>
      <c r="B1215" t="str" cm="1">
        <f t="array" ref="B1215">_xlfn.SINGLE(_xlfn._xlws.FILTER(t_ServiceCatalogue[Onwer],t_ServiceCatalogue[Category]=t_fac25_requirements[[#This Row],[Category]],""))</f>
        <v>AV</v>
      </c>
      <c r="C1215" t="s">
        <v>195</v>
      </c>
      <c r="D1215" t="str">
        <f>_xlfn._xlws.FILTER(t_Contact[FA Name],t_Contact[FA]=t_fac25_requirements[[#This Row],[FA]],"")</f>
        <v>Planning and Integration</v>
      </c>
      <c r="E1215" t="s">
        <v>214</v>
      </c>
      <c r="F1215" t="s">
        <v>342</v>
      </c>
      <c r="G1215" s="28" t="s">
        <v>343</v>
      </c>
      <c r="H1215" s="28" t="s">
        <v>58</v>
      </c>
      <c r="I1215" s="28" t="s">
        <v>59</v>
      </c>
      <c r="J1215" s="28" t="s">
        <v>407</v>
      </c>
      <c r="K1215" s="29"/>
      <c r="L1215" s="29">
        <v>1</v>
      </c>
      <c r="M1215" s="30">
        <v>45991</v>
      </c>
      <c r="N1215" s="30">
        <v>46009</v>
      </c>
      <c r="O1215" s="43" t="s">
        <v>60</v>
      </c>
      <c r="P1215" s="55" t="s">
        <v>1893</v>
      </c>
      <c r="Q1215" s="28"/>
    </row>
    <row r="1216" spans="1:18" ht="15" customHeight="1">
      <c r="A1216" s="106" t="b">
        <v>0</v>
      </c>
      <c r="B1216" t="str" cm="1">
        <f t="array" ref="B1216">_xlfn.SINGLE(_xlfn._xlws.FILTER(t_ServiceCatalogue[Onwer],t_ServiceCatalogue[Category]=t_fac25_requirements[[#This Row],[Category]],""))</f>
        <v>AV</v>
      </c>
      <c r="C1216" t="s">
        <v>195</v>
      </c>
      <c r="D1216" t="str">
        <f>_xlfn._xlws.FILTER(t_Contact[FA Name],t_Contact[FA]=t_fac25_requirements[[#This Row],[FA]],"")</f>
        <v>Planning and Integration</v>
      </c>
      <c r="E1216" t="s">
        <v>208</v>
      </c>
      <c r="F1216" t="s">
        <v>342</v>
      </c>
      <c r="G1216" s="28" t="s">
        <v>343</v>
      </c>
      <c r="H1216" s="28" t="s">
        <v>58</v>
      </c>
      <c r="I1216" s="28" t="s">
        <v>59</v>
      </c>
      <c r="J1216" s="28" t="s">
        <v>407</v>
      </c>
      <c r="K1216" s="29"/>
      <c r="L1216" s="29">
        <v>1</v>
      </c>
      <c r="M1216" s="30">
        <v>45991</v>
      </c>
      <c r="N1216" s="30">
        <v>46009</v>
      </c>
      <c r="O1216" s="43" t="s">
        <v>60</v>
      </c>
      <c r="P1216" s="55" t="s">
        <v>1893</v>
      </c>
      <c r="Q1216" s="28"/>
    </row>
    <row r="1217" spans="1:17" ht="15" customHeight="1">
      <c r="A1217" s="106" t="b">
        <v>0</v>
      </c>
      <c r="B1217" t="str" cm="1">
        <f t="array" ref="B1217">_xlfn.SINGLE(_xlfn._xlws.FILTER(t_ServiceCatalogue[Onwer],t_ServiceCatalogue[Category]=t_fac25_requirements[[#This Row],[Category]],""))</f>
        <v>AV</v>
      </c>
      <c r="C1217" t="s">
        <v>191</v>
      </c>
      <c r="D1217" t="str">
        <f>_xlfn._xlws.FILTER(t_Contact[FA Name],t_Contact[FA]=t_fac25_requirements[[#This Row],[FA]],"")</f>
        <v>Competition</v>
      </c>
      <c r="E1217" t="s">
        <v>211</v>
      </c>
      <c r="F1217" t="s">
        <v>342</v>
      </c>
      <c r="G1217" s="28" t="s">
        <v>344</v>
      </c>
      <c r="H1217" s="28" t="s">
        <v>58</v>
      </c>
      <c r="I1217" s="28" t="s">
        <v>59</v>
      </c>
      <c r="J1217" s="28" t="s">
        <v>407</v>
      </c>
      <c r="K1217" s="29"/>
      <c r="L1217" s="29">
        <v>1</v>
      </c>
      <c r="M1217" s="30">
        <v>45991</v>
      </c>
      <c r="N1217" s="30">
        <v>46009</v>
      </c>
      <c r="O1217" s="43" t="s">
        <v>60</v>
      </c>
      <c r="P1217" s="55" t="s">
        <v>1894</v>
      </c>
      <c r="Q1217" s="28"/>
    </row>
    <row r="1218" spans="1:17" ht="15" customHeight="1">
      <c r="A1218" s="106" t="b">
        <v>0</v>
      </c>
      <c r="B1218" t="str" cm="1">
        <f t="array" ref="B1218">_xlfn.SINGLE(_xlfn._xlws.FILTER(t_ServiceCatalogue[Onwer],t_ServiceCatalogue[Category]=t_fac25_requirements[[#This Row],[Category]],""))</f>
        <v>AV</v>
      </c>
      <c r="C1218" t="s">
        <v>191</v>
      </c>
      <c r="D1218" t="str">
        <f>_xlfn._xlws.FILTER(t_Contact[FA Name],t_Contact[FA]=t_fac25_requirements[[#This Row],[FA]],"")</f>
        <v>Competition</v>
      </c>
      <c r="E1218" s="43">
        <v>974</v>
      </c>
      <c r="F1218" t="s">
        <v>342</v>
      </c>
      <c r="G1218" s="28" t="s">
        <v>344</v>
      </c>
      <c r="H1218" s="28" t="s">
        <v>58</v>
      </c>
      <c r="I1218" s="28" t="s">
        <v>59</v>
      </c>
      <c r="J1218" s="28" t="s">
        <v>407</v>
      </c>
      <c r="K1218" s="29"/>
      <c r="L1218" s="29">
        <v>1</v>
      </c>
      <c r="M1218" s="30">
        <v>45991</v>
      </c>
      <c r="N1218" s="30">
        <v>46009</v>
      </c>
      <c r="O1218" s="43" t="s">
        <v>60</v>
      </c>
      <c r="P1218" s="55" t="s">
        <v>1894</v>
      </c>
      <c r="Q1218" s="28"/>
    </row>
    <row r="1219" spans="1:17" ht="15" customHeight="1">
      <c r="A1219" s="106" t="b">
        <v>0</v>
      </c>
      <c r="B1219" t="str" cm="1">
        <f t="array" ref="B1219">_xlfn.SINGLE(_xlfn._xlws.FILTER(t_ServiceCatalogue[Onwer],t_ServiceCatalogue[Category]=t_fac25_requirements[[#This Row],[Category]],""))</f>
        <v>AV</v>
      </c>
      <c r="C1219" t="s">
        <v>191</v>
      </c>
      <c r="D1219" t="str">
        <f>_xlfn._xlws.FILTER(t_Contact[FA Name],t_Contact[FA]=t_fac25_requirements[[#This Row],[FA]],"")</f>
        <v>Competition</v>
      </c>
      <c r="E1219" t="s">
        <v>213</v>
      </c>
      <c r="F1219" t="s">
        <v>342</v>
      </c>
      <c r="G1219" s="28" t="s">
        <v>344</v>
      </c>
      <c r="H1219" s="28" t="s">
        <v>58</v>
      </c>
      <c r="I1219" s="28" t="s">
        <v>59</v>
      </c>
      <c r="J1219" s="28" t="s">
        <v>407</v>
      </c>
      <c r="K1219" s="29"/>
      <c r="L1219" s="29">
        <v>1</v>
      </c>
      <c r="M1219" s="30">
        <v>45991</v>
      </c>
      <c r="N1219" s="30">
        <v>46009</v>
      </c>
      <c r="O1219" s="43" t="s">
        <v>60</v>
      </c>
      <c r="P1219" s="55" t="s">
        <v>1894</v>
      </c>
      <c r="Q1219" s="28"/>
    </row>
    <row r="1220" spans="1:17" ht="15" customHeight="1">
      <c r="A1220" s="106" t="b">
        <v>0</v>
      </c>
      <c r="B1220" t="str" cm="1">
        <f t="array" ref="B1220">_xlfn.SINGLE(_xlfn._xlws.FILTER(t_ServiceCatalogue[Onwer],t_ServiceCatalogue[Category]=t_fac25_requirements[[#This Row],[Category]],""))</f>
        <v>AV</v>
      </c>
      <c r="C1220" t="s">
        <v>191</v>
      </c>
      <c r="D1220" t="str">
        <f>_xlfn._xlws.FILTER(t_Contact[FA Name],t_Contact[FA]=t_fac25_requirements[[#This Row],[FA]],"")</f>
        <v>Competition</v>
      </c>
      <c r="E1220" t="s">
        <v>212</v>
      </c>
      <c r="F1220" t="s">
        <v>342</v>
      </c>
      <c r="G1220" s="28" t="s">
        <v>344</v>
      </c>
      <c r="H1220" s="28" t="s">
        <v>58</v>
      </c>
      <c r="I1220" s="28" t="s">
        <v>59</v>
      </c>
      <c r="J1220" s="28" t="s">
        <v>407</v>
      </c>
      <c r="K1220" s="29"/>
      <c r="L1220" s="29">
        <v>1</v>
      </c>
      <c r="M1220" s="30">
        <v>45991</v>
      </c>
      <c r="N1220" s="30">
        <v>46009</v>
      </c>
      <c r="O1220" s="43" t="s">
        <v>60</v>
      </c>
      <c r="P1220" s="55" t="s">
        <v>1894</v>
      </c>
      <c r="Q1220" s="28"/>
    </row>
    <row r="1221" spans="1:17" ht="15" customHeight="1">
      <c r="A1221" s="106" t="b">
        <v>0</v>
      </c>
      <c r="B1221" t="str" cm="1">
        <f t="array" ref="B1221">_xlfn.SINGLE(_xlfn._xlws.FILTER(t_ServiceCatalogue[Onwer],t_ServiceCatalogue[Category]=t_fac25_requirements[[#This Row],[Category]],""))</f>
        <v>AV</v>
      </c>
      <c r="C1221" t="s">
        <v>191</v>
      </c>
      <c r="D1221" t="str">
        <f>_xlfn._xlws.FILTER(t_Contact[FA Name],t_Contact[FA]=t_fac25_requirements[[#This Row],[FA]],"")</f>
        <v>Competition</v>
      </c>
      <c r="E1221" t="s">
        <v>214</v>
      </c>
      <c r="F1221" t="s">
        <v>342</v>
      </c>
      <c r="G1221" s="28" t="s">
        <v>344</v>
      </c>
      <c r="H1221" s="28" t="s">
        <v>58</v>
      </c>
      <c r="I1221" s="28" t="s">
        <v>59</v>
      </c>
      <c r="J1221" s="28" t="s">
        <v>407</v>
      </c>
      <c r="K1221" s="29"/>
      <c r="L1221" s="29">
        <v>1</v>
      </c>
      <c r="M1221" s="30">
        <v>45991</v>
      </c>
      <c r="N1221" s="30">
        <v>46009</v>
      </c>
      <c r="O1221" s="43" t="s">
        <v>60</v>
      </c>
      <c r="P1221" s="55" t="s">
        <v>1894</v>
      </c>
      <c r="Q1221" s="28"/>
    </row>
    <row r="1222" spans="1:17" ht="15" customHeight="1">
      <c r="A1222" s="106" t="b">
        <v>0</v>
      </c>
      <c r="B1222" t="str" cm="1">
        <f t="array" ref="B1222">_xlfn.SINGLE(_xlfn._xlws.FILTER(t_ServiceCatalogue[Onwer],t_ServiceCatalogue[Category]=t_fac25_requirements[[#This Row],[Category]],""))</f>
        <v>AV</v>
      </c>
      <c r="C1222" t="s">
        <v>191</v>
      </c>
      <c r="D1222" t="str">
        <f>_xlfn._xlws.FILTER(t_Contact[FA Name],t_Contact[FA]=t_fac25_requirements[[#This Row],[FA]],"")</f>
        <v>Competition</v>
      </c>
      <c r="E1222" t="s">
        <v>208</v>
      </c>
      <c r="F1222" t="s">
        <v>342</v>
      </c>
      <c r="G1222" s="28" t="s">
        <v>344</v>
      </c>
      <c r="H1222" s="28" t="s">
        <v>58</v>
      </c>
      <c r="I1222" s="28" t="s">
        <v>59</v>
      </c>
      <c r="J1222" s="28" t="s">
        <v>407</v>
      </c>
      <c r="K1222" s="29"/>
      <c r="L1222" s="29">
        <v>1</v>
      </c>
      <c r="M1222" s="30">
        <v>45991</v>
      </c>
      <c r="N1222" s="30">
        <v>46009</v>
      </c>
      <c r="O1222" s="43" t="s">
        <v>60</v>
      </c>
      <c r="P1222" s="55" t="s">
        <v>1894</v>
      </c>
      <c r="Q1222" s="28"/>
    </row>
    <row r="1223" spans="1:17" ht="15" customHeight="1">
      <c r="A1223" s="106" t="b">
        <v>0</v>
      </c>
      <c r="B1223" t="str" cm="1">
        <f t="array" ref="B1223">_xlfn.SINGLE(_xlfn._xlws.FILTER(t_ServiceCatalogue[Onwer],t_ServiceCatalogue[Category]=t_fac25_requirements[[#This Row],[Category]],""))</f>
        <v>AV</v>
      </c>
      <c r="C1223" t="s">
        <v>195</v>
      </c>
      <c r="D1223" t="str" cm="1">
        <f t="array" ref="D1223">_xlfn.SINGLE(_xlfn._xlws.FILTER(t_Contact[FA Name],t_Contact[FA]=t_fac25_requirements[[#This Row],[FA]],""))</f>
        <v>Planning and Integration</v>
      </c>
      <c r="E1223" s="28" t="s">
        <v>211</v>
      </c>
      <c r="F1223" t="s">
        <v>342</v>
      </c>
      <c r="G1223" s="28" t="s">
        <v>343</v>
      </c>
      <c r="H1223" s="28" t="s">
        <v>58</v>
      </c>
      <c r="I1223" s="28" t="s">
        <v>59</v>
      </c>
      <c r="J1223" s="28" t="s">
        <v>407</v>
      </c>
      <c r="K1223" s="29"/>
      <c r="L1223" s="29">
        <v>1</v>
      </c>
      <c r="M1223" s="30">
        <v>45991</v>
      </c>
      <c r="N1223" s="30">
        <v>46009</v>
      </c>
      <c r="O1223" s="43" t="s">
        <v>60</v>
      </c>
      <c r="P1223" s="55" t="s">
        <v>1893</v>
      </c>
      <c r="Q1223" s="28"/>
    </row>
    <row r="1224" spans="1:17" ht="15" customHeight="1">
      <c r="A1224" s="106" t="b">
        <v>1</v>
      </c>
      <c r="B1224" t="s">
        <v>220</v>
      </c>
      <c r="C1224" t="s">
        <v>1895</v>
      </c>
      <c r="E1224" s="115" t="s">
        <v>211</v>
      </c>
      <c r="F1224" t="s">
        <v>288</v>
      </c>
      <c r="G1224" s="117" t="s">
        <v>1896</v>
      </c>
      <c r="H1224" s="117" t="s">
        <v>84</v>
      </c>
      <c r="I1224" t="s">
        <v>221</v>
      </c>
      <c r="J1224" s="28" t="s">
        <v>370</v>
      </c>
      <c r="K1224" s="32"/>
      <c r="L1224" s="125">
        <v>5</v>
      </c>
      <c r="M1224" s="147">
        <v>45981</v>
      </c>
      <c r="N1224" s="147">
        <v>46009</v>
      </c>
      <c r="O1224" s="43" t="s">
        <v>86</v>
      </c>
      <c r="P1224" s="55" t="s">
        <v>1897</v>
      </c>
      <c r="Q1224" s="161"/>
    </row>
    <row r="1225" spans="1:17" ht="15" customHeight="1">
      <c r="A1225" s="106" t="b">
        <v>1</v>
      </c>
      <c r="B1225" t="s">
        <v>220</v>
      </c>
      <c r="C1225" t="s">
        <v>1895</v>
      </c>
      <c r="D1225" t="str">
        <f>_xlfn._xlws.FILTER(t_Contact[FA Name],t_Contact[FA]=t_fac25_requirements[[#This Row],[FA]],"")</f>
        <v>FIFA Interpretation Services</v>
      </c>
      <c r="E1225" s="115" t="s">
        <v>214</v>
      </c>
      <c r="F1225" t="s">
        <v>288</v>
      </c>
      <c r="G1225" s="117" t="s">
        <v>1896</v>
      </c>
      <c r="H1225" s="117" t="s">
        <v>84</v>
      </c>
      <c r="I1225" t="s">
        <v>221</v>
      </c>
      <c r="J1225" s="28" t="s">
        <v>370</v>
      </c>
      <c r="K1225" s="32"/>
      <c r="L1225" s="125">
        <v>5</v>
      </c>
      <c r="M1225" s="147">
        <v>45981</v>
      </c>
      <c r="N1225" s="147">
        <v>46009</v>
      </c>
      <c r="O1225" s="43" t="s">
        <v>86</v>
      </c>
      <c r="P1225" s="55" t="s">
        <v>1897</v>
      </c>
      <c r="Q1225" s="161"/>
    </row>
    <row r="1226" spans="1:17" ht="15" customHeight="1">
      <c r="A1226" s="106" t="b">
        <v>1</v>
      </c>
      <c r="B1226" t="s">
        <v>220</v>
      </c>
      <c r="C1226" t="s">
        <v>1895</v>
      </c>
      <c r="D1226" t="str">
        <f>_xlfn._xlws.FILTER(t_Contact[FA Name],t_Contact[FA]=t_fac25_requirements[[#This Row],[FA]],"")</f>
        <v>FIFA Interpretation Services</v>
      </c>
      <c r="E1226" s="43">
        <v>974</v>
      </c>
      <c r="F1226" t="s">
        <v>288</v>
      </c>
      <c r="G1226" s="117" t="s">
        <v>1896</v>
      </c>
      <c r="H1226" s="117" t="s">
        <v>84</v>
      </c>
      <c r="I1226" t="s">
        <v>221</v>
      </c>
      <c r="J1226" s="28" t="s">
        <v>370</v>
      </c>
      <c r="K1226" s="32"/>
      <c r="L1226" s="125">
        <v>5</v>
      </c>
      <c r="M1226" s="147">
        <v>45981</v>
      </c>
      <c r="N1226" s="147">
        <v>46009</v>
      </c>
      <c r="O1226" s="43" t="s">
        <v>86</v>
      </c>
      <c r="P1226" s="55" t="s">
        <v>1897</v>
      </c>
      <c r="Q1226" s="161"/>
    </row>
    <row r="1227" spans="1:17" ht="15" customHeight="1">
      <c r="A1227" s="106" t="b">
        <v>1</v>
      </c>
      <c r="B1227" t="s">
        <v>220</v>
      </c>
      <c r="C1227" t="s">
        <v>1895</v>
      </c>
      <c r="D1227" t="str">
        <f>_xlfn._xlws.FILTER(t_Contact[FA Name],t_Contact[FA]=t_fac25_requirements[[#This Row],[FA]],"")</f>
        <v>FIFA Interpretation Services</v>
      </c>
      <c r="E1227" s="115" t="s">
        <v>208</v>
      </c>
      <c r="F1227" t="s">
        <v>288</v>
      </c>
      <c r="G1227" s="117" t="s">
        <v>1896</v>
      </c>
      <c r="H1227" s="117" t="s">
        <v>84</v>
      </c>
      <c r="I1227" t="s">
        <v>221</v>
      </c>
      <c r="J1227" s="28" t="s">
        <v>370</v>
      </c>
      <c r="K1227" s="32"/>
      <c r="L1227" s="125">
        <v>5</v>
      </c>
      <c r="M1227" s="147">
        <v>45981</v>
      </c>
      <c r="N1227" s="147">
        <v>46009</v>
      </c>
      <c r="O1227" s="43" t="s">
        <v>86</v>
      </c>
      <c r="P1227" s="55" t="s">
        <v>1897</v>
      </c>
      <c r="Q1227" s="161"/>
    </row>
    <row r="1228" spans="1:17" ht="15" customHeight="1">
      <c r="A1228" s="106" t="b">
        <v>1</v>
      </c>
      <c r="B1228" t="s">
        <v>220</v>
      </c>
      <c r="C1228" t="s">
        <v>1895</v>
      </c>
      <c r="D1228" t="str">
        <f>_xlfn._xlws.FILTER(t_Contact[FA Name],t_Contact[FA]=t_fac25_requirements[[#This Row],[FA]],"")</f>
        <v>FIFA Interpretation Services</v>
      </c>
      <c r="E1228" s="115" t="s">
        <v>212</v>
      </c>
      <c r="F1228" t="s">
        <v>288</v>
      </c>
      <c r="G1228" s="117" t="s">
        <v>1896</v>
      </c>
      <c r="H1228" s="117" t="s">
        <v>84</v>
      </c>
      <c r="I1228" t="s">
        <v>221</v>
      </c>
      <c r="J1228" s="28" t="s">
        <v>370</v>
      </c>
      <c r="K1228" s="32"/>
      <c r="L1228" s="125">
        <v>5</v>
      </c>
      <c r="M1228" s="147">
        <v>45981</v>
      </c>
      <c r="N1228" s="147">
        <v>46009</v>
      </c>
      <c r="O1228" s="43" t="s">
        <v>86</v>
      </c>
      <c r="P1228" s="55" t="s">
        <v>1897</v>
      </c>
      <c r="Q1228" s="161"/>
    </row>
    <row r="1229" spans="1:17" ht="15" customHeight="1">
      <c r="A1229" s="106" t="b">
        <v>1</v>
      </c>
      <c r="B1229" t="s">
        <v>220</v>
      </c>
      <c r="C1229" t="s">
        <v>1895</v>
      </c>
      <c r="D1229" t="str">
        <f>_xlfn._xlws.FILTER(t_Contact[FA Name],t_Contact[FA]=t_fac25_requirements[[#This Row],[FA]],"")</f>
        <v>FIFA Interpretation Services</v>
      </c>
      <c r="E1229" s="120" t="s">
        <v>213</v>
      </c>
      <c r="F1229" t="s">
        <v>288</v>
      </c>
      <c r="G1229" s="117" t="s">
        <v>1896</v>
      </c>
      <c r="H1229" s="121" t="s">
        <v>84</v>
      </c>
      <c r="I1229" t="s">
        <v>221</v>
      </c>
      <c r="J1229" s="28" t="s">
        <v>370</v>
      </c>
      <c r="K1229" s="32"/>
      <c r="L1229" s="162">
        <v>5</v>
      </c>
      <c r="M1229" s="163">
        <v>45981</v>
      </c>
      <c r="N1229" s="163">
        <v>46009</v>
      </c>
      <c r="O1229" s="43" t="s">
        <v>86</v>
      </c>
      <c r="P1229" s="55" t="s">
        <v>1897</v>
      </c>
      <c r="Q1229" s="164"/>
    </row>
    <row r="1230" spans="1:17" ht="15" customHeight="1">
      <c r="A1230" s="106" t="b">
        <v>0</v>
      </c>
      <c r="B1230" t="s">
        <v>203</v>
      </c>
      <c r="C1230" t="s">
        <v>1895</v>
      </c>
      <c r="D1230" t="str">
        <f>_xlfn._xlws.FILTER(t_Contact[FA Name],t_Contact[FA]=t_fac25_requirements[[#This Row],[FA]],"")</f>
        <v>FIFA Interpretation Services</v>
      </c>
      <c r="E1230" s="115" t="s">
        <v>214</v>
      </c>
      <c r="F1230" t="s">
        <v>288</v>
      </c>
      <c r="G1230" s="117" t="s">
        <v>1896</v>
      </c>
      <c r="H1230" s="118" t="s">
        <v>32</v>
      </c>
      <c r="I1230" s="119" t="s">
        <v>33</v>
      </c>
      <c r="J1230" s="28" t="s">
        <v>370</v>
      </c>
      <c r="K1230" s="32"/>
      <c r="L1230" s="128">
        <v>2</v>
      </c>
      <c r="M1230" s="147">
        <v>45981</v>
      </c>
      <c r="N1230" s="147">
        <v>46009</v>
      </c>
      <c r="O1230" s="43" t="s">
        <v>34</v>
      </c>
      <c r="P1230" s="55" t="s">
        <v>1897</v>
      </c>
      <c r="Q1230" s="161"/>
    </row>
    <row r="1231" spans="1:17" ht="15" customHeight="1">
      <c r="A1231" s="106" t="b">
        <v>0</v>
      </c>
      <c r="B1231" t="s">
        <v>203</v>
      </c>
      <c r="C1231" t="s">
        <v>1895</v>
      </c>
      <c r="D1231" t="str">
        <f>_xlfn._xlws.FILTER(t_Contact[FA Name],t_Contact[FA]=t_fac25_requirements[[#This Row],[FA]],"")</f>
        <v>FIFA Interpretation Services</v>
      </c>
      <c r="E1231" s="43">
        <v>974</v>
      </c>
      <c r="F1231" t="s">
        <v>288</v>
      </c>
      <c r="G1231" s="117" t="s">
        <v>1896</v>
      </c>
      <c r="H1231" s="117" t="s">
        <v>32</v>
      </c>
      <c r="I1231" s="118" t="s">
        <v>33</v>
      </c>
      <c r="J1231" s="28" t="s">
        <v>370</v>
      </c>
      <c r="K1231" s="32"/>
      <c r="L1231" s="128">
        <v>2</v>
      </c>
      <c r="M1231" s="147">
        <v>45981</v>
      </c>
      <c r="N1231" s="147">
        <v>46009</v>
      </c>
      <c r="O1231" s="43" t="s">
        <v>34</v>
      </c>
      <c r="P1231" s="55" t="s">
        <v>1897</v>
      </c>
      <c r="Q1231" s="161"/>
    </row>
    <row r="1232" spans="1:17" ht="15" customHeight="1">
      <c r="A1232" s="106" t="b">
        <v>0</v>
      </c>
      <c r="B1232" t="s">
        <v>203</v>
      </c>
      <c r="C1232" t="s">
        <v>1895</v>
      </c>
      <c r="D1232" t="str">
        <f>_xlfn._xlws.FILTER(t_Contact[FA Name],t_Contact[FA]=t_fac25_requirements[[#This Row],[FA]],"")</f>
        <v>FIFA Interpretation Services</v>
      </c>
      <c r="E1232" s="115" t="s">
        <v>211</v>
      </c>
      <c r="F1232" t="s">
        <v>288</v>
      </c>
      <c r="G1232" s="117" t="s">
        <v>1896</v>
      </c>
      <c r="H1232" s="117" t="s">
        <v>32</v>
      </c>
      <c r="I1232" s="118" t="s">
        <v>33</v>
      </c>
      <c r="J1232" s="28" t="s">
        <v>370</v>
      </c>
      <c r="K1232" s="32"/>
      <c r="L1232" s="128">
        <v>2</v>
      </c>
      <c r="M1232" s="147">
        <v>45981</v>
      </c>
      <c r="N1232" s="147">
        <v>46009</v>
      </c>
      <c r="O1232" s="43" t="s">
        <v>34</v>
      </c>
      <c r="P1232" s="55" t="s">
        <v>1897</v>
      </c>
      <c r="Q1232" s="161"/>
    </row>
    <row r="1233" spans="1:17" ht="15" customHeight="1">
      <c r="A1233" s="106" t="b">
        <v>0</v>
      </c>
      <c r="B1233" t="s">
        <v>203</v>
      </c>
      <c r="C1233" t="s">
        <v>1895</v>
      </c>
      <c r="D1233" t="str">
        <f>_xlfn._xlws.FILTER(t_Contact[FA Name],t_Contact[FA]=t_fac25_requirements[[#This Row],[FA]],"")</f>
        <v>FIFA Interpretation Services</v>
      </c>
      <c r="E1233" s="115" t="s">
        <v>212</v>
      </c>
      <c r="F1233" t="s">
        <v>288</v>
      </c>
      <c r="G1233" s="117" t="s">
        <v>1896</v>
      </c>
      <c r="H1233" s="117" t="s">
        <v>32</v>
      </c>
      <c r="I1233" s="118" t="s">
        <v>33</v>
      </c>
      <c r="J1233" s="28" t="s">
        <v>370</v>
      </c>
      <c r="K1233" s="32"/>
      <c r="L1233" s="128">
        <v>2</v>
      </c>
      <c r="M1233" s="147">
        <v>45981</v>
      </c>
      <c r="N1233" s="147">
        <v>46009</v>
      </c>
      <c r="O1233" s="43" t="s">
        <v>34</v>
      </c>
      <c r="P1233" s="55" t="s">
        <v>1897</v>
      </c>
      <c r="Q1233" s="161"/>
    </row>
    <row r="1234" spans="1:17" ht="15" customHeight="1">
      <c r="A1234" s="106" t="b">
        <v>0</v>
      </c>
      <c r="B1234" t="s">
        <v>203</v>
      </c>
      <c r="C1234" t="s">
        <v>1895</v>
      </c>
      <c r="D1234" t="str">
        <f>_xlfn._xlws.FILTER(t_Contact[FA Name],t_Contact[FA]=t_fac25_requirements[[#This Row],[FA]],"")</f>
        <v>FIFA Interpretation Services</v>
      </c>
      <c r="E1234" s="120" t="s">
        <v>213</v>
      </c>
      <c r="F1234" t="s">
        <v>288</v>
      </c>
      <c r="G1234" s="117" t="s">
        <v>1896</v>
      </c>
      <c r="H1234" s="121" t="s">
        <v>32</v>
      </c>
      <c r="I1234" s="54" t="s">
        <v>33</v>
      </c>
      <c r="J1234" s="28" t="s">
        <v>370</v>
      </c>
      <c r="K1234" s="32"/>
      <c r="L1234" s="165">
        <v>2</v>
      </c>
      <c r="M1234" s="163">
        <v>45981</v>
      </c>
      <c r="N1234" s="163">
        <v>46009</v>
      </c>
      <c r="O1234" s="43" t="s">
        <v>34</v>
      </c>
      <c r="P1234" s="55" t="s">
        <v>1897</v>
      </c>
      <c r="Q1234" s="164"/>
    </row>
    <row r="1235" spans="1:17" ht="15" customHeight="1">
      <c r="A1235" s="106" t="b">
        <v>0</v>
      </c>
      <c r="B1235" t="s">
        <v>203</v>
      </c>
      <c r="C1235" t="s">
        <v>1895</v>
      </c>
      <c r="D1235" t="str">
        <f>_xlfn._xlws.FILTER(t_Contact[FA Name],t_Contact[FA]=t_fac25_requirements[[#This Row],[FA]],"")</f>
        <v>FIFA Interpretation Services</v>
      </c>
      <c r="E1235" s="120" t="s">
        <v>345</v>
      </c>
      <c r="F1235" t="s">
        <v>288</v>
      </c>
      <c r="G1235" s="117" t="s">
        <v>1896</v>
      </c>
      <c r="H1235" s="121" t="s">
        <v>32</v>
      </c>
      <c r="I1235" s="54" t="s">
        <v>33</v>
      </c>
      <c r="J1235" s="28" t="s">
        <v>370</v>
      </c>
      <c r="K1235" s="32"/>
      <c r="L1235" s="165">
        <v>2</v>
      </c>
      <c r="M1235" s="163">
        <v>45981</v>
      </c>
      <c r="N1235" s="163">
        <v>46009</v>
      </c>
      <c r="O1235" s="43" t="s">
        <v>34</v>
      </c>
      <c r="P1235" s="55" t="s">
        <v>1897</v>
      </c>
      <c r="Q1235" s="164"/>
    </row>
    <row r="1236" spans="1:17" ht="15" customHeight="1">
      <c r="A1236" s="106" t="b">
        <v>1</v>
      </c>
      <c r="B1236" t="s">
        <v>220</v>
      </c>
      <c r="C1236" t="s">
        <v>194</v>
      </c>
      <c r="D1236" t="str">
        <f>_xlfn._xlws.FILTER(t_Contact[FA Name],t_Contact[FA]=t_fac25_requirements[[#This Row],[FA]],"")</f>
        <v>Media Operations</v>
      </c>
      <c r="E1236" s="120" t="s">
        <v>211</v>
      </c>
      <c r="F1236" t="s">
        <v>288</v>
      </c>
      <c r="G1236" s="121" t="s">
        <v>1898</v>
      </c>
      <c r="H1236" s="121" t="s">
        <v>84</v>
      </c>
      <c r="I1236" t="s">
        <v>221</v>
      </c>
      <c r="J1236" s="28" t="s">
        <v>370</v>
      </c>
      <c r="K1236" s="32"/>
      <c r="L1236" s="162">
        <v>1</v>
      </c>
      <c r="M1236" s="163">
        <v>45991</v>
      </c>
      <c r="N1236" s="163">
        <v>46009</v>
      </c>
      <c r="O1236" s="43" t="s">
        <v>86</v>
      </c>
      <c r="P1236" s="55" t="s">
        <v>1899</v>
      </c>
      <c r="Q1236" s="164" t="s">
        <v>1410</v>
      </c>
    </row>
  </sheetData>
  <autoFilter ref="F1243" xr:uid="{78DAAE25-88D8-406D-92CB-2AD078384410}"/>
  <phoneticPr fontId="17" type="noConversion"/>
  <conditionalFormatting sqref="A1224:C1229 E1224:E1229 G1224:Q1229">
    <cfRule type="expression" dxfId="79" priority="9">
      <formula>OR($J1224="Canceled",$J1224="Rejected")</formula>
    </cfRule>
  </conditionalFormatting>
  <conditionalFormatting sqref="A1236:C1236 E1236 G1236:Q1236">
    <cfRule type="expression" dxfId="78" priority="1">
      <formula>OR($J1236="Canceled",$J1236="Rejected")</formula>
    </cfRule>
  </conditionalFormatting>
  <conditionalFormatting sqref="A1230:E1230 C1231:C1235">
    <cfRule type="expression" dxfId="77" priority="6">
      <formula>OR($J1230="Canceled",$J1230="Rejected")</formula>
    </cfRule>
  </conditionalFormatting>
  <conditionalFormatting sqref="A1155:F1156 H1155:R1156 A1223:R1223">
    <cfRule type="expression" dxfId="76" priority="32">
      <formula>OR($J1155="Canceled",$J1155="Rejected")</formula>
    </cfRule>
  </conditionalFormatting>
  <conditionalFormatting sqref="A1195:F1195 H1195:R1195">
    <cfRule type="expression" dxfId="75" priority="27">
      <formula>OR($J1195="Canceled",$J1195="Rejected")</formula>
    </cfRule>
  </conditionalFormatting>
  <conditionalFormatting sqref="A3:R246 A247:F247 H247:R247">
    <cfRule type="expression" dxfId="74" priority="33">
      <formula>OR($J3="Canceled",$J3="Rejected")</formula>
    </cfRule>
  </conditionalFormatting>
  <conditionalFormatting sqref="A248:R1211 B1130:B1223 A1212:B1222 D1224:D1229">
    <cfRule type="expression" dxfId="73" priority="24">
      <formula>OR($J248="Canceled",$J248="Rejected")</formula>
    </cfRule>
  </conditionalFormatting>
  <conditionalFormatting sqref="C1217:C1222">
    <cfRule type="expression" dxfId="72" priority="12">
      <formula>OR($J1217="Canceled",$J1217="Rejected")</formula>
    </cfRule>
  </conditionalFormatting>
  <conditionalFormatting sqref="C1212:D1222 F1212:R1222 J1212:J1223">
    <cfRule type="expression" dxfId="71" priority="11">
      <formula>OR($J1212="Canceled",$J1212="Rejected")</formula>
    </cfRule>
  </conditionalFormatting>
  <conditionalFormatting sqref="D1236">
    <cfRule type="expression" dxfId="70" priority="2">
      <formula>OR($J1236="Canceled",$J1236="Rejected")</formula>
    </cfRule>
  </conditionalFormatting>
  <conditionalFormatting sqref="E1212:E1222">
    <cfRule type="expression" dxfId="69" priority="10">
      <formula>OR($J1212="Canceled",$J1212="Rejected")</formula>
    </cfRule>
  </conditionalFormatting>
  <conditionalFormatting sqref="F1224:F1236">
    <cfRule type="expression" dxfId="68" priority="8">
      <formula>OR($J1224="Canceled",$J1224="Rejected")</formula>
    </cfRule>
  </conditionalFormatting>
  <conditionalFormatting sqref="G1155:G1156">
    <cfRule type="expression" dxfId="67" priority="31">
      <formula>OR($J1155="Canceled",$J1155="Rejected")</formula>
    </cfRule>
  </conditionalFormatting>
  <conditionalFormatting sqref="G1195">
    <cfRule type="expression" dxfId="66" priority="26">
      <formula>OR($J1195="Canceled",$J1195="Rejected")</formula>
    </cfRule>
  </conditionalFormatting>
  <conditionalFormatting sqref="G1230:G1235">
    <cfRule type="expression" dxfId="65" priority="4">
      <formula>OR($J1230="Canceled",$J1230="Rejected")</formula>
    </cfRule>
  </conditionalFormatting>
  <conditionalFormatting sqref="H1230:Q1235 A1231:B1235 D1231:E1235">
    <cfRule type="expression" dxfId="64" priority="5">
      <formula>OR($J1230="Canceled",$J1230="Rejected")</formula>
    </cfRule>
  </conditionalFormatting>
  <conditionalFormatting sqref="P1:P1093 P1104:P1048576">
    <cfRule type="expression" dxfId="63" priority="63">
      <formula>$J1="To Validate"</formula>
    </cfRule>
  </conditionalFormatting>
  <conditionalFormatting sqref="P1100:P1104">
    <cfRule type="expression" dxfId="62" priority="35">
      <formula>$J1100="To Validate"</formula>
    </cfRule>
  </conditionalFormatting>
  <conditionalFormatting sqref="P1155:P1156">
    <cfRule type="expression" dxfId="61" priority="28">
      <formula>OR($J1155="Canceled",$J1155="Rejected")</formula>
    </cfRule>
  </conditionalFormatting>
  <conditionalFormatting sqref="P1195">
    <cfRule type="expression" dxfId="60" priority="25">
      <formula>OR($J1195="Canceled",$J1195="Rejected")</formula>
    </cfRule>
  </conditionalFormatting>
  <conditionalFormatting sqref="P1230:P1235">
    <cfRule type="expression" dxfId="59" priority="3">
      <formula>OR($J1230="Canceled",$J1230="Rejected")</formula>
    </cfRule>
  </conditionalFormatting>
  <conditionalFormatting sqref="Q1094:Q1099">
    <cfRule type="duplicateValues" dxfId="58" priority="84"/>
  </conditionalFormatting>
  <conditionalFormatting sqref="R1081">
    <cfRule type="duplicateValues" dxfId="57" priority="54"/>
  </conditionalFormatting>
  <conditionalFormatting sqref="R1082">
    <cfRule type="duplicateValues" dxfId="56" priority="52"/>
  </conditionalFormatting>
  <conditionalFormatting sqref="R1083">
    <cfRule type="duplicateValues" dxfId="55" priority="50"/>
  </conditionalFormatting>
  <conditionalFormatting sqref="R1084">
    <cfRule type="duplicateValues" dxfId="54" priority="48"/>
  </conditionalFormatting>
  <conditionalFormatting sqref="R1085">
    <cfRule type="duplicateValues" dxfId="53" priority="46"/>
  </conditionalFormatting>
  <conditionalFormatting sqref="R1086">
    <cfRule type="duplicateValues" dxfId="52" priority="44"/>
  </conditionalFormatting>
  <conditionalFormatting sqref="R1087:R1093 R1:R1080 R1104:R1048576">
    <cfRule type="duplicateValues" dxfId="51" priority="62"/>
  </conditionalFormatting>
  <conditionalFormatting sqref="R1100">
    <cfRule type="duplicateValues" dxfId="50" priority="40"/>
  </conditionalFormatting>
  <conditionalFormatting sqref="R1101">
    <cfRule type="duplicateValues" dxfId="49" priority="38"/>
  </conditionalFormatting>
  <conditionalFormatting sqref="R1102">
    <cfRule type="duplicateValues" dxfId="48" priority="36"/>
  </conditionalFormatting>
  <conditionalFormatting sqref="R1103">
    <cfRule type="duplicateValues" dxfId="47" priority="34"/>
  </conditionalFormatting>
  <dataValidations disablePrompts="1" count="6">
    <dataValidation type="list" allowBlank="1" showInputMessage="1" showErrorMessage="1" sqref="I1020:I1025 I4:I835 I992 I1006 I989:I990 I1121:I1125 I1127:I1129 I1062:I1115 I1117:I1119 I837:I977 I1131:I1223" xr:uid="{EF8866B9-EC83-4A3F-BAEF-02DA1FB54DF5}">
      <formula1>INDIRECT($H4)</formula1>
    </dataValidation>
    <dataValidation type="list" allowBlank="1" showInputMessage="1" showErrorMessage="1" sqref="J4:J1109 J1138:J1236" xr:uid="{48B5E62C-BE55-4BA9-A373-60DC983969E5}">
      <formula1>Status</formula1>
    </dataValidation>
    <dataValidation type="list" errorStyle="warning" allowBlank="1" showInputMessage="1" showErrorMessage="1" sqref="I1130 I1116 I1120" xr:uid="{9B9AE7F1-0392-5047-BE02-A18F12211661}">
      <formula1>INDIRECT($H1116)</formula1>
    </dataValidation>
    <dataValidation type="list" errorStyle="information" allowBlank="1" showInputMessage="1" showErrorMessage="1" sqref="I1126" xr:uid="{398C9CB5-4D33-2A44-B7CE-D33AA01A3ACC}">
      <formula1>INDIRECT($H1126)</formula1>
    </dataValidation>
    <dataValidation type="list" allowBlank="1" showInputMessage="1" showErrorMessage="1" sqref="B4:B1236" xr:uid="{EB964D50-145C-4ED2-A76B-55F119DB6C8E}">
      <formula1>ServiceOwners</formula1>
    </dataValidation>
    <dataValidation type="list" allowBlank="1" showInputMessage="1" showErrorMessage="1" sqref="C4:C1236" xr:uid="{E6A45877-BD26-4EA0-BF22-7A3787CCBC58}">
      <formula1>FA</formula1>
    </dataValidation>
  </dataValidations>
  <pageMargins left="0.25" right="0.25" top="0.75" bottom="0.75" header="0.3" footer="0.3"/>
  <pageSetup paperSize="8" scale="40" orientation="landscape" r:id="rId1"/>
  <headerFooter>
    <oddHeader>&amp;L&amp;"Calibri"&amp;12&amp;K008000 SC Classification:GENERAL BUSINESS\Other General Business&amp;1#_x000D_</oddHead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F734-6478-437D-9A98-E0D4998B250D}">
  <sheetPr>
    <tabColor rgb="FFFFFF00"/>
    <pageSetUpPr fitToPage="1"/>
  </sheetPr>
  <dimension ref="A1:H1568"/>
  <sheetViews>
    <sheetView zoomScaleNormal="100" workbookViewId="0">
      <selection activeCell="E25" sqref="E25:E26"/>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8" width="12" customWidth="1"/>
    <col min="9"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8" ht="23.45" customHeight="1">
      <c r="A1" s="166" t="s">
        <v>1900</v>
      </c>
      <c r="B1" s="166"/>
      <c r="C1" s="166"/>
      <c r="D1" s="32"/>
      <c r="E1" s="32"/>
      <c r="F1" s="32"/>
    </row>
    <row r="2" spans="1:8">
      <c r="A2"/>
      <c r="B2"/>
    </row>
    <row r="3" spans="1:8" hidden="1">
      <c r="A3" s="56" t="s">
        <v>0</v>
      </c>
      <c r="B3" t="s">
        <v>222</v>
      </c>
    </row>
    <row r="4" spans="1:8" hidden="1">
      <c r="A4" s="56" t="s">
        <v>11</v>
      </c>
      <c r="B4" t="s">
        <v>185</v>
      </c>
    </row>
    <row r="5" spans="1:8" hidden="1"/>
    <row r="6" spans="1:8" hidden="1">
      <c r="A6" s="56" t="s">
        <v>428</v>
      </c>
      <c r="B6" s="56" t="s">
        <v>186</v>
      </c>
      <c r="F6" s="60"/>
      <c r="G6" s="60"/>
      <c r="H6" s="60"/>
    </row>
    <row r="7" spans="1:8">
      <c r="A7" s="76" t="s">
        <v>218</v>
      </c>
      <c r="B7" s="105" t="s">
        <v>208</v>
      </c>
      <c r="C7" s="105" t="s">
        <v>211</v>
      </c>
      <c r="D7" s="105" t="s">
        <v>212</v>
      </c>
      <c r="E7" s="105" t="s">
        <v>213</v>
      </c>
      <c r="F7" s="105" t="s">
        <v>214</v>
      </c>
      <c r="G7" s="105">
        <v>974</v>
      </c>
      <c r="H7" s="104" t="s">
        <v>202</v>
      </c>
    </row>
    <row r="8" spans="1:8">
      <c r="A8" s="43" t="s">
        <v>288</v>
      </c>
      <c r="F8" s="60"/>
      <c r="G8" s="60"/>
      <c r="H8" s="61"/>
    </row>
    <row r="9" spans="1:8">
      <c r="A9" s="57" t="s">
        <v>90</v>
      </c>
      <c r="F9" s="60"/>
      <c r="G9" s="60"/>
      <c r="H9" s="61"/>
    </row>
    <row r="10" spans="1:8">
      <c r="A10" s="58" t="s">
        <v>291</v>
      </c>
      <c r="F10" s="60"/>
      <c r="G10" s="60"/>
      <c r="H10" s="61"/>
    </row>
    <row r="11" spans="1:8">
      <c r="A11" s="71" t="s">
        <v>134</v>
      </c>
      <c r="B11" s="60">
        <v>1</v>
      </c>
      <c r="C11" s="60">
        <v>1</v>
      </c>
      <c r="D11" s="60">
        <v>1</v>
      </c>
      <c r="E11" s="60">
        <v>1</v>
      </c>
      <c r="F11" s="60">
        <v>1</v>
      </c>
      <c r="G11" s="60">
        <v>1</v>
      </c>
      <c r="H11" s="61">
        <v>6</v>
      </c>
    </row>
    <row r="12" spans="1:8">
      <c r="A12" s="71" t="s">
        <v>59</v>
      </c>
      <c r="B12" s="60">
        <v>1</v>
      </c>
      <c r="C12" s="60">
        <v>2</v>
      </c>
      <c r="D12" s="60">
        <v>1</v>
      </c>
      <c r="E12" s="60">
        <v>1</v>
      </c>
      <c r="F12" s="60">
        <v>2</v>
      </c>
      <c r="G12" s="60">
        <v>1</v>
      </c>
      <c r="H12" s="61">
        <v>8</v>
      </c>
    </row>
    <row r="13" spans="1:8">
      <c r="A13" s="58" t="s">
        <v>292</v>
      </c>
      <c r="F13" s="60"/>
      <c r="G13" s="60"/>
      <c r="H13" s="61"/>
    </row>
    <row r="14" spans="1:8">
      <c r="A14" s="71" t="s">
        <v>23</v>
      </c>
      <c r="B14" s="60">
        <v>1</v>
      </c>
      <c r="C14" s="60">
        <v>1</v>
      </c>
      <c r="D14" s="60">
        <v>1</v>
      </c>
      <c r="E14" s="60">
        <v>1</v>
      </c>
      <c r="F14" s="60">
        <v>1</v>
      </c>
      <c r="G14" s="60">
        <v>1</v>
      </c>
      <c r="H14" s="61">
        <v>6</v>
      </c>
    </row>
    <row r="15" spans="1:8">
      <c r="A15" s="71" t="s">
        <v>53</v>
      </c>
      <c r="B15" s="60">
        <v>1</v>
      </c>
      <c r="C15" s="60">
        <v>1</v>
      </c>
      <c r="D15" s="60">
        <v>1</v>
      </c>
      <c r="E15" s="60">
        <v>1</v>
      </c>
      <c r="F15" s="60">
        <v>1</v>
      </c>
      <c r="G15" s="60">
        <v>1</v>
      </c>
      <c r="H15" s="61">
        <v>6</v>
      </c>
    </row>
    <row r="16" spans="1:8">
      <c r="A16" s="71" t="s">
        <v>221</v>
      </c>
      <c r="B16" s="60">
        <v>2</v>
      </c>
      <c r="C16" s="60">
        <v>2</v>
      </c>
      <c r="D16" s="60">
        <v>2</v>
      </c>
      <c r="E16" s="60">
        <v>2</v>
      </c>
      <c r="F16" s="60">
        <v>2</v>
      </c>
      <c r="G16" s="60">
        <v>2</v>
      </c>
      <c r="H16" s="61">
        <v>12</v>
      </c>
    </row>
    <row r="17" spans="1:8">
      <c r="A17" s="58" t="s">
        <v>478</v>
      </c>
      <c r="F17" s="60"/>
      <c r="G17" s="60"/>
      <c r="H17" s="61"/>
    </row>
    <row r="18" spans="1:8">
      <c r="A18" s="71" t="s">
        <v>33</v>
      </c>
      <c r="B18" s="60">
        <v>5</v>
      </c>
      <c r="C18" s="60">
        <v>6</v>
      </c>
      <c r="D18" s="60">
        <v>5</v>
      </c>
      <c r="E18" s="60">
        <v>5</v>
      </c>
      <c r="F18" s="60">
        <v>6</v>
      </c>
      <c r="G18" s="60">
        <v>4</v>
      </c>
      <c r="H18" s="61">
        <v>31</v>
      </c>
    </row>
    <row r="19" spans="1:8">
      <c r="A19"/>
      <c r="B19"/>
      <c r="C19"/>
      <c r="D19"/>
      <c r="E19"/>
      <c r="F19"/>
      <c r="G19"/>
    </row>
    <row r="20" spans="1:8">
      <c r="A20"/>
      <c r="B20"/>
      <c r="C20"/>
      <c r="D20"/>
      <c r="E20"/>
      <c r="F20"/>
      <c r="G20"/>
    </row>
    <row r="21" spans="1:8">
      <c r="A21"/>
      <c r="B21"/>
      <c r="C21"/>
      <c r="D21"/>
      <c r="E21"/>
      <c r="F21"/>
      <c r="G21"/>
    </row>
    <row r="22" spans="1:8">
      <c r="A22"/>
      <c r="B22"/>
      <c r="C22"/>
      <c r="D22"/>
      <c r="E22"/>
      <c r="F22"/>
      <c r="G22"/>
    </row>
    <row r="23" spans="1:8">
      <c r="A23"/>
      <c r="B23"/>
      <c r="C23"/>
      <c r="D23"/>
      <c r="F23"/>
      <c r="G23"/>
    </row>
    <row r="24" spans="1:8">
      <c r="A24"/>
      <c r="B24"/>
      <c r="C24"/>
      <c r="D24"/>
      <c r="E24"/>
      <c r="F24"/>
      <c r="G24"/>
    </row>
    <row r="25" spans="1:8">
      <c r="A25"/>
      <c r="B25"/>
      <c r="C25"/>
      <c r="D25"/>
      <c r="E25" t="s">
        <v>87</v>
      </c>
      <c r="F25"/>
      <c r="G25"/>
    </row>
    <row r="26" spans="1:8">
      <c r="A26"/>
      <c r="B26"/>
      <c r="C26"/>
      <c r="D26"/>
      <c r="F26"/>
      <c r="G26"/>
    </row>
    <row r="27" spans="1:8">
      <c r="A27"/>
      <c r="B27"/>
      <c r="C27"/>
      <c r="D27"/>
      <c r="F27"/>
      <c r="G27"/>
    </row>
    <row r="28" spans="1:8">
      <c r="A28"/>
      <c r="B28"/>
      <c r="C28"/>
      <c r="D28"/>
      <c r="F28"/>
      <c r="G28"/>
    </row>
    <row r="29" spans="1:8">
      <c r="A29"/>
      <c r="B29"/>
      <c r="C29"/>
      <c r="D29"/>
      <c r="E29"/>
      <c r="F29"/>
      <c r="G29"/>
    </row>
    <row r="30" spans="1:8">
      <c r="A30"/>
      <c r="B30"/>
      <c r="C30"/>
      <c r="D30"/>
      <c r="E30"/>
      <c r="F30"/>
      <c r="G30"/>
    </row>
    <row r="31" spans="1:8">
      <c r="A31"/>
      <c r="B31"/>
      <c r="C31"/>
      <c r="D31"/>
      <c r="E31"/>
      <c r="F31"/>
      <c r="G31"/>
    </row>
    <row r="32" spans="1:8">
      <c r="A32"/>
      <c r="B32"/>
      <c r="C32"/>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1:7">
      <c r="A65"/>
      <c r="B65"/>
      <c r="C65"/>
      <c r="D65"/>
      <c r="E65"/>
      <c r="F65"/>
      <c r="G65"/>
    </row>
    <row r="66" spans="1:7">
      <c r="A66"/>
      <c r="B66"/>
      <c r="C66"/>
      <c r="D66"/>
      <c r="E66"/>
      <c r="F66"/>
      <c r="G66"/>
    </row>
    <row r="67" spans="1:7">
      <c r="A67"/>
      <c r="B67"/>
      <c r="C67"/>
      <c r="D67" s="32"/>
      <c r="E67" s="32"/>
      <c r="F67" s="32"/>
    </row>
    <row r="68" spans="1:7">
      <c r="A68"/>
      <c r="B68"/>
      <c r="C68"/>
      <c r="D68" s="32"/>
      <c r="E68" s="32"/>
      <c r="F68" s="32"/>
    </row>
    <row r="69" spans="1:7">
      <c r="A69"/>
      <c r="B69"/>
      <c r="C69"/>
      <c r="D69" s="32"/>
      <c r="E69" s="32"/>
      <c r="F69" s="32"/>
    </row>
    <row r="70" spans="1:7">
      <c r="A70"/>
      <c r="B70"/>
      <c r="C70"/>
      <c r="D70" s="32"/>
      <c r="E70" s="32"/>
      <c r="F70" s="32"/>
    </row>
    <row r="71" spans="1:7">
      <c r="A71"/>
      <c r="B71"/>
      <c r="C71"/>
      <c r="D71" s="32"/>
      <c r="E71" s="32"/>
      <c r="F71" s="32"/>
    </row>
    <row r="72" spans="1:7">
      <c r="A72"/>
      <c r="B72"/>
      <c r="C72"/>
      <c r="D72" s="32"/>
      <c r="E72" s="32"/>
      <c r="F72" s="32"/>
    </row>
    <row r="73" spans="1:7">
      <c r="A73"/>
      <c r="B73"/>
      <c r="C73"/>
      <c r="D73" s="32"/>
      <c r="E73" s="32"/>
      <c r="F73" s="32"/>
    </row>
    <row r="74" spans="1:7">
      <c r="A74"/>
      <c r="B74"/>
      <c r="C74"/>
      <c r="D74" s="32"/>
      <c r="E74" s="32"/>
      <c r="F74" s="32"/>
    </row>
    <row r="75" spans="1:7">
      <c r="A75"/>
      <c r="B75"/>
      <c r="C75"/>
      <c r="D75" s="32"/>
      <c r="E75" s="32"/>
      <c r="F75" s="32"/>
    </row>
    <row r="76" spans="1:7">
      <c r="A76"/>
      <c r="B76"/>
      <c r="C76"/>
      <c r="D76" s="32"/>
      <c r="E76" s="32"/>
      <c r="F76" s="32"/>
    </row>
    <row r="77" spans="1:7">
      <c r="A77"/>
      <c r="B77"/>
      <c r="C77"/>
      <c r="D77" s="32"/>
      <c r="E77" s="32"/>
      <c r="F77" s="32"/>
    </row>
    <row r="78" spans="1:7">
      <c r="A78"/>
      <c r="B78"/>
      <c r="C78"/>
      <c r="D78" s="32"/>
      <c r="E78" s="32"/>
      <c r="F78" s="32"/>
    </row>
    <row r="79" spans="1:7">
      <c r="A79"/>
      <c r="B79"/>
      <c r="C79"/>
      <c r="D79" s="32"/>
      <c r="E79" s="32"/>
      <c r="F79" s="32"/>
    </row>
    <row r="80" spans="1:7">
      <c r="A80"/>
      <c r="B80"/>
      <c r="C80"/>
      <c r="D80" s="32"/>
      <c r="E80" s="32"/>
      <c r="F80" s="32"/>
    </row>
    <row r="81" spans="1:6">
      <c r="A81"/>
      <c r="B81"/>
      <c r="C81"/>
      <c r="D81" s="32"/>
      <c r="E81" s="32"/>
      <c r="F81" s="32"/>
    </row>
    <row r="82" spans="1:6">
      <c r="A82"/>
      <c r="B82"/>
      <c r="C82"/>
      <c r="D82" s="32"/>
      <c r="E82" s="32"/>
      <c r="F82" s="32"/>
    </row>
    <row r="83" spans="1:6">
      <c r="A83"/>
      <c r="B83"/>
      <c r="C83"/>
      <c r="D83" s="32"/>
      <c r="E83" s="32"/>
      <c r="F83" s="32"/>
    </row>
    <row r="84" spans="1:6">
      <c r="A84"/>
      <c r="B84"/>
      <c r="C84"/>
      <c r="D84" s="32"/>
      <c r="E84" s="32"/>
      <c r="F84" s="32"/>
    </row>
    <row r="85" spans="1:6">
      <c r="A85"/>
      <c r="B85"/>
      <c r="C85"/>
      <c r="D85" s="32"/>
      <c r="E85" s="32"/>
      <c r="F85" s="32"/>
    </row>
    <row r="86" spans="1:6">
      <c r="A86"/>
      <c r="B86"/>
      <c r="C86"/>
      <c r="D86" s="32"/>
      <c r="E86" s="32"/>
      <c r="F86" s="32"/>
    </row>
    <row r="87" spans="1:6">
      <c r="A87"/>
      <c r="B87"/>
      <c r="C87"/>
      <c r="D87" s="32"/>
      <c r="E87" s="32"/>
      <c r="F87" s="32"/>
    </row>
    <row r="88" spans="1:6">
      <c r="A88"/>
      <c r="B88"/>
      <c r="C88"/>
      <c r="D88" s="32"/>
      <c r="E88" s="32"/>
      <c r="F88" s="32"/>
    </row>
    <row r="89" spans="1:6">
      <c r="A89"/>
      <c r="B89"/>
      <c r="C89"/>
      <c r="D89" s="32"/>
      <c r="E89" s="32"/>
      <c r="F89" s="32"/>
    </row>
    <row r="90" spans="1:6">
      <c r="A90"/>
      <c r="B90"/>
      <c r="C90"/>
      <c r="D90" s="32"/>
      <c r="E90" s="32"/>
      <c r="F90" s="32"/>
    </row>
    <row r="91" spans="1:6">
      <c r="A91"/>
      <c r="B91"/>
      <c r="C91"/>
      <c r="D91" s="32"/>
      <c r="E91" s="32"/>
      <c r="F91" s="32"/>
    </row>
    <row r="92" spans="1:6">
      <c r="A92"/>
      <c r="B92"/>
      <c r="C92"/>
      <c r="D92" s="32"/>
      <c r="E92" s="32"/>
      <c r="F92" s="32"/>
    </row>
    <row r="93" spans="1:6">
      <c r="A93"/>
      <c r="B93"/>
      <c r="C93"/>
      <c r="D93" s="32"/>
      <c r="E93" s="32"/>
      <c r="F93" s="32"/>
    </row>
    <row r="94" spans="1:6">
      <c r="A94"/>
      <c r="B94"/>
      <c r="C94"/>
      <c r="D94" s="32"/>
      <c r="E94" s="32"/>
      <c r="F94" s="32"/>
    </row>
    <row r="95" spans="1:6">
      <c r="A95"/>
      <c r="B95"/>
      <c r="C95"/>
      <c r="D95" s="32"/>
      <c r="E95" s="32"/>
      <c r="F95" s="32"/>
    </row>
    <row r="96" spans="1:6">
      <c r="A96"/>
      <c r="B96"/>
      <c r="C96"/>
      <c r="D96" s="32"/>
      <c r="E96" s="32"/>
      <c r="F96" s="32"/>
    </row>
    <row r="97" spans="1:6">
      <c r="A97"/>
      <c r="B97"/>
      <c r="C97"/>
      <c r="D97" s="32"/>
      <c r="E97" s="32"/>
      <c r="F97" s="32"/>
    </row>
    <row r="98" spans="1:6">
      <c r="A98"/>
      <c r="B98"/>
      <c r="C98"/>
      <c r="D98" s="32"/>
      <c r="E98" s="32"/>
      <c r="F98" s="32"/>
    </row>
    <row r="99" spans="1:6">
      <c r="A99"/>
      <c r="B99"/>
      <c r="C99"/>
      <c r="D99" s="32"/>
      <c r="E99" s="32"/>
      <c r="F99" s="32"/>
    </row>
    <row r="100" spans="1:6">
      <c r="A100"/>
      <c r="B100"/>
      <c r="C100"/>
      <c r="D100" s="32"/>
      <c r="E100" s="32"/>
      <c r="F100" s="32"/>
    </row>
    <row r="101" spans="1:6">
      <c r="A101"/>
      <c r="B101"/>
      <c r="C101"/>
      <c r="D101" s="32"/>
      <c r="E101" s="32"/>
      <c r="F101" s="32"/>
    </row>
    <row r="102" spans="1:6">
      <c r="A102"/>
      <c r="B102"/>
      <c r="C102"/>
      <c r="D102" s="32"/>
      <c r="E102" s="32"/>
      <c r="F102" s="32"/>
    </row>
    <row r="103" spans="1:6">
      <c r="A103"/>
      <c r="B103"/>
      <c r="C103"/>
      <c r="D103" s="32"/>
      <c r="E103" s="32"/>
      <c r="F103" s="32"/>
    </row>
    <row r="104" spans="1:6">
      <c r="A104"/>
      <c r="B104"/>
      <c r="C104"/>
      <c r="D104" s="32"/>
      <c r="E104" s="32"/>
      <c r="F104" s="32"/>
    </row>
    <row r="105" spans="1:6">
      <c r="A105"/>
      <c r="B105"/>
      <c r="C105"/>
      <c r="D105" s="32"/>
      <c r="E105" s="32"/>
      <c r="F105" s="32"/>
    </row>
    <row r="106" spans="1:6">
      <c r="A106"/>
      <c r="B106"/>
      <c r="C106"/>
      <c r="D106" s="32"/>
      <c r="E106" s="32"/>
      <c r="F106" s="32"/>
    </row>
    <row r="107" spans="1:6">
      <c r="A107"/>
      <c r="B107"/>
      <c r="C107"/>
      <c r="D107" s="32"/>
      <c r="E107" s="32"/>
      <c r="F107" s="32"/>
    </row>
    <row r="108" spans="1:6">
      <c r="A108"/>
      <c r="B108"/>
      <c r="C108"/>
      <c r="D108" s="32"/>
      <c r="E108" s="32"/>
      <c r="F108" s="32"/>
    </row>
    <row r="109" spans="1:6">
      <c r="A109"/>
      <c r="B109"/>
      <c r="C109"/>
      <c r="D109" s="32"/>
      <c r="E109" s="32"/>
      <c r="F109" s="32"/>
    </row>
    <row r="110" spans="1:6">
      <c r="A110"/>
      <c r="B110"/>
      <c r="C110"/>
      <c r="D110" s="32"/>
      <c r="E110" s="32"/>
      <c r="F110" s="32"/>
    </row>
    <row r="111" spans="1:6">
      <c r="A111"/>
      <c r="B111"/>
      <c r="C111"/>
      <c r="D111" s="32"/>
      <c r="E111" s="32"/>
      <c r="F111" s="32"/>
    </row>
    <row r="112" spans="1:6">
      <c r="A112"/>
      <c r="B112"/>
      <c r="C112"/>
      <c r="D112" s="32"/>
      <c r="E112" s="32"/>
      <c r="F112" s="32"/>
    </row>
    <row r="113" spans="1:6">
      <c r="A113"/>
      <c r="B113"/>
      <c r="C113"/>
      <c r="D113" s="32"/>
      <c r="E113" s="32"/>
      <c r="F113" s="32"/>
    </row>
    <row r="114" spans="1:6">
      <c r="A114"/>
      <c r="B114"/>
      <c r="C114"/>
      <c r="D114" s="32"/>
      <c r="E114" s="32"/>
      <c r="F114" s="32"/>
    </row>
    <row r="115" spans="1:6">
      <c r="A115"/>
      <c r="B115"/>
      <c r="C115"/>
      <c r="D115" s="32"/>
      <c r="E115" s="32"/>
      <c r="F115" s="32"/>
    </row>
    <row r="116" spans="1:6">
      <c r="A116"/>
      <c r="B116"/>
      <c r="C116"/>
      <c r="D116" s="32"/>
      <c r="E116" s="32"/>
      <c r="F116" s="32"/>
    </row>
    <row r="117" spans="1:6">
      <c r="A117"/>
      <c r="B117"/>
      <c r="C117"/>
      <c r="D117" s="32"/>
      <c r="E117" s="32"/>
      <c r="F117" s="32"/>
    </row>
    <row r="118" spans="1:6">
      <c r="A118"/>
      <c r="B118"/>
      <c r="C118"/>
      <c r="D118" s="32"/>
      <c r="E118" s="32"/>
      <c r="F118" s="32"/>
    </row>
    <row r="119" spans="1:6">
      <c r="A119"/>
      <c r="B119"/>
      <c r="C119"/>
      <c r="D119" s="32"/>
      <c r="E119" s="32"/>
      <c r="F119" s="32"/>
    </row>
    <row r="120" spans="1:6">
      <c r="A120"/>
      <c r="B120"/>
      <c r="C120"/>
      <c r="D120" s="32"/>
      <c r="E120" s="32"/>
      <c r="F120" s="32"/>
    </row>
    <row r="121" spans="1:6">
      <c r="A121"/>
      <c r="B121"/>
      <c r="C121"/>
      <c r="D121" s="32"/>
      <c r="E121" s="32"/>
      <c r="F121" s="32"/>
    </row>
    <row r="122" spans="1:6">
      <c r="A122"/>
      <c r="B122"/>
      <c r="C122"/>
      <c r="D122" s="32"/>
      <c r="E122" s="32"/>
      <c r="F122" s="32"/>
    </row>
    <row r="123" spans="1:6">
      <c r="A123"/>
      <c r="B123"/>
      <c r="C123"/>
      <c r="D123" s="32"/>
      <c r="E123" s="32"/>
      <c r="F123" s="32"/>
    </row>
    <row r="124" spans="1:6">
      <c r="A124"/>
      <c r="B124"/>
      <c r="C124"/>
      <c r="D124" s="32"/>
      <c r="E124" s="32"/>
      <c r="F124" s="32"/>
    </row>
    <row r="125" spans="1:6">
      <c r="A125"/>
      <c r="B125"/>
      <c r="C125"/>
      <c r="D125" s="32"/>
      <c r="E125" s="32"/>
      <c r="F125" s="32"/>
    </row>
    <row r="126" spans="1:6">
      <c r="A126"/>
      <c r="B126"/>
      <c r="C126"/>
      <c r="D126" s="32"/>
      <c r="E126" s="32"/>
      <c r="F126" s="32"/>
    </row>
    <row r="127" spans="1:6">
      <c r="A127"/>
      <c r="B127"/>
      <c r="C127"/>
      <c r="D127" s="32"/>
      <c r="E127" s="32"/>
      <c r="F127" s="32"/>
    </row>
    <row r="128" spans="1:6">
      <c r="A128"/>
      <c r="B128"/>
      <c r="C128"/>
      <c r="D128" s="32"/>
      <c r="E128" s="32"/>
      <c r="F128" s="32"/>
    </row>
    <row r="129" spans="1:6">
      <c r="A129"/>
      <c r="B129"/>
      <c r="C129"/>
      <c r="D129" s="32"/>
      <c r="E129" s="32"/>
      <c r="F129" s="32"/>
    </row>
    <row r="130" spans="1:6">
      <c r="A130"/>
      <c r="B130"/>
      <c r="C130"/>
      <c r="D130" s="32"/>
      <c r="E130" s="32"/>
      <c r="F130" s="32"/>
    </row>
    <row r="131" spans="1:6">
      <c r="A131"/>
      <c r="B131"/>
      <c r="C131"/>
      <c r="D131" s="32"/>
      <c r="E131" s="32"/>
      <c r="F131" s="32"/>
    </row>
    <row r="132" spans="1:6">
      <c r="A132"/>
      <c r="B132"/>
      <c r="C132"/>
      <c r="D132" s="32"/>
      <c r="E132" s="32"/>
      <c r="F132" s="32"/>
    </row>
    <row r="133" spans="1:6">
      <c r="A133"/>
      <c r="B133"/>
      <c r="C133"/>
      <c r="D133" s="32"/>
      <c r="E133" s="32"/>
      <c r="F133" s="32"/>
    </row>
    <row r="134" spans="1:6">
      <c r="A134"/>
      <c r="B134"/>
      <c r="C134"/>
      <c r="D134" s="32"/>
      <c r="E134" s="32"/>
      <c r="F134" s="32"/>
    </row>
    <row r="135" spans="1:6">
      <c r="A135"/>
      <c r="B135"/>
      <c r="C135"/>
      <c r="D135" s="32"/>
      <c r="E135" s="32"/>
      <c r="F135" s="32"/>
    </row>
    <row r="136" spans="1:6">
      <c r="A136"/>
      <c r="B136"/>
      <c r="C136"/>
      <c r="D136" s="32"/>
      <c r="E136" s="32"/>
      <c r="F136" s="32"/>
    </row>
    <row r="137" spans="1:6">
      <c r="A137"/>
      <c r="B137"/>
      <c r="C137"/>
      <c r="D137" s="32"/>
      <c r="E137" s="32"/>
      <c r="F137" s="32"/>
    </row>
    <row r="138" spans="1:6">
      <c r="A138"/>
      <c r="B138"/>
      <c r="C138"/>
      <c r="D138" s="32"/>
      <c r="E138" s="32"/>
      <c r="F138" s="32"/>
    </row>
    <row r="139" spans="1:6">
      <c r="A139"/>
      <c r="B139"/>
      <c r="C139"/>
      <c r="D139" s="32"/>
      <c r="E139" s="32"/>
      <c r="F139" s="32"/>
    </row>
    <row r="140" spans="1:6">
      <c r="A140"/>
      <c r="B140"/>
      <c r="C140"/>
      <c r="D140" s="32"/>
      <c r="E140" s="32"/>
      <c r="F140" s="32"/>
    </row>
    <row r="141" spans="1:6">
      <c r="A141"/>
      <c r="B141"/>
      <c r="C141"/>
      <c r="D141" s="32"/>
      <c r="E141" s="32"/>
      <c r="F141" s="32"/>
    </row>
    <row r="142" spans="1:6">
      <c r="A142"/>
      <c r="B142"/>
      <c r="C142"/>
      <c r="D142" s="32"/>
      <c r="E142" s="32"/>
      <c r="F142" s="32"/>
    </row>
    <row r="143" spans="1:6">
      <c r="A143"/>
      <c r="B143"/>
      <c r="C143"/>
      <c r="D143" s="32"/>
      <c r="E143" s="32"/>
      <c r="F143" s="32"/>
    </row>
    <row r="144" spans="1:6">
      <c r="A144"/>
      <c r="B144"/>
      <c r="C144"/>
      <c r="D144" s="32"/>
      <c r="E144" s="32"/>
      <c r="F144" s="32"/>
    </row>
    <row r="145" spans="1:6">
      <c r="A145"/>
      <c r="B145"/>
      <c r="C145"/>
      <c r="D145" s="32"/>
      <c r="E145" s="32"/>
      <c r="F145" s="32"/>
    </row>
    <row r="146" spans="1:6">
      <c r="A146"/>
      <c r="B146"/>
      <c r="C146"/>
      <c r="D146" s="32"/>
      <c r="E146" s="32"/>
      <c r="F146" s="32"/>
    </row>
    <row r="147" spans="1:6">
      <c r="A147"/>
      <c r="B147"/>
      <c r="C147"/>
      <c r="D147" s="32"/>
      <c r="E147" s="32"/>
      <c r="F147" s="32"/>
    </row>
    <row r="148" spans="1:6">
      <c r="A148"/>
      <c r="B148"/>
      <c r="C148"/>
      <c r="D148" s="32"/>
      <c r="E148" s="32"/>
      <c r="F148" s="32"/>
    </row>
    <row r="149" spans="1:6">
      <c r="A149"/>
      <c r="B149"/>
      <c r="C149"/>
      <c r="D149" s="32"/>
      <c r="E149" s="32"/>
      <c r="F149" s="32"/>
    </row>
    <row r="150" spans="1:6">
      <c r="A150"/>
      <c r="B150"/>
      <c r="C150"/>
      <c r="D150" s="32"/>
      <c r="E150" s="32"/>
      <c r="F150" s="32"/>
    </row>
    <row r="151" spans="1:6">
      <c r="A151"/>
      <c r="B151"/>
      <c r="C151"/>
      <c r="D151" s="32"/>
      <c r="E151" s="32"/>
      <c r="F151" s="32"/>
    </row>
    <row r="152" spans="1:6">
      <c r="A152"/>
      <c r="B152"/>
      <c r="C152"/>
      <c r="D152" s="32"/>
      <c r="E152" s="32"/>
      <c r="F152" s="32"/>
    </row>
    <row r="153" spans="1:6">
      <c r="A153"/>
      <c r="B153"/>
      <c r="C153"/>
      <c r="D153" s="32"/>
      <c r="E153" s="32"/>
      <c r="F153" s="32"/>
    </row>
    <row r="154" spans="1:6">
      <c r="A154"/>
      <c r="B154"/>
      <c r="C154"/>
      <c r="D154" s="32"/>
      <c r="E154" s="32"/>
      <c r="F154" s="32"/>
    </row>
    <row r="155" spans="1:6">
      <c r="A155"/>
      <c r="B155"/>
      <c r="C155"/>
      <c r="D155" s="32"/>
      <c r="E155" s="32"/>
      <c r="F155" s="32"/>
    </row>
    <row r="156" spans="1:6">
      <c r="A156"/>
      <c r="B156"/>
      <c r="C156"/>
      <c r="D156" s="32"/>
      <c r="E156" s="32"/>
      <c r="F156" s="32"/>
    </row>
    <row r="157" spans="1:6">
      <c r="A157"/>
      <c r="B157"/>
      <c r="C157"/>
      <c r="D157" s="32"/>
      <c r="E157" s="32"/>
      <c r="F157" s="32"/>
    </row>
    <row r="158" spans="1:6">
      <c r="A158"/>
      <c r="B158"/>
      <c r="C158"/>
      <c r="D158" s="32"/>
      <c r="E158" s="32"/>
      <c r="F158" s="32"/>
    </row>
    <row r="159" spans="1:6">
      <c r="A159"/>
      <c r="B159"/>
      <c r="C159"/>
      <c r="D159" s="32"/>
      <c r="E159" s="32"/>
      <c r="F159" s="32"/>
    </row>
    <row r="160" spans="1:6">
      <c r="A160"/>
      <c r="B160"/>
      <c r="C160"/>
      <c r="D160" s="32"/>
      <c r="E160" s="32"/>
      <c r="F160" s="32"/>
    </row>
    <row r="161" spans="1:6">
      <c r="A161"/>
      <c r="B161"/>
      <c r="C161"/>
      <c r="D161" s="32"/>
      <c r="E161" s="32"/>
      <c r="F161" s="32"/>
    </row>
    <row r="162" spans="1:6">
      <c r="A162"/>
      <c r="B162"/>
      <c r="C162"/>
      <c r="D162" s="32"/>
      <c r="E162" s="32"/>
      <c r="F162" s="32"/>
    </row>
    <row r="163" spans="1:6">
      <c r="A163"/>
      <c r="B163"/>
      <c r="C163"/>
      <c r="D163" s="32"/>
      <c r="E163" s="32"/>
      <c r="F163" s="32"/>
    </row>
    <row r="164" spans="1:6">
      <c r="A164"/>
      <c r="B164"/>
      <c r="C164"/>
      <c r="D164" s="32"/>
      <c r="E164" s="32"/>
      <c r="F164" s="32"/>
    </row>
    <row r="165" spans="1:6">
      <c r="A165"/>
      <c r="B165"/>
      <c r="C165"/>
      <c r="D165" s="32"/>
      <c r="E165" s="32"/>
      <c r="F165" s="32"/>
    </row>
    <row r="166" spans="1:6">
      <c r="A166"/>
      <c r="B166"/>
      <c r="C166"/>
      <c r="D166" s="32"/>
      <c r="E166" s="32"/>
      <c r="F166" s="32"/>
    </row>
    <row r="167" spans="1:6">
      <c r="A167"/>
      <c r="B167"/>
      <c r="C167"/>
      <c r="D167" s="32"/>
      <c r="E167" s="32"/>
      <c r="F167" s="32"/>
    </row>
    <row r="168" spans="1:6">
      <c r="A168"/>
      <c r="B168"/>
      <c r="C168"/>
      <c r="D168" s="32"/>
      <c r="E168" s="32"/>
      <c r="F168" s="32"/>
    </row>
    <row r="169" spans="1:6">
      <c r="A169"/>
      <c r="B169"/>
      <c r="C169"/>
      <c r="D169" s="32"/>
      <c r="E169" s="32"/>
      <c r="F169" s="32"/>
    </row>
    <row r="170" spans="1:6">
      <c r="A170"/>
      <c r="B170"/>
      <c r="C170"/>
      <c r="D170" s="32"/>
      <c r="E170" s="32"/>
      <c r="F170" s="32"/>
    </row>
    <row r="171" spans="1:6">
      <c r="A171"/>
      <c r="B171"/>
      <c r="C171"/>
      <c r="D171" s="32"/>
      <c r="E171" s="32"/>
      <c r="F171" s="32"/>
    </row>
    <row r="172" spans="1:6">
      <c r="A172"/>
      <c r="B172"/>
      <c r="C172"/>
      <c r="D172" s="32"/>
      <c r="E172" s="32"/>
      <c r="F172" s="32"/>
    </row>
    <row r="173" spans="1:6">
      <c r="A173"/>
      <c r="B173"/>
      <c r="C173"/>
      <c r="D173" s="32"/>
      <c r="E173" s="32"/>
      <c r="F173" s="32"/>
    </row>
    <row r="174" spans="1:6">
      <c r="A174"/>
      <c r="B174"/>
      <c r="C174"/>
      <c r="D174" s="32"/>
      <c r="E174" s="32"/>
      <c r="F174" s="32"/>
    </row>
    <row r="175" spans="1:6">
      <c r="A175"/>
      <c r="B175"/>
      <c r="C175"/>
      <c r="D175" s="32"/>
      <c r="E175" s="32"/>
      <c r="F175" s="32"/>
    </row>
    <row r="176" spans="1:6">
      <c r="A176"/>
      <c r="B176"/>
      <c r="C176"/>
      <c r="D176" s="32"/>
      <c r="E176" s="32"/>
      <c r="F176" s="32"/>
    </row>
    <row r="177" spans="1:6">
      <c r="A177"/>
      <c r="B177"/>
      <c r="C177"/>
      <c r="D177" s="32"/>
      <c r="E177" s="32"/>
      <c r="F177" s="32"/>
    </row>
    <row r="178" spans="1:6">
      <c r="A178"/>
      <c r="B178"/>
      <c r="C178"/>
      <c r="D178" s="32"/>
      <c r="E178" s="32"/>
      <c r="F178" s="32"/>
    </row>
    <row r="179" spans="1:6">
      <c r="A179"/>
      <c r="B179"/>
      <c r="C179"/>
      <c r="D179" s="32"/>
      <c r="E179" s="32"/>
      <c r="F179" s="32"/>
    </row>
    <row r="180" spans="1:6">
      <c r="A180"/>
      <c r="B180"/>
      <c r="C180"/>
      <c r="D180" s="32"/>
      <c r="E180" s="32"/>
      <c r="F180" s="32"/>
    </row>
    <row r="181" spans="1:6">
      <c r="A181"/>
      <c r="B181"/>
      <c r="C181"/>
      <c r="D181" s="32"/>
      <c r="E181" s="32"/>
      <c r="F181" s="32"/>
    </row>
    <row r="182" spans="1:6">
      <c r="A182"/>
      <c r="B182"/>
      <c r="C182"/>
      <c r="D182" s="32"/>
      <c r="E182" s="32"/>
      <c r="F182" s="32"/>
    </row>
    <row r="183" spans="1:6">
      <c r="A183"/>
      <c r="B183"/>
      <c r="C183"/>
      <c r="D183" s="32"/>
      <c r="E183" s="32"/>
      <c r="F183" s="32"/>
    </row>
    <row r="184" spans="1:6">
      <c r="A184"/>
      <c r="B184"/>
      <c r="C184"/>
      <c r="D184" s="32"/>
      <c r="E184" s="32"/>
      <c r="F184" s="32"/>
    </row>
    <row r="185" spans="1:6">
      <c r="A185"/>
      <c r="B185"/>
      <c r="C185"/>
      <c r="D185" s="32"/>
      <c r="E185" s="32"/>
      <c r="F185" s="32"/>
    </row>
    <row r="186" spans="1:6">
      <c r="A186"/>
      <c r="B186"/>
      <c r="C186"/>
      <c r="D186" s="32"/>
      <c r="E186" s="32"/>
      <c r="F186" s="32"/>
    </row>
    <row r="187" spans="1:6">
      <c r="A187"/>
      <c r="B187"/>
      <c r="C187"/>
      <c r="D187" s="32"/>
      <c r="E187" s="32"/>
      <c r="F187" s="32"/>
    </row>
    <row r="188" spans="1:6">
      <c r="A188"/>
      <c r="B188"/>
      <c r="C188"/>
      <c r="D188" s="32"/>
      <c r="E188" s="32"/>
      <c r="F188" s="32"/>
    </row>
    <row r="189" spans="1:6">
      <c r="A189"/>
      <c r="B189"/>
      <c r="C189"/>
      <c r="D189" s="32"/>
      <c r="E189" s="32"/>
      <c r="F189" s="32"/>
    </row>
    <row r="190" spans="1:6">
      <c r="A190"/>
      <c r="B190"/>
      <c r="C190"/>
      <c r="D190" s="32"/>
      <c r="E190" s="32"/>
      <c r="F190" s="32"/>
    </row>
    <row r="191" spans="1:6">
      <c r="A191"/>
      <c r="B191"/>
      <c r="C191"/>
      <c r="D191" s="32"/>
      <c r="E191" s="32"/>
      <c r="F191" s="32"/>
    </row>
    <row r="192" spans="1:6">
      <c r="A192"/>
      <c r="B192"/>
      <c r="C192"/>
      <c r="D192" s="32"/>
      <c r="E192" s="32"/>
      <c r="F192" s="32"/>
    </row>
    <row r="193" spans="1:6">
      <c r="A193"/>
      <c r="B193"/>
      <c r="C193"/>
      <c r="D193" s="32"/>
      <c r="E193" s="32"/>
      <c r="F193" s="32"/>
    </row>
    <row r="194" spans="1:6">
      <c r="A194"/>
      <c r="B194"/>
      <c r="C194"/>
      <c r="D194" s="32"/>
      <c r="E194" s="32"/>
      <c r="F194" s="32"/>
    </row>
    <row r="195" spans="1:6">
      <c r="A195"/>
      <c r="B195"/>
      <c r="C195"/>
      <c r="D195" s="32"/>
      <c r="E195" s="32"/>
      <c r="F195" s="32"/>
    </row>
    <row r="196" spans="1:6">
      <c r="A196"/>
      <c r="B196"/>
      <c r="C196"/>
      <c r="D196" s="32"/>
      <c r="E196" s="32"/>
      <c r="F196" s="32"/>
    </row>
    <row r="197" spans="1:6">
      <c r="A197"/>
      <c r="B197"/>
      <c r="C197"/>
      <c r="D197" s="32"/>
      <c r="E197" s="32"/>
      <c r="F197" s="32"/>
    </row>
    <row r="198" spans="1:6">
      <c r="A198"/>
      <c r="B198"/>
      <c r="C198"/>
      <c r="D198" s="32"/>
      <c r="E198" s="32"/>
      <c r="F198" s="32"/>
    </row>
    <row r="199" spans="1:6">
      <c r="A199"/>
      <c r="B199"/>
      <c r="C199"/>
      <c r="D199" s="32"/>
      <c r="E199" s="32"/>
      <c r="F199" s="32"/>
    </row>
    <row r="200" spans="1:6">
      <c r="A200"/>
      <c r="B200"/>
      <c r="C200"/>
      <c r="D200" s="32"/>
      <c r="E200" s="32"/>
      <c r="F200" s="32"/>
    </row>
    <row r="201" spans="1:6">
      <c r="A201"/>
      <c r="B201"/>
      <c r="C201"/>
      <c r="D201" s="32"/>
      <c r="E201" s="32"/>
      <c r="F201" s="32"/>
    </row>
    <row r="202" spans="1:6">
      <c r="A202"/>
      <c r="B202"/>
      <c r="C202"/>
      <c r="D202" s="32"/>
      <c r="E202" s="32"/>
      <c r="F202" s="32"/>
    </row>
    <row r="203" spans="1:6">
      <c r="A203"/>
      <c r="B203"/>
      <c r="C203"/>
      <c r="D203" s="32"/>
      <c r="E203" s="32"/>
      <c r="F203" s="32"/>
    </row>
    <row r="204" spans="1:6">
      <c r="A204"/>
      <c r="B204"/>
      <c r="C204"/>
      <c r="D204" s="32"/>
      <c r="E204" s="32"/>
      <c r="F204" s="32"/>
    </row>
    <row r="205" spans="1:6">
      <c r="A205"/>
      <c r="B205"/>
      <c r="C205"/>
      <c r="D205" s="32"/>
      <c r="E205" s="32"/>
      <c r="F205" s="32"/>
    </row>
    <row r="206" spans="1:6">
      <c r="A206"/>
      <c r="B206"/>
      <c r="C206"/>
      <c r="D206" s="32"/>
      <c r="E206" s="32"/>
      <c r="F206" s="32"/>
    </row>
    <row r="207" spans="1:6">
      <c r="A207"/>
      <c r="B207"/>
      <c r="C207"/>
      <c r="D207" s="32"/>
      <c r="E207" s="32"/>
      <c r="F207" s="32"/>
    </row>
    <row r="208" spans="1:6">
      <c r="A208"/>
      <c r="B208"/>
      <c r="C208"/>
      <c r="D208" s="32"/>
      <c r="E208" s="32"/>
      <c r="F208" s="32"/>
    </row>
    <row r="209" spans="1:6">
      <c r="A209"/>
      <c r="B209"/>
      <c r="C209"/>
      <c r="D209" s="32"/>
      <c r="E209" s="32"/>
      <c r="F209" s="32"/>
    </row>
    <row r="210" spans="1:6">
      <c r="A210"/>
      <c r="B210"/>
      <c r="C210"/>
      <c r="D210" s="32"/>
      <c r="E210" s="32"/>
      <c r="F210" s="32"/>
    </row>
    <row r="211" spans="1:6">
      <c r="A211"/>
      <c r="B211"/>
      <c r="C211"/>
      <c r="D211" s="32"/>
      <c r="E211" s="32"/>
      <c r="F211" s="32"/>
    </row>
    <row r="212" spans="1:6">
      <c r="A212"/>
      <c r="B212"/>
      <c r="C212"/>
      <c r="D212" s="32"/>
      <c r="E212" s="32"/>
      <c r="F212" s="32"/>
    </row>
    <row r="213" spans="1:6">
      <c r="A213"/>
      <c r="B213"/>
      <c r="C213"/>
      <c r="D213" s="32"/>
      <c r="E213" s="32"/>
      <c r="F213" s="32"/>
    </row>
    <row r="214" spans="1:6">
      <c r="A214"/>
      <c r="B214"/>
      <c r="C214"/>
      <c r="D214" s="32"/>
      <c r="E214" s="32"/>
      <c r="F214" s="32"/>
    </row>
    <row r="215" spans="1:6">
      <c r="A215"/>
      <c r="B215"/>
      <c r="C215"/>
      <c r="D215" s="32"/>
      <c r="E215" s="32"/>
      <c r="F215" s="32"/>
    </row>
    <row r="216" spans="1:6">
      <c r="A216"/>
      <c r="B216"/>
      <c r="C216"/>
      <c r="D216" s="32"/>
      <c r="E216" s="32"/>
      <c r="F216" s="32"/>
    </row>
    <row r="217" spans="1:6">
      <c r="A217"/>
      <c r="B217"/>
      <c r="C217"/>
      <c r="D217" s="32"/>
      <c r="E217" s="32"/>
      <c r="F217" s="32"/>
    </row>
    <row r="218" spans="1:6">
      <c r="A218"/>
      <c r="B218"/>
      <c r="C218"/>
      <c r="D218" s="32"/>
      <c r="E218" s="32"/>
      <c r="F218" s="32"/>
    </row>
    <row r="219" spans="1:6">
      <c r="A219"/>
      <c r="B219"/>
      <c r="C219"/>
      <c r="D219" s="32"/>
      <c r="E219" s="32"/>
      <c r="F219" s="32"/>
    </row>
    <row r="220" spans="1:6">
      <c r="A220"/>
      <c r="B220"/>
      <c r="C220"/>
      <c r="D220" s="32"/>
      <c r="E220" s="32"/>
      <c r="F220" s="32"/>
    </row>
    <row r="221" spans="1:6">
      <c r="A221"/>
      <c r="B221"/>
      <c r="C221"/>
      <c r="D221" s="32"/>
      <c r="E221" s="32"/>
      <c r="F221" s="32"/>
    </row>
    <row r="222" spans="1:6">
      <c r="A222"/>
      <c r="B222"/>
      <c r="C222"/>
      <c r="D222" s="32"/>
      <c r="E222" s="32"/>
      <c r="F222" s="32"/>
    </row>
    <row r="223" spans="1:6">
      <c r="A223"/>
      <c r="B223"/>
      <c r="C223"/>
      <c r="D223" s="32"/>
      <c r="E223" s="32"/>
      <c r="F223" s="32"/>
    </row>
    <row r="224" spans="1:6">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B79D-8E1E-4EA0-A3EB-8C7FEC060F25}">
  <sheetPr>
    <tabColor rgb="FFFFFF00"/>
    <pageSetUpPr fitToPage="1"/>
  </sheetPr>
  <dimension ref="A1:G1568"/>
  <sheetViews>
    <sheetView topLeftCell="A23" zoomScaleNormal="100" workbookViewId="0">
      <selection activeCell="C37" sqref="C37"/>
    </sheetView>
  </sheetViews>
  <sheetFormatPr defaultColWidth="8.85546875" defaultRowHeight="14.45"/>
  <cols>
    <col min="1" max="1" width="57.140625" style="43" customWidth="1"/>
    <col min="2" max="2" width="9.42578125" style="60" customWidth="1"/>
    <col min="3" max="3" width="10.140625" style="60" customWidth="1"/>
    <col min="4" max="5" width="6.85546875" style="60" customWidth="1"/>
    <col min="6" max="6" width="6.85546875" style="61" customWidth="1"/>
    <col min="7" max="7" width="11.85546875" style="32" customWidth="1"/>
    <col min="8" max="13" width="4.42578125" bestFit="1" customWidth="1"/>
    <col min="14" max="14" width="5.85546875" bestFit="1" customWidth="1"/>
    <col min="15" max="15" width="5.140625" bestFit="1" customWidth="1"/>
    <col min="16" max="16" width="5" bestFit="1" customWidth="1"/>
    <col min="17" max="17" width="3.85546875" bestFit="1" customWidth="1"/>
    <col min="18" max="18" width="5" bestFit="1" customWidth="1"/>
    <col min="19" max="19" width="4.42578125" bestFit="1" customWidth="1"/>
    <col min="20" max="21" width="5.42578125" bestFit="1" customWidth="1"/>
    <col min="22" max="22" width="4.85546875" bestFit="1" customWidth="1"/>
    <col min="23" max="23" width="10.42578125" bestFit="1" customWidth="1"/>
    <col min="24" max="24" width="4.42578125" bestFit="1" customWidth="1"/>
    <col min="25" max="25" width="5" bestFit="1" customWidth="1"/>
    <col min="26" max="26" width="5.140625" bestFit="1" customWidth="1"/>
    <col min="27" max="27" width="3.42578125" bestFit="1" customWidth="1"/>
    <col min="28" max="28" width="4.42578125" bestFit="1" customWidth="1"/>
    <col min="29" max="29" width="4.85546875" bestFit="1" customWidth="1"/>
    <col min="30" max="30" width="31.85546875" bestFit="1" customWidth="1"/>
    <col min="31" max="31" width="12.42578125" bestFit="1" customWidth="1"/>
    <col min="32" max="32" width="3.85546875" bestFit="1" customWidth="1"/>
    <col min="33" max="33" width="5.42578125" bestFit="1" customWidth="1"/>
    <col min="34" max="34" width="4.85546875" bestFit="1" customWidth="1"/>
    <col min="35" max="35" width="16.42578125" bestFit="1" customWidth="1"/>
    <col min="36" max="36" width="16.85546875" bestFit="1" customWidth="1"/>
    <col min="37" max="37" width="5" bestFit="1" customWidth="1"/>
    <col min="38" max="38" width="5.140625" bestFit="1" customWidth="1"/>
    <col min="39" max="39" width="4.85546875" bestFit="1" customWidth="1"/>
    <col min="40" max="40" width="23.140625" bestFit="1" customWidth="1"/>
    <col min="41" max="41" width="20.42578125" bestFit="1" customWidth="1"/>
    <col min="42" max="42" width="4.85546875" bestFit="1" customWidth="1"/>
    <col min="43" max="43" width="5.140625" bestFit="1" customWidth="1"/>
    <col min="44" max="44" width="28.42578125" bestFit="1" customWidth="1"/>
    <col min="45" max="45" width="29.140625" bestFit="1" customWidth="1"/>
    <col min="46" max="47" width="4.42578125" bestFit="1" customWidth="1"/>
    <col min="48" max="48" width="5" bestFit="1" customWidth="1"/>
    <col min="49" max="49" width="3.85546875" bestFit="1" customWidth="1"/>
    <col min="50" max="50" width="40.85546875" bestFit="1" customWidth="1"/>
    <col min="51" max="51" width="20.42578125" bestFit="1" customWidth="1"/>
    <col min="52" max="52" width="5.140625" bestFit="1" customWidth="1"/>
    <col min="53" max="54" width="4.42578125" bestFit="1" customWidth="1"/>
    <col min="55" max="55" width="5" bestFit="1" customWidth="1"/>
    <col min="56" max="56" width="28.42578125" bestFit="1" customWidth="1"/>
    <col min="57" max="57" width="24.42578125" bestFit="1" customWidth="1"/>
    <col min="58" max="58" width="3.42578125" bestFit="1" customWidth="1"/>
    <col min="59" max="60" width="5.42578125" bestFit="1" customWidth="1"/>
    <col min="61" max="61" width="4.85546875" bestFit="1" customWidth="1"/>
    <col min="62" max="62" width="33.85546875" bestFit="1" customWidth="1"/>
    <col min="63" max="63" width="24.42578125" bestFit="1" customWidth="1"/>
    <col min="64" max="64" width="4.42578125" bestFit="1" customWidth="1"/>
    <col min="65" max="65" width="4.140625" bestFit="1" customWidth="1"/>
    <col min="66" max="66" width="4.85546875" bestFit="1" customWidth="1"/>
    <col min="67" max="67" width="4.140625" bestFit="1" customWidth="1"/>
    <col min="68" max="68" width="4.42578125" bestFit="1" customWidth="1"/>
    <col min="69" max="69" width="5.140625" bestFit="1" customWidth="1"/>
    <col min="70" max="70" width="3.42578125" bestFit="1" customWidth="1"/>
    <col min="71" max="71" width="4.42578125" bestFit="1" customWidth="1"/>
    <col min="72" max="72" width="33.85546875" bestFit="1" customWidth="1"/>
    <col min="73" max="73" width="18.42578125" bestFit="1" customWidth="1"/>
    <col min="74" max="74" width="3.42578125" bestFit="1" customWidth="1"/>
    <col min="75" max="75" width="4.85546875" bestFit="1" customWidth="1"/>
    <col min="76" max="77" width="25.42578125" bestFit="1" customWidth="1"/>
    <col min="78" max="78" width="35.42578125" bestFit="1" customWidth="1"/>
    <col min="79" max="79" width="21.42578125" bestFit="1" customWidth="1"/>
    <col min="80" max="80" width="30.42578125" bestFit="1" customWidth="1"/>
    <col min="81" max="81" width="20.140625" bestFit="1" customWidth="1"/>
    <col min="82" max="82" width="27.85546875" bestFit="1" customWidth="1"/>
    <col min="83" max="83" width="14.42578125" bestFit="1" customWidth="1"/>
    <col min="84" max="84" width="4.85546875" bestFit="1" customWidth="1"/>
    <col min="85" max="86" width="4.42578125" bestFit="1" customWidth="1"/>
    <col min="87" max="87" width="4.85546875" bestFit="1" customWidth="1"/>
    <col min="88" max="88" width="5" bestFit="1" customWidth="1"/>
    <col min="89" max="89" width="5.140625" bestFit="1" customWidth="1"/>
    <col min="90" max="90" width="5" bestFit="1" customWidth="1"/>
    <col min="91" max="91" width="3.42578125" bestFit="1" customWidth="1"/>
    <col min="92" max="92" width="5.42578125" bestFit="1" customWidth="1"/>
    <col min="93" max="93" width="4.85546875" bestFit="1" customWidth="1"/>
    <col min="94" max="94" width="19.42578125" bestFit="1" customWidth="1"/>
    <col min="95" max="95" width="21" bestFit="1" customWidth="1"/>
    <col min="96" max="96" width="4.85546875" bestFit="1" customWidth="1"/>
    <col min="97" max="97" width="5" bestFit="1" customWidth="1"/>
    <col min="98" max="98" width="29.140625" bestFit="1" customWidth="1"/>
    <col min="99" max="99" width="12" bestFit="1" customWidth="1"/>
    <col min="100" max="100" width="16.140625" bestFit="1" customWidth="1"/>
    <col min="101" max="101" width="21" bestFit="1" customWidth="1"/>
    <col min="102" max="102" width="29.140625" bestFit="1" customWidth="1"/>
    <col min="103" max="103" width="13.42578125" bestFit="1" customWidth="1"/>
    <col min="104" max="104" width="18.42578125" bestFit="1" customWidth="1"/>
    <col min="105" max="105" width="16.42578125" bestFit="1" customWidth="1"/>
    <col min="106" max="107" width="4.140625" bestFit="1" customWidth="1"/>
    <col min="108" max="108" width="5.140625" bestFit="1" customWidth="1"/>
    <col min="109" max="109" width="4.140625" bestFit="1" customWidth="1"/>
    <col min="110" max="111" width="4.42578125" bestFit="1" customWidth="1"/>
    <col min="112" max="112" width="4.85546875" bestFit="1" customWidth="1"/>
    <col min="113" max="113" width="5.140625" bestFit="1" customWidth="1"/>
    <col min="114" max="114" width="5" bestFit="1" customWidth="1"/>
    <col min="115" max="115" width="3.42578125" bestFit="1" customWidth="1"/>
    <col min="116" max="116" width="5" bestFit="1" customWidth="1"/>
    <col min="117" max="118" width="5.42578125" bestFit="1" customWidth="1"/>
    <col min="119" max="119" width="4.85546875" bestFit="1" customWidth="1"/>
    <col min="120" max="120" width="22.42578125" bestFit="1" customWidth="1"/>
    <col min="121" max="121" width="15.42578125" bestFit="1" customWidth="1"/>
    <col min="122" max="122" width="5" bestFit="1" customWidth="1"/>
    <col min="123" max="123" width="21.42578125" bestFit="1" customWidth="1"/>
    <col min="124" max="124" width="13.42578125" bestFit="1" customWidth="1"/>
    <col min="125" max="125" width="18.42578125" bestFit="1" customWidth="1"/>
    <col min="126" max="126" width="16.85546875" bestFit="1" customWidth="1"/>
    <col min="127" max="127" width="23.42578125" bestFit="1" customWidth="1"/>
  </cols>
  <sheetData>
    <row r="1" spans="1:7" ht="23.45" customHeight="1">
      <c r="A1" s="166" t="s">
        <v>450</v>
      </c>
      <c r="B1" s="166"/>
      <c r="C1" s="166"/>
      <c r="D1" s="32"/>
      <c r="E1" s="32"/>
      <c r="F1" s="32"/>
    </row>
    <row r="2" spans="1:7" hidden="1">
      <c r="A2" s="56" t="s">
        <v>3</v>
      </c>
      <c r="B2" s="60" t="s">
        <v>222</v>
      </c>
    </row>
    <row r="3" spans="1:7" hidden="1">
      <c r="A3" s="56" t="s">
        <v>0</v>
      </c>
      <c r="B3" t="s">
        <v>222</v>
      </c>
    </row>
    <row r="4" spans="1:7" hidden="1">
      <c r="A4" s="56" t="s">
        <v>11</v>
      </c>
      <c r="B4" t="s">
        <v>185</v>
      </c>
    </row>
    <row r="6" spans="1:7" ht="28.9">
      <c r="A6" s="76" t="s">
        <v>218</v>
      </c>
      <c r="B6" t="s">
        <v>428</v>
      </c>
      <c r="C6" s="104" t="s">
        <v>451</v>
      </c>
      <c r="D6"/>
      <c r="E6"/>
      <c r="F6"/>
      <c r="G6"/>
    </row>
    <row r="7" spans="1:7">
      <c r="A7" s="43" t="s">
        <v>20</v>
      </c>
      <c r="D7"/>
      <c r="E7"/>
      <c r="F7"/>
      <c r="G7"/>
    </row>
    <row r="8" spans="1:7">
      <c r="A8" s="57" t="s">
        <v>18</v>
      </c>
      <c r="D8"/>
      <c r="E8"/>
      <c r="F8"/>
      <c r="G8"/>
    </row>
    <row r="9" spans="1:7">
      <c r="A9" s="58" t="s">
        <v>21</v>
      </c>
      <c r="D9"/>
      <c r="E9"/>
      <c r="F9"/>
      <c r="G9"/>
    </row>
    <row r="10" spans="1:7">
      <c r="A10" s="71" t="s">
        <v>37</v>
      </c>
      <c r="B10" s="60">
        <v>30</v>
      </c>
      <c r="D10"/>
      <c r="F10"/>
      <c r="G10"/>
    </row>
    <row r="11" spans="1:7">
      <c r="A11" s="71" t="s">
        <v>33</v>
      </c>
      <c r="B11" s="60">
        <v>32</v>
      </c>
      <c r="D11"/>
      <c r="F11"/>
      <c r="G11"/>
    </row>
    <row r="12" spans="1:7">
      <c r="A12" s="71" t="s">
        <v>23</v>
      </c>
      <c r="B12" s="60">
        <v>24</v>
      </c>
      <c r="D12"/>
      <c r="F12"/>
      <c r="G12"/>
    </row>
    <row r="13" spans="1:7">
      <c r="A13" s="71" t="s">
        <v>215</v>
      </c>
      <c r="B13" s="60">
        <v>32</v>
      </c>
      <c r="D13"/>
      <c r="F13"/>
      <c r="G13"/>
    </row>
    <row r="14" spans="1:7">
      <c r="A14" s="71" t="s">
        <v>210</v>
      </c>
      <c r="B14" s="60">
        <v>32</v>
      </c>
      <c r="D14"/>
      <c r="F14"/>
      <c r="G14"/>
    </row>
    <row r="15" spans="1:7">
      <c r="A15" s="58" t="s">
        <v>27</v>
      </c>
      <c r="D15"/>
      <c r="F15"/>
      <c r="G15"/>
    </row>
    <row r="16" spans="1:7">
      <c r="A16" s="71" t="s">
        <v>28</v>
      </c>
      <c r="B16" s="60">
        <v>1</v>
      </c>
      <c r="D16"/>
      <c r="E16"/>
      <c r="F16"/>
      <c r="G16"/>
    </row>
    <row r="17" spans="1:5" customFormat="1">
      <c r="A17" s="58" t="s">
        <v>51</v>
      </c>
      <c r="B17" s="60"/>
      <c r="C17" s="60"/>
      <c r="D17" s="60"/>
    </row>
    <row r="18" spans="1:5" customFormat="1">
      <c r="A18" s="71" t="s">
        <v>53</v>
      </c>
      <c r="B18" s="60">
        <v>1</v>
      </c>
      <c r="C18" s="60"/>
    </row>
    <row r="19" spans="1:5" customFormat="1">
      <c r="A19" s="58" t="s">
        <v>57</v>
      </c>
      <c r="B19" s="60"/>
      <c r="C19" s="60"/>
    </row>
    <row r="20" spans="1:5" customFormat="1">
      <c r="A20" s="71" t="s">
        <v>59</v>
      </c>
      <c r="B20" s="60">
        <v>2</v>
      </c>
      <c r="C20" s="60"/>
    </row>
    <row r="21" spans="1:5" customFormat="1">
      <c r="A21" s="58" t="s">
        <v>453</v>
      </c>
      <c r="B21" s="60"/>
      <c r="C21" s="60"/>
    </row>
    <row r="22" spans="1:5" customFormat="1">
      <c r="A22" s="71" t="s">
        <v>23</v>
      </c>
      <c r="B22" s="60">
        <v>6</v>
      </c>
      <c r="C22" s="60"/>
    </row>
    <row r="23" spans="1:5" customFormat="1">
      <c r="A23" s="57" t="s">
        <v>189</v>
      </c>
      <c r="B23" s="60"/>
      <c r="C23" s="60"/>
      <c r="E23" s="60"/>
    </row>
    <row r="24" spans="1:5" customFormat="1">
      <c r="A24" s="58" t="s">
        <v>452</v>
      </c>
      <c r="B24" s="60"/>
      <c r="C24" s="60"/>
    </row>
    <row r="25" spans="1:5" customFormat="1">
      <c r="A25" s="71" t="s">
        <v>37</v>
      </c>
      <c r="B25" s="60">
        <v>2</v>
      </c>
      <c r="C25" s="60"/>
      <c r="E25" t="s">
        <v>87</v>
      </c>
    </row>
    <row r="26" spans="1:5" customFormat="1">
      <c r="A26" s="71" t="s">
        <v>33</v>
      </c>
      <c r="B26" s="60">
        <v>2</v>
      </c>
      <c r="C26" s="60"/>
      <c r="E26" s="60"/>
    </row>
    <row r="27" spans="1:5" customFormat="1">
      <c r="A27" s="71" t="s">
        <v>53</v>
      </c>
      <c r="B27" s="60">
        <v>1</v>
      </c>
      <c r="C27" s="60"/>
      <c r="E27" s="60"/>
    </row>
    <row r="28" spans="1:5" customFormat="1">
      <c r="A28" s="57" t="s">
        <v>198</v>
      </c>
      <c r="B28" s="60"/>
      <c r="C28" s="60"/>
      <c r="E28" s="60"/>
    </row>
    <row r="29" spans="1:5" customFormat="1">
      <c r="A29" s="58" t="s">
        <v>323</v>
      </c>
      <c r="B29" s="60"/>
      <c r="C29" s="60"/>
    </row>
    <row r="30" spans="1:5" customFormat="1">
      <c r="A30" s="71" t="s">
        <v>111</v>
      </c>
      <c r="B30" s="60">
        <v>1</v>
      </c>
      <c r="C30" s="60"/>
    </row>
    <row r="31" spans="1:5" customFormat="1">
      <c r="A31" s="71" t="s">
        <v>94</v>
      </c>
      <c r="B31" s="60">
        <v>0</v>
      </c>
      <c r="C31" s="60">
        <v>2</v>
      </c>
    </row>
    <row r="32" spans="1:5" customFormat="1">
      <c r="A32" s="71" t="s">
        <v>28</v>
      </c>
      <c r="B32" s="60">
        <v>1</v>
      </c>
      <c r="C32" s="60"/>
    </row>
    <row r="33" spans="1:3" customFormat="1">
      <c r="A33" s="71" t="s">
        <v>53</v>
      </c>
      <c r="B33" s="60">
        <v>1</v>
      </c>
      <c r="C33" s="60"/>
    </row>
    <row r="34" spans="1:3" customFormat="1">
      <c r="A34" s="57" t="s">
        <v>90</v>
      </c>
      <c r="B34" s="60"/>
      <c r="C34" s="60"/>
    </row>
    <row r="35" spans="1:3" customFormat="1">
      <c r="A35" s="58" t="s">
        <v>119</v>
      </c>
      <c r="B35" s="60"/>
      <c r="C35" s="60"/>
    </row>
    <row r="36" spans="1:3" customFormat="1">
      <c r="A36" s="71" t="s">
        <v>111</v>
      </c>
      <c r="B36" s="60">
        <v>1</v>
      </c>
      <c r="C36" s="60"/>
    </row>
    <row r="37" spans="1:3" customFormat="1">
      <c r="A37" s="71" t="s">
        <v>37</v>
      </c>
      <c r="B37" s="60">
        <v>12</v>
      </c>
      <c r="C37" s="60"/>
    </row>
    <row r="38" spans="1:3" customFormat="1">
      <c r="A38" s="71" t="s">
        <v>33</v>
      </c>
      <c r="B38" s="60">
        <v>10</v>
      </c>
      <c r="C38" s="60"/>
    </row>
    <row r="39" spans="1:3" customFormat="1">
      <c r="A39" s="71" t="s">
        <v>94</v>
      </c>
      <c r="B39" s="60">
        <v>0</v>
      </c>
      <c r="C39" s="60">
        <v>10</v>
      </c>
    </row>
    <row r="40" spans="1:3" customFormat="1">
      <c r="A40" s="71" t="s">
        <v>23</v>
      </c>
      <c r="B40" s="60">
        <v>3</v>
      </c>
      <c r="C40" s="60"/>
    </row>
    <row r="41" spans="1:3" customFormat="1">
      <c r="A41" s="71" t="s">
        <v>53</v>
      </c>
      <c r="B41" s="60">
        <v>1</v>
      </c>
      <c r="C41" s="60"/>
    </row>
    <row r="42" spans="1:3" customFormat="1">
      <c r="A42" s="58" t="s">
        <v>91</v>
      </c>
      <c r="B42" s="60"/>
      <c r="C42" s="60"/>
    </row>
    <row r="43" spans="1:3" customFormat="1">
      <c r="A43" s="71" t="s">
        <v>115</v>
      </c>
      <c r="B43" s="60">
        <v>0</v>
      </c>
      <c r="C43" s="60">
        <v>13</v>
      </c>
    </row>
    <row r="44" spans="1:3" customFormat="1">
      <c r="A44" s="71" t="s">
        <v>111</v>
      </c>
      <c r="B44" s="60">
        <v>1</v>
      </c>
      <c r="C44" s="60">
        <v>0</v>
      </c>
    </row>
    <row r="45" spans="1:3" customFormat="1">
      <c r="A45" s="71" t="s">
        <v>33</v>
      </c>
      <c r="B45" s="60">
        <v>4</v>
      </c>
      <c r="C45" s="60">
        <v>2</v>
      </c>
    </row>
    <row r="46" spans="1:3" customFormat="1">
      <c r="A46" s="71" t="s">
        <v>94</v>
      </c>
      <c r="B46" s="60">
        <v>0</v>
      </c>
      <c r="C46" s="60">
        <v>7</v>
      </c>
    </row>
    <row r="47" spans="1:3" customFormat="1">
      <c r="A47" s="71" t="s">
        <v>47</v>
      </c>
      <c r="B47" s="60">
        <v>4</v>
      </c>
      <c r="C47" s="60">
        <v>6</v>
      </c>
    </row>
    <row r="48" spans="1:3" customFormat="1">
      <c r="A48" s="71" t="s">
        <v>28</v>
      </c>
      <c r="B48" s="60">
        <v>0</v>
      </c>
      <c r="C48" s="60">
        <v>1</v>
      </c>
    </row>
    <row r="49" spans="1:3" customFormat="1">
      <c r="A49" s="71" t="s">
        <v>59</v>
      </c>
      <c r="B49" s="60">
        <v>1</v>
      </c>
      <c r="C49" s="60">
        <v>0</v>
      </c>
    </row>
    <row r="50" spans="1:3" customFormat="1">
      <c r="A50" s="71" t="s">
        <v>53</v>
      </c>
      <c r="B50" s="60">
        <v>1</v>
      </c>
      <c r="C50" s="60"/>
    </row>
    <row r="51" spans="1:3" customFormat="1">
      <c r="A51" s="71" t="s">
        <v>221</v>
      </c>
      <c r="B51" s="60">
        <v>5</v>
      </c>
      <c r="C51" s="60"/>
    </row>
    <row r="52" spans="1:3" customFormat="1">
      <c r="A52" s="71" t="s">
        <v>210</v>
      </c>
      <c r="B52" s="60">
        <v>4</v>
      </c>
      <c r="C52" s="60">
        <v>8</v>
      </c>
    </row>
    <row r="53" spans="1:3" customFormat="1">
      <c r="A53" s="58" t="s">
        <v>128</v>
      </c>
      <c r="B53" s="60"/>
      <c r="C53" s="60"/>
    </row>
    <row r="54" spans="1:3" customFormat="1">
      <c r="A54" s="71" t="s">
        <v>134</v>
      </c>
      <c r="B54" s="60">
        <v>1</v>
      </c>
      <c r="C54" s="60"/>
    </row>
    <row r="55" spans="1:3" customFormat="1">
      <c r="A55" s="71" t="s">
        <v>33</v>
      </c>
      <c r="B55" s="60">
        <v>2</v>
      </c>
      <c r="C55" s="60">
        <v>3</v>
      </c>
    </row>
    <row r="56" spans="1:3" customFormat="1">
      <c r="A56" s="71" t="s">
        <v>59</v>
      </c>
      <c r="B56" s="60">
        <v>1</v>
      </c>
      <c r="C56" s="60"/>
    </row>
    <row r="57" spans="1:3" customFormat="1">
      <c r="A57" s="71" t="s">
        <v>53</v>
      </c>
      <c r="B57" s="60">
        <v>1</v>
      </c>
      <c r="C57" s="60"/>
    </row>
    <row r="58" spans="1:3" customFormat="1">
      <c r="A58" s="71" t="s">
        <v>221</v>
      </c>
      <c r="B58" s="60">
        <v>2</v>
      </c>
      <c r="C58" s="60"/>
    </row>
    <row r="59" spans="1:3" customFormat="1">
      <c r="A59" s="57" t="s">
        <v>182</v>
      </c>
      <c r="B59" s="60"/>
      <c r="C59" s="60"/>
    </row>
    <row r="60" spans="1:3" customFormat="1">
      <c r="A60" s="58" t="s">
        <v>183</v>
      </c>
      <c r="B60" s="60"/>
      <c r="C60" s="60"/>
    </row>
    <row r="61" spans="1:3" customFormat="1">
      <c r="A61" s="71" t="s">
        <v>23</v>
      </c>
      <c r="B61" s="60">
        <v>1</v>
      </c>
      <c r="C61" s="60"/>
    </row>
    <row r="62" spans="1:3" customFormat="1"/>
    <row r="63" spans="1:3" customFormat="1"/>
    <row r="64" spans="1:3" customFormat="1"/>
    <row r="65" spans="1:7">
      <c r="A65"/>
      <c r="B65"/>
      <c r="C65"/>
      <c r="D65"/>
      <c r="E65"/>
      <c r="F65"/>
      <c r="G65"/>
    </row>
    <row r="66" spans="1:7">
      <c r="A66"/>
      <c r="B66"/>
      <c r="C66"/>
      <c r="D66"/>
      <c r="E66"/>
      <c r="F66"/>
      <c r="G66"/>
    </row>
    <row r="67" spans="1:7">
      <c r="A67"/>
      <c r="B67"/>
      <c r="C67"/>
      <c r="D67" s="32"/>
      <c r="E67" s="32"/>
      <c r="F67" s="32"/>
    </row>
    <row r="68" spans="1:7">
      <c r="A68"/>
      <c r="B68"/>
      <c r="C68"/>
      <c r="D68" s="32"/>
      <c r="E68" s="32"/>
      <c r="F68" s="32"/>
    </row>
    <row r="69" spans="1:7">
      <c r="A69"/>
      <c r="B69"/>
      <c r="C69"/>
      <c r="D69" s="32"/>
      <c r="E69" s="32"/>
      <c r="F69" s="32"/>
    </row>
    <row r="70" spans="1:7">
      <c r="A70"/>
      <c r="B70"/>
      <c r="C70"/>
      <c r="D70" s="32"/>
      <c r="E70" s="32"/>
      <c r="F70" s="32"/>
    </row>
    <row r="71" spans="1:7">
      <c r="A71"/>
      <c r="B71"/>
      <c r="C71"/>
      <c r="D71" s="32"/>
      <c r="E71" s="32"/>
      <c r="F71" s="32"/>
    </row>
    <row r="72" spans="1:7">
      <c r="A72"/>
      <c r="B72"/>
      <c r="C72"/>
      <c r="D72" s="32"/>
      <c r="E72" s="32"/>
      <c r="F72" s="32"/>
    </row>
    <row r="73" spans="1:7">
      <c r="A73"/>
      <c r="B73"/>
      <c r="C73"/>
      <c r="D73" s="32"/>
      <c r="E73" s="32"/>
      <c r="F73" s="32"/>
    </row>
    <row r="74" spans="1:7">
      <c r="A74"/>
      <c r="B74"/>
      <c r="C74"/>
      <c r="D74" s="32"/>
      <c r="E74" s="32"/>
      <c r="F74" s="32"/>
    </row>
    <row r="75" spans="1:7">
      <c r="A75"/>
      <c r="B75"/>
      <c r="C75"/>
      <c r="D75" s="32"/>
      <c r="E75" s="32"/>
      <c r="F75" s="32"/>
    </row>
    <row r="76" spans="1:7">
      <c r="A76"/>
      <c r="B76"/>
      <c r="C76"/>
      <c r="D76" s="32"/>
      <c r="E76" s="32"/>
      <c r="F76" s="32"/>
    </row>
    <row r="77" spans="1:7">
      <c r="A77"/>
      <c r="B77"/>
      <c r="C77"/>
      <c r="D77" s="32"/>
      <c r="E77" s="32"/>
      <c r="F77" s="32"/>
    </row>
    <row r="78" spans="1:7">
      <c r="A78"/>
      <c r="B78"/>
      <c r="C78"/>
      <c r="D78" s="32"/>
      <c r="E78" s="32"/>
      <c r="F78" s="32"/>
    </row>
    <row r="79" spans="1:7">
      <c r="A79"/>
      <c r="B79"/>
      <c r="C79"/>
      <c r="D79" s="32"/>
      <c r="E79" s="32"/>
      <c r="F79" s="32"/>
    </row>
    <row r="80" spans="1:7">
      <c r="A80"/>
      <c r="B80"/>
      <c r="C80"/>
      <c r="D80" s="32"/>
      <c r="E80" s="32"/>
      <c r="F80" s="32"/>
    </row>
    <row r="81" spans="1:6">
      <c r="A81"/>
      <c r="B81"/>
      <c r="C81"/>
      <c r="D81" s="32"/>
      <c r="E81" s="32"/>
      <c r="F81" s="32"/>
    </row>
    <row r="82" spans="1:6">
      <c r="A82"/>
      <c r="B82"/>
      <c r="C82"/>
      <c r="D82" s="32"/>
      <c r="E82" s="32"/>
      <c r="F82" s="32"/>
    </row>
    <row r="83" spans="1:6">
      <c r="A83"/>
      <c r="B83"/>
      <c r="C83"/>
      <c r="D83" s="32"/>
      <c r="E83" s="32"/>
      <c r="F83" s="32"/>
    </row>
    <row r="84" spans="1:6">
      <c r="A84"/>
      <c r="B84"/>
      <c r="C84"/>
      <c r="D84" s="32"/>
      <c r="E84" s="32"/>
      <c r="F84" s="32"/>
    </row>
    <row r="85" spans="1:6">
      <c r="A85"/>
      <c r="B85"/>
      <c r="C85"/>
      <c r="D85" s="32"/>
      <c r="E85" s="32"/>
      <c r="F85" s="32"/>
    </row>
    <row r="86" spans="1:6">
      <c r="A86"/>
      <c r="B86"/>
      <c r="C86"/>
      <c r="D86" s="32"/>
      <c r="E86" s="32"/>
      <c r="F86" s="32"/>
    </row>
    <row r="87" spans="1:6">
      <c r="A87"/>
      <c r="B87"/>
      <c r="C87"/>
      <c r="D87" s="32"/>
      <c r="E87" s="32"/>
      <c r="F87" s="32"/>
    </row>
    <row r="88" spans="1:6">
      <c r="A88"/>
      <c r="B88"/>
      <c r="C88"/>
      <c r="D88" s="32"/>
      <c r="E88" s="32"/>
      <c r="F88" s="32"/>
    </row>
    <row r="89" spans="1:6">
      <c r="A89"/>
      <c r="B89"/>
      <c r="C89"/>
      <c r="D89" s="32"/>
      <c r="E89" s="32"/>
      <c r="F89" s="32"/>
    </row>
    <row r="90" spans="1:6">
      <c r="A90"/>
      <c r="B90"/>
      <c r="C90"/>
      <c r="D90" s="32"/>
      <c r="E90" s="32"/>
      <c r="F90" s="32"/>
    </row>
    <row r="91" spans="1:6">
      <c r="A91"/>
      <c r="B91"/>
      <c r="C91"/>
      <c r="D91" s="32"/>
      <c r="E91" s="32"/>
      <c r="F91" s="32"/>
    </row>
    <row r="92" spans="1:6">
      <c r="A92"/>
      <c r="B92"/>
      <c r="C92"/>
      <c r="D92" s="32"/>
      <c r="E92" s="32"/>
      <c r="F92" s="32"/>
    </row>
    <row r="93" spans="1:6">
      <c r="A93"/>
      <c r="B93"/>
      <c r="C93"/>
      <c r="D93" s="32"/>
      <c r="E93" s="32"/>
      <c r="F93" s="32"/>
    </row>
    <row r="94" spans="1:6">
      <c r="A94"/>
      <c r="B94"/>
      <c r="C94"/>
      <c r="D94" s="32"/>
      <c r="E94" s="32"/>
      <c r="F94" s="32"/>
    </row>
    <row r="95" spans="1:6">
      <c r="A95"/>
      <c r="B95"/>
      <c r="C95"/>
      <c r="D95" s="32"/>
      <c r="E95" s="32"/>
      <c r="F95" s="32"/>
    </row>
    <row r="96" spans="1:6">
      <c r="A96"/>
      <c r="B96"/>
      <c r="C96"/>
      <c r="D96" s="32"/>
      <c r="E96" s="32"/>
      <c r="F96" s="32"/>
    </row>
    <row r="97" spans="1:6">
      <c r="A97"/>
      <c r="B97"/>
      <c r="C97"/>
      <c r="D97" s="32"/>
      <c r="E97" s="32"/>
      <c r="F97" s="32"/>
    </row>
    <row r="98" spans="1:6">
      <c r="A98"/>
      <c r="B98"/>
      <c r="C98"/>
      <c r="D98" s="32"/>
      <c r="E98" s="32"/>
      <c r="F98" s="32"/>
    </row>
    <row r="99" spans="1:6">
      <c r="A99"/>
      <c r="B99"/>
      <c r="C99"/>
      <c r="D99" s="32"/>
      <c r="E99" s="32"/>
      <c r="F99" s="32"/>
    </row>
    <row r="100" spans="1:6">
      <c r="A100"/>
      <c r="B100"/>
      <c r="C100"/>
      <c r="D100" s="32"/>
      <c r="E100" s="32"/>
      <c r="F100" s="32"/>
    </row>
    <row r="101" spans="1:6">
      <c r="A101"/>
      <c r="B101"/>
      <c r="C101"/>
      <c r="D101" s="32"/>
      <c r="E101" s="32"/>
      <c r="F101" s="32"/>
    </row>
    <row r="102" spans="1:6">
      <c r="A102"/>
      <c r="B102"/>
      <c r="C102"/>
      <c r="D102" s="32"/>
      <c r="E102" s="32"/>
      <c r="F102" s="32"/>
    </row>
    <row r="103" spans="1:6">
      <c r="A103"/>
      <c r="B103"/>
      <c r="C103"/>
      <c r="D103" s="32"/>
      <c r="E103" s="32"/>
      <c r="F103" s="32"/>
    </row>
    <row r="104" spans="1:6">
      <c r="A104"/>
      <c r="B104"/>
      <c r="C104"/>
      <c r="D104" s="32"/>
      <c r="E104" s="32"/>
      <c r="F104" s="32"/>
    </row>
    <row r="105" spans="1:6">
      <c r="A105"/>
      <c r="B105"/>
      <c r="C105"/>
      <c r="D105" s="32"/>
      <c r="E105" s="32"/>
      <c r="F105" s="32"/>
    </row>
    <row r="106" spans="1:6">
      <c r="A106"/>
      <c r="B106"/>
      <c r="C106"/>
      <c r="D106" s="32"/>
      <c r="E106" s="32"/>
      <c r="F106" s="32"/>
    </row>
    <row r="107" spans="1:6">
      <c r="A107"/>
      <c r="B107"/>
      <c r="C107"/>
      <c r="D107" s="32"/>
      <c r="E107" s="32"/>
      <c r="F107" s="32"/>
    </row>
    <row r="108" spans="1:6">
      <c r="A108"/>
      <c r="B108"/>
      <c r="C108"/>
      <c r="D108" s="32"/>
      <c r="E108" s="32"/>
      <c r="F108" s="32"/>
    </row>
    <row r="109" spans="1:6">
      <c r="A109"/>
      <c r="B109"/>
      <c r="C109"/>
      <c r="D109" s="32"/>
      <c r="E109" s="32"/>
      <c r="F109" s="32"/>
    </row>
    <row r="110" spans="1:6">
      <c r="A110"/>
      <c r="B110"/>
      <c r="C110"/>
      <c r="D110" s="32"/>
      <c r="E110" s="32"/>
      <c r="F110" s="32"/>
    </row>
    <row r="111" spans="1:6">
      <c r="A111"/>
      <c r="B111"/>
      <c r="C111"/>
      <c r="D111" s="32"/>
      <c r="E111" s="32"/>
      <c r="F111" s="32"/>
    </row>
    <row r="112" spans="1:6">
      <c r="A112"/>
      <c r="B112"/>
      <c r="C112"/>
      <c r="D112" s="32"/>
      <c r="E112" s="32"/>
      <c r="F112" s="32"/>
    </row>
    <row r="113" spans="1:6">
      <c r="A113"/>
      <c r="B113"/>
      <c r="C113"/>
      <c r="D113" s="32"/>
      <c r="E113" s="32"/>
      <c r="F113" s="32"/>
    </row>
    <row r="114" spans="1:6">
      <c r="A114"/>
      <c r="B114"/>
      <c r="C114"/>
      <c r="D114" s="32"/>
      <c r="E114" s="32"/>
      <c r="F114" s="32"/>
    </row>
    <row r="115" spans="1:6">
      <c r="A115"/>
      <c r="B115"/>
      <c r="C115"/>
      <c r="D115" s="32"/>
      <c r="E115" s="32"/>
      <c r="F115" s="32"/>
    </row>
    <row r="116" spans="1:6">
      <c r="A116"/>
      <c r="B116"/>
      <c r="C116"/>
      <c r="D116" s="32"/>
      <c r="E116" s="32"/>
      <c r="F116" s="32"/>
    </row>
    <row r="117" spans="1:6">
      <c r="A117"/>
      <c r="B117"/>
      <c r="C117"/>
      <c r="D117" s="32"/>
      <c r="E117" s="32"/>
      <c r="F117" s="32"/>
    </row>
    <row r="118" spans="1:6">
      <c r="A118"/>
      <c r="B118"/>
      <c r="C118"/>
      <c r="D118" s="32"/>
      <c r="E118" s="32"/>
      <c r="F118" s="32"/>
    </row>
    <row r="119" spans="1:6">
      <c r="A119"/>
      <c r="B119"/>
      <c r="C119"/>
      <c r="D119" s="32"/>
      <c r="E119" s="32"/>
      <c r="F119" s="32"/>
    </row>
    <row r="120" spans="1:6">
      <c r="A120"/>
      <c r="B120"/>
      <c r="C120"/>
      <c r="D120" s="32"/>
      <c r="E120" s="32"/>
      <c r="F120" s="32"/>
    </row>
    <row r="121" spans="1:6">
      <c r="A121"/>
      <c r="B121"/>
      <c r="C121"/>
      <c r="D121" s="32"/>
      <c r="E121" s="32"/>
      <c r="F121" s="32"/>
    </row>
    <row r="122" spans="1:6">
      <c r="A122"/>
      <c r="B122"/>
      <c r="C122"/>
      <c r="D122" s="32"/>
      <c r="E122" s="32"/>
      <c r="F122" s="32"/>
    </row>
    <row r="123" spans="1:6">
      <c r="A123"/>
      <c r="B123"/>
      <c r="C123"/>
      <c r="D123" s="32"/>
      <c r="E123" s="32"/>
      <c r="F123" s="32"/>
    </row>
    <row r="124" spans="1:6">
      <c r="A124"/>
      <c r="B124"/>
      <c r="C124"/>
      <c r="D124" s="32"/>
      <c r="E124" s="32"/>
      <c r="F124" s="32"/>
    </row>
    <row r="125" spans="1:6">
      <c r="A125"/>
      <c r="B125"/>
      <c r="C125"/>
      <c r="D125" s="32"/>
      <c r="E125" s="32"/>
      <c r="F125" s="32"/>
    </row>
    <row r="126" spans="1:6">
      <c r="A126"/>
      <c r="B126"/>
      <c r="C126"/>
      <c r="D126" s="32"/>
      <c r="E126" s="32"/>
      <c r="F126" s="32"/>
    </row>
    <row r="127" spans="1:6">
      <c r="A127"/>
      <c r="B127"/>
      <c r="C127"/>
      <c r="D127" s="32"/>
      <c r="E127" s="32"/>
      <c r="F127" s="32"/>
    </row>
    <row r="128" spans="1:6">
      <c r="A128"/>
      <c r="B128"/>
      <c r="C128"/>
      <c r="D128" s="32"/>
      <c r="E128" s="32"/>
      <c r="F128" s="32"/>
    </row>
    <row r="129" spans="1:6">
      <c r="A129"/>
      <c r="B129"/>
      <c r="C129"/>
      <c r="D129" s="32"/>
      <c r="E129" s="32"/>
      <c r="F129" s="32"/>
    </row>
    <row r="130" spans="1:6">
      <c r="A130"/>
      <c r="B130"/>
      <c r="C130"/>
      <c r="D130" s="32"/>
      <c r="E130" s="32"/>
      <c r="F130" s="32"/>
    </row>
    <row r="131" spans="1:6">
      <c r="A131"/>
      <c r="B131"/>
      <c r="C131"/>
      <c r="D131" s="32"/>
      <c r="E131" s="32"/>
      <c r="F131" s="32"/>
    </row>
    <row r="132" spans="1:6">
      <c r="A132"/>
      <c r="B132"/>
      <c r="C132"/>
      <c r="D132" s="32"/>
      <c r="E132" s="32"/>
      <c r="F132" s="32"/>
    </row>
    <row r="133" spans="1:6">
      <c r="A133"/>
      <c r="B133"/>
      <c r="C133"/>
      <c r="D133" s="32"/>
      <c r="E133" s="32"/>
      <c r="F133" s="32"/>
    </row>
    <row r="134" spans="1:6">
      <c r="A134"/>
      <c r="B134"/>
      <c r="C134"/>
      <c r="D134" s="32"/>
      <c r="E134" s="32"/>
      <c r="F134" s="32"/>
    </row>
    <row r="135" spans="1:6">
      <c r="A135"/>
      <c r="B135"/>
      <c r="C135"/>
      <c r="D135" s="32"/>
      <c r="E135" s="32"/>
      <c r="F135" s="32"/>
    </row>
    <row r="136" spans="1:6">
      <c r="A136"/>
      <c r="B136"/>
      <c r="C136"/>
      <c r="D136" s="32"/>
      <c r="E136" s="32"/>
      <c r="F136" s="32"/>
    </row>
    <row r="137" spans="1:6">
      <c r="A137"/>
      <c r="B137"/>
      <c r="C137"/>
      <c r="D137" s="32"/>
      <c r="E137" s="32"/>
      <c r="F137" s="32"/>
    </row>
    <row r="138" spans="1:6">
      <c r="A138"/>
      <c r="B138"/>
      <c r="C138"/>
      <c r="D138" s="32"/>
      <c r="E138" s="32"/>
      <c r="F138" s="32"/>
    </row>
    <row r="139" spans="1:6">
      <c r="A139"/>
      <c r="B139"/>
      <c r="C139"/>
      <c r="D139" s="32"/>
      <c r="E139" s="32"/>
      <c r="F139" s="32"/>
    </row>
    <row r="140" spans="1:6">
      <c r="A140"/>
      <c r="B140"/>
      <c r="C140"/>
      <c r="D140" s="32"/>
      <c r="E140" s="32"/>
      <c r="F140" s="32"/>
    </row>
    <row r="141" spans="1:6">
      <c r="A141"/>
      <c r="B141"/>
      <c r="C141"/>
      <c r="D141" s="32"/>
      <c r="E141" s="32"/>
      <c r="F141" s="32"/>
    </row>
    <row r="142" spans="1:6">
      <c r="A142"/>
      <c r="B142"/>
      <c r="C142"/>
      <c r="D142" s="32"/>
      <c r="E142" s="32"/>
      <c r="F142" s="32"/>
    </row>
    <row r="143" spans="1:6">
      <c r="A143"/>
      <c r="B143"/>
      <c r="C143"/>
      <c r="D143" s="32"/>
      <c r="E143" s="32"/>
      <c r="F143" s="32"/>
    </row>
    <row r="144" spans="1:6">
      <c r="A144"/>
      <c r="B144"/>
      <c r="C144"/>
      <c r="D144" s="32"/>
      <c r="E144" s="32"/>
      <c r="F144" s="32"/>
    </row>
    <row r="145" spans="1:6">
      <c r="A145"/>
      <c r="B145"/>
      <c r="C145"/>
      <c r="D145" s="32"/>
      <c r="E145" s="32"/>
      <c r="F145" s="32"/>
    </row>
    <row r="146" spans="1:6">
      <c r="A146"/>
      <c r="B146"/>
      <c r="C146"/>
      <c r="D146" s="32"/>
      <c r="E146" s="32"/>
      <c r="F146" s="32"/>
    </row>
    <row r="147" spans="1:6">
      <c r="A147"/>
      <c r="B147"/>
      <c r="C147"/>
      <c r="D147" s="32"/>
      <c r="E147" s="32"/>
      <c r="F147" s="32"/>
    </row>
    <row r="148" spans="1:6">
      <c r="A148"/>
      <c r="B148"/>
      <c r="C148"/>
      <c r="D148" s="32"/>
      <c r="E148" s="32"/>
      <c r="F148" s="32"/>
    </row>
    <row r="149" spans="1:6">
      <c r="A149"/>
      <c r="B149"/>
      <c r="C149"/>
      <c r="D149" s="32"/>
      <c r="E149" s="32"/>
      <c r="F149" s="32"/>
    </row>
    <row r="150" spans="1:6">
      <c r="A150"/>
      <c r="B150"/>
      <c r="C150"/>
      <c r="D150" s="32"/>
      <c r="E150" s="32"/>
      <c r="F150" s="32"/>
    </row>
    <row r="151" spans="1:6">
      <c r="A151"/>
      <c r="B151"/>
      <c r="C151"/>
      <c r="D151" s="32"/>
      <c r="E151" s="32"/>
      <c r="F151" s="32"/>
    </row>
    <row r="152" spans="1:6">
      <c r="A152"/>
      <c r="B152"/>
      <c r="C152"/>
      <c r="D152" s="32"/>
      <c r="E152" s="32"/>
      <c r="F152" s="32"/>
    </row>
    <row r="153" spans="1:6">
      <c r="A153"/>
      <c r="B153"/>
      <c r="C153"/>
      <c r="D153" s="32"/>
      <c r="E153" s="32"/>
      <c r="F153" s="32"/>
    </row>
    <row r="154" spans="1:6">
      <c r="A154"/>
      <c r="B154"/>
      <c r="C154"/>
      <c r="D154" s="32"/>
      <c r="E154" s="32"/>
      <c r="F154" s="32"/>
    </row>
    <row r="155" spans="1:6">
      <c r="A155"/>
      <c r="B155"/>
      <c r="C155"/>
      <c r="D155" s="32"/>
      <c r="E155" s="32"/>
      <c r="F155" s="32"/>
    </row>
    <row r="156" spans="1:6">
      <c r="A156"/>
      <c r="B156"/>
      <c r="C156"/>
      <c r="D156" s="32"/>
      <c r="E156" s="32"/>
      <c r="F156" s="32"/>
    </row>
    <row r="157" spans="1:6">
      <c r="A157"/>
      <c r="B157"/>
      <c r="C157"/>
      <c r="D157" s="32"/>
      <c r="E157" s="32"/>
      <c r="F157" s="32"/>
    </row>
    <row r="158" spans="1:6">
      <c r="A158"/>
      <c r="B158"/>
      <c r="C158"/>
      <c r="D158" s="32"/>
      <c r="E158" s="32"/>
      <c r="F158" s="32"/>
    </row>
    <row r="159" spans="1:6">
      <c r="A159"/>
      <c r="B159"/>
      <c r="C159"/>
      <c r="D159" s="32"/>
      <c r="E159" s="32"/>
      <c r="F159" s="32"/>
    </row>
    <row r="160" spans="1:6">
      <c r="A160"/>
      <c r="B160"/>
      <c r="C160"/>
      <c r="D160" s="32"/>
      <c r="E160" s="32"/>
      <c r="F160" s="32"/>
    </row>
    <row r="161" spans="1:6">
      <c r="A161"/>
      <c r="B161"/>
      <c r="C161"/>
      <c r="D161" s="32"/>
      <c r="E161" s="32"/>
      <c r="F161" s="32"/>
    </row>
    <row r="162" spans="1:6">
      <c r="A162"/>
      <c r="B162"/>
      <c r="C162"/>
      <c r="D162" s="32"/>
      <c r="E162" s="32"/>
      <c r="F162" s="32"/>
    </row>
    <row r="163" spans="1:6">
      <c r="A163"/>
      <c r="B163"/>
      <c r="C163"/>
      <c r="D163" s="32"/>
      <c r="E163" s="32"/>
      <c r="F163" s="32"/>
    </row>
    <row r="164" spans="1:6">
      <c r="A164"/>
      <c r="B164"/>
      <c r="C164"/>
      <c r="D164" s="32"/>
      <c r="E164" s="32"/>
      <c r="F164" s="32"/>
    </row>
    <row r="165" spans="1:6">
      <c r="A165"/>
      <c r="B165"/>
      <c r="C165"/>
      <c r="D165" s="32"/>
      <c r="E165" s="32"/>
      <c r="F165" s="32"/>
    </row>
    <row r="166" spans="1:6">
      <c r="A166"/>
      <c r="B166"/>
      <c r="C166"/>
      <c r="D166" s="32"/>
      <c r="E166" s="32"/>
      <c r="F166" s="32"/>
    </row>
    <row r="167" spans="1:6">
      <c r="A167"/>
      <c r="B167"/>
      <c r="C167"/>
      <c r="D167" s="32"/>
      <c r="E167" s="32"/>
      <c r="F167" s="32"/>
    </row>
    <row r="168" spans="1:6">
      <c r="A168"/>
      <c r="B168"/>
      <c r="C168"/>
      <c r="D168" s="32"/>
      <c r="E168" s="32"/>
      <c r="F168" s="32"/>
    </row>
    <row r="169" spans="1:6">
      <c r="A169"/>
      <c r="B169"/>
      <c r="C169"/>
      <c r="D169" s="32"/>
      <c r="E169" s="32"/>
      <c r="F169" s="32"/>
    </row>
    <row r="170" spans="1:6">
      <c r="A170"/>
      <c r="B170"/>
      <c r="C170"/>
      <c r="D170" s="32"/>
      <c r="E170" s="32"/>
      <c r="F170" s="32"/>
    </row>
    <row r="171" spans="1:6">
      <c r="A171"/>
      <c r="B171"/>
      <c r="C171"/>
      <c r="D171" s="32"/>
      <c r="E171" s="32"/>
      <c r="F171" s="32"/>
    </row>
    <row r="172" spans="1:6">
      <c r="A172"/>
      <c r="B172"/>
      <c r="C172"/>
      <c r="D172" s="32"/>
      <c r="E172" s="32"/>
      <c r="F172" s="32"/>
    </row>
    <row r="173" spans="1:6">
      <c r="A173"/>
      <c r="B173"/>
      <c r="C173"/>
      <c r="D173" s="32"/>
      <c r="E173" s="32"/>
      <c r="F173" s="32"/>
    </row>
    <row r="174" spans="1:6">
      <c r="A174"/>
      <c r="B174"/>
      <c r="C174"/>
      <c r="D174" s="32"/>
      <c r="E174" s="32"/>
      <c r="F174" s="32"/>
    </row>
    <row r="175" spans="1:6">
      <c r="A175"/>
      <c r="B175"/>
      <c r="C175"/>
      <c r="D175" s="32"/>
      <c r="E175" s="32"/>
      <c r="F175" s="32"/>
    </row>
    <row r="176" spans="1:6">
      <c r="A176"/>
      <c r="B176"/>
      <c r="C176"/>
      <c r="D176" s="32"/>
      <c r="E176" s="32"/>
      <c r="F176" s="32"/>
    </row>
    <row r="177" spans="1:6">
      <c r="A177"/>
      <c r="B177"/>
      <c r="C177"/>
      <c r="D177" s="32"/>
      <c r="E177" s="32"/>
      <c r="F177" s="32"/>
    </row>
    <row r="178" spans="1:6">
      <c r="A178"/>
      <c r="B178"/>
      <c r="C178"/>
      <c r="D178" s="32"/>
      <c r="E178" s="32"/>
      <c r="F178" s="32"/>
    </row>
    <row r="179" spans="1:6">
      <c r="A179"/>
      <c r="B179"/>
      <c r="C179"/>
      <c r="D179" s="32"/>
      <c r="E179" s="32"/>
      <c r="F179" s="32"/>
    </row>
    <row r="180" spans="1:6">
      <c r="A180"/>
      <c r="B180"/>
      <c r="C180"/>
      <c r="D180" s="32"/>
      <c r="E180" s="32"/>
      <c r="F180" s="32"/>
    </row>
    <row r="181" spans="1:6">
      <c r="A181"/>
      <c r="B181"/>
      <c r="C181"/>
      <c r="D181" s="32"/>
      <c r="E181" s="32"/>
      <c r="F181" s="32"/>
    </row>
    <row r="182" spans="1:6">
      <c r="A182"/>
      <c r="B182"/>
      <c r="C182"/>
      <c r="D182" s="32"/>
      <c r="E182" s="32"/>
      <c r="F182" s="32"/>
    </row>
    <row r="183" spans="1:6">
      <c r="A183"/>
      <c r="B183"/>
      <c r="C183"/>
      <c r="D183" s="32"/>
      <c r="E183" s="32"/>
      <c r="F183" s="32"/>
    </row>
    <row r="184" spans="1:6">
      <c r="A184"/>
      <c r="B184"/>
      <c r="C184"/>
      <c r="D184" s="32"/>
      <c r="E184" s="32"/>
      <c r="F184" s="32"/>
    </row>
    <row r="185" spans="1:6">
      <c r="A185"/>
      <c r="B185"/>
      <c r="C185"/>
      <c r="D185" s="32"/>
      <c r="E185" s="32"/>
      <c r="F185" s="32"/>
    </row>
    <row r="186" spans="1:6">
      <c r="A186"/>
      <c r="B186"/>
      <c r="C186"/>
      <c r="D186" s="32"/>
      <c r="E186" s="32"/>
      <c r="F186" s="32"/>
    </row>
    <row r="187" spans="1:6">
      <c r="A187"/>
      <c r="B187"/>
      <c r="C187"/>
      <c r="D187" s="32"/>
      <c r="E187" s="32"/>
      <c r="F187" s="32"/>
    </row>
    <row r="188" spans="1:6">
      <c r="A188"/>
      <c r="B188"/>
      <c r="C188"/>
      <c r="D188" s="32"/>
      <c r="E188" s="32"/>
      <c r="F188" s="32"/>
    </row>
    <row r="189" spans="1:6">
      <c r="A189"/>
      <c r="B189"/>
      <c r="C189"/>
      <c r="D189" s="32"/>
      <c r="E189" s="32"/>
      <c r="F189" s="32"/>
    </row>
    <row r="190" spans="1:6">
      <c r="A190"/>
      <c r="B190"/>
      <c r="C190"/>
      <c r="D190" s="32"/>
      <c r="E190" s="32"/>
      <c r="F190" s="32"/>
    </row>
    <row r="191" spans="1:6">
      <c r="A191"/>
      <c r="B191"/>
      <c r="C191"/>
      <c r="D191" s="32"/>
      <c r="E191" s="32"/>
      <c r="F191" s="32"/>
    </row>
    <row r="192" spans="1:6">
      <c r="A192"/>
      <c r="B192"/>
      <c r="C192"/>
      <c r="D192" s="32"/>
      <c r="E192" s="32"/>
      <c r="F192" s="32"/>
    </row>
    <row r="193" spans="1:6">
      <c r="A193"/>
      <c r="B193"/>
      <c r="C193"/>
      <c r="D193" s="32"/>
      <c r="E193" s="32"/>
      <c r="F193" s="32"/>
    </row>
    <row r="194" spans="1:6">
      <c r="A194"/>
      <c r="B194"/>
      <c r="C194"/>
      <c r="D194" s="32"/>
      <c r="E194" s="32"/>
      <c r="F194" s="32"/>
    </row>
    <row r="195" spans="1:6">
      <c r="A195"/>
      <c r="B195"/>
      <c r="C195"/>
      <c r="D195" s="32"/>
      <c r="E195" s="32"/>
      <c r="F195" s="32"/>
    </row>
    <row r="196" spans="1:6">
      <c r="A196"/>
      <c r="B196"/>
      <c r="C196"/>
      <c r="D196" s="32"/>
      <c r="E196" s="32"/>
      <c r="F196" s="32"/>
    </row>
    <row r="197" spans="1:6">
      <c r="A197"/>
      <c r="B197"/>
      <c r="C197"/>
      <c r="D197" s="32"/>
      <c r="E197" s="32"/>
      <c r="F197" s="32"/>
    </row>
    <row r="198" spans="1:6">
      <c r="A198"/>
      <c r="B198"/>
      <c r="C198"/>
      <c r="D198" s="32"/>
      <c r="E198" s="32"/>
      <c r="F198" s="32"/>
    </row>
    <row r="199" spans="1:6">
      <c r="A199"/>
      <c r="B199"/>
      <c r="C199"/>
      <c r="D199" s="32"/>
      <c r="E199" s="32"/>
      <c r="F199" s="32"/>
    </row>
    <row r="200" spans="1:6">
      <c r="A200"/>
      <c r="B200"/>
      <c r="C200"/>
      <c r="D200" s="32"/>
      <c r="E200" s="32"/>
      <c r="F200" s="32"/>
    </row>
    <row r="201" spans="1:6">
      <c r="A201"/>
      <c r="B201"/>
      <c r="C201"/>
      <c r="D201" s="32"/>
      <c r="E201" s="32"/>
      <c r="F201" s="32"/>
    </row>
    <row r="202" spans="1:6">
      <c r="A202"/>
      <c r="B202"/>
      <c r="C202"/>
      <c r="D202" s="32"/>
      <c r="E202" s="32"/>
      <c r="F202" s="32"/>
    </row>
    <row r="203" spans="1:6">
      <c r="A203"/>
      <c r="B203"/>
      <c r="C203"/>
      <c r="D203" s="32"/>
      <c r="E203" s="32"/>
      <c r="F203" s="32"/>
    </row>
    <row r="204" spans="1:6">
      <c r="A204"/>
      <c r="B204"/>
      <c r="C204"/>
      <c r="D204" s="32"/>
      <c r="E204" s="32"/>
      <c r="F204" s="32"/>
    </row>
    <row r="205" spans="1:6">
      <c r="A205"/>
      <c r="B205"/>
      <c r="C205"/>
      <c r="D205" s="32"/>
      <c r="E205" s="32"/>
      <c r="F205" s="32"/>
    </row>
    <row r="206" spans="1:6">
      <c r="A206"/>
      <c r="B206"/>
      <c r="C206"/>
      <c r="D206" s="32"/>
      <c r="E206" s="32"/>
      <c r="F206" s="32"/>
    </row>
    <row r="207" spans="1:6">
      <c r="A207"/>
      <c r="B207"/>
      <c r="C207"/>
      <c r="D207" s="32"/>
      <c r="E207" s="32"/>
      <c r="F207" s="32"/>
    </row>
    <row r="208" spans="1:6">
      <c r="A208"/>
      <c r="B208"/>
      <c r="C208"/>
      <c r="D208" s="32"/>
      <c r="E208" s="32"/>
      <c r="F208" s="32"/>
    </row>
    <row r="209" spans="1:6">
      <c r="A209"/>
      <c r="B209"/>
      <c r="C209"/>
      <c r="D209" s="32"/>
      <c r="E209" s="32"/>
      <c r="F209" s="32"/>
    </row>
    <row r="210" spans="1:6">
      <c r="A210"/>
      <c r="B210"/>
      <c r="C210"/>
      <c r="D210" s="32"/>
      <c r="E210" s="32"/>
      <c r="F210" s="32"/>
    </row>
    <row r="211" spans="1:6">
      <c r="A211"/>
      <c r="B211"/>
      <c r="C211"/>
      <c r="D211" s="32"/>
      <c r="E211" s="32"/>
      <c r="F211" s="32"/>
    </row>
    <row r="212" spans="1:6">
      <c r="A212"/>
      <c r="B212"/>
      <c r="C212"/>
      <c r="D212" s="32"/>
      <c r="E212" s="32"/>
      <c r="F212" s="32"/>
    </row>
    <row r="213" spans="1:6">
      <c r="A213"/>
      <c r="B213"/>
      <c r="C213"/>
      <c r="D213" s="32"/>
      <c r="E213" s="32"/>
      <c r="F213" s="32"/>
    </row>
    <row r="214" spans="1:6">
      <c r="A214"/>
      <c r="B214"/>
      <c r="C214"/>
      <c r="D214" s="32"/>
      <c r="E214" s="32"/>
      <c r="F214" s="32"/>
    </row>
    <row r="215" spans="1:6">
      <c r="A215"/>
      <c r="B215"/>
      <c r="C215"/>
      <c r="D215" s="32"/>
      <c r="E215" s="32"/>
      <c r="F215" s="32"/>
    </row>
    <row r="216" spans="1:6">
      <c r="A216"/>
      <c r="B216"/>
      <c r="C216"/>
      <c r="D216" s="32"/>
      <c r="E216" s="32"/>
      <c r="F216" s="32"/>
    </row>
    <row r="217" spans="1:6">
      <c r="A217"/>
      <c r="B217"/>
      <c r="C217"/>
      <c r="D217" s="32"/>
      <c r="E217" s="32"/>
      <c r="F217" s="32"/>
    </row>
    <row r="218" spans="1:6">
      <c r="A218"/>
      <c r="B218"/>
      <c r="C218"/>
      <c r="D218" s="32"/>
      <c r="E218" s="32"/>
      <c r="F218" s="32"/>
    </row>
    <row r="219" spans="1:6">
      <c r="A219"/>
      <c r="B219"/>
      <c r="C219"/>
      <c r="D219" s="32"/>
      <c r="E219" s="32"/>
      <c r="F219" s="32"/>
    </row>
    <row r="220" spans="1:6">
      <c r="A220"/>
      <c r="B220"/>
      <c r="C220"/>
      <c r="D220" s="32"/>
      <c r="E220" s="32"/>
      <c r="F220" s="32"/>
    </row>
    <row r="221" spans="1:6">
      <c r="A221"/>
      <c r="B221"/>
      <c r="C221"/>
      <c r="D221" s="32"/>
      <c r="E221" s="32"/>
      <c r="F221" s="32"/>
    </row>
    <row r="222" spans="1:6">
      <c r="A222"/>
      <c r="B222"/>
      <c r="C222"/>
      <c r="D222" s="32"/>
      <c r="E222" s="32"/>
      <c r="F222" s="32"/>
    </row>
    <row r="223" spans="1:6">
      <c r="A223"/>
      <c r="B223"/>
      <c r="C223"/>
      <c r="D223" s="32"/>
      <c r="E223" s="32"/>
      <c r="F223" s="32"/>
    </row>
    <row r="224" spans="1:6">
      <c r="A224"/>
      <c r="B224"/>
      <c r="C224"/>
      <c r="D224" s="32"/>
      <c r="E224" s="32"/>
      <c r="F224" s="32"/>
    </row>
    <row r="225" spans="1:6">
      <c r="A225"/>
      <c r="B225"/>
      <c r="C225"/>
      <c r="D225" s="32"/>
      <c r="E225" s="32"/>
      <c r="F225" s="32"/>
    </row>
    <row r="226" spans="1:6">
      <c r="A226"/>
      <c r="B226"/>
      <c r="C226"/>
      <c r="D226" s="32"/>
      <c r="E226" s="32"/>
      <c r="F226" s="32"/>
    </row>
    <row r="227" spans="1:6">
      <c r="A227"/>
      <c r="B227"/>
      <c r="C227"/>
      <c r="D227" s="32"/>
      <c r="E227" s="32"/>
      <c r="F227" s="32"/>
    </row>
    <row r="228" spans="1:6">
      <c r="A228"/>
      <c r="B228"/>
      <c r="C228"/>
      <c r="D228" s="32"/>
      <c r="E228" s="32"/>
      <c r="F228" s="32"/>
    </row>
    <row r="229" spans="1:6">
      <c r="A229"/>
      <c r="B229"/>
      <c r="C229"/>
      <c r="D229" s="32"/>
      <c r="E229" s="32"/>
      <c r="F229" s="32"/>
    </row>
    <row r="230" spans="1:6">
      <c r="A230"/>
      <c r="B230"/>
      <c r="C230"/>
      <c r="D230" s="32"/>
      <c r="E230" s="32"/>
      <c r="F230" s="32"/>
    </row>
    <row r="231" spans="1:6">
      <c r="A231"/>
      <c r="B231"/>
      <c r="C231"/>
      <c r="D231" s="32"/>
      <c r="E231" s="32"/>
      <c r="F231" s="32"/>
    </row>
    <row r="232" spans="1:6">
      <c r="A232"/>
      <c r="B232"/>
      <c r="C232"/>
      <c r="D232" s="32"/>
      <c r="E232" s="32"/>
      <c r="F232" s="32"/>
    </row>
    <row r="233" spans="1:6">
      <c r="A233"/>
      <c r="B233"/>
      <c r="C233"/>
      <c r="D233" s="32"/>
      <c r="E233" s="32"/>
      <c r="F233" s="32"/>
    </row>
    <row r="234" spans="1:6">
      <c r="A234"/>
      <c r="B234"/>
      <c r="C234"/>
      <c r="D234" s="32"/>
      <c r="E234" s="32"/>
      <c r="F234" s="32"/>
    </row>
    <row r="235" spans="1:6">
      <c r="A235"/>
      <c r="B235"/>
      <c r="C235"/>
      <c r="D235" s="32"/>
      <c r="E235" s="32"/>
      <c r="F235" s="32"/>
    </row>
    <row r="236" spans="1:6">
      <c r="A236"/>
      <c r="B236"/>
      <c r="C236"/>
      <c r="D236" s="32"/>
      <c r="E236" s="32"/>
      <c r="F236" s="32"/>
    </row>
    <row r="237" spans="1:6">
      <c r="A237"/>
      <c r="B237"/>
      <c r="C237"/>
      <c r="D237" s="32"/>
      <c r="E237" s="32"/>
      <c r="F237" s="32"/>
    </row>
    <row r="238" spans="1:6">
      <c r="A238"/>
      <c r="B238"/>
      <c r="C238"/>
      <c r="D238" s="32"/>
      <c r="E238" s="32"/>
      <c r="F238" s="32"/>
    </row>
    <row r="239" spans="1:6">
      <c r="A239"/>
      <c r="B239"/>
      <c r="C239"/>
      <c r="D239" s="32"/>
      <c r="E239" s="32"/>
      <c r="F239" s="32"/>
    </row>
    <row r="240" spans="1:6">
      <c r="A240"/>
      <c r="B240"/>
      <c r="C240"/>
      <c r="D240" s="32"/>
      <c r="E240" s="32"/>
      <c r="F240" s="32"/>
    </row>
    <row r="241" spans="1:6">
      <c r="A241"/>
      <c r="B241"/>
      <c r="C241"/>
      <c r="D241" s="32"/>
      <c r="E241" s="32"/>
      <c r="F241" s="32"/>
    </row>
    <row r="242" spans="1:6">
      <c r="A242"/>
      <c r="B242"/>
      <c r="C242"/>
      <c r="D242" s="32"/>
      <c r="E242" s="32"/>
      <c r="F242" s="32"/>
    </row>
    <row r="243" spans="1:6">
      <c r="A243"/>
      <c r="B243"/>
      <c r="C243"/>
      <c r="D243" s="32"/>
      <c r="E243" s="32"/>
      <c r="F243" s="32"/>
    </row>
    <row r="244" spans="1:6">
      <c r="A244"/>
      <c r="B244"/>
      <c r="C244"/>
      <c r="D244" s="32"/>
      <c r="E244" s="32"/>
      <c r="F244" s="32"/>
    </row>
    <row r="245" spans="1:6">
      <c r="A245"/>
      <c r="B245"/>
      <c r="C245"/>
      <c r="D245" s="32"/>
      <c r="E245" s="32"/>
      <c r="F245" s="32"/>
    </row>
    <row r="246" spans="1:6">
      <c r="A246"/>
      <c r="B246"/>
      <c r="C246"/>
      <c r="D246" s="32"/>
      <c r="E246" s="32"/>
      <c r="F246" s="32"/>
    </row>
    <row r="247" spans="1:6">
      <c r="A247"/>
      <c r="B247"/>
      <c r="C247"/>
      <c r="D247" s="32"/>
      <c r="E247" s="32"/>
      <c r="F247" s="32"/>
    </row>
    <row r="248" spans="1:6">
      <c r="A248"/>
      <c r="B248"/>
      <c r="C248"/>
      <c r="D248" s="32"/>
      <c r="E248" s="32"/>
      <c r="F248" s="32"/>
    </row>
    <row r="249" spans="1:6">
      <c r="A249"/>
      <c r="B249"/>
      <c r="C249"/>
      <c r="D249" s="32"/>
      <c r="E249" s="32"/>
      <c r="F249" s="32"/>
    </row>
    <row r="250" spans="1:6">
      <c r="A250"/>
      <c r="B250"/>
      <c r="C250"/>
      <c r="D250" s="32"/>
      <c r="E250" s="32"/>
      <c r="F250" s="32"/>
    </row>
    <row r="251" spans="1:6">
      <c r="A251"/>
      <c r="B251"/>
      <c r="C251"/>
      <c r="D251" s="32"/>
      <c r="E251" s="32"/>
      <c r="F251" s="32"/>
    </row>
    <row r="252" spans="1:6">
      <c r="A252"/>
      <c r="B252"/>
      <c r="C252"/>
      <c r="D252" s="32"/>
      <c r="E252" s="32"/>
      <c r="F252" s="32"/>
    </row>
    <row r="253" spans="1:6">
      <c r="A253"/>
      <c r="B253"/>
      <c r="C253"/>
      <c r="D253" s="32"/>
      <c r="E253" s="32"/>
      <c r="F253" s="32"/>
    </row>
    <row r="254" spans="1:6">
      <c r="A254"/>
      <c r="B254"/>
      <c r="C254"/>
      <c r="D254" s="32"/>
      <c r="E254" s="32"/>
      <c r="F254" s="32"/>
    </row>
    <row r="255" spans="1:6">
      <c r="A255"/>
      <c r="B255"/>
      <c r="C255"/>
      <c r="D255" s="32"/>
      <c r="E255" s="32"/>
      <c r="F255" s="32"/>
    </row>
    <row r="256" spans="1:6">
      <c r="A256"/>
      <c r="B256"/>
      <c r="C256"/>
      <c r="D256" s="32"/>
      <c r="E256" s="32"/>
      <c r="F256" s="32"/>
    </row>
    <row r="257" spans="1:6">
      <c r="A257"/>
      <c r="B257"/>
      <c r="C257"/>
      <c r="D257" s="32"/>
      <c r="E257" s="32"/>
      <c r="F257" s="32"/>
    </row>
    <row r="258" spans="1:6">
      <c r="A258"/>
      <c r="B258"/>
      <c r="C258"/>
      <c r="D258" s="32"/>
      <c r="E258" s="32"/>
      <c r="F258" s="32"/>
    </row>
    <row r="259" spans="1:6">
      <c r="A259"/>
      <c r="B259"/>
      <c r="C259"/>
      <c r="D259" s="32"/>
      <c r="E259" s="32"/>
      <c r="F259" s="32"/>
    </row>
    <row r="260" spans="1:6">
      <c r="A260"/>
      <c r="B260"/>
      <c r="C260"/>
      <c r="D260" s="32"/>
      <c r="E260" s="32"/>
      <c r="F260" s="32"/>
    </row>
    <row r="261" spans="1:6">
      <c r="A261"/>
      <c r="B261"/>
      <c r="C261"/>
      <c r="D261" s="32"/>
      <c r="E261" s="32"/>
      <c r="F261" s="32"/>
    </row>
    <row r="262" spans="1:6">
      <c r="A262"/>
      <c r="B262"/>
      <c r="C262"/>
      <c r="D262" s="32"/>
      <c r="E262" s="32"/>
      <c r="F262" s="32"/>
    </row>
    <row r="263" spans="1:6">
      <c r="A263"/>
      <c r="B263"/>
      <c r="C263"/>
      <c r="D263" s="32"/>
      <c r="E263" s="32"/>
      <c r="F263" s="32"/>
    </row>
    <row r="264" spans="1:6">
      <c r="A264"/>
      <c r="B264"/>
      <c r="C264"/>
      <c r="D264" s="32"/>
      <c r="E264" s="32"/>
      <c r="F264" s="32"/>
    </row>
    <row r="265" spans="1:6">
      <c r="A265"/>
      <c r="B265"/>
      <c r="C265"/>
      <c r="D265" s="32"/>
      <c r="E265" s="32"/>
      <c r="F265" s="32"/>
    </row>
    <row r="266" spans="1:6">
      <c r="A266"/>
      <c r="B266"/>
      <c r="C266"/>
      <c r="D266" s="32"/>
      <c r="E266" s="32"/>
      <c r="F266" s="32"/>
    </row>
    <row r="267" spans="1:6">
      <c r="A267"/>
      <c r="B267"/>
      <c r="C267"/>
      <c r="D267" s="32"/>
      <c r="E267" s="32"/>
      <c r="F267" s="32"/>
    </row>
    <row r="268" spans="1:6">
      <c r="A268"/>
      <c r="B268"/>
      <c r="C268"/>
      <c r="D268" s="32"/>
      <c r="E268" s="32"/>
      <c r="F268" s="32"/>
    </row>
    <row r="269" spans="1:6">
      <c r="A269"/>
      <c r="B269"/>
      <c r="C269"/>
      <c r="D269" s="32"/>
      <c r="E269" s="32"/>
      <c r="F269" s="32"/>
    </row>
    <row r="270" spans="1:6">
      <c r="A270"/>
      <c r="B270"/>
      <c r="C270"/>
      <c r="D270" s="32"/>
      <c r="E270" s="32"/>
      <c r="F270" s="32"/>
    </row>
    <row r="271" spans="1:6">
      <c r="A271"/>
      <c r="B271"/>
      <c r="C271"/>
      <c r="D271" s="32"/>
      <c r="E271" s="32"/>
      <c r="F271" s="32"/>
    </row>
    <row r="272" spans="1:6">
      <c r="A272"/>
      <c r="B272"/>
      <c r="C272"/>
      <c r="D272" s="32"/>
      <c r="E272" s="32"/>
      <c r="F272" s="32"/>
    </row>
    <row r="273" spans="1:6">
      <c r="A273"/>
      <c r="B273"/>
      <c r="C273"/>
      <c r="D273" s="32"/>
      <c r="E273" s="32"/>
      <c r="F273" s="32"/>
    </row>
    <row r="274" spans="1:6">
      <c r="A274"/>
      <c r="B274"/>
      <c r="C274"/>
      <c r="D274" s="32"/>
      <c r="E274" s="32"/>
      <c r="F274" s="32"/>
    </row>
    <row r="275" spans="1:6">
      <c r="A275"/>
      <c r="B275"/>
      <c r="C275"/>
      <c r="D275" s="32"/>
      <c r="E275" s="32"/>
      <c r="F275" s="32"/>
    </row>
    <row r="276" spans="1:6">
      <c r="A276"/>
      <c r="B276"/>
      <c r="C276"/>
      <c r="D276" s="32"/>
      <c r="E276" s="32"/>
      <c r="F276" s="32"/>
    </row>
    <row r="277" spans="1:6">
      <c r="A277"/>
      <c r="B277"/>
      <c r="C277"/>
      <c r="D277" s="32"/>
      <c r="E277" s="32"/>
      <c r="F277" s="32"/>
    </row>
    <row r="278" spans="1:6">
      <c r="A278"/>
      <c r="B278"/>
      <c r="C278"/>
      <c r="D278" s="32"/>
      <c r="E278" s="32"/>
      <c r="F278" s="32"/>
    </row>
    <row r="279" spans="1:6">
      <c r="A279"/>
      <c r="B279"/>
      <c r="C279"/>
      <c r="D279" s="32"/>
      <c r="E279" s="32"/>
      <c r="F279" s="32"/>
    </row>
    <row r="280" spans="1:6">
      <c r="A280"/>
      <c r="B280"/>
      <c r="C280"/>
      <c r="D280" s="32"/>
      <c r="E280" s="32"/>
      <c r="F280" s="32"/>
    </row>
    <row r="281" spans="1:6">
      <c r="A281"/>
      <c r="B281"/>
      <c r="C281"/>
      <c r="D281" s="32"/>
      <c r="E281" s="32"/>
      <c r="F281" s="32"/>
    </row>
    <row r="282" spans="1:6">
      <c r="A282"/>
      <c r="B282"/>
      <c r="C282"/>
      <c r="D282" s="32"/>
      <c r="E282" s="32"/>
      <c r="F282" s="32"/>
    </row>
    <row r="283" spans="1:6">
      <c r="A283"/>
      <c r="B283"/>
      <c r="C283"/>
      <c r="D283" s="32"/>
      <c r="E283" s="32"/>
      <c r="F283" s="32"/>
    </row>
    <row r="284" spans="1:6">
      <c r="A284"/>
      <c r="B284"/>
      <c r="C284"/>
      <c r="D284" s="32"/>
      <c r="E284" s="32"/>
      <c r="F284" s="32"/>
    </row>
    <row r="285" spans="1:6">
      <c r="A285"/>
      <c r="B285"/>
      <c r="C285"/>
      <c r="D285" s="32"/>
      <c r="E285" s="32"/>
      <c r="F285" s="32"/>
    </row>
    <row r="286" spans="1:6">
      <c r="A286"/>
      <c r="B286"/>
      <c r="C286"/>
      <c r="D286" s="32"/>
      <c r="E286" s="32"/>
      <c r="F286" s="32"/>
    </row>
    <row r="287" spans="1:6">
      <c r="A287"/>
      <c r="B287"/>
      <c r="C287"/>
      <c r="D287" s="32"/>
      <c r="E287" s="32"/>
      <c r="F287" s="32"/>
    </row>
    <row r="288" spans="1:6">
      <c r="A288"/>
      <c r="B288"/>
      <c r="C288"/>
      <c r="D288" s="32"/>
      <c r="E288" s="32"/>
      <c r="F288" s="32"/>
    </row>
    <row r="289" spans="1:6">
      <c r="A289"/>
      <c r="B289"/>
      <c r="C289"/>
      <c r="D289" s="32"/>
      <c r="E289" s="32"/>
      <c r="F289" s="32"/>
    </row>
    <row r="290" spans="1:6">
      <c r="A290"/>
      <c r="B290"/>
      <c r="C290"/>
      <c r="D290" s="32"/>
      <c r="E290" s="32"/>
      <c r="F290" s="32"/>
    </row>
    <row r="291" spans="1:6">
      <c r="A291"/>
      <c r="B291"/>
      <c r="C291"/>
      <c r="D291" s="32"/>
      <c r="E291" s="32"/>
      <c r="F291" s="32"/>
    </row>
    <row r="292" spans="1:6">
      <c r="A292"/>
      <c r="B292"/>
      <c r="C292"/>
      <c r="D292" s="32"/>
      <c r="E292" s="32"/>
      <c r="F292" s="32"/>
    </row>
    <row r="293" spans="1:6">
      <c r="A293"/>
      <c r="B293"/>
      <c r="C293"/>
      <c r="D293" s="32"/>
      <c r="E293" s="32"/>
      <c r="F293" s="32"/>
    </row>
    <row r="294" spans="1:6">
      <c r="A294"/>
      <c r="B294"/>
      <c r="C294"/>
      <c r="D294" s="32"/>
      <c r="E294" s="32"/>
      <c r="F294" s="32"/>
    </row>
    <row r="295" spans="1:6">
      <c r="A295"/>
      <c r="B295"/>
      <c r="C295"/>
      <c r="D295" s="32"/>
      <c r="E295" s="32"/>
      <c r="F295" s="32"/>
    </row>
    <row r="296" spans="1:6">
      <c r="A296"/>
      <c r="B296"/>
      <c r="C296"/>
      <c r="D296" s="32"/>
      <c r="E296" s="32"/>
      <c r="F296" s="32"/>
    </row>
    <row r="297" spans="1:6">
      <c r="A297"/>
      <c r="B297"/>
      <c r="C297"/>
      <c r="D297" s="32"/>
      <c r="E297" s="32"/>
      <c r="F297" s="32"/>
    </row>
    <row r="298" spans="1:6">
      <c r="A298"/>
      <c r="B298"/>
      <c r="C298"/>
      <c r="D298" s="32"/>
      <c r="E298" s="32"/>
      <c r="F298" s="32"/>
    </row>
    <row r="299" spans="1:6">
      <c r="A299"/>
      <c r="B299"/>
      <c r="C299"/>
      <c r="D299" s="32"/>
      <c r="E299" s="32"/>
      <c r="F299" s="32"/>
    </row>
    <row r="300" spans="1:6">
      <c r="A300"/>
      <c r="B300"/>
      <c r="C300"/>
      <c r="D300" s="32"/>
      <c r="E300" s="32"/>
      <c r="F300" s="32"/>
    </row>
    <row r="301" spans="1:6">
      <c r="A301"/>
      <c r="B301"/>
      <c r="C301"/>
      <c r="D301" s="32"/>
      <c r="E301" s="32"/>
      <c r="F301" s="32"/>
    </row>
    <row r="302" spans="1:6">
      <c r="A302"/>
      <c r="B302"/>
      <c r="C302"/>
      <c r="D302" s="32"/>
      <c r="E302" s="32"/>
      <c r="F302" s="32"/>
    </row>
    <row r="303" spans="1:6">
      <c r="A303"/>
      <c r="B303"/>
      <c r="C303"/>
      <c r="D303" s="32"/>
      <c r="E303" s="32"/>
      <c r="F303" s="32"/>
    </row>
    <row r="304" spans="1:6">
      <c r="A304"/>
      <c r="B304"/>
      <c r="C304"/>
      <c r="D304" s="32"/>
      <c r="E304" s="32"/>
      <c r="F304" s="32"/>
    </row>
    <row r="305" spans="1:6">
      <c r="A305"/>
      <c r="B305"/>
      <c r="C305"/>
      <c r="D305" s="32"/>
      <c r="E305" s="32"/>
      <c r="F305" s="32"/>
    </row>
    <row r="306" spans="1:6">
      <c r="A306"/>
      <c r="B306"/>
      <c r="C306"/>
      <c r="D306" s="32"/>
      <c r="E306" s="32"/>
      <c r="F306" s="32"/>
    </row>
    <row r="307" spans="1:6">
      <c r="A307"/>
      <c r="B307"/>
      <c r="C307"/>
      <c r="D307" s="32"/>
      <c r="E307" s="32"/>
      <c r="F307" s="32"/>
    </row>
    <row r="308" spans="1:6">
      <c r="A308"/>
      <c r="B308"/>
      <c r="C308"/>
      <c r="D308" s="32"/>
      <c r="E308" s="32"/>
      <c r="F308" s="32"/>
    </row>
    <row r="309" spans="1:6">
      <c r="A309"/>
      <c r="B309"/>
      <c r="C309"/>
      <c r="D309" s="32"/>
      <c r="E309" s="32"/>
      <c r="F309" s="32"/>
    </row>
    <row r="310" spans="1:6">
      <c r="A310"/>
      <c r="B310"/>
      <c r="C310"/>
      <c r="D310" s="32"/>
      <c r="E310" s="32"/>
      <c r="F310" s="32"/>
    </row>
    <row r="311" spans="1:6">
      <c r="A311"/>
      <c r="B311"/>
      <c r="C311"/>
      <c r="D311" s="32"/>
      <c r="E311" s="32"/>
      <c r="F311" s="32"/>
    </row>
    <row r="312" spans="1:6">
      <c r="A312"/>
      <c r="B312"/>
      <c r="C312"/>
      <c r="D312" s="32"/>
      <c r="E312" s="32"/>
      <c r="F312" s="32"/>
    </row>
    <row r="313" spans="1:6">
      <c r="A313"/>
      <c r="B313"/>
      <c r="C313"/>
      <c r="D313" s="32"/>
      <c r="E313" s="32"/>
      <c r="F313" s="32"/>
    </row>
    <row r="314" spans="1:6">
      <c r="A314"/>
      <c r="B314"/>
      <c r="C314"/>
      <c r="D314" s="32"/>
      <c r="E314" s="32"/>
      <c r="F314" s="32"/>
    </row>
    <row r="315" spans="1:6">
      <c r="A315"/>
      <c r="B315"/>
      <c r="C315"/>
      <c r="D315" s="32"/>
      <c r="E315" s="32"/>
      <c r="F315" s="32"/>
    </row>
    <row r="316" spans="1:6">
      <c r="A316"/>
      <c r="B316"/>
      <c r="C316"/>
      <c r="D316" s="32"/>
      <c r="E316" s="32"/>
      <c r="F316" s="32"/>
    </row>
    <row r="317" spans="1:6">
      <c r="A317"/>
      <c r="B317"/>
      <c r="C317"/>
      <c r="D317" s="32"/>
      <c r="E317" s="32"/>
      <c r="F317" s="32"/>
    </row>
    <row r="318" spans="1:6">
      <c r="A318"/>
      <c r="B318"/>
      <c r="C318"/>
      <c r="D318" s="32"/>
      <c r="E318" s="32"/>
      <c r="F318" s="32"/>
    </row>
    <row r="319" spans="1:6">
      <c r="A319"/>
      <c r="B319"/>
      <c r="C319"/>
      <c r="D319" s="32"/>
      <c r="E319" s="32"/>
      <c r="F319" s="32"/>
    </row>
    <row r="320" spans="1:6">
      <c r="A320"/>
      <c r="B320"/>
      <c r="C320"/>
      <c r="D320" s="32"/>
      <c r="E320" s="32"/>
      <c r="F320" s="32"/>
    </row>
    <row r="321" spans="1:6">
      <c r="A321"/>
      <c r="B321"/>
      <c r="C321"/>
      <c r="D321" s="32"/>
      <c r="E321" s="32"/>
      <c r="F321" s="32"/>
    </row>
    <row r="322" spans="1:6">
      <c r="A322"/>
      <c r="B322"/>
      <c r="C322"/>
      <c r="D322" s="32"/>
      <c r="E322" s="32"/>
      <c r="F322" s="32"/>
    </row>
    <row r="323" spans="1:6">
      <c r="A323"/>
      <c r="B323"/>
      <c r="C323"/>
      <c r="D323" s="32"/>
      <c r="E323" s="32"/>
      <c r="F323" s="32"/>
    </row>
    <row r="324" spans="1:6">
      <c r="A324"/>
      <c r="B324"/>
      <c r="C324"/>
      <c r="D324" s="32"/>
      <c r="E324" s="32"/>
      <c r="F324" s="32"/>
    </row>
    <row r="325" spans="1:6">
      <c r="A325"/>
      <c r="B325"/>
      <c r="C325"/>
      <c r="D325" s="32"/>
      <c r="E325" s="32"/>
      <c r="F325" s="32"/>
    </row>
    <row r="326" spans="1:6">
      <c r="A326"/>
      <c r="B326"/>
      <c r="C326"/>
      <c r="D326" s="32"/>
      <c r="E326" s="32"/>
      <c r="F326" s="32"/>
    </row>
    <row r="327" spans="1:6">
      <c r="A327"/>
      <c r="B327"/>
      <c r="C327"/>
      <c r="D327" s="32"/>
      <c r="E327" s="32"/>
      <c r="F327" s="32"/>
    </row>
    <row r="328" spans="1:6">
      <c r="A328"/>
      <c r="B328"/>
      <c r="C328"/>
      <c r="D328" s="32"/>
      <c r="E328" s="32"/>
      <c r="F328" s="32"/>
    </row>
    <row r="329" spans="1:6">
      <c r="A329"/>
      <c r="B329"/>
      <c r="C329"/>
      <c r="D329" s="32"/>
      <c r="E329" s="32"/>
      <c r="F329" s="32"/>
    </row>
    <row r="330" spans="1:6">
      <c r="A330"/>
      <c r="B330"/>
      <c r="C330"/>
      <c r="D330" s="32"/>
      <c r="E330" s="32"/>
      <c r="F330" s="32"/>
    </row>
    <row r="331" spans="1:6">
      <c r="A331"/>
      <c r="B331"/>
      <c r="C331"/>
      <c r="D331" s="32"/>
      <c r="E331" s="32"/>
      <c r="F331" s="32"/>
    </row>
    <row r="332" spans="1:6">
      <c r="A332"/>
      <c r="B332"/>
      <c r="C332"/>
      <c r="D332" s="32"/>
      <c r="E332" s="32"/>
      <c r="F332" s="32"/>
    </row>
    <row r="333" spans="1:6">
      <c r="A333"/>
      <c r="B333"/>
      <c r="C333"/>
      <c r="D333" s="32"/>
      <c r="E333" s="32"/>
      <c r="F333" s="32"/>
    </row>
    <row r="334" spans="1:6">
      <c r="A334"/>
      <c r="B334"/>
      <c r="C334"/>
      <c r="D334" s="32"/>
      <c r="E334" s="32"/>
      <c r="F334" s="32"/>
    </row>
    <row r="335" spans="1:6">
      <c r="A335"/>
      <c r="B335"/>
      <c r="C335"/>
      <c r="D335" s="32"/>
      <c r="E335" s="32"/>
      <c r="F335" s="32"/>
    </row>
    <row r="336" spans="1:6">
      <c r="A336"/>
      <c r="B336"/>
      <c r="C336"/>
      <c r="D336" s="32"/>
      <c r="E336" s="32"/>
      <c r="F336" s="32"/>
    </row>
    <row r="337" spans="1:6">
      <c r="A337"/>
      <c r="B337"/>
      <c r="C337"/>
      <c r="D337" s="32"/>
      <c r="E337" s="32"/>
      <c r="F337" s="32"/>
    </row>
    <row r="338" spans="1:6">
      <c r="A338"/>
      <c r="B338"/>
      <c r="C338"/>
      <c r="D338" s="32"/>
      <c r="E338" s="32"/>
      <c r="F338" s="32"/>
    </row>
    <row r="339" spans="1:6">
      <c r="A339"/>
      <c r="B339"/>
      <c r="C339"/>
      <c r="D339" s="32"/>
      <c r="E339" s="32"/>
      <c r="F339" s="32"/>
    </row>
    <row r="340" spans="1:6">
      <c r="A340"/>
      <c r="B340"/>
      <c r="C340"/>
      <c r="D340" s="32"/>
      <c r="E340" s="32"/>
      <c r="F340" s="32"/>
    </row>
    <row r="341" spans="1:6">
      <c r="A341"/>
      <c r="B341"/>
      <c r="C341"/>
      <c r="D341" s="32"/>
      <c r="E341" s="32"/>
      <c r="F341" s="32"/>
    </row>
    <row r="342" spans="1:6">
      <c r="A342"/>
      <c r="B342"/>
      <c r="C342"/>
      <c r="D342" s="32"/>
      <c r="E342" s="32"/>
      <c r="F342" s="32"/>
    </row>
    <row r="343" spans="1:6">
      <c r="A343"/>
      <c r="B343"/>
      <c r="C343"/>
      <c r="D343" s="32"/>
      <c r="E343" s="32"/>
      <c r="F343" s="32"/>
    </row>
    <row r="344" spans="1:6">
      <c r="A344"/>
      <c r="B344"/>
      <c r="C344"/>
      <c r="D344" s="32"/>
      <c r="E344" s="32"/>
      <c r="F344" s="32"/>
    </row>
    <row r="345" spans="1:6">
      <c r="A345"/>
      <c r="B345"/>
      <c r="C345"/>
      <c r="D345" s="32"/>
      <c r="E345" s="32"/>
      <c r="F345" s="32"/>
    </row>
    <row r="346" spans="1:6">
      <c r="A346"/>
      <c r="B346"/>
      <c r="C346"/>
      <c r="D346" s="32"/>
      <c r="E346" s="32"/>
      <c r="F346" s="32"/>
    </row>
    <row r="347" spans="1:6">
      <c r="A347"/>
      <c r="B347"/>
      <c r="C347"/>
      <c r="D347" s="32"/>
      <c r="E347" s="32"/>
      <c r="F347" s="32"/>
    </row>
    <row r="348" spans="1:6">
      <c r="A348"/>
      <c r="B348"/>
      <c r="C348"/>
      <c r="D348" s="32"/>
      <c r="E348" s="32"/>
      <c r="F348" s="32"/>
    </row>
    <row r="349" spans="1:6">
      <c r="A349"/>
      <c r="B349"/>
      <c r="C349"/>
      <c r="D349" s="32"/>
      <c r="E349" s="32"/>
      <c r="F349" s="32"/>
    </row>
    <row r="350" spans="1:6">
      <c r="A350"/>
      <c r="B350"/>
      <c r="C350"/>
      <c r="D350" s="32"/>
      <c r="E350" s="32"/>
      <c r="F350" s="32"/>
    </row>
    <row r="351" spans="1:6">
      <c r="A351"/>
      <c r="B351"/>
      <c r="C351"/>
      <c r="D351" s="32"/>
      <c r="E351" s="32"/>
      <c r="F351" s="32"/>
    </row>
    <row r="352" spans="1:6">
      <c r="A352"/>
      <c r="B352"/>
      <c r="C352"/>
      <c r="D352" s="32"/>
      <c r="E352" s="32"/>
      <c r="F352" s="32"/>
    </row>
    <row r="353" spans="1:6">
      <c r="A353"/>
      <c r="B353"/>
      <c r="C353"/>
      <c r="D353" s="32"/>
      <c r="E353" s="32"/>
      <c r="F353" s="32"/>
    </row>
    <row r="354" spans="1:6">
      <c r="A354"/>
      <c r="B354"/>
      <c r="C354"/>
      <c r="D354" s="32"/>
      <c r="E354" s="32"/>
      <c r="F354" s="32"/>
    </row>
    <row r="355" spans="1:6">
      <c r="A355"/>
      <c r="B355"/>
      <c r="C355"/>
      <c r="D355" s="32"/>
      <c r="E355" s="32"/>
      <c r="F355" s="32"/>
    </row>
    <row r="356" spans="1:6">
      <c r="A356"/>
      <c r="B356"/>
      <c r="C356"/>
      <c r="D356" s="32"/>
      <c r="E356" s="32"/>
      <c r="F356" s="32"/>
    </row>
    <row r="357" spans="1:6">
      <c r="A357"/>
      <c r="B357"/>
      <c r="C357"/>
      <c r="D357" s="32"/>
      <c r="E357" s="32"/>
      <c r="F357" s="32"/>
    </row>
    <row r="358" spans="1:6">
      <c r="A358"/>
      <c r="B358"/>
      <c r="C358"/>
      <c r="D358" s="32"/>
      <c r="E358" s="32"/>
      <c r="F358" s="32"/>
    </row>
    <row r="359" spans="1:6">
      <c r="A359"/>
      <c r="B359"/>
      <c r="C359"/>
      <c r="D359" s="32"/>
      <c r="E359" s="32"/>
      <c r="F359" s="32"/>
    </row>
    <row r="360" spans="1:6">
      <c r="A360"/>
      <c r="B360"/>
      <c r="C360"/>
      <c r="D360" s="32"/>
      <c r="E360" s="32"/>
      <c r="F360" s="32"/>
    </row>
    <row r="361" spans="1:6">
      <c r="A361"/>
      <c r="B361"/>
      <c r="C361"/>
      <c r="D361" s="32"/>
      <c r="E361" s="32"/>
      <c r="F361" s="32"/>
    </row>
    <row r="362" spans="1:6">
      <c r="A362"/>
      <c r="B362"/>
      <c r="C362"/>
      <c r="D362" s="32"/>
      <c r="E362" s="32"/>
      <c r="F362" s="32"/>
    </row>
    <row r="363" spans="1:6">
      <c r="A363"/>
      <c r="B363"/>
      <c r="C363"/>
      <c r="D363" s="32"/>
      <c r="E363" s="32"/>
      <c r="F363" s="32"/>
    </row>
    <row r="364" spans="1:6">
      <c r="A364"/>
      <c r="B364"/>
      <c r="C364"/>
      <c r="D364" s="32"/>
      <c r="E364" s="32"/>
      <c r="F364" s="32"/>
    </row>
    <row r="365" spans="1:6">
      <c r="A365"/>
      <c r="B365"/>
      <c r="C365"/>
      <c r="D365" s="32"/>
      <c r="E365" s="32"/>
      <c r="F365" s="32"/>
    </row>
    <row r="366" spans="1:6">
      <c r="A366"/>
      <c r="B366"/>
      <c r="C366"/>
      <c r="D366" s="32"/>
      <c r="E366" s="32"/>
      <c r="F366" s="32"/>
    </row>
    <row r="367" spans="1:6">
      <c r="A367"/>
      <c r="B367"/>
      <c r="C367"/>
      <c r="D367" s="32"/>
      <c r="E367" s="32"/>
      <c r="F367" s="32"/>
    </row>
    <row r="368" spans="1:6">
      <c r="A368"/>
      <c r="B368"/>
      <c r="C368"/>
      <c r="D368" s="32"/>
      <c r="E368" s="32"/>
      <c r="F368" s="32"/>
    </row>
    <row r="369" spans="1:6">
      <c r="A369"/>
      <c r="B369"/>
      <c r="C369"/>
      <c r="D369" s="32"/>
      <c r="E369" s="32"/>
      <c r="F369" s="32"/>
    </row>
    <row r="370" spans="1:6">
      <c r="A370"/>
      <c r="B370"/>
      <c r="C370"/>
      <c r="D370" s="32"/>
      <c r="E370" s="32"/>
      <c r="F370" s="32"/>
    </row>
    <row r="371" spans="1:6">
      <c r="A371"/>
      <c r="B371"/>
      <c r="C371"/>
      <c r="D371" s="32"/>
      <c r="E371" s="32"/>
      <c r="F371" s="32"/>
    </row>
    <row r="372" spans="1:6">
      <c r="A372"/>
      <c r="B372"/>
      <c r="C372"/>
      <c r="D372" s="32"/>
      <c r="E372" s="32"/>
      <c r="F372" s="32"/>
    </row>
    <row r="373" spans="1:6">
      <c r="A373"/>
      <c r="B373"/>
      <c r="C373"/>
      <c r="D373" s="32"/>
      <c r="E373" s="32"/>
      <c r="F373" s="32"/>
    </row>
    <row r="374" spans="1:6">
      <c r="A374"/>
      <c r="B374"/>
      <c r="C374"/>
      <c r="D374" s="32"/>
      <c r="E374" s="32"/>
      <c r="F374" s="32"/>
    </row>
    <row r="375" spans="1:6">
      <c r="A375"/>
      <c r="B375"/>
      <c r="C375"/>
      <c r="D375" s="32"/>
      <c r="E375" s="32"/>
      <c r="F375" s="32"/>
    </row>
    <row r="376" spans="1:6">
      <c r="A376"/>
      <c r="B376"/>
      <c r="C376"/>
      <c r="D376" s="32"/>
      <c r="E376" s="32"/>
      <c r="F376" s="32"/>
    </row>
    <row r="377" spans="1:6">
      <c r="A377"/>
      <c r="B377"/>
      <c r="C377"/>
      <c r="D377" s="32"/>
      <c r="E377" s="32"/>
      <c r="F377" s="32"/>
    </row>
    <row r="378" spans="1:6">
      <c r="A378"/>
      <c r="B378"/>
      <c r="C378"/>
      <c r="D378" s="32"/>
      <c r="E378" s="32"/>
      <c r="F378" s="32"/>
    </row>
    <row r="379" spans="1:6">
      <c r="A379"/>
      <c r="B379"/>
      <c r="C379"/>
      <c r="D379" s="32"/>
      <c r="E379" s="32"/>
      <c r="F379" s="32"/>
    </row>
    <row r="380" spans="1:6">
      <c r="A380"/>
      <c r="B380"/>
      <c r="C380"/>
      <c r="D380" s="32"/>
      <c r="E380" s="32"/>
      <c r="F380" s="32"/>
    </row>
    <row r="381" spans="1:6">
      <c r="A381"/>
      <c r="B381"/>
      <c r="C381"/>
      <c r="D381" s="32"/>
      <c r="E381" s="32"/>
      <c r="F381" s="32"/>
    </row>
    <row r="382" spans="1:6">
      <c r="A382"/>
      <c r="B382"/>
      <c r="C382"/>
      <c r="D382" s="32"/>
      <c r="E382" s="32"/>
      <c r="F382" s="32"/>
    </row>
    <row r="383" spans="1:6">
      <c r="A383"/>
      <c r="B383"/>
      <c r="C383"/>
      <c r="D383" s="32"/>
      <c r="E383" s="32"/>
      <c r="F383" s="32"/>
    </row>
    <row r="384" spans="1:6">
      <c r="A384"/>
      <c r="B384"/>
      <c r="C384"/>
      <c r="D384" s="32"/>
      <c r="E384" s="32"/>
      <c r="F384" s="32"/>
    </row>
    <row r="385" spans="1:6">
      <c r="A385"/>
      <c r="B385"/>
      <c r="C385"/>
      <c r="D385" s="32"/>
      <c r="E385" s="32"/>
      <c r="F385" s="32"/>
    </row>
    <row r="386" spans="1:6">
      <c r="A386"/>
      <c r="B386"/>
      <c r="C386"/>
      <c r="D386" s="32"/>
      <c r="E386" s="32"/>
      <c r="F386" s="32"/>
    </row>
    <row r="387" spans="1:6">
      <c r="A387"/>
      <c r="B387"/>
      <c r="C387"/>
      <c r="D387" s="32"/>
      <c r="E387" s="32"/>
      <c r="F387" s="32"/>
    </row>
    <row r="388" spans="1:6">
      <c r="A388"/>
      <c r="B388"/>
      <c r="C388"/>
      <c r="D388" s="32"/>
      <c r="E388" s="32"/>
      <c r="F388" s="32"/>
    </row>
    <row r="389" spans="1:6">
      <c r="A389"/>
      <c r="B389"/>
      <c r="C389"/>
      <c r="D389" s="32"/>
      <c r="E389" s="32"/>
      <c r="F389" s="32"/>
    </row>
    <row r="390" spans="1:6">
      <c r="A390"/>
      <c r="B390"/>
      <c r="C390"/>
      <c r="D390" s="32"/>
      <c r="E390" s="32"/>
      <c r="F390" s="32"/>
    </row>
    <row r="391" spans="1:6">
      <c r="A391"/>
      <c r="B391"/>
      <c r="C391"/>
      <c r="D391" s="32"/>
      <c r="E391" s="32"/>
      <c r="F391" s="32"/>
    </row>
    <row r="392" spans="1:6">
      <c r="A392"/>
      <c r="B392"/>
      <c r="C392"/>
      <c r="D392" s="32"/>
      <c r="E392" s="32"/>
      <c r="F392" s="32"/>
    </row>
    <row r="393" spans="1:6">
      <c r="A393"/>
      <c r="B393"/>
      <c r="C393"/>
      <c r="D393" s="32"/>
      <c r="E393" s="32"/>
      <c r="F393" s="32"/>
    </row>
    <row r="394" spans="1:6">
      <c r="A394"/>
      <c r="B394"/>
      <c r="C394"/>
      <c r="D394" s="32"/>
      <c r="E394" s="32"/>
      <c r="F394" s="32"/>
    </row>
    <row r="395" spans="1:6">
      <c r="A395"/>
      <c r="B395"/>
      <c r="C395"/>
      <c r="D395" s="32"/>
      <c r="E395" s="32"/>
      <c r="F395" s="32"/>
    </row>
    <row r="396" spans="1:6">
      <c r="A396"/>
      <c r="B396"/>
      <c r="C396"/>
      <c r="D396" s="32"/>
      <c r="E396" s="32"/>
      <c r="F396" s="32"/>
    </row>
    <row r="397" spans="1:6">
      <c r="A397"/>
      <c r="B397"/>
      <c r="C397"/>
      <c r="D397" s="32"/>
      <c r="E397" s="32"/>
      <c r="F397" s="32"/>
    </row>
    <row r="398" spans="1:6">
      <c r="A398"/>
      <c r="B398"/>
      <c r="C398"/>
      <c r="D398" s="32"/>
      <c r="E398" s="32"/>
      <c r="F398" s="32"/>
    </row>
    <row r="399" spans="1:6">
      <c r="A399"/>
      <c r="B399"/>
      <c r="C399"/>
      <c r="D399" s="32"/>
      <c r="E399" s="32"/>
      <c r="F399" s="32"/>
    </row>
    <row r="400" spans="1:6">
      <c r="A400"/>
      <c r="B400"/>
      <c r="C400"/>
      <c r="D400" s="32"/>
      <c r="E400" s="32"/>
      <c r="F400" s="32"/>
    </row>
    <row r="401" spans="1:6">
      <c r="A401"/>
      <c r="B401"/>
      <c r="C401"/>
      <c r="D401" s="32"/>
      <c r="E401" s="32"/>
      <c r="F401" s="32"/>
    </row>
    <row r="402" spans="1:6">
      <c r="A402"/>
      <c r="B402"/>
      <c r="C402"/>
      <c r="D402" s="32"/>
      <c r="E402" s="32"/>
      <c r="F402" s="32"/>
    </row>
    <row r="403" spans="1:6">
      <c r="A403"/>
      <c r="B403"/>
      <c r="C403"/>
      <c r="D403" s="32"/>
      <c r="E403" s="32"/>
      <c r="F403" s="32"/>
    </row>
    <row r="404" spans="1:6">
      <c r="A404"/>
      <c r="B404"/>
      <c r="C404"/>
      <c r="D404" s="32"/>
      <c r="E404" s="32"/>
      <c r="F404" s="32"/>
    </row>
    <row r="405" spans="1:6">
      <c r="A405"/>
      <c r="B405"/>
      <c r="C405"/>
      <c r="D405" s="32"/>
      <c r="E405" s="32"/>
      <c r="F405" s="32"/>
    </row>
    <row r="406" spans="1:6">
      <c r="A406"/>
      <c r="B406"/>
      <c r="C406"/>
      <c r="D406" s="32"/>
      <c r="E406" s="32"/>
      <c r="F406" s="32"/>
    </row>
    <row r="407" spans="1:6">
      <c r="A407"/>
      <c r="B407"/>
      <c r="C407"/>
      <c r="D407" s="32"/>
      <c r="E407" s="32"/>
      <c r="F407" s="32"/>
    </row>
    <row r="408" spans="1:6">
      <c r="A408"/>
      <c r="B408"/>
      <c r="C408"/>
      <c r="D408" s="32"/>
      <c r="E408" s="32"/>
      <c r="F408" s="32"/>
    </row>
    <row r="409" spans="1:6">
      <c r="A409"/>
      <c r="B409"/>
      <c r="C409"/>
      <c r="D409" s="32"/>
      <c r="E409" s="32"/>
      <c r="F409" s="32"/>
    </row>
    <row r="410" spans="1:6">
      <c r="A410"/>
      <c r="B410"/>
      <c r="C410"/>
      <c r="D410" s="32"/>
      <c r="E410" s="32"/>
      <c r="F410" s="32"/>
    </row>
    <row r="411" spans="1:6">
      <c r="A411"/>
      <c r="B411"/>
      <c r="C411"/>
      <c r="D411" s="32"/>
      <c r="E411" s="32"/>
      <c r="F411" s="32"/>
    </row>
    <row r="412" spans="1:6">
      <c r="A412"/>
      <c r="B412"/>
      <c r="C412"/>
      <c r="D412" s="32"/>
      <c r="E412" s="32"/>
      <c r="F412" s="32"/>
    </row>
    <row r="413" spans="1:6">
      <c r="A413"/>
      <c r="B413"/>
      <c r="C413"/>
      <c r="D413" s="32"/>
      <c r="E413" s="32"/>
      <c r="F413" s="32"/>
    </row>
    <row r="414" spans="1:6">
      <c r="A414"/>
      <c r="B414"/>
      <c r="C414"/>
      <c r="D414" s="32"/>
      <c r="E414" s="32"/>
      <c r="F414" s="32"/>
    </row>
    <row r="415" spans="1:6">
      <c r="A415"/>
      <c r="B415"/>
      <c r="C415"/>
      <c r="D415" s="32"/>
      <c r="E415" s="32"/>
      <c r="F415" s="32"/>
    </row>
    <row r="416" spans="1:6">
      <c r="A416"/>
      <c r="B416"/>
      <c r="C416"/>
      <c r="D416" s="32"/>
      <c r="E416" s="32"/>
      <c r="F416" s="32"/>
    </row>
    <row r="417" spans="1:6">
      <c r="A417"/>
      <c r="B417"/>
      <c r="C417"/>
      <c r="D417" s="32"/>
      <c r="E417" s="32"/>
      <c r="F417" s="32"/>
    </row>
    <row r="418" spans="1:6">
      <c r="A418"/>
      <c r="B418"/>
      <c r="C418"/>
      <c r="D418" s="32"/>
      <c r="E418" s="32"/>
      <c r="F418" s="32"/>
    </row>
    <row r="419" spans="1:6">
      <c r="A419"/>
      <c r="B419"/>
      <c r="C419"/>
      <c r="D419" s="32"/>
      <c r="E419" s="32"/>
      <c r="F419" s="32"/>
    </row>
    <row r="420" spans="1:6">
      <c r="A420"/>
      <c r="B420"/>
      <c r="C420"/>
      <c r="D420" s="32"/>
      <c r="E420" s="32"/>
      <c r="F420" s="32"/>
    </row>
    <row r="421" spans="1:6">
      <c r="A421"/>
      <c r="B421"/>
      <c r="C421"/>
      <c r="D421" s="32"/>
      <c r="E421" s="32"/>
      <c r="F421" s="32"/>
    </row>
    <row r="422" spans="1:6">
      <c r="A422"/>
      <c r="B422"/>
      <c r="C422"/>
      <c r="D422" s="32"/>
      <c r="E422" s="32"/>
      <c r="F422" s="32"/>
    </row>
    <row r="423" spans="1:6">
      <c r="A423"/>
      <c r="B423"/>
      <c r="C423"/>
      <c r="D423" s="32"/>
      <c r="E423" s="32"/>
      <c r="F423" s="32"/>
    </row>
    <row r="424" spans="1:6">
      <c r="A424"/>
      <c r="B424"/>
      <c r="C424"/>
      <c r="D424" s="32"/>
      <c r="E424" s="32"/>
      <c r="F424" s="32"/>
    </row>
    <row r="425" spans="1:6">
      <c r="A425"/>
      <c r="B425"/>
      <c r="C425"/>
      <c r="D425" s="32"/>
      <c r="E425" s="32"/>
      <c r="F425" s="32"/>
    </row>
    <row r="426" spans="1:6">
      <c r="A426"/>
      <c r="B426"/>
      <c r="C426"/>
      <c r="D426" s="32"/>
      <c r="E426" s="32"/>
      <c r="F426" s="32"/>
    </row>
    <row r="427" spans="1:6">
      <c r="A427"/>
      <c r="B427"/>
      <c r="C427"/>
      <c r="D427" s="32"/>
      <c r="E427" s="32"/>
      <c r="F427" s="32"/>
    </row>
    <row r="428" spans="1:6">
      <c r="A428"/>
      <c r="B428"/>
      <c r="C428"/>
      <c r="D428" s="32"/>
      <c r="E428" s="32"/>
      <c r="F428" s="32"/>
    </row>
    <row r="429" spans="1:6">
      <c r="A429"/>
      <c r="B429"/>
      <c r="C429"/>
      <c r="D429" s="32"/>
      <c r="E429" s="32"/>
      <c r="F429" s="32"/>
    </row>
    <row r="430" spans="1:6">
      <c r="A430"/>
      <c r="B430"/>
      <c r="C430"/>
      <c r="D430" s="32"/>
      <c r="E430" s="32"/>
      <c r="F430" s="32"/>
    </row>
    <row r="431" spans="1:6">
      <c r="A431"/>
      <c r="B431"/>
      <c r="C431"/>
      <c r="D431" s="32"/>
      <c r="E431" s="32"/>
      <c r="F431" s="32"/>
    </row>
    <row r="432" spans="1:6">
      <c r="A432"/>
      <c r="B432"/>
      <c r="C432"/>
      <c r="D432" s="32"/>
      <c r="E432" s="32"/>
      <c r="F432" s="32"/>
    </row>
    <row r="433" spans="1:6">
      <c r="A433"/>
      <c r="B433"/>
      <c r="C433"/>
      <c r="D433" s="32"/>
      <c r="E433" s="32"/>
      <c r="F433" s="32"/>
    </row>
    <row r="434" spans="1:6">
      <c r="A434"/>
      <c r="B434"/>
      <c r="C434"/>
      <c r="D434" s="32"/>
      <c r="E434" s="32"/>
      <c r="F434" s="32"/>
    </row>
    <row r="435" spans="1:6">
      <c r="A435"/>
      <c r="B435"/>
      <c r="C435"/>
      <c r="D435" s="32"/>
      <c r="E435" s="32"/>
      <c r="F435" s="32"/>
    </row>
    <row r="436" spans="1:6">
      <c r="A436"/>
      <c r="B436"/>
      <c r="C436"/>
      <c r="D436" s="32"/>
      <c r="E436" s="32"/>
      <c r="F436" s="32"/>
    </row>
    <row r="437" spans="1:6">
      <c r="A437"/>
      <c r="B437"/>
      <c r="C437"/>
      <c r="D437" s="32"/>
      <c r="E437" s="32"/>
      <c r="F437" s="32"/>
    </row>
    <row r="438" spans="1:6">
      <c r="A438"/>
      <c r="B438"/>
      <c r="C438"/>
      <c r="D438" s="32"/>
      <c r="E438" s="32"/>
      <c r="F438" s="32"/>
    </row>
    <row r="439" spans="1:6">
      <c r="A439"/>
      <c r="B439"/>
      <c r="C439"/>
      <c r="D439" s="32"/>
      <c r="E439" s="32"/>
      <c r="F439" s="32"/>
    </row>
    <row r="440" spans="1:6">
      <c r="A440"/>
      <c r="B440"/>
      <c r="C440"/>
      <c r="D440" s="32"/>
      <c r="E440" s="32"/>
      <c r="F440" s="32"/>
    </row>
    <row r="441" spans="1:6">
      <c r="A441"/>
      <c r="B441"/>
      <c r="C441"/>
      <c r="D441" s="32"/>
      <c r="E441" s="32"/>
      <c r="F441" s="32"/>
    </row>
    <row r="442" spans="1:6">
      <c r="A442"/>
      <c r="B442"/>
      <c r="C442"/>
      <c r="D442" s="32"/>
      <c r="E442" s="32"/>
      <c r="F442" s="32"/>
    </row>
    <row r="443" spans="1:6">
      <c r="A443"/>
      <c r="B443"/>
      <c r="C443"/>
      <c r="D443" s="32"/>
      <c r="E443" s="32"/>
      <c r="F443" s="32"/>
    </row>
    <row r="444" spans="1:6">
      <c r="A444"/>
      <c r="B444"/>
      <c r="C444"/>
      <c r="D444" s="32"/>
      <c r="E444" s="32"/>
      <c r="F444" s="32"/>
    </row>
    <row r="445" spans="1:6">
      <c r="A445"/>
      <c r="B445"/>
      <c r="C445"/>
      <c r="D445" s="32"/>
      <c r="E445" s="32"/>
      <c r="F445" s="32"/>
    </row>
    <row r="446" spans="1:6">
      <c r="A446"/>
      <c r="B446"/>
      <c r="C446"/>
      <c r="D446" s="32"/>
      <c r="E446" s="32"/>
      <c r="F446" s="32"/>
    </row>
    <row r="447" spans="1:6">
      <c r="A447"/>
      <c r="B447"/>
      <c r="C447"/>
      <c r="D447" s="32"/>
      <c r="E447" s="32"/>
      <c r="F447" s="32"/>
    </row>
    <row r="448" spans="1:6">
      <c r="A448"/>
      <c r="B448"/>
      <c r="C448"/>
      <c r="D448" s="32"/>
      <c r="E448" s="32"/>
      <c r="F448" s="32"/>
    </row>
    <row r="449" spans="1:6">
      <c r="A449"/>
      <c r="B449"/>
      <c r="C449"/>
      <c r="D449" s="32"/>
      <c r="E449" s="32"/>
      <c r="F449" s="32"/>
    </row>
    <row r="450" spans="1:6">
      <c r="A450"/>
      <c r="B450"/>
      <c r="C450"/>
      <c r="D450" s="32"/>
      <c r="E450" s="32"/>
      <c r="F450" s="32"/>
    </row>
    <row r="451" spans="1:6">
      <c r="A451"/>
      <c r="B451"/>
      <c r="C451"/>
      <c r="D451" s="32"/>
      <c r="E451" s="32"/>
      <c r="F451" s="32"/>
    </row>
    <row r="452" spans="1:6">
      <c r="A452"/>
      <c r="B452"/>
      <c r="C452"/>
      <c r="D452" s="32"/>
      <c r="E452" s="32"/>
      <c r="F452" s="32"/>
    </row>
    <row r="453" spans="1:6">
      <c r="A453"/>
      <c r="B453"/>
      <c r="C453"/>
      <c r="D453" s="32"/>
      <c r="E453" s="32"/>
      <c r="F453" s="32"/>
    </row>
    <row r="454" spans="1:6">
      <c r="A454"/>
      <c r="B454"/>
      <c r="C454"/>
      <c r="D454" s="32"/>
      <c r="E454" s="32"/>
      <c r="F454" s="32"/>
    </row>
    <row r="455" spans="1:6">
      <c r="A455"/>
      <c r="B455"/>
      <c r="C455"/>
      <c r="D455" s="32"/>
      <c r="E455" s="32"/>
      <c r="F455" s="32"/>
    </row>
    <row r="456" spans="1:6">
      <c r="A456"/>
      <c r="B456"/>
      <c r="C456"/>
      <c r="D456" s="32"/>
      <c r="E456" s="32"/>
      <c r="F456" s="32"/>
    </row>
    <row r="457" spans="1:6">
      <c r="A457"/>
      <c r="B457"/>
      <c r="C457"/>
      <c r="D457" s="32"/>
      <c r="E457" s="32"/>
      <c r="F457" s="32"/>
    </row>
    <row r="458" spans="1:6">
      <c r="A458"/>
      <c r="B458"/>
      <c r="C458"/>
      <c r="D458" s="32"/>
      <c r="E458" s="32"/>
      <c r="F458" s="32"/>
    </row>
    <row r="459" spans="1:6">
      <c r="A459"/>
      <c r="B459"/>
      <c r="C459"/>
      <c r="D459" s="32"/>
      <c r="E459" s="32"/>
      <c r="F459" s="32"/>
    </row>
    <row r="460" spans="1:6">
      <c r="A460"/>
      <c r="B460"/>
      <c r="C460"/>
      <c r="D460" s="32"/>
      <c r="E460" s="32"/>
      <c r="F460" s="32"/>
    </row>
    <row r="461" spans="1:6">
      <c r="A461"/>
      <c r="B461"/>
      <c r="C461"/>
      <c r="D461" s="32"/>
      <c r="E461" s="32"/>
      <c r="F461" s="32"/>
    </row>
    <row r="462" spans="1:6">
      <c r="A462"/>
      <c r="B462"/>
      <c r="C462"/>
      <c r="D462" s="32"/>
      <c r="E462" s="32"/>
      <c r="F462" s="32"/>
    </row>
    <row r="463" spans="1:6">
      <c r="A463"/>
      <c r="B463"/>
      <c r="C463"/>
      <c r="D463" s="32"/>
      <c r="E463" s="32"/>
      <c r="F463" s="32"/>
    </row>
    <row r="464" spans="1:6">
      <c r="A464"/>
      <c r="B464"/>
      <c r="C464"/>
      <c r="D464" s="32"/>
      <c r="E464" s="32"/>
      <c r="F464" s="32"/>
    </row>
    <row r="465" spans="1:6">
      <c r="A465"/>
      <c r="B465"/>
      <c r="C465"/>
      <c r="D465" s="32"/>
      <c r="E465" s="32"/>
      <c r="F465" s="32"/>
    </row>
    <row r="466" spans="1:6">
      <c r="A466"/>
      <c r="B466"/>
      <c r="C466"/>
      <c r="D466" s="32"/>
      <c r="E466" s="32"/>
      <c r="F466" s="32"/>
    </row>
    <row r="467" spans="1:6">
      <c r="A467"/>
      <c r="B467"/>
      <c r="C467"/>
      <c r="D467" s="32"/>
      <c r="E467" s="32"/>
      <c r="F467" s="32"/>
    </row>
    <row r="468" spans="1:6">
      <c r="A468"/>
      <c r="B468"/>
      <c r="C468"/>
      <c r="D468" s="32"/>
      <c r="E468" s="32"/>
      <c r="F468" s="32"/>
    </row>
    <row r="469" spans="1:6">
      <c r="A469"/>
      <c r="B469"/>
      <c r="C469"/>
      <c r="D469" s="32"/>
      <c r="E469" s="32"/>
      <c r="F469" s="32"/>
    </row>
    <row r="470" spans="1:6">
      <c r="A470"/>
      <c r="B470"/>
      <c r="C470"/>
      <c r="D470" s="32"/>
      <c r="E470" s="32"/>
      <c r="F470" s="32"/>
    </row>
    <row r="471" spans="1:6">
      <c r="A471"/>
      <c r="B471"/>
      <c r="C471"/>
      <c r="D471" s="32"/>
      <c r="E471" s="32"/>
      <c r="F471" s="32"/>
    </row>
    <row r="472" spans="1:6">
      <c r="A472"/>
      <c r="B472"/>
      <c r="C472"/>
      <c r="D472" s="32"/>
      <c r="E472" s="32"/>
      <c r="F472" s="32"/>
    </row>
    <row r="473" spans="1:6">
      <c r="A473"/>
      <c r="B473"/>
      <c r="C473"/>
      <c r="D473" s="32"/>
      <c r="E473" s="32"/>
      <c r="F473" s="32"/>
    </row>
    <row r="474" spans="1:6">
      <c r="A474"/>
      <c r="B474"/>
      <c r="C474"/>
      <c r="D474" s="32"/>
      <c r="E474" s="32"/>
      <c r="F474" s="32"/>
    </row>
    <row r="475" spans="1:6">
      <c r="A475"/>
      <c r="B475"/>
      <c r="C475"/>
      <c r="D475" s="32"/>
      <c r="E475" s="32"/>
      <c r="F475" s="32"/>
    </row>
    <row r="476" spans="1:6">
      <c r="A476"/>
      <c r="B476"/>
      <c r="C476"/>
      <c r="D476" s="32"/>
      <c r="E476" s="32"/>
      <c r="F476" s="32"/>
    </row>
    <row r="477" spans="1:6">
      <c r="A477"/>
      <c r="B477"/>
      <c r="C477"/>
      <c r="D477" s="32"/>
      <c r="E477" s="32"/>
      <c r="F477" s="32"/>
    </row>
    <row r="478" spans="1:6">
      <c r="A478"/>
      <c r="B478"/>
      <c r="C478"/>
      <c r="D478" s="32"/>
      <c r="E478" s="32"/>
      <c r="F478" s="32"/>
    </row>
    <row r="479" spans="1:6">
      <c r="A479"/>
      <c r="B479"/>
      <c r="C479"/>
      <c r="D479" s="32"/>
      <c r="E479" s="32"/>
      <c r="F479" s="32"/>
    </row>
    <row r="480" spans="1:6">
      <c r="A480"/>
      <c r="B480"/>
      <c r="C480"/>
      <c r="D480" s="32"/>
      <c r="E480" s="32"/>
      <c r="F480" s="32"/>
    </row>
    <row r="481" spans="1:6">
      <c r="A481"/>
      <c r="B481"/>
      <c r="C481"/>
      <c r="D481" s="32"/>
      <c r="E481" s="32"/>
      <c r="F481" s="32"/>
    </row>
    <row r="482" spans="1:6">
      <c r="A482"/>
      <c r="B482"/>
      <c r="C482"/>
      <c r="D482" s="32"/>
      <c r="E482" s="32"/>
      <c r="F482" s="32"/>
    </row>
    <row r="483" spans="1:6">
      <c r="A483"/>
      <c r="B483"/>
      <c r="C483"/>
      <c r="D483" s="32"/>
      <c r="E483" s="32"/>
      <c r="F483" s="32"/>
    </row>
    <row r="484" spans="1:6">
      <c r="A484"/>
      <c r="B484"/>
      <c r="C484"/>
      <c r="D484" s="32"/>
      <c r="E484" s="32"/>
      <c r="F484" s="32"/>
    </row>
    <row r="485" spans="1:6">
      <c r="A485"/>
      <c r="B485"/>
      <c r="C485"/>
      <c r="D485" s="32"/>
      <c r="E485" s="32"/>
      <c r="F485" s="32"/>
    </row>
    <row r="486" spans="1:6">
      <c r="A486"/>
      <c r="B486"/>
      <c r="C486"/>
      <c r="D486" s="32"/>
      <c r="E486" s="32"/>
      <c r="F486" s="32"/>
    </row>
    <row r="487" spans="1:6">
      <c r="A487"/>
      <c r="B487"/>
      <c r="C487"/>
      <c r="D487" s="32"/>
      <c r="E487" s="32"/>
      <c r="F487" s="32"/>
    </row>
    <row r="488" spans="1:6">
      <c r="A488"/>
      <c r="B488"/>
      <c r="C488"/>
      <c r="D488" s="32"/>
      <c r="E488" s="32"/>
      <c r="F488" s="32"/>
    </row>
    <row r="489" spans="1:6">
      <c r="A489"/>
      <c r="B489"/>
      <c r="C489"/>
      <c r="D489" s="32"/>
      <c r="E489" s="32"/>
      <c r="F489" s="32"/>
    </row>
    <row r="490" spans="1:6">
      <c r="A490"/>
      <c r="B490"/>
      <c r="C490"/>
      <c r="D490" s="32"/>
      <c r="E490" s="32"/>
      <c r="F490" s="32"/>
    </row>
    <row r="491" spans="1:6">
      <c r="A491"/>
      <c r="B491"/>
      <c r="C491"/>
      <c r="D491" s="32"/>
      <c r="E491" s="32"/>
      <c r="F491" s="32"/>
    </row>
    <row r="492" spans="1:6">
      <c r="A492"/>
      <c r="B492"/>
      <c r="C492"/>
      <c r="D492" s="32"/>
      <c r="E492" s="32"/>
      <c r="F492" s="32"/>
    </row>
    <row r="493" spans="1:6">
      <c r="A493"/>
      <c r="B493"/>
      <c r="C493"/>
      <c r="D493" s="32"/>
      <c r="E493" s="32"/>
      <c r="F493" s="32"/>
    </row>
    <row r="494" spans="1:6">
      <c r="A494"/>
      <c r="B494"/>
      <c r="C494"/>
      <c r="D494" s="32"/>
      <c r="E494" s="32"/>
      <c r="F494" s="32"/>
    </row>
    <row r="495" spans="1:6">
      <c r="A495"/>
      <c r="B495"/>
      <c r="C495"/>
      <c r="D495" s="32"/>
      <c r="E495" s="32"/>
      <c r="F495" s="32"/>
    </row>
    <row r="496" spans="1:6">
      <c r="A496"/>
      <c r="B496"/>
      <c r="C496"/>
      <c r="D496" s="32"/>
      <c r="E496" s="32"/>
      <c r="F496" s="32"/>
    </row>
    <row r="497" spans="1:6">
      <c r="A497"/>
      <c r="B497"/>
      <c r="C497"/>
      <c r="D497" s="32"/>
      <c r="E497" s="32"/>
      <c r="F497" s="32"/>
    </row>
    <row r="498" spans="1:6">
      <c r="A498"/>
      <c r="B498"/>
      <c r="C498"/>
      <c r="D498" s="32"/>
      <c r="E498" s="32"/>
      <c r="F498" s="32"/>
    </row>
    <row r="499" spans="1:6">
      <c r="A499"/>
      <c r="B499"/>
      <c r="C499"/>
      <c r="D499" s="32"/>
      <c r="E499" s="32"/>
      <c r="F499" s="32"/>
    </row>
    <row r="500" spans="1:6">
      <c r="A500"/>
      <c r="B500"/>
      <c r="C500"/>
      <c r="D500" s="32"/>
      <c r="E500" s="32"/>
      <c r="F500" s="32"/>
    </row>
    <row r="501" spans="1:6">
      <c r="A501"/>
      <c r="B501"/>
      <c r="C501"/>
      <c r="D501" s="32"/>
      <c r="E501" s="32"/>
      <c r="F501" s="32"/>
    </row>
    <row r="502" spans="1:6">
      <c r="A502"/>
      <c r="B502"/>
      <c r="C502"/>
      <c r="D502" s="32"/>
      <c r="E502" s="32"/>
      <c r="F502" s="32"/>
    </row>
    <row r="503" spans="1:6">
      <c r="A503"/>
      <c r="B503"/>
      <c r="C503"/>
      <c r="D503" s="32"/>
      <c r="E503" s="32"/>
      <c r="F503" s="32"/>
    </row>
    <row r="504" spans="1:6">
      <c r="A504"/>
      <c r="B504"/>
      <c r="C504"/>
      <c r="D504" s="32"/>
      <c r="E504" s="32"/>
      <c r="F504" s="32"/>
    </row>
    <row r="505" spans="1:6">
      <c r="A505"/>
      <c r="B505"/>
      <c r="C505"/>
      <c r="D505" s="32"/>
      <c r="E505" s="32"/>
      <c r="F505" s="32"/>
    </row>
    <row r="506" spans="1:6">
      <c r="A506"/>
      <c r="B506"/>
      <c r="C506"/>
      <c r="D506" s="32"/>
      <c r="E506" s="32"/>
      <c r="F506" s="32"/>
    </row>
    <row r="507" spans="1:6">
      <c r="A507"/>
      <c r="B507"/>
      <c r="C507"/>
      <c r="D507" s="32"/>
      <c r="E507" s="32"/>
      <c r="F507" s="32"/>
    </row>
    <row r="508" spans="1:6">
      <c r="A508"/>
      <c r="B508"/>
      <c r="C508"/>
      <c r="D508" s="32"/>
      <c r="E508" s="32"/>
      <c r="F508" s="32"/>
    </row>
    <row r="509" spans="1:6">
      <c r="A509"/>
      <c r="B509"/>
      <c r="C509"/>
      <c r="D509" s="32"/>
      <c r="E509" s="32"/>
      <c r="F509" s="32"/>
    </row>
    <row r="510" spans="1:6">
      <c r="A510"/>
      <c r="B510"/>
      <c r="C510"/>
      <c r="D510" s="32"/>
      <c r="E510" s="32"/>
      <c r="F510" s="32"/>
    </row>
    <row r="511" spans="1:6">
      <c r="A511"/>
      <c r="B511"/>
      <c r="C511"/>
      <c r="D511" s="32"/>
      <c r="E511" s="32"/>
      <c r="F511" s="32"/>
    </row>
    <row r="512" spans="1:6">
      <c r="A512"/>
      <c r="B512"/>
      <c r="C512"/>
      <c r="D512" s="32"/>
      <c r="E512" s="32"/>
      <c r="F512" s="32"/>
    </row>
    <row r="513" spans="1:6">
      <c r="A513"/>
      <c r="B513"/>
      <c r="C513"/>
      <c r="D513" s="32"/>
      <c r="E513" s="32"/>
      <c r="F513" s="32"/>
    </row>
    <row r="514" spans="1:6">
      <c r="A514"/>
      <c r="B514"/>
      <c r="C514"/>
      <c r="D514" s="32"/>
      <c r="E514" s="32"/>
      <c r="F514" s="32"/>
    </row>
    <row r="515" spans="1:6">
      <c r="A515"/>
      <c r="B515"/>
      <c r="C515"/>
      <c r="D515" s="32"/>
      <c r="E515" s="32"/>
      <c r="F515" s="32"/>
    </row>
    <row r="516" spans="1:6">
      <c r="A516"/>
      <c r="B516"/>
      <c r="C516"/>
      <c r="D516" s="32"/>
      <c r="E516" s="32"/>
      <c r="F516" s="32"/>
    </row>
    <row r="517" spans="1:6">
      <c r="A517"/>
      <c r="B517"/>
      <c r="C517"/>
      <c r="D517" s="32"/>
      <c r="E517" s="32"/>
      <c r="F517" s="32"/>
    </row>
    <row r="518" spans="1:6">
      <c r="A518"/>
      <c r="B518"/>
      <c r="C518"/>
      <c r="D518" s="32"/>
      <c r="E518" s="32"/>
      <c r="F518" s="32"/>
    </row>
    <row r="519" spans="1:6">
      <c r="A519"/>
      <c r="B519"/>
      <c r="C519"/>
      <c r="D519" s="32"/>
      <c r="E519" s="32"/>
      <c r="F519" s="32"/>
    </row>
    <row r="520" spans="1:6">
      <c r="A520"/>
      <c r="B520"/>
      <c r="C520"/>
      <c r="D520" s="32"/>
      <c r="E520" s="32"/>
      <c r="F520" s="32"/>
    </row>
    <row r="521" spans="1:6">
      <c r="A521"/>
      <c r="B521"/>
      <c r="C521"/>
      <c r="D521" s="32"/>
      <c r="E521" s="32"/>
      <c r="F521" s="32"/>
    </row>
    <row r="522" spans="1:6">
      <c r="A522"/>
      <c r="B522"/>
      <c r="C522"/>
      <c r="D522" s="32"/>
      <c r="E522" s="32"/>
      <c r="F522" s="32"/>
    </row>
    <row r="523" spans="1:6">
      <c r="A523"/>
      <c r="B523"/>
      <c r="C523"/>
      <c r="D523" s="32"/>
      <c r="E523" s="32"/>
      <c r="F523" s="32"/>
    </row>
    <row r="524" spans="1:6">
      <c r="A524"/>
      <c r="B524"/>
      <c r="C524"/>
      <c r="D524" s="32"/>
      <c r="E524" s="32"/>
      <c r="F524" s="32"/>
    </row>
    <row r="525" spans="1:6">
      <c r="A525"/>
      <c r="B525"/>
      <c r="C525"/>
      <c r="D525" s="32"/>
      <c r="E525" s="32"/>
      <c r="F525" s="32"/>
    </row>
    <row r="526" spans="1:6">
      <c r="A526"/>
      <c r="B526"/>
      <c r="C526"/>
      <c r="D526" s="32"/>
      <c r="E526" s="32"/>
      <c r="F526" s="32"/>
    </row>
    <row r="527" spans="1:6">
      <c r="A527"/>
      <c r="B527"/>
      <c r="C527"/>
      <c r="D527" s="32"/>
      <c r="E527" s="32"/>
      <c r="F527" s="32"/>
    </row>
    <row r="528" spans="1:6">
      <c r="A528"/>
      <c r="B528"/>
      <c r="C528"/>
      <c r="D528" s="32"/>
      <c r="E528" s="32"/>
      <c r="F528" s="32"/>
    </row>
    <row r="529" spans="1:6">
      <c r="A529"/>
      <c r="B529"/>
      <c r="C529"/>
      <c r="D529" s="32"/>
      <c r="E529" s="32"/>
      <c r="F529" s="32"/>
    </row>
    <row r="530" spans="1:6">
      <c r="A530"/>
      <c r="B530"/>
      <c r="C530"/>
      <c r="D530" s="32"/>
      <c r="E530" s="32"/>
      <c r="F530" s="32"/>
    </row>
    <row r="531" spans="1:6">
      <c r="A531"/>
      <c r="B531"/>
      <c r="C531"/>
      <c r="D531" s="32"/>
      <c r="E531" s="32"/>
      <c r="F531" s="32"/>
    </row>
    <row r="532" spans="1:6">
      <c r="A532"/>
      <c r="B532"/>
      <c r="C532"/>
      <c r="D532" s="32"/>
      <c r="E532" s="32"/>
      <c r="F532" s="32"/>
    </row>
    <row r="533" spans="1:6">
      <c r="A533"/>
      <c r="B533"/>
      <c r="C533"/>
      <c r="D533" s="32"/>
      <c r="E533" s="32"/>
      <c r="F533" s="32"/>
    </row>
    <row r="534" spans="1:6">
      <c r="A534"/>
      <c r="B534"/>
      <c r="C534"/>
      <c r="D534" s="32"/>
      <c r="E534" s="32"/>
      <c r="F534" s="32"/>
    </row>
    <row r="535" spans="1:6">
      <c r="A535"/>
      <c r="B535"/>
      <c r="C535"/>
      <c r="D535" s="32"/>
      <c r="E535" s="32"/>
      <c r="F535" s="32"/>
    </row>
    <row r="536" spans="1:6">
      <c r="A536"/>
      <c r="B536"/>
      <c r="C536"/>
      <c r="D536" s="32"/>
      <c r="E536" s="32"/>
      <c r="F536" s="32"/>
    </row>
    <row r="537" spans="1:6">
      <c r="A537"/>
      <c r="B537"/>
      <c r="C537"/>
      <c r="D537" s="32"/>
      <c r="E537" s="32"/>
      <c r="F537" s="32"/>
    </row>
    <row r="538" spans="1:6">
      <c r="A538"/>
      <c r="B538"/>
      <c r="C538"/>
      <c r="D538" s="32"/>
      <c r="E538" s="32"/>
      <c r="F538" s="32"/>
    </row>
    <row r="539" spans="1:6">
      <c r="A539"/>
      <c r="B539"/>
      <c r="C539"/>
      <c r="D539" s="32"/>
      <c r="E539" s="32"/>
      <c r="F539" s="32"/>
    </row>
    <row r="540" spans="1:6">
      <c r="A540"/>
      <c r="B540"/>
      <c r="C540"/>
      <c r="D540" s="32"/>
      <c r="E540" s="32"/>
      <c r="F540" s="32"/>
    </row>
    <row r="541" spans="1:6">
      <c r="A541"/>
      <c r="B541"/>
      <c r="C541"/>
      <c r="D541" s="32"/>
      <c r="E541" s="32"/>
      <c r="F541" s="32"/>
    </row>
    <row r="542" spans="1:6">
      <c r="A542"/>
      <c r="B542"/>
      <c r="C542"/>
      <c r="D542" s="32"/>
      <c r="E542" s="32"/>
      <c r="F542" s="32"/>
    </row>
    <row r="543" spans="1:6">
      <c r="A543"/>
      <c r="B543"/>
      <c r="C543"/>
      <c r="D543" s="32"/>
      <c r="E543" s="32"/>
      <c r="F543" s="32"/>
    </row>
    <row r="544" spans="1:6">
      <c r="A544"/>
      <c r="B544"/>
      <c r="C544"/>
      <c r="D544" s="32"/>
      <c r="E544" s="32"/>
      <c r="F544" s="32"/>
    </row>
    <row r="545" spans="1:6">
      <c r="A545"/>
      <c r="B545"/>
      <c r="C545"/>
      <c r="D545" s="32"/>
      <c r="E545" s="32"/>
      <c r="F545" s="32"/>
    </row>
    <row r="546" spans="1:6">
      <c r="A546"/>
      <c r="B546"/>
      <c r="C546"/>
      <c r="D546" s="32"/>
      <c r="E546" s="32"/>
      <c r="F546" s="32"/>
    </row>
    <row r="547" spans="1:6">
      <c r="A547"/>
      <c r="B547"/>
      <c r="C547"/>
      <c r="D547" s="32"/>
      <c r="E547" s="32"/>
      <c r="F547" s="32"/>
    </row>
    <row r="548" spans="1:6">
      <c r="A548"/>
      <c r="B548"/>
      <c r="C548"/>
      <c r="D548" s="32"/>
      <c r="E548" s="32"/>
      <c r="F548" s="32"/>
    </row>
    <row r="549" spans="1:6">
      <c r="A549"/>
      <c r="B549"/>
      <c r="C549"/>
      <c r="D549" s="32"/>
      <c r="E549" s="32"/>
      <c r="F549" s="32"/>
    </row>
    <row r="550" spans="1:6">
      <c r="A550"/>
      <c r="B550"/>
      <c r="C550"/>
      <c r="D550" s="32"/>
      <c r="E550" s="32"/>
      <c r="F550" s="32"/>
    </row>
    <row r="551" spans="1:6">
      <c r="A551"/>
      <c r="B551"/>
      <c r="C551"/>
      <c r="D551" s="32"/>
      <c r="E551" s="32"/>
      <c r="F551" s="32"/>
    </row>
    <row r="552" spans="1:6">
      <c r="A552"/>
      <c r="B552"/>
      <c r="C552"/>
      <c r="D552" s="32"/>
      <c r="E552" s="32"/>
      <c r="F552" s="32"/>
    </row>
    <row r="553" spans="1:6">
      <c r="A553"/>
      <c r="B553"/>
      <c r="C553"/>
      <c r="D553" s="32"/>
      <c r="E553" s="32"/>
      <c r="F553" s="32"/>
    </row>
    <row r="554" spans="1:6">
      <c r="A554"/>
      <c r="B554"/>
      <c r="C554"/>
      <c r="D554" s="32"/>
      <c r="E554" s="32"/>
      <c r="F554" s="32"/>
    </row>
    <row r="555" spans="1:6">
      <c r="A555"/>
      <c r="B555"/>
      <c r="C555"/>
      <c r="D555" s="32"/>
      <c r="E555" s="32"/>
      <c r="F555" s="32"/>
    </row>
    <row r="556" spans="1:6">
      <c r="A556"/>
      <c r="B556"/>
      <c r="C556"/>
      <c r="D556" s="32"/>
      <c r="E556" s="32"/>
      <c r="F556" s="32"/>
    </row>
    <row r="557" spans="1:6">
      <c r="A557"/>
      <c r="B557"/>
      <c r="C557"/>
      <c r="D557" s="32"/>
      <c r="E557" s="32"/>
      <c r="F557" s="32"/>
    </row>
    <row r="558" spans="1:6">
      <c r="A558"/>
      <c r="B558"/>
      <c r="C558"/>
      <c r="D558" s="32"/>
      <c r="E558" s="32"/>
      <c r="F558" s="32"/>
    </row>
    <row r="559" spans="1:6">
      <c r="A559"/>
      <c r="B559"/>
      <c r="C559"/>
      <c r="D559" s="32"/>
      <c r="E559" s="32"/>
      <c r="F559" s="32"/>
    </row>
    <row r="560" spans="1:6">
      <c r="A560"/>
      <c r="B560"/>
      <c r="C560"/>
      <c r="D560" s="32"/>
      <c r="E560" s="32"/>
      <c r="F560" s="32"/>
    </row>
    <row r="561" spans="1:6">
      <c r="A561"/>
      <c r="B561"/>
      <c r="C561"/>
      <c r="D561" s="32"/>
      <c r="E561" s="32"/>
      <c r="F561" s="32"/>
    </row>
    <row r="562" spans="1:6">
      <c r="A562"/>
      <c r="B562"/>
      <c r="C562"/>
      <c r="D562" s="32"/>
      <c r="E562" s="32"/>
      <c r="F562" s="32"/>
    </row>
    <row r="563" spans="1:6">
      <c r="A563"/>
      <c r="B563"/>
      <c r="C563"/>
      <c r="D563" s="32"/>
      <c r="E563" s="32"/>
      <c r="F563" s="32"/>
    </row>
    <row r="564" spans="1:6">
      <c r="A564"/>
      <c r="B564"/>
      <c r="C564"/>
      <c r="D564" s="32"/>
      <c r="E564" s="32"/>
      <c r="F564" s="32"/>
    </row>
    <row r="565" spans="1:6">
      <c r="A565"/>
      <c r="B565"/>
      <c r="C565"/>
      <c r="D565" s="32"/>
      <c r="E565" s="32"/>
      <c r="F565" s="32"/>
    </row>
    <row r="566" spans="1:6">
      <c r="A566"/>
      <c r="B566"/>
      <c r="C566"/>
      <c r="D566" s="32"/>
      <c r="E566" s="32"/>
      <c r="F566" s="32"/>
    </row>
    <row r="567" spans="1:6">
      <c r="A567"/>
      <c r="B567"/>
      <c r="C567"/>
      <c r="D567" s="32"/>
      <c r="E567" s="32"/>
      <c r="F567" s="32"/>
    </row>
    <row r="568" spans="1:6">
      <c r="A568"/>
      <c r="B568"/>
      <c r="C568"/>
      <c r="D568" s="32"/>
      <c r="E568" s="32"/>
      <c r="F568" s="32"/>
    </row>
    <row r="569" spans="1:6">
      <c r="A569"/>
      <c r="B569"/>
      <c r="C569"/>
      <c r="D569" s="32"/>
      <c r="E569" s="32"/>
      <c r="F569" s="32"/>
    </row>
    <row r="570" spans="1:6">
      <c r="A570"/>
      <c r="B570"/>
      <c r="C570"/>
      <c r="D570" s="32"/>
      <c r="E570" s="32"/>
      <c r="F570" s="32"/>
    </row>
    <row r="571" spans="1:6">
      <c r="A571"/>
      <c r="B571"/>
      <c r="C571"/>
      <c r="D571" s="32"/>
      <c r="E571" s="32"/>
      <c r="F571" s="32"/>
    </row>
    <row r="572" spans="1:6">
      <c r="A572"/>
      <c r="B572"/>
      <c r="C572"/>
      <c r="D572" s="32"/>
      <c r="E572" s="32"/>
      <c r="F572" s="32"/>
    </row>
    <row r="573" spans="1:6">
      <c r="A573"/>
      <c r="B573"/>
      <c r="C573"/>
      <c r="D573" s="32"/>
      <c r="E573" s="32"/>
      <c r="F573" s="32"/>
    </row>
    <row r="574" spans="1:6">
      <c r="A574"/>
      <c r="B574"/>
      <c r="C574"/>
      <c r="D574" s="32"/>
      <c r="E574" s="32"/>
      <c r="F574" s="32"/>
    </row>
    <row r="575" spans="1:6">
      <c r="A575"/>
      <c r="B575"/>
      <c r="C575"/>
      <c r="D575" s="32"/>
      <c r="E575" s="32"/>
      <c r="F575" s="32"/>
    </row>
    <row r="576" spans="1:6">
      <c r="A576"/>
      <c r="B576"/>
      <c r="C576"/>
      <c r="D576" s="32"/>
      <c r="E576" s="32"/>
      <c r="F576" s="32"/>
    </row>
    <row r="577" spans="1:6">
      <c r="A577"/>
      <c r="B577"/>
      <c r="C577"/>
      <c r="D577" s="32"/>
      <c r="E577" s="32"/>
      <c r="F577" s="32"/>
    </row>
    <row r="578" spans="1:6">
      <c r="A578"/>
      <c r="B578"/>
      <c r="C578"/>
      <c r="D578" s="32"/>
      <c r="E578" s="32"/>
      <c r="F578" s="32"/>
    </row>
    <row r="579" spans="1:6">
      <c r="A579"/>
      <c r="B579"/>
      <c r="C579"/>
      <c r="D579" s="32"/>
      <c r="E579" s="32"/>
      <c r="F579" s="32"/>
    </row>
    <row r="580" spans="1:6">
      <c r="B580" s="32"/>
      <c r="C580" s="32"/>
      <c r="D580" s="32"/>
      <c r="E580" s="32"/>
      <c r="F580" s="32"/>
    </row>
    <row r="581" spans="1:6">
      <c r="B581" s="32"/>
      <c r="C581" s="32"/>
      <c r="D581" s="32"/>
      <c r="E581" s="32"/>
      <c r="F581" s="32"/>
    </row>
    <row r="582" spans="1:6">
      <c r="B582" s="32"/>
      <c r="C582" s="32"/>
      <c r="D582" s="32"/>
      <c r="E582" s="32"/>
      <c r="F582" s="32"/>
    </row>
    <row r="583" spans="1:6">
      <c r="B583" s="32"/>
      <c r="C583" s="32"/>
      <c r="D583" s="32"/>
      <c r="E583" s="32"/>
      <c r="F583" s="32"/>
    </row>
    <row r="584" spans="1:6">
      <c r="B584" s="32"/>
      <c r="C584" s="32"/>
      <c r="D584" s="32"/>
      <c r="E584" s="32"/>
      <c r="F584" s="32"/>
    </row>
    <row r="585" spans="1:6">
      <c r="B585" s="32"/>
      <c r="C585" s="32"/>
      <c r="D585" s="32"/>
      <c r="E585" s="32"/>
      <c r="F585" s="32"/>
    </row>
    <row r="586" spans="1:6">
      <c r="B586" s="32"/>
      <c r="C586" s="32"/>
      <c r="D586" s="32"/>
      <c r="E586" s="32"/>
      <c r="F586" s="32"/>
    </row>
    <row r="587" spans="1:6">
      <c r="B587" s="32"/>
      <c r="C587" s="32"/>
      <c r="D587" s="32"/>
      <c r="E587" s="32"/>
      <c r="F587" s="32"/>
    </row>
    <row r="588" spans="1:6">
      <c r="B588" s="32"/>
      <c r="C588" s="32"/>
      <c r="D588" s="32"/>
      <c r="E588" s="32"/>
      <c r="F588" s="32"/>
    </row>
    <row r="589" spans="1:6">
      <c r="B589" s="32"/>
      <c r="C589" s="32"/>
      <c r="D589" s="32"/>
      <c r="E589" s="32"/>
      <c r="F589" s="32"/>
    </row>
    <row r="590" spans="1:6">
      <c r="B590" s="32"/>
      <c r="C590" s="32"/>
      <c r="D590" s="32"/>
      <c r="E590" s="32"/>
      <c r="F590" s="32"/>
    </row>
    <row r="591" spans="1:6">
      <c r="B591" s="32"/>
      <c r="C591" s="32"/>
      <c r="D591" s="32"/>
      <c r="E591" s="32"/>
      <c r="F591" s="32"/>
    </row>
    <row r="592" spans="1:6">
      <c r="B592" s="32"/>
      <c r="C592" s="32"/>
      <c r="D592" s="32"/>
      <c r="E592" s="32"/>
      <c r="F592" s="32"/>
    </row>
    <row r="593" spans="2:6">
      <c r="B593" s="32"/>
      <c r="C593" s="32"/>
      <c r="D593" s="32"/>
      <c r="E593" s="32"/>
      <c r="F593" s="32"/>
    </row>
    <row r="594" spans="2:6">
      <c r="B594" s="32"/>
      <c r="C594" s="32"/>
      <c r="D594" s="32"/>
      <c r="E594" s="32"/>
      <c r="F594" s="32"/>
    </row>
    <row r="595" spans="2:6">
      <c r="B595" s="32"/>
      <c r="C595" s="32"/>
      <c r="D595" s="32"/>
      <c r="E595" s="32"/>
      <c r="F595" s="32"/>
    </row>
    <row r="596" spans="2:6">
      <c r="B596" s="32"/>
      <c r="C596" s="32"/>
      <c r="D596" s="32"/>
      <c r="E596" s="32"/>
      <c r="F596" s="32"/>
    </row>
    <row r="597" spans="2:6">
      <c r="B597" s="32"/>
      <c r="C597" s="32"/>
      <c r="D597" s="32"/>
      <c r="E597" s="32"/>
      <c r="F597" s="32"/>
    </row>
    <row r="598" spans="2:6">
      <c r="B598" s="32"/>
      <c r="C598" s="32"/>
      <c r="D598" s="32"/>
      <c r="E598" s="32"/>
      <c r="F598" s="32"/>
    </row>
    <row r="599" spans="2:6">
      <c r="B599" s="32"/>
      <c r="C599" s="32"/>
      <c r="D599" s="32"/>
      <c r="E599" s="32"/>
      <c r="F599" s="32"/>
    </row>
    <row r="600" spans="2:6">
      <c r="B600" s="32"/>
      <c r="C600" s="32"/>
      <c r="D600" s="32"/>
      <c r="E600" s="32"/>
      <c r="F600" s="32"/>
    </row>
    <row r="601" spans="2:6">
      <c r="B601" s="32"/>
      <c r="C601" s="32"/>
      <c r="D601" s="32"/>
      <c r="E601" s="32"/>
      <c r="F601" s="32"/>
    </row>
    <row r="602" spans="2:6">
      <c r="B602" s="32"/>
      <c r="C602" s="32"/>
      <c r="D602" s="32"/>
      <c r="E602" s="32"/>
      <c r="F602" s="32"/>
    </row>
    <row r="603" spans="2:6">
      <c r="B603" s="32"/>
      <c r="C603" s="32"/>
      <c r="D603" s="32"/>
      <c r="E603" s="32"/>
      <c r="F603" s="32"/>
    </row>
    <row r="604" spans="2:6">
      <c r="B604" s="32"/>
      <c r="C604" s="32"/>
      <c r="D604" s="32"/>
      <c r="E604" s="32"/>
      <c r="F604" s="32"/>
    </row>
    <row r="605" spans="2:6">
      <c r="B605" s="32"/>
      <c r="C605" s="32"/>
      <c r="D605" s="32"/>
      <c r="E605" s="32"/>
      <c r="F605" s="32"/>
    </row>
    <row r="606" spans="2:6">
      <c r="B606" s="32"/>
      <c r="C606" s="32"/>
      <c r="D606" s="32"/>
      <c r="E606" s="32"/>
      <c r="F606" s="32"/>
    </row>
    <row r="607" spans="2:6">
      <c r="B607" s="32"/>
      <c r="C607" s="32"/>
      <c r="D607" s="32"/>
      <c r="E607" s="32"/>
      <c r="F607" s="32"/>
    </row>
    <row r="608" spans="2:6">
      <c r="B608" s="32"/>
      <c r="C608" s="32"/>
      <c r="D608" s="32"/>
      <c r="E608" s="32"/>
      <c r="F608" s="32"/>
    </row>
    <row r="609" spans="2:6">
      <c r="B609" s="32"/>
      <c r="C609" s="32"/>
      <c r="D609" s="32"/>
      <c r="E609" s="32"/>
      <c r="F609" s="32"/>
    </row>
    <row r="610" spans="2:6">
      <c r="B610" s="32"/>
      <c r="C610" s="32"/>
      <c r="D610" s="32"/>
      <c r="E610" s="32"/>
      <c r="F610" s="32"/>
    </row>
    <row r="611" spans="2:6">
      <c r="B611" s="32"/>
      <c r="C611" s="32"/>
      <c r="D611" s="32"/>
      <c r="E611" s="32"/>
      <c r="F611" s="32"/>
    </row>
    <row r="612" spans="2:6">
      <c r="B612" s="32"/>
      <c r="C612" s="32"/>
      <c r="D612" s="32"/>
      <c r="E612" s="32"/>
      <c r="F612" s="32"/>
    </row>
    <row r="613" spans="2:6">
      <c r="B613" s="32"/>
      <c r="C613" s="32"/>
      <c r="D613" s="32"/>
      <c r="E613" s="32"/>
      <c r="F613" s="32"/>
    </row>
    <row r="614" spans="2:6">
      <c r="B614" s="32"/>
      <c r="C614" s="32"/>
      <c r="D614" s="32"/>
      <c r="E614" s="32"/>
      <c r="F614" s="32"/>
    </row>
    <row r="615" spans="2:6">
      <c r="B615" s="32"/>
      <c r="C615" s="32"/>
      <c r="D615" s="32"/>
      <c r="E615" s="32"/>
      <c r="F615" s="32"/>
    </row>
    <row r="616" spans="2:6">
      <c r="B616" s="32"/>
      <c r="C616" s="32"/>
      <c r="D616" s="32"/>
      <c r="E616" s="32"/>
      <c r="F616" s="32"/>
    </row>
    <row r="617" spans="2:6">
      <c r="B617" s="32"/>
      <c r="C617" s="32"/>
      <c r="D617" s="32"/>
      <c r="E617" s="32"/>
      <c r="F617" s="32"/>
    </row>
    <row r="618" spans="2:6">
      <c r="B618" s="32"/>
      <c r="C618" s="32"/>
      <c r="D618" s="32"/>
      <c r="E618" s="32"/>
      <c r="F618" s="32"/>
    </row>
    <row r="619" spans="2:6">
      <c r="B619" s="32"/>
      <c r="C619" s="32"/>
      <c r="D619" s="32"/>
      <c r="E619" s="32"/>
      <c r="F619" s="32"/>
    </row>
    <row r="620" spans="2:6">
      <c r="B620" s="32"/>
      <c r="C620" s="32"/>
      <c r="D620" s="32"/>
      <c r="E620" s="32"/>
      <c r="F620" s="32"/>
    </row>
    <row r="621" spans="2:6">
      <c r="B621" s="32"/>
      <c r="C621" s="32"/>
      <c r="D621" s="32"/>
      <c r="E621" s="32"/>
      <c r="F621" s="32"/>
    </row>
    <row r="622" spans="2:6">
      <c r="B622" s="32"/>
      <c r="C622" s="32"/>
      <c r="D622" s="32"/>
      <c r="E622" s="32"/>
      <c r="F622" s="32"/>
    </row>
    <row r="623" spans="2:6">
      <c r="B623" s="32"/>
      <c r="C623" s="32"/>
      <c r="D623" s="32"/>
      <c r="E623" s="32"/>
      <c r="F623" s="32"/>
    </row>
    <row r="624" spans="2:6">
      <c r="B624" s="32"/>
      <c r="C624" s="32"/>
      <c r="D624" s="32"/>
      <c r="E624" s="32"/>
      <c r="F624" s="32"/>
    </row>
    <row r="625" spans="2:6">
      <c r="B625" s="32"/>
      <c r="C625" s="32"/>
      <c r="D625" s="32"/>
      <c r="E625" s="32"/>
      <c r="F625" s="32"/>
    </row>
    <row r="626" spans="2:6">
      <c r="B626" s="32"/>
      <c r="C626" s="32"/>
      <c r="D626" s="32"/>
      <c r="E626" s="32"/>
      <c r="F626" s="32"/>
    </row>
    <row r="627" spans="2:6">
      <c r="B627" s="32"/>
      <c r="C627" s="32"/>
      <c r="D627" s="32"/>
      <c r="E627" s="32"/>
      <c r="F627" s="32"/>
    </row>
    <row r="628" spans="2:6">
      <c r="B628" s="32"/>
      <c r="C628" s="32"/>
      <c r="D628" s="32"/>
      <c r="E628" s="32"/>
      <c r="F628" s="32"/>
    </row>
    <row r="629" spans="2:6">
      <c r="B629" s="32"/>
      <c r="C629" s="32"/>
      <c r="D629" s="32"/>
      <c r="E629" s="32"/>
      <c r="F629" s="32"/>
    </row>
    <row r="630" spans="2:6">
      <c r="B630" s="32"/>
      <c r="C630" s="32"/>
      <c r="D630" s="32"/>
      <c r="E630" s="32"/>
      <c r="F630" s="32"/>
    </row>
    <row r="631" spans="2:6">
      <c r="B631" s="32"/>
      <c r="C631" s="32"/>
      <c r="D631" s="32"/>
      <c r="E631" s="32"/>
      <c r="F631" s="32"/>
    </row>
    <row r="632" spans="2:6">
      <c r="B632" s="32"/>
      <c r="C632" s="32"/>
      <c r="D632" s="32"/>
      <c r="E632" s="32"/>
      <c r="F632" s="32"/>
    </row>
    <row r="633" spans="2:6">
      <c r="B633" s="32"/>
      <c r="C633" s="32"/>
      <c r="D633" s="32"/>
      <c r="E633" s="32"/>
      <c r="F633" s="32"/>
    </row>
    <row r="634" spans="2:6">
      <c r="B634" s="32"/>
      <c r="C634" s="32"/>
      <c r="D634" s="32"/>
      <c r="E634" s="32"/>
      <c r="F634" s="32"/>
    </row>
    <row r="635" spans="2:6">
      <c r="B635" s="32"/>
      <c r="C635" s="32"/>
      <c r="D635" s="32"/>
      <c r="E635" s="32"/>
      <c r="F635" s="32"/>
    </row>
    <row r="636" spans="2:6">
      <c r="B636" s="32"/>
      <c r="C636" s="32"/>
      <c r="D636" s="32"/>
      <c r="E636" s="32"/>
      <c r="F636" s="32"/>
    </row>
    <row r="637" spans="2:6">
      <c r="B637" s="32"/>
      <c r="C637" s="32"/>
      <c r="D637" s="32"/>
      <c r="E637" s="32"/>
      <c r="F637" s="32"/>
    </row>
    <row r="638" spans="2:6">
      <c r="B638" s="32"/>
      <c r="C638" s="32"/>
      <c r="D638" s="32"/>
      <c r="E638" s="32"/>
      <c r="F638" s="32"/>
    </row>
    <row r="639" spans="2:6">
      <c r="B639" s="32"/>
      <c r="C639" s="32"/>
      <c r="D639" s="32"/>
      <c r="E639" s="32"/>
      <c r="F639" s="32"/>
    </row>
    <row r="640" spans="2:6">
      <c r="B640" s="32"/>
      <c r="C640" s="32"/>
      <c r="D640" s="32"/>
      <c r="E640" s="32"/>
      <c r="F640" s="32"/>
    </row>
    <row r="641" spans="2:6">
      <c r="B641" s="32"/>
      <c r="C641" s="32"/>
      <c r="D641" s="32"/>
      <c r="E641" s="32"/>
      <c r="F641" s="32"/>
    </row>
    <row r="642" spans="2:6">
      <c r="B642" s="32"/>
      <c r="C642" s="32"/>
      <c r="D642" s="32"/>
      <c r="E642" s="32"/>
      <c r="F642" s="32"/>
    </row>
    <row r="643" spans="2:6">
      <c r="B643" s="32"/>
      <c r="C643" s="32"/>
      <c r="D643" s="32"/>
      <c r="E643" s="32"/>
      <c r="F643" s="32"/>
    </row>
    <row r="644" spans="2:6">
      <c r="B644" s="32"/>
      <c r="C644" s="32"/>
      <c r="D644" s="32"/>
      <c r="E644" s="32"/>
      <c r="F644" s="32"/>
    </row>
    <row r="645" spans="2:6">
      <c r="B645" s="32"/>
      <c r="C645" s="32"/>
      <c r="D645" s="32"/>
      <c r="E645" s="32"/>
      <c r="F645" s="32"/>
    </row>
    <row r="646" spans="2:6">
      <c r="B646" s="32"/>
      <c r="C646" s="32"/>
      <c r="D646" s="32"/>
      <c r="E646" s="32"/>
      <c r="F646" s="32"/>
    </row>
    <row r="647" spans="2:6">
      <c r="B647" s="32"/>
      <c r="C647" s="32"/>
      <c r="D647" s="32"/>
      <c r="E647" s="32"/>
      <c r="F647" s="32"/>
    </row>
    <row r="648" spans="2:6">
      <c r="B648" s="32"/>
      <c r="C648" s="32"/>
      <c r="D648" s="32"/>
      <c r="E648" s="32"/>
      <c r="F648" s="32"/>
    </row>
    <row r="649" spans="2:6">
      <c r="B649" s="32"/>
      <c r="C649" s="32"/>
      <c r="D649" s="32"/>
      <c r="E649" s="32"/>
      <c r="F649" s="32"/>
    </row>
    <row r="650" spans="2:6">
      <c r="B650" s="32"/>
      <c r="C650" s="32"/>
      <c r="D650" s="32"/>
      <c r="E650" s="32"/>
      <c r="F650" s="32"/>
    </row>
    <row r="651" spans="2:6">
      <c r="B651" s="32"/>
      <c r="C651" s="32"/>
      <c r="D651" s="32"/>
      <c r="E651" s="32"/>
      <c r="F651" s="32"/>
    </row>
    <row r="652" spans="2:6">
      <c r="B652" s="32"/>
      <c r="C652" s="32"/>
      <c r="D652" s="32"/>
      <c r="E652" s="32"/>
      <c r="F652" s="32"/>
    </row>
    <row r="653" spans="2:6">
      <c r="B653" s="32"/>
      <c r="C653" s="32"/>
      <c r="D653" s="32"/>
      <c r="E653" s="32"/>
      <c r="F653" s="32"/>
    </row>
    <row r="654" spans="2:6">
      <c r="B654" s="32"/>
      <c r="C654" s="32"/>
      <c r="D654" s="32"/>
      <c r="E654" s="32"/>
      <c r="F654" s="32"/>
    </row>
    <row r="655" spans="2:6">
      <c r="B655" s="32"/>
      <c r="C655" s="32"/>
      <c r="D655" s="32"/>
      <c r="E655" s="32"/>
      <c r="F655" s="32"/>
    </row>
    <row r="656" spans="2:6">
      <c r="B656" s="32"/>
      <c r="C656" s="32"/>
      <c r="D656" s="32"/>
      <c r="E656" s="32"/>
      <c r="F656" s="32"/>
    </row>
    <row r="657" spans="2:6">
      <c r="B657" s="32"/>
      <c r="C657" s="32"/>
      <c r="D657" s="32"/>
      <c r="E657" s="32"/>
      <c r="F657" s="32"/>
    </row>
    <row r="658" spans="2:6">
      <c r="B658" s="32"/>
      <c r="C658" s="32"/>
      <c r="D658" s="32"/>
      <c r="E658" s="32"/>
      <c r="F658" s="32"/>
    </row>
    <row r="659" spans="2:6">
      <c r="B659" s="32"/>
      <c r="C659" s="32"/>
      <c r="D659" s="32"/>
      <c r="E659" s="32"/>
      <c r="F659" s="32"/>
    </row>
    <row r="660" spans="2:6">
      <c r="B660" s="32"/>
      <c r="C660" s="32"/>
      <c r="D660" s="32"/>
      <c r="E660" s="32"/>
      <c r="F660" s="32"/>
    </row>
    <row r="661" spans="2:6">
      <c r="B661" s="32"/>
      <c r="C661" s="32"/>
      <c r="D661" s="32"/>
      <c r="E661" s="32"/>
      <c r="F661" s="32"/>
    </row>
    <row r="662" spans="2:6">
      <c r="B662" s="32"/>
      <c r="C662" s="32"/>
      <c r="D662" s="32"/>
      <c r="E662" s="32"/>
      <c r="F662" s="32"/>
    </row>
    <row r="663" spans="2:6">
      <c r="B663" s="32"/>
      <c r="C663" s="32"/>
      <c r="D663" s="32"/>
      <c r="E663" s="32"/>
      <c r="F663" s="32"/>
    </row>
    <row r="664" spans="2:6">
      <c r="B664" s="32"/>
      <c r="C664" s="32"/>
      <c r="D664" s="32"/>
      <c r="E664" s="32"/>
      <c r="F664" s="32"/>
    </row>
    <row r="665" spans="2:6">
      <c r="B665" s="32"/>
      <c r="C665" s="32"/>
      <c r="D665" s="32"/>
      <c r="E665" s="32"/>
      <c r="F665" s="32"/>
    </row>
    <row r="666" spans="2:6">
      <c r="B666" s="32"/>
      <c r="C666" s="32"/>
      <c r="D666" s="32"/>
      <c r="E666" s="32"/>
      <c r="F666" s="32"/>
    </row>
    <row r="667" spans="2:6">
      <c r="B667" s="32"/>
      <c r="C667" s="32"/>
      <c r="D667" s="32"/>
      <c r="E667" s="32"/>
      <c r="F667" s="32"/>
    </row>
    <row r="668" spans="2:6">
      <c r="B668" s="32"/>
      <c r="C668" s="32"/>
      <c r="D668" s="32"/>
      <c r="E668" s="32"/>
      <c r="F668" s="32"/>
    </row>
    <row r="669" spans="2:6">
      <c r="B669" s="32"/>
      <c r="C669" s="32"/>
      <c r="D669" s="32"/>
      <c r="E669" s="32"/>
      <c r="F669" s="32"/>
    </row>
    <row r="670" spans="2:6">
      <c r="B670" s="32"/>
      <c r="C670" s="32"/>
      <c r="D670" s="32"/>
      <c r="E670" s="32"/>
      <c r="F670" s="32"/>
    </row>
    <row r="671" spans="2:6">
      <c r="B671" s="32"/>
      <c r="C671" s="32"/>
      <c r="D671" s="32"/>
      <c r="E671" s="32"/>
      <c r="F671" s="32"/>
    </row>
    <row r="672" spans="2:6">
      <c r="B672" s="32"/>
      <c r="C672" s="32"/>
      <c r="D672" s="32"/>
      <c r="E672" s="32"/>
      <c r="F672" s="32"/>
    </row>
    <row r="673" spans="2:6">
      <c r="B673" s="32"/>
      <c r="C673" s="32"/>
      <c r="D673" s="32"/>
      <c r="E673" s="32"/>
      <c r="F673" s="32"/>
    </row>
    <row r="674" spans="2:6">
      <c r="B674" s="32"/>
      <c r="C674" s="32"/>
      <c r="D674" s="32"/>
      <c r="E674" s="32"/>
      <c r="F674" s="32"/>
    </row>
    <row r="675" spans="2:6">
      <c r="B675" s="32"/>
      <c r="C675" s="32"/>
      <c r="D675" s="32"/>
      <c r="E675" s="32"/>
      <c r="F675" s="32"/>
    </row>
    <row r="676" spans="2:6">
      <c r="B676" s="32"/>
      <c r="C676" s="32"/>
      <c r="D676" s="32"/>
      <c r="E676" s="32"/>
      <c r="F676" s="32"/>
    </row>
    <row r="677" spans="2:6">
      <c r="B677" s="32"/>
      <c r="C677" s="32"/>
      <c r="D677" s="32"/>
      <c r="E677" s="32"/>
      <c r="F677" s="32"/>
    </row>
    <row r="678" spans="2:6">
      <c r="B678" s="32"/>
      <c r="C678" s="32"/>
      <c r="D678" s="32"/>
      <c r="E678" s="32"/>
      <c r="F678" s="32"/>
    </row>
    <row r="679" spans="2:6">
      <c r="B679" s="32"/>
      <c r="C679" s="32"/>
      <c r="D679" s="32"/>
      <c r="E679" s="32"/>
      <c r="F679" s="32"/>
    </row>
    <row r="680" spans="2:6">
      <c r="B680" s="32"/>
      <c r="C680" s="32"/>
      <c r="D680" s="32"/>
      <c r="E680" s="32"/>
      <c r="F680" s="32"/>
    </row>
    <row r="681" spans="2:6">
      <c r="B681" s="32"/>
      <c r="C681" s="32"/>
      <c r="D681" s="32"/>
      <c r="E681" s="32"/>
      <c r="F681" s="32"/>
    </row>
    <row r="682" spans="2:6">
      <c r="B682" s="32"/>
      <c r="C682" s="32"/>
      <c r="D682" s="32"/>
      <c r="E682" s="32"/>
      <c r="F682" s="32"/>
    </row>
    <row r="683" spans="2:6">
      <c r="B683" s="32"/>
      <c r="C683" s="32"/>
      <c r="D683" s="32"/>
      <c r="E683" s="32"/>
      <c r="F683" s="32"/>
    </row>
    <row r="684" spans="2:6">
      <c r="B684" s="32"/>
      <c r="C684" s="32"/>
      <c r="D684" s="32"/>
      <c r="E684" s="32"/>
      <c r="F684" s="32"/>
    </row>
    <row r="685" spans="2:6">
      <c r="B685" s="32"/>
      <c r="C685" s="32"/>
      <c r="D685" s="32"/>
      <c r="E685" s="32"/>
      <c r="F685" s="32"/>
    </row>
    <row r="686" spans="2:6">
      <c r="B686" s="32"/>
      <c r="C686" s="32"/>
      <c r="D686" s="32"/>
      <c r="E686" s="32"/>
      <c r="F686" s="32"/>
    </row>
    <row r="687" spans="2:6">
      <c r="B687" s="32"/>
      <c r="C687" s="32"/>
      <c r="D687" s="32"/>
      <c r="E687" s="32"/>
      <c r="F687" s="32"/>
    </row>
    <row r="688" spans="2:6">
      <c r="B688" s="32"/>
      <c r="C688" s="32"/>
      <c r="D688" s="32"/>
      <c r="E688" s="32"/>
      <c r="F688" s="32"/>
    </row>
    <row r="689" spans="2:6">
      <c r="B689" s="32"/>
      <c r="C689" s="32"/>
      <c r="D689" s="32"/>
      <c r="E689" s="32"/>
      <c r="F689" s="32"/>
    </row>
    <row r="690" spans="2:6">
      <c r="B690" s="32"/>
    </row>
    <row r="691" spans="2:6">
      <c r="B691" s="32"/>
    </row>
    <row r="692" spans="2:6">
      <c r="B692" s="32"/>
    </row>
    <row r="693" spans="2:6">
      <c r="B693" s="32"/>
    </row>
    <row r="694" spans="2:6">
      <c r="B694" s="32"/>
    </row>
    <row r="695" spans="2:6">
      <c r="B695" s="32"/>
    </row>
    <row r="696" spans="2:6">
      <c r="B696" s="32"/>
    </row>
    <row r="697" spans="2:6">
      <c r="B697" s="32"/>
    </row>
    <row r="698" spans="2:6">
      <c r="B698" s="32"/>
    </row>
    <row r="699" spans="2:6">
      <c r="B699" s="32"/>
    </row>
    <row r="700" spans="2:6">
      <c r="B700" s="32"/>
    </row>
    <row r="701" spans="2:6">
      <c r="B701" s="32"/>
    </row>
    <row r="702" spans="2:6">
      <c r="B702" s="32"/>
    </row>
    <row r="703" spans="2:6">
      <c r="B703" s="32"/>
    </row>
    <row r="704" spans="2:6">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row r="1001" spans="2:2">
      <c r="B1001" s="32"/>
    </row>
    <row r="1002" spans="2:2">
      <c r="B1002" s="32"/>
    </row>
    <row r="1003" spans="2:2">
      <c r="B1003" s="32"/>
    </row>
    <row r="1004" spans="2:2">
      <c r="B1004" s="32"/>
    </row>
    <row r="1005" spans="2:2">
      <c r="B1005" s="32"/>
    </row>
    <row r="1006" spans="2:2">
      <c r="B1006" s="32"/>
    </row>
    <row r="1007" spans="2:2">
      <c r="B1007" s="32"/>
    </row>
    <row r="1008" spans="2:2">
      <c r="B1008" s="32"/>
    </row>
    <row r="1009" spans="2:2">
      <c r="B1009" s="32"/>
    </row>
    <row r="1010" spans="2:2">
      <c r="B1010" s="32"/>
    </row>
    <row r="1011" spans="2:2">
      <c r="B1011" s="32"/>
    </row>
    <row r="1012" spans="2:2">
      <c r="B1012" s="32"/>
    </row>
    <row r="1013" spans="2:2">
      <c r="B1013" s="32"/>
    </row>
    <row r="1014" spans="2:2">
      <c r="B1014" s="32"/>
    </row>
    <row r="1015" spans="2:2">
      <c r="B1015" s="32"/>
    </row>
    <row r="1016" spans="2:2">
      <c r="B1016" s="32"/>
    </row>
    <row r="1017" spans="2:2">
      <c r="B1017" s="32"/>
    </row>
    <row r="1018" spans="2:2">
      <c r="B1018" s="32"/>
    </row>
    <row r="1019" spans="2:2">
      <c r="B1019" s="32"/>
    </row>
    <row r="1020" spans="2:2">
      <c r="B1020" s="32"/>
    </row>
    <row r="1021" spans="2:2">
      <c r="B1021" s="32"/>
    </row>
    <row r="1022" spans="2:2">
      <c r="B1022" s="32"/>
    </row>
    <row r="1023" spans="2:2">
      <c r="B1023" s="32"/>
    </row>
    <row r="1024" spans="2:2">
      <c r="B1024" s="32"/>
    </row>
    <row r="1025" spans="2:2">
      <c r="B1025" s="32"/>
    </row>
    <row r="1026" spans="2:2">
      <c r="B1026" s="32"/>
    </row>
    <row r="1027" spans="2:2">
      <c r="B1027" s="32"/>
    </row>
    <row r="1028" spans="2:2">
      <c r="B1028" s="32"/>
    </row>
    <row r="1029" spans="2:2">
      <c r="B1029" s="32"/>
    </row>
    <row r="1030" spans="2:2">
      <c r="B1030" s="32"/>
    </row>
    <row r="1031" spans="2:2">
      <c r="B1031" s="32"/>
    </row>
    <row r="1032" spans="2:2">
      <c r="B1032" s="32"/>
    </row>
    <row r="1033" spans="2:2">
      <c r="B1033" s="32"/>
    </row>
    <row r="1034" spans="2:2">
      <c r="B1034" s="32"/>
    </row>
    <row r="1035" spans="2:2">
      <c r="B1035" s="32"/>
    </row>
    <row r="1036" spans="2:2">
      <c r="B1036" s="32"/>
    </row>
    <row r="1037" spans="2:2">
      <c r="B1037" s="32"/>
    </row>
    <row r="1038" spans="2:2">
      <c r="B1038" s="32"/>
    </row>
    <row r="1039" spans="2:2">
      <c r="B1039" s="32"/>
    </row>
    <row r="1040" spans="2:2">
      <c r="B1040" s="32"/>
    </row>
    <row r="1041" spans="2:2">
      <c r="B1041" s="32"/>
    </row>
    <row r="1042" spans="2:2">
      <c r="B1042" s="32"/>
    </row>
    <row r="1043" spans="2:2">
      <c r="B1043" s="32"/>
    </row>
    <row r="1044" spans="2:2">
      <c r="B1044" s="32"/>
    </row>
    <row r="1045" spans="2:2">
      <c r="B1045" s="32"/>
    </row>
    <row r="1046" spans="2:2">
      <c r="B1046" s="32"/>
    </row>
    <row r="1047" spans="2:2">
      <c r="B1047" s="32"/>
    </row>
    <row r="1048" spans="2:2">
      <c r="B1048" s="32"/>
    </row>
    <row r="1049" spans="2:2">
      <c r="B1049" s="32"/>
    </row>
    <row r="1050" spans="2:2">
      <c r="B1050" s="32"/>
    </row>
    <row r="1051" spans="2:2">
      <c r="B1051" s="32"/>
    </row>
    <row r="1052" spans="2:2">
      <c r="B1052" s="32"/>
    </row>
    <row r="1053" spans="2:2">
      <c r="B1053" s="32"/>
    </row>
    <row r="1054" spans="2:2">
      <c r="B1054" s="32"/>
    </row>
    <row r="1055" spans="2:2">
      <c r="B1055" s="32"/>
    </row>
    <row r="1056" spans="2:2">
      <c r="B1056" s="32"/>
    </row>
    <row r="1057" spans="2:2">
      <c r="B1057" s="32"/>
    </row>
    <row r="1058" spans="2:2">
      <c r="B1058" s="32"/>
    </row>
    <row r="1059" spans="2:2">
      <c r="B1059" s="32"/>
    </row>
    <row r="1060" spans="2:2">
      <c r="B1060" s="32"/>
    </row>
    <row r="1061" spans="2:2">
      <c r="B1061" s="32"/>
    </row>
    <row r="1062" spans="2:2">
      <c r="B1062" s="32"/>
    </row>
    <row r="1063" spans="2:2">
      <c r="B1063" s="32"/>
    </row>
    <row r="1064" spans="2:2">
      <c r="B1064" s="32"/>
    </row>
    <row r="1065" spans="2:2">
      <c r="B1065" s="32"/>
    </row>
    <row r="1066" spans="2:2">
      <c r="B1066" s="32"/>
    </row>
    <row r="1067" spans="2:2">
      <c r="B1067" s="32"/>
    </row>
    <row r="1068" spans="2:2">
      <c r="B1068" s="32"/>
    </row>
    <row r="1069" spans="2:2">
      <c r="B1069" s="32"/>
    </row>
    <row r="1070" spans="2:2">
      <c r="B1070" s="32"/>
    </row>
    <row r="1071" spans="2:2">
      <c r="B1071" s="32"/>
    </row>
    <row r="1072" spans="2:2">
      <c r="B1072" s="32"/>
    </row>
    <row r="1073" spans="2:2">
      <c r="B1073" s="32"/>
    </row>
    <row r="1074" spans="2:2">
      <c r="B1074" s="32"/>
    </row>
    <row r="1075" spans="2:2">
      <c r="B1075" s="32"/>
    </row>
    <row r="1076" spans="2:2">
      <c r="B1076" s="32"/>
    </row>
    <row r="1077" spans="2:2">
      <c r="B1077" s="32"/>
    </row>
    <row r="1078" spans="2:2">
      <c r="B1078" s="32"/>
    </row>
    <row r="1079" spans="2:2">
      <c r="B1079" s="32"/>
    </row>
    <row r="1080" spans="2:2">
      <c r="B1080" s="32"/>
    </row>
    <row r="1081" spans="2:2">
      <c r="B1081" s="32"/>
    </row>
    <row r="1082" spans="2:2">
      <c r="B1082" s="32"/>
    </row>
    <row r="1083" spans="2:2">
      <c r="B1083" s="32"/>
    </row>
    <row r="1084" spans="2:2">
      <c r="B1084" s="32"/>
    </row>
    <row r="1085" spans="2:2">
      <c r="B1085" s="32"/>
    </row>
    <row r="1086" spans="2:2">
      <c r="B1086" s="32"/>
    </row>
    <row r="1087" spans="2:2">
      <c r="B1087" s="32"/>
    </row>
    <row r="1088" spans="2:2">
      <c r="B1088" s="32"/>
    </row>
    <row r="1089" spans="2:2">
      <c r="B1089" s="32"/>
    </row>
    <row r="1090" spans="2:2">
      <c r="B1090" s="32"/>
    </row>
    <row r="1091" spans="2:2">
      <c r="B1091" s="32"/>
    </row>
    <row r="1092" spans="2:2">
      <c r="B1092" s="32"/>
    </row>
    <row r="1093" spans="2:2">
      <c r="B1093" s="32"/>
    </row>
    <row r="1094" spans="2:2">
      <c r="B1094" s="32"/>
    </row>
    <row r="1095" spans="2:2">
      <c r="B1095" s="32"/>
    </row>
    <row r="1096" spans="2:2">
      <c r="B1096" s="32"/>
    </row>
    <row r="1097" spans="2:2">
      <c r="B1097" s="32"/>
    </row>
    <row r="1098" spans="2:2">
      <c r="B1098" s="32"/>
    </row>
    <row r="1099" spans="2:2">
      <c r="B1099" s="32"/>
    </row>
    <row r="1100" spans="2:2">
      <c r="B1100" s="32"/>
    </row>
    <row r="1101" spans="2:2">
      <c r="B1101" s="32"/>
    </row>
    <row r="1102" spans="2:2">
      <c r="B1102" s="32"/>
    </row>
    <row r="1103" spans="2:2">
      <c r="B1103" s="32"/>
    </row>
    <row r="1104" spans="2:2">
      <c r="B1104" s="32"/>
    </row>
    <row r="1105" spans="2:2">
      <c r="B1105" s="32"/>
    </row>
    <row r="1106" spans="2:2">
      <c r="B1106" s="32"/>
    </row>
    <row r="1107" spans="2:2">
      <c r="B1107" s="32"/>
    </row>
    <row r="1108" spans="2:2">
      <c r="B1108" s="32"/>
    </row>
    <row r="1109" spans="2:2">
      <c r="B1109" s="32"/>
    </row>
    <row r="1110" spans="2:2">
      <c r="B1110" s="32"/>
    </row>
    <row r="1111" spans="2:2">
      <c r="B1111" s="32"/>
    </row>
    <row r="1112" spans="2:2">
      <c r="B1112" s="32"/>
    </row>
    <row r="1113" spans="2:2">
      <c r="B1113" s="32"/>
    </row>
    <row r="1114" spans="2:2">
      <c r="B1114" s="32"/>
    </row>
    <row r="1115" spans="2:2">
      <c r="B1115" s="32"/>
    </row>
    <row r="1116" spans="2:2">
      <c r="B1116" s="32"/>
    </row>
    <row r="1117" spans="2:2">
      <c r="B1117" s="32"/>
    </row>
    <row r="1118" spans="2:2">
      <c r="B1118" s="32"/>
    </row>
    <row r="1119" spans="2:2">
      <c r="B1119" s="32"/>
    </row>
    <row r="1120" spans="2:2">
      <c r="B1120" s="32"/>
    </row>
    <row r="1121" spans="2:2">
      <c r="B1121" s="32"/>
    </row>
    <row r="1122" spans="2:2">
      <c r="B1122" s="32"/>
    </row>
    <row r="1123" spans="2:2">
      <c r="B1123" s="32"/>
    </row>
    <row r="1124" spans="2:2">
      <c r="B1124" s="32"/>
    </row>
    <row r="1125" spans="2:2">
      <c r="B1125" s="32"/>
    </row>
    <row r="1126" spans="2:2">
      <c r="B1126" s="32"/>
    </row>
    <row r="1127" spans="2:2">
      <c r="B1127" s="32"/>
    </row>
    <row r="1128" spans="2:2">
      <c r="B1128" s="32"/>
    </row>
    <row r="1129" spans="2:2">
      <c r="B1129" s="32"/>
    </row>
    <row r="1130" spans="2:2">
      <c r="B1130" s="32"/>
    </row>
    <row r="1131" spans="2:2">
      <c r="B1131" s="32"/>
    </row>
    <row r="1132" spans="2:2">
      <c r="B1132" s="32"/>
    </row>
    <row r="1133" spans="2:2">
      <c r="B1133" s="32"/>
    </row>
    <row r="1134" spans="2:2">
      <c r="B1134" s="32"/>
    </row>
    <row r="1135" spans="2:2">
      <c r="B1135" s="32"/>
    </row>
    <row r="1136" spans="2:2">
      <c r="B1136" s="32"/>
    </row>
    <row r="1137" spans="2:2">
      <c r="B1137" s="32"/>
    </row>
    <row r="1138" spans="2:2">
      <c r="B1138" s="32"/>
    </row>
    <row r="1139" spans="2:2">
      <c r="B1139" s="32"/>
    </row>
    <row r="1140" spans="2:2">
      <c r="B1140" s="32"/>
    </row>
    <row r="1141" spans="2:2">
      <c r="B1141" s="32"/>
    </row>
    <row r="1142" spans="2:2">
      <c r="B1142" s="32"/>
    </row>
    <row r="1143" spans="2:2">
      <c r="B1143" s="32"/>
    </row>
    <row r="1144" spans="2:2">
      <c r="B1144" s="32"/>
    </row>
    <row r="1145" spans="2:2">
      <c r="B1145" s="32"/>
    </row>
    <row r="1146" spans="2:2">
      <c r="B1146" s="32"/>
    </row>
    <row r="1147" spans="2:2">
      <c r="B1147" s="32"/>
    </row>
    <row r="1148" spans="2:2">
      <c r="B1148" s="32"/>
    </row>
    <row r="1149" spans="2:2">
      <c r="B1149" s="32"/>
    </row>
    <row r="1150" spans="2:2">
      <c r="B1150" s="32"/>
    </row>
    <row r="1151" spans="2:2">
      <c r="B1151" s="32"/>
    </row>
    <row r="1152" spans="2:2">
      <c r="B1152" s="32"/>
    </row>
    <row r="1153" spans="2:2">
      <c r="B1153" s="32"/>
    </row>
    <row r="1154" spans="2:2">
      <c r="B1154" s="32"/>
    </row>
    <row r="1155" spans="2:2">
      <c r="B1155" s="32"/>
    </row>
    <row r="1156" spans="2:2">
      <c r="B1156" s="32"/>
    </row>
    <row r="1157" spans="2:2">
      <c r="B1157" s="32"/>
    </row>
    <row r="1158" spans="2:2">
      <c r="B1158" s="32"/>
    </row>
    <row r="1159" spans="2:2">
      <c r="B1159" s="32"/>
    </row>
    <row r="1160" spans="2:2">
      <c r="B1160" s="32"/>
    </row>
    <row r="1161" spans="2:2">
      <c r="B1161" s="32"/>
    </row>
    <row r="1162" spans="2:2">
      <c r="B1162" s="32"/>
    </row>
    <row r="1163" spans="2:2">
      <c r="B1163" s="32"/>
    </row>
    <row r="1164" spans="2:2">
      <c r="B1164" s="32"/>
    </row>
    <row r="1165" spans="2:2">
      <c r="B1165" s="32"/>
    </row>
    <row r="1166" spans="2:2">
      <c r="B1166" s="32"/>
    </row>
    <row r="1167" spans="2:2">
      <c r="B1167" s="32"/>
    </row>
    <row r="1168" spans="2:2">
      <c r="B1168" s="32"/>
    </row>
    <row r="1169" spans="2:2">
      <c r="B1169" s="32"/>
    </row>
    <row r="1170" spans="2:2">
      <c r="B1170" s="32"/>
    </row>
    <row r="1171" spans="2:2">
      <c r="B1171" s="32"/>
    </row>
    <row r="1172" spans="2:2">
      <c r="B1172" s="32"/>
    </row>
    <row r="1173" spans="2:2">
      <c r="B1173" s="32"/>
    </row>
    <row r="1174" spans="2:2">
      <c r="B1174" s="32"/>
    </row>
    <row r="1175" spans="2:2">
      <c r="B1175" s="32"/>
    </row>
    <row r="1176" spans="2:2">
      <c r="B1176" s="32"/>
    </row>
    <row r="1177" spans="2:2">
      <c r="B1177" s="32"/>
    </row>
    <row r="1178" spans="2:2">
      <c r="B1178" s="32"/>
    </row>
    <row r="1179" spans="2:2">
      <c r="B1179" s="32"/>
    </row>
    <row r="1180" spans="2:2">
      <c r="B1180" s="32"/>
    </row>
    <row r="1181" spans="2:2">
      <c r="B1181" s="32"/>
    </row>
    <row r="1182" spans="2:2">
      <c r="B1182" s="32"/>
    </row>
    <row r="1183" spans="2:2">
      <c r="B1183" s="32"/>
    </row>
    <row r="1184" spans="2:2">
      <c r="B1184" s="32"/>
    </row>
    <row r="1185" spans="2:2">
      <c r="B1185" s="32"/>
    </row>
    <row r="1186" spans="2:2">
      <c r="B1186" s="32"/>
    </row>
    <row r="1187" spans="2:2">
      <c r="B1187" s="32"/>
    </row>
    <row r="1188" spans="2:2">
      <c r="B1188" s="32"/>
    </row>
    <row r="1189" spans="2:2">
      <c r="B1189" s="32"/>
    </row>
    <row r="1190" spans="2:2">
      <c r="B1190" s="32"/>
    </row>
    <row r="1191" spans="2:2">
      <c r="B1191" s="32"/>
    </row>
    <row r="1192" spans="2:2">
      <c r="B1192" s="32"/>
    </row>
    <row r="1193" spans="2:2">
      <c r="B1193" s="32"/>
    </row>
    <row r="1194" spans="2:2">
      <c r="B1194" s="32"/>
    </row>
    <row r="1195" spans="2:2">
      <c r="B1195" s="32"/>
    </row>
    <row r="1196" spans="2:2">
      <c r="B1196" s="32"/>
    </row>
    <row r="1197" spans="2:2">
      <c r="B1197" s="32"/>
    </row>
    <row r="1198" spans="2:2">
      <c r="B1198" s="32"/>
    </row>
    <row r="1199" spans="2:2">
      <c r="B1199" s="32"/>
    </row>
    <row r="1200" spans="2:2">
      <c r="B1200" s="32"/>
    </row>
    <row r="1201" spans="2:2">
      <c r="B1201" s="32"/>
    </row>
    <row r="1202" spans="2:2">
      <c r="B1202" s="32"/>
    </row>
    <row r="1203" spans="2:2">
      <c r="B1203" s="32"/>
    </row>
    <row r="1204" spans="2:2">
      <c r="B1204" s="32"/>
    </row>
    <row r="1205" spans="2:2">
      <c r="B1205" s="32"/>
    </row>
    <row r="1206" spans="2:2">
      <c r="B1206" s="32"/>
    </row>
    <row r="1207" spans="2:2">
      <c r="B1207" s="32"/>
    </row>
    <row r="1208" spans="2:2">
      <c r="B1208" s="32"/>
    </row>
    <row r="1209" spans="2:2">
      <c r="B1209" s="32"/>
    </row>
    <row r="1210" spans="2:2">
      <c r="B1210" s="32"/>
    </row>
    <row r="1211" spans="2:2">
      <c r="B1211" s="32"/>
    </row>
    <row r="1212" spans="2:2">
      <c r="B1212" s="32"/>
    </row>
    <row r="1213" spans="2:2">
      <c r="B1213" s="32"/>
    </row>
    <row r="1214" spans="2:2">
      <c r="B1214" s="32"/>
    </row>
    <row r="1215" spans="2:2">
      <c r="B1215" s="32"/>
    </row>
    <row r="1216" spans="2:2">
      <c r="B1216" s="32"/>
    </row>
    <row r="1217" spans="2:2">
      <c r="B1217" s="32"/>
    </row>
    <row r="1218" spans="2:2">
      <c r="B1218" s="32"/>
    </row>
    <row r="1219" spans="2:2">
      <c r="B1219" s="32"/>
    </row>
    <row r="1220" spans="2:2">
      <c r="B1220" s="32"/>
    </row>
    <row r="1221" spans="2:2">
      <c r="B1221" s="32"/>
    </row>
    <row r="1222" spans="2:2">
      <c r="B1222" s="32"/>
    </row>
    <row r="1223" spans="2:2">
      <c r="B1223" s="32"/>
    </row>
    <row r="1224" spans="2:2">
      <c r="B1224" s="32"/>
    </row>
    <row r="1225" spans="2:2">
      <c r="B1225" s="32"/>
    </row>
    <row r="1226" spans="2:2">
      <c r="B1226" s="32"/>
    </row>
    <row r="1227" spans="2:2">
      <c r="B1227" s="32"/>
    </row>
    <row r="1228" spans="2:2">
      <c r="B1228" s="32"/>
    </row>
    <row r="1229" spans="2:2">
      <c r="B1229" s="32"/>
    </row>
    <row r="1230" spans="2:2">
      <c r="B1230" s="32"/>
    </row>
    <row r="1231" spans="2:2">
      <c r="B1231" s="32"/>
    </row>
    <row r="1232" spans="2:2">
      <c r="B1232" s="32"/>
    </row>
    <row r="1233" spans="2:2">
      <c r="B1233" s="32"/>
    </row>
    <row r="1234" spans="2:2">
      <c r="B1234" s="32"/>
    </row>
    <row r="1235" spans="2:2">
      <c r="B1235" s="32"/>
    </row>
    <row r="1236" spans="2:2">
      <c r="B1236" s="32"/>
    </row>
    <row r="1237" spans="2:2">
      <c r="B1237" s="32"/>
    </row>
    <row r="1238" spans="2:2">
      <c r="B1238" s="32"/>
    </row>
    <row r="1239" spans="2:2">
      <c r="B1239" s="32"/>
    </row>
    <row r="1240" spans="2:2">
      <c r="B1240" s="32"/>
    </row>
    <row r="1241" spans="2:2">
      <c r="B1241" s="32"/>
    </row>
    <row r="1242" spans="2:2">
      <c r="B1242" s="32"/>
    </row>
    <row r="1243" spans="2:2">
      <c r="B1243" s="32"/>
    </row>
    <row r="1244" spans="2:2">
      <c r="B1244" s="32"/>
    </row>
    <row r="1245" spans="2:2">
      <c r="B1245" s="32"/>
    </row>
    <row r="1246" spans="2:2">
      <c r="B1246" s="32"/>
    </row>
    <row r="1247" spans="2:2">
      <c r="B1247" s="32"/>
    </row>
    <row r="1248" spans="2:2">
      <c r="B1248" s="32"/>
    </row>
    <row r="1249" spans="2:2">
      <c r="B1249" s="32"/>
    </row>
    <row r="1250" spans="2:2">
      <c r="B1250" s="32"/>
    </row>
    <row r="1251" spans="2:2">
      <c r="B1251" s="32"/>
    </row>
    <row r="1252" spans="2:2">
      <c r="B1252" s="32"/>
    </row>
    <row r="1253" spans="2:2">
      <c r="B1253" s="32"/>
    </row>
    <row r="1254" spans="2:2">
      <c r="B1254" s="32"/>
    </row>
    <row r="1255" spans="2:2">
      <c r="B1255" s="32"/>
    </row>
    <row r="1256" spans="2:2">
      <c r="B1256" s="32"/>
    </row>
    <row r="1257" spans="2:2">
      <c r="B1257" s="32"/>
    </row>
    <row r="1258" spans="2:2">
      <c r="B1258" s="32"/>
    </row>
    <row r="1259" spans="2:2">
      <c r="B1259" s="32"/>
    </row>
    <row r="1260" spans="2:2">
      <c r="B1260" s="32"/>
    </row>
    <row r="1261" spans="2:2">
      <c r="B1261" s="32"/>
    </row>
    <row r="1262" spans="2:2">
      <c r="B1262" s="32"/>
    </row>
    <row r="1263" spans="2:2">
      <c r="B1263" s="32"/>
    </row>
    <row r="1264" spans="2:2">
      <c r="B1264" s="32"/>
    </row>
    <row r="1265" spans="2:2">
      <c r="B1265" s="32"/>
    </row>
    <row r="1266" spans="2:2">
      <c r="B1266" s="32"/>
    </row>
    <row r="1267" spans="2:2">
      <c r="B1267" s="32"/>
    </row>
    <row r="1268" spans="2:2">
      <c r="B1268" s="32"/>
    </row>
    <row r="1269" spans="2:2">
      <c r="B1269" s="32"/>
    </row>
    <row r="1270" spans="2:2">
      <c r="B1270" s="32"/>
    </row>
    <row r="1271" spans="2:2">
      <c r="B1271" s="32"/>
    </row>
    <row r="1272" spans="2:2">
      <c r="B1272" s="32"/>
    </row>
    <row r="1273" spans="2:2">
      <c r="B1273" s="32"/>
    </row>
    <row r="1274" spans="2:2">
      <c r="B1274" s="32"/>
    </row>
    <row r="1275" spans="2:2">
      <c r="B1275" s="32"/>
    </row>
    <row r="1276" spans="2:2">
      <c r="B1276" s="32"/>
    </row>
    <row r="1277" spans="2:2">
      <c r="B1277" s="32"/>
    </row>
    <row r="1278" spans="2:2">
      <c r="B1278" s="32"/>
    </row>
    <row r="1279" spans="2:2">
      <c r="B1279" s="32"/>
    </row>
    <row r="1280" spans="2:2">
      <c r="B1280" s="32"/>
    </row>
    <row r="1281" spans="2:2">
      <c r="B1281" s="32"/>
    </row>
    <row r="1282" spans="2:2">
      <c r="B1282" s="32"/>
    </row>
    <row r="1283" spans="2:2">
      <c r="B1283" s="32"/>
    </row>
    <row r="1284" spans="2:2">
      <c r="B1284" s="32"/>
    </row>
    <row r="1285" spans="2:2">
      <c r="B1285" s="32"/>
    </row>
    <row r="1286" spans="2:2">
      <c r="B1286" s="32"/>
    </row>
    <row r="1287" spans="2:2">
      <c r="B1287" s="32"/>
    </row>
    <row r="1288" spans="2:2">
      <c r="B1288" s="32"/>
    </row>
    <row r="1289" spans="2:2">
      <c r="B1289" s="32"/>
    </row>
    <row r="1290" spans="2:2">
      <c r="B1290" s="32"/>
    </row>
    <row r="1291" spans="2:2">
      <c r="B1291" s="32"/>
    </row>
    <row r="1292" spans="2:2">
      <c r="B1292" s="32"/>
    </row>
    <row r="1293" spans="2:2">
      <c r="B1293" s="32"/>
    </row>
    <row r="1294" spans="2:2">
      <c r="B1294" s="32"/>
    </row>
    <row r="1295" spans="2:2">
      <c r="B1295" s="32"/>
    </row>
    <row r="1296" spans="2:2">
      <c r="B1296" s="32"/>
    </row>
    <row r="1297" spans="2:2">
      <c r="B1297" s="32"/>
    </row>
    <row r="1298" spans="2:2">
      <c r="B1298" s="32"/>
    </row>
    <row r="1299" spans="2:2">
      <c r="B1299" s="32"/>
    </row>
    <row r="1300" spans="2:2">
      <c r="B1300" s="32"/>
    </row>
    <row r="1301" spans="2:2">
      <c r="B1301" s="32"/>
    </row>
    <row r="1302" spans="2:2">
      <c r="B1302" s="32"/>
    </row>
    <row r="1303" spans="2:2">
      <c r="B1303" s="32"/>
    </row>
    <row r="1304" spans="2:2">
      <c r="B1304" s="32"/>
    </row>
    <row r="1305" spans="2:2">
      <c r="B1305" s="32"/>
    </row>
    <row r="1306" spans="2:2">
      <c r="B1306" s="32"/>
    </row>
    <row r="1307" spans="2:2">
      <c r="B1307" s="32"/>
    </row>
    <row r="1308" spans="2:2">
      <c r="B1308" s="32"/>
    </row>
    <row r="1309" spans="2:2">
      <c r="B1309" s="32"/>
    </row>
    <row r="1310" spans="2:2">
      <c r="B1310" s="32"/>
    </row>
    <row r="1311" spans="2:2">
      <c r="B1311" s="32"/>
    </row>
    <row r="1312" spans="2:2">
      <c r="B1312" s="32"/>
    </row>
    <row r="1313" spans="2:2">
      <c r="B1313" s="32"/>
    </row>
    <row r="1314" spans="2:2">
      <c r="B1314" s="32"/>
    </row>
    <row r="1315" spans="2:2">
      <c r="B1315" s="32"/>
    </row>
    <row r="1316" spans="2:2">
      <c r="B1316" s="32"/>
    </row>
    <row r="1317" spans="2:2">
      <c r="B1317" s="32"/>
    </row>
    <row r="1318" spans="2:2">
      <c r="B1318" s="32"/>
    </row>
    <row r="1319" spans="2:2">
      <c r="B1319" s="32"/>
    </row>
    <row r="1320" spans="2:2">
      <c r="B1320" s="32"/>
    </row>
    <row r="1321" spans="2:2">
      <c r="B1321" s="32"/>
    </row>
    <row r="1322" spans="2:2">
      <c r="B1322" s="32"/>
    </row>
    <row r="1323" spans="2:2">
      <c r="B1323" s="32"/>
    </row>
    <row r="1324" spans="2:2">
      <c r="B1324" s="32"/>
    </row>
    <row r="1325" spans="2:2">
      <c r="B1325" s="32"/>
    </row>
    <row r="1326" spans="2:2">
      <c r="B1326" s="32"/>
    </row>
    <row r="1327" spans="2:2">
      <c r="B1327" s="32"/>
    </row>
    <row r="1328" spans="2:2">
      <c r="B1328" s="32"/>
    </row>
    <row r="1329" spans="2:2">
      <c r="B1329" s="32"/>
    </row>
    <row r="1330" spans="2:2">
      <c r="B1330" s="32"/>
    </row>
    <row r="1331" spans="2:2">
      <c r="B1331" s="32"/>
    </row>
    <row r="1332" spans="2:2">
      <c r="B1332" s="32"/>
    </row>
    <row r="1333" spans="2:2">
      <c r="B1333" s="32"/>
    </row>
    <row r="1334" spans="2:2">
      <c r="B1334" s="32"/>
    </row>
    <row r="1335" spans="2:2">
      <c r="B1335" s="32"/>
    </row>
    <row r="1336" spans="2:2">
      <c r="B1336" s="32"/>
    </row>
    <row r="1337" spans="2:2">
      <c r="B1337" s="32"/>
    </row>
    <row r="1338" spans="2:2">
      <c r="B1338" s="32"/>
    </row>
    <row r="1339" spans="2:2">
      <c r="B1339" s="32"/>
    </row>
    <row r="1340" spans="2:2">
      <c r="B1340" s="32"/>
    </row>
    <row r="1341" spans="2:2">
      <c r="B1341" s="32"/>
    </row>
    <row r="1342" spans="2:2">
      <c r="B1342" s="32"/>
    </row>
    <row r="1343" spans="2:2">
      <c r="B1343" s="32"/>
    </row>
    <row r="1344" spans="2:2">
      <c r="B1344" s="32"/>
    </row>
    <row r="1345" spans="2:2">
      <c r="B1345" s="32"/>
    </row>
    <row r="1346" spans="2:2">
      <c r="B1346" s="32"/>
    </row>
    <row r="1347" spans="2:2">
      <c r="B1347" s="32"/>
    </row>
    <row r="1348" spans="2:2">
      <c r="B1348" s="32"/>
    </row>
    <row r="1349" spans="2:2">
      <c r="B1349" s="32"/>
    </row>
    <row r="1350" spans="2:2">
      <c r="B1350" s="32"/>
    </row>
    <row r="1351" spans="2:2">
      <c r="B1351" s="32"/>
    </row>
    <row r="1352" spans="2:2">
      <c r="B1352" s="32"/>
    </row>
    <row r="1353" spans="2:2">
      <c r="B1353" s="32"/>
    </row>
    <row r="1354" spans="2:2">
      <c r="B1354" s="32"/>
    </row>
    <row r="1355" spans="2:2">
      <c r="B1355" s="32"/>
    </row>
    <row r="1356" spans="2:2">
      <c r="B1356" s="32"/>
    </row>
    <row r="1357" spans="2:2">
      <c r="B1357" s="32"/>
    </row>
    <row r="1358" spans="2:2">
      <c r="B1358" s="32"/>
    </row>
    <row r="1359" spans="2:2">
      <c r="B1359" s="32"/>
    </row>
    <row r="1360" spans="2:2">
      <c r="B1360" s="32"/>
    </row>
    <row r="1361" spans="2:2">
      <c r="B1361" s="32"/>
    </row>
    <row r="1362" spans="2:2">
      <c r="B1362" s="32"/>
    </row>
    <row r="1363" spans="2:2">
      <c r="B1363" s="32"/>
    </row>
    <row r="1364" spans="2:2">
      <c r="B1364" s="32"/>
    </row>
    <row r="1365" spans="2:2">
      <c r="B1365" s="32"/>
    </row>
    <row r="1366" spans="2:2">
      <c r="B1366" s="32"/>
    </row>
    <row r="1367" spans="2:2">
      <c r="B1367" s="32"/>
    </row>
    <row r="1368" spans="2:2">
      <c r="B1368" s="32"/>
    </row>
    <row r="1369" spans="2:2">
      <c r="B1369" s="32"/>
    </row>
    <row r="1370" spans="2:2">
      <c r="B1370" s="32"/>
    </row>
    <row r="1371" spans="2:2">
      <c r="B1371" s="32"/>
    </row>
    <row r="1372" spans="2:2">
      <c r="B1372" s="32"/>
    </row>
    <row r="1373" spans="2:2">
      <c r="B1373" s="32"/>
    </row>
    <row r="1374" spans="2:2">
      <c r="B1374" s="32"/>
    </row>
    <row r="1375" spans="2:2">
      <c r="B1375" s="32"/>
    </row>
    <row r="1376" spans="2:2">
      <c r="B1376" s="32"/>
    </row>
    <row r="1377" spans="2:2">
      <c r="B1377" s="32"/>
    </row>
    <row r="1378" spans="2:2">
      <c r="B1378" s="32"/>
    </row>
    <row r="1379" spans="2:2">
      <c r="B1379" s="32"/>
    </row>
    <row r="1380" spans="2:2">
      <c r="B1380" s="32"/>
    </row>
    <row r="1381" spans="2:2">
      <c r="B1381" s="32"/>
    </row>
    <row r="1382" spans="2:2">
      <c r="B1382" s="32"/>
    </row>
    <row r="1383" spans="2:2">
      <c r="B1383" s="32"/>
    </row>
    <row r="1384" spans="2:2">
      <c r="B1384" s="32"/>
    </row>
    <row r="1385" spans="2:2">
      <c r="B1385" s="32"/>
    </row>
    <row r="1386" spans="2:2">
      <c r="B1386" s="32"/>
    </row>
    <row r="1387" spans="2:2">
      <c r="B1387" s="32"/>
    </row>
    <row r="1388" spans="2:2">
      <c r="B1388" s="32"/>
    </row>
    <row r="1389" spans="2:2">
      <c r="B1389" s="32"/>
    </row>
    <row r="1390" spans="2:2">
      <c r="B1390" s="32"/>
    </row>
    <row r="1391" spans="2:2">
      <c r="B1391" s="32"/>
    </row>
    <row r="1392" spans="2:2">
      <c r="B1392" s="32"/>
    </row>
    <row r="1393" spans="2:2">
      <c r="B1393" s="32"/>
    </row>
    <row r="1394" spans="2:2">
      <c r="B1394" s="32"/>
    </row>
    <row r="1395" spans="2:2">
      <c r="B1395" s="32"/>
    </row>
    <row r="1396" spans="2:2">
      <c r="B1396" s="32"/>
    </row>
    <row r="1397" spans="2:2">
      <c r="B1397" s="32"/>
    </row>
    <row r="1398" spans="2:2">
      <c r="B1398" s="32"/>
    </row>
    <row r="1399" spans="2:2">
      <c r="B1399" s="32"/>
    </row>
    <row r="1400" spans="2:2">
      <c r="B1400" s="32"/>
    </row>
    <row r="1401" spans="2:2">
      <c r="B1401" s="32"/>
    </row>
    <row r="1402" spans="2:2">
      <c r="B1402" s="32"/>
    </row>
    <row r="1403" spans="2:2">
      <c r="B1403" s="32"/>
    </row>
    <row r="1404" spans="2:2">
      <c r="B1404" s="32"/>
    </row>
    <row r="1405" spans="2:2">
      <c r="B1405" s="32"/>
    </row>
    <row r="1406" spans="2:2">
      <c r="B1406" s="32"/>
    </row>
    <row r="1407" spans="2:2">
      <c r="B1407" s="32"/>
    </row>
    <row r="1408" spans="2:2">
      <c r="B1408" s="32"/>
    </row>
    <row r="1409" spans="2:2">
      <c r="B1409" s="32"/>
    </row>
    <row r="1410" spans="2:2">
      <c r="B1410" s="32"/>
    </row>
    <row r="1411" spans="2:2">
      <c r="B1411" s="32"/>
    </row>
    <row r="1412" spans="2:2">
      <c r="B1412" s="32"/>
    </row>
    <row r="1413" spans="2:2">
      <c r="B1413" s="32"/>
    </row>
    <row r="1414" spans="2:2">
      <c r="B1414" s="32"/>
    </row>
    <row r="1415" spans="2:2">
      <c r="B1415" s="32"/>
    </row>
    <row r="1416" spans="2:2">
      <c r="B1416" s="32"/>
    </row>
    <row r="1417" spans="2:2">
      <c r="B1417" s="32"/>
    </row>
    <row r="1418" spans="2:2">
      <c r="B1418" s="32"/>
    </row>
    <row r="1419" spans="2:2">
      <c r="B1419" s="32"/>
    </row>
    <row r="1420" spans="2:2">
      <c r="B1420" s="32"/>
    </row>
    <row r="1421" spans="2:2">
      <c r="B1421" s="32"/>
    </row>
    <row r="1422" spans="2:2">
      <c r="B1422" s="32"/>
    </row>
    <row r="1423" spans="2:2">
      <c r="B1423" s="32"/>
    </row>
    <row r="1424" spans="2:2">
      <c r="B1424" s="32"/>
    </row>
    <row r="1425" spans="2:2">
      <c r="B1425" s="32"/>
    </row>
    <row r="1426" spans="2:2">
      <c r="B1426" s="32"/>
    </row>
    <row r="1427" spans="2:2">
      <c r="B1427" s="32"/>
    </row>
    <row r="1428" spans="2:2">
      <c r="B1428" s="32"/>
    </row>
    <row r="1429" spans="2:2">
      <c r="B1429" s="32"/>
    </row>
    <row r="1430" spans="2:2">
      <c r="B1430" s="32"/>
    </row>
    <row r="1431" spans="2:2">
      <c r="B1431" s="32"/>
    </row>
    <row r="1432" spans="2:2">
      <c r="B1432" s="32"/>
    </row>
    <row r="1433" spans="2:2">
      <c r="B1433" s="32"/>
    </row>
    <row r="1434" spans="2:2">
      <c r="B1434" s="32"/>
    </row>
    <row r="1435" spans="2:2">
      <c r="B1435" s="32"/>
    </row>
    <row r="1436" spans="2:2">
      <c r="B1436" s="32"/>
    </row>
    <row r="1437" spans="2:2">
      <c r="B1437" s="32"/>
    </row>
    <row r="1438" spans="2:2">
      <c r="B1438" s="32"/>
    </row>
    <row r="1439" spans="2:2">
      <c r="B1439" s="32"/>
    </row>
    <row r="1440" spans="2:2">
      <c r="B1440" s="32"/>
    </row>
    <row r="1441" spans="2:2">
      <c r="B1441" s="32"/>
    </row>
    <row r="1442" spans="2:2">
      <c r="B1442" s="32"/>
    </row>
    <row r="1443" spans="2:2">
      <c r="B1443" s="32"/>
    </row>
    <row r="1444" spans="2:2">
      <c r="B1444" s="32"/>
    </row>
    <row r="1445" spans="2:2">
      <c r="B1445" s="32"/>
    </row>
    <row r="1446" spans="2:2">
      <c r="B1446" s="32"/>
    </row>
    <row r="1447" spans="2:2">
      <c r="B1447" s="32"/>
    </row>
    <row r="1448" spans="2:2">
      <c r="B1448" s="32"/>
    </row>
    <row r="1449" spans="2:2">
      <c r="B1449" s="32"/>
    </row>
    <row r="1450" spans="2:2">
      <c r="B1450" s="32"/>
    </row>
    <row r="1451" spans="2:2">
      <c r="B1451" s="32"/>
    </row>
    <row r="1452" spans="2:2">
      <c r="B1452" s="32"/>
    </row>
    <row r="1453" spans="2:2">
      <c r="B1453" s="32"/>
    </row>
    <row r="1454" spans="2:2">
      <c r="B1454" s="32"/>
    </row>
    <row r="1455" spans="2:2">
      <c r="B1455" s="32"/>
    </row>
    <row r="1456" spans="2:2">
      <c r="B1456" s="32"/>
    </row>
    <row r="1457" spans="2:2">
      <c r="B1457" s="32"/>
    </row>
    <row r="1458" spans="2:2">
      <c r="B1458" s="32"/>
    </row>
    <row r="1459" spans="2:2">
      <c r="B1459" s="32"/>
    </row>
    <row r="1460" spans="2:2">
      <c r="B1460" s="32"/>
    </row>
    <row r="1461" spans="2:2">
      <c r="B1461" s="32"/>
    </row>
    <row r="1462" spans="2:2">
      <c r="B1462" s="32"/>
    </row>
    <row r="1463" spans="2:2">
      <c r="B1463" s="32"/>
    </row>
    <row r="1464" spans="2:2">
      <c r="B1464" s="32"/>
    </row>
    <row r="1465" spans="2:2">
      <c r="B1465" s="32"/>
    </row>
    <row r="1466" spans="2:2">
      <c r="B1466" s="32"/>
    </row>
    <row r="1467" spans="2:2">
      <c r="B1467" s="32"/>
    </row>
    <row r="1468" spans="2:2">
      <c r="B1468" s="32"/>
    </row>
    <row r="1469" spans="2:2">
      <c r="B1469" s="32"/>
    </row>
    <row r="1470" spans="2:2">
      <c r="B1470" s="32"/>
    </row>
    <row r="1471" spans="2:2">
      <c r="B1471" s="32"/>
    </row>
    <row r="1472" spans="2:2">
      <c r="B1472" s="32"/>
    </row>
    <row r="1473" spans="2:2">
      <c r="B1473" s="32"/>
    </row>
    <row r="1474" spans="2:2">
      <c r="B1474" s="32"/>
    </row>
    <row r="1475" spans="2:2">
      <c r="B1475" s="32"/>
    </row>
    <row r="1476" spans="2:2">
      <c r="B1476" s="32"/>
    </row>
    <row r="1477" spans="2:2">
      <c r="B1477" s="32"/>
    </row>
    <row r="1478" spans="2:2">
      <c r="B1478" s="32"/>
    </row>
    <row r="1479" spans="2:2">
      <c r="B1479" s="32"/>
    </row>
    <row r="1480" spans="2:2">
      <c r="B1480" s="32"/>
    </row>
    <row r="1481" spans="2:2">
      <c r="B1481" s="32"/>
    </row>
    <row r="1482" spans="2:2">
      <c r="B1482" s="32"/>
    </row>
    <row r="1483" spans="2:2">
      <c r="B1483" s="32"/>
    </row>
    <row r="1484" spans="2:2">
      <c r="B1484" s="32"/>
    </row>
    <row r="1485" spans="2:2">
      <c r="B1485" s="32"/>
    </row>
    <row r="1486" spans="2:2">
      <c r="B1486" s="32"/>
    </row>
    <row r="1487" spans="2:2">
      <c r="B1487" s="32"/>
    </row>
    <row r="1488" spans="2:2">
      <c r="B1488" s="32"/>
    </row>
    <row r="1489" spans="2:2">
      <c r="B1489" s="32"/>
    </row>
    <row r="1490" spans="2:2">
      <c r="B1490" s="32"/>
    </row>
    <row r="1491" spans="2:2">
      <c r="B1491" s="32"/>
    </row>
    <row r="1492" spans="2:2">
      <c r="B1492" s="32"/>
    </row>
    <row r="1493" spans="2:2">
      <c r="B1493" s="32"/>
    </row>
    <row r="1494" spans="2:2">
      <c r="B1494" s="32"/>
    </row>
    <row r="1495" spans="2:2">
      <c r="B1495" s="32"/>
    </row>
    <row r="1496" spans="2:2">
      <c r="B1496" s="32"/>
    </row>
    <row r="1497" spans="2:2">
      <c r="B1497" s="32"/>
    </row>
    <row r="1498" spans="2:2">
      <c r="B1498" s="32"/>
    </row>
    <row r="1499" spans="2:2">
      <c r="B1499" s="32"/>
    </row>
    <row r="1500" spans="2:2">
      <c r="B1500" s="32"/>
    </row>
    <row r="1501" spans="2:2">
      <c r="B1501" s="32"/>
    </row>
    <row r="1502" spans="2:2">
      <c r="B1502" s="32"/>
    </row>
    <row r="1503" spans="2:2">
      <c r="B1503" s="32"/>
    </row>
    <row r="1504" spans="2:2">
      <c r="B1504" s="32"/>
    </row>
    <row r="1505" spans="2:2">
      <c r="B1505" s="32"/>
    </row>
    <row r="1506" spans="2:2">
      <c r="B1506" s="32"/>
    </row>
    <row r="1507" spans="2:2">
      <c r="B1507" s="32"/>
    </row>
    <row r="1508" spans="2:2">
      <c r="B1508" s="32"/>
    </row>
    <row r="1509" spans="2:2">
      <c r="B1509" s="32"/>
    </row>
    <row r="1510" spans="2:2">
      <c r="B1510" s="32"/>
    </row>
    <row r="1511" spans="2:2">
      <c r="B1511" s="32"/>
    </row>
    <row r="1512" spans="2:2">
      <c r="B1512" s="32"/>
    </row>
    <row r="1513" spans="2:2">
      <c r="B1513" s="32"/>
    </row>
    <row r="1514" spans="2:2">
      <c r="B1514" s="32"/>
    </row>
    <row r="1515" spans="2:2">
      <c r="B1515" s="32"/>
    </row>
    <row r="1516" spans="2:2">
      <c r="B1516" s="32"/>
    </row>
    <row r="1517" spans="2:2">
      <c r="B1517" s="32"/>
    </row>
    <row r="1518" spans="2:2">
      <c r="B1518" s="32"/>
    </row>
    <row r="1519" spans="2:2">
      <c r="B1519" s="32"/>
    </row>
    <row r="1520" spans="2:2">
      <c r="B1520" s="32"/>
    </row>
    <row r="1521" spans="2:2">
      <c r="B1521" s="32"/>
    </row>
    <row r="1522" spans="2:2">
      <c r="B1522" s="32"/>
    </row>
    <row r="1523" spans="2:2">
      <c r="B1523" s="32"/>
    </row>
    <row r="1524" spans="2:2">
      <c r="B1524" s="32"/>
    </row>
    <row r="1525" spans="2:2">
      <c r="B1525" s="32"/>
    </row>
    <row r="1526" spans="2:2">
      <c r="B1526" s="32"/>
    </row>
    <row r="1527" spans="2:2">
      <c r="B1527" s="32"/>
    </row>
    <row r="1528" spans="2:2">
      <c r="B1528" s="32"/>
    </row>
    <row r="1529" spans="2:2">
      <c r="B1529" s="32"/>
    </row>
    <row r="1530" spans="2:2">
      <c r="B1530" s="32"/>
    </row>
    <row r="1531" spans="2:2">
      <c r="B1531" s="32"/>
    </row>
    <row r="1532" spans="2:2">
      <c r="B1532" s="32"/>
    </row>
    <row r="1533" spans="2:2">
      <c r="B1533" s="32"/>
    </row>
    <row r="1534" spans="2:2">
      <c r="B1534" s="32"/>
    </row>
    <row r="1535" spans="2:2">
      <c r="B1535" s="32"/>
    </row>
    <row r="1536" spans="2:2">
      <c r="B1536" s="32"/>
    </row>
    <row r="1537" spans="2:2">
      <c r="B1537" s="32"/>
    </row>
    <row r="1538" spans="2:2">
      <c r="B1538" s="32"/>
    </row>
    <row r="1539" spans="2:2">
      <c r="B1539" s="32"/>
    </row>
    <row r="1540" spans="2:2">
      <c r="B1540" s="32"/>
    </row>
    <row r="1541" spans="2:2">
      <c r="B1541" s="32"/>
    </row>
    <row r="1542" spans="2:2">
      <c r="B1542" s="32"/>
    </row>
    <row r="1543" spans="2:2">
      <c r="B1543" s="32"/>
    </row>
    <row r="1544" spans="2:2">
      <c r="B1544" s="32"/>
    </row>
    <row r="1545" spans="2:2">
      <c r="B1545" s="32"/>
    </row>
    <row r="1546" spans="2:2">
      <c r="B1546" s="32"/>
    </row>
    <row r="1547" spans="2:2">
      <c r="B1547" s="32"/>
    </row>
    <row r="1548" spans="2:2">
      <c r="B1548" s="32"/>
    </row>
    <row r="1549" spans="2:2">
      <c r="B1549" s="32"/>
    </row>
    <row r="1550" spans="2:2">
      <c r="B1550" s="32"/>
    </row>
    <row r="1551" spans="2:2">
      <c r="B1551" s="32"/>
    </row>
    <row r="1552" spans="2:2">
      <c r="B1552" s="32"/>
    </row>
    <row r="1553" spans="2:2">
      <c r="B1553" s="32"/>
    </row>
    <row r="1554" spans="2:2">
      <c r="B1554" s="32"/>
    </row>
    <row r="1555" spans="2:2">
      <c r="B1555" s="32"/>
    </row>
    <row r="1556" spans="2:2">
      <c r="B1556" s="32"/>
    </row>
    <row r="1557" spans="2:2">
      <c r="B1557" s="32"/>
    </row>
    <row r="1558" spans="2:2">
      <c r="B1558" s="32"/>
    </row>
    <row r="1559" spans="2:2">
      <c r="B1559" s="32"/>
    </row>
    <row r="1560" spans="2:2">
      <c r="B1560" s="32"/>
    </row>
    <row r="1561" spans="2:2">
      <c r="B1561" s="32"/>
    </row>
    <row r="1562" spans="2:2">
      <c r="B1562" s="32"/>
    </row>
    <row r="1563" spans="2:2">
      <c r="B1563" s="32"/>
    </row>
    <row r="1564" spans="2:2">
      <c r="B1564" s="32"/>
    </row>
    <row r="1565" spans="2:2">
      <c r="B1565" s="32"/>
    </row>
    <row r="1566" spans="2:2">
      <c r="B1566" s="32"/>
    </row>
    <row r="1567" spans="2:2">
      <c r="B1567" s="32"/>
    </row>
    <row r="1568" spans="2:2">
      <c r="B1568" s="32"/>
    </row>
  </sheetData>
  <mergeCells count="1">
    <mergeCell ref="A1:C1"/>
  </mergeCells>
  <pageMargins left="0.7" right="0.7" top="0.75" bottom="0.75" header="0.3" footer="0.3"/>
  <pageSetup scale="94" fitToHeight="5" orientation="portrait" horizontalDpi="1200" verticalDpi="1200"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7068-73A0-4968-932F-806B65BF1214}">
  <dimension ref="B1:Q39"/>
  <sheetViews>
    <sheetView workbookViewId="0">
      <pane ySplit="2" topLeftCell="A3" activePane="bottomLeft" state="frozen"/>
      <selection pane="bottomLeft" activeCell="F11" sqref="F11"/>
      <selection activeCell="C1" sqref="C1"/>
    </sheetView>
  </sheetViews>
  <sheetFormatPr defaultColWidth="8.85546875" defaultRowHeight="14.45"/>
  <cols>
    <col min="2" max="2" width="13.140625" style="32" customWidth="1"/>
    <col min="3" max="3" width="10.42578125" customWidth="1"/>
    <col min="4" max="4" width="43.42578125" bestFit="1" customWidth="1"/>
    <col min="5" max="5" width="43.85546875" customWidth="1"/>
    <col min="6" max="6" width="82.42578125" customWidth="1"/>
    <col min="8" max="8" width="11.42578125" customWidth="1"/>
    <col min="11" max="11" width="22.140625" customWidth="1"/>
    <col min="12" max="12" width="20.42578125" customWidth="1"/>
    <col min="13" max="13" width="13" customWidth="1"/>
    <col min="14" max="14" width="17.140625" bestFit="1" customWidth="1"/>
    <col min="15" max="15" width="21.140625" customWidth="1"/>
    <col min="17" max="17" width="42.85546875" customWidth="1"/>
  </cols>
  <sheetData>
    <row r="1" spans="2:17">
      <c r="G1" s="167" t="s">
        <v>1901</v>
      </c>
      <c r="H1" s="167"/>
      <c r="I1" s="167"/>
      <c r="J1" s="167"/>
    </row>
    <row r="2" spans="2:17">
      <c r="B2" s="32" t="s">
        <v>0</v>
      </c>
      <c r="C2" t="s">
        <v>6</v>
      </c>
      <c r="D2" t="s">
        <v>7</v>
      </c>
      <c r="E2" t="s">
        <v>8</v>
      </c>
      <c r="F2" t="s">
        <v>1902</v>
      </c>
      <c r="G2" t="s">
        <v>110</v>
      </c>
      <c r="H2" t="s">
        <v>220</v>
      </c>
      <c r="I2" t="s">
        <v>203</v>
      </c>
      <c r="J2" t="s">
        <v>219</v>
      </c>
      <c r="K2" t="s">
        <v>1903</v>
      </c>
      <c r="L2" t="s">
        <v>1904</v>
      </c>
      <c r="M2" t="s">
        <v>1905</v>
      </c>
      <c r="N2" t="s">
        <v>1906</v>
      </c>
      <c r="O2" t="s">
        <v>1907</v>
      </c>
      <c r="P2" t="s">
        <v>1908</v>
      </c>
      <c r="Q2" t="s">
        <v>1909</v>
      </c>
    </row>
    <row r="3" spans="2:17">
      <c r="B3" s="32" t="s">
        <v>110</v>
      </c>
      <c r="C3" t="s">
        <v>58</v>
      </c>
      <c r="D3" t="s">
        <v>282</v>
      </c>
      <c r="E3" t="s">
        <v>1910</v>
      </c>
      <c r="F3" t="s">
        <v>1911</v>
      </c>
      <c r="G3" t="s">
        <v>1912</v>
      </c>
      <c r="H3" t="s">
        <v>1913</v>
      </c>
      <c r="I3" t="s">
        <v>1913</v>
      </c>
      <c r="J3" t="s">
        <v>1914</v>
      </c>
      <c r="K3" t="s">
        <v>1915</v>
      </c>
      <c r="L3" t="s">
        <v>1916</v>
      </c>
      <c r="M3" s="32">
        <v>500</v>
      </c>
      <c r="N3" s="32"/>
      <c r="O3">
        <v>35000</v>
      </c>
    </row>
    <row r="4" spans="2:17">
      <c r="B4" s="32" t="s">
        <v>110</v>
      </c>
      <c r="C4" t="s">
        <v>58</v>
      </c>
      <c r="D4" t="s">
        <v>282</v>
      </c>
      <c r="E4" s="44" t="s">
        <v>1917</v>
      </c>
      <c r="F4" t="s">
        <v>1918</v>
      </c>
      <c r="G4" t="s">
        <v>1912</v>
      </c>
      <c r="H4" t="s">
        <v>1913</v>
      </c>
      <c r="I4" t="s">
        <v>1913</v>
      </c>
      <c r="J4" t="s">
        <v>1914</v>
      </c>
      <c r="K4" t="s">
        <v>1915</v>
      </c>
      <c r="L4" t="s">
        <v>1919</v>
      </c>
      <c r="M4" s="32">
        <v>500</v>
      </c>
      <c r="N4" s="32"/>
      <c r="O4">
        <v>50000</v>
      </c>
    </row>
    <row r="5" spans="2:17">
      <c r="B5" s="32" t="s">
        <v>110</v>
      </c>
      <c r="C5" t="s">
        <v>58</v>
      </c>
      <c r="D5" t="s">
        <v>59</v>
      </c>
      <c r="E5" t="s">
        <v>374</v>
      </c>
      <c r="F5" s="54" t="s">
        <v>1920</v>
      </c>
      <c r="H5" t="s">
        <v>1913</v>
      </c>
      <c r="I5" t="s">
        <v>1913</v>
      </c>
      <c r="J5" t="s">
        <v>1914</v>
      </c>
      <c r="K5" t="s">
        <v>1921</v>
      </c>
      <c r="L5" t="s">
        <v>1922</v>
      </c>
      <c r="M5" s="32">
        <v>850</v>
      </c>
      <c r="N5" s="32"/>
    </row>
    <row r="6" spans="2:17">
      <c r="B6" s="32" t="s">
        <v>110</v>
      </c>
      <c r="C6" t="s">
        <v>58</v>
      </c>
      <c r="D6" t="s">
        <v>282</v>
      </c>
      <c r="E6" t="s">
        <v>1917</v>
      </c>
      <c r="F6" t="s">
        <v>1918</v>
      </c>
      <c r="H6" t="s">
        <v>1913</v>
      </c>
      <c r="I6" t="s">
        <v>1913</v>
      </c>
      <c r="J6" t="s">
        <v>1914</v>
      </c>
      <c r="K6" t="s">
        <v>1915</v>
      </c>
      <c r="L6" t="s">
        <v>1923</v>
      </c>
      <c r="M6" s="32">
        <v>500</v>
      </c>
      <c r="N6" s="32"/>
    </row>
    <row r="7" spans="2:17">
      <c r="B7" s="32" t="s">
        <v>110</v>
      </c>
      <c r="C7" t="s">
        <v>58</v>
      </c>
      <c r="D7" t="s">
        <v>59</v>
      </c>
      <c r="E7" t="s">
        <v>374</v>
      </c>
      <c r="F7" s="54" t="s">
        <v>1920</v>
      </c>
      <c r="H7" t="s">
        <v>1913</v>
      </c>
      <c r="I7" t="s">
        <v>1913</v>
      </c>
      <c r="J7" t="s">
        <v>1914</v>
      </c>
      <c r="K7" t="s">
        <v>1921</v>
      </c>
      <c r="L7" s="28" t="s">
        <v>1924</v>
      </c>
      <c r="M7" s="32">
        <v>850</v>
      </c>
      <c r="N7" s="32"/>
    </row>
    <row r="8" spans="2:17">
      <c r="B8" s="32" t="s">
        <v>110</v>
      </c>
      <c r="C8" t="s">
        <v>58</v>
      </c>
      <c r="D8" t="s">
        <v>59</v>
      </c>
      <c r="E8" s="44" t="s">
        <v>374</v>
      </c>
      <c r="F8" s="54" t="s">
        <v>1920</v>
      </c>
      <c r="H8" t="s">
        <v>1913</v>
      </c>
      <c r="I8" t="s">
        <v>1913</v>
      </c>
      <c r="J8" t="s">
        <v>1914</v>
      </c>
      <c r="K8" t="s">
        <v>1921</v>
      </c>
      <c r="L8" t="s">
        <v>1923</v>
      </c>
      <c r="M8" s="32">
        <v>850</v>
      </c>
      <c r="N8" s="32"/>
    </row>
    <row r="9" spans="2:17">
      <c r="B9" s="32" t="s">
        <v>110</v>
      </c>
      <c r="C9" t="s">
        <v>58</v>
      </c>
      <c r="D9" t="s">
        <v>59</v>
      </c>
      <c r="E9" t="s">
        <v>374</v>
      </c>
      <c r="F9" t="s">
        <v>1920</v>
      </c>
      <c r="G9" t="s">
        <v>1912</v>
      </c>
      <c r="H9" t="s">
        <v>1913</v>
      </c>
      <c r="I9" t="s">
        <v>1913</v>
      </c>
      <c r="J9" t="s">
        <v>1914</v>
      </c>
      <c r="K9" t="s">
        <v>1921</v>
      </c>
      <c r="L9" t="s">
        <v>1925</v>
      </c>
      <c r="M9" s="32">
        <v>850</v>
      </c>
      <c r="N9" s="32"/>
      <c r="O9">
        <v>0</v>
      </c>
    </row>
    <row r="10" spans="2:17">
      <c r="B10" s="32" t="s">
        <v>110</v>
      </c>
      <c r="C10" t="s">
        <v>58</v>
      </c>
      <c r="D10" t="s">
        <v>59</v>
      </c>
      <c r="E10" t="s">
        <v>1926</v>
      </c>
      <c r="F10" t="s">
        <v>1927</v>
      </c>
      <c r="G10" t="s">
        <v>1912</v>
      </c>
      <c r="H10" t="s">
        <v>1913</v>
      </c>
      <c r="I10" t="s">
        <v>1913</v>
      </c>
      <c r="J10" t="s">
        <v>1914</v>
      </c>
      <c r="K10" t="s">
        <v>1928</v>
      </c>
      <c r="L10" t="s">
        <v>1922</v>
      </c>
      <c r="M10" s="32">
        <v>850</v>
      </c>
      <c r="N10" s="32"/>
      <c r="O10">
        <v>0</v>
      </c>
    </row>
    <row r="11" spans="2:17">
      <c r="B11" s="32" t="s">
        <v>110</v>
      </c>
      <c r="C11" t="s">
        <v>58</v>
      </c>
      <c r="D11" t="s">
        <v>59</v>
      </c>
      <c r="E11" t="s">
        <v>1929</v>
      </c>
      <c r="F11" t="s">
        <v>1930</v>
      </c>
      <c r="G11" t="s">
        <v>1912</v>
      </c>
      <c r="H11" t="s">
        <v>1913</v>
      </c>
      <c r="I11" t="s">
        <v>1913</v>
      </c>
      <c r="J11" t="s">
        <v>1914</v>
      </c>
      <c r="K11" t="s">
        <v>1931</v>
      </c>
      <c r="L11" t="s">
        <v>1932</v>
      </c>
      <c r="M11" s="32">
        <v>850</v>
      </c>
      <c r="N11" s="32"/>
      <c r="O11">
        <v>0</v>
      </c>
    </row>
    <row r="12" spans="2:17">
      <c r="B12" s="32" t="s">
        <v>110</v>
      </c>
      <c r="C12" t="s">
        <v>58</v>
      </c>
      <c r="D12" t="s">
        <v>59</v>
      </c>
      <c r="E12" s="28" t="s">
        <v>1929</v>
      </c>
      <c r="F12" t="s">
        <v>1930</v>
      </c>
      <c r="H12" t="s">
        <v>1913</v>
      </c>
      <c r="I12" t="s">
        <v>1913</v>
      </c>
      <c r="J12" t="s">
        <v>1914</v>
      </c>
      <c r="K12" t="s">
        <v>1931</v>
      </c>
      <c r="L12" t="s">
        <v>345</v>
      </c>
      <c r="M12" s="32"/>
      <c r="N12" s="32"/>
    </row>
    <row r="13" spans="2:17">
      <c r="B13" s="32" t="s">
        <v>219</v>
      </c>
      <c r="C13" t="s">
        <v>52</v>
      </c>
      <c r="D13" t="s">
        <v>53</v>
      </c>
      <c r="E13" t="s">
        <v>1933</v>
      </c>
      <c r="F13" t="s">
        <v>1934</v>
      </c>
      <c r="H13" t="s">
        <v>1935</v>
      </c>
      <c r="I13" t="s">
        <v>1935</v>
      </c>
      <c r="J13" t="s">
        <v>1912</v>
      </c>
      <c r="K13" t="s">
        <v>1936</v>
      </c>
      <c r="L13" t="s">
        <v>1937</v>
      </c>
      <c r="M13">
        <v>0</v>
      </c>
      <c r="O13">
        <v>0</v>
      </c>
    </row>
    <row r="14" spans="2:17">
      <c r="B14" s="32" t="s">
        <v>219</v>
      </c>
      <c r="C14" t="s">
        <v>52</v>
      </c>
      <c r="D14" t="s">
        <v>53</v>
      </c>
      <c r="E14" t="s">
        <v>1938</v>
      </c>
      <c r="F14" t="s">
        <v>1939</v>
      </c>
      <c r="G14" t="s">
        <v>1935</v>
      </c>
      <c r="H14" t="s">
        <v>1935</v>
      </c>
      <c r="I14" t="s">
        <v>1935</v>
      </c>
      <c r="J14" t="s">
        <v>1912</v>
      </c>
      <c r="K14" t="s">
        <v>1940</v>
      </c>
      <c r="L14" t="s">
        <v>1941</v>
      </c>
      <c r="M14">
        <v>0</v>
      </c>
      <c r="N14">
        <v>0</v>
      </c>
      <c r="O14">
        <v>0</v>
      </c>
    </row>
    <row r="15" spans="2:17">
      <c r="B15" s="32" t="s">
        <v>219</v>
      </c>
      <c r="C15" t="s">
        <v>52</v>
      </c>
      <c r="D15" t="s">
        <v>53</v>
      </c>
      <c r="E15" t="s">
        <v>1942</v>
      </c>
      <c r="H15" t="s">
        <v>1935</v>
      </c>
      <c r="I15" t="s">
        <v>1935</v>
      </c>
      <c r="J15" t="s">
        <v>1935</v>
      </c>
      <c r="K15" t="s">
        <v>1912</v>
      </c>
      <c r="L15" t="s">
        <v>1943</v>
      </c>
      <c r="M15" t="s">
        <v>212</v>
      </c>
      <c r="N15">
        <v>0</v>
      </c>
      <c r="P15">
        <v>0</v>
      </c>
    </row>
    <row r="16" spans="2:17">
      <c r="B16" s="32" t="s">
        <v>219</v>
      </c>
      <c r="C16" t="s">
        <v>46</v>
      </c>
      <c r="D16" t="s">
        <v>148</v>
      </c>
      <c r="E16" t="s">
        <v>1944</v>
      </c>
      <c r="G16" t="s">
        <v>1935</v>
      </c>
      <c r="H16" t="s">
        <v>1945</v>
      </c>
      <c r="I16" t="s">
        <v>1935</v>
      </c>
      <c r="J16" t="s">
        <v>1912</v>
      </c>
      <c r="K16" t="s">
        <v>1946</v>
      </c>
      <c r="L16" t="s">
        <v>1923</v>
      </c>
      <c r="M16">
        <v>0</v>
      </c>
      <c r="O16">
        <v>150000</v>
      </c>
    </row>
    <row r="17" spans="2:17">
      <c r="B17" s="32" t="s">
        <v>203</v>
      </c>
      <c r="C17" t="s">
        <v>22</v>
      </c>
      <c r="D17" t="s">
        <v>23</v>
      </c>
      <c r="E17" t="s">
        <v>1947</v>
      </c>
      <c r="F17" t="s">
        <v>1948</v>
      </c>
      <c r="G17" t="s">
        <v>1935</v>
      </c>
      <c r="H17" t="s">
        <v>1935</v>
      </c>
      <c r="I17" t="s">
        <v>1912</v>
      </c>
      <c r="J17" t="s">
        <v>1914</v>
      </c>
      <c r="K17" t="s">
        <v>1949</v>
      </c>
      <c r="L17" t="s">
        <v>1941</v>
      </c>
      <c r="Q17" t="s">
        <v>1950</v>
      </c>
    </row>
    <row r="18" spans="2:17">
      <c r="B18" s="32" t="s">
        <v>203</v>
      </c>
      <c r="C18" t="s">
        <v>22</v>
      </c>
      <c r="D18" t="s">
        <v>23</v>
      </c>
      <c r="E18" t="s">
        <v>1951</v>
      </c>
      <c r="F18" t="s">
        <v>1952</v>
      </c>
      <c r="G18" t="s">
        <v>1935</v>
      </c>
      <c r="H18" t="s">
        <v>1935</v>
      </c>
      <c r="I18" t="s">
        <v>1912</v>
      </c>
      <c r="J18" t="s">
        <v>1935</v>
      </c>
      <c r="K18" t="s">
        <v>1949</v>
      </c>
      <c r="L18" t="s">
        <v>1941</v>
      </c>
    </row>
    <row r="19" spans="2:17">
      <c r="B19" s="32" t="s">
        <v>203</v>
      </c>
      <c r="C19" t="s">
        <v>22</v>
      </c>
      <c r="D19" t="s">
        <v>530</v>
      </c>
      <c r="E19" t="s">
        <v>1953</v>
      </c>
      <c r="G19" t="s">
        <v>1935</v>
      </c>
      <c r="H19" t="s">
        <v>1935</v>
      </c>
      <c r="I19" t="s">
        <v>1912</v>
      </c>
      <c r="J19" t="s">
        <v>1935</v>
      </c>
      <c r="K19" t="s">
        <v>1949</v>
      </c>
      <c r="L19" t="s">
        <v>1941</v>
      </c>
    </row>
    <row r="20" spans="2:17">
      <c r="B20" s="32" t="s">
        <v>110</v>
      </c>
      <c r="C20" t="s">
        <v>110</v>
      </c>
      <c r="D20" t="s">
        <v>111</v>
      </c>
      <c r="E20" t="s">
        <v>1954</v>
      </c>
      <c r="F20" t="s">
        <v>1955</v>
      </c>
      <c r="G20" t="s">
        <v>1912</v>
      </c>
      <c r="H20" t="s">
        <v>1913</v>
      </c>
      <c r="I20" t="s">
        <v>1913</v>
      </c>
      <c r="J20" t="s">
        <v>1913</v>
      </c>
      <c r="K20" t="s">
        <v>1956</v>
      </c>
      <c r="L20" t="s">
        <v>1923</v>
      </c>
      <c r="M20" s="32">
        <v>0</v>
      </c>
      <c r="N20" s="32"/>
      <c r="O20">
        <v>0</v>
      </c>
    </row>
    <row r="21" spans="2:17">
      <c r="B21" s="32" t="s">
        <v>110</v>
      </c>
      <c r="C21" t="s">
        <v>110</v>
      </c>
      <c r="D21" t="s">
        <v>111</v>
      </c>
      <c r="E21" t="s">
        <v>378</v>
      </c>
      <c r="F21" t="s">
        <v>1957</v>
      </c>
      <c r="G21" t="s">
        <v>1912</v>
      </c>
      <c r="H21" t="s">
        <v>1913</v>
      </c>
      <c r="I21" t="s">
        <v>1913</v>
      </c>
      <c r="J21" t="s">
        <v>1913</v>
      </c>
      <c r="K21" t="s">
        <v>1958</v>
      </c>
      <c r="L21" t="s">
        <v>1959</v>
      </c>
      <c r="M21" s="32">
        <v>350</v>
      </c>
      <c r="N21" s="32"/>
      <c r="O21">
        <v>0</v>
      </c>
      <c r="P21">
        <v>350</v>
      </c>
    </row>
    <row r="22" spans="2:17">
      <c r="B22" s="32" t="s">
        <v>110</v>
      </c>
      <c r="C22" t="s">
        <v>110</v>
      </c>
      <c r="D22" s="28" t="s">
        <v>115</v>
      </c>
      <c r="E22" t="s">
        <v>1960</v>
      </c>
      <c r="F22" t="s">
        <v>1961</v>
      </c>
      <c r="G22" t="s">
        <v>1912</v>
      </c>
      <c r="H22" t="s">
        <v>1913</v>
      </c>
      <c r="I22" t="s">
        <v>1913</v>
      </c>
      <c r="J22" t="s">
        <v>1914</v>
      </c>
      <c r="K22" t="s">
        <v>1958</v>
      </c>
      <c r="L22" t="s">
        <v>1962</v>
      </c>
      <c r="M22" s="32"/>
      <c r="N22" s="53">
        <v>338021</v>
      </c>
      <c r="Q22" t="s">
        <v>967</v>
      </c>
    </row>
    <row r="23" spans="2:17">
      <c r="B23" s="32" t="s">
        <v>110</v>
      </c>
      <c r="C23" t="s">
        <v>110</v>
      </c>
      <c r="D23" s="28" t="s">
        <v>115</v>
      </c>
      <c r="E23" t="s">
        <v>1963</v>
      </c>
      <c r="F23" t="s">
        <v>1964</v>
      </c>
      <c r="G23" t="s">
        <v>1912</v>
      </c>
      <c r="H23" t="s">
        <v>1913</v>
      </c>
      <c r="I23" t="s">
        <v>1913</v>
      </c>
      <c r="J23" t="s">
        <v>1914</v>
      </c>
      <c r="K23" t="s">
        <v>1958</v>
      </c>
      <c r="L23" t="s">
        <v>1962</v>
      </c>
      <c r="M23" s="32"/>
      <c r="N23" s="32"/>
      <c r="Q23" t="s">
        <v>967</v>
      </c>
    </row>
    <row r="24" spans="2:17">
      <c r="B24" s="32" t="s">
        <v>110</v>
      </c>
      <c r="C24" t="s">
        <v>110</v>
      </c>
      <c r="D24" s="28" t="s">
        <v>115</v>
      </c>
      <c r="E24" t="s">
        <v>1965</v>
      </c>
      <c r="F24" t="s">
        <v>1966</v>
      </c>
      <c r="G24" t="s">
        <v>1912</v>
      </c>
      <c r="H24" t="s">
        <v>1913</v>
      </c>
      <c r="I24" t="s">
        <v>1913</v>
      </c>
      <c r="J24" t="s">
        <v>1914</v>
      </c>
      <c r="K24" t="s">
        <v>1958</v>
      </c>
      <c r="L24" t="s">
        <v>1962</v>
      </c>
      <c r="M24" s="32"/>
      <c r="N24" s="53">
        <v>86574</v>
      </c>
      <c r="Q24" t="s">
        <v>967</v>
      </c>
    </row>
    <row r="25" spans="2:17">
      <c r="B25" s="32" t="s">
        <v>110</v>
      </c>
      <c r="C25" t="s">
        <v>110</v>
      </c>
      <c r="D25" t="s">
        <v>115</v>
      </c>
      <c r="E25" t="s">
        <v>1967</v>
      </c>
      <c r="F25" t="s">
        <v>1968</v>
      </c>
      <c r="G25" t="s">
        <v>1912</v>
      </c>
      <c r="H25" t="s">
        <v>1913</v>
      </c>
      <c r="I25" t="s">
        <v>1913</v>
      </c>
      <c r="J25" t="s">
        <v>1914</v>
      </c>
      <c r="K25" t="s">
        <v>1958</v>
      </c>
      <c r="L25" t="s">
        <v>1969</v>
      </c>
      <c r="M25" s="32"/>
      <c r="N25" s="32" t="s">
        <v>1970</v>
      </c>
    </row>
    <row r="26" spans="2:17">
      <c r="B26" s="32" t="s">
        <v>110</v>
      </c>
      <c r="C26" t="s">
        <v>110</v>
      </c>
      <c r="D26" t="s">
        <v>111</v>
      </c>
      <c r="E26" t="s">
        <v>378</v>
      </c>
      <c r="F26" t="s">
        <v>1955</v>
      </c>
      <c r="G26" t="s">
        <v>1912</v>
      </c>
      <c r="H26" t="s">
        <v>1913</v>
      </c>
      <c r="I26" t="s">
        <v>1913</v>
      </c>
      <c r="J26" t="s">
        <v>1914</v>
      </c>
      <c r="K26" t="s">
        <v>1958</v>
      </c>
      <c r="L26" t="s">
        <v>1923</v>
      </c>
      <c r="M26" s="32">
        <v>350</v>
      </c>
      <c r="N26" s="32"/>
    </row>
    <row r="27" spans="2:17">
      <c r="B27" s="32" t="s">
        <v>110</v>
      </c>
      <c r="C27" t="s">
        <v>110</v>
      </c>
      <c r="D27" t="s">
        <v>134</v>
      </c>
      <c r="E27" t="s">
        <v>589</v>
      </c>
      <c r="F27" t="s">
        <v>1955</v>
      </c>
      <c r="G27" t="s">
        <v>1912</v>
      </c>
      <c r="H27" t="s">
        <v>1913</v>
      </c>
      <c r="I27" t="s">
        <v>1913</v>
      </c>
      <c r="J27" t="s">
        <v>1914</v>
      </c>
      <c r="K27" t="s">
        <v>1958</v>
      </c>
      <c r="L27" t="s">
        <v>1923</v>
      </c>
      <c r="M27" s="32">
        <v>100</v>
      </c>
      <c r="N27" s="32"/>
    </row>
    <row r="28" spans="2:17">
      <c r="B28" s="32" t="s">
        <v>110</v>
      </c>
      <c r="C28" t="s">
        <v>110</v>
      </c>
      <c r="D28" t="s">
        <v>111</v>
      </c>
      <c r="E28" t="s">
        <v>378</v>
      </c>
      <c r="F28" t="s">
        <v>1971</v>
      </c>
      <c r="G28" t="s">
        <v>1912</v>
      </c>
      <c r="H28" t="s">
        <v>1913</v>
      </c>
      <c r="I28" t="s">
        <v>1913</v>
      </c>
      <c r="J28" t="s">
        <v>1914</v>
      </c>
      <c r="K28" t="s">
        <v>1928</v>
      </c>
      <c r="L28" t="s">
        <v>1923</v>
      </c>
      <c r="M28" s="32">
        <v>850</v>
      </c>
      <c r="N28" s="32"/>
    </row>
    <row r="29" spans="2:17">
      <c r="B29" s="32" t="s">
        <v>110</v>
      </c>
      <c r="C29" t="s">
        <v>110</v>
      </c>
      <c r="D29" t="s">
        <v>111</v>
      </c>
      <c r="E29" t="s">
        <v>378</v>
      </c>
      <c r="F29" t="s">
        <v>1955</v>
      </c>
      <c r="G29" t="s">
        <v>1912</v>
      </c>
      <c r="H29" t="s">
        <v>1913</v>
      </c>
      <c r="I29" t="s">
        <v>1913</v>
      </c>
      <c r="J29" t="s">
        <v>1914</v>
      </c>
      <c r="K29" t="s">
        <v>1958</v>
      </c>
      <c r="L29" t="s">
        <v>138</v>
      </c>
      <c r="M29" s="32">
        <v>500</v>
      </c>
      <c r="N29" s="32"/>
    </row>
    <row r="30" spans="2:17">
      <c r="B30" s="32" t="s">
        <v>110</v>
      </c>
      <c r="C30" t="s">
        <v>110</v>
      </c>
      <c r="D30" t="s">
        <v>115</v>
      </c>
      <c r="E30" t="s">
        <v>1972</v>
      </c>
      <c r="F30" t="s">
        <v>1973</v>
      </c>
      <c r="G30" t="s">
        <v>1912</v>
      </c>
      <c r="H30" t="s">
        <v>1913</v>
      </c>
      <c r="I30" t="s">
        <v>1913</v>
      </c>
      <c r="J30" t="s">
        <v>1914</v>
      </c>
      <c r="K30" t="s">
        <v>1958</v>
      </c>
      <c r="L30" t="s">
        <v>345</v>
      </c>
      <c r="M30" s="32"/>
      <c r="N30" s="53">
        <v>112980</v>
      </c>
    </row>
    <row r="31" spans="2:17">
      <c r="B31" s="50" t="s">
        <v>220</v>
      </c>
      <c r="C31" s="44" t="s">
        <v>84</v>
      </c>
      <c r="D31" s="44" t="s">
        <v>101</v>
      </c>
      <c r="E31" s="44" t="s">
        <v>1974</v>
      </c>
      <c r="F31" s="45" t="s">
        <v>1975</v>
      </c>
      <c r="G31" s="44" t="s">
        <v>1912</v>
      </c>
      <c r="H31" t="s">
        <v>1913</v>
      </c>
      <c r="I31" t="s">
        <v>1913</v>
      </c>
      <c r="J31" s="44" t="s">
        <v>1935</v>
      </c>
      <c r="K31" s="44" t="s">
        <v>1976</v>
      </c>
      <c r="L31" s="44" t="s">
        <v>1941</v>
      </c>
      <c r="M31" s="52">
        <v>0</v>
      </c>
      <c r="N31" s="52">
        <v>0</v>
      </c>
      <c r="O31" s="44"/>
      <c r="P31" s="44"/>
      <c r="Q31" s="46"/>
    </row>
    <row r="32" spans="2:17">
      <c r="B32" s="51" t="s">
        <v>220</v>
      </c>
      <c r="C32" s="47" t="s">
        <v>84</v>
      </c>
      <c r="D32" s="47" t="s">
        <v>1977</v>
      </c>
      <c r="E32" s="47" t="s">
        <v>1978</v>
      </c>
      <c r="F32" s="47" t="s">
        <v>1979</v>
      </c>
      <c r="G32" s="47" t="s">
        <v>1912</v>
      </c>
      <c r="H32" t="s">
        <v>1913</v>
      </c>
      <c r="I32" t="s">
        <v>1913</v>
      </c>
      <c r="J32" s="47" t="s">
        <v>1935</v>
      </c>
      <c r="K32" s="47" t="s">
        <v>1979</v>
      </c>
      <c r="L32" s="47" t="s">
        <v>1941</v>
      </c>
      <c r="M32" s="49"/>
      <c r="N32" s="49">
        <v>82</v>
      </c>
      <c r="O32" s="47"/>
      <c r="P32" s="47"/>
      <c r="Q32" s="48"/>
    </row>
    <row r="33" spans="2:17">
      <c r="B33" s="50" t="s">
        <v>220</v>
      </c>
      <c r="C33" s="44" t="s">
        <v>84</v>
      </c>
      <c r="D33" s="44" t="s">
        <v>85</v>
      </c>
      <c r="E33" s="44" t="s">
        <v>1980</v>
      </c>
      <c r="F33" s="44" t="s">
        <v>1979</v>
      </c>
      <c r="G33" s="44" t="s">
        <v>1912</v>
      </c>
      <c r="H33" t="s">
        <v>1913</v>
      </c>
      <c r="I33" t="s">
        <v>1913</v>
      </c>
      <c r="J33" s="44" t="s">
        <v>1935</v>
      </c>
      <c r="K33" s="44" t="s">
        <v>1979</v>
      </c>
      <c r="L33" s="44" t="s">
        <v>1941</v>
      </c>
      <c r="M33" s="52"/>
      <c r="N33" s="52">
        <v>62</v>
      </c>
      <c r="O33" s="44"/>
      <c r="P33" s="44"/>
      <c r="Q33" s="46"/>
    </row>
    <row r="34" spans="2:17">
      <c r="B34" s="51" t="s">
        <v>220</v>
      </c>
      <c r="C34" s="47" t="s">
        <v>84</v>
      </c>
      <c r="D34" s="47" t="s">
        <v>85</v>
      </c>
      <c r="E34" s="47" t="s">
        <v>1981</v>
      </c>
      <c r="F34" s="47" t="s">
        <v>1979</v>
      </c>
      <c r="G34" s="47" t="s">
        <v>1912</v>
      </c>
      <c r="H34" t="s">
        <v>1913</v>
      </c>
      <c r="I34" t="s">
        <v>1913</v>
      </c>
      <c r="J34" s="47" t="s">
        <v>1935</v>
      </c>
      <c r="K34" s="47" t="s">
        <v>1982</v>
      </c>
      <c r="L34" s="47" t="s">
        <v>1941</v>
      </c>
      <c r="M34" s="49"/>
      <c r="N34" s="49">
        <v>205</v>
      </c>
      <c r="O34" s="47"/>
      <c r="P34" s="47"/>
      <c r="Q34" s="48"/>
    </row>
    <row r="35" spans="2:17">
      <c r="B35" s="32" t="s">
        <v>203</v>
      </c>
      <c r="C35" s="32" t="s">
        <v>32</v>
      </c>
      <c r="D35" s="44" t="s">
        <v>33</v>
      </c>
      <c r="E35" s="32" t="s">
        <v>1983</v>
      </c>
      <c r="F35" s="44" t="s">
        <v>1984</v>
      </c>
      <c r="G35" s="44" t="s">
        <v>1935</v>
      </c>
      <c r="H35" s="32" t="s">
        <v>1935</v>
      </c>
      <c r="I35" s="32" t="s">
        <v>1912</v>
      </c>
      <c r="J35" s="32" t="s">
        <v>1935</v>
      </c>
      <c r="K35" s="32" t="s">
        <v>1976</v>
      </c>
      <c r="L35" s="32" t="s">
        <v>1941</v>
      </c>
      <c r="M35" s="32">
        <v>0</v>
      </c>
      <c r="N35" s="32"/>
      <c r="O35" s="32"/>
      <c r="P35" s="32"/>
      <c r="Q35" s="32"/>
    </row>
    <row r="36" spans="2:17">
      <c r="B36" s="51" t="s">
        <v>203</v>
      </c>
      <c r="C36" t="s">
        <v>32</v>
      </c>
      <c r="D36" t="s">
        <v>94</v>
      </c>
      <c r="E36" t="s">
        <v>1985</v>
      </c>
      <c r="F36" t="s">
        <v>1986</v>
      </c>
      <c r="G36" t="s">
        <v>1935</v>
      </c>
      <c r="H36" t="s">
        <v>1935</v>
      </c>
      <c r="I36" t="s">
        <v>1912</v>
      </c>
      <c r="J36" t="s">
        <v>1935</v>
      </c>
      <c r="K36" t="s">
        <v>1976</v>
      </c>
      <c r="L36" t="s">
        <v>1941</v>
      </c>
      <c r="M36">
        <v>0</v>
      </c>
    </row>
    <row r="37" spans="2:17">
      <c r="B37" s="32" t="s">
        <v>203</v>
      </c>
      <c r="C37" t="s">
        <v>32</v>
      </c>
      <c r="D37" t="s">
        <v>37</v>
      </c>
      <c r="E37" t="s">
        <v>1987</v>
      </c>
      <c r="F37" t="s">
        <v>1988</v>
      </c>
      <c r="G37" t="s">
        <v>1935</v>
      </c>
      <c r="H37" t="s">
        <v>1935</v>
      </c>
      <c r="I37" t="s">
        <v>1912</v>
      </c>
      <c r="J37" t="s">
        <v>1935</v>
      </c>
      <c r="K37" t="s">
        <v>1976</v>
      </c>
      <c r="L37" t="s">
        <v>1941</v>
      </c>
      <c r="M37">
        <v>0</v>
      </c>
    </row>
    <row r="38" spans="2:17">
      <c r="B38" s="32" t="s">
        <v>203</v>
      </c>
      <c r="C38" t="s">
        <v>32</v>
      </c>
      <c r="D38" t="s">
        <v>41</v>
      </c>
      <c r="E38" t="s">
        <v>1989</v>
      </c>
      <c r="F38" t="s">
        <v>1990</v>
      </c>
      <c r="G38" t="s">
        <v>1935</v>
      </c>
      <c r="H38" t="s">
        <v>1935</v>
      </c>
      <c r="I38" t="s">
        <v>1912</v>
      </c>
      <c r="J38" t="s">
        <v>1935</v>
      </c>
      <c r="K38" t="s">
        <v>1976</v>
      </c>
      <c r="L38" t="s">
        <v>1941</v>
      </c>
      <c r="M38">
        <v>0</v>
      </c>
      <c r="N38">
        <v>0</v>
      </c>
      <c r="O38">
        <v>0</v>
      </c>
      <c r="P38">
        <v>36</v>
      </c>
    </row>
    <row r="39" spans="2:17">
      <c r="B39" s="32" t="s">
        <v>203</v>
      </c>
    </row>
  </sheetData>
  <mergeCells count="1">
    <mergeCell ref="G1:J1"/>
  </mergeCells>
  <conditionalFormatting sqref="E4">
    <cfRule type="duplicateValues" dxfId="35" priority="5"/>
  </conditionalFormatting>
  <conditionalFormatting sqref="E5">
    <cfRule type="duplicateValues" dxfId="34" priority="6"/>
  </conditionalFormatting>
  <conditionalFormatting sqref="E7">
    <cfRule type="duplicateValues" dxfId="33" priority="7"/>
  </conditionalFormatting>
  <conditionalFormatting sqref="E8">
    <cfRule type="duplicateValues" dxfId="32" priority="4"/>
  </conditionalFormatting>
  <conditionalFormatting sqref="E13:E14">
    <cfRule type="duplicateValues" dxfId="31" priority="15"/>
  </conditionalFormatting>
  <conditionalFormatting sqref="E27 E30 E16:E19 E3 E9:E11 E6 E22:E25">
    <cfRule type="duplicateValues" dxfId="30" priority="19"/>
  </conditionalFormatting>
  <conditionalFormatting sqref="E31">
    <cfRule type="duplicateValues" dxfId="29" priority="16"/>
  </conditionalFormatting>
  <conditionalFormatting sqref="E36">
    <cfRule type="duplicateValues" dxfId="28" priority="1"/>
  </conditionalFormatting>
  <conditionalFormatting sqref="E38">
    <cfRule type="duplicateValues" dxfId="27" priority="20"/>
  </conditionalFormatting>
  <conditionalFormatting sqref="E15:F15">
    <cfRule type="duplicateValues" dxfId="26" priority="14"/>
  </conditionalFormatting>
  <dataValidations count="4">
    <dataValidation type="list" allowBlank="1" showInputMessage="1" showErrorMessage="1" sqref="C25 C30 B3:B39" xr:uid="{4F3FFFEE-8A55-4583-AFE8-5203BD3CB09F}">
      <formula1>ServiceOwners</formula1>
    </dataValidation>
    <dataValidation type="list" allowBlank="1" showInputMessage="1" showErrorMessage="1" sqref="C26:C29 C3:C24 C35:C38" xr:uid="{CAFE0D0B-8984-4CA7-8455-2EB24653878D}">
      <formula1>l_Category</formula1>
    </dataValidation>
    <dataValidation type="list" allowBlank="1" showInputMessage="1" showErrorMessage="1" sqref="D3:D21 D26:D29 D35:D38" xr:uid="{6C220122-A9AA-416D-8431-23EDC579E0EA}">
      <formula1>INDIRECT($C3)</formula1>
    </dataValidation>
    <dataValidation type="list" allowBlank="1" showInputMessage="1" showErrorMessage="1" sqref="E12" xr:uid="{0D17A66C-83C5-4CC0-9B63-43A9D65011D9}">
      <formula1>INDIRECT(TRIM(SUBSTITUTE(SUBSTITUTE($H12," - ","_")," ", "_")))</formula1>
    </dataValidation>
  </dataValidation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16C78-FED5-4D79-8D91-DD49B994843F}">
  <dimension ref="A1:J57"/>
  <sheetViews>
    <sheetView topLeftCell="A27" workbookViewId="0">
      <selection activeCell="I53" sqref="I53"/>
    </sheetView>
  </sheetViews>
  <sheetFormatPr defaultColWidth="8.85546875" defaultRowHeight="14.45"/>
  <cols>
    <col min="1" max="1" width="29.42578125" bestFit="1" customWidth="1"/>
    <col min="3" max="3" width="20.42578125" bestFit="1" customWidth="1"/>
    <col min="4" max="4" width="24.42578125" bestFit="1" customWidth="1"/>
    <col min="5" max="5" width="17.42578125" style="32" customWidth="1"/>
    <col min="6" max="6" width="29.85546875" bestFit="1" customWidth="1"/>
    <col min="9" max="9" width="29.42578125" bestFit="1" customWidth="1"/>
  </cols>
  <sheetData>
    <row r="1" spans="1:10">
      <c r="A1" s="16" t="s">
        <v>2</v>
      </c>
      <c r="B1" s="17" t="s">
        <v>1</v>
      </c>
      <c r="C1" s="17" t="s">
        <v>1991</v>
      </c>
      <c r="D1" s="17" t="s">
        <v>1992</v>
      </c>
      <c r="E1" s="141" t="s">
        <v>1993</v>
      </c>
      <c r="F1" s="18" t="s">
        <v>1994</v>
      </c>
      <c r="I1" s="22" t="s">
        <v>2</v>
      </c>
      <c r="J1" s="23" t="s">
        <v>1</v>
      </c>
    </row>
    <row r="2" spans="1:10">
      <c r="A2" s="13" t="s">
        <v>1995</v>
      </c>
      <c r="B2" s="11" t="s">
        <v>430</v>
      </c>
      <c r="C2" s="11" t="s">
        <v>1996</v>
      </c>
      <c r="D2" s="11" t="s">
        <v>1997</v>
      </c>
      <c r="E2" s="12">
        <v>66778842</v>
      </c>
      <c r="F2" s="14" t="s">
        <v>1998</v>
      </c>
      <c r="I2" t="s">
        <v>1995</v>
      </c>
      <c r="J2" t="s">
        <v>430</v>
      </c>
    </row>
    <row r="3" spans="1:10">
      <c r="A3" s="13" t="s">
        <v>1995</v>
      </c>
      <c r="B3" s="11" t="s">
        <v>430</v>
      </c>
      <c r="C3" s="11" t="s">
        <v>1999</v>
      </c>
      <c r="D3" s="11" t="s">
        <v>1997</v>
      </c>
      <c r="E3" s="12">
        <v>66778842</v>
      </c>
      <c r="F3" s="14" t="s">
        <v>1998</v>
      </c>
      <c r="I3" t="s">
        <v>422</v>
      </c>
      <c r="J3" t="s">
        <v>18</v>
      </c>
    </row>
    <row r="4" spans="1:10">
      <c r="A4" s="13" t="s">
        <v>422</v>
      </c>
      <c r="B4" s="11" t="s">
        <v>18</v>
      </c>
      <c r="C4" s="11" t="s">
        <v>1996</v>
      </c>
      <c r="D4" s="11" t="s">
        <v>2000</v>
      </c>
      <c r="E4" s="12">
        <v>50562747</v>
      </c>
      <c r="F4" s="14"/>
      <c r="I4" t="s">
        <v>2001</v>
      </c>
      <c r="J4" t="s">
        <v>177</v>
      </c>
    </row>
    <row r="5" spans="1:10">
      <c r="A5" s="13" t="s">
        <v>422</v>
      </c>
      <c r="B5" s="11" t="s">
        <v>18</v>
      </c>
      <c r="C5" s="11" t="s">
        <v>1999</v>
      </c>
      <c r="D5" s="11" t="s">
        <v>2002</v>
      </c>
      <c r="E5" s="12">
        <v>33807055</v>
      </c>
      <c r="F5" s="15" t="s">
        <v>2003</v>
      </c>
      <c r="I5" t="s">
        <v>369</v>
      </c>
      <c r="J5" t="s">
        <v>188</v>
      </c>
    </row>
    <row r="6" spans="1:10">
      <c r="A6" s="13" t="s">
        <v>2004</v>
      </c>
      <c r="B6" s="11" t="s">
        <v>189</v>
      </c>
      <c r="C6" s="11" t="s">
        <v>1996</v>
      </c>
      <c r="D6" s="11" t="s">
        <v>2005</v>
      </c>
      <c r="E6" s="12" t="s">
        <v>2006</v>
      </c>
      <c r="F6" s="14" t="s">
        <v>2007</v>
      </c>
      <c r="I6" t="s">
        <v>2004</v>
      </c>
      <c r="J6" t="s">
        <v>189</v>
      </c>
    </row>
    <row r="7" spans="1:10">
      <c r="A7" s="13" t="s">
        <v>2004</v>
      </c>
      <c r="B7" s="11" t="s">
        <v>189</v>
      </c>
      <c r="C7" s="11" t="s">
        <v>1999</v>
      </c>
      <c r="D7" s="11" t="s">
        <v>2008</v>
      </c>
      <c r="E7" s="12" t="s">
        <v>2009</v>
      </c>
      <c r="F7" s="14" t="s">
        <v>2010</v>
      </c>
      <c r="I7" t="s">
        <v>373</v>
      </c>
      <c r="J7" t="s">
        <v>190</v>
      </c>
    </row>
    <row r="8" spans="1:10">
      <c r="A8" s="13" t="s">
        <v>377</v>
      </c>
      <c r="B8" s="11" t="s">
        <v>192</v>
      </c>
      <c r="C8" s="11" t="s">
        <v>1996</v>
      </c>
      <c r="D8" s="11" t="s">
        <v>2011</v>
      </c>
      <c r="E8" s="12"/>
      <c r="F8" s="14"/>
      <c r="I8" t="s">
        <v>395</v>
      </c>
      <c r="J8" t="s">
        <v>394</v>
      </c>
    </row>
    <row r="9" spans="1:10">
      <c r="A9" s="13" t="s">
        <v>377</v>
      </c>
      <c r="B9" s="11" t="s">
        <v>192</v>
      </c>
      <c r="C9" s="11" t="s">
        <v>1999</v>
      </c>
      <c r="D9" s="11" t="s">
        <v>2012</v>
      </c>
      <c r="E9" s="12" t="s">
        <v>2011</v>
      </c>
      <c r="F9" s="14" t="s">
        <v>2013</v>
      </c>
      <c r="I9" t="s">
        <v>2014</v>
      </c>
      <c r="J9" t="s">
        <v>206</v>
      </c>
    </row>
    <row r="10" spans="1:10">
      <c r="A10" s="13" t="s">
        <v>2015</v>
      </c>
      <c r="B10" s="11" t="s">
        <v>436</v>
      </c>
      <c r="C10" s="11" t="s">
        <v>1996</v>
      </c>
      <c r="D10" s="11" t="s">
        <v>2016</v>
      </c>
      <c r="E10" s="12">
        <v>55679692</v>
      </c>
      <c r="F10" s="14" t="s">
        <v>2017</v>
      </c>
      <c r="I10" t="s">
        <v>382</v>
      </c>
      <c r="J10" t="s">
        <v>191</v>
      </c>
    </row>
    <row r="11" spans="1:10">
      <c r="A11" s="13" t="s">
        <v>2015</v>
      </c>
      <c r="B11" s="11" t="s">
        <v>436</v>
      </c>
      <c r="C11" s="11" t="s">
        <v>1999</v>
      </c>
      <c r="D11" s="11" t="s">
        <v>2018</v>
      </c>
      <c r="E11" s="12">
        <v>77352927</v>
      </c>
      <c r="F11" s="14" t="s">
        <v>2019</v>
      </c>
      <c r="I11" t="s">
        <v>377</v>
      </c>
      <c r="J11" t="s">
        <v>192</v>
      </c>
    </row>
    <row r="12" spans="1:10">
      <c r="A12" s="13" t="s">
        <v>2020</v>
      </c>
      <c r="B12" s="11" t="s">
        <v>63</v>
      </c>
      <c r="C12" s="11" t="s">
        <v>1996</v>
      </c>
      <c r="D12" s="11" t="s">
        <v>2021</v>
      </c>
      <c r="E12" s="12" t="s">
        <v>2022</v>
      </c>
      <c r="F12" s="14" t="s">
        <v>2023</v>
      </c>
      <c r="I12" t="s">
        <v>2015</v>
      </c>
      <c r="J12" t="s">
        <v>436</v>
      </c>
    </row>
    <row r="13" spans="1:10">
      <c r="A13" s="13" t="s">
        <v>2020</v>
      </c>
      <c r="B13" s="11" t="s">
        <v>63</v>
      </c>
      <c r="C13" s="11" t="s">
        <v>1999</v>
      </c>
      <c r="D13" s="11" t="s">
        <v>2024</v>
      </c>
      <c r="E13" s="12" t="s">
        <v>2025</v>
      </c>
      <c r="F13" s="14" t="s">
        <v>2026</v>
      </c>
      <c r="I13" t="s">
        <v>410</v>
      </c>
      <c r="J13" t="s">
        <v>193</v>
      </c>
    </row>
    <row r="14" spans="1:10">
      <c r="A14" s="13" t="s">
        <v>401</v>
      </c>
      <c r="B14" s="11" t="s">
        <v>400</v>
      </c>
      <c r="C14" s="11" t="s">
        <v>1996</v>
      </c>
      <c r="D14" s="11" t="s">
        <v>2011</v>
      </c>
      <c r="E14" s="12"/>
      <c r="F14" s="15"/>
      <c r="I14" t="s">
        <v>390</v>
      </c>
      <c r="J14" t="s">
        <v>389</v>
      </c>
    </row>
    <row r="15" spans="1:10">
      <c r="A15" s="13" t="s">
        <v>401</v>
      </c>
      <c r="B15" s="11" t="s">
        <v>400</v>
      </c>
      <c r="C15" s="11" t="s">
        <v>1999</v>
      </c>
      <c r="D15" s="11" t="s">
        <v>2027</v>
      </c>
      <c r="E15" s="12">
        <v>55201562</v>
      </c>
      <c r="F15" s="40" t="s">
        <v>2028</v>
      </c>
      <c r="I15" t="s">
        <v>182</v>
      </c>
      <c r="J15" t="s">
        <v>182</v>
      </c>
    </row>
    <row r="16" spans="1:10">
      <c r="A16" s="13" t="s">
        <v>2029</v>
      </c>
      <c r="B16" s="11" t="s">
        <v>207</v>
      </c>
      <c r="C16" s="11" t="s">
        <v>1996</v>
      </c>
      <c r="D16" s="11" t="s">
        <v>2030</v>
      </c>
      <c r="E16" s="12">
        <v>33223078</v>
      </c>
      <c r="F16" s="14" t="s">
        <v>2031</v>
      </c>
      <c r="I16" t="s">
        <v>2020</v>
      </c>
      <c r="J16" t="s">
        <v>63</v>
      </c>
    </row>
    <row r="17" spans="1:10">
      <c r="A17" s="13" t="s">
        <v>2029</v>
      </c>
      <c r="B17" s="11" t="s">
        <v>207</v>
      </c>
      <c r="C17" s="11" t="s">
        <v>1999</v>
      </c>
      <c r="D17" s="11" t="s">
        <v>2030</v>
      </c>
      <c r="E17" s="12">
        <v>33223078</v>
      </c>
      <c r="F17" s="14" t="s">
        <v>2031</v>
      </c>
      <c r="I17" t="s">
        <v>384</v>
      </c>
      <c r="J17" t="s">
        <v>194</v>
      </c>
    </row>
    <row r="18" spans="1:10">
      <c r="A18" s="13" t="s">
        <v>2032</v>
      </c>
      <c r="B18" s="11" t="s">
        <v>199</v>
      </c>
      <c r="C18" s="11" t="s">
        <v>1996</v>
      </c>
      <c r="D18" s="122" t="s">
        <v>2033</v>
      </c>
      <c r="E18" s="127">
        <v>52022000</v>
      </c>
      <c r="F18" s="129" t="s">
        <v>2034</v>
      </c>
      <c r="I18" t="s">
        <v>401</v>
      </c>
      <c r="J18" t="s">
        <v>400</v>
      </c>
    </row>
    <row r="19" spans="1:10">
      <c r="A19" s="13" t="s">
        <v>2032</v>
      </c>
      <c r="B19" s="11" t="s">
        <v>199</v>
      </c>
      <c r="C19" s="11" t="s">
        <v>1999</v>
      </c>
      <c r="D19" s="130" t="s">
        <v>2035</v>
      </c>
      <c r="E19" s="142">
        <v>55204614</v>
      </c>
      <c r="F19" s="131" t="s">
        <v>2036</v>
      </c>
      <c r="I19" t="s">
        <v>2037</v>
      </c>
      <c r="J19" t="s">
        <v>137</v>
      </c>
    </row>
    <row r="20" spans="1:10">
      <c r="A20" s="13" t="s">
        <v>197</v>
      </c>
      <c r="B20" s="11" t="s">
        <v>197</v>
      </c>
      <c r="C20" s="11" t="s">
        <v>1996</v>
      </c>
      <c r="D20" s="41" t="s">
        <v>2038</v>
      </c>
      <c r="E20" s="42">
        <v>31333500</v>
      </c>
      <c r="F20" s="42" t="s">
        <v>2039</v>
      </c>
      <c r="I20" t="s">
        <v>2040</v>
      </c>
      <c r="J20" t="s">
        <v>195</v>
      </c>
    </row>
    <row r="21" spans="1:10">
      <c r="A21" s="13" t="s">
        <v>197</v>
      </c>
      <c r="B21" s="11" t="s">
        <v>197</v>
      </c>
      <c r="C21" s="11" t="s">
        <v>1999</v>
      </c>
      <c r="D21" s="41" t="s">
        <v>2011</v>
      </c>
      <c r="E21" s="42"/>
      <c r="F21" s="11"/>
      <c r="I21" t="s">
        <v>2029</v>
      </c>
      <c r="J21" t="s">
        <v>207</v>
      </c>
    </row>
    <row r="22" spans="1:10">
      <c r="A22" s="13" t="s">
        <v>2041</v>
      </c>
      <c r="B22" s="11" t="s">
        <v>82</v>
      </c>
      <c r="C22" s="11" t="s">
        <v>1996</v>
      </c>
      <c r="D22" s="11"/>
      <c r="E22" s="12"/>
      <c r="F22" s="14"/>
      <c r="I22" t="s">
        <v>2042</v>
      </c>
      <c r="J22" t="s">
        <v>196</v>
      </c>
    </row>
    <row r="23" spans="1:10">
      <c r="A23" s="13" t="s">
        <v>2041</v>
      </c>
      <c r="B23" s="11" t="s">
        <v>82</v>
      </c>
      <c r="C23" s="11" t="s">
        <v>1999</v>
      </c>
      <c r="D23" s="11"/>
      <c r="E23" s="12"/>
      <c r="F23" s="14"/>
      <c r="I23" t="s">
        <v>2032</v>
      </c>
      <c r="J23" t="s">
        <v>199</v>
      </c>
    </row>
    <row r="24" spans="1:10">
      <c r="A24" s="13" t="s">
        <v>406</v>
      </c>
      <c r="B24" s="11" t="s">
        <v>198</v>
      </c>
      <c r="C24" s="11" t="s">
        <v>1996</v>
      </c>
      <c r="D24" s="11" t="s">
        <v>2043</v>
      </c>
      <c r="E24" s="12"/>
      <c r="F24" s="14" t="s">
        <v>2044</v>
      </c>
      <c r="I24" t="s">
        <v>197</v>
      </c>
      <c r="J24" t="s">
        <v>197</v>
      </c>
    </row>
    <row r="25" spans="1:10">
      <c r="A25" s="13" t="s">
        <v>406</v>
      </c>
      <c r="B25" s="11" t="s">
        <v>198</v>
      </c>
      <c r="C25" s="11" t="s">
        <v>1999</v>
      </c>
      <c r="D25" s="11" t="s">
        <v>2045</v>
      </c>
      <c r="E25" s="12">
        <v>55713308</v>
      </c>
      <c r="F25" s="14" t="s">
        <v>2046</v>
      </c>
      <c r="I25" s="19" t="s">
        <v>2041</v>
      </c>
      <c r="J25" s="64" t="s">
        <v>82</v>
      </c>
    </row>
    <row r="26" spans="1:10">
      <c r="A26" s="13" t="s">
        <v>413</v>
      </c>
      <c r="B26" s="11" t="s">
        <v>90</v>
      </c>
      <c r="C26" s="11" t="s">
        <v>1996</v>
      </c>
      <c r="D26" s="11" t="s">
        <v>2047</v>
      </c>
      <c r="E26" s="12" t="s">
        <v>2048</v>
      </c>
      <c r="F26" s="14" t="s">
        <v>2049</v>
      </c>
      <c r="I26" s="19" t="s">
        <v>2050</v>
      </c>
      <c r="J26" s="64" t="s">
        <v>156</v>
      </c>
    </row>
    <row r="27" spans="1:10">
      <c r="A27" s="13" t="s">
        <v>413</v>
      </c>
      <c r="B27" s="11" t="s">
        <v>90</v>
      </c>
      <c r="C27" s="11" t="s">
        <v>1999</v>
      </c>
      <c r="D27" s="11" t="s">
        <v>2051</v>
      </c>
      <c r="E27" s="12" t="s">
        <v>2052</v>
      </c>
      <c r="F27" s="14" t="s">
        <v>2053</v>
      </c>
      <c r="I27" s="19" t="s">
        <v>406</v>
      </c>
      <c r="J27" s="64" t="s">
        <v>198</v>
      </c>
    </row>
    <row r="28" spans="1:10">
      <c r="A28" s="13" t="s">
        <v>2037</v>
      </c>
      <c r="B28" s="11" t="s">
        <v>137</v>
      </c>
      <c r="C28" s="11" t="s">
        <v>1996</v>
      </c>
      <c r="D28" s="11" t="s">
        <v>2054</v>
      </c>
      <c r="E28" s="12">
        <v>33855533</v>
      </c>
      <c r="F28" s="14" t="s">
        <v>2055</v>
      </c>
      <c r="I28" s="19" t="s">
        <v>413</v>
      </c>
      <c r="J28" s="64" t="s">
        <v>90</v>
      </c>
    </row>
    <row r="29" spans="1:10">
      <c r="A29" s="13" t="s">
        <v>2037</v>
      </c>
      <c r="B29" s="11" t="s">
        <v>137</v>
      </c>
      <c r="C29" s="20" t="s">
        <v>1999</v>
      </c>
      <c r="D29" s="20" t="s">
        <v>2056</v>
      </c>
      <c r="E29" s="143">
        <v>33249222</v>
      </c>
      <c r="F29" s="21" t="s">
        <v>2057</v>
      </c>
      <c r="I29" s="19" t="s">
        <v>2058</v>
      </c>
      <c r="J29" s="64" t="s">
        <v>201</v>
      </c>
    </row>
    <row r="30" spans="1:10">
      <c r="A30" s="19" t="s">
        <v>373</v>
      </c>
      <c r="B30" s="20" t="s">
        <v>190</v>
      </c>
      <c r="C30" s="11" t="s">
        <v>1996</v>
      </c>
      <c r="D30" s="20" t="s">
        <v>2059</v>
      </c>
      <c r="E30" s="143"/>
      <c r="F30" s="21" t="s">
        <v>2060</v>
      </c>
      <c r="I30" s="19" t="s">
        <v>200</v>
      </c>
      <c r="J30" s="64" t="s">
        <v>200</v>
      </c>
    </row>
    <row r="31" spans="1:10">
      <c r="A31" s="19" t="s">
        <v>373</v>
      </c>
      <c r="B31" s="20" t="s">
        <v>190</v>
      </c>
      <c r="C31" s="20" t="s">
        <v>1999</v>
      </c>
      <c r="D31" s="20" t="s">
        <v>2061</v>
      </c>
      <c r="E31" s="143">
        <v>33769262</v>
      </c>
      <c r="F31" s="21" t="s">
        <v>2062</v>
      </c>
      <c r="I31" s="19" t="s">
        <v>2063</v>
      </c>
      <c r="J31" s="64" t="s">
        <v>1895</v>
      </c>
    </row>
    <row r="32" spans="1:10">
      <c r="A32" s="13" t="s">
        <v>369</v>
      </c>
      <c r="B32" s="11" t="s">
        <v>188</v>
      </c>
      <c r="C32" s="11" t="s">
        <v>1996</v>
      </c>
      <c r="D32" s="11" t="s">
        <v>2064</v>
      </c>
      <c r="E32" s="12" t="s">
        <v>2065</v>
      </c>
      <c r="F32" s="14" t="s">
        <v>2066</v>
      </c>
    </row>
    <row r="33" spans="1:6">
      <c r="A33" s="19" t="s">
        <v>369</v>
      </c>
      <c r="B33" s="11" t="s">
        <v>188</v>
      </c>
      <c r="C33" s="20" t="s">
        <v>1999</v>
      </c>
      <c r="D33" s="20" t="s">
        <v>2067</v>
      </c>
      <c r="E33" s="143" t="s">
        <v>2068</v>
      </c>
      <c r="F33" s="21" t="s">
        <v>2069</v>
      </c>
    </row>
    <row r="34" spans="1:6">
      <c r="A34" s="19" t="s">
        <v>2014</v>
      </c>
      <c r="B34" s="20" t="s">
        <v>206</v>
      </c>
      <c r="C34" s="11" t="s">
        <v>1996</v>
      </c>
      <c r="D34" s="20" t="s">
        <v>2070</v>
      </c>
      <c r="E34" s="143">
        <v>66603111</v>
      </c>
      <c r="F34" s="21" t="s">
        <v>2071</v>
      </c>
    </row>
    <row r="35" spans="1:6">
      <c r="A35" s="19" t="s">
        <v>2014</v>
      </c>
      <c r="B35" s="20" t="s">
        <v>206</v>
      </c>
      <c r="C35" s="20" t="s">
        <v>1999</v>
      </c>
      <c r="D35" s="20" t="s">
        <v>2070</v>
      </c>
      <c r="E35" s="143">
        <v>66603111</v>
      </c>
      <c r="F35" s="21" t="s">
        <v>2071</v>
      </c>
    </row>
    <row r="36" spans="1:6">
      <c r="A36" s="19" t="s">
        <v>395</v>
      </c>
      <c r="B36" s="20" t="s">
        <v>394</v>
      </c>
      <c r="C36" s="11" t="s">
        <v>1996</v>
      </c>
      <c r="D36" s="20" t="s">
        <v>2011</v>
      </c>
      <c r="E36" s="143"/>
      <c r="F36" s="21"/>
    </row>
    <row r="37" spans="1:6">
      <c r="A37" s="19" t="s">
        <v>395</v>
      </c>
      <c r="B37" s="20" t="s">
        <v>394</v>
      </c>
      <c r="C37" s="20" t="s">
        <v>1999</v>
      </c>
      <c r="D37" s="20" t="s">
        <v>2072</v>
      </c>
      <c r="E37" s="143">
        <v>55288318</v>
      </c>
      <c r="F37" s="21" t="s">
        <v>2073</v>
      </c>
    </row>
    <row r="38" spans="1:6">
      <c r="A38" s="13" t="s">
        <v>410</v>
      </c>
      <c r="B38" s="11" t="s">
        <v>193</v>
      </c>
      <c r="C38" s="11" t="s">
        <v>1996</v>
      </c>
      <c r="D38" s="11" t="s">
        <v>2074</v>
      </c>
      <c r="E38" s="12">
        <v>50642431</v>
      </c>
      <c r="F38" s="14" t="s">
        <v>2075</v>
      </c>
    </row>
    <row r="39" spans="1:6">
      <c r="A39" s="13" t="s">
        <v>410</v>
      </c>
      <c r="B39" s="11" t="s">
        <v>193</v>
      </c>
      <c r="C39" s="20" t="s">
        <v>1999</v>
      </c>
      <c r="D39" s="20" t="s">
        <v>2076</v>
      </c>
      <c r="E39" s="143">
        <v>31340566</v>
      </c>
      <c r="F39" s="21" t="s">
        <v>2077</v>
      </c>
    </row>
    <row r="40" spans="1:6">
      <c r="A40" s="13" t="s">
        <v>2040</v>
      </c>
      <c r="B40" s="11" t="s">
        <v>195</v>
      </c>
      <c r="C40" s="11" t="s">
        <v>1996</v>
      </c>
      <c r="D40" s="11" t="s">
        <v>2078</v>
      </c>
      <c r="E40" s="12">
        <v>77846499</v>
      </c>
      <c r="F40" s="14" t="s">
        <v>2079</v>
      </c>
    </row>
    <row r="41" spans="1:6">
      <c r="A41" s="13" t="s">
        <v>2040</v>
      </c>
      <c r="B41" s="20" t="s">
        <v>195</v>
      </c>
      <c r="C41" s="20" t="s">
        <v>1999</v>
      </c>
      <c r="D41" s="20" t="s">
        <v>2080</v>
      </c>
      <c r="E41" s="143">
        <v>55234120</v>
      </c>
      <c r="F41" s="21" t="s">
        <v>2081</v>
      </c>
    </row>
    <row r="42" spans="1:6">
      <c r="A42" s="13" t="s">
        <v>382</v>
      </c>
      <c r="B42" s="11" t="s">
        <v>191</v>
      </c>
      <c r="C42" s="11" t="s">
        <v>1996</v>
      </c>
      <c r="D42" s="11" t="s">
        <v>2082</v>
      </c>
      <c r="E42" s="12">
        <v>31348996</v>
      </c>
      <c r="F42" s="14" t="s">
        <v>2083</v>
      </c>
    </row>
    <row r="43" spans="1:6">
      <c r="A43" s="13" t="s">
        <v>382</v>
      </c>
      <c r="B43" s="11" t="s">
        <v>191</v>
      </c>
      <c r="C43" s="20" t="s">
        <v>1999</v>
      </c>
      <c r="D43" s="20" t="s">
        <v>2084</v>
      </c>
      <c r="E43" s="143">
        <v>55596574</v>
      </c>
      <c r="F43" s="21" t="s">
        <v>2085</v>
      </c>
    </row>
    <row r="44" spans="1:6">
      <c r="A44" s="13" t="s">
        <v>2042</v>
      </c>
      <c r="B44" s="11" t="s">
        <v>196</v>
      </c>
      <c r="C44" s="11" t="s">
        <v>1996</v>
      </c>
      <c r="D44" s="11" t="s">
        <v>2086</v>
      </c>
      <c r="E44" s="12">
        <v>55384884</v>
      </c>
      <c r="F44" s="14" t="s">
        <v>2087</v>
      </c>
    </row>
    <row r="45" spans="1:6">
      <c r="A45" s="13" t="s">
        <v>2042</v>
      </c>
      <c r="B45" s="20" t="s">
        <v>196</v>
      </c>
      <c r="C45" s="20" t="s">
        <v>1999</v>
      </c>
      <c r="D45" s="20" t="s">
        <v>2088</v>
      </c>
      <c r="E45" s="143">
        <v>33298159</v>
      </c>
      <c r="F45" s="21" t="s">
        <v>2089</v>
      </c>
    </row>
    <row r="46" spans="1:6">
      <c r="A46" s="13" t="s">
        <v>384</v>
      </c>
      <c r="B46" s="11" t="s">
        <v>194</v>
      </c>
      <c r="C46" s="11" t="s">
        <v>1996</v>
      </c>
      <c r="D46" s="11" t="s">
        <v>2090</v>
      </c>
      <c r="E46" s="12" t="s">
        <v>2091</v>
      </c>
      <c r="F46" s="14" t="s">
        <v>2092</v>
      </c>
    </row>
    <row r="47" spans="1:6">
      <c r="A47" s="13" t="s">
        <v>384</v>
      </c>
      <c r="B47" s="20" t="s">
        <v>194</v>
      </c>
      <c r="C47" s="20" t="s">
        <v>1999</v>
      </c>
      <c r="D47" s="20" t="s">
        <v>2011</v>
      </c>
      <c r="E47" s="143" t="s">
        <v>2011</v>
      </c>
      <c r="F47" s="21" t="s">
        <v>2011</v>
      </c>
    </row>
    <row r="48" spans="1:6">
      <c r="A48" s="13" t="s">
        <v>2050</v>
      </c>
      <c r="B48" s="11" t="s">
        <v>156</v>
      </c>
      <c r="C48" s="11" t="s">
        <v>1996</v>
      </c>
      <c r="D48" s="11" t="s">
        <v>2093</v>
      </c>
      <c r="E48" s="12" t="s">
        <v>2094</v>
      </c>
      <c r="F48" s="14" t="s">
        <v>2095</v>
      </c>
    </row>
    <row r="49" spans="1:6">
      <c r="A49" s="13" t="s">
        <v>2050</v>
      </c>
      <c r="B49" s="20" t="s">
        <v>156</v>
      </c>
      <c r="C49" s="20" t="s">
        <v>1999</v>
      </c>
      <c r="D49" s="20" t="s">
        <v>2096</v>
      </c>
      <c r="E49" s="143" t="s">
        <v>1912</v>
      </c>
      <c r="F49" s="21" t="s">
        <v>2097</v>
      </c>
    </row>
    <row r="50" spans="1:6">
      <c r="A50" s="19" t="s">
        <v>182</v>
      </c>
      <c r="B50" s="20" t="s">
        <v>182</v>
      </c>
      <c r="C50" s="20" t="s">
        <v>1999</v>
      </c>
      <c r="D50" s="20" t="s">
        <v>2098</v>
      </c>
      <c r="E50" s="143">
        <v>30182039</v>
      </c>
      <c r="F50" s="21" t="s">
        <v>2099</v>
      </c>
    </row>
    <row r="51" spans="1:6">
      <c r="A51" s="99" t="s">
        <v>2001</v>
      </c>
      <c r="B51" s="100" t="s">
        <v>177</v>
      </c>
      <c r="C51" s="11" t="s">
        <v>1996</v>
      </c>
      <c r="D51" s="100" t="s">
        <v>2100</v>
      </c>
      <c r="E51" s="144" t="s">
        <v>2101</v>
      </c>
      <c r="F51" s="14" t="s">
        <v>2102</v>
      </c>
    </row>
    <row r="52" spans="1:6">
      <c r="A52" s="101" t="s">
        <v>2001</v>
      </c>
      <c r="B52" s="102" t="s">
        <v>177</v>
      </c>
      <c r="C52" s="20" t="s">
        <v>1999</v>
      </c>
      <c r="D52" s="102" t="s">
        <v>2011</v>
      </c>
      <c r="E52" s="145"/>
      <c r="F52" s="21"/>
    </row>
    <row r="53" spans="1:6">
      <c r="A53" s="19" t="s">
        <v>390</v>
      </c>
      <c r="B53" s="20" t="s">
        <v>389</v>
      </c>
      <c r="C53" s="11" t="s">
        <v>1996</v>
      </c>
      <c r="D53" s="20"/>
      <c r="E53" s="143"/>
      <c r="F53" s="21"/>
    </row>
    <row r="54" spans="1:6">
      <c r="A54" s="19" t="s">
        <v>390</v>
      </c>
      <c r="B54" s="20" t="s">
        <v>389</v>
      </c>
      <c r="C54" s="20" t="s">
        <v>1999</v>
      </c>
      <c r="D54" s="20"/>
      <c r="E54" s="143"/>
      <c r="F54" s="21"/>
    </row>
    <row r="55" spans="1:6">
      <c r="A55" s="19" t="s">
        <v>2103</v>
      </c>
      <c r="B55" s="20" t="s">
        <v>200</v>
      </c>
      <c r="C55" s="20"/>
      <c r="D55" s="20"/>
      <c r="E55" s="143"/>
      <c r="F55" s="21"/>
    </row>
    <row r="56" spans="1:6">
      <c r="A56" s="19" t="s">
        <v>2058</v>
      </c>
      <c r="B56" s="20" t="s">
        <v>201</v>
      </c>
      <c r="C56" s="20"/>
      <c r="D56" s="20"/>
      <c r="E56" s="143"/>
      <c r="F56" s="21"/>
    </row>
    <row r="57" spans="1:6">
      <c r="A57" s="19" t="s">
        <v>2063</v>
      </c>
      <c r="B57" s="64" t="s">
        <v>1895</v>
      </c>
      <c r="C57" s="20"/>
      <c r="D57" s="20"/>
      <c r="E57" s="143"/>
      <c r="F57" s="21"/>
    </row>
  </sheetData>
  <conditionalFormatting sqref="A34:A35">
    <cfRule type="containsBlanks" dxfId="24" priority="7">
      <formula>LEN(TRIM(A34))=0</formula>
    </cfRule>
  </conditionalFormatting>
  <conditionalFormatting sqref="D2:F57">
    <cfRule type="containsText" dxfId="23" priority="6" operator="containsText" text="TBC">
      <formula>NOT(ISERROR(SEARCH("TBC",D2)))</formula>
    </cfRule>
  </conditionalFormatting>
  <conditionalFormatting sqref="D28:F29">
    <cfRule type="containsBlanks" dxfId="22" priority="9">
      <formula>LEN(TRIM(D28))=0</formula>
    </cfRule>
  </conditionalFormatting>
  <conditionalFormatting sqref="D38:F43">
    <cfRule type="containsBlanks" dxfId="21" priority="3">
      <formula>LEN(TRIM(D38))=0</formula>
    </cfRule>
  </conditionalFormatting>
  <conditionalFormatting sqref="D54:F54">
    <cfRule type="containsText" dxfId="20" priority="2" operator="containsText" text="TBC">
      <formula>NOT(ISERROR(SEARCH("TBC",D54)))</formula>
    </cfRule>
  </conditionalFormatting>
  <hyperlinks>
    <hyperlink ref="G4" r:id="rId1" display="g.nievas@loc.qa" xr:uid="{2351B895-ED36-422E-B173-6BAE96D6F27F}"/>
    <hyperlink ref="F20" r:id="rId2" xr:uid="{FC2BF7EA-2234-4A05-B296-D9A57147C671}"/>
    <hyperlink ref="F15" r:id="rId3" xr:uid="{9790D281-0B51-4487-A148-3E8FB25AC83A}"/>
    <hyperlink ref="F37" r:id="rId4" xr:uid="{700ABEEB-502C-44EA-B1DE-2B98CCCAB184}"/>
    <hyperlink ref="F38" r:id="rId5" xr:uid="{F3F89513-29FD-4BD9-A8CE-34C55C1DAFC6}"/>
    <hyperlink ref="F39" r:id="rId6" xr:uid="{58AA64C3-A199-4C4B-A226-62C46FC845C1}"/>
    <hyperlink ref="F40" r:id="rId7" xr:uid="{DC569E24-6266-4A7A-9F7A-213F9D702CF4}"/>
    <hyperlink ref="F41" r:id="rId8" xr:uid="{AFDE017C-9A30-448B-A83A-439823956CD1}"/>
    <hyperlink ref="F42" r:id="rId9" xr:uid="{F974F291-D704-4443-81F3-74329A3FA295}"/>
    <hyperlink ref="F43" r:id="rId10" xr:uid="{C1317805-DA5A-4CA4-814A-5C909E3BDCC3}"/>
    <hyperlink ref="G44" r:id="rId11" display="nmalkuwari@qsl.com.qa" xr:uid="{5CEC8248-51E1-4E5A-A8CC-ED9AD3D459E7}"/>
    <hyperlink ref="G45" r:id="rId12" display="csboui@qsl.com.qa" xr:uid="{02277EDC-1746-46FB-B0E4-263836DEDDC9}"/>
    <hyperlink ref="F50" r:id="rId13" xr:uid="{5DDED651-E95F-4606-9ECA-0083D34DEBB8}"/>
    <hyperlink ref="F51" r:id="rId14" display="mailto:i.vermeulen@sc.qa" xr:uid="{64267EC5-67DB-4855-A99E-620195290012}"/>
    <hyperlink ref="F18" r:id="rId15" xr:uid="{302A060D-119B-48C9-95F8-B24C6A993EE1}"/>
    <hyperlink ref="F19" r:id="rId16" xr:uid="{F3EE689F-D5CE-403E-B54F-584088F4999A}"/>
    <hyperlink ref="F12" r:id="rId17" xr:uid="{D8E2669E-7CF2-49A5-B611-E90447B4E91E}"/>
  </hyperlinks>
  <pageMargins left="0.7" right="0.7" top="0.75" bottom="0.75" header="0.3" footer="0.3"/>
  <pageSetup orientation="portrait" horizontalDpi="1200" verticalDpi="1200" r:id="rId18"/>
  <headerFooter>
    <oddHeader>&amp;L&amp;"Calibri"&amp;12&amp;K008000 SC Classification:GENERAL BUSINESS\Other General Business&amp;1#_x000D_</oddHeader>
  </headerFooter>
  <tableParts count="2">
    <tablePart r:id="rId19"/>
    <tablePart r:id="rId20"/>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E1A1-5242-4B2A-BBFC-A07F83D496D6}">
  <sheetPr>
    <tabColor rgb="FFFFFF00"/>
  </sheetPr>
  <dimension ref="A1:F14"/>
  <sheetViews>
    <sheetView workbookViewId="0">
      <selection activeCell="A3" sqref="A3"/>
    </sheetView>
  </sheetViews>
  <sheetFormatPr defaultColWidth="8.85546875" defaultRowHeight="14.45"/>
  <cols>
    <col min="1" max="1" width="13.85546875" bestFit="1" customWidth="1"/>
    <col min="2" max="2" width="6.42578125" customWidth="1"/>
    <col min="3" max="3" width="21.85546875" bestFit="1" customWidth="1"/>
    <col min="4" max="4" width="28.28515625" bestFit="1" customWidth="1"/>
    <col min="5" max="5" width="8.140625" bestFit="1" customWidth="1"/>
    <col min="6" max="6" width="11.85546875" bestFit="1" customWidth="1"/>
    <col min="7" max="8" width="19" bestFit="1" customWidth="1"/>
  </cols>
  <sheetData>
    <row r="1" spans="1:6" ht="24" customHeight="1">
      <c r="A1" s="168" t="s">
        <v>2104</v>
      </c>
      <c r="B1" s="168"/>
      <c r="C1" s="168"/>
      <c r="D1" s="168"/>
      <c r="E1" s="168"/>
      <c r="F1" s="168"/>
    </row>
    <row r="3" spans="1:6">
      <c r="A3" s="56" t="s">
        <v>3</v>
      </c>
      <c r="B3" t="s">
        <v>19</v>
      </c>
    </row>
    <row r="4" spans="1:6">
      <c r="A4" s="56" t="s">
        <v>0</v>
      </c>
      <c r="B4" t="s">
        <v>222</v>
      </c>
    </row>
    <row r="6" spans="1:6">
      <c r="A6" s="56" t="s">
        <v>4</v>
      </c>
      <c r="B6" s="56" t="s">
        <v>1</v>
      </c>
      <c r="C6" s="56" t="s">
        <v>5</v>
      </c>
      <c r="D6" s="56" t="s">
        <v>7</v>
      </c>
      <c r="E6" t="s">
        <v>2105</v>
      </c>
      <c r="F6" t="s">
        <v>2106</v>
      </c>
    </row>
    <row r="7" spans="1:6">
      <c r="A7" s="41" t="s">
        <v>177</v>
      </c>
      <c r="B7" s="41" t="s">
        <v>177</v>
      </c>
      <c r="C7" s="41" t="s">
        <v>178</v>
      </c>
      <c r="D7" s="41" t="s">
        <v>94</v>
      </c>
      <c r="E7">
        <v>0</v>
      </c>
      <c r="F7">
        <v>1</v>
      </c>
    </row>
    <row r="8" spans="1:6">
      <c r="A8" s="41"/>
      <c r="B8" s="41"/>
      <c r="C8" s="41"/>
      <c r="D8" s="41" t="s">
        <v>23</v>
      </c>
      <c r="E8">
        <v>1</v>
      </c>
    </row>
    <row r="9" spans="1:6">
      <c r="A9" s="41"/>
      <c r="B9" s="41"/>
      <c r="C9" s="41"/>
      <c r="D9" s="41" t="s">
        <v>85</v>
      </c>
      <c r="E9">
        <v>3</v>
      </c>
    </row>
    <row r="10" spans="1:6">
      <c r="A10" s="41" t="s">
        <v>64</v>
      </c>
      <c r="B10" s="41" t="s">
        <v>63</v>
      </c>
      <c r="C10" s="41" t="s">
        <v>65</v>
      </c>
      <c r="D10" s="41" t="s">
        <v>33</v>
      </c>
      <c r="E10">
        <v>1</v>
      </c>
    </row>
    <row r="11" spans="1:6">
      <c r="A11" s="41"/>
      <c r="B11" s="41"/>
      <c r="C11" s="41"/>
      <c r="D11" s="41" t="s">
        <v>23</v>
      </c>
      <c r="E11">
        <v>1</v>
      </c>
    </row>
    <row r="12" spans="1:6">
      <c r="A12" s="41"/>
      <c r="B12" s="41"/>
      <c r="C12" s="41"/>
      <c r="D12" s="41" t="s">
        <v>165</v>
      </c>
      <c r="E12">
        <v>1</v>
      </c>
    </row>
    <row r="13" spans="1:6">
      <c r="A13" s="41" t="s">
        <v>347</v>
      </c>
      <c r="B13" s="41" t="s">
        <v>194</v>
      </c>
      <c r="C13" s="41" t="s">
        <v>348</v>
      </c>
      <c r="D13" t="s">
        <v>165</v>
      </c>
      <c r="E13">
        <v>8</v>
      </c>
      <c r="F13">
        <v>50</v>
      </c>
    </row>
    <row r="14" spans="1:6">
      <c r="A14" t="s">
        <v>202</v>
      </c>
      <c r="E14">
        <v>15</v>
      </c>
      <c r="F14">
        <v>51</v>
      </c>
    </row>
  </sheetData>
  <mergeCells count="1">
    <mergeCell ref="A1:F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D483-AEF9-402A-8868-10CFDBC04CDB}">
  <dimension ref="A1:G10"/>
  <sheetViews>
    <sheetView workbookViewId="0">
      <selection activeCell="C10" sqref="C10"/>
    </sheetView>
  </sheetViews>
  <sheetFormatPr defaultColWidth="8.85546875" defaultRowHeight="14.45"/>
  <cols>
    <col min="1" max="1" width="24.42578125" bestFit="1" customWidth="1"/>
    <col min="2" max="2" width="24.140625" bestFit="1" customWidth="1"/>
    <col min="3" max="3" width="27" bestFit="1" customWidth="1"/>
    <col min="4" max="4" width="35.42578125" bestFit="1" customWidth="1"/>
    <col min="5" max="5" width="29.140625" bestFit="1" customWidth="1"/>
    <col min="6" max="6" width="25.140625" bestFit="1" customWidth="1"/>
    <col min="7" max="7" width="17.42578125" bestFit="1" customWidth="1"/>
  </cols>
  <sheetData>
    <row r="1" spans="1:7" s="38" customFormat="1">
      <c r="A1" s="38" t="str" cm="1">
        <f t="array" ref="A1:G1">TRANSPOSE(_xlfn.UNIQUE(t_ServiceCatalogue[Category]))</f>
        <v>AV</v>
      </c>
      <c r="B1" s="38" t="str">
        <v>CATV_IPTV</v>
      </c>
      <c r="C1" s="38" t="str">
        <v>EU_Equipment</v>
      </c>
      <c r="D1" s="38" t="str">
        <v>Network</v>
      </c>
      <c r="E1" s="38" t="str">
        <v>Printing</v>
      </c>
      <c r="F1" s="38" t="str">
        <v>SIM_Telco</v>
      </c>
      <c r="G1" s="38" t="str">
        <v>WiFi</v>
      </c>
    </row>
    <row r="2" spans="1:7">
      <c r="A2" t="str" cm="1">
        <f t="array" ref="A2:A6">_xlfn._xlws.FILTER(t_ServiceCatalogue[Item Name], t_ServiceCatalogue[Category]=A$1,"")</f>
        <v>AV - TV - Large - Standalone</v>
      </c>
      <c r="B2" t="str" cm="1">
        <f t="array" ref="B2:B4">_xlfn._xlws.FILTER(t_ServiceCatalogue[Item Name], t_ServiceCatalogue[Category]=B$1,"")</f>
        <v>TV - Large - IPTV</v>
      </c>
      <c r="C2" t="str" cm="1">
        <f t="array" ref="C2:C8">_xlfn._xlws.FILTER(t_ServiceCatalogue[Item Name], t_ServiceCatalogue[Category]=C$1,"")</f>
        <v>EU - Barcode scanner</v>
      </c>
      <c r="D2" t="str" cm="1">
        <f t="array" ref="D2:D10">_xlfn._xlws.FILTER(t_ServiceCatalogue[Item Name], t_ServiceCatalogue[Category]=D$1,"")</f>
        <v xml:space="preserve">Network - Wired Port - General Internet </v>
      </c>
      <c r="E2" t="str" cm="1">
        <f t="array" ref="E2:E5">_xlfn._xlws.FILTER(t_ServiceCatalogue[Item Name], t_ServiceCatalogue[Category]=E$1,"")</f>
        <v>Printing - Dedicated - Colour - A4</v>
      </c>
      <c r="F2" t="str" cm="1">
        <f t="array" ref="F2:F6">_xlfn._xlws.FILTER(t_ServiceCatalogue[Item Name], t_ServiceCatalogue[Category]=F$1,"")</f>
        <v>Telecom - MiFi - Router</v>
      </c>
      <c r="G2" t="str" cm="1">
        <f t="array" ref="G2:G9">_xlfn._xlws.FILTER(t_ServiceCatalogue[Item Name], t_ServiceCatalogue[Category]=G$1,"")</f>
        <v>WiFi - General WiFi</v>
      </c>
    </row>
    <row r="3" spans="1:7">
      <c r="A3" t="str">
        <v>AV - Portable Speaker</v>
      </c>
      <c r="B3" t="str">
        <v>TV - Media Tribunes - CATV</v>
      </c>
      <c r="C3" t="str">
        <v>EU - Laptop - Event Operations</v>
      </c>
      <c r="D3" t="str">
        <v>Network - Special Request</v>
      </c>
      <c r="E3" t="str">
        <v>Printing - Dedicated - Colour - A3</v>
      </c>
      <c r="F3" t="str">
        <v>Telecom - SIM - Data Only</v>
      </c>
      <c r="G3" t="str">
        <v>WiFi - VIP WiFi</v>
      </c>
    </row>
    <row r="4" spans="1:7">
      <c r="A4" t="str">
        <v>AV - Special Request</v>
      </c>
      <c r="B4" t="str">
        <v>TV - IPTV - Legacy</v>
      </c>
      <c r="C4" t="str">
        <v>EU - Monitor</v>
      </c>
      <c r="D4" t="str">
        <v>Network - WIRED - Stream</v>
      </c>
      <c r="E4" t="str">
        <v>Printing - Access to Printer</v>
      </c>
      <c r="F4" t="str">
        <v>Telco - Special Request</v>
      </c>
      <c r="G4" t="str">
        <v>WiFi - HOS WiFi</v>
      </c>
    </row>
    <row r="5" spans="1:7">
      <c r="A5" t="str">
        <v>AV - SP - PCR Audio</v>
      </c>
      <c r="C5" t="str">
        <v>EU - Special Request</v>
      </c>
      <c r="D5" t="str">
        <v>Network - WIRED - FTI</v>
      </c>
      <c r="E5" t="str">
        <v>Printing - Special Request</v>
      </c>
      <c r="F5" t="str">
        <v>Telecom - SPE - Phone + SIM</v>
      </c>
      <c r="G5" t="str">
        <v>WiFi - Media WiFi</v>
      </c>
    </row>
    <row r="6" spans="1:7">
      <c r="A6" t="str">
        <v>AV - SP - VideoWall</v>
      </c>
      <c r="C6" t="str">
        <v>EU - SPE - Mouse</v>
      </c>
      <c r="D6" t="str">
        <v>Network - WIRED - Technical</v>
      </c>
      <c r="F6" t="str">
        <v>Telecom - SPE - Voice SIM</v>
      </c>
      <c r="G6" t="str">
        <v>WiFi - Football</v>
      </c>
    </row>
    <row r="7" spans="1:7">
      <c r="C7" t="str">
        <v>EU - SPE - Tablet</v>
      </c>
      <c r="D7" t="str">
        <v>Network - WIRED - Media</v>
      </c>
      <c r="G7" t="str">
        <v>WiFi - Mobile</v>
      </c>
    </row>
    <row r="8" spans="1:7">
      <c r="C8" t="str">
        <v>EU - SPE - Keyboard + Mouse</v>
      </c>
      <c r="D8" t="str">
        <v>Network - WIRED - Photo</v>
      </c>
      <c r="G8" t="str">
        <v>WiFi - Technical</v>
      </c>
    </row>
    <row r="9" spans="1:7">
      <c r="D9" t="str">
        <v>Network - WIRED - TSG</v>
      </c>
      <c r="G9" t="str">
        <v>WiFi - Public</v>
      </c>
    </row>
    <row r="10" spans="1:7">
      <c r="D10" t="str">
        <v>Network - WIRED - Content</v>
      </c>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573A-F90C-4145-ACEA-302EAD0D41B2}">
  <dimension ref="B2:AP23"/>
  <sheetViews>
    <sheetView topLeftCell="H1" workbookViewId="0">
      <selection activeCell="K11" sqref="K11"/>
    </sheetView>
  </sheetViews>
  <sheetFormatPr defaultColWidth="8.85546875" defaultRowHeight="14.45"/>
  <cols>
    <col min="1" max="1" width="9.42578125" bestFit="1" customWidth="1"/>
    <col min="2" max="2" width="31.42578125" bestFit="1" customWidth="1"/>
    <col min="3" max="3" width="19.42578125" bestFit="1" customWidth="1"/>
    <col min="4" max="4" width="69.140625" bestFit="1" customWidth="1"/>
    <col min="5" max="5" width="18.42578125" bestFit="1" customWidth="1"/>
    <col min="6" max="6" width="23.42578125" bestFit="1" customWidth="1"/>
    <col min="7" max="7" width="42.140625" bestFit="1" customWidth="1"/>
    <col min="8" max="8" width="59.42578125" bestFit="1" customWidth="1"/>
    <col min="9" max="9" width="69.140625" bestFit="1" customWidth="1"/>
    <col min="10" max="10" width="18.42578125" bestFit="1" customWidth="1"/>
    <col min="11" max="11" width="36.42578125" bestFit="1" customWidth="1"/>
    <col min="12" max="12" width="23.42578125" bestFit="1" customWidth="1"/>
    <col min="13" max="14" width="27.42578125" bestFit="1" customWidth="1"/>
    <col min="15" max="15" width="24.140625" bestFit="1" customWidth="1"/>
    <col min="16" max="16" width="22.85546875" bestFit="1" customWidth="1"/>
    <col min="17" max="17" width="19.42578125" bestFit="1" customWidth="1"/>
    <col min="18" max="18" width="42.140625" bestFit="1" customWidth="1"/>
    <col min="19" max="19" width="28.42578125" bestFit="1" customWidth="1"/>
    <col min="20" max="20" width="19.42578125" bestFit="1" customWidth="1"/>
    <col min="21" max="21" width="13.42578125" bestFit="1" customWidth="1"/>
    <col min="22" max="22" width="14.140625" bestFit="1" customWidth="1"/>
    <col min="23" max="23" width="15.85546875" bestFit="1" customWidth="1"/>
    <col min="24" max="24" width="12.85546875" bestFit="1" customWidth="1"/>
    <col min="25" max="25" width="11.42578125" bestFit="1" customWidth="1"/>
    <col min="26" max="26" width="16.85546875" bestFit="1" customWidth="1"/>
    <col min="27" max="27" width="25.140625" bestFit="1" customWidth="1"/>
    <col min="28" max="28" width="22.42578125" bestFit="1" customWidth="1"/>
  </cols>
  <sheetData>
    <row r="2" spans="2:42">
      <c r="B2" s="38" t="str" cm="1">
        <f t="array" ref="B2:H2">TRANSPOSE(_xlfn.UNIQUE(t_ServiceCatalogue[Category])&amp;"_Sol")</f>
        <v>AV_Sol</v>
      </c>
      <c r="C2" s="38" t="str">
        <v>CATV_IPTV_Sol</v>
      </c>
      <c r="D2" s="38" t="str">
        <v>EU_Equipment_Sol</v>
      </c>
      <c r="E2" s="38" t="str">
        <v>Network_Sol</v>
      </c>
      <c r="F2" s="38" t="str">
        <v>Printing_Sol</v>
      </c>
      <c r="G2" s="38" t="str">
        <v>SIM_Telco_Sol</v>
      </c>
      <c r="H2" s="38" t="str">
        <v>WiFi_Sol</v>
      </c>
      <c r="K2" s="38" t="s">
        <v>9</v>
      </c>
    </row>
    <row r="3" spans="2:42">
      <c r="B3" t="str" cm="1">
        <f t="array" ref="B3:B13">_xlfn._xlws.FILTER(t_Solutions[Solution],t_Solutions[Category]=LEFT(B$2,LEN(B$2)-4),"")</f>
        <v>Legacy TV</v>
      </c>
      <c r="C3" t="str" cm="1">
        <f t="array" ref="C3:C12">_xlfn._xlws.FILTER(t_Solutions[Solution],t_Solutions[Category]=LEFT(C$2,LEN(C$2)-4),"")</f>
        <v>OVL CATV Rollout</v>
      </c>
      <c r="D3" t="str" cm="1">
        <f t="array" ref="D3:D6">_xlfn._xlws.FILTER(t_Solutions[Solution],t_Solutions[Category]=LEFT(D$2,LEN(D$2)-4),"")</f>
        <v>Configure with event image and collect from the distribution center</v>
      </c>
      <c r="E3" t="str" cm="1">
        <f t="array" ref="E3">_xlfn._xlws.FILTER(t_Solutions[Solution],t_Solutions[Category]=LEFT(E$2,LEN(E$2)-4),"")</f>
        <v>Dedicated line</v>
      </c>
      <c r="F3" t="str" cm="1">
        <f t="array" ref="F3:F5">_xlfn._xlws.FILTER(t_Solutions[Solution],t_Solutions[Category]=LEFT(F$2,LEN(F$2)-4),"")</f>
        <v>Network at Stadium</v>
      </c>
      <c r="G3" t="str" cm="1">
        <f t="array" ref="G3:G6">_xlfn._xlws.FILTER(t_Solutions[Solution],t_Solutions[Category]=LEFT(G$2,LEN(G$2)-4),"")</f>
        <v>Samsung Mobile Phone - Legacy</v>
      </c>
      <c r="H3" t="str" cm="1">
        <f t="array" ref="H3:H5">_xlfn._xlws.FILTER(t_Solutions[Solution],t_Solutions[Category]=LEFT(H$2,LEN(H$2)-4),"")</f>
        <v>Legacy Aspire WiFi</v>
      </c>
      <c r="I3" cm="1">
        <f t="array" ref="I3">_xlfn._xlws.FILTER(t_Solutions[Solution],t_Solutions[Item]=I$2,"")</f>
        <v>0</v>
      </c>
      <c r="J3" cm="1">
        <f t="array" ref="J3">_xlfn._xlws.FILTER(t_Solutions[Solution],t_Solutions[Item]=J$2,"")</f>
        <v>0</v>
      </c>
      <c r="K3" t="s">
        <v>407</v>
      </c>
      <c r="L3" cm="1">
        <f t="array" ref="L3">_xlfn._xlws.FILTER(t_Solutions[Solution],t_Solutions[Item]=L$2,"")</f>
        <v>0</v>
      </c>
      <c r="M3" cm="1">
        <f t="array" ref="M3">_xlfn._xlws.FILTER(t_Solutions[Solution],t_Solutions[Item]=M$2,"")</f>
        <v>0</v>
      </c>
      <c r="N3" cm="1">
        <f t="array" ref="N3">_xlfn._xlws.FILTER(t_Solutions[Solution],t_Solutions[Item]=N$2,"")</f>
        <v>0</v>
      </c>
      <c r="O3" cm="1">
        <f t="array" ref="O3">_xlfn._xlws.FILTER(t_Solutions[Solution],t_Solutions[Item]=O$2,"")</f>
        <v>0</v>
      </c>
      <c r="P3" cm="1">
        <f t="array" ref="P3">_xlfn._xlws.FILTER(t_Solutions[Solution],t_Solutions[Item]=P$2,"")</f>
        <v>0</v>
      </c>
      <c r="Q3" cm="1">
        <f t="array" ref="Q3">_xlfn._xlws.FILTER(t_Solutions[Solution],t_Solutions[Item]=Q$2,"")</f>
        <v>0</v>
      </c>
      <c r="R3" cm="1">
        <f t="array" ref="R3">_xlfn._xlws.FILTER(t_Solutions[Solution],t_Solutions[Item]=R$2,"")</f>
        <v>0</v>
      </c>
      <c r="S3" cm="1">
        <f t="array" ref="S3">_xlfn._xlws.FILTER(t_Solutions[Solution],t_Solutions[Item]=S$2,"")</f>
        <v>0</v>
      </c>
      <c r="T3" cm="1">
        <f t="array" ref="T3">_xlfn._xlws.FILTER(t_Solutions[Solution],t_Solutions[Item]=T$2,"")</f>
        <v>0</v>
      </c>
      <c r="U3" cm="1">
        <f t="array" ref="U3">_xlfn._xlws.FILTER(t_Solutions[Solution],t_Solutions[Item]=U$2,"")</f>
        <v>0</v>
      </c>
      <c r="V3" cm="1">
        <f t="array" ref="V3">_xlfn._xlws.FILTER(t_Solutions[Solution],t_Solutions[Item]=V$2,"")</f>
        <v>0</v>
      </c>
      <c r="W3" cm="1">
        <f t="array" ref="W3">_xlfn._xlws.FILTER(t_Solutions[Solution],t_Solutions[Item]=W$2,"")</f>
        <v>0</v>
      </c>
      <c r="X3" cm="1">
        <f t="array" ref="X3">_xlfn._xlws.FILTER(t_Solutions[Solution],t_Solutions[Item]=X$2,"")</f>
        <v>0</v>
      </c>
    </row>
    <row r="4" spans="2:42">
      <c r="B4" t="str">
        <v>OVL TV</v>
      </c>
      <c r="C4" t="str">
        <v>OVL CATV Full</v>
      </c>
      <c r="D4" t="str">
        <v>Get the monitor ready with HDMI cable and provided in the requested location</v>
      </c>
      <c r="F4" t="str">
        <v>Standalone at Stadium</v>
      </c>
      <c r="G4" t="str">
        <v>Mobile PAckage ( 1500 Local min+14GB data)</v>
      </c>
      <c r="H4" t="str">
        <v>OVL Legacy Extension</v>
      </c>
      <c r="K4" t="s">
        <v>1639</v>
      </c>
    </row>
    <row r="5" spans="2:42">
      <c r="B5" t="str">
        <v xml:space="preserve">OVL Interpretation system </v>
      </c>
      <c r="C5" t="str">
        <v>TV + STB</v>
      </c>
      <c r="D5" t="str">
        <v>Existing stock</v>
      </c>
      <c r="F5" t="str">
        <v>Technician for MD</v>
      </c>
      <c r="G5" t="str">
        <v>Data SIM Medium Pack- 25 GB</v>
      </c>
      <c r="H5" t="str">
        <v>Legacy QF WiFi</v>
      </c>
      <c r="K5" t="s">
        <v>2107</v>
      </c>
    </row>
    <row r="6" spans="2:42">
      <c r="B6" t="str">
        <v xml:space="preserve">OVL Remote Interpretation system </v>
      </c>
      <c r="C6" t="str">
        <v>OVL CATV Full</v>
      </c>
      <c r="D6" t="str">
        <v>Lenovo Tablet</v>
      </c>
      <c r="G6" t="str">
        <v>MiFi Router Legacy + data SIM Max Pack - 500 GB</v>
      </c>
      <c r="K6" t="s">
        <v>2108</v>
      </c>
    </row>
    <row r="7" spans="2:42">
      <c r="B7" t="str">
        <v xml:space="preserve">OVL press conference </v>
      </c>
      <c r="C7" t="str">
        <v>TV + STB</v>
      </c>
      <c r="K7" t="s">
        <v>370</v>
      </c>
    </row>
    <row r="8" spans="2:42">
      <c r="B8" t="str">
        <v>video Wall</v>
      </c>
      <c r="C8" t="str">
        <v>TV + STB</v>
      </c>
      <c r="K8" t="s">
        <v>1402</v>
      </c>
    </row>
    <row r="9" spans="2:42">
      <c r="B9" t="str">
        <v>OVL TV</v>
      </c>
      <c r="C9" t="str">
        <v>TV + STB</v>
      </c>
      <c r="G9" t="str" cm="1">
        <f t="array" ref="G9">_xlfn._xlws.FILTER(t_Solutions[Solution],t_Solutions[Category]=G$2,"")</f>
        <v/>
      </c>
      <c r="K9" t="s">
        <v>637</v>
      </c>
    </row>
    <row r="10" spans="2:42">
      <c r="B10" t="str">
        <v>Portable Speaker</v>
      </c>
      <c r="C10" t="str">
        <v>FIFA+ Streaming</v>
      </c>
      <c r="K10" t="s">
        <v>2109</v>
      </c>
    </row>
    <row r="11" spans="2:42">
      <c r="B11" t="str">
        <v>OVL TV</v>
      </c>
      <c r="C11" t="str">
        <v>Ooredoo+ Streaming</v>
      </c>
    </row>
    <row r="12" spans="2:42">
      <c r="B12" t="str">
        <v>OVL TV</v>
      </c>
      <c r="C12" t="str">
        <v>Ooredoo+ Streaming</v>
      </c>
    </row>
    <row r="13" spans="2:42">
      <c r="B13" t="str">
        <v>OVL video Wall</v>
      </c>
    </row>
    <row r="16" spans="2:42">
      <c r="B16" t="str" cm="1">
        <f t="array" ref="B16:AP16">TRANSPOSE(TRIM(SUBSTITUTE(SUBSTITUTE(t_ServiceCatalogue[Item Name]," - ","_")," ", "_")))</f>
        <v>AV_TV_Large_Standalone</v>
      </c>
      <c r="C16" t="str">
        <v>AV_Portable_Speaker</v>
      </c>
      <c r="D16" t="str">
        <v>AV_Special_Request</v>
      </c>
      <c r="E16" t="str">
        <v>TV_Large_IPTV</v>
      </c>
      <c r="F16" t="str">
        <v>TV_Media_Tribunes_CATV</v>
      </c>
      <c r="G16" t="str">
        <v>EU_Barcode_scanner</v>
      </c>
      <c r="H16" t="str">
        <v>EU_Laptop_Event_Operations</v>
      </c>
      <c r="I16" t="str">
        <v>EU_Monitor</v>
      </c>
      <c r="J16" t="str">
        <v>EU_Special_Request</v>
      </c>
      <c r="K16" t="str">
        <v>Network_Wired_Port_General_Internet_</v>
      </c>
      <c r="L16" t="str">
        <v>Network_Special_Request</v>
      </c>
      <c r="M16" t="str">
        <v>Printing_Dedicated_Colour_A4</v>
      </c>
      <c r="N16" t="str">
        <v>Printing_Dedicated_Colour_A3</v>
      </c>
      <c r="O16" t="str">
        <v>Printing_Access_to_Printer</v>
      </c>
      <c r="P16" t="str">
        <v>Printing_Special_Request</v>
      </c>
      <c r="Q16" t="str">
        <v>Telecom_MiFi_Router</v>
      </c>
      <c r="R16" t="str">
        <v>Telecom_SIM_Data_Only</v>
      </c>
      <c r="S16" t="str">
        <v>Telco_Special_Request</v>
      </c>
      <c r="T16" t="str">
        <v>WiFi_General_WiFi</v>
      </c>
      <c r="U16" t="str">
        <v>WiFi_VIP_WiFi</v>
      </c>
      <c r="V16" t="str">
        <v>WiFi_HOS_WiFi</v>
      </c>
      <c r="W16" t="str">
        <v>WiFi_Media_WiFi</v>
      </c>
      <c r="X16" t="str">
        <v>WiFi_Football</v>
      </c>
      <c r="Y16" t="str">
        <v>WiFi_Mobile</v>
      </c>
      <c r="Z16" t="str">
        <v>AV_SP_PCR_Audio</v>
      </c>
      <c r="AA16" t="str">
        <v>Telecom_SPE_Phone_+_SIM</v>
      </c>
      <c r="AB16" t="str">
        <v>Telecom_SPE_Voice_SIM</v>
      </c>
      <c r="AC16" t="str">
        <v>TV_IPTV_Legacy</v>
      </c>
      <c r="AD16" t="str">
        <v>EU_SPE_Mouse</v>
      </c>
      <c r="AE16" t="str">
        <v>EU_SPE_Tablet</v>
      </c>
      <c r="AF16" t="str">
        <v>EU_SPE_Keyboard_+_Mouse</v>
      </c>
      <c r="AG16" t="str">
        <v>WiFi_Technical</v>
      </c>
      <c r="AH16" t="str">
        <v>Network_WIRED_Stream</v>
      </c>
      <c r="AI16" t="str">
        <v>Network_WIRED_FTI</v>
      </c>
      <c r="AJ16" t="str">
        <v>Network_WIRED_Technical</v>
      </c>
      <c r="AK16" t="str">
        <v>Network_WIRED_Media</v>
      </c>
      <c r="AL16" t="str">
        <v>Network_WIRED_Photo</v>
      </c>
      <c r="AM16" t="str">
        <v>Network_WIRED_TSG</v>
      </c>
      <c r="AN16" t="str">
        <v>Network_WIRED_Content</v>
      </c>
      <c r="AO16" t="str">
        <v>AV_SP_VideoWall</v>
      </c>
      <c r="AP16" t="str">
        <v>WiFi_Public</v>
      </c>
    </row>
    <row r="17" spans="2:24">
      <c r="B17" t="str" cm="1">
        <f t="array" ref="B17:B21">_xlfn._xlws.FILTER(t_Solutions[Solution],TRIM(SUBSTITUTE(SUBSTITUTE(t_Solutions[Item]," - ","_")," ", "_"))=B$16,"")</f>
        <v>Legacy TV</v>
      </c>
      <c r="C17" t="str" cm="1">
        <f t="array" ref="C17">_xlfn._xlws.FILTER(t_Solutions[Solution],TRIM(SUBSTITUTE(SUBSTITUTE(t_Solutions[Item]," - ","_")," ", "_"))=C$16,"")</f>
        <v>Portable Speaker</v>
      </c>
      <c r="D17" t="str" cm="1">
        <f t="array" ref="D17:D21">_xlfn._xlws.FILTER(t_Solutions[Solution],TRIM(SUBSTITUTE(SUBSTITUTE(t_Solutions[Item]," - ","_")," ", "_"))=D$16,"")</f>
        <v xml:space="preserve">OVL Interpretation system </v>
      </c>
      <c r="E17" t="str" cm="1">
        <f t="array" ref="E17:E23">_xlfn._xlws.FILTER(t_Solutions[Solution],TRIM(SUBSTITUTE(SUBSTITUTE(t_Solutions[Item]," - ","_")," ", "_"))=E$16,"")</f>
        <v>TV + STB</v>
      </c>
      <c r="F17" t="str" cm="1">
        <f t="array" ref="F17:F19">_xlfn._xlws.FILTER(t_Solutions[Solution],TRIM(SUBSTITUTE(SUBSTITUTE(t_Solutions[Item]," - ","_")," ", "_"))=F$16,"")</f>
        <v>OVL CATV Rollout</v>
      </c>
      <c r="G17" t="str" cm="1">
        <f t="array" ref="G17">_xlfn._xlws.FILTER(t_Solutions[Solution],TRIM(SUBSTITUTE(SUBSTITUTE(t_Solutions[Item]," - ","_")," ", "_"))=G$16,"")</f>
        <v>Existing stock</v>
      </c>
      <c r="H17" t="str" cm="1">
        <f t="array" ref="H17">_xlfn._xlws.FILTER(t_Solutions[Solution],TRIM(SUBSTITUTE(SUBSTITUTE(t_Solutions[Item]," - ","_")," ", "_"))=H$16,"")</f>
        <v>Configure with event image and collect from the distribution center</v>
      </c>
      <c r="I17" t="str" cm="1">
        <f t="array" ref="I17">_xlfn._xlws.FILTER(t_Solutions[Solution],TRIM(SUBSTITUTE(SUBSTITUTE(t_Solutions[Item]," - ","_")," ", "_"))=I$16,"")</f>
        <v>Get the monitor ready with HDMI cable and provided in the requested location</v>
      </c>
      <c r="J17" t="str" cm="1">
        <f t="array" ref="J17">_xlfn._xlws.FILTER(t_Solutions[Solution],TRIM(SUBSTITUTE(SUBSTITUTE(t_Solutions[Item]," - ","_")," ", "_"))=J$16,"")</f>
        <v>Lenovo Tablet</v>
      </c>
      <c r="K17" t="str" cm="1">
        <f t="array" ref="K17">_xlfn._xlws.FILTER(t_Solutions[Solution],TRIM(SUBSTITUTE(SUBSTITUTE(t_Solutions[Item]," - ","_")," ", "_"))=K$16,"")</f>
        <v/>
      </c>
      <c r="L17" t="str" cm="1">
        <f t="array" ref="L17">_xlfn._xlws.FILTER(t_Solutions[Solution],TRIM(SUBSTITUTE(SUBSTITUTE(t_Solutions[Item]," - ","_")," ", "_"))=L$16,"")</f>
        <v>Dedicated line</v>
      </c>
      <c r="M17" t="str" cm="1">
        <f t="array" ref="M17:M18">_xlfn._xlws.FILTER(t_Solutions[Solution],TRIM(SUBSTITUTE(SUBSTITUTE(t_Solutions[Item]," - ","_")," ", "_"))=M$16,"")</f>
        <v>Network at Stadium</v>
      </c>
      <c r="N17" t="str" cm="1">
        <f t="array" ref="N17">_xlfn._xlws.FILTER(t_Solutions[Solution],TRIM(SUBSTITUTE(SUBSTITUTE(t_Solutions[Item]," - ","_")," ", "_"))=N$16,"")</f>
        <v/>
      </c>
      <c r="O17" t="str" cm="1">
        <f t="array" ref="O17">_xlfn._xlws.FILTER(t_Solutions[Solution],TRIM(SUBSTITUTE(SUBSTITUTE(t_Solutions[Item]," - ","_")," ", "_"))=O$16,"")</f>
        <v/>
      </c>
      <c r="P17" t="str" cm="1">
        <f t="array" ref="P17">_xlfn._xlws.FILTER(t_Solutions[Solution],TRIM(SUBSTITUTE(SUBSTITUTE(t_Solutions[Item]," - ","_")," ", "_"))=P$16,"")</f>
        <v>Technician for MD</v>
      </c>
      <c r="Q17" t="str" cm="1">
        <f t="array" ref="Q17">_xlfn._xlws.FILTER(t_Solutions[Solution],TRIM(SUBSTITUTE(SUBSTITUTE(t_Solutions[Item]," - ","_")," ", "_"))=Q$16,"")</f>
        <v/>
      </c>
      <c r="R17" t="str" cm="1">
        <f t="array" ref="R17:R18">_xlfn._xlws.FILTER(t_Solutions[Solution],TRIM(SUBSTITUTE(SUBSTITUTE(t_Solutions[Item]," - ","_")," ", "_"))=R$16,"")</f>
        <v>Data SIM Medium Pack- 25 GB</v>
      </c>
      <c r="S17" t="str" cm="1">
        <f t="array" ref="S17">_xlfn._xlws.FILTER(t_Solutions[Solution],TRIM(SUBSTITUTE(SUBSTITUTE(t_Solutions[Item]," - ","_")," ", "_"))=S$16,"")</f>
        <v>Samsung Mobile Phone - Legacy</v>
      </c>
      <c r="T17" t="str" cm="1">
        <f t="array" ref="T17:T19">_xlfn._xlws.FILTER(t_Solutions[Solution],TRIM(SUBSTITUTE(SUBSTITUTE(t_Solutions[Item]," - ","_")," ", "_"))=T$16,"")</f>
        <v>Legacy Aspire WiFi</v>
      </c>
      <c r="U17" t="str" cm="1">
        <f t="array" ref="U17">_xlfn._xlws.FILTER(t_Solutions[Solution],TRIM(SUBSTITUTE(SUBSTITUTE(t_Solutions[Item]," - ","_")," ", "_"))=U$16,"")</f>
        <v/>
      </c>
      <c r="V17" t="str" cm="1">
        <f t="array" ref="V17">_xlfn._xlws.FILTER(t_Solutions[Solution],TRIM(SUBSTITUTE(SUBSTITUTE(t_Solutions[Item]," - ","_")," ", "_"))=V$16,"")</f>
        <v/>
      </c>
      <c r="W17" t="str" cm="1">
        <f t="array" ref="W17">_xlfn._xlws.FILTER(t_Solutions[Solution],TRIM(SUBSTITUTE(SUBSTITUTE(t_Solutions[Item]," - ","_")," ", "_"))=W$16,"")</f>
        <v/>
      </c>
      <c r="X17" t="str" cm="1">
        <f t="array" ref="X17">_xlfn._xlws.FILTER(t_Solutions[Solution],TRIM(SUBSTITUTE(SUBSTITUTE(t_Solutions[Item]," - ","_")," ", "_"))=X$16,"")</f>
        <v/>
      </c>
    </row>
    <row r="18" spans="2:24">
      <c r="B18" t="str">
        <v>OVL TV</v>
      </c>
      <c r="D18" t="str">
        <v xml:space="preserve">OVL Remote Interpretation system </v>
      </c>
      <c r="E18" t="str">
        <v>TV + STB</v>
      </c>
      <c r="F18" t="str">
        <v>OVL CATV Full</v>
      </c>
      <c r="M18" t="str">
        <v>Standalone at Stadium</v>
      </c>
      <c r="R18" t="str">
        <v>MiFi Router Legacy + data SIM Max Pack - 500 GB</v>
      </c>
      <c r="T18" t="str">
        <v>OVL Legacy Extension</v>
      </c>
    </row>
    <row r="19" spans="2:24">
      <c r="B19" t="str">
        <v>OVL TV</v>
      </c>
      <c r="D19" t="str">
        <v xml:space="preserve">OVL press conference </v>
      </c>
      <c r="E19" t="str">
        <v>TV + STB</v>
      </c>
      <c r="F19" t="str">
        <v>OVL CATV Full</v>
      </c>
      <c r="T19" t="str">
        <v>Legacy QF WiFi</v>
      </c>
    </row>
    <row r="20" spans="2:24">
      <c r="B20" t="str">
        <v>OVL TV</v>
      </c>
      <c r="D20" t="str">
        <v>video Wall</v>
      </c>
      <c r="E20" t="str">
        <v>TV + STB</v>
      </c>
    </row>
    <row r="21" spans="2:24">
      <c r="B21" t="str">
        <v>OVL TV</v>
      </c>
      <c r="D21" t="str">
        <v>OVL video Wall</v>
      </c>
      <c r="E21" t="str">
        <v>FIFA+ Streaming</v>
      </c>
    </row>
    <row r="22" spans="2:24">
      <c r="E22" t="str">
        <v>Ooredoo+ Streaming</v>
      </c>
    </row>
    <row r="23" spans="2:24">
      <c r="E23" t="str">
        <v>Ooredoo+ Streaming</v>
      </c>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12F3-752E-4C40-AD04-AB11E25B9C9B}">
  <dimension ref="A1:H31"/>
  <sheetViews>
    <sheetView workbookViewId="0">
      <selection activeCell="C20" sqref="C20"/>
    </sheetView>
  </sheetViews>
  <sheetFormatPr defaultColWidth="8.85546875" defaultRowHeight="14.45"/>
  <cols>
    <col min="1" max="1" width="15" bestFit="1" customWidth="1"/>
    <col min="2" max="2" width="29.85546875" bestFit="1" customWidth="1"/>
    <col min="3" max="3" width="20.140625" bestFit="1" customWidth="1"/>
    <col min="4" max="4" width="17.42578125" bestFit="1" customWidth="1"/>
    <col min="5" max="5" width="11.5703125" bestFit="1" customWidth="1"/>
    <col min="6" max="6" width="10.42578125" bestFit="1" customWidth="1"/>
    <col min="7" max="7" width="8.85546875" bestFit="1" customWidth="1"/>
    <col min="8" max="8" width="10.7109375" bestFit="1" customWidth="1"/>
    <col min="9" max="13" width="11.42578125" bestFit="1" customWidth="1"/>
    <col min="14" max="19" width="10.42578125" bestFit="1" customWidth="1"/>
    <col min="20" max="34" width="11.42578125" bestFit="1" customWidth="1"/>
    <col min="35" max="35" width="7.42578125" bestFit="1" customWidth="1"/>
    <col min="36" max="37" width="11.42578125" bestFit="1" customWidth="1"/>
  </cols>
  <sheetData>
    <row r="1" spans="1:8">
      <c r="A1" s="56" t="s">
        <v>5</v>
      </c>
      <c r="B1" t="s">
        <v>331</v>
      </c>
    </row>
    <row r="3" spans="1:8">
      <c r="A3" s="56" t="s">
        <v>225</v>
      </c>
      <c r="C3" s="56" t="s">
        <v>2110</v>
      </c>
      <c r="D3" s="56" t="s">
        <v>2111</v>
      </c>
      <c r="E3" s="56" t="s">
        <v>12</v>
      </c>
    </row>
    <row r="4" spans="1:8">
      <c r="C4" t="s">
        <v>458</v>
      </c>
      <c r="G4" t="s">
        <v>459</v>
      </c>
      <c r="H4" t="s">
        <v>202</v>
      </c>
    </row>
    <row r="5" spans="1:8">
      <c r="C5" t="s">
        <v>2112</v>
      </c>
      <c r="D5" t="s">
        <v>2113</v>
      </c>
      <c r="E5" t="s">
        <v>2114</v>
      </c>
      <c r="F5" t="s">
        <v>2115</v>
      </c>
    </row>
    <row r="6" spans="1:8">
      <c r="A6" s="56" t="s">
        <v>3</v>
      </c>
      <c r="B6" s="56" t="s">
        <v>6</v>
      </c>
      <c r="C6" s="107">
        <v>45991</v>
      </c>
      <c r="E6" s="107">
        <v>45963</v>
      </c>
    </row>
    <row r="7" spans="1:8">
      <c r="A7" t="s">
        <v>208</v>
      </c>
      <c r="B7" t="s">
        <v>32</v>
      </c>
      <c r="C7">
        <v>10</v>
      </c>
      <c r="D7">
        <v>10</v>
      </c>
      <c r="G7">
        <v>10</v>
      </c>
      <c r="H7">
        <v>10</v>
      </c>
    </row>
    <row r="8" spans="1:8">
      <c r="B8" t="s">
        <v>46</v>
      </c>
      <c r="C8">
        <v>6</v>
      </c>
      <c r="D8">
        <v>6</v>
      </c>
      <c r="G8">
        <v>6</v>
      </c>
      <c r="H8">
        <v>6</v>
      </c>
    </row>
    <row r="9" spans="1:8">
      <c r="B9" t="s">
        <v>22</v>
      </c>
      <c r="C9">
        <v>2</v>
      </c>
      <c r="D9">
        <v>2</v>
      </c>
      <c r="G9">
        <v>2</v>
      </c>
      <c r="H9">
        <v>2</v>
      </c>
    </row>
    <row r="10" spans="1:8">
      <c r="B10" t="s">
        <v>52</v>
      </c>
      <c r="C10">
        <v>1</v>
      </c>
      <c r="D10">
        <v>1</v>
      </c>
      <c r="G10">
        <v>1</v>
      </c>
      <c r="H10">
        <v>1</v>
      </c>
    </row>
    <row r="11" spans="1:8">
      <c r="A11" t="s">
        <v>211</v>
      </c>
      <c r="B11" t="s">
        <v>32</v>
      </c>
      <c r="C11">
        <v>10</v>
      </c>
      <c r="D11">
        <v>10</v>
      </c>
      <c r="G11">
        <v>10</v>
      </c>
      <c r="H11">
        <v>10</v>
      </c>
    </row>
    <row r="12" spans="1:8">
      <c r="B12" t="s">
        <v>46</v>
      </c>
      <c r="C12">
        <v>6</v>
      </c>
      <c r="D12">
        <v>6</v>
      </c>
      <c r="G12">
        <v>6</v>
      </c>
      <c r="H12">
        <v>6</v>
      </c>
    </row>
    <row r="13" spans="1:8">
      <c r="B13" t="s">
        <v>22</v>
      </c>
      <c r="C13">
        <v>2</v>
      </c>
      <c r="D13">
        <v>2</v>
      </c>
      <c r="G13">
        <v>2</v>
      </c>
      <c r="H13">
        <v>2</v>
      </c>
    </row>
    <row r="14" spans="1:8">
      <c r="B14" t="s">
        <v>52</v>
      </c>
      <c r="C14">
        <v>1</v>
      </c>
      <c r="D14">
        <v>1</v>
      </c>
      <c r="G14">
        <v>1</v>
      </c>
      <c r="H14">
        <v>1</v>
      </c>
    </row>
    <row r="15" spans="1:8">
      <c r="A15" t="s">
        <v>212</v>
      </c>
      <c r="B15" t="s">
        <v>32</v>
      </c>
      <c r="C15">
        <v>10</v>
      </c>
      <c r="D15">
        <v>10</v>
      </c>
      <c r="G15">
        <v>10</v>
      </c>
      <c r="H15">
        <v>10</v>
      </c>
    </row>
    <row r="16" spans="1:8">
      <c r="B16" t="s">
        <v>46</v>
      </c>
      <c r="C16">
        <v>6</v>
      </c>
      <c r="D16">
        <v>6</v>
      </c>
      <c r="G16">
        <v>6</v>
      </c>
      <c r="H16">
        <v>6</v>
      </c>
    </row>
    <row r="17" spans="1:8">
      <c r="B17" t="s">
        <v>22</v>
      </c>
      <c r="C17">
        <v>2</v>
      </c>
      <c r="D17">
        <v>2</v>
      </c>
      <c r="G17">
        <v>2</v>
      </c>
      <c r="H17">
        <v>2</v>
      </c>
    </row>
    <row r="18" spans="1:8">
      <c r="B18" t="s">
        <v>52</v>
      </c>
      <c r="C18">
        <v>1</v>
      </c>
      <c r="D18">
        <v>1</v>
      </c>
      <c r="G18">
        <v>1</v>
      </c>
      <c r="H18">
        <v>1</v>
      </c>
    </row>
    <row r="19" spans="1:8">
      <c r="A19" t="s">
        <v>213</v>
      </c>
      <c r="B19" t="s">
        <v>32</v>
      </c>
      <c r="E19">
        <v>10</v>
      </c>
      <c r="F19">
        <v>10</v>
      </c>
      <c r="G19">
        <v>10</v>
      </c>
      <c r="H19">
        <v>10</v>
      </c>
    </row>
    <row r="20" spans="1:8">
      <c r="B20" t="s">
        <v>46</v>
      </c>
      <c r="E20">
        <v>6</v>
      </c>
      <c r="F20">
        <v>6</v>
      </c>
      <c r="G20">
        <v>6</v>
      </c>
      <c r="H20">
        <v>6</v>
      </c>
    </row>
    <row r="21" spans="1:8">
      <c r="B21" t="s">
        <v>22</v>
      </c>
      <c r="E21">
        <v>3</v>
      </c>
      <c r="F21">
        <v>3</v>
      </c>
      <c r="G21">
        <v>3</v>
      </c>
      <c r="H21">
        <v>3</v>
      </c>
    </row>
    <row r="22" spans="1:8">
      <c r="B22" t="s">
        <v>52</v>
      </c>
      <c r="E22">
        <v>1</v>
      </c>
      <c r="F22">
        <v>1</v>
      </c>
      <c r="G22">
        <v>1</v>
      </c>
      <c r="H22">
        <v>1</v>
      </c>
    </row>
    <row r="23" spans="1:8">
      <c r="A23" t="s">
        <v>214</v>
      </c>
      <c r="B23" t="s">
        <v>32</v>
      </c>
      <c r="C23">
        <v>10</v>
      </c>
      <c r="D23">
        <v>10</v>
      </c>
      <c r="G23">
        <v>10</v>
      </c>
      <c r="H23">
        <v>10</v>
      </c>
    </row>
    <row r="24" spans="1:8">
      <c r="B24" t="s">
        <v>46</v>
      </c>
      <c r="C24">
        <v>6</v>
      </c>
      <c r="D24">
        <v>6</v>
      </c>
      <c r="G24">
        <v>6</v>
      </c>
      <c r="H24">
        <v>6</v>
      </c>
    </row>
    <row r="25" spans="1:8">
      <c r="B25" t="s">
        <v>22</v>
      </c>
      <c r="C25">
        <v>2</v>
      </c>
      <c r="D25">
        <v>2</v>
      </c>
      <c r="G25">
        <v>2</v>
      </c>
      <c r="H25">
        <v>2</v>
      </c>
    </row>
    <row r="26" spans="1:8">
      <c r="B26" t="s">
        <v>52</v>
      </c>
      <c r="C26">
        <v>1</v>
      </c>
      <c r="D26">
        <v>1</v>
      </c>
      <c r="G26">
        <v>1</v>
      </c>
      <c r="H26">
        <v>1</v>
      </c>
    </row>
    <row r="27" spans="1:8">
      <c r="A27">
        <v>974</v>
      </c>
      <c r="B27" t="s">
        <v>32</v>
      </c>
      <c r="C27">
        <v>10</v>
      </c>
      <c r="D27">
        <v>10</v>
      </c>
      <c r="G27">
        <v>10</v>
      </c>
      <c r="H27">
        <v>10</v>
      </c>
    </row>
    <row r="28" spans="1:8">
      <c r="B28" t="s">
        <v>46</v>
      </c>
      <c r="C28">
        <v>6</v>
      </c>
      <c r="D28">
        <v>6</v>
      </c>
      <c r="G28">
        <v>6</v>
      </c>
      <c r="H28">
        <v>6</v>
      </c>
    </row>
    <row r="29" spans="1:8">
      <c r="B29" t="s">
        <v>22</v>
      </c>
      <c r="C29">
        <v>2</v>
      </c>
      <c r="D29">
        <v>2</v>
      </c>
      <c r="G29">
        <v>2</v>
      </c>
      <c r="H29">
        <v>2</v>
      </c>
    </row>
    <row r="30" spans="1:8">
      <c r="B30" t="s">
        <v>52</v>
      </c>
      <c r="C30">
        <v>1</v>
      </c>
      <c r="D30">
        <v>1</v>
      </c>
      <c r="G30">
        <v>1</v>
      </c>
      <c r="H30">
        <v>1</v>
      </c>
    </row>
    <row r="31" spans="1:8">
      <c r="A31" t="s">
        <v>202</v>
      </c>
      <c r="C31">
        <v>95</v>
      </c>
      <c r="D31">
        <v>95</v>
      </c>
      <c r="E31">
        <v>20</v>
      </c>
      <c r="F31">
        <v>20</v>
      </c>
      <c r="G31">
        <v>115</v>
      </c>
      <c r="H31">
        <v>115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1D69-CA79-4F63-8529-2DD7AC328DB9}">
  <dimension ref="A1:T3"/>
  <sheetViews>
    <sheetView workbookViewId="0">
      <selection activeCell="P35" sqref="P35"/>
    </sheetView>
  </sheetViews>
  <sheetFormatPr defaultColWidth="8.85546875" defaultRowHeight="14.45"/>
  <cols>
    <col min="5" max="5" width="16.85546875" customWidth="1"/>
    <col min="6" max="6" width="11.140625" customWidth="1"/>
    <col min="7" max="8" width="17.42578125" customWidth="1"/>
    <col min="9" max="10" width="14.85546875" customWidth="1"/>
    <col min="11" max="11" width="14.42578125" customWidth="1"/>
    <col min="12" max="19" width="14.140625" customWidth="1"/>
    <col min="20" max="20" width="26.140625" customWidth="1"/>
  </cols>
  <sheetData>
    <row r="1" spans="1:20">
      <c r="I1" s="169" t="s">
        <v>219</v>
      </c>
      <c r="J1" s="169"/>
      <c r="K1" s="169"/>
      <c r="L1" s="169" t="s">
        <v>2116</v>
      </c>
      <c r="M1" s="169"/>
      <c r="N1" s="169"/>
      <c r="O1" s="169"/>
      <c r="P1" s="169" t="s">
        <v>2117</v>
      </c>
      <c r="Q1" s="169"/>
      <c r="R1" s="169"/>
      <c r="S1" s="169"/>
    </row>
    <row r="2" spans="1:20">
      <c r="A2" t="s">
        <v>1</v>
      </c>
      <c r="B2" t="s">
        <v>3</v>
      </c>
      <c r="C2" t="s">
        <v>4</v>
      </c>
      <c r="D2" t="s">
        <v>5</v>
      </c>
      <c r="E2" t="s">
        <v>2118</v>
      </c>
      <c r="F2" t="s">
        <v>2119</v>
      </c>
      <c r="G2" t="s">
        <v>2120</v>
      </c>
      <c r="H2" t="s">
        <v>2121</v>
      </c>
      <c r="I2" t="s">
        <v>2122</v>
      </c>
      <c r="J2" t="s">
        <v>2123</v>
      </c>
      <c r="K2" t="s">
        <v>2124</v>
      </c>
      <c r="L2" t="s">
        <v>2125</v>
      </c>
      <c r="M2" t="s">
        <v>2126</v>
      </c>
      <c r="N2" t="s">
        <v>2127</v>
      </c>
      <c r="O2" t="s">
        <v>2128</v>
      </c>
      <c r="P2" t="s">
        <v>2129</v>
      </c>
      <c r="Q2" t="s">
        <v>2130</v>
      </c>
      <c r="R2" t="s">
        <v>2131</v>
      </c>
      <c r="S2" t="s">
        <v>2132</v>
      </c>
      <c r="T2" t="s">
        <v>2133</v>
      </c>
    </row>
    <row r="3" spans="1:20">
      <c r="F3" s="106" t="b">
        <v>0</v>
      </c>
      <c r="G3" s="109"/>
      <c r="H3" s="109"/>
    </row>
  </sheetData>
  <mergeCells count="3">
    <mergeCell ref="I1:K1"/>
    <mergeCell ref="P1:S1"/>
    <mergeCell ref="L1:O1"/>
  </mergeCells>
  <phoneticPr fontId="17" type="noConversion"/>
  <dataValidations count="1">
    <dataValidation type="list" allowBlank="1" showInputMessage="1" showErrorMessage="1" sqref="E3" xr:uid="{AE2795D2-C555-43D6-BF62-BFFC5FEC1409}">
      <formula1>"MFD A4, MFD A3"</formula1>
    </dataValidation>
  </dataValidation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C3A9-D67F-4113-8D5D-3EB653B4216B}">
  <dimension ref="A1:DU24"/>
  <sheetViews>
    <sheetView workbookViewId="0">
      <selection activeCell="I18" sqref="I18"/>
    </sheetView>
  </sheetViews>
  <sheetFormatPr defaultColWidth="8.85546875" defaultRowHeight="14.45"/>
  <cols>
    <col min="1" max="1" width="26.85546875" customWidth="1"/>
    <col min="2" max="2" width="8.42578125" bestFit="1" customWidth="1"/>
    <col min="3" max="3" width="7.85546875" bestFit="1" customWidth="1"/>
    <col min="4" max="125" width="3.42578125" customWidth="1"/>
  </cols>
  <sheetData>
    <row r="1" spans="1:125">
      <c r="D1" s="110" t="s">
        <v>2134</v>
      </c>
      <c r="I1" t="s">
        <v>2135</v>
      </c>
    </row>
    <row r="2" spans="1:125">
      <c r="D2" t="s">
        <v>2136</v>
      </c>
    </row>
    <row r="3" spans="1:125">
      <c r="D3" s="170">
        <f>D4</f>
        <v>45901</v>
      </c>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f t="shared" ref="AH3:BM3" si="0">AH4</f>
        <v>45931</v>
      </c>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f t="shared" si="0"/>
        <v>45962</v>
      </c>
      <c r="BN3" s="170"/>
      <c r="BO3" s="170"/>
      <c r="BP3" s="170"/>
      <c r="BQ3" s="170"/>
      <c r="BR3" s="170"/>
      <c r="BS3" s="170"/>
      <c r="BT3" s="170"/>
      <c r="BU3" s="170"/>
      <c r="BV3" s="170"/>
      <c r="BW3" s="170"/>
      <c r="BX3" s="170"/>
      <c r="BY3" s="170"/>
      <c r="BZ3" s="170"/>
      <c r="CA3" s="170"/>
      <c r="CB3" s="170"/>
      <c r="CC3" s="170"/>
      <c r="CD3" s="170"/>
      <c r="CE3" s="170"/>
      <c r="CF3" s="170"/>
      <c r="CG3" s="170"/>
      <c r="CH3" s="170"/>
      <c r="CI3" s="170"/>
      <c r="CJ3" s="170"/>
      <c r="CK3" s="170"/>
      <c r="CL3" s="170"/>
      <c r="CM3" s="170"/>
      <c r="CN3" s="170"/>
      <c r="CO3" s="170"/>
      <c r="CP3" s="170"/>
      <c r="CQ3" s="170">
        <f t="shared" ref="CQ3" si="1">CQ4</f>
        <v>45992</v>
      </c>
      <c r="CR3" s="170"/>
      <c r="CS3" s="170"/>
      <c r="CT3" s="170"/>
      <c r="CU3" s="170"/>
      <c r="CV3" s="170"/>
      <c r="CW3" s="170"/>
      <c r="CX3" s="170"/>
      <c r="CY3" s="170"/>
      <c r="CZ3" s="170"/>
      <c r="DA3" s="170"/>
      <c r="DB3" s="170"/>
      <c r="DC3" s="170"/>
      <c r="DD3" s="170"/>
      <c r="DE3" s="170"/>
      <c r="DF3" s="170"/>
      <c r="DG3" s="170"/>
      <c r="DH3" s="170"/>
      <c r="DI3" s="170"/>
      <c r="DJ3" s="170"/>
      <c r="DK3" s="170"/>
      <c r="DL3" s="170"/>
      <c r="DM3" s="170"/>
      <c r="DN3" s="170"/>
      <c r="DO3" s="170"/>
      <c r="DP3" s="170"/>
      <c r="DQ3" s="170"/>
      <c r="DR3" s="170"/>
      <c r="DS3" s="170"/>
      <c r="DT3" s="170"/>
      <c r="DU3" s="170"/>
    </row>
    <row r="4" spans="1:125">
      <c r="A4" t="s">
        <v>2137</v>
      </c>
      <c r="B4" t="s">
        <v>2138</v>
      </c>
      <c r="C4" t="s">
        <v>2139</v>
      </c>
      <c r="D4" s="108">
        <v>45901</v>
      </c>
      <c r="E4" s="108">
        <f>D4+1</f>
        <v>45902</v>
      </c>
      <c r="F4" s="108">
        <f t="shared" ref="F4:BQ4" si="2">E4+1</f>
        <v>45903</v>
      </c>
      <c r="G4" s="108">
        <f t="shared" si="2"/>
        <v>45904</v>
      </c>
      <c r="H4" s="108">
        <f t="shared" si="2"/>
        <v>45905</v>
      </c>
      <c r="I4" s="108">
        <f t="shared" si="2"/>
        <v>45906</v>
      </c>
      <c r="J4" s="108">
        <f t="shared" si="2"/>
        <v>45907</v>
      </c>
      <c r="K4" s="108">
        <f t="shared" si="2"/>
        <v>45908</v>
      </c>
      <c r="L4" s="108">
        <f t="shared" si="2"/>
        <v>45909</v>
      </c>
      <c r="M4" s="108">
        <f t="shared" si="2"/>
        <v>45910</v>
      </c>
      <c r="N4" s="108">
        <f t="shared" si="2"/>
        <v>45911</v>
      </c>
      <c r="O4" s="108">
        <f t="shared" si="2"/>
        <v>45912</v>
      </c>
      <c r="P4" s="108">
        <f t="shared" si="2"/>
        <v>45913</v>
      </c>
      <c r="Q4" s="108">
        <f t="shared" si="2"/>
        <v>45914</v>
      </c>
      <c r="R4" s="108">
        <f t="shared" si="2"/>
        <v>45915</v>
      </c>
      <c r="S4" s="108">
        <f t="shared" si="2"/>
        <v>45916</v>
      </c>
      <c r="T4" s="108">
        <f t="shared" si="2"/>
        <v>45917</v>
      </c>
      <c r="U4" s="108">
        <f t="shared" si="2"/>
        <v>45918</v>
      </c>
      <c r="V4" s="108">
        <f t="shared" si="2"/>
        <v>45919</v>
      </c>
      <c r="W4" s="108">
        <f t="shared" si="2"/>
        <v>45920</v>
      </c>
      <c r="X4" s="108">
        <f t="shared" si="2"/>
        <v>45921</v>
      </c>
      <c r="Y4" s="108">
        <f t="shared" si="2"/>
        <v>45922</v>
      </c>
      <c r="Z4" s="108">
        <f t="shared" si="2"/>
        <v>45923</v>
      </c>
      <c r="AA4" s="108">
        <f t="shared" si="2"/>
        <v>45924</v>
      </c>
      <c r="AB4" s="108">
        <f t="shared" si="2"/>
        <v>45925</v>
      </c>
      <c r="AC4" s="108">
        <f t="shared" si="2"/>
        <v>45926</v>
      </c>
      <c r="AD4" s="108">
        <f t="shared" si="2"/>
        <v>45927</v>
      </c>
      <c r="AE4" s="108">
        <f t="shared" si="2"/>
        <v>45928</v>
      </c>
      <c r="AF4" s="108">
        <f t="shared" si="2"/>
        <v>45929</v>
      </c>
      <c r="AG4" s="108">
        <f t="shared" si="2"/>
        <v>45930</v>
      </c>
      <c r="AH4" s="108">
        <f t="shared" si="2"/>
        <v>45931</v>
      </c>
      <c r="AI4" s="108">
        <f t="shared" si="2"/>
        <v>45932</v>
      </c>
      <c r="AJ4" s="108">
        <f t="shared" si="2"/>
        <v>45933</v>
      </c>
      <c r="AK4" s="108">
        <f t="shared" si="2"/>
        <v>45934</v>
      </c>
      <c r="AL4" s="108">
        <f t="shared" si="2"/>
        <v>45935</v>
      </c>
      <c r="AM4" s="108">
        <f t="shared" si="2"/>
        <v>45936</v>
      </c>
      <c r="AN4" s="108">
        <f t="shared" si="2"/>
        <v>45937</v>
      </c>
      <c r="AO4" s="108">
        <f t="shared" si="2"/>
        <v>45938</v>
      </c>
      <c r="AP4" s="108">
        <f t="shared" si="2"/>
        <v>45939</v>
      </c>
      <c r="AQ4" s="108">
        <f t="shared" si="2"/>
        <v>45940</v>
      </c>
      <c r="AR4" s="108">
        <f t="shared" si="2"/>
        <v>45941</v>
      </c>
      <c r="AS4" s="108">
        <f t="shared" si="2"/>
        <v>45942</v>
      </c>
      <c r="AT4" s="108">
        <f t="shared" si="2"/>
        <v>45943</v>
      </c>
      <c r="AU4" s="108">
        <f t="shared" si="2"/>
        <v>45944</v>
      </c>
      <c r="AV4" s="108">
        <f t="shared" si="2"/>
        <v>45945</v>
      </c>
      <c r="AW4" s="108">
        <f t="shared" si="2"/>
        <v>45946</v>
      </c>
      <c r="AX4" s="108">
        <f t="shared" si="2"/>
        <v>45947</v>
      </c>
      <c r="AY4" s="108">
        <f t="shared" si="2"/>
        <v>45948</v>
      </c>
      <c r="AZ4" s="108">
        <f t="shared" si="2"/>
        <v>45949</v>
      </c>
      <c r="BA4" s="108">
        <f t="shared" si="2"/>
        <v>45950</v>
      </c>
      <c r="BB4" s="108">
        <f t="shared" si="2"/>
        <v>45951</v>
      </c>
      <c r="BC4" s="108">
        <f t="shared" si="2"/>
        <v>45952</v>
      </c>
      <c r="BD4" s="108">
        <f t="shared" si="2"/>
        <v>45953</v>
      </c>
      <c r="BE4" s="108">
        <f t="shared" si="2"/>
        <v>45954</v>
      </c>
      <c r="BF4" s="108">
        <f t="shared" si="2"/>
        <v>45955</v>
      </c>
      <c r="BG4" s="108">
        <f t="shared" si="2"/>
        <v>45956</v>
      </c>
      <c r="BH4" s="108">
        <f t="shared" si="2"/>
        <v>45957</v>
      </c>
      <c r="BI4" s="108">
        <f t="shared" si="2"/>
        <v>45958</v>
      </c>
      <c r="BJ4" s="108">
        <f t="shared" si="2"/>
        <v>45959</v>
      </c>
      <c r="BK4" s="108">
        <f t="shared" si="2"/>
        <v>45960</v>
      </c>
      <c r="BL4" s="108">
        <f t="shared" si="2"/>
        <v>45961</v>
      </c>
      <c r="BM4" s="108">
        <f t="shared" si="2"/>
        <v>45962</v>
      </c>
      <c r="BN4" s="108">
        <f t="shared" si="2"/>
        <v>45963</v>
      </c>
      <c r="BO4" s="108">
        <f t="shared" si="2"/>
        <v>45964</v>
      </c>
      <c r="BP4" s="108">
        <f t="shared" si="2"/>
        <v>45965</v>
      </c>
      <c r="BQ4" s="108">
        <f t="shared" si="2"/>
        <v>45966</v>
      </c>
      <c r="BR4" s="108">
        <f t="shared" ref="BR4:DU4" si="3">BQ4+1</f>
        <v>45967</v>
      </c>
      <c r="BS4" s="108">
        <f t="shared" si="3"/>
        <v>45968</v>
      </c>
      <c r="BT4" s="108">
        <f t="shared" si="3"/>
        <v>45969</v>
      </c>
      <c r="BU4" s="108">
        <f t="shared" si="3"/>
        <v>45970</v>
      </c>
      <c r="BV4" s="108">
        <f t="shared" si="3"/>
        <v>45971</v>
      </c>
      <c r="BW4" s="108">
        <f t="shared" si="3"/>
        <v>45972</v>
      </c>
      <c r="BX4" s="108">
        <f t="shared" si="3"/>
        <v>45973</v>
      </c>
      <c r="BY4" s="108">
        <f t="shared" si="3"/>
        <v>45974</v>
      </c>
      <c r="BZ4" s="108">
        <f t="shared" si="3"/>
        <v>45975</v>
      </c>
      <c r="CA4" s="108">
        <f t="shared" si="3"/>
        <v>45976</v>
      </c>
      <c r="CB4" s="108">
        <f t="shared" si="3"/>
        <v>45977</v>
      </c>
      <c r="CC4" s="108">
        <f t="shared" si="3"/>
        <v>45978</v>
      </c>
      <c r="CD4" s="108">
        <f t="shared" si="3"/>
        <v>45979</v>
      </c>
      <c r="CE4" s="108">
        <f t="shared" si="3"/>
        <v>45980</v>
      </c>
      <c r="CF4" s="108">
        <f t="shared" si="3"/>
        <v>45981</v>
      </c>
      <c r="CG4" s="108">
        <f t="shared" si="3"/>
        <v>45982</v>
      </c>
      <c r="CH4" s="108">
        <f t="shared" si="3"/>
        <v>45983</v>
      </c>
      <c r="CI4" s="108">
        <f t="shared" si="3"/>
        <v>45984</v>
      </c>
      <c r="CJ4" s="108">
        <f t="shared" si="3"/>
        <v>45985</v>
      </c>
      <c r="CK4" s="108">
        <f t="shared" si="3"/>
        <v>45986</v>
      </c>
      <c r="CL4" s="108">
        <f t="shared" si="3"/>
        <v>45987</v>
      </c>
      <c r="CM4" s="108">
        <f t="shared" si="3"/>
        <v>45988</v>
      </c>
      <c r="CN4" s="108">
        <f t="shared" si="3"/>
        <v>45989</v>
      </c>
      <c r="CO4" s="108">
        <f t="shared" si="3"/>
        <v>45990</v>
      </c>
      <c r="CP4" s="108">
        <f t="shared" si="3"/>
        <v>45991</v>
      </c>
      <c r="CQ4" s="108">
        <f t="shared" si="3"/>
        <v>45992</v>
      </c>
      <c r="CR4" s="108">
        <f t="shared" si="3"/>
        <v>45993</v>
      </c>
      <c r="CS4" s="108">
        <f t="shared" si="3"/>
        <v>45994</v>
      </c>
      <c r="CT4" s="108">
        <f t="shared" si="3"/>
        <v>45995</v>
      </c>
      <c r="CU4" s="108">
        <f t="shared" si="3"/>
        <v>45996</v>
      </c>
      <c r="CV4" s="108">
        <f t="shared" si="3"/>
        <v>45997</v>
      </c>
      <c r="CW4" s="108">
        <f t="shared" si="3"/>
        <v>45998</v>
      </c>
      <c r="CX4" s="108">
        <f t="shared" si="3"/>
        <v>45999</v>
      </c>
      <c r="CY4" s="108">
        <f t="shared" si="3"/>
        <v>46000</v>
      </c>
      <c r="CZ4" s="108">
        <f t="shared" si="3"/>
        <v>46001</v>
      </c>
      <c r="DA4" s="108">
        <f t="shared" si="3"/>
        <v>46002</v>
      </c>
      <c r="DB4" s="108">
        <f t="shared" si="3"/>
        <v>46003</v>
      </c>
      <c r="DC4" s="108">
        <f t="shared" si="3"/>
        <v>46004</v>
      </c>
      <c r="DD4" s="108">
        <f t="shared" si="3"/>
        <v>46005</v>
      </c>
      <c r="DE4" s="108">
        <f t="shared" si="3"/>
        <v>46006</v>
      </c>
      <c r="DF4" s="108">
        <f t="shared" si="3"/>
        <v>46007</v>
      </c>
      <c r="DG4" s="108">
        <f t="shared" si="3"/>
        <v>46008</v>
      </c>
      <c r="DH4" s="108">
        <f t="shared" si="3"/>
        <v>46009</v>
      </c>
      <c r="DI4" s="108">
        <f t="shared" si="3"/>
        <v>46010</v>
      </c>
      <c r="DJ4" s="108">
        <f t="shared" si="3"/>
        <v>46011</v>
      </c>
      <c r="DK4" s="108">
        <f t="shared" si="3"/>
        <v>46012</v>
      </c>
      <c r="DL4" s="108">
        <f t="shared" si="3"/>
        <v>46013</v>
      </c>
      <c r="DM4" s="108">
        <f t="shared" si="3"/>
        <v>46014</v>
      </c>
      <c r="DN4" s="108">
        <f t="shared" si="3"/>
        <v>46015</v>
      </c>
      <c r="DO4" s="108">
        <f t="shared" si="3"/>
        <v>46016</v>
      </c>
      <c r="DP4" s="108">
        <f t="shared" si="3"/>
        <v>46017</v>
      </c>
      <c r="DQ4" s="108">
        <f t="shared" si="3"/>
        <v>46018</v>
      </c>
      <c r="DR4" s="108">
        <f t="shared" si="3"/>
        <v>46019</v>
      </c>
      <c r="DS4" s="108">
        <f t="shared" si="3"/>
        <v>46020</v>
      </c>
      <c r="DT4" s="108">
        <f t="shared" si="3"/>
        <v>46021</v>
      </c>
      <c r="DU4" s="108">
        <f t="shared" si="3"/>
        <v>46022</v>
      </c>
    </row>
    <row r="6" spans="1:125">
      <c r="A6" t="s">
        <v>20</v>
      </c>
      <c r="B6" s="109">
        <v>45931</v>
      </c>
      <c r="C6" s="109">
        <v>46009</v>
      </c>
    </row>
    <row r="7" spans="1:125">
      <c r="A7" t="s">
        <v>177</v>
      </c>
      <c r="B7" s="109">
        <v>45950</v>
      </c>
      <c r="C7" s="109">
        <v>46011</v>
      </c>
    </row>
    <row r="8" spans="1:125">
      <c r="A8" t="s">
        <v>64</v>
      </c>
      <c r="B8" s="111">
        <v>45957</v>
      </c>
      <c r="C8" s="111">
        <v>46010</v>
      </c>
    </row>
    <row r="9" spans="1:125">
      <c r="A9" t="s">
        <v>138</v>
      </c>
      <c r="B9" s="111">
        <v>45935</v>
      </c>
      <c r="C9" s="111">
        <v>46022</v>
      </c>
    </row>
    <row r="10" spans="1:125">
      <c r="A10" t="s">
        <v>2140</v>
      </c>
      <c r="B10" s="111">
        <v>45920</v>
      </c>
      <c r="C10" s="111">
        <v>46021</v>
      </c>
    </row>
    <row r="11" spans="1:125">
      <c r="A11" t="s">
        <v>345</v>
      </c>
      <c r="B11" s="109">
        <v>45975</v>
      </c>
      <c r="C11" s="109">
        <v>46013</v>
      </c>
    </row>
    <row r="12" spans="1:125">
      <c r="A12" t="s">
        <v>2141</v>
      </c>
      <c r="B12" s="111">
        <v>45915</v>
      </c>
      <c r="C12" s="111">
        <v>45989</v>
      </c>
    </row>
    <row r="13" spans="1:125">
      <c r="A13" t="s">
        <v>2142</v>
      </c>
      <c r="B13" s="111">
        <v>45942</v>
      </c>
      <c r="C13" s="111">
        <v>46022</v>
      </c>
    </row>
    <row r="14" spans="1:125">
      <c r="A14" t="s">
        <v>2143</v>
      </c>
      <c r="B14" s="111">
        <v>45944</v>
      </c>
      <c r="C14" s="111">
        <v>45989</v>
      </c>
    </row>
    <row r="15" spans="1:125">
      <c r="A15" t="s">
        <v>2144</v>
      </c>
      <c r="B15" s="111">
        <v>45981</v>
      </c>
      <c r="C15" s="111">
        <v>46010</v>
      </c>
    </row>
    <row r="16" spans="1:125">
      <c r="B16" s="109"/>
      <c r="C16" s="109"/>
    </row>
    <row r="17" spans="2:3">
      <c r="B17" s="109"/>
      <c r="C17" s="109"/>
    </row>
    <row r="18" spans="2:3">
      <c r="B18" s="109"/>
      <c r="C18" s="109"/>
    </row>
    <row r="19" spans="2:3">
      <c r="B19" s="109"/>
      <c r="C19" s="109"/>
    </row>
    <row r="20" spans="2:3">
      <c r="B20" s="109"/>
      <c r="C20" s="109"/>
    </row>
    <row r="21" spans="2:3">
      <c r="B21" s="109"/>
      <c r="C21" s="109"/>
    </row>
    <row r="22" spans="2:3">
      <c r="B22" s="109"/>
      <c r="C22" s="109"/>
    </row>
    <row r="23" spans="2:3">
      <c r="B23" s="109"/>
      <c r="C23" s="109"/>
    </row>
    <row r="24" spans="2:3">
      <c r="B24" s="109"/>
      <c r="C24" s="109"/>
    </row>
  </sheetData>
  <mergeCells count="4">
    <mergeCell ref="D3:AG3"/>
    <mergeCell ref="AH3:BL3"/>
    <mergeCell ref="BM3:CP3"/>
    <mergeCell ref="CQ3:DU3"/>
  </mergeCells>
  <conditionalFormatting sqref="D2">
    <cfRule type="expression" dxfId="2" priority="34">
      <formula>G$4=TODAY()</formula>
    </cfRule>
  </conditionalFormatting>
  <conditionalFormatting sqref="D3:DU1048576 D1:F1 H1:DU1 E2:DU2">
    <cfRule type="expression" dxfId="1" priority="2">
      <formula>D$4=TODAY()</formula>
    </cfRule>
  </conditionalFormatting>
  <conditionalFormatting sqref="D6:DU59">
    <cfRule type="expression" dxfId="0" priority="1">
      <formula>AND($B6&lt;=D$4,$C6&gt;=D$4)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a187b51-3738-4a13-b508-93f9b6ef67f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AF5CEB25BE754BB29797FF27B49030" ma:contentTypeVersion="10" ma:contentTypeDescription="Create a new document." ma:contentTypeScope="" ma:versionID="7e2cc413d49c5cdb11850090ca8ac1be">
  <xsd:schema xmlns:xsd="http://www.w3.org/2001/XMLSchema" xmlns:xs="http://www.w3.org/2001/XMLSchema" xmlns:p="http://schemas.microsoft.com/office/2006/metadata/properties" xmlns:ns2="5a187b51-3738-4a13-b508-93f9b6ef67f4" targetNamespace="http://schemas.microsoft.com/office/2006/metadata/properties" ma:root="true" ma:fieldsID="c6c12f20dfd988497001e53325de78b0" ns2:_="">
    <xsd:import namespace="5a187b51-3738-4a13-b508-93f9b6ef67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187b51-3738-4a13-b508-93f9b6ef67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3c16f8c-67f9-44bd-8484-a60bdff8e40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6174AB-D833-4C4F-858D-EF7ECEF092CC}"/>
</file>

<file path=customXml/itemProps2.xml><?xml version="1.0" encoding="utf-8"?>
<ds:datastoreItem xmlns:ds="http://schemas.openxmlformats.org/officeDocument/2006/customXml" ds:itemID="{92C3956D-5A21-425A-81E8-1A079DA310CA}"/>
</file>

<file path=customXml/itemProps3.xml><?xml version="1.0" encoding="utf-8"?>
<ds:datastoreItem xmlns:ds="http://schemas.openxmlformats.org/officeDocument/2006/customXml" ds:itemID="{5E63AF96-35B0-4999-B8CC-D3E6ABCA8618}"/>
</file>

<file path=docProps/app.xml><?xml version="1.0" encoding="utf-8"?>
<Properties xmlns="http://schemas.openxmlformats.org/officeDocument/2006/extended-properties" xmlns:vt="http://schemas.openxmlformats.org/officeDocument/2006/docPropsVTypes">
  <Application>Microsoft Excel Online</Application>
  <Manager/>
  <Company>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Pavel Kornilov</dc:creator>
  <cp:keywords/>
  <dc:description/>
  <cp:lastModifiedBy>Pavel Kornilov</cp:lastModifiedBy>
  <cp:revision/>
  <dcterms:created xsi:type="dcterms:W3CDTF">2025-06-30T11:21:14Z</dcterms:created>
  <dcterms:modified xsi:type="dcterms:W3CDTF">2026-01-28T13:02:35Z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c30eeb-121d-4964-af0b-90ef6f9271bd_Enabled">
    <vt:lpwstr>true</vt:lpwstr>
  </property>
  <property fmtid="{D5CDD505-2E9C-101B-9397-08002B2CF9AE}" pid="3" name="MSIP_Label_b8c30eeb-121d-4964-af0b-90ef6f9271bd_SetDate">
    <vt:lpwstr>2025-06-30T11:28:25Z</vt:lpwstr>
  </property>
  <property fmtid="{D5CDD505-2E9C-101B-9397-08002B2CF9AE}" pid="4" name="MSIP_Label_b8c30eeb-121d-4964-af0b-90ef6f9271bd_Method">
    <vt:lpwstr>Privileged</vt:lpwstr>
  </property>
  <property fmtid="{D5CDD505-2E9C-101B-9397-08002B2CF9AE}" pid="5" name="MSIP_Label_b8c30eeb-121d-4964-af0b-90ef6f9271bd_Name">
    <vt:lpwstr>Other General Business</vt:lpwstr>
  </property>
  <property fmtid="{D5CDD505-2E9C-101B-9397-08002B2CF9AE}" pid="6" name="MSIP_Label_b8c30eeb-121d-4964-af0b-90ef6f9271bd_SiteId">
    <vt:lpwstr>993ca615-6bd5-4d1c-8a7b-a1a99efc64b7</vt:lpwstr>
  </property>
  <property fmtid="{D5CDD505-2E9C-101B-9397-08002B2CF9AE}" pid="7" name="MSIP_Label_b8c30eeb-121d-4964-af0b-90ef6f9271bd_ActionId">
    <vt:lpwstr>5bb0fca6-b93d-4e56-ae4e-f2644ef38614</vt:lpwstr>
  </property>
  <property fmtid="{D5CDD505-2E9C-101B-9397-08002B2CF9AE}" pid="8" name="MSIP_Label_b8c30eeb-121d-4964-af0b-90ef6f9271bd_ContentBits">
    <vt:lpwstr>1</vt:lpwstr>
  </property>
  <property fmtid="{D5CDD505-2E9C-101B-9397-08002B2CF9AE}" pid="9" name="ContentTypeId">
    <vt:lpwstr>0x010100BDAF5CEB25BE754BB29797FF27B49030</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y fmtid="{D5CDD505-2E9C-101B-9397-08002B2CF9AE}" pid="12" name="MediaServiceImageTags">
    <vt:lpwstr/>
  </property>
</Properties>
</file>